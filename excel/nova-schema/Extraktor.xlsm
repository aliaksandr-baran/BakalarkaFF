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Workbook________" defaultThemeVersion="124226"/>
  <bookViews>
    <workbookView xWindow="240" yWindow="105" windowWidth="14805" windowHeight="8010"/>
  </bookViews>
  <sheets>
    <sheet name="Reg-IL" sheetId="1" r:id="rId1"/>
    <sheet name="Cista-IL" sheetId="2" r:id="rId2"/>
    <sheet name="Лист1" sheetId="4" r:id="rId3"/>
  </sheets>
  <externalReferences>
    <externalReference r:id="rId4"/>
  </externalReferences>
  <definedNames>
    <definedName name="solver_adj" localSheetId="0" hidden="1">'Reg-IL'!$AF$7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'Reg-IL'!$AI$38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AI7" i="1" l="1"/>
  <c r="AH7" i="1"/>
  <c r="AG7" i="1"/>
  <c r="AI5" i="1"/>
  <c r="AH5" i="1"/>
  <c r="AG5" i="1"/>
  <c r="AF5" i="1"/>
  <c r="AI3" i="1"/>
  <c r="AH3" i="1"/>
  <c r="AG3" i="1"/>
  <c r="AF3" i="1"/>
  <c r="AF9" i="1" l="1"/>
  <c r="AH9" i="1" s="1"/>
  <c r="AG9" i="1" l="1"/>
  <c r="AI9" i="1"/>
  <c r="Q51" i="2" l="1"/>
  <c r="Q50" i="2"/>
  <c r="Q49" i="2"/>
  <c r="Q48" i="2"/>
  <c r="Q47" i="2"/>
  <c r="O45" i="2"/>
  <c r="I45" i="2"/>
  <c r="M51" i="2" s="1"/>
  <c r="C45" i="2"/>
  <c r="P45" i="2" s="1"/>
  <c r="O44" i="2"/>
  <c r="I44" i="2"/>
  <c r="N50" i="2" s="1"/>
  <c r="C44" i="2"/>
  <c r="O43" i="2"/>
  <c r="I43" i="2"/>
  <c r="C43" i="2"/>
  <c r="Q43" i="2" s="1"/>
  <c r="O42" i="2"/>
  <c r="I42" i="2"/>
  <c r="N48" i="2" s="1"/>
  <c r="C42" i="2"/>
  <c r="S32" i="2" s="1"/>
  <c r="B6" i="2" s="1"/>
  <c r="O41" i="2"/>
  <c r="I41" i="2"/>
  <c r="C41" i="2"/>
  <c r="Q41" i="2" s="1"/>
  <c r="X35" i="2"/>
  <c r="C14" i="2" s="1"/>
  <c r="W35" i="2"/>
  <c r="B14" i="2" s="1"/>
  <c r="U35" i="2"/>
  <c r="D9" i="2" s="1"/>
  <c r="T35" i="2"/>
  <c r="C9" i="2" s="1"/>
  <c r="X34" i="2"/>
  <c r="W34" i="2"/>
  <c r="U34" i="2"/>
  <c r="D8" i="2" s="1"/>
  <c r="T34" i="2"/>
  <c r="C8" i="2" s="1"/>
  <c r="S34" i="2"/>
  <c r="X33" i="2"/>
  <c r="C12" i="2" s="1"/>
  <c r="W33" i="2"/>
  <c r="U33" i="2"/>
  <c r="D7" i="2" s="1"/>
  <c r="T33" i="2"/>
  <c r="X32" i="2"/>
  <c r="C11" i="2" s="1"/>
  <c r="W32" i="2"/>
  <c r="U32" i="2"/>
  <c r="D6" i="2" s="1"/>
  <c r="T32" i="2"/>
  <c r="C6" i="2" s="1"/>
  <c r="X31" i="2"/>
  <c r="W31" i="2"/>
  <c r="B10" i="2" s="1"/>
  <c r="U31" i="2"/>
  <c r="D5" i="2" s="1"/>
  <c r="T31" i="2"/>
  <c r="C5" i="2" s="1"/>
  <c r="B13" i="2"/>
  <c r="AF10" i="2"/>
  <c r="Z27" i="2" s="1"/>
  <c r="AF9" i="2"/>
  <c r="Z26" i="2" s="1"/>
  <c r="Q51" i="1"/>
  <c r="Q50" i="1"/>
  <c r="Q49" i="1"/>
  <c r="Q48" i="1"/>
  <c r="Q47" i="1"/>
  <c r="O45" i="1"/>
  <c r="I45" i="1"/>
  <c r="C45" i="1"/>
  <c r="Q45" i="1" s="1"/>
  <c r="O44" i="1"/>
  <c r="I44" i="1"/>
  <c r="Y34" i="1" s="1"/>
  <c r="D13" i="1" s="1"/>
  <c r="C44" i="1"/>
  <c r="O43" i="1"/>
  <c r="I43" i="1"/>
  <c r="Y33" i="1" s="1"/>
  <c r="D12" i="1" s="1"/>
  <c r="C43" i="1"/>
  <c r="Q43" i="1" s="1"/>
  <c r="O42" i="1"/>
  <c r="I42" i="1"/>
  <c r="Y32" i="1" s="1"/>
  <c r="D11" i="1" s="1"/>
  <c r="C42" i="1"/>
  <c r="S32" i="1" s="1"/>
  <c r="O41" i="1"/>
  <c r="I41" i="1"/>
  <c r="Y31" i="1" s="1"/>
  <c r="C41" i="1"/>
  <c r="Q41" i="1" s="1"/>
  <c r="Y35" i="1"/>
  <c r="D14" i="1" s="1"/>
  <c r="X35" i="1"/>
  <c r="C14" i="1" s="1"/>
  <c r="W35" i="1"/>
  <c r="B14" i="1" s="1"/>
  <c r="U35" i="1"/>
  <c r="T35" i="1"/>
  <c r="S35" i="1"/>
  <c r="X34" i="1"/>
  <c r="W34" i="1"/>
  <c r="B13" i="1" s="1"/>
  <c r="U34" i="1"/>
  <c r="D8" i="1" s="1"/>
  <c r="T34" i="1"/>
  <c r="C8" i="1" s="1"/>
  <c r="S34" i="1"/>
  <c r="X33" i="1"/>
  <c r="C12" i="1" s="1"/>
  <c r="W33" i="1"/>
  <c r="B12" i="1" s="1"/>
  <c r="U33" i="1"/>
  <c r="D7" i="1" s="1"/>
  <c r="T33" i="1"/>
  <c r="C7" i="1" s="1"/>
  <c r="X32" i="1"/>
  <c r="W32" i="1"/>
  <c r="B11" i="1" s="1"/>
  <c r="U32" i="1"/>
  <c r="D6" i="1" s="1"/>
  <c r="T32" i="1"/>
  <c r="C6" i="1" s="1"/>
  <c r="X31" i="1"/>
  <c r="AF43" i="1" s="1"/>
  <c r="AF50" i="1" s="1"/>
  <c r="W31" i="1"/>
  <c r="U31" i="1"/>
  <c r="D5" i="1" s="1"/>
  <c r="T31" i="1"/>
  <c r="C5" i="1" s="1"/>
  <c r="AF10" i="1"/>
  <c r="Z27" i="1" s="1"/>
  <c r="AC26" i="1"/>
  <c r="D4" i="1" s="1"/>
  <c r="AA26" i="1"/>
  <c r="B4" i="1" s="1"/>
  <c r="Z26" i="1"/>
  <c r="B10" i="1" l="1"/>
  <c r="AF42" i="1"/>
  <c r="AF48" i="1" s="1"/>
  <c r="D10" i="1"/>
  <c r="AF44" i="1"/>
  <c r="AF49" i="1" s="1"/>
  <c r="B9" i="1"/>
  <c r="G9" i="1" s="1"/>
  <c r="AG42" i="1"/>
  <c r="AG48" i="1" s="1"/>
  <c r="D9" i="1"/>
  <c r="AG44" i="1"/>
  <c r="AG49" i="1" s="1"/>
  <c r="C9" i="1"/>
  <c r="H9" i="1" s="1"/>
  <c r="AG43" i="1"/>
  <c r="AG50" i="1" s="1"/>
  <c r="AG10" i="1"/>
  <c r="AA27" i="1" s="1"/>
  <c r="W36" i="1" s="1"/>
  <c r="B15" i="1" s="1"/>
  <c r="AI10" i="1"/>
  <c r="AC27" i="1" s="1"/>
  <c r="Y36" i="1" s="1"/>
  <c r="D15" i="1" s="1"/>
  <c r="I9" i="1"/>
  <c r="S31" i="1"/>
  <c r="B5" i="1" s="1"/>
  <c r="AD31" i="1"/>
  <c r="V32" i="1"/>
  <c r="AD32" i="1"/>
  <c r="S33" i="1"/>
  <c r="B7" i="1" s="1"/>
  <c r="G7" i="1" s="1"/>
  <c r="I5" i="1"/>
  <c r="V35" i="1"/>
  <c r="I7" i="1"/>
  <c r="AD33" i="1"/>
  <c r="V34" i="1"/>
  <c r="AD34" i="1"/>
  <c r="B6" i="1"/>
  <c r="G6" i="1" s="1"/>
  <c r="B8" i="1"/>
  <c r="G8" i="1" s="1"/>
  <c r="C13" i="1"/>
  <c r="H8" i="1" s="1"/>
  <c r="I6" i="1"/>
  <c r="H7" i="1"/>
  <c r="I8" i="1"/>
  <c r="C10" i="1"/>
  <c r="H5" i="1" s="1"/>
  <c r="C11" i="1"/>
  <c r="H6" i="1" s="1"/>
  <c r="Z32" i="1"/>
  <c r="Z34" i="1"/>
  <c r="Z35" i="1"/>
  <c r="AE31" i="1"/>
  <c r="AE32" i="1"/>
  <c r="AE33" i="1"/>
  <c r="AE34" i="1"/>
  <c r="AE35" i="1"/>
  <c r="AD35" i="1"/>
  <c r="M41" i="1"/>
  <c r="M43" i="1"/>
  <c r="S35" i="2"/>
  <c r="B9" i="2" s="1"/>
  <c r="Y35" i="2"/>
  <c r="D14" i="2" s="1"/>
  <c r="I9" i="2" s="1"/>
  <c r="G9" i="2"/>
  <c r="V34" i="2"/>
  <c r="AD34" i="2"/>
  <c r="S31" i="2"/>
  <c r="B5" i="2" s="1"/>
  <c r="G5" i="2" s="1"/>
  <c r="AD31" i="2"/>
  <c r="H6" i="2"/>
  <c r="Y32" i="2"/>
  <c r="Z32" i="2" s="1"/>
  <c r="Y34" i="2"/>
  <c r="D13" i="2" s="1"/>
  <c r="I8" i="2" s="1"/>
  <c r="AE32" i="2"/>
  <c r="B8" i="2"/>
  <c r="B12" i="2"/>
  <c r="S33" i="2"/>
  <c r="B7" i="2" s="1"/>
  <c r="AD35" i="2"/>
  <c r="G8" i="2"/>
  <c r="O51" i="2"/>
  <c r="C7" i="2"/>
  <c r="H7" i="2" s="1"/>
  <c r="H9" i="2"/>
  <c r="C10" i="2"/>
  <c r="H5" i="2" s="1"/>
  <c r="B11" i="2"/>
  <c r="G6" i="2" s="1"/>
  <c r="C13" i="2"/>
  <c r="H8" i="2" s="1"/>
  <c r="M41" i="2"/>
  <c r="M43" i="2"/>
  <c r="N45" i="2"/>
  <c r="V32" i="2"/>
  <c r="AD32" i="2"/>
  <c r="AD33" i="2"/>
  <c r="AB36" i="2"/>
  <c r="AE26" i="2"/>
  <c r="AF26" i="2" s="1"/>
  <c r="AA30" i="2"/>
  <c r="AH9" i="2"/>
  <c r="AB26" i="2" s="1"/>
  <c r="C4" i="2" s="1"/>
  <c r="AH10" i="2"/>
  <c r="AB27" i="2" s="1"/>
  <c r="X36" i="2" s="1"/>
  <c r="C15" i="2" s="1"/>
  <c r="AG9" i="2"/>
  <c r="AA26" i="2" s="1"/>
  <c r="B4" i="2" s="1"/>
  <c r="AI9" i="2"/>
  <c r="AC26" i="2" s="1"/>
  <c r="D4" i="2" s="1"/>
  <c r="AG10" i="2"/>
  <c r="AA27" i="2" s="1"/>
  <c r="W36" i="2" s="1"/>
  <c r="B15" i="2" s="1"/>
  <c r="AI10" i="2"/>
  <c r="AC27" i="2" s="1"/>
  <c r="Y36" i="2" s="1"/>
  <c r="D15" i="2" s="1"/>
  <c r="AC32" i="2"/>
  <c r="AC34" i="2"/>
  <c r="P47" i="2"/>
  <c r="N47" i="2"/>
  <c r="L47" i="2"/>
  <c r="L42" i="2"/>
  <c r="N42" i="2"/>
  <c r="P42" i="2"/>
  <c r="P49" i="2"/>
  <c r="N49" i="2"/>
  <c r="L49" i="2"/>
  <c r="P44" i="2"/>
  <c r="N44" i="2"/>
  <c r="L44" i="2"/>
  <c r="M44" i="2"/>
  <c r="Q44" i="2"/>
  <c r="M47" i="2"/>
  <c r="M49" i="2"/>
  <c r="Y31" i="2"/>
  <c r="Z31" i="2" s="1"/>
  <c r="Y33" i="2"/>
  <c r="L41" i="2"/>
  <c r="N41" i="2"/>
  <c r="P41" i="2"/>
  <c r="O48" i="2"/>
  <c r="M48" i="2"/>
  <c r="M42" i="2"/>
  <c r="Q42" i="2"/>
  <c r="L43" i="2"/>
  <c r="N43" i="2"/>
  <c r="P43" i="2"/>
  <c r="O50" i="2"/>
  <c r="M50" i="2"/>
  <c r="Q45" i="2"/>
  <c r="M45" i="2"/>
  <c r="L45" i="2"/>
  <c r="O47" i="2"/>
  <c r="L48" i="2"/>
  <c r="P48" i="2"/>
  <c r="O49" i="2"/>
  <c r="L50" i="2"/>
  <c r="P50" i="2"/>
  <c r="L51" i="2"/>
  <c r="N51" i="2"/>
  <c r="P51" i="2"/>
  <c r="AA30" i="1"/>
  <c r="AB26" i="1"/>
  <c r="C4" i="1" s="1"/>
  <c r="AB36" i="1"/>
  <c r="AE26" i="1"/>
  <c r="AF26" i="1" s="1"/>
  <c r="AH10" i="1"/>
  <c r="AB27" i="1" s="1"/>
  <c r="X36" i="1" s="1"/>
  <c r="C15" i="1" s="1"/>
  <c r="Z31" i="1"/>
  <c r="AC32" i="1"/>
  <c r="Z33" i="1"/>
  <c r="AC34" i="1"/>
  <c r="AC35" i="1"/>
  <c r="P47" i="1"/>
  <c r="N47" i="1"/>
  <c r="L47" i="1"/>
  <c r="O47" i="1"/>
  <c r="M47" i="1"/>
  <c r="L42" i="1"/>
  <c r="N42" i="1"/>
  <c r="P42" i="1"/>
  <c r="P49" i="1"/>
  <c r="N49" i="1"/>
  <c r="L49" i="1"/>
  <c r="O49" i="1"/>
  <c r="M49" i="1"/>
  <c r="P44" i="1"/>
  <c r="N44" i="1"/>
  <c r="L44" i="1"/>
  <c r="Q44" i="1"/>
  <c r="M44" i="1"/>
  <c r="L41" i="1"/>
  <c r="N41" i="1"/>
  <c r="P41" i="1"/>
  <c r="O48" i="1"/>
  <c r="M48" i="1"/>
  <c r="P48" i="1"/>
  <c r="N48" i="1"/>
  <c r="L48" i="1"/>
  <c r="M42" i="1"/>
  <c r="Q42" i="1"/>
  <c r="L43" i="1"/>
  <c r="N43" i="1"/>
  <c r="P43" i="1"/>
  <c r="O50" i="1"/>
  <c r="M50" i="1"/>
  <c r="P50" i="1"/>
  <c r="N50" i="1"/>
  <c r="L50" i="1"/>
  <c r="L45" i="1"/>
  <c r="N45" i="1"/>
  <c r="P45" i="1"/>
  <c r="M51" i="1"/>
  <c r="O51" i="1"/>
  <c r="M45" i="1"/>
  <c r="L51" i="1"/>
  <c r="N51" i="1"/>
  <c r="P51" i="1"/>
  <c r="V31" i="1" l="1"/>
  <c r="G5" i="1"/>
  <c r="V33" i="1"/>
  <c r="AC33" i="1"/>
  <c r="AC31" i="1"/>
  <c r="T47" i="1"/>
  <c r="W47" i="1" s="1"/>
  <c r="T49" i="1"/>
  <c r="W49" i="1" s="1"/>
  <c r="T51" i="1"/>
  <c r="W51" i="1" s="1"/>
  <c r="T50" i="1"/>
  <c r="W50" i="1" s="1"/>
  <c r="T43" i="1"/>
  <c r="W43" i="1" s="1"/>
  <c r="T42" i="1"/>
  <c r="W42" i="1" s="1"/>
  <c r="T41" i="1"/>
  <c r="W41" i="1" s="1"/>
  <c r="R49" i="1"/>
  <c r="U49" i="1" s="1"/>
  <c r="R47" i="1"/>
  <c r="U47" i="1" s="1"/>
  <c r="S51" i="1"/>
  <c r="V51" i="1" s="1"/>
  <c r="T48" i="1"/>
  <c r="W48" i="1" s="1"/>
  <c r="T45" i="1"/>
  <c r="W45" i="1" s="1"/>
  <c r="R44" i="1"/>
  <c r="U44" i="1" s="1"/>
  <c r="S45" i="1"/>
  <c r="V45" i="1" s="1"/>
  <c r="Y51" i="1" s="1"/>
  <c r="D54" i="1" s="1"/>
  <c r="D62" i="1" s="1"/>
  <c r="R45" i="1"/>
  <c r="U45" i="1" s="1"/>
  <c r="R43" i="1"/>
  <c r="U43" i="1" s="1"/>
  <c r="R41" i="1"/>
  <c r="U41" i="1" s="1"/>
  <c r="AE35" i="2"/>
  <c r="AC35" i="2"/>
  <c r="V35" i="2"/>
  <c r="V31" i="2"/>
  <c r="Z35" i="2"/>
  <c r="AC31" i="2"/>
  <c r="D11" i="2"/>
  <c r="I6" i="2" s="1"/>
  <c r="T51" i="2"/>
  <c r="W51" i="2" s="1"/>
  <c r="S50" i="2"/>
  <c r="V50" i="2" s="1"/>
  <c r="R49" i="2"/>
  <c r="U49" i="2" s="1"/>
  <c r="AE34" i="2"/>
  <c r="Z34" i="2"/>
  <c r="T48" i="2"/>
  <c r="W48" i="2" s="1"/>
  <c r="V33" i="2"/>
  <c r="G7" i="2"/>
  <c r="AC33" i="2"/>
  <c r="T49" i="2"/>
  <c r="W49" i="2" s="1"/>
  <c r="T50" i="2"/>
  <c r="W50" i="2" s="1"/>
  <c r="S48" i="2"/>
  <c r="V48" i="2" s="1"/>
  <c r="R47" i="2"/>
  <c r="U47" i="2" s="1"/>
  <c r="T41" i="2"/>
  <c r="W41" i="2" s="1"/>
  <c r="R44" i="2"/>
  <c r="U44" i="2" s="1"/>
  <c r="T47" i="2"/>
  <c r="W47" i="2" s="1"/>
  <c r="S45" i="2"/>
  <c r="V45" i="2" s="1"/>
  <c r="T43" i="2"/>
  <c r="W43" i="2" s="1"/>
  <c r="Z43" i="2" s="1"/>
  <c r="I52" i="2" s="1"/>
  <c r="I60" i="2" s="1"/>
  <c r="T42" i="2"/>
  <c r="W42" i="2" s="1"/>
  <c r="R41" i="2"/>
  <c r="U41" i="2" s="1"/>
  <c r="R43" i="2"/>
  <c r="U43" i="2" s="1"/>
  <c r="X43" i="2" s="1"/>
  <c r="G52" i="2" s="1"/>
  <c r="G60" i="2" s="1"/>
  <c r="R51" i="2"/>
  <c r="U51" i="2" s="1"/>
  <c r="R50" i="2"/>
  <c r="U50" i="2" s="1"/>
  <c r="AE33" i="2"/>
  <c r="D12" i="2"/>
  <c r="I7" i="2" s="1"/>
  <c r="S49" i="2"/>
  <c r="V49" i="2" s="1"/>
  <c r="Z33" i="2"/>
  <c r="E15" i="2"/>
  <c r="S51" i="2"/>
  <c r="V51" i="2" s="1"/>
  <c r="R45" i="2"/>
  <c r="U45" i="2" s="1"/>
  <c r="T45" i="2"/>
  <c r="W45" i="2" s="1"/>
  <c r="S43" i="2"/>
  <c r="V43" i="2" s="1"/>
  <c r="Y43" i="2" s="1"/>
  <c r="H52" i="2" s="1"/>
  <c r="H60" i="2" s="1"/>
  <c r="R48" i="2"/>
  <c r="U48" i="2" s="1"/>
  <c r="S41" i="2"/>
  <c r="V41" i="2" s="1"/>
  <c r="AE31" i="2"/>
  <c r="D10" i="2"/>
  <c r="I5" i="2" s="1"/>
  <c r="T44" i="2"/>
  <c r="W44" i="2" s="1"/>
  <c r="S44" i="2"/>
  <c r="V44" i="2" s="1"/>
  <c r="S42" i="2"/>
  <c r="V42" i="2" s="1"/>
  <c r="R42" i="2"/>
  <c r="U42" i="2" s="1"/>
  <c r="S47" i="2"/>
  <c r="V47" i="2" s="1"/>
  <c r="AA35" i="2"/>
  <c r="AB31" i="2" s="1"/>
  <c r="AH35" i="2" s="1"/>
  <c r="AH38" i="2" s="1"/>
  <c r="E4" i="2"/>
  <c r="Q11" i="2" s="1"/>
  <c r="S50" i="1"/>
  <c r="V50" i="1" s="1"/>
  <c r="S43" i="1"/>
  <c r="V43" i="1" s="1"/>
  <c r="R48" i="1"/>
  <c r="U48" i="1" s="1"/>
  <c r="S41" i="1"/>
  <c r="V41" i="1" s="1"/>
  <c r="T44" i="1"/>
  <c r="W44" i="1" s="1"/>
  <c r="S49" i="1"/>
  <c r="V49" i="1" s="1"/>
  <c r="S47" i="1"/>
  <c r="V47" i="1" s="1"/>
  <c r="E15" i="1"/>
  <c r="AA35" i="1"/>
  <c r="E4" i="1"/>
  <c r="Q11" i="1" s="1"/>
  <c r="R51" i="1"/>
  <c r="U51" i="1" s="1"/>
  <c r="R50" i="1"/>
  <c r="U50" i="1" s="1"/>
  <c r="S48" i="1"/>
  <c r="V48" i="1" s="1"/>
  <c r="S44" i="1"/>
  <c r="V44" i="1" s="1"/>
  <c r="S42" i="1"/>
  <c r="V42" i="1" s="1"/>
  <c r="R42" i="1"/>
  <c r="U42" i="1" s="1"/>
  <c r="Q4" i="2" l="1"/>
  <c r="AG41" i="1"/>
  <c r="AG47" i="1" s="1"/>
  <c r="X43" i="1"/>
  <c r="G52" i="1" s="1"/>
  <c r="G60" i="1" s="1"/>
  <c r="Z41" i="1"/>
  <c r="I50" i="1" s="1"/>
  <c r="I58" i="1" s="1"/>
  <c r="Y49" i="1"/>
  <c r="D52" i="1" s="1"/>
  <c r="D60" i="1" s="1"/>
  <c r="Z44" i="1"/>
  <c r="I53" i="1" s="1"/>
  <c r="I61" i="1" s="1"/>
  <c r="Z42" i="1"/>
  <c r="I51" i="1" s="1"/>
  <c r="I59" i="1" s="1"/>
  <c r="Z49" i="1"/>
  <c r="E52" i="1" s="1"/>
  <c r="E60" i="1" s="1"/>
  <c r="Z48" i="1"/>
  <c r="E51" i="1" s="1"/>
  <c r="E59" i="1" s="1"/>
  <c r="Y44" i="1"/>
  <c r="H53" i="1" s="1"/>
  <c r="H61" i="1" s="1"/>
  <c r="X47" i="1"/>
  <c r="C50" i="1" s="1"/>
  <c r="C58" i="1" s="1"/>
  <c r="Z45" i="1"/>
  <c r="I54" i="1" s="1"/>
  <c r="I62" i="1" s="1"/>
  <c r="X51" i="1"/>
  <c r="C54" i="1" s="1"/>
  <c r="Z47" i="1"/>
  <c r="E50" i="1" s="1"/>
  <c r="E58" i="1" s="1"/>
  <c r="X41" i="1"/>
  <c r="G50" i="1" s="1"/>
  <c r="G58" i="1" s="1"/>
  <c r="Z51" i="1"/>
  <c r="E54" i="1" s="1"/>
  <c r="E62" i="1" s="1"/>
  <c r="Z43" i="1"/>
  <c r="I52" i="1" s="1"/>
  <c r="I60" i="1" s="1"/>
  <c r="X42" i="1"/>
  <c r="G51" i="1" s="1"/>
  <c r="X49" i="1"/>
  <c r="C52" i="1" s="1"/>
  <c r="C60" i="1" s="1"/>
  <c r="Y48" i="1"/>
  <c r="D51" i="1" s="1"/>
  <c r="D59" i="1" s="1"/>
  <c r="X50" i="1"/>
  <c r="C53" i="1" s="1"/>
  <c r="C61" i="1" s="1"/>
  <c r="Y47" i="1"/>
  <c r="D50" i="1" s="1"/>
  <c r="D58" i="1" s="1"/>
  <c r="Y45" i="1"/>
  <c r="H54" i="1" s="1"/>
  <c r="H62" i="1" s="1"/>
  <c r="X45" i="2"/>
  <c r="G54" i="2" s="1"/>
  <c r="G62" i="2" s="1"/>
  <c r="Z47" i="2"/>
  <c r="E50" i="2" s="1"/>
  <c r="E58" i="2" s="1"/>
  <c r="Y44" i="2"/>
  <c r="H53" i="2" s="1"/>
  <c r="H61" i="2" s="1"/>
  <c r="Z44" i="2"/>
  <c r="I53" i="2" s="1"/>
  <c r="I61" i="2" s="1"/>
  <c r="Z45" i="2"/>
  <c r="I54" i="2" s="1"/>
  <c r="I62" i="2" s="1"/>
  <c r="Y51" i="2"/>
  <c r="D54" i="2" s="1"/>
  <c r="D62" i="2" s="1"/>
  <c r="X47" i="2"/>
  <c r="C50" i="2" s="1"/>
  <c r="C58" i="2" s="1"/>
  <c r="Z49" i="2"/>
  <c r="E52" i="2" s="1"/>
  <c r="E60" i="2" s="1"/>
  <c r="Z42" i="2"/>
  <c r="I51" i="2" s="1"/>
  <c r="I59" i="2" s="1"/>
  <c r="Y42" i="2"/>
  <c r="H51" i="2" s="1"/>
  <c r="H59" i="2" s="1"/>
  <c r="Z48" i="2"/>
  <c r="E51" i="2" s="1"/>
  <c r="E59" i="2" s="1"/>
  <c r="X42" i="2"/>
  <c r="G51" i="2" s="1"/>
  <c r="G59" i="2" s="1"/>
  <c r="X50" i="2"/>
  <c r="C53" i="2" s="1"/>
  <c r="C61" i="2" s="1"/>
  <c r="X41" i="2"/>
  <c r="G50" i="2" s="1"/>
  <c r="G58" i="2" s="1"/>
  <c r="Y41" i="2"/>
  <c r="H50" i="2" s="1"/>
  <c r="H58" i="2" s="1"/>
  <c r="Z41" i="2"/>
  <c r="I50" i="2" s="1"/>
  <c r="I58" i="2" s="1"/>
  <c r="X49" i="2"/>
  <c r="C52" i="2" s="1"/>
  <c r="C60" i="2" s="1"/>
  <c r="AH34" i="2"/>
  <c r="AG38" i="2" s="1"/>
  <c r="AI38" i="2" s="1"/>
  <c r="Q15" i="2"/>
  <c r="Q22" i="2"/>
  <c r="Q8" i="2"/>
  <c r="Q18" i="2"/>
  <c r="Y49" i="2"/>
  <c r="D52" i="2" s="1"/>
  <c r="D60" i="2" s="1"/>
  <c r="X51" i="2"/>
  <c r="C54" i="2" s="1"/>
  <c r="Y45" i="2"/>
  <c r="H54" i="2" s="1"/>
  <c r="H62" i="2" s="1"/>
  <c r="AG26" i="2"/>
  <c r="E10" i="2"/>
  <c r="AH26" i="2"/>
  <c r="AI26" i="2"/>
  <c r="E9" i="2"/>
  <c r="Y47" i="2"/>
  <c r="D50" i="2" s="1"/>
  <c r="D58" i="2" s="1"/>
  <c r="X48" i="2"/>
  <c r="C51" i="2" s="1"/>
  <c r="Y50" i="2"/>
  <c r="D53" i="2" s="1"/>
  <c r="D61" i="2" s="1"/>
  <c r="AA34" i="2"/>
  <c r="X44" i="2"/>
  <c r="G53" i="2" s="1"/>
  <c r="Y48" i="2"/>
  <c r="D51" i="2" s="1"/>
  <c r="D59" i="2" s="1"/>
  <c r="Z50" i="2"/>
  <c r="E53" i="2" s="1"/>
  <c r="E61" i="2" s="1"/>
  <c r="J52" i="2"/>
  <c r="Z51" i="2"/>
  <c r="E54" i="2" s="1"/>
  <c r="E62" i="2" s="1"/>
  <c r="G59" i="1"/>
  <c r="C62" i="1"/>
  <c r="Q18" i="1"/>
  <c r="Q4" i="1"/>
  <c r="AI26" i="1"/>
  <c r="E9" i="1"/>
  <c r="AA34" i="1"/>
  <c r="Y41" i="1"/>
  <c r="H50" i="1" s="1"/>
  <c r="Y43" i="1"/>
  <c r="H52" i="1" s="1"/>
  <c r="Y50" i="1"/>
  <c r="D53" i="1" s="1"/>
  <c r="D61" i="1" s="1"/>
  <c r="X45" i="1"/>
  <c r="G54" i="1" s="1"/>
  <c r="Z50" i="1"/>
  <c r="E53" i="1" s="1"/>
  <c r="E61" i="1" s="1"/>
  <c r="Y42" i="1"/>
  <c r="H51" i="1" s="1"/>
  <c r="H59" i="1" s="1"/>
  <c r="AB31" i="1"/>
  <c r="AF41" i="1" s="1"/>
  <c r="AF47" i="1" s="1"/>
  <c r="Q22" i="1"/>
  <c r="Q15" i="1"/>
  <c r="Q8" i="1"/>
  <c r="X48" i="1"/>
  <c r="C51" i="1" s="1"/>
  <c r="X44" i="1"/>
  <c r="G53" i="1" s="1"/>
  <c r="B50" i="1" l="1"/>
  <c r="B54" i="1"/>
  <c r="B52" i="1"/>
  <c r="B52" i="2"/>
  <c r="J51" i="2"/>
  <c r="J50" i="2"/>
  <c r="B54" i="2"/>
  <c r="C62" i="2"/>
  <c r="B50" i="2"/>
  <c r="B53" i="2"/>
  <c r="J54" i="2"/>
  <c r="G61" i="2"/>
  <c r="J53" i="2"/>
  <c r="AB35" i="2"/>
  <c r="E8" i="2"/>
  <c r="B51" i="2"/>
  <c r="C59" i="2"/>
  <c r="B51" i="1"/>
  <c r="C59" i="1"/>
  <c r="AG26" i="1"/>
  <c r="AH26" i="1"/>
  <c r="E10" i="1"/>
  <c r="AH35" i="1"/>
  <c r="AH38" i="1" s="1"/>
  <c r="AH34" i="1"/>
  <c r="AG38" i="1" s="1"/>
  <c r="AI38" i="1" s="1"/>
  <c r="H58" i="1"/>
  <c r="J50" i="1"/>
  <c r="J51" i="1"/>
  <c r="G61" i="1"/>
  <c r="J53" i="1"/>
  <c r="G62" i="1"/>
  <c r="J54" i="1"/>
  <c r="H60" i="1"/>
  <c r="J52" i="1"/>
  <c r="AB35" i="1"/>
  <c r="E8" i="1"/>
  <c r="B53" i="1"/>
  <c r="O15" i="2" l="1"/>
  <c r="O22" i="2"/>
  <c r="O8" i="2"/>
  <c r="AA33" i="2"/>
  <c r="E14" i="2"/>
  <c r="AA33" i="1"/>
  <c r="E14" i="1"/>
  <c r="O22" i="1"/>
  <c r="O15" i="1"/>
  <c r="O8" i="1"/>
  <c r="P21" i="2" l="1"/>
  <c r="P14" i="2"/>
  <c r="P7" i="2"/>
  <c r="P22" i="2"/>
  <c r="P15" i="2"/>
  <c r="P8" i="2"/>
  <c r="AB34" i="2"/>
  <c r="E7" i="2"/>
  <c r="P21" i="1"/>
  <c r="P14" i="1"/>
  <c r="P7" i="1"/>
  <c r="P15" i="1"/>
  <c r="P22" i="1"/>
  <c r="P8" i="1"/>
  <c r="AB34" i="1"/>
  <c r="E7" i="1"/>
  <c r="N21" i="2" l="1"/>
  <c r="N14" i="2"/>
  <c r="N7" i="2"/>
  <c r="AA32" i="2"/>
  <c r="E13" i="2"/>
  <c r="N21" i="1"/>
  <c r="N14" i="1"/>
  <c r="N7" i="1"/>
  <c r="AA32" i="1"/>
  <c r="E13" i="1"/>
  <c r="O13" i="2" l="1"/>
  <c r="O20" i="2"/>
  <c r="O6" i="2"/>
  <c r="O21" i="2"/>
  <c r="O14" i="2"/>
  <c r="O7" i="2"/>
  <c r="AB33" i="2"/>
  <c r="E6" i="2"/>
  <c r="O20" i="1"/>
  <c r="O13" i="1"/>
  <c r="O6" i="1"/>
  <c r="O7" i="1"/>
  <c r="O21" i="1"/>
  <c r="O14" i="1"/>
  <c r="AB33" i="1"/>
  <c r="E6" i="1"/>
  <c r="M13" i="2" l="1"/>
  <c r="M20" i="2"/>
  <c r="M6" i="2"/>
  <c r="AA31" i="2"/>
  <c r="E12" i="2"/>
  <c r="M20" i="1"/>
  <c r="M13" i="1"/>
  <c r="M6" i="1"/>
  <c r="AA31" i="1"/>
  <c r="E12" i="1"/>
  <c r="N5" i="2" l="1"/>
  <c r="N12" i="2"/>
  <c r="N19" i="2"/>
  <c r="N6" i="2"/>
  <c r="N13" i="2"/>
  <c r="N20" i="2"/>
  <c r="AB32" i="2"/>
  <c r="E11" i="2" s="1"/>
  <c r="E5" i="2"/>
  <c r="N12" i="1"/>
  <c r="N5" i="1"/>
  <c r="N19" i="1"/>
  <c r="N6" i="1"/>
  <c r="N20" i="1"/>
  <c r="N13" i="1"/>
  <c r="AB32" i="1"/>
  <c r="E11" i="1" s="1"/>
  <c r="E5" i="1"/>
  <c r="L19" i="2" l="1"/>
  <c r="L12" i="2"/>
  <c r="L5" i="2"/>
  <c r="L18" i="2"/>
  <c r="L4" i="2"/>
  <c r="L11" i="2"/>
  <c r="M18" i="2"/>
  <c r="M11" i="2"/>
  <c r="M4" i="2"/>
  <c r="M5" i="2"/>
  <c r="M12" i="2"/>
  <c r="M19" i="2"/>
  <c r="L19" i="1"/>
  <c r="L12" i="1"/>
  <c r="L5" i="1"/>
  <c r="L18" i="1"/>
  <c r="L4" i="1"/>
  <c r="L11" i="1"/>
  <c r="M18" i="1"/>
  <c r="M11" i="1"/>
  <c r="M4" i="1"/>
  <c r="M5" i="1"/>
  <c r="M12" i="1"/>
  <c r="M19" i="1"/>
  <c r="T11" i="2" l="1" a="1"/>
  <c r="T18" i="2" a="1"/>
  <c r="T4" i="2" a="1"/>
  <c r="T11" i="1" a="1"/>
  <c r="T18" i="1" a="1"/>
  <c r="T4" i="1" a="1"/>
  <c r="W22" i="2" l="1"/>
  <c r="U22" i="2"/>
  <c r="X21" i="2"/>
  <c r="V21" i="2"/>
  <c r="T21" i="2"/>
  <c r="W20" i="2"/>
  <c r="U20" i="2"/>
  <c r="X19" i="2"/>
  <c r="V19" i="2"/>
  <c r="T19" i="2"/>
  <c r="W18" i="2"/>
  <c r="U18" i="2"/>
  <c r="X22" i="2"/>
  <c r="T22" i="2"/>
  <c r="U21" i="2"/>
  <c r="V20" i="2"/>
  <c r="W19" i="2"/>
  <c r="X18" i="2"/>
  <c r="T18" i="2"/>
  <c r="V22" i="2"/>
  <c r="W21" i="2"/>
  <c r="X20" i="2"/>
  <c r="T20" i="2"/>
  <c r="U19" i="2"/>
  <c r="V18" i="2"/>
  <c r="W8" i="2"/>
  <c r="U8" i="2"/>
  <c r="X7" i="2"/>
  <c r="V7" i="2"/>
  <c r="T7" i="2"/>
  <c r="W6" i="2"/>
  <c r="U6" i="2"/>
  <c r="X5" i="2"/>
  <c r="V5" i="2"/>
  <c r="T5" i="2"/>
  <c r="W4" i="2"/>
  <c r="U4" i="2"/>
  <c r="V8" i="2"/>
  <c r="T8" i="2"/>
  <c r="W7" i="2"/>
  <c r="X6" i="2"/>
  <c r="V6" i="2"/>
  <c r="W5" i="2"/>
  <c r="U5" i="2"/>
  <c r="X4" i="2"/>
  <c r="T4" i="2"/>
  <c r="X8" i="2"/>
  <c r="U7" i="2"/>
  <c r="T6" i="2"/>
  <c r="V4" i="2"/>
  <c r="W15" i="2"/>
  <c r="U15" i="2"/>
  <c r="X14" i="2"/>
  <c r="V14" i="2"/>
  <c r="T14" i="2"/>
  <c r="W13" i="2"/>
  <c r="U13" i="2"/>
  <c r="X12" i="2"/>
  <c r="V12" i="2"/>
  <c r="T12" i="2"/>
  <c r="W11" i="2"/>
  <c r="U11" i="2"/>
  <c r="X15" i="2"/>
  <c r="V15" i="2"/>
  <c r="T15" i="2"/>
  <c r="W14" i="2"/>
  <c r="U14" i="2"/>
  <c r="X13" i="2"/>
  <c r="V13" i="2"/>
  <c r="T13" i="2"/>
  <c r="W12" i="2"/>
  <c r="U12" i="2"/>
  <c r="X11" i="2"/>
  <c r="V11" i="2"/>
  <c r="T11" i="2"/>
  <c r="X22" i="1"/>
  <c r="V22" i="1"/>
  <c r="T22" i="1"/>
  <c r="W21" i="1"/>
  <c r="U21" i="1"/>
  <c r="X20" i="1"/>
  <c r="V20" i="1"/>
  <c r="T20" i="1"/>
  <c r="W19" i="1"/>
  <c r="U19" i="1"/>
  <c r="X18" i="1"/>
  <c r="V18" i="1"/>
  <c r="T18" i="1"/>
  <c r="U22" i="1"/>
  <c r="V21" i="1"/>
  <c r="W20" i="1"/>
  <c r="X19" i="1"/>
  <c r="T19" i="1"/>
  <c r="U18" i="1"/>
  <c r="W22" i="1"/>
  <c r="X21" i="1"/>
  <c r="T21" i="1"/>
  <c r="U20" i="1"/>
  <c r="V19" i="1"/>
  <c r="W18" i="1"/>
  <c r="X8" i="1"/>
  <c r="V8" i="1"/>
  <c r="T8" i="1"/>
  <c r="W7" i="1"/>
  <c r="U7" i="1"/>
  <c r="X6" i="1"/>
  <c r="V6" i="1"/>
  <c r="T6" i="1"/>
  <c r="W5" i="1"/>
  <c r="U5" i="1"/>
  <c r="X4" i="1"/>
  <c r="V4" i="1"/>
  <c r="T4" i="1"/>
  <c r="W8" i="1"/>
  <c r="U8" i="1"/>
  <c r="X7" i="1"/>
  <c r="V7" i="1"/>
  <c r="T7" i="1"/>
  <c r="W6" i="1"/>
  <c r="U6" i="1"/>
  <c r="X5" i="1"/>
  <c r="V5" i="1"/>
  <c r="T5" i="1"/>
  <c r="W4" i="1"/>
  <c r="U4" i="1"/>
  <c r="W15" i="1"/>
  <c r="U15" i="1"/>
  <c r="X14" i="1"/>
  <c r="V14" i="1"/>
  <c r="T14" i="1"/>
  <c r="W13" i="1"/>
  <c r="U13" i="1"/>
  <c r="X12" i="1"/>
  <c r="V12" i="1"/>
  <c r="T12" i="1"/>
  <c r="W11" i="1"/>
  <c r="U11" i="1"/>
  <c r="X15" i="1"/>
  <c r="V15" i="1"/>
  <c r="T15" i="1"/>
  <c r="W14" i="1"/>
  <c r="U14" i="1"/>
  <c r="X13" i="1"/>
  <c r="V13" i="1"/>
  <c r="T13" i="1"/>
  <c r="W12" i="1"/>
  <c r="U12" i="1"/>
  <c r="X11" i="1"/>
  <c r="V11" i="1"/>
  <c r="T11" i="1"/>
  <c r="Z4" i="2" l="1" a="1"/>
  <c r="Z11" i="2" a="1"/>
  <c r="Z18" i="2" a="1"/>
  <c r="Z4" i="1" a="1"/>
  <c r="Z11" i="1" a="1"/>
  <c r="Z18" i="1" a="1"/>
  <c r="Z14" i="2" l="1"/>
  <c r="M31" i="2" s="1"/>
  <c r="Z12" i="2"/>
  <c r="M29" i="2" s="1"/>
  <c r="Z15" i="2"/>
  <c r="M32" i="2" s="1"/>
  <c r="Z13" i="2"/>
  <c r="M30" i="2" s="1"/>
  <c r="Z11" i="2"/>
  <c r="M28" i="2" s="1"/>
  <c r="Z21" i="2"/>
  <c r="N31" i="2" s="1"/>
  <c r="Z19" i="2"/>
  <c r="N29" i="2" s="1"/>
  <c r="Z20" i="2"/>
  <c r="N30" i="2" s="1"/>
  <c r="Z22" i="2"/>
  <c r="N32" i="2" s="1"/>
  <c r="Z18" i="2"/>
  <c r="N28" i="2" s="1"/>
  <c r="Z7" i="2"/>
  <c r="L31" i="2" s="1"/>
  <c r="Z5" i="2"/>
  <c r="L29" i="2" s="1"/>
  <c r="Z6" i="2"/>
  <c r="L30" i="2" s="1"/>
  <c r="Z8" i="2"/>
  <c r="L32" i="2" s="1"/>
  <c r="Z4" i="2"/>
  <c r="L28" i="2" s="1"/>
  <c r="Z14" i="1"/>
  <c r="M31" i="1" s="1"/>
  <c r="Z12" i="1"/>
  <c r="M29" i="1" s="1"/>
  <c r="Z15" i="1"/>
  <c r="M32" i="1" s="1"/>
  <c r="Z13" i="1"/>
  <c r="M30" i="1" s="1"/>
  <c r="Z11" i="1"/>
  <c r="M28" i="1" s="1"/>
  <c r="Z21" i="1"/>
  <c r="N31" i="1" s="1"/>
  <c r="Z19" i="1"/>
  <c r="N29" i="1" s="1"/>
  <c r="Z22" i="1"/>
  <c r="N32" i="1" s="1"/>
  <c r="Z20" i="1"/>
  <c r="N30" i="1" s="1"/>
  <c r="Z18" i="1"/>
  <c r="N28" i="1" s="1"/>
  <c r="Z8" i="1"/>
  <c r="L32" i="1" s="1"/>
  <c r="Z6" i="1"/>
  <c r="L30" i="1" s="1"/>
  <c r="Z4" i="1"/>
  <c r="L28" i="1" s="1"/>
  <c r="Z7" i="1"/>
  <c r="L31" i="1" s="1"/>
  <c r="Z5" i="1"/>
  <c r="L29" i="1" s="1"/>
  <c r="O31" i="1" l="1"/>
  <c r="O29" i="1"/>
  <c r="O28" i="1"/>
  <c r="O32" i="1"/>
  <c r="O30" i="1"/>
  <c r="O28" i="2"/>
  <c r="O30" i="2"/>
  <c r="O31" i="2"/>
  <c r="O32" i="2"/>
  <c r="O29" i="2"/>
</calcChain>
</file>

<file path=xl/sharedStrings.xml><?xml version="1.0" encoding="utf-8"?>
<sst xmlns="http://schemas.openxmlformats.org/spreadsheetml/2006/main" count="334" uniqueCount="129">
  <si>
    <t>xi</t>
  </si>
  <si>
    <t>n [kmol/h]</t>
  </si>
  <si>
    <t>'=xe/xr</t>
  </si>
  <si>
    <t>Vstupne prudy</t>
  </si>
  <si>
    <t>A</t>
  </si>
  <si>
    <t>B</t>
  </si>
  <si>
    <t>C</t>
  </si>
  <si>
    <t>A+B+C</t>
  </si>
  <si>
    <t>kA</t>
  </si>
  <si>
    <t>kB</t>
  </si>
  <si>
    <t>kC</t>
  </si>
  <si>
    <t>psA</t>
  </si>
  <si>
    <t>inverz</t>
  </si>
  <si>
    <t>xA</t>
  </si>
  <si>
    <t>n</t>
  </si>
  <si>
    <t>xB</t>
  </si>
  <si>
    <t>xC</t>
  </si>
  <si>
    <t>F</t>
  </si>
  <si>
    <t>-</t>
  </si>
  <si>
    <t>A(zlozka A)</t>
  </si>
  <si>
    <t>Surovina</t>
  </si>
  <si>
    <t>R1</t>
  </si>
  <si>
    <t>W z Raffinatu</t>
  </si>
  <si>
    <t>R2</t>
  </si>
  <si>
    <t>S</t>
  </si>
  <si>
    <t>Cista IL</t>
  </si>
  <si>
    <t>R3</t>
  </si>
  <si>
    <t>W z Extraktu</t>
  </si>
  <si>
    <t>R4</t>
  </si>
  <si>
    <t>R5</t>
  </si>
  <si>
    <t xml:space="preserve">vysledne </t>
  </si>
  <si>
    <t>E1</t>
  </si>
  <si>
    <t>psB</t>
  </si>
  <si>
    <t>E2</t>
  </si>
  <si>
    <t>A(zlozka B)</t>
  </si>
  <si>
    <t>E3</t>
  </si>
  <si>
    <t>E4</t>
  </si>
  <si>
    <t>E5</t>
  </si>
  <si>
    <t>psC</t>
  </si>
  <si>
    <t>MTBE</t>
  </si>
  <si>
    <t>A(zlozka C)</t>
  </si>
  <si>
    <t>Methanol</t>
  </si>
  <si>
    <t>[BMIM][HSO4]</t>
  </si>
  <si>
    <t>n[kmol/h]</t>
  </si>
  <si>
    <t>ns</t>
  </si>
  <si>
    <t>ns/nf</t>
  </si>
  <si>
    <t>Ya(straty</t>
  </si>
  <si>
    <t>Yb</t>
  </si>
  <si>
    <t>Yc(straty)</t>
  </si>
  <si>
    <t>Raf</t>
  </si>
  <si>
    <t>∑xRi</t>
  </si>
  <si>
    <t>nR [kmol/h][mol.h-1]</t>
  </si>
  <si>
    <t>nE [kmol/h]</t>
  </si>
  <si>
    <t>Kontakt</t>
  </si>
  <si>
    <t>xRA</t>
  </si>
  <si>
    <t>xRB</t>
  </si>
  <si>
    <t>xRC</t>
  </si>
  <si>
    <t>xEA</t>
  </si>
  <si>
    <t>xEB</t>
  </si>
  <si>
    <t>xEC</t>
  </si>
  <si>
    <t>∑xEi</t>
  </si>
  <si>
    <t>Ziadane</t>
  </si>
  <si>
    <t>xEB1</t>
  </si>
  <si>
    <t>xRB5</t>
  </si>
  <si>
    <t xml:space="preserve">Vypocitane </t>
  </si>
  <si>
    <r>
      <t>τ</t>
    </r>
    <r>
      <rPr>
        <b/>
        <vertAlign val="subscript"/>
        <sz val="11"/>
        <color rgb="FF000000"/>
        <rFont val="Calibri"/>
        <family val="2"/>
      </rPr>
      <t>12</t>
    </r>
  </si>
  <si>
    <r>
      <t>τ</t>
    </r>
    <r>
      <rPr>
        <b/>
        <vertAlign val="subscript"/>
        <sz val="11"/>
        <color rgb="FF000000"/>
        <rFont val="Calibri"/>
        <family val="2"/>
      </rPr>
      <t>21</t>
    </r>
  </si>
  <si>
    <r>
      <t>τ</t>
    </r>
    <r>
      <rPr>
        <b/>
        <vertAlign val="subscript"/>
        <sz val="11"/>
        <color rgb="FF000000"/>
        <rFont val="Calibri"/>
        <family val="2"/>
      </rPr>
      <t>13</t>
    </r>
  </si>
  <si>
    <r>
      <t>τ</t>
    </r>
    <r>
      <rPr>
        <b/>
        <vertAlign val="subscript"/>
        <sz val="11"/>
        <color rgb="FF000000"/>
        <rFont val="Calibri"/>
        <family val="2"/>
      </rPr>
      <t>31</t>
    </r>
  </si>
  <si>
    <r>
      <t>τ</t>
    </r>
    <r>
      <rPr>
        <b/>
        <vertAlign val="subscript"/>
        <sz val="11"/>
        <color rgb="FF000000"/>
        <rFont val="Calibri"/>
        <family val="2"/>
      </rPr>
      <t>23</t>
    </r>
  </si>
  <si>
    <r>
      <t>τ</t>
    </r>
    <r>
      <rPr>
        <b/>
        <vertAlign val="subscript"/>
        <sz val="11"/>
        <color rgb="FF000000"/>
        <rFont val="Calibri"/>
        <family val="2"/>
      </rPr>
      <t>32</t>
    </r>
  </si>
  <si>
    <r>
      <t>G</t>
    </r>
    <r>
      <rPr>
        <b/>
        <vertAlign val="subscript"/>
        <sz val="11"/>
        <color rgb="FF000000"/>
        <rFont val="Calibri"/>
        <family val="2"/>
      </rPr>
      <t>12</t>
    </r>
  </si>
  <si>
    <r>
      <t>G</t>
    </r>
    <r>
      <rPr>
        <b/>
        <vertAlign val="subscript"/>
        <sz val="11"/>
        <color rgb="FF000000"/>
        <rFont val="Calibri"/>
        <family val="2"/>
      </rPr>
      <t>21</t>
    </r>
  </si>
  <si>
    <r>
      <t>G</t>
    </r>
    <r>
      <rPr>
        <b/>
        <vertAlign val="subscript"/>
        <sz val="11"/>
        <color rgb="FF000000"/>
        <rFont val="Calibri"/>
        <family val="2"/>
      </rPr>
      <t>13</t>
    </r>
  </si>
  <si>
    <r>
      <t>G</t>
    </r>
    <r>
      <rPr>
        <b/>
        <vertAlign val="subscript"/>
        <sz val="11"/>
        <color rgb="FF000000"/>
        <rFont val="Calibri"/>
        <family val="2"/>
      </rPr>
      <t>31</t>
    </r>
  </si>
  <si>
    <r>
      <t>G</t>
    </r>
    <r>
      <rPr>
        <b/>
        <vertAlign val="subscript"/>
        <sz val="11"/>
        <color rgb="FF000000"/>
        <rFont val="Calibri"/>
        <family val="2"/>
      </rPr>
      <t>23</t>
    </r>
  </si>
  <si>
    <r>
      <t>G</t>
    </r>
    <r>
      <rPr>
        <b/>
        <vertAlign val="subscript"/>
        <sz val="11"/>
        <color rgb="FF000000"/>
        <rFont val="Calibri"/>
        <family val="2"/>
      </rPr>
      <t>32</t>
    </r>
  </si>
  <si>
    <t>xEBreg-xEB</t>
  </si>
  <si>
    <t>xRBreg-xRB</t>
  </si>
  <si>
    <t>sum</t>
  </si>
  <si>
    <t>x1.1</t>
  </si>
  <si>
    <t>x2.1</t>
  </si>
  <si>
    <t>x3.1</t>
  </si>
  <si>
    <t>x1.2</t>
  </si>
  <si>
    <t>x2.2</t>
  </si>
  <si>
    <t>x3.2</t>
  </si>
  <si>
    <t>φ1.1</t>
  </si>
  <si>
    <t>φ2.1</t>
  </si>
  <si>
    <t>φ3.1</t>
  </si>
  <si>
    <t>θ1.1</t>
  </si>
  <si>
    <t>θ2.1</t>
  </si>
  <si>
    <t>θ3.1</t>
  </si>
  <si>
    <t>lnγ1.1</t>
  </si>
  <si>
    <t>lnγ2.1</t>
  </si>
  <si>
    <t>lnγ3.1</t>
  </si>
  <si>
    <t>γ1.1</t>
  </si>
  <si>
    <t>γ2.1</t>
  </si>
  <si>
    <t>γ3.1</t>
  </si>
  <si>
    <t>γ1.1/γ1.2</t>
  </si>
  <si>
    <t>γ2.1/γ2.2</t>
  </si>
  <si>
    <t>γ3.1/γ3.2</t>
  </si>
  <si>
    <t>φ1.2</t>
  </si>
  <si>
    <t>φ2.2</t>
  </si>
  <si>
    <t>φ3.2</t>
  </si>
  <si>
    <t>θ1.2</t>
  </si>
  <si>
    <t>θ2.2</t>
  </si>
  <si>
    <t>θ3.2</t>
  </si>
  <si>
    <t>lnγ1.2</t>
  </si>
  <si>
    <t>lnγ2.2</t>
  </si>
  <si>
    <t>lnγ3.2</t>
  </si>
  <si>
    <t>γ1.2</t>
  </si>
  <si>
    <t>γ2.2</t>
  </si>
  <si>
    <t>γ3.2</t>
  </si>
  <si>
    <t>γ1.2/γ1.1</t>
  </si>
  <si>
    <t>γ2.2/γ2.1</t>
  </si>
  <si>
    <t>γ3.2/γ3.1</t>
  </si>
  <si>
    <t>Nove</t>
  </si>
  <si>
    <t>Σxi</t>
  </si>
  <si>
    <t>x3.3</t>
  </si>
  <si>
    <t>Step</t>
  </si>
  <si>
    <t>x1</t>
  </si>
  <si>
    <t>x2</t>
  </si>
  <si>
    <t>x3</t>
  </si>
  <si>
    <t>MeOH z Extr</t>
  </si>
  <si>
    <t>potrebne vystupy pre odparku</t>
  </si>
  <si>
    <t>potrebne vystupy pre ventil</t>
  </si>
  <si>
    <t>Raf-exit</t>
  </si>
  <si>
    <t>Ext-exit</t>
  </si>
  <si>
    <t>Ventil-exit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</si>
</sst>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0.0000"/>
    <numFmt numFmtId="165" formatCode="_(* #,##0.0000_);_(* \(#,##0.0000\);_(* &quot;-&quot;??_);_(@_)"/>
    <numFmt numFmtId="166" formatCode="_(* #,##0.0000_);_(* \(#,##0.0000\);_(* &quot;-&quot;????_);_(@_)"/>
    <numFmt numFmtId="167" formatCode="0.000000"/>
    <numFmt numFmtId="168" formatCode="0.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</font>
    <font>
      <sz val="16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vertAlign val="subscript"/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4" fillId="0" borderId="0"/>
  </cellStyleXfs>
  <cellXfs count="120">
    <xf numFmtId="0" fontId="0" fillId="0" borderId="0" xfId="0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/>
    <xf numFmtId="0" fontId="0" fillId="0" borderId="0" xfId="0" applyAlignment="1">
      <alignment horizontal="center"/>
    </xf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1" xfId="0" applyFont="1" applyBorder="1"/>
    <xf numFmtId="0" fontId="3" fillId="0" borderId="2" xfId="0" applyFont="1" applyBorder="1"/>
    <xf numFmtId="0" fontId="3" fillId="0" borderId="8" xfId="0" applyFont="1" applyBorder="1"/>
    <xf numFmtId="0" fontId="0" fillId="0" borderId="4" xfId="0" applyBorder="1"/>
    <xf numFmtId="0" fontId="0" fillId="0" borderId="7" xfId="0" applyBorder="1"/>
    <xf numFmtId="0" fontId="0" fillId="0" borderId="9" xfId="0" applyBorder="1"/>
    <xf numFmtId="0" fontId="0" fillId="0" borderId="0" xfId="0" applyBorder="1"/>
    <xf numFmtId="0" fontId="0" fillId="0" borderId="10" xfId="0" applyBorder="1"/>
    <xf numFmtId="0" fontId="0" fillId="0" borderId="5" xfId="0" applyBorder="1"/>
    <xf numFmtId="0" fontId="0" fillId="0" borderId="6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5" fillId="0" borderId="0" xfId="0" applyFont="1"/>
    <xf numFmtId="164" fontId="5" fillId="0" borderId="0" xfId="0" applyNumberFormat="1" applyFont="1"/>
    <xf numFmtId="0" fontId="3" fillId="0" borderId="9" xfId="0" applyFont="1" applyBorder="1"/>
    <xf numFmtId="165" fontId="0" fillId="0" borderId="9" xfId="0" applyNumberFormat="1" applyBorder="1"/>
    <xf numFmtId="165" fontId="0" fillId="0" borderId="0" xfId="0" applyNumberFormat="1" applyBorder="1"/>
    <xf numFmtId="165" fontId="0" fillId="0" borderId="10" xfId="0" applyNumberFormat="1" applyBorder="1"/>
    <xf numFmtId="0" fontId="0" fillId="0" borderId="14" xfId="0" applyBorder="1"/>
    <xf numFmtId="2" fontId="0" fillId="0" borderId="9" xfId="0" applyNumberFormat="1" applyBorder="1"/>
    <xf numFmtId="2" fontId="0" fillId="0" borderId="0" xfId="0" applyNumberFormat="1" applyBorder="1"/>
    <xf numFmtId="43" fontId="0" fillId="0" borderId="0" xfId="0" applyNumberFormat="1"/>
    <xf numFmtId="2" fontId="0" fillId="0" borderId="12" xfId="0" applyNumberFormat="1" applyBorder="1"/>
    <xf numFmtId="0" fontId="0" fillId="0" borderId="15" xfId="0" applyBorder="1"/>
    <xf numFmtId="0" fontId="3" fillId="0" borderId="11" xfId="0" applyFont="1" applyBorder="1"/>
    <xf numFmtId="165" fontId="0" fillId="0" borderId="11" xfId="0" applyNumberFormat="1" applyBorder="1"/>
    <xf numFmtId="165" fontId="0" fillId="0" borderId="12" xfId="0" applyNumberFormat="1" applyBorder="1"/>
    <xf numFmtId="165" fontId="0" fillId="0" borderId="13" xfId="0" applyNumberFormat="1" applyBorder="1"/>
    <xf numFmtId="165" fontId="0" fillId="0" borderId="4" xfId="0" applyNumberFormat="1" applyBorder="1"/>
    <xf numFmtId="165" fontId="0" fillId="0" borderId="5" xfId="0" applyNumberFormat="1" applyBorder="1"/>
    <xf numFmtId="165" fontId="0" fillId="0" borderId="6" xfId="0" applyNumberFormat="1" applyBorder="1"/>
    <xf numFmtId="166" fontId="0" fillId="0" borderId="15" xfId="0" applyNumberFormat="1" applyBorder="1"/>
    <xf numFmtId="0" fontId="3" fillId="0" borderId="0" xfId="0" applyFont="1" applyFill="1" applyBorder="1"/>
    <xf numFmtId="0" fontId="3" fillId="0" borderId="1" xfId="0" applyFont="1" applyBorder="1" applyAlignment="1"/>
    <xf numFmtId="0" fontId="3" fillId="0" borderId="2" xfId="0" applyFont="1" applyBorder="1" applyAlignment="1"/>
    <xf numFmtId="0" fontId="3" fillId="0" borderId="3" xfId="0" applyFont="1" applyBorder="1" applyAlignment="1"/>
    <xf numFmtId="0" fontId="3" fillId="0" borderId="14" xfId="0" applyFont="1" applyBorder="1"/>
    <xf numFmtId="164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6" fillId="0" borderId="8" xfId="0" applyFont="1" applyBorder="1"/>
    <xf numFmtId="0" fontId="2" fillId="0" borderId="0" xfId="0" applyFont="1" applyBorder="1"/>
    <xf numFmtId="0" fontId="3" fillId="0" borderId="15" xfId="0" applyFont="1" applyBorder="1"/>
    <xf numFmtId="0" fontId="7" fillId="0" borderId="0" xfId="0" applyFont="1"/>
    <xf numFmtId="0" fontId="6" fillId="0" borderId="6" xfId="0" applyFont="1" applyBorder="1"/>
    <xf numFmtId="0" fontId="6" fillId="0" borderId="5" xfId="0" applyFont="1" applyBorder="1"/>
    <xf numFmtId="2" fontId="3" fillId="0" borderId="4" xfId="0" applyNumberFormat="1" applyFont="1" applyBorder="1"/>
    <xf numFmtId="2" fontId="0" fillId="0" borderId="6" xfId="0" applyNumberFormat="1" applyBorder="1"/>
    <xf numFmtId="0" fontId="3" fillId="0" borderId="4" xfId="0" applyFont="1" applyBorder="1" applyAlignment="1">
      <alignment horizontal="left"/>
    </xf>
    <xf numFmtId="165" fontId="0" fillId="0" borderId="4" xfId="1" applyNumberFormat="1" applyFont="1" applyBorder="1"/>
    <xf numFmtId="165" fontId="0" fillId="0" borderId="5" xfId="1" applyNumberFormat="1" applyFont="1" applyBorder="1"/>
    <xf numFmtId="0" fontId="0" fillId="0" borderId="7" xfId="0" applyNumberFormat="1" applyBorder="1"/>
    <xf numFmtId="0" fontId="5" fillId="0" borderId="7" xfId="0" applyNumberFormat="1" applyFont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3" fillId="0" borderId="9" xfId="0" applyFont="1" applyBorder="1" applyAlignment="1">
      <alignment horizontal="left"/>
    </xf>
    <xf numFmtId="165" fontId="0" fillId="0" borderId="9" xfId="1" applyNumberFormat="1" applyFont="1" applyBorder="1"/>
    <xf numFmtId="165" fontId="0" fillId="0" borderId="0" xfId="1" applyNumberFormat="1" applyFont="1" applyBorder="1"/>
    <xf numFmtId="0" fontId="0" fillId="0" borderId="14" xfId="0" applyNumberFormat="1" applyBorder="1"/>
    <xf numFmtId="0" fontId="5" fillId="0" borderId="14" xfId="0" applyNumberFormat="1" applyFont="1" applyBorder="1"/>
    <xf numFmtId="0" fontId="0" fillId="0" borderId="19" xfId="0" applyBorder="1"/>
    <xf numFmtId="0" fontId="0" fillId="0" borderId="20" xfId="0" applyBorder="1"/>
    <xf numFmtId="165" fontId="0" fillId="0" borderId="0" xfId="0" applyNumberFormat="1"/>
    <xf numFmtId="0" fontId="8" fillId="0" borderId="1" xfId="2" applyFont="1" applyBorder="1" applyAlignment="1">
      <alignment horizontal="center"/>
    </xf>
    <xf numFmtId="0" fontId="8" fillId="0" borderId="2" xfId="2" applyFont="1" applyBorder="1" applyAlignment="1">
      <alignment horizontal="center"/>
    </xf>
    <xf numFmtId="0" fontId="8" fillId="0" borderId="3" xfId="2" applyFont="1" applyBorder="1" applyAlignment="1">
      <alignment horizontal="center"/>
    </xf>
    <xf numFmtId="0" fontId="8" fillId="0" borderId="0" xfId="2" applyFont="1" applyFill="1" applyBorder="1" applyAlignment="1">
      <alignment horizontal="center"/>
    </xf>
    <xf numFmtId="0" fontId="3" fillId="0" borderId="11" xfId="0" applyFont="1" applyBorder="1" applyAlignment="1">
      <alignment horizontal="left"/>
    </xf>
    <xf numFmtId="165" fontId="0" fillId="0" borderId="11" xfId="1" applyNumberFormat="1" applyFont="1" applyBorder="1"/>
    <xf numFmtId="165" fontId="0" fillId="0" borderId="12" xfId="1" applyNumberFormat="1" applyFont="1" applyBorder="1"/>
    <xf numFmtId="0" fontId="0" fillId="0" borderId="15" xfId="0" applyNumberFormat="1" applyBorder="1"/>
    <xf numFmtId="0" fontId="5" fillId="0" borderId="15" xfId="0" applyNumberFormat="1" applyFon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167" fontId="0" fillId="0" borderId="0" xfId="0" applyNumberFormat="1" applyBorder="1"/>
    <xf numFmtId="167" fontId="5" fillId="0" borderId="0" xfId="0" applyNumberFormat="1" applyFont="1" applyBorder="1"/>
    <xf numFmtId="2" fontId="0" fillId="0" borderId="11" xfId="0" applyNumberFormat="1" applyBorder="1"/>
    <xf numFmtId="2" fontId="3" fillId="0" borderId="13" xfId="0" applyNumberFormat="1" applyFont="1" applyBorder="1"/>
    <xf numFmtId="0" fontId="10" fillId="0" borderId="1" xfId="0" applyFont="1" applyBorder="1"/>
    <xf numFmtId="0" fontId="10" fillId="0" borderId="2" xfId="0" applyFont="1" applyBorder="1"/>
    <xf numFmtId="0" fontId="10" fillId="0" borderId="3" xfId="0" applyFont="1" applyBorder="1"/>
    <xf numFmtId="0" fontId="2" fillId="0" borderId="0" xfId="0" applyFont="1"/>
    <xf numFmtId="0" fontId="3" fillId="0" borderId="3" xfId="0" applyFont="1" applyBorder="1" applyAlignment="1">
      <alignment horizontal="center"/>
    </xf>
    <xf numFmtId="0" fontId="2" fillId="0" borderId="11" xfId="0" applyFont="1" applyBorder="1"/>
    <xf numFmtId="2" fontId="0" fillId="0" borderId="0" xfId="0" applyNumberFormat="1"/>
    <xf numFmtId="0" fontId="0" fillId="0" borderId="8" xfId="0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0" xfId="0" applyNumberFormat="1" applyBorder="1"/>
    <xf numFmtId="164" fontId="0" fillId="0" borderId="10" xfId="0" applyNumberFormat="1" applyBorder="1"/>
    <xf numFmtId="164" fontId="0" fillId="0" borderId="12" xfId="0" applyNumberFormat="1" applyBorder="1"/>
    <xf numFmtId="164" fontId="0" fillId="0" borderId="13" xfId="0" applyNumberFormat="1" applyBorder="1"/>
    <xf numFmtId="2" fontId="0" fillId="0" borderId="4" xfId="0" applyNumberFormat="1" applyBorder="1"/>
    <xf numFmtId="2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2" fontId="0" fillId="0" borderId="7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43" fontId="0" fillId="0" borderId="7" xfId="1" applyFont="1" applyBorder="1"/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/>
  </cellXfs>
  <cellStyles count="3">
    <cellStyle name="Normal 2" xfId="2"/>
    <cellStyle name="Обычный" xfId="0" builtinId="0"/>
    <cellStyle name="Финансовый" xfId="1" builtinId="3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36</xdr:row>
          <xdr:rowOff>47625</xdr:rowOff>
        </xdr:from>
        <xdr:to>
          <xdr:col>11</xdr:col>
          <xdr:colOff>19050</xdr:colOff>
          <xdr:row>38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FIX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36</xdr:row>
          <xdr:rowOff>47625</xdr:rowOff>
        </xdr:from>
        <xdr:to>
          <xdr:col>11</xdr:col>
          <xdr:colOff>19050</xdr:colOff>
          <xdr:row>38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FIX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36</xdr:row>
          <xdr:rowOff>47625</xdr:rowOff>
        </xdr:from>
        <xdr:to>
          <xdr:col>11</xdr:col>
          <xdr:colOff>19050</xdr:colOff>
          <xdr:row>38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FIX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36</xdr:row>
          <xdr:rowOff>47625</xdr:rowOff>
        </xdr:from>
        <xdr:to>
          <xdr:col>11</xdr:col>
          <xdr:colOff>19050</xdr:colOff>
          <xdr:row>38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FIX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36</xdr:row>
          <xdr:rowOff>47625</xdr:rowOff>
        </xdr:from>
        <xdr:to>
          <xdr:col>11</xdr:col>
          <xdr:colOff>19050</xdr:colOff>
          <xdr:row>38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FIX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36</xdr:row>
          <xdr:rowOff>47625</xdr:rowOff>
        </xdr:from>
        <xdr:to>
          <xdr:col>11</xdr:col>
          <xdr:colOff>19050</xdr:colOff>
          <xdr:row>38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FIX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sha/Desktop/bak24-25/Regenovana-IL/EXT.Ko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ytazky"/>
      <sheetName val="8PTK"/>
      <sheetName val="5PTK"/>
      <sheetName val="4PTK"/>
      <sheetName val="3PTK"/>
      <sheetName val="2PTK"/>
      <sheetName val="1PTK"/>
      <sheetName val="Vytazky 2 (bez RK)"/>
      <sheetName val="8.2"/>
      <sheetName val="5.2"/>
      <sheetName val="4.2"/>
      <sheetName val="3.2"/>
      <sheetName val="2.2"/>
      <sheetName val="1.2"/>
      <sheetName val="EXT.Kol"/>
    </sheetNames>
    <definedNames>
      <definedName name="ODLADENI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1"/>
  <dimension ref="A1:AL62"/>
  <sheetViews>
    <sheetView tabSelected="1" zoomScale="40" zoomScaleNormal="40" workbookViewId="0">
      <selection activeCell="AL3" sqref="AL3"/>
    </sheetView>
  </sheetViews>
  <sheetFormatPr defaultRowHeight="15" x14ac:dyDescent="0.25"/>
  <cols>
    <col min="5" max="5" width="13.5703125" bestFit="1" customWidth="1"/>
    <col min="7" max="9" width="9.28515625" bestFit="1" customWidth="1"/>
    <col min="12" max="17" width="9.28515625" bestFit="1" customWidth="1"/>
    <col min="20" max="24" width="13.85546875" bestFit="1" customWidth="1"/>
    <col min="25" max="25" width="16" bestFit="1" customWidth="1"/>
    <col min="26" max="26" width="9.28515625" bestFit="1" customWidth="1"/>
    <col min="31" max="31" width="9.140625" customWidth="1"/>
    <col min="32" max="32" width="12.28515625" customWidth="1"/>
    <col min="33" max="34" width="15.7109375" bestFit="1" customWidth="1"/>
    <col min="35" max="35" width="18.5703125" bestFit="1" customWidth="1"/>
  </cols>
  <sheetData>
    <row r="1" spans="1:38" ht="15.75" thickBot="1" x14ac:dyDescent="0.3">
      <c r="AE1" s="11" t="s">
        <v>3</v>
      </c>
      <c r="AF1" s="97"/>
    </row>
    <row r="2" spans="1:38" ht="15.75" thickBot="1" x14ac:dyDescent="0.3">
      <c r="B2" s="1" t="s">
        <v>0</v>
      </c>
      <c r="C2" s="2"/>
      <c r="D2" s="2"/>
      <c r="E2" s="3" t="s">
        <v>1</v>
      </c>
      <c r="G2" s="4" t="s">
        <v>2</v>
      </c>
      <c r="H2" s="4"/>
      <c r="I2" s="4"/>
      <c r="AF2" s="9" t="s">
        <v>14</v>
      </c>
      <c r="AG2" s="10" t="s">
        <v>13</v>
      </c>
      <c r="AH2" s="10" t="s">
        <v>15</v>
      </c>
      <c r="AI2" s="3" t="s">
        <v>16</v>
      </c>
    </row>
    <row r="3" spans="1:38" ht="15.75" thickBot="1" x14ac:dyDescent="0.3">
      <c r="B3" s="5" t="s">
        <v>4</v>
      </c>
      <c r="C3" s="6" t="s">
        <v>5</v>
      </c>
      <c r="D3" s="7" t="s">
        <v>6</v>
      </c>
      <c r="E3" s="8" t="s">
        <v>7</v>
      </c>
      <c r="G3" s="9" t="s">
        <v>8</v>
      </c>
      <c r="H3" s="10" t="s">
        <v>9</v>
      </c>
      <c r="I3" s="3" t="s">
        <v>10</v>
      </c>
      <c r="L3">
        <v>1</v>
      </c>
      <c r="M3">
        <v>2</v>
      </c>
      <c r="N3">
        <v>3</v>
      </c>
      <c r="O3">
        <v>4</v>
      </c>
      <c r="P3">
        <v>5</v>
      </c>
      <c r="Q3" s="8" t="s">
        <v>11</v>
      </c>
      <c r="S3" s="11" t="s">
        <v>12</v>
      </c>
      <c r="Z3" s="11" t="s">
        <v>13</v>
      </c>
      <c r="AD3" s="117" t="s">
        <v>17</v>
      </c>
      <c r="AE3" s="8" t="s">
        <v>123</v>
      </c>
      <c r="AF3" s="12">
        <f>AE14</f>
        <v>116.82450029521388</v>
      </c>
      <c r="AG3" s="98">
        <f>AE15</f>
        <v>0.18383745092159098</v>
      </c>
      <c r="AH3" s="98">
        <f>AE16</f>
        <v>0.81616254907840946</v>
      </c>
      <c r="AI3" s="99">
        <f>AE17</f>
        <v>0</v>
      </c>
      <c r="AL3" s="119"/>
    </row>
    <row r="4" spans="1:38" ht="15.75" thickBot="1" x14ac:dyDescent="0.3">
      <c r="A4" s="5" t="s">
        <v>17</v>
      </c>
      <c r="B4" s="12">
        <f>AA26</f>
        <v>0.47601192833308836</v>
      </c>
      <c r="C4" s="12">
        <f t="shared" ref="C4:D4" si="0">AB26</f>
        <v>0.52378102889758571</v>
      </c>
      <c r="D4" s="12">
        <f t="shared" si="0"/>
        <v>2.0704276869738054E-4</v>
      </c>
      <c r="E4" s="13">
        <f>AA30</f>
        <v>648.49425991243891</v>
      </c>
      <c r="G4" s="14" t="s">
        <v>18</v>
      </c>
      <c r="H4" s="15" t="s">
        <v>18</v>
      </c>
      <c r="I4" s="16" t="s">
        <v>18</v>
      </c>
      <c r="K4" s="11" t="s">
        <v>19</v>
      </c>
      <c r="L4" s="12">
        <f>E$10*$G$5+E$5</f>
        <v>361.15186342543853</v>
      </c>
      <c r="M4" s="17">
        <f>-$E$11*$G$6</f>
        <v>-3.2499299002881594</v>
      </c>
      <c r="N4" s="17">
        <v>0</v>
      </c>
      <c r="O4" s="17">
        <v>0</v>
      </c>
      <c r="P4" s="17">
        <v>0</v>
      </c>
      <c r="Q4" s="13">
        <f>$B$4*$E$4</f>
        <v>308.69100317385903</v>
      </c>
      <c r="T4" s="12">
        <f t="array" ref="T4:X8">MINVERSE(L4:P8)</f>
        <v>2.7973587214459804E-3</v>
      </c>
      <c r="U4" s="17">
        <v>3.0642186046230656E-5</v>
      </c>
      <c r="V4" s="17">
        <v>9.2542936782686491E-8</v>
      </c>
      <c r="W4" s="17">
        <v>2.1652285117709086E-10</v>
      </c>
      <c r="X4" s="18">
        <v>4.8674628947994343E-13</v>
      </c>
      <c r="Z4" s="22">
        <f t="array" ref="Z4:Z8">MMULT(T4:X8,Q4:Q8)</f>
        <v>0.86351946996030338</v>
      </c>
      <c r="AD4" s="112"/>
      <c r="AE4" s="46" t="s">
        <v>20</v>
      </c>
      <c r="AF4" s="29">
        <v>531.13269542899855</v>
      </c>
      <c r="AG4" s="100">
        <v>0.54</v>
      </c>
      <c r="AH4" s="100">
        <v>0.46</v>
      </c>
      <c r="AI4" s="101">
        <v>0</v>
      </c>
    </row>
    <row r="5" spans="1:38" ht="15.75" thickBot="1" x14ac:dyDescent="0.3">
      <c r="A5" s="24" t="s">
        <v>21</v>
      </c>
      <c r="B5" s="25">
        <f>S31</f>
        <v>0.8635194699603036</v>
      </c>
      <c r="C5" s="26">
        <f t="shared" ref="C5:D9" si="1">T31</f>
        <v>0.13520894600039929</v>
      </c>
      <c r="D5" s="27">
        <f t="shared" si="1"/>
        <v>1.2715840392970084E-3</v>
      </c>
      <c r="E5" s="28">
        <f t="shared" ref="E5:E9" si="2">AA31</f>
        <v>335.20176739745006</v>
      </c>
      <c r="G5" s="14">
        <f>B10/B5</f>
        <v>4.1913791146215663E-2</v>
      </c>
      <c r="H5" s="15">
        <f t="shared" ref="H5:I9" si="3">C10/C5</f>
        <v>4.1097728988265274</v>
      </c>
      <c r="I5" s="16">
        <f t="shared" si="3"/>
        <v>320.96074716358129</v>
      </c>
      <c r="L5" s="29">
        <f>-$E$5</f>
        <v>-335.20176739745006</v>
      </c>
      <c r="M5" s="15">
        <f>$E$6+$E$11*$G$6</f>
        <v>297.57856614011718</v>
      </c>
      <c r="N5" s="15">
        <f>-$G$7*$E$12</f>
        <v>-0.87275039373183005</v>
      </c>
      <c r="O5" s="15">
        <v>0</v>
      </c>
      <c r="P5" s="15">
        <v>0</v>
      </c>
      <c r="Q5" s="28">
        <v>0</v>
      </c>
      <c r="T5" s="14">
        <v>3.1604727593377564E-3</v>
      </c>
      <c r="U5" s="15">
        <v>3.4051450122182473E-3</v>
      </c>
      <c r="V5" s="15">
        <v>1.0283930758926945E-5</v>
      </c>
      <c r="W5" s="15">
        <v>2.4061328575075346E-8</v>
      </c>
      <c r="X5" s="16">
        <v>5.4090191128588003E-11</v>
      </c>
      <c r="Z5" s="23">
        <v>0.97560950658362955</v>
      </c>
      <c r="AD5" s="112"/>
      <c r="AE5" s="52" t="s">
        <v>22</v>
      </c>
      <c r="AF5" s="19">
        <f>AG14</f>
        <v>0.53706418822652024</v>
      </c>
      <c r="AG5" s="102">
        <f>AG15</f>
        <v>0.74968562709155373</v>
      </c>
      <c r="AH5" s="102">
        <f>AG16</f>
        <v>3.1437214927404467E-4</v>
      </c>
      <c r="AI5" s="103">
        <f>AG17</f>
        <v>0.25</v>
      </c>
    </row>
    <row r="6" spans="1:38" x14ac:dyDescent="0.25">
      <c r="A6" s="24" t="s">
        <v>23</v>
      </c>
      <c r="B6" s="25">
        <f t="shared" ref="B6:B9" si="4">S32</f>
        <v>0.97560950658362977</v>
      </c>
      <c r="C6" s="26">
        <f t="shared" si="1"/>
        <v>2.3827774032064188E-2</v>
      </c>
      <c r="D6" s="27">
        <f t="shared" si="1"/>
        <v>5.6271938430611204E-4</v>
      </c>
      <c r="E6" s="28">
        <f t="shared" si="2"/>
        <v>294.328636239829</v>
      </c>
      <c r="G6" s="14">
        <f t="shared" ref="G6:G9" si="5">B11/B6</f>
        <v>1.0626320038395549E-2</v>
      </c>
      <c r="H6" s="15">
        <f t="shared" si="3"/>
        <v>6.8186434350485357</v>
      </c>
      <c r="I6" s="16">
        <f t="shared" si="3"/>
        <v>1469.9329528072958</v>
      </c>
      <c r="L6" s="14">
        <v>0</v>
      </c>
      <c r="M6" s="30">
        <f>-$E$6</f>
        <v>-294.328636239829</v>
      </c>
      <c r="N6" s="15">
        <f>$E$7+$E$12*$G$7</f>
        <v>289.65482170775971</v>
      </c>
      <c r="O6" s="15">
        <f>-$E$13*$G$8</f>
        <v>-0.67382408427232132</v>
      </c>
      <c r="P6" s="15">
        <v>0</v>
      </c>
      <c r="Q6" s="28">
        <v>0</v>
      </c>
      <c r="T6" s="14">
        <v>3.218978296019612E-3</v>
      </c>
      <c r="U6" s="15">
        <v>3.4681798337748543E-3</v>
      </c>
      <c r="V6" s="15">
        <v>3.4709314774446494E-3</v>
      </c>
      <c r="W6" s="15">
        <v>8.1209437031528254E-6</v>
      </c>
      <c r="X6" s="16">
        <v>1.8255990963984581E-8</v>
      </c>
      <c r="Z6" s="23">
        <v>0.99366963939427622</v>
      </c>
      <c r="AD6" s="112" t="s">
        <v>24</v>
      </c>
      <c r="AE6" s="8" t="s">
        <v>25</v>
      </c>
      <c r="AF6" s="104">
        <v>0</v>
      </c>
      <c r="AG6" s="98">
        <v>0</v>
      </c>
      <c r="AH6" s="98">
        <v>0</v>
      </c>
      <c r="AI6" s="99">
        <v>1</v>
      </c>
    </row>
    <row r="7" spans="1:38" ht="15.75" thickBot="1" x14ac:dyDescent="0.3">
      <c r="A7" s="24" t="s">
        <v>26</v>
      </c>
      <c r="B7" s="25">
        <f t="shared" si="4"/>
        <v>0.99366963939427655</v>
      </c>
      <c r="C7" s="26">
        <f t="shared" si="1"/>
        <v>5.8493535061569461E-3</v>
      </c>
      <c r="D7" s="27">
        <f t="shared" si="1"/>
        <v>4.8100709956658218E-4</v>
      </c>
      <c r="E7" s="28">
        <f t="shared" si="2"/>
        <v>288.78207131402786</v>
      </c>
      <c r="G7" s="14">
        <f t="shared" si="5"/>
        <v>3.2938373808861013E-3</v>
      </c>
      <c r="H7" s="15">
        <f t="shared" si="3"/>
        <v>7.3434011034652258</v>
      </c>
      <c r="I7" s="16">
        <f t="shared" si="3"/>
        <v>1982.8665016904117</v>
      </c>
      <c r="L7" s="14">
        <v>0</v>
      </c>
      <c r="M7" s="15">
        <v>0</v>
      </c>
      <c r="N7" s="30">
        <f>-$E$7</f>
        <v>-288.78207131402786</v>
      </c>
      <c r="O7" s="15">
        <f>$E$8+$E$13*$G$8</f>
        <v>288.64310289491937</v>
      </c>
      <c r="P7" s="15">
        <f>-$E$14*$G$9</f>
        <v>-0.64709664480523821</v>
      </c>
      <c r="Q7" s="28">
        <v>0</v>
      </c>
      <c r="T7" s="14">
        <v>3.2277672117444153E-3</v>
      </c>
      <c r="U7" s="15">
        <v>3.4776491552409852E-3</v>
      </c>
      <c r="V7" s="15">
        <v>3.4804083118425539E-3</v>
      </c>
      <c r="W7" s="15">
        <v>3.4804166505008356E-3</v>
      </c>
      <c r="X7" s="16">
        <v>7.824023567332078E-6</v>
      </c>
      <c r="Z7" s="23">
        <v>0.9963826990777318</v>
      </c>
      <c r="AD7" s="113"/>
      <c r="AE7" s="52" t="s">
        <v>27</v>
      </c>
      <c r="AF7" s="19">
        <v>257.84154682791069</v>
      </c>
      <c r="AG7" s="102">
        <f>AI15</f>
        <v>2.3429567059790474E-7</v>
      </c>
      <c r="AH7" s="102">
        <f>AI16</f>
        <v>1.9999770315372596E-2</v>
      </c>
      <c r="AI7" s="103">
        <f>AI17</f>
        <v>0.98</v>
      </c>
    </row>
    <row r="8" spans="1:38" ht="15.75" thickBot="1" x14ac:dyDescent="0.3">
      <c r="A8" s="24" t="s">
        <v>28</v>
      </c>
      <c r="B8" s="25">
        <f t="shared" si="4"/>
        <v>0.99638269907773203</v>
      </c>
      <c r="C8" s="26">
        <f t="shared" si="1"/>
        <v>3.1480625711175049E-3</v>
      </c>
      <c r="D8" s="27">
        <f t="shared" si="1"/>
        <v>4.692383511504675E-4</v>
      </c>
      <c r="E8" s="28">
        <f t="shared" si="2"/>
        <v>287.96927881064704</v>
      </c>
      <c r="G8" s="14">
        <f t="shared" si="5"/>
        <v>2.5974447512537367E-3</v>
      </c>
      <c r="H8" s="15">
        <f t="shared" si="3"/>
        <v>7.4171511210263121</v>
      </c>
      <c r="I8" s="16">
        <f t="shared" si="3"/>
        <v>2075.8369233278404</v>
      </c>
      <c r="L8" s="19">
        <v>0</v>
      </c>
      <c r="M8" s="20">
        <v>0</v>
      </c>
      <c r="N8" s="20">
        <v>0</v>
      </c>
      <c r="O8" s="32">
        <f>-$E$8</f>
        <v>-287.96927881064704</v>
      </c>
      <c r="P8" s="20">
        <f>$E$9+$E$14*$G$9</f>
        <v>287.85265249799659</v>
      </c>
      <c r="Q8" s="33">
        <f>$E$15*$B$15</f>
        <v>6.0411158122046396E-5</v>
      </c>
      <c r="T8" s="19">
        <v>3.2290749731450248E-3</v>
      </c>
      <c r="U8" s="20">
        <v>3.479058158750761E-3</v>
      </c>
      <c r="V8" s="20">
        <v>3.4818184332515655E-3</v>
      </c>
      <c r="W8" s="20">
        <v>3.4818267752883361E-3</v>
      </c>
      <c r="X8" s="21">
        <v>3.4818267948080058E-3</v>
      </c>
      <c r="Z8" s="23">
        <v>0.99678660312492862</v>
      </c>
      <c r="AF8" s="96"/>
      <c r="AG8" s="47"/>
      <c r="AH8" s="47"/>
      <c r="AI8" s="47"/>
    </row>
    <row r="9" spans="1:38" ht="15.75" thickBot="1" x14ac:dyDescent="0.3">
      <c r="A9" s="34" t="s">
        <v>29</v>
      </c>
      <c r="B9" s="35">
        <f t="shared" si="4"/>
        <v>0.99678660312492895</v>
      </c>
      <c r="C9" s="36">
        <f t="shared" si="1"/>
        <v>2.7458997334419448E-3</v>
      </c>
      <c r="D9" s="37">
        <f t="shared" si="1"/>
        <v>4.6749714162906989E-4</v>
      </c>
      <c r="E9" s="33">
        <f t="shared" si="2"/>
        <v>287.20555585319136</v>
      </c>
      <c r="G9" s="19">
        <f t="shared" si="5"/>
        <v>2.5022562198454292E-3</v>
      </c>
      <c r="H9" s="20">
        <f t="shared" si="3"/>
        <v>7.4280363340291338</v>
      </c>
      <c r="I9" s="21">
        <f t="shared" si="3"/>
        <v>2090.0858091409254</v>
      </c>
      <c r="AD9" s="11" t="s">
        <v>30</v>
      </c>
      <c r="AE9" s="11" t="s">
        <v>17</v>
      </c>
      <c r="AF9" s="105">
        <f>AF4+AF5+AF3</f>
        <v>648.49425991243891</v>
      </c>
      <c r="AG9" s="106">
        <f>(AG4*$AF$4+AG5*$AF$5+$AF$3*AG3)/$AF$9</f>
        <v>0.47601192833308836</v>
      </c>
      <c r="AH9" s="106">
        <f>(AH4*$AF$4+AH5*$AF$5+$AF$3*AH3)/$AF$9</f>
        <v>0.52378102889758571</v>
      </c>
      <c r="AI9" s="107">
        <f>(AI4*$AF$4+AI5*$AF$5+$AF$3*AI3)/$AF$9</f>
        <v>2.0704276869738054E-4</v>
      </c>
    </row>
    <row r="10" spans="1:38" ht="15.75" thickBot="1" x14ac:dyDescent="0.3">
      <c r="A10" s="5" t="s">
        <v>31</v>
      </c>
      <c r="B10" s="38">
        <f t="shared" ref="B10:D15" si="6">W31</f>
        <v>3.6193374714607013E-2</v>
      </c>
      <c r="C10" s="39">
        <f t="shared" si="6"/>
        <v>0.5556780619513404</v>
      </c>
      <c r="D10" s="40">
        <f t="shared" si="6"/>
        <v>0.40812856333405256</v>
      </c>
      <c r="E10" s="13">
        <f t="shared" ref="E10:E15" si="7">AB31</f>
        <v>619.13025088715835</v>
      </c>
      <c r="L10">
        <v>1</v>
      </c>
      <c r="M10">
        <v>2</v>
      </c>
      <c r="N10">
        <v>3</v>
      </c>
      <c r="O10">
        <v>4</v>
      </c>
      <c r="P10">
        <v>5</v>
      </c>
      <c r="Q10" s="11" t="s">
        <v>32</v>
      </c>
      <c r="S10" s="11" t="s">
        <v>12</v>
      </c>
      <c r="Z10" s="11" t="s">
        <v>15</v>
      </c>
      <c r="AE10" s="11" t="s">
        <v>24</v>
      </c>
      <c r="AF10" s="105">
        <f>AF6+AF7</f>
        <v>257.84154682791069</v>
      </c>
      <c r="AG10" s="106">
        <f>(AG6*$AF$6+$AF$7*AG7)/$AF$10</f>
        <v>2.3429567059790474E-7</v>
      </c>
      <c r="AH10" s="106">
        <f>(AH6*$AF$6+$AF$7*AH7)/$AF$10</f>
        <v>1.9999770315372596E-2</v>
      </c>
      <c r="AI10" s="107">
        <f>(AI6*$AF$6+$AF$7*AI7)/$AF$10</f>
        <v>0.98</v>
      </c>
    </row>
    <row r="11" spans="1:38" ht="15.75" thickBot="1" x14ac:dyDescent="0.3">
      <c r="A11" s="24" t="s">
        <v>33</v>
      </c>
      <c r="B11" s="25">
        <f t="shared" si="6"/>
        <v>1.0367138849458819E-2</v>
      </c>
      <c r="C11" s="26">
        <f t="shared" si="6"/>
        <v>0.16247309497555446</v>
      </c>
      <c r="D11" s="27">
        <f t="shared" si="6"/>
        <v>0.82715976617498677</v>
      </c>
      <c r="E11" s="28">
        <f t="shared" si="7"/>
        <v>305.83775837216939</v>
      </c>
      <c r="K11" s="11" t="s">
        <v>34</v>
      </c>
      <c r="L11" s="12">
        <f>E$10*$H$5+E$5</f>
        <v>2879.6864933371621</v>
      </c>
      <c r="M11" s="17">
        <f>-$E$11*$H$6</f>
        <v>-2085.3986233143532</v>
      </c>
      <c r="N11" s="17">
        <v>0</v>
      </c>
      <c r="O11" s="17">
        <v>0</v>
      </c>
      <c r="P11" s="17">
        <v>0</v>
      </c>
      <c r="Q11" s="13">
        <f>$C$4*$E$4</f>
        <v>339.6689906911156</v>
      </c>
      <c r="T11" s="12">
        <f t="array" ref="T11:X15">MINVERSE(L11:P15)</f>
        <v>3.9298623850609785E-4</v>
      </c>
      <c r="U11" s="17">
        <v>3.9282956088133181E-4</v>
      </c>
      <c r="V11" s="17">
        <v>3.9171945719870864E-4</v>
      </c>
      <c r="W11" s="17">
        <v>3.8423985559266055E-4</v>
      </c>
      <c r="X11" s="18">
        <v>3.3426291735993183E-4</v>
      </c>
      <c r="Z11">
        <f t="array" ref="Z11:Z15">MMULT(T11:X15,Q11:Q15)</f>
        <v>0.13520895654625159</v>
      </c>
    </row>
    <row r="12" spans="1:38" x14ac:dyDescent="0.25">
      <c r="A12" s="24" t="s">
        <v>35</v>
      </c>
      <c r="B12" s="25">
        <f t="shared" si="6"/>
        <v>3.2729862024884807E-3</v>
      </c>
      <c r="C12" s="26">
        <f t="shared" si="6"/>
        <v>4.2954148991671104E-2</v>
      </c>
      <c r="D12" s="27">
        <f t="shared" si="6"/>
        <v>0.95377286480584034</v>
      </c>
      <c r="E12" s="28">
        <f t="shared" si="7"/>
        <v>264.96462721454833</v>
      </c>
      <c r="L12" s="29">
        <f>-$E$5</f>
        <v>-335.20176739745006</v>
      </c>
      <c r="M12" s="15">
        <f>$E$6+$E$11*$H$6</f>
        <v>2379.7272595541822</v>
      </c>
      <c r="N12" s="15">
        <f>-$H$7*$E$12</f>
        <v>-1945.7415358665664</v>
      </c>
      <c r="O12" s="15">
        <v>0</v>
      </c>
      <c r="P12" s="15">
        <v>0</v>
      </c>
      <c r="Q12" s="28">
        <v>0</v>
      </c>
      <c r="T12" s="14">
        <v>6.3142442706761874E-5</v>
      </c>
      <c r="U12" s="15">
        <v>5.4245071805776222E-4</v>
      </c>
      <c r="V12" s="15">
        <v>5.4091779742315802E-4</v>
      </c>
      <c r="W12" s="15">
        <v>5.3058936070143057E-4</v>
      </c>
      <c r="X12" s="16">
        <v>4.6157717646089257E-4</v>
      </c>
      <c r="Z12">
        <v>2.3827777911525978E-2</v>
      </c>
    </row>
    <row r="13" spans="1:38" x14ac:dyDescent="0.25">
      <c r="A13" s="24" t="s">
        <v>36</v>
      </c>
      <c r="B13" s="25">
        <f t="shared" si="6"/>
        <v>2.5880490119594866E-3</v>
      </c>
      <c r="C13" s="26">
        <f t="shared" si="6"/>
        <v>2.3349655828425176E-2</v>
      </c>
      <c r="D13" s="27">
        <f t="shared" si="6"/>
        <v>0.97406229515961529</v>
      </c>
      <c r="E13" s="28">
        <f t="shared" si="7"/>
        <v>259.41806228874719</v>
      </c>
      <c r="L13" s="14">
        <v>0</v>
      </c>
      <c r="M13" s="30">
        <f>-$E$6</f>
        <v>-294.328636239829</v>
      </c>
      <c r="N13" s="15">
        <f>$E$7+$E$12*$H$7</f>
        <v>2234.5236071805944</v>
      </c>
      <c r="O13" s="15">
        <f>-$E$13*$H$8</f>
        <v>-1924.1429715194549</v>
      </c>
      <c r="P13" s="15">
        <v>0</v>
      </c>
      <c r="Q13" s="28">
        <v>0</v>
      </c>
      <c r="T13" s="14">
        <v>9.5244461262661891E-6</v>
      </c>
      <c r="U13" s="15">
        <v>8.1823610535458187E-5</v>
      </c>
      <c r="V13" s="15">
        <v>5.9408289951219391E-4</v>
      </c>
      <c r="W13" s="15">
        <v>5.8273931336231546E-4</v>
      </c>
      <c r="X13" s="16">
        <v>5.0694413947341638E-4</v>
      </c>
      <c r="Z13">
        <v>5.8493542017768393E-3</v>
      </c>
      <c r="AE13" t="s">
        <v>128</v>
      </c>
      <c r="AG13" t="s">
        <v>126</v>
      </c>
      <c r="AI13" t="s">
        <v>127</v>
      </c>
    </row>
    <row r="14" spans="1:38" x14ac:dyDescent="0.25">
      <c r="A14" s="24" t="s">
        <v>37</v>
      </c>
      <c r="B14" s="25">
        <f t="shared" si="6"/>
        <v>2.4942154775279509E-3</v>
      </c>
      <c r="C14" s="26">
        <f t="shared" si="6"/>
        <v>2.039664298960768E-2</v>
      </c>
      <c r="D14" s="27">
        <f>Y35</f>
        <v>0.97710914153286443</v>
      </c>
      <c r="E14" s="28">
        <f>AB35</f>
        <v>258.60526978536637</v>
      </c>
      <c r="L14" s="14">
        <v>0</v>
      </c>
      <c r="M14" s="15">
        <v>0</v>
      </c>
      <c r="N14" s="30">
        <f>-$E$7</f>
        <v>-288.78207131402786</v>
      </c>
      <c r="O14" s="15">
        <f>$E$8+$E$13*$H$8</f>
        <v>2212.1122503301021</v>
      </c>
      <c r="P14" s="15">
        <f>-$E$14*$H$9</f>
        <v>-1920.9293401371081</v>
      </c>
      <c r="Q14" s="28">
        <v>0</v>
      </c>
      <c r="T14" s="14">
        <v>1.4021674603515943E-6</v>
      </c>
      <c r="U14" s="15">
        <v>1.2045887252687776E-5</v>
      </c>
      <c r="V14" s="15">
        <v>8.7459543516141616E-5</v>
      </c>
      <c r="W14" s="15">
        <v>5.9557794122582029E-4</v>
      </c>
      <c r="X14" s="16">
        <v>5.1811288509438888E-4</v>
      </c>
      <c r="Z14">
        <v>3.148062676716299E-3</v>
      </c>
      <c r="AE14">
        <v>116.82450029521388</v>
      </c>
      <c r="AG14">
        <v>0.53706418822652024</v>
      </c>
      <c r="AI14">
        <v>257.84132957479233</v>
      </c>
    </row>
    <row r="15" spans="1:38" ht="15.75" thickBot="1" x14ac:dyDescent="0.3">
      <c r="A15" s="34" t="s">
        <v>24</v>
      </c>
      <c r="B15" s="35">
        <f t="shared" si="6"/>
        <v>2.3429567059790474E-7</v>
      </c>
      <c r="C15" s="36">
        <f t="shared" si="6"/>
        <v>1.9999770315372596E-2</v>
      </c>
      <c r="D15" s="37">
        <f>Y36</f>
        <v>0.98</v>
      </c>
      <c r="E15" s="33">
        <f t="shared" si="7"/>
        <v>257.84154682791069</v>
      </c>
      <c r="L15" s="19">
        <v>0</v>
      </c>
      <c r="M15" s="20">
        <v>0</v>
      </c>
      <c r="N15" s="20">
        <v>0</v>
      </c>
      <c r="O15" s="32">
        <f>-$E$8</f>
        <v>-287.96927881064704</v>
      </c>
      <c r="P15" s="20">
        <f>$E$9+$E$14*$H$9</f>
        <v>2208.1348959902994</v>
      </c>
      <c r="Q15" s="33">
        <f>$E$15*$C$15</f>
        <v>5.1567717143186016</v>
      </c>
      <c r="T15" s="19">
        <v>1.8286072697026885E-7</v>
      </c>
      <c r="U15" s="20">
        <v>1.5709391084257855E-6</v>
      </c>
      <c r="V15" s="20">
        <v>1.1405852838604091E-5</v>
      </c>
      <c r="W15" s="20">
        <v>7.7671047417332643E-5</v>
      </c>
      <c r="X15" s="21">
        <v>5.204394876191402E-4</v>
      </c>
      <c r="Z15">
        <v>2.7458997473358828E-3</v>
      </c>
      <c r="AE15" s="47">
        <v>0.18383745092159098</v>
      </c>
      <c r="AF15" s="47"/>
      <c r="AG15" s="47">
        <v>0.74968562709155373</v>
      </c>
      <c r="AH15" s="47"/>
      <c r="AI15" s="47">
        <v>2.3429567059790474E-7</v>
      </c>
    </row>
    <row r="16" spans="1:38" ht="15.75" thickBot="1" x14ac:dyDescent="0.3">
      <c r="AE16" s="47">
        <v>0.81616254907840946</v>
      </c>
      <c r="AF16" s="47"/>
      <c r="AG16" s="47">
        <v>3.1437214927404467E-4</v>
      </c>
      <c r="AH16" s="47"/>
      <c r="AI16" s="47">
        <v>1.9999770315372596E-2</v>
      </c>
    </row>
    <row r="17" spans="1:35" ht="15.75" thickBot="1" x14ac:dyDescent="0.3">
      <c r="L17">
        <v>1</v>
      </c>
      <c r="M17">
        <v>2</v>
      </c>
      <c r="N17">
        <v>3</v>
      </c>
      <c r="O17">
        <v>4</v>
      </c>
      <c r="P17">
        <v>5</v>
      </c>
      <c r="Q17" s="11" t="s">
        <v>38</v>
      </c>
      <c r="S17" s="11" t="s">
        <v>12</v>
      </c>
      <c r="Z17" s="11" t="s">
        <v>16</v>
      </c>
      <c r="AE17" s="47">
        <v>0</v>
      </c>
      <c r="AF17" s="47"/>
      <c r="AG17" s="47">
        <v>0.25</v>
      </c>
      <c r="AH17" s="47"/>
      <c r="AI17" s="47">
        <v>0.98</v>
      </c>
    </row>
    <row r="18" spans="1:35" ht="15.75" thickBot="1" x14ac:dyDescent="0.3">
      <c r="A18" t="s">
        <v>4</v>
      </c>
      <c r="B18" t="s">
        <v>39</v>
      </c>
      <c r="K18" s="11" t="s">
        <v>40</v>
      </c>
      <c r="L18" s="12">
        <f>E$10*$I$5+E$5</f>
        <v>199051.70968371534</v>
      </c>
      <c r="M18" s="17">
        <f>-$E$11*$I$6</f>
        <v>-449560.99924396718</v>
      </c>
      <c r="N18" s="17">
        <v>0</v>
      </c>
      <c r="O18" s="17">
        <v>0</v>
      </c>
      <c r="P18" s="17">
        <v>0</v>
      </c>
      <c r="Q18" s="13">
        <f>$D$4*$E$4</f>
        <v>0.13426604705663006</v>
      </c>
      <c r="T18" s="12">
        <f t="array" ref="T18:X22">MINVERSE(L18:P22)</f>
        <v>5.0322945510954372E-6</v>
      </c>
      <c r="U18" s="17">
        <v>5.0322945510949239E-6</v>
      </c>
      <c r="V18" s="17">
        <v>5.0322945503093839E-6</v>
      </c>
      <c r="W18" s="17">
        <v>5.0322931211545302E-6</v>
      </c>
      <c r="X18" s="18">
        <v>5.0296205666382948E-6</v>
      </c>
      <c r="Z18">
        <f t="array" ref="Z18:Z22">MMULT(T18:X22,Q18:Q22)</f>
        <v>1.2715839102193009E-3</v>
      </c>
    </row>
    <row r="19" spans="1:35" ht="15.75" thickBot="1" x14ac:dyDescent="0.3">
      <c r="A19" t="s">
        <v>5</v>
      </c>
      <c r="B19" t="s">
        <v>41</v>
      </c>
      <c r="L19" s="29">
        <f>-$E$5</f>
        <v>-335.20176739745006</v>
      </c>
      <c r="M19" s="15">
        <f>$E$6+$E$11*$I$6</f>
        <v>449855.32788020698</v>
      </c>
      <c r="N19" s="15">
        <f>-$I$7*$E$12</f>
        <v>-525389.48343661556</v>
      </c>
      <c r="O19" s="15">
        <v>0</v>
      </c>
      <c r="P19" s="15">
        <v>0</v>
      </c>
      <c r="Q19" s="28">
        <v>0</v>
      </c>
      <c r="T19" s="14">
        <v>3.7521805281782615E-9</v>
      </c>
      <c r="U19" s="15">
        <v>2.2281444246988497E-6</v>
      </c>
      <c r="V19" s="15">
        <v>2.2281444243510368E-6</v>
      </c>
      <c r="W19" s="15">
        <v>2.2281437915654585E-6</v>
      </c>
      <c r="X19" s="16">
        <v>2.2269604670631682E-6</v>
      </c>
      <c r="Z19">
        <v>5.6271937671157767E-4</v>
      </c>
      <c r="AC19" s="97"/>
    </row>
    <row r="20" spans="1:35" x14ac:dyDescent="0.25">
      <c r="A20" t="s">
        <v>6</v>
      </c>
      <c r="B20" t="s">
        <v>42</v>
      </c>
      <c r="L20" s="14">
        <v>0</v>
      </c>
      <c r="M20" s="30">
        <f>-$E$6</f>
        <v>-294.328636239829</v>
      </c>
      <c r="N20" s="15">
        <f>$E$7+$E$12*$I$7</f>
        <v>525678.26550792961</v>
      </c>
      <c r="O20" s="15">
        <f>-$E$13*$I$8</f>
        <v>-538509.59227714303</v>
      </c>
      <c r="P20" s="15">
        <v>0</v>
      </c>
      <c r="Q20" s="28">
        <v>0</v>
      </c>
      <c r="T20" s="14">
        <v>2.1020104368822812E-12</v>
      </c>
      <c r="U20" s="15">
        <v>1.2482296095364038E-9</v>
      </c>
      <c r="V20" s="15">
        <v>1.9045980897984309E-6</v>
      </c>
      <c r="W20" s="15">
        <v>1.9045975488989317E-6</v>
      </c>
      <c r="X20" s="16">
        <v>1.9035860536107254E-6</v>
      </c>
      <c r="Z20">
        <v>4.810071014135956E-4</v>
      </c>
    </row>
    <row r="21" spans="1:35" x14ac:dyDescent="0.25">
      <c r="L21" s="14">
        <v>0</v>
      </c>
      <c r="M21" s="15">
        <v>0</v>
      </c>
      <c r="N21" s="30">
        <f>-$E$7</f>
        <v>-288.78207131402786</v>
      </c>
      <c r="O21" s="15">
        <f>$E$8+$E$13*$I$8</f>
        <v>538797.5615559537</v>
      </c>
      <c r="P21" s="15">
        <f>-$E$14*$I$9</f>
        <v>-540507.20454745484</v>
      </c>
      <c r="Q21" s="28">
        <v>0</v>
      </c>
      <c r="T21" s="14">
        <v>1.1272273775611441E-15</v>
      </c>
      <c r="U21" s="15">
        <v>6.6937754668755223E-13</v>
      </c>
      <c r="V21" s="15">
        <v>1.0213627260841632E-9</v>
      </c>
      <c r="W21" s="15">
        <v>1.8579979703637215E-6</v>
      </c>
      <c r="X21" s="16">
        <v>1.857011223219367E-6</v>
      </c>
      <c r="Z21">
        <v>4.6923835334639004E-4</v>
      </c>
    </row>
    <row r="22" spans="1:35" ht="15.75" thickBot="1" x14ac:dyDescent="0.3">
      <c r="L22" s="19">
        <v>0</v>
      </c>
      <c r="M22" s="20">
        <v>0</v>
      </c>
      <c r="N22" s="20">
        <v>0</v>
      </c>
      <c r="O22" s="32">
        <f>-$E$8</f>
        <v>-287.96927881064704</v>
      </c>
      <c r="P22" s="20">
        <f>$E$9+$E$14*$I$9</f>
        <v>540794.41010330804</v>
      </c>
      <c r="Q22" s="41">
        <f>$E$15*$D$15</f>
        <v>252.68471589135248</v>
      </c>
      <c r="T22" s="19">
        <v>6.0024077340202139E-19</v>
      </c>
      <c r="U22" s="20">
        <v>3.5643890870623388E-16</v>
      </c>
      <c r="V22" s="20">
        <v>5.4386857951868793E-13</v>
      </c>
      <c r="W22" s="20">
        <v>9.8937105406669595E-10</v>
      </c>
      <c r="X22" s="21">
        <v>1.8501203849195878E-6</v>
      </c>
      <c r="Z22">
        <v>4.6749714382820579E-4</v>
      </c>
    </row>
    <row r="24" spans="1:35" ht="15.75" thickBot="1" x14ac:dyDescent="0.3"/>
    <row r="25" spans="1:35" ht="15.75" thickBot="1" x14ac:dyDescent="0.3">
      <c r="R25" s="15"/>
      <c r="S25" s="15"/>
      <c r="T25" s="15"/>
      <c r="Y25" s="8"/>
      <c r="Z25" s="9" t="s">
        <v>43</v>
      </c>
      <c r="AA25" s="10" t="s">
        <v>13</v>
      </c>
      <c r="AB25" s="10" t="s">
        <v>15</v>
      </c>
      <c r="AC25" s="3" t="s">
        <v>16</v>
      </c>
      <c r="AE25" s="42" t="s">
        <v>44</v>
      </c>
      <c r="AF25" s="42" t="s">
        <v>45</v>
      </c>
      <c r="AG25" s="42" t="s">
        <v>46</v>
      </c>
      <c r="AH25" s="42" t="s">
        <v>47</v>
      </c>
      <c r="AI25" s="42" t="s">
        <v>48</v>
      </c>
    </row>
    <row r="26" spans="1:35" ht="15.75" thickBot="1" x14ac:dyDescent="0.3">
      <c r="L26" s="43" t="s">
        <v>49</v>
      </c>
      <c r="M26" s="44"/>
      <c r="N26" s="45"/>
      <c r="R26" s="15"/>
      <c r="S26" s="15"/>
      <c r="T26" s="15"/>
      <c r="Y26" s="46" t="s">
        <v>17</v>
      </c>
      <c r="Z26" s="47">
        <f>AF9</f>
        <v>648.49425991243891</v>
      </c>
      <c r="AA26" s="47">
        <f t="shared" ref="AA26:AC27" si="8">AG9</f>
        <v>0.47601192833308836</v>
      </c>
      <c r="AB26" s="47">
        <f t="shared" si="8"/>
        <v>0.52378102889758571</v>
      </c>
      <c r="AC26" s="47">
        <f t="shared" si="8"/>
        <v>2.0704276869738054E-4</v>
      </c>
      <c r="AE26">
        <f>Z27</f>
        <v>257.84154682791069</v>
      </c>
      <c r="AF26">
        <f>AE26/Z26</f>
        <v>0.39760035325944909</v>
      </c>
      <c r="AG26">
        <f>AB31*W31/Z26/AA26</f>
        <v>7.2591727446254223E-2</v>
      </c>
      <c r="AH26" s="48">
        <f>(X31*AB31-Z27*AB27)/Z26/AB26</f>
        <v>0.99767813807375738</v>
      </c>
      <c r="AI26" s="49">
        <f>AA35*U35/AB36/AC27</f>
        <v>5.3136485104657706E-4</v>
      </c>
    </row>
    <row r="27" spans="1:35" ht="15.75" thickBot="1" x14ac:dyDescent="0.3">
      <c r="L27" s="12" t="s">
        <v>4</v>
      </c>
      <c r="M27" s="17" t="s">
        <v>5</v>
      </c>
      <c r="N27" s="18" t="s">
        <v>6</v>
      </c>
      <c r="O27" s="50" t="s">
        <v>50</v>
      </c>
      <c r="R27" s="15"/>
      <c r="S27" s="15"/>
      <c r="T27" s="15"/>
      <c r="U27" s="15"/>
      <c r="V27" s="15"/>
      <c r="W27" s="51"/>
      <c r="Y27" s="52" t="s">
        <v>24</v>
      </c>
      <c r="Z27" s="47">
        <f>AF10</f>
        <v>257.84154682791069</v>
      </c>
      <c r="AA27" s="47">
        <f>AG10</f>
        <v>2.3429567059790474E-7</v>
      </c>
      <c r="AB27" s="47">
        <f t="shared" si="8"/>
        <v>1.9999770315372596E-2</v>
      </c>
      <c r="AC27" s="47">
        <f t="shared" si="8"/>
        <v>0.98</v>
      </c>
    </row>
    <row r="28" spans="1:35" ht="15.75" thickBot="1" x14ac:dyDescent="0.3">
      <c r="L28" s="12">
        <f>Z4</f>
        <v>0.86351946996030338</v>
      </c>
      <c r="M28" s="17">
        <f>Z11</f>
        <v>0.13520895654625159</v>
      </c>
      <c r="N28" s="18">
        <f>Z18</f>
        <v>1.2715839102193009E-3</v>
      </c>
      <c r="O28" s="13">
        <f>SUM(L28:N28)</f>
        <v>1.0000000104167743</v>
      </c>
      <c r="R28" s="15"/>
      <c r="S28" s="15"/>
      <c r="T28" s="15"/>
      <c r="U28" s="15"/>
      <c r="V28" s="15"/>
      <c r="AG28" s="47"/>
    </row>
    <row r="29" spans="1:35" ht="21.75" thickBot="1" x14ac:dyDescent="0.4">
      <c r="L29" s="14">
        <f>Z5</f>
        <v>0.97560950658362955</v>
      </c>
      <c r="M29" s="15">
        <f t="shared" ref="M29:M32" si="9">Z12</f>
        <v>2.3827777911525978E-2</v>
      </c>
      <c r="N29" s="16">
        <f>Z19</f>
        <v>5.6271937671157767E-4</v>
      </c>
      <c r="O29" s="28">
        <f t="shared" ref="O29:O32" si="10">SUM(L29:N29)</f>
        <v>1.000000003871867</v>
      </c>
      <c r="R29" s="15"/>
      <c r="S29" s="15"/>
      <c r="T29" s="15"/>
      <c r="U29" s="15"/>
      <c r="V29" s="15"/>
      <c r="AA29" s="9" t="s">
        <v>51</v>
      </c>
      <c r="AB29" s="3" t="s">
        <v>52</v>
      </c>
      <c r="AG29" s="42"/>
      <c r="AI29" s="53"/>
    </row>
    <row r="30" spans="1:35" ht="15.75" thickBot="1" x14ac:dyDescent="0.3">
      <c r="L30" s="14">
        <f>Z6</f>
        <v>0.99366963939427622</v>
      </c>
      <c r="M30" s="15">
        <f t="shared" si="9"/>
        <v>5.8493542017768393E-3</v>
      </c>
      <c r="N30" s="16">
        <f>Z20</f>
        <v>4.810071014135956E-4</v>
      </c>
      <c r="O30" s="28">
        <f t="shared" si="10"/>
        <v>1.0000000006974665</v>
      </c>
      <c r="R30" s="11" t="s">
        <v>53</v>
      </c>
      <c r="S30" s="5" t="s">
        <v>54</v>
      </c>
      <c r="T30" s="6" t="s">
        <v>55</v>
      </c>
      <c r="U30" s="6" t="s">
        <v>56</v>
      </c>
      <c r="V30" s="54" t="s">
        <v>50</v>
      </c>
      <c r="W30" s="5" t="s">
        <v>57</v>
      </c>
      <c r="X30" s="6" t="s">
        <v>58</v>
      </c>
      <c r="Y30" s="6" t="s">
        <v>59</v>
      </c>
      <c r="Z30" s="55" t="s">
        <v>60</v>
      </c>
      <c r="AA30" s="56">
        <f>Z26</f>
        <v>648.49425991243891</v>
      </c>
      <c r="AB30" s="57"/>
      <c r="AC30" s="6" t="s">
        <v>8</v>
      </c>
      <c r="AD30" s="6" t="s">
        <v>9</v>
      </c>
      <c r="AE30" s="7" t="s">
        <v>10</v>
      </c>
      <c r="AG30" s="42" t="s">
        <v>61</v>
      </c>
    </row>
    <row r="31" spans="1:35" x14ac:dyDescent="0.25">
      <c r="L31" s="14">
        <f>Z7</f>
        <v>0.9963826990777318</v>
      </c>
      <c r="M31" s="15">
        <f t="shared" si="9"/>
        <v>3.148062676716299E-3</v>
      </c>
      <c r="N31" s="16">
        <f>Z21</f>
        <v>4.6923835334639004E-4</v>
      </c>
      <c r="O31" s="28">
        <f t="shared" si="10"/>
        <v>1.0000000001077944</v>
      </c>
      <c r="R31" s="58">
        <v>1</v>
      </c>
      <c r="S31" s="59">
        <f>C41</f>
        <v>0.8635194699603036</v>
      </c>
      <c r="T31" s="60">
        <f t="shared" ref="T31:U35" si="11">D41</f>
        <v>0.13520894600039929</v>
      </c>
      <c r="U31" s="60">
        <f t="shared" si="11"/>
        <v>1.2715840392970084E-3</v>
      </c>
      <c r="V31" s="61">
        <f>SUM(S31:U31)</f>
        <v>0.99999999999999989</v>
      </c>
      <c r="W31" s="60">
        <f>G41</f>
        <v>3.6193374714607013E-2</v>
      </c>
      <c r="X31" s="60">
        <f t="shared" ref="X31:Y35" si="12">H41</f>
        <v>0.5556780619513404</v>
      </c>
      <c r="Y31" s="60">
        <f t="shared" si="12"/>
        <v>0.40812856333405256</v>
      </c>
      <c r="Z31" s="62">
        <f>SUM(W31:Y31)</f>
        <v>1</v>
      </c>
      <c r="AA31" s="30">
        <f t="shared" ref="AA31:AA33" si="13">(AB33*(W32-W33)+AA32*(S32-W32))/(S31-W32)</f>
        <v>335.20176739745006</v>
      </c>
      <c r="AB31" s="30">
        <f>AA30+AB36-AA35</f>
        <v>619.13025088715835</v>
      </c>
      <c r="AC31" s="63">
        <f>W31/S31</f>
        <v>4.1913791146215663E-2</v>
      </c>
      <c r="AD31" s="64">
        <f t="shared" ref="AD31:AE35" si="14">X31/T31</f>
        <v>4.1097728988265274</v>
      </c>
      <c r="AE31" s="65">
        <f t="shared" si="14"/>
        <v>320.96074716358129</v>
      </c>
      <c r="AG31" t="s">
        <v>62</v>
      </c>
      <c r="AH31" s="47">
        <v>0.55567183919333374</v>
      </c>
    </row>
    <row r="32" spans="1:35" ht="15.75" thickBot="1" x14ac:dyDescent="0.3">
      <c r="L32" s="19">
        <f>Z8</f>
        <v>0.99678660312492862</v>
      </c>
      <c r="M32" s="20">
        <f t="shared" si="9"/>
        <v>2.7458997473358828E-3</v>
      </c>
      <c r="N32" s="21">
        <f>Z22</f>
        <v>4.6749714382820579E-4</v>
      </c>
      <c r="O32" s="33">
        <f t="shared" si="10"/>
        <v>1.0000000000160927</v>
      </c>
      <c r="R32" s="66">
        <v>2</v>
      </c>
      <c r="S32" s="67">
        <f t="shared" ref="S32:S35" si="15">C42</f>
        <v>0.97560950658362977</v>
      </c>
      <c r="T32" s="68">
        <f t="shared" si="11"/>
        <v>2.3827774032064188E-2</v>
      </c>
      <c r="U32" s="68">
        <f t="shared" si="11"/>
        <v>5.6271938430611204E-4</v>
      </c>
      <c r="V32" s="69">
        <f t="shared" ref="V32:V35" si="16">SUM(S32:U32)</f>
        <v>1</v>
      </c>
      <c r="W32" s="68">
        <f t="shared" ref="W32:W35" si="17">G42</f>
        <v>1.0367138849458819E-2</v>
      </c>
      <c r="X32" s="68">
        <f t="shared" si="12"/>
        <v>0.16247309497555446</v>
      </c>
      <c r="Y32" s="68">
        <f t="shared" si="12"/>
        <v>0.82715976617498677</v>
      </c>
      <c r="Z32" s="70">
        <f t="shared" ref="Z32:Z35" si="18">SUM(W32:Y32)</f>
        <v>1</v>
      </c>
      <c r="AA32" s="30">
        <f t="shared" si="13"/>
        <v>294.328636239829</v>
      </c>
      <c r="AB32" s="30">
        <f>AA31+AB33-AA32</f>
        <v>305.83775837216939</v>
      </c>
      <c r="AC32" s="71">
        <f t="shared" ref="AC32:AC35" si="19">W32/S32</f>
        <v>1.0626320038395549E-2</v>
      </c>
      <c r="AD32" s="15">
        <f t="shared" si="14"/>
        <v>6.8186434350485357</v>
      </c>
      <c r="AE32" s="72">
        <f t="shared" si="14"/>
        <v>1469.9329528072958</v>
      </c>
      <c r="AG32" s="31" t="s">
        <v>63</v>
      </c>
      <c r="AH32" s="47">
        <v>2.8203086494330174E-3</v>
      </c>
      <c r="AI32" s="47">
        <v>0.13520594401969205</v>
      </c>
    </row>
    <row r="33" spans="3:35" x14ac:dyDescent="0.25">
      <c r="R33" s="66">
        <v>3</v>
      </c>
      <c r="S33" s="67">
        <f t="shared" si="15"/>
        <v>0.99366963939427655</v>
      </c>
      <c r="T33" s="68">
        <f t="shared" si="11"/>
        <v>5.8493535061569461E-3</v>
      </c>
      <c r="U33" s="68">
        <f t="shared" si="11"/>
        <v>4.8100709956658218E-4</v>
      </c>
      <c r="V33" s="69">
        <f t="shared" si="16"/>
        <v>1</v>
      </c>
      <c r="W33" s="68">
        <f t="shared" si="17"/>
        <v>3.2729862024884807E-3</v>
      </c>
      <c r="X33" s="68">
        <f t="shared" si="12"/>
        <v>4.2954148991671104E-2</v>
      </c>
      <c r="Y33" s="68">
        <f t="shared" si="12"/>
        <v>0.95377286480584034</v>
      </c>
      <c r="Z33" s="70">
        <f t="shared" si="18"/>
        <v>0.99999999999999989</v>
      </c>
      <c r="AA33" s="30">
        <f t="shared" si="13"/>
        <v>288.78207131402786</v>
      </c>
      <c r="AB33" s="30">
        <f>AA32+AB34-AA33</f>
        <v>264.96462721454833</v>
      </c>
      <c r="AC33" s="71">
        <f t="shared" si="19"/>
        <v>3.2938373808861013E-3</v>
      </c>
      <c r="AD33" s="15">
        <f t="shared" si="14"/>
        <v>7.3434011034652258</v>
      </c>
      <c r="AE33" s="72">
        <f t="shared" si="14"/>
        <v>1982.8665016904117</v>
      </c>
      <c r="AG33" t="s">
        <v>64</v>
      </c>
    </row>
    <row r="34" spans="3:35" ht="15.75" thickBot="1" x14ac:dyDescent="0.3">
      <c r="R34" s="66">
        <v>4</v>
      </c>
      <c r="S34" s="67">
        <f t="shared" si="15"/>
        <v>0.99638269907773203</v>
      </c>
      <c r="T34" s="68">
        <f t="shared" si="11"/>
        <v>3.1480625711175049E-3</v>
      </c>
      <c r="U34" s="68">
        <f t="shared" si="11"/>
        <v>4.692383511504675E-4</v>
      </c>
      <c r="V34" s="69">
        <f t="shared" si="16"/>
        <v>1</v>
      </c>
      <c r="W34" s="68">
        <f t="shared" si="17"/>
        <v>2.5880490119594866E-3</v>
      </c>
      <c r="X34" s="68">
        <f t="shared" si="12"/>
        <v>2.3349655828425176E-2</v>
      </c>
      <c r="Y34" s="68">
        <f t="shared" si="12"/>
        <v>0.97406229515961529</v>
      </c>
      <c r="Z34" s="70">
        <f t="shared" si="18"/>
        <v>1</v>
      </c>
      <c r="AA34" s="30">
        <f>(AB36*(W35-W36)+AA35*(S35-W35))/(S34-W35)</f>
        <v>287.96927881064704</v>
      </c>
      <c r="AB34" s="30">
        <f>AA33+AB35-AA34</f>
        <v>259.41806228874719</v>
      </c>
      <c r="AC34" s="71">
        <f t="shared" si="19"/>
        <v>2.5974447512537367E-3</v>
      </c>
      <c r="AD34" s="15">
        <f t="shared" si="14"/>
        <v>7.4171511210263121</v>
      </c>
      <c r="AE34" s="72">
        <f t="shared" si="14"/>
        <v>2075.8369233278404</v>
      </c>
      <c r="AG34" t="s">
        <v>62</v>
      </c>
      <c r="AH34" s="73">
        <f>(Z26*AB26+Z27*AB27-AA35*T35)/AB31</f>
        <v>0.55567810529884376</v>
      </c>
    </row>
    <row r="35" spans="3:35" ht="18.75" thickBot="1" x14ac:dyDescent="0.4">
      <c r="C35" s="74" t="s">
        <v>65</v>
      </c>
      <c r="D35" s="75" t="s">
        <v>66</v>
      </c>
      <c r="E35" s="75" t="s">
        <v>67</v>
      </c>
      <c r="F35" s="75" t="s">
        <v>68</v>
      </c>
      <c r="G35" s="75" t="s">
        <v>69</v>
      </c>
      <c r="H35" s="76" t="s">
        <v>70</v>
      </c>
      <c r="J35" s="77"/>
      <c r="R35" s="78">
        <v>5</v>
      </c>
      <c r="S35" s="79">
        <f t="shared" si="15"/>
        <v>0.99678660312492895</v>
      </c>
      <c r="T35" s="80">
        <f t="shared" si="11"/>
        <v>2.7458997334419448E-3</v>
      </c>
      <c r="U35" s="80">
        <f t="shared" si="11"/>
        <v>4.6749714162906989E-4</v>
      </c>
      <c r="V35" s="81">
        <f t="shared" si="16"/>
        <v>1</v>
      </c>
      <c r="W35" s="80">
        <f t="shared" si="17"/>
        <v>2.4942154775279509E-3</v>
      </c>
      <c r="X35" s="80">
        <f>H45</f>
        <v>2.039664298960768E-2</v>
      </c>
      <c r="Y35" s="80">
        <f t="shared" si="12"/>
        <v>0.97710914153286443</v>
      </c>
      <c r="Z35" s="82">
        <f t="shared" si="18"/>
        <v>1</v>
      </c>
      <c r="AA35" s="30">
        <f>(AA30*(AA26-W31)+AB36*(AA27-W31))/(S35-W31)</f>
        <v>287.20555585319136</v>
      </c>
      <c r="AB35" s="30">
        <f>AA34+AB36-AA35</f>
        <v>258.60526978536637</v>
      </c>
      <c r="AC35" s="83">
        <f t="shared" si="19"/>
        <v>2.5022562198454292E-3</v>
      </c>
      <c r="AD35" s="84">
        <f t="shared" si="14"/>
        <v>7.4280363340291338</v>
      </c>
      <c r="AE35" s="85">
        <f t="shared" si="14"/>
        <v>2090.0858091409254</v>
      </c>
      <c r="AG35" s="31" t="s">
        <v>63</v>
      </c>
      <c r="AH35" s="73">
        <f>(Z26*AB26+Z27*AB27-AB31*X31)/AA35</f>
        <v>2.7459931778411099E-3</v>
      </c>
    </row>
    <row r="36" spans="3:35" ht="15.75" thickBot="1" x14ac:dyDescent="0.3">
      <c r="C36">
        <v>2.1071800296631609</v>
      </c>
      <c r="D36">
        <v>2.8350922655412045</v>
      </c>
      <c r="E36">
        <v>7.2849444468829168</v>
      </c>
      <c r="F36">
        <v>6.1290709297054313</v>
      </c>
      <c r="G36">
        <v>4.0246507210259157</v>
      </c>
      <c r="H36">
        <v>0.21292207917654202</v>
      </c>
      <c r="V36" s="86"/>
      <c r="W36" s="47">
        <f>AA27</f>
        <v>2.3429567059790474E-7</v>
      </c>
      <c r="X36" s="47">
        <f>AB27</f>
        <v>1.9999770315372596E-2</v>
      </c>
      <c r="Y36" s="47">
        <f>AC27</f>
        <v>0.98</v>
      </c>
      <c r="Z36" s="87"/>
      <c r="AA36" s="88"/>
      <c r="AB36" s="89">
        <f>Z27</f>
        <v>257.84154682791069</v>
      </c>
    </row>
    <row r="37" spans="3:35" ht="18.75" thickBot="1" x14ac:dyDescent="0.4">
      <c r="C37" s="74" t="s">
        <v>71</v>
      </c>
      <c r="D37" s="75" t="s">
        <v>72</v>
      </c>
      <c r="E37" s="75" t="s">
        <v>73</v>
      </c>
      <c r="F37" s="75" t="s">
        <v>74</v>
      </c>
      <c r="G37" s="75" t="s">
        <v>75</v>
      </c>
      <c r="H37" s="76" t="s">
        <v>76</v>
      </c>
      <c r="AG37" s="15" t="s">
        <v>77</v>
      </c>
      <c r="AH37" s="15" t="s">
        <v>78</v>
      </c>
      <c r="AI37" t="s">
        <v>79</v>
      </c>
    </row>
    <row r="38" spans="3:35" x14ac:dyDescent="0.25">
      <c r="C38">
        <v>0.43047242445194145</v>
      </c>
      <c r="D38">
        <v>0.32173183009668638</v>
      </c>
      <c r="E38">
        <v>5.425946787469077E-2</v>
      </c>
      <c r="F38">
        <v>8.6153182795249569E-2</v>
      </c>
      <c r="G38">
        <v>0.19991554264238187</v>
      </c>
      <c r="H38">
        <v>0.91835722352796123</v>
      </c>
      <c r="AG38" s="15">
        <f>(AH34-AH31)^2</f>
        <v>3.926407826273004E-11</v>
      </c>
      <c r="AH38" s="15">
        <f>(AH32-AH35)^2</f>
        <v>5.5227893179276251E-9</v>
      </c>
      <c r="AI38">
        <f>AG38</f>
        <v>3.926407826273004E-11</v>
      </c>
    </row>
    <row r="39" spans="3:35" ht="15.75" thickBot="1" x14ac:dyDescent="0.3"/>
    <row r="40" spans="3:35" ht="16.5" thickBot="1" x14ac:dyDescent="0.3">
      <c r="C40" s="9" t="s">
        <v>80</v>
      </c>
      <c r="D40" s="10" t="s">
        <v>81</v>
      </c>
      <c r="E40" s="3" t="s">
        <v>82</v>
      </c>
      <c r="G40" s="9" t="s">
        <v>83</v>
      </c>
      <c r="H40" s="10" t="s">
        <v>84</v>
      </c>
      <c r="I40" s="3" t="s">
        <v>85</v>
      </c>
      <c r="L40" s="90" t="s">
        <v>86</v>
      </c>
      <c r="M40" s="91" t="s">
        <v>87</v>
      </c>
      <c r="N40" s="91" t="s">
        <v>88</v>
      </c>
      <c r="O40" s="91" t="s">
        <v>89</v>
      </c>
      <c r="P40" s="91" t="s">
        <v>90</v>
      </c>
      <c r="Q40" s="91" t="s">
        <v>91</v>
      </c>
      <c r="R40" s="91" t="s">
        <v>92</v>
      </c>
      <c r="S40" s="91" t="s">
        <v>93</v>
      </c>
      <c r="T40" s="91" t="s">
        <v>94</v>
      </c>
      <c r="U40" s="91" t="s">
        <v>95</v>
      </c>
      <c r="V40" s="91" t="s">
        <v>96</v>
      </c>
      <c r="W40" s="91" t="s">
        <v>97</v>
      </c>
      <c r="X40" s="91" t="s">
        <v>98</v>
      </c>
      <c r="Y40" s="91" t="s">
        <v>99</v>
      </c>
      <c r="Z40" s="92" t="s">
        <v>100</v>
      </c>
      <c r="AF40" s="114" t="s">
        <v>124</v>
      </c>
      <c r="AG40" s="116"/>
    </row>
    <row r="41" spans="3:35" x14ac:dyDescent="0.25">
      <c r="C41">
        <f>1-D41-E41</f>
        <v>0.8635194699603036</v>
      </c>
      <c r="D41" s="47">
        <v>0.13520894600039929</v>
      </c>
      <c r="E41" s="47">
        <v>1.2715840392970084E-3</v>
      </c>
      <c r="F41" s="47"/>
      <c r="G41" s="47">
        <v>3.6193374714607013E-2</v>
      </c>
      <c r="H41" s="47">
        <v>0.5556780619513404</v>
      </c>
      <c r="I41">
        <f>1-G41-H41</f>
        <v>0.40812856333405256</v>
      </c>
      <c r="L41">
        <f>$C41+$D$38*$D41+$F$38*$E41</f>
        <v>0.90713004261463315</v>
      </c>
      <c r="M41">
        <f>$C$38*$C41+$D41+$H$38*$E41</f>
        <v>0.50809803418347788</v>
      </c>
      <c r="N41">
        <f>$E$38*$C41+$G$38*$D41+$E41</f>
        <v>7.5156060788552428E-2</v>
      </c>
      <c r="O41">
        <f>$D41*$D$36*$D$38+$E41*$F$36*$F$38</f>
        <v>0.12400085592486144</v>
      </c>
      <c r="P41">
        <f>$C41*$C$36*$C$38+$E41*$H$36*$H$38</f>
        <v>0.78353238534575009</v>
      </c>
      <c r="Q41">
        <f>$C41*$E$36*$E$38+$D41*$G$36*$G$38</f>
        <v>0.45011736350693654</v>
      </c>
      <c r="R41">
        <f>(O41/L41)-(C41*O41/L41^2)+(D41*$C$38/M41)*($C$36-P41/M41)+(E41*$E$38/N41)*($E$36-Q41/N41)</f>
        <v>7.2493709390183389E-2</v>
      </c>
      <c r="S41">
        <f>(P41/M41)-(D41*P41/M41^2)+(C41*$D$38/L41)*($D$36-O41/L41)+(E41*$G$38/N41)*($G$36-Q41/N41)</f>
        <v>1.9515051490281603</v>
      </c>
      <c r="T41">
        <f>(Q41/N41)-(E41*Q41/N41^2)+(C41*$F$38/L41)*($F$36-O41/L41)+(D41*$H$38/M41)*($H$36-P41/M41)</f>
        <v>6.0543895368733391</v>
      </c>
      <c r="U41">
        <f>EXP(R41)</f>
        <v>1.0751860424930078</v>
      </c>
      <c r="V41">
        <f>EXP(S41)</f>
        <v>7.0392747685195225</v>
      </c>
      <c r="W41">
        <f>EXP(T41)</f>
        <v>425.97878172572979</v>
      </c>
      <c r="X41">
        <f>U41/U47</f>
        <v>4.1913791154446989E-2</v>
      </c>
      <c r="Y41">
        <f>V41/V47</f>
        <v>4.1097729003679504</v>
      </c>
      <c r="Z41">
        <f>W41/W47</f>
        <v>320.96074769924593</v>
      </c>
      <c r="AE41" s="8" t="s">
        <v>14</v>
      </c>
      <c r="AF41" s="108">
        <f>AB31</f>
        <v>619.13025088715835</v>
      </c>
      <c r="AG41" s="108">
        <f>AA35</f>
        <v>287.20555585319136</v>
      </c>
    </row>
    <row r="42" spans="3:35" x14ac:dyDescent="0.25">
      <c r="C42">
        <f t="shared" ref="C42:C45" si="20">1-D42-E42</f>
        <v>0.97560950658362977</v>
      </c>
      <c r="D42">
        <v>2.3827774032064188E-2</v>
      </c>
      <c r="E42" s="47">
        <v>5.6271938430611204E-4</v>
      </c>
      <c r="G42" s="47">
        <v>1.0367138849458819E-2</v>
      </c>
      <c r="H42">
        <v>0.16247309497555446</v>
      </c>
      <c r="I42">
        <f t="shared" ref="I42:I45" si="21">1-G42-H42</f>
        <v>0.82715976617498677</v>
      </c>
      <c r="L42">
        <f>$C42+$D$38*$D42+$F$38*$E42</f>
        <v>0.98332413999607471</v>
      </c>
      <c r="M42">
        <f t="shared" ref="M42:M45" si="22">$C$38*$C42+$D42+$H$38*$E42</f>
        <v>0.44431754106087834</v>
      </c>
      <c r="N42">
        <f t="shared" ref="N42:N45" si="23">$E$38*$C42+$G$38*$D42+$E42</f>
        <v>5.8262314440603653E-2</v>
      </c>
      <c r="O42">
        <f t="shared" ref="O42:O45" si="24">$D42*$D$36*$D$38+$E42*$F$36*$F$38</f>
        <v>2.2031389822078824E-2</v>
      </c>
      <c r="P42">
        <f t="shared" ref="P42:P45" si="25">$C42*$C$36*$C$38+$E42*$H$36*$H$38</f>
        <v>0.88506873004066222</v>
      </c>
      <c r="Q42">
        <f t="shared" ref="Q42:Q45" si="26">$C42*$E$36*$E$38+$D42*$G$36*$G$38</f>
        <v>0.40480779727280974</v>
      </c>
      <c r="R42">
        <f>(O42/L42)-(C42*O42/L42^2)+(D42*$C$38/M42)*($C$36-P42/M42)+(E42*$E$38/N42)*($E$36-Q42/N42)</f>
        <v>3.011923326583339E-3</v>
      </c>
      <c r="S42">
        <f>(P42/M42)-(D42*P42/M42^2)+(C42*$D$38/L42)*($D$36-O42/L42)+(E42*$G$38/N42)*($G$36-Q42/N42)</f>
        <v>2.777335052132873</v>
      </c>
      <c r="T42">
        <f>(Q42/N42)-(E42*Q42/N42^2)+(C42*$F$38/L42)*($F$36-O42/L42)+(D42*$H$38/M42)*($H$36-P42/M42)</f>
        <v>7.3152783999492916</v>
      </c>
      <c r="U42">
        <f t="shared" ref="U42:W45" si="27">EXP(R42)</f>
        <v>1.0030164637249455</v>
      </c>
      <c r="V42">
        <f t="shared" si="27"/>
        <v>16.076121784937477</v>
      </c>
      <c r="W42">
        <f t="shared" si="27"/>
        <v>1503.0901980314384</v>
      </c>
      <c r="X42">
        <f t="shared" ref="X42:Z45" si="28">U42/U48</f>
        <v>1.0626320133947402E-2</v>
      </c>
      <c r="Y42">
        <f t="shared" si="28"/>
        <v>6.8186434360573811</v>
      </c>
      <c r="Z42">
        <f t="shared" si="28"/>
        <v>1469.9329530638652</v>
      </c>
      <c r="AE42" s="46" t="s">
        <v>13</v>
      </c>
      <c r="AF42" s="109">
        <f>W31</f>
        <v>3.6193374714607013E-2</v>
      </c>
      <c r="AG42" s="109">
        <f>S35</f>
        <v>0.99678660312492895</v>
      </c>
    </row>
    <row r="43" spans="3:35" x14ac:dyDescent="0.25">
      <c r="C43">
        <f t="shared" si="20"/>
        <v>0.99366963939427655</v>
      </c>
      <c r="D43">
        <v>5.8493535061569461E-3</v>
      </c>
      <c r="E43" s="47">
        <v>4.8100709956658218E-4</v>
      </c>
      <c r="G43" s="47">
        <v>3.2729862024884807E-3</v>
      </c>
      <c r="H43">
        <v>4.2954148991671104E-2</v>
      </c>
      <c r="I43">
        <f t="shared" si="21"/>
        <v>0.95377286480584034</v>
      </c>
      <c r="L43">
        <f t="shared" ref="L43:L45" si="29">$C43+$D$38*$D43+$F$38*$E43</f>
        <v>0.99559300289526964</v>
      </c>
      <c r="M43">
        <f t="shared" si="22"/>
        <v>0.43403846862495277</v>
      </c>
      <c r="N43">
        <f t="shared" si="23"/>
        <v>5.5566369656626376E-2</v>
      </c>
      <c r="O43">
        <f t="shared" si="24"/>
        <v>5.5894164250678601E-3</v>
      </c>
      <c r="P43">
        <f t="shared" si="25"/>
        <v>0.9014347897149636</v>
      </c>
      <c r="Q43">
        <f t="shared" si="26"/>
        <v>0.39748129461067033</v>
      </c>
      <c r="R43">
        <f>(O43/L43)-(C43*O43/L43^2)+(D43*$C$38/M43)*($C$36-P43/M43)+(E43*$E$38/N43)*($E$36-Q43/N43)</f>
        <v>2.4861892271721127E-4</v>
      </c>
      <c r="S43">
        <f>(P43/M43)-(D43*P43/M43^2)+(C43*$D$38/L43)*($D$36-O43/L43)+(E43*$G$38/N43)*($G$36-Q43/N43)</f>
        <v>2.9520259657527932</v>
      </c>
      <c r="T43">
        <f>(Q43/N43)-(E43*Q43/N43^2)+(C43*$F$38/L43)*($F$36-O43/L43)+(D43*$H$38/M43)*($H$36-P43/M43)</f>
        <v>7.5948165171032711</v>
      </c>
      <c r="U43">
        <f t="shared" si="27"/>
        <v>1.0002486498309631</v>
      </c>
      <c r="V43">
        <f t="shared" si="27"/>
        <v>19.144700973201868</v>
      </c>
      <c r="W43">
        <f t="shared" si="27"/>
        <v>1987.865078793473</v>
      </c>
      <c r="X43">
        <f t="shared" si="28"/>
        <v>3.2938373828961865E-3</v>
      </c>
      <c r="Y43">
        <f t="shared" si="28"/>
        <v>7.3434011035469435</v>
      </c>
      <c r="Z43">
        <f t="shared" si="28"/>
        <v>1982.8665017349538</v>
      </c>
      <c r="AE43" s="46" t="s">
        <v>15</v>
      </c>
      <c r="AF43" s="109">
        <f>X31</f>
        <v>0.5556780619513404</v>
      </c>
      <c r="AG43" s="109">
        <f>T35</f>
        <v>2.7458997334419448E-3</v>
      </c>
    </row>
    <row r="44" spans="3:35" ht="15.75" thickBot="1" x14ac:dyDescent="0.3">
      <c r="C44">
        <f t="shared" si="20"/>
        <v>0.99638269907773203</v>
      </c>
      <c r="D44">
        <v>3.1480625711175049E-3</v>
      </c>
      <c r="E44" s="47">
        <v>4.692383511504675E-4</v>
      </c>
      <c r="G44" s="47">
        <v>2.5880490119594866E-3</v>
      </c>
      <c r="H44">
        <v>2.3349655828425176E-2</v>
      </c>
      <c r="I44">
        <f t="shared" si="21"/>
        <v>0.97406229515961529</v>
      </c>
      <c r="L44">
        <f t="shared" si="29"/>
        <v>0.99743595738743773</v>
      </c>
      <c r="M44">
        <f t="shared" si="22"/>
        <v>0.43249426715441341</v>
      </c>
      <c r="N44">
        <f t="shared" si="23"/>
        <v>5.5161780039833477E-2</v>
      </c>
      <c r="O44">
        <f t="shared" si="24"/>
        <v>3.1192481122244847E-3</v>
      </c>
      <c r="P44">
        <f t="shared" si="25"/>
        <v>0.90389345850623581</v>
      </c>
      <c r="Q44">
        <f t="shared" si="26"/>
        <v>0.39638027296830591</v>
      </c>
      <c r="R44">
        <f>(O44/L44)-(C44*O44/L44^2)+(D44*$C$38/M44)*($C$36-P44/M44)+(E44*$E$38/N44)*($E$36-Q44/N44)</f>
        <v>1.0304677979282328E-4</v>
      </c>
      <c r="S44">
        <f>(P44/M44)-(D44*P44/M44^2)+(C44*$D$38/L44)*($D$36-O44/L44)+(E44*$G$38/N44)*($G$36-Q44/N44)</f>
        <v>2.9795376479199032</v>
      </c>
      <c r="T44">
        <f>(Q44/N44)-(E44*Q44/N44^2)+(C44*$F$38/L44)*($F$36-O44/L44)+(D44*$H$38/M44)*($H$36-P44/M44)</f>
        <v>7.6393160346371634</v>
      </c>
      <c r="U44">
        <f t="shared" si="27"/>
        <v>1.0001030520892946</v>
      </c>
      <c r="V44">
        <f t="shared" si="27"/>
        <v>19.678716045786683</v>
      </c>
      <c r="W44">
        <f t="shared" si="27"/>
        <v>2078.3218301874122</v>
      </c>
      <c r="X44">
        <f t="shared" si="28"/>
        <v>2.5974447514520325E-3</v>
      </c>
      <c r="Y44">
        <f t="shared" si="28"/>
        <v>7.417151121036369</v>
      </c>
      <c r="Z44">
        <f t="shared" si="28"/>
        <v>2075.8369233470835</v>
      </c>
      <c r="AE44" s="52" t="s">
        <v>16</v>
      </c>
      <c r="AF44" s="110">
        <f>Y31</f>
        <v>0.40812856333405256</v>
      </c>
      <c r="AG44" s="110">
        <f>U35</f>
        <v>4.6749714162906989E-4</v>
      </c>
    </row>
    <row r="45" spans="3:35" ht="15.75" thickBot="1" x14ac:dyDescent="0.3">
      <c r="C45">
        <f t="shared" si="20"/>
        <v>0.99678660312492895</v>
      </c>
      <c r="D45">
        <v>2.7458997334419448E-3</v>
      </c>
      <c r="E45" s="47">
        <v>4.6749714162906989E-4</v>
      </c>
      <c r="G45" s="47">
        <v>2.4942154775279509E-3</v>
      </c>
      <c r="H45">
        <v>2.039664298960768E-2</v>
      </c>
      <c r="I45">
        <f t="shared" si="21"/>
        <v>0.97710914153286443</v>
      </c>
      <c r="L45">
        <f t="shared" si="29"/>
        <v>0.99771032283813021</v>
      </c>
      <c r="M45">
        <f t="shared" si="22"/>
        <v>0.43226437481883906</v>
      </c>
      <c r="N45">
        <f t="shared" si="23"/>
        <v>5.5101555847060911E-2</v>
      </c>
      <c r="O45">
        <f t="shared" si="24"/>
        <v>2.7515001070016086E-3</v>
      </c>
      <c r="P45">
        <f t="shared" si="25"/>
        <v>0.9042594924855748</v>
      </c>
      <c r="Q45">
        <f t="shared" si="26"/>
        <v>0.39621635074165534</v>
      </c>
      <c r="R45">
        <f>(O45/L45)-(C45*O45/L45^2)+(D45*$C$38/M45)*($C$36-P45/M45)+(E45*$E$38/N45)*($E$36-Q45/N45)</f>
        <v>8.7706854721595492E-5</v>
      </c>
      <c r="S45">
        <f>(P45/M45)-(D45*P45/M45^2)+(C45*$D$38/L45)*($D$36-O45/L45)+(E45*$G$38/N45)*($G$36-Q45/N45)</f>
        <v>2.9836629592901995</v>
      </c>
      <c r="T45">
        <f>(Q45/N45)-(E45*Q45/N45^2)+(C45*$F$38/L45)*($F$36-O45/L45)+(D45*$H$38/M45)*($H$36-P45/M45)</f>
        <v>7.6459999369263105</v>
      </c>
      <c r="U45">
        <f t="shared" si="27"/>
        <v>1.0000877107010802</v>
      </c>
      <c r="V45">
        <f t="shared" si="27"/>
        <v>19.760064555442092</v>
      </c>
      <c r="W45">
        <f t="shared" si="27"/>
        <v>2092.2596578761741</v>
      </c>
      <c r="X45">
        <f t="shared" si="28"/>
        <v>2.5022562198703264E-3</v>
      </c>
      <c r="Y45">
        <f t="shared" si="28"/>
        <v>7.428036334030736</v>
      </c>
      <c r="Z45">
        <f t="shared" si="28"/>
        <v>2090.085809156401</v>
      </c>
    </row>
    <row r="46" spans="3:35" ht="16.5" thickBot="1" x14ac:dyDescent="0.3">
      <c r="L46" s="90" t="s">
        <v>101</v>
      </c>
      <c r="M46" s="91" t="s">
        <v>102</v>
      </c>
      <c r="N46" s="91" t="s">
        <v>103</v>
      </c>
      <c r="O46" s="91" t="s">
        <v>104</v>
      </c>
      <c r="P46" s="91" t="s">
        <v>105</v>
      </c>
      <c r="Q46" s="91" t="s">
        <v>106</v>
      </c>
      <c r="R46" s="91" t="s">
        <v>107</v>
      </c>
      <c r="S46" s="91" t="s">
        <v>108</v>
      </c>
      <c r="T46" s="91" t="s">
        <v>109</v>
      </c>
      <c r="U46" s="91" t="s">
        <v>110</v>
      </c>
      <c r="V46" s="91" t="s">
        <v>111</v>
      </c>
      <c r="W46" s="91" t="s">
        <v>112</v>
      </c>
      <c r="X46" s="91" t="s">
        <v>113</v>
      </c>
      <c r="Y46" s="91" t="s">
        <v>114</v>
      </c>
      <c r="Z46" s="92" t="s">
        <v>115</v>
      </c>
      <c r="AF46" s="114" t="s">
        <v>125</v>
      </c>
      <c r="AG46" s="116"/>
    </row>
    <row r="47" spans="3:35" ht="15.75" thickBot="1" x14ac:dyDescent="0.3">
      <c r="L47">
        <f>$G41+$D$38*$H41+$F$38*$I41</f>
        <v>0.25013426925167287</v>
      </c>
      <c r="M47">
        <f>$C$38*$G41+$H41+$H$38*$I41</f>
        <v>0.94606612597975115</v>
      </c>
      <c r="N47">
        <f>$E$38*$G41+$G$38*$H41+$I41</f>
        <v>0.52118107787612578</v>
      </c>
      <c r="O47">
        <f>$H41*$D$36*$D$38+$I41*$F$36*$F$38</f>
        <v>0.7223636523140009</v>
      </c>
      <c r="P47">
        <f>$G41*$C$36*$C$38+$I41*$H$36*$H$38</f>
        <v>0.11263525026180662</v>
      </c>
      <c r="Q47">
        <f>$G41*$E$36*$E$38+$H41*$G$36*$G$38</f>
        <v>0.46139955739764127</v>
      </c>
      <c r="R47">
        <f>(O47/L47)-(G41*O47/L47^2)+(H41*$C$38/M47)*($C$36-P47/M47)+(I41*$E$38/N47)*($E$36-Q47/N47)</f>
        <v>3.2446340711028538</v>
      </c>
      <c r="S47">
        <f>(P47/M47)-(H41*P47/M47^2)+(G41*$D$38/L47)*($D$36-O47/L47)+(I41*$G$38/N47)*($G$36-Q47/N47)</f>
        <v>0.53813737743157908</v>
      </c>
      <c r="T47">
        <f>(Q47/N47)-(I41*Q47/N47^2)+(G41*$F$38/L47)*($F$36-O47/L47)+(H41*$H$38/M47)*($H$36-P47/M47)</f>
        <v>0.28307070253105271</v>
      </c>
      <c r="U47">
        <f>EXP(R47)</f>
        <v>25.652321416859763</v>
      </c>
      <c r="V47">
        <f>EXP(S47)</f>
        <v>1.7128135639536901</v>
      </c>
      <c r="W47">
        <f>EXP(T47)</f>
        <v>1.3271989948281473</v>
      </c>
      <c r="X47">
        <f>U47/U41</f>
        <v>23.858495556155425</v>
      </c>
      <c r="Y47">
        <f>V47/V41</f>
        <v>0.24332244730857744</v>
      </c>
      <c r="Z47">
        <f>W47/W41</f>
        <v>3.1156457827579689E-3</v>
      </c>
      <c r="AE47" s="8" t="s">
        <v>14</v>
      </c>
      <c r="AF47" s="111">
        <f>AF41</f>
        <v>619.13025088715835</v>
      </c>
      <c r="AG47" s="111">
        <f>AG41</f>
        <v>287.20555585319136</v>
      </c>
    </row>
    <row r="48" spans="3:35" ht="15.75" thickBot="1" x14ac:dyDescent="0.3">
      <c r="C48" s="114" t="s">
        <v>116</v>
      </c>
      <c r="D48" s="115"/>
      <c r="E48" s="115"/>
      <c r="F48" s="115"/>
      <c r="G48" s="115"/>
      <c r="H48" s="115"/>
      <c r="I48" s="116"/>
      <c r="L48">
        <f t="shared" ref="L48:L51" si="30">$G42+$D$38*$H42+$F$38*$I42</f>
        <v>0.13390235157356623</v>
      </c>
      <c r="M48">
        <f t="shared" ref="M48:M51" si="31">$C$38*$G42+$H42+$H$38*$I42</f>
        <v>0.9265640086492094</v>
      </c>
      <c r="N48">
        <f t="shared" ref="N48:N51" si="32">$E$38*$G42+$G$38*$H42+$I42</f>
        <v>0.86020317855916661</v>
      </c>
      <c r="O48">
        <f t="shared" ref="O48:O51" si="33">$H42*$D$36*$D$38+$I42*$F$36*$F$38</f>
        <v>0.58497070456232481</v>
      </c>
      <c r="P48">
        <f t="shared" ref="P48:P51" si="34">$G42*$C$36*$C$38+$I42*$H$36*$H$38</f>
        <v>0.17114545863874583</v>
      </c>
      <c r="Q48">
        <f t="shared" ref="Q48:Q51" si="35">$G42*$E$36*$E$38+$H42*$G$36*$G$38</f>
        <v>0.1348221590282514</v>
      </c>
      <c r="R48">
        <f>(O48/L48)-(G42*O48/L48^2)+(H42*$C$38/M48)*($C$36-P48/M48)+(I42*$E$38/N48)*($E$36-Q48/N48)</f>
        <v>4.5474332473154391</v>
      </c>
      <c r="S48">
        <f>(P48/M48)-(H42*P48/M48^2)+(G42*$D$38/L48)*($D$36-O48/L48)+(I42*$G$38/N48)*($G$36-Q48/N48)</f>
        <v>0.85767450973165993</v>
      </c>
      <c r="T48">
        <f>(Q48/N48)-(I42*Q48/N48^2)+(G42*$F$38/L48)*($F$36-O48/L48)+(H42*$H$38/M48)*($H$36-P48/M48)</f>
        <v>2.230633137732066E-2</v>
      </c>
      <c r="U48">
        <f t="shared" ref="U48:W51" si="36">EXP(R48)</f>
        <v>94.389821789826968</v>
      </c>
      <c r="V48">
        <f t="shared" si="36"/>
        <v>2.3576715714339915</v>
      </c>
      <c r="W48">
        <f t="shared" si="36"/>
        <v>1.0225569777849131</v>
      </c>
      <c r="X48">
        <f t="shared" ref="X48:Z51" si="37">U48/U42</f>
        <v>94.105954591500335</v>
      </c>
      <c r="Y48">
        <f t="shared" si="37"/>
        <v>0.14665673742550345</v>
      </c>
      <c r="Z48">
        <f t="shared" si="37"/>
        <v>6.8030313757892356E-4</v>
      </c>
      <c r="AE48" s="46" t="s">
        <v>13</v>
      </c>
      <c r="AF48" s="109">
        <f>AF42</f>
        <v>3.6193374714607013E-2</v>
      </c>
      <c r="AG48" s="109">
        <f>AG42</f>
        <v>0.99678660312492895</v>
      </c>
    </row>
    <row r="49" spans="2:33" ht="15.75" thickBot="1" x14ac:dyDescent="0.3">
      <c r="B49" s="11" t="s">
        <v>117</v>
      </c>
      <c r="C49" s="10" t="s">
        <v>80</v>
      </c>
      <c r="D49" s="10" t="s">
        <v>81</v>
      </c>
      <c r="E49" s="10" t="s">
        <v>82</v>
      </c>
      <c r="F49" s="10"/>
      <c r="G49" s="10" t="s">
        <v>83</v>
      </c>
      <c r="H49" s="10" t="s">
        <v>84</v>
      </c>
      <c r="I49" s="10" t="s">
        <v>118</v>
      </c>
      <c r="J49" s="11" t="s">
        <v>117</v>
      </c>
      <c r="L49">
        <f t="shared" si="30"/>
        <v>9.9263271134590977E-2</v>
      </c>
      <c r="M49">
        <f t="shared" si="31"/>
        <v>0.92026727929685515</v>
      </c>
      <c r="N49">
        <f t="shared" si="32"/>
        <v>0.96253765729996021</v>
      </c>
      <c r="O49">
        <f t="shared" si="33"/>
        <v>0.54280941208288525</v>
      </c>
      <c r="P49">
        <f t="shared" si="34"/>
        <v>0.18946821322687127</v>
      </c>
      <c r="Q49">
        <f t="shared" si="35"/>
        <v>3.5854225590469718E-2</v>
      </c>
      <c r="R49">
        <f>(O49/L49)-(G43*O49/L49^2)+(H43*$C$38/M49)*($C$36-P49/M49)+(I43*$E$38/N49)*($E$36-Q49/N49)</f>
        <v>5.7159506350376752</v>
      </c>
      <c r="S49">
        <f>(P49/M49)-(H43*P49/M49^2)+(G43*$D$38/L49)*($D$36-O49/L49)+(I43*$G$38/N49)*($G$36-Q49/N49)</f>
        <v>0.95822386484120969</v>
      </c>
      <c r="T49">
        <f>(Q49/N49)-(I43*Q49/N49^2)+(G43*$F$38/L49)*($F$36-O49/L49)+(H43*$H$38/M49)*($H$36-P49/M49)</f>
        <v>2.5177122137779442E-3</v>
      </c>
      <c r="U49">
        <f t="shared" si="36"/>
        <v>303.67274809161046</v>
      </c>
      <c r="V49">
        <f t="shared" si="36"/>
        <v>2.6070618645568424</v>
      </c>
      <c r="W49">
        <f t="shared" si="36"/>
        <v>1.0025208843127591</v>
      </c>
      <c r="X49">
        <f t="shared" si="37"/>
        <v>303.59725868455769</v>
      </c>
      <c r="Y49">
        <f t="shared" si="37"/>
        <v>0.13617668242539402</v>
      </c>
      <c r="Z49">
        <f t="shared" si="37"/>
        <v>5.0432038623126035E-4</v>
      </c>
      <c r="AE49" s="46" t="s">
        <v>16</v>
      </c>
      <c r="AF49" s="109">
        <f>AF44</f>
        <v>0.40812856333405256</v>
      </c>
      <c r="AG49" s="109">
        <f>AG44</f>
        <v>4.6749714162906989E-4</v>
      </c>
    </row>
    <row r="50" spans="2:33" ht="15.75" thickBot="1" x14ac:dyDescent="0.3">
      <c r="B50" s="93">
        <f>SUM(C50:E50)</f>
        <v>0.99999999977758181</v>
      </c>
      <c r="C50">
        <f>G41*X47</f>
        <v>0.86351946979071958</v>
      </c>
      <c r="D50">
        <f>H41*Y47</f>
        <v>0.13520894594968746</v>
      </c>
      <c r="E50">
        <f>I41*Z47</f>
        <v>1.2715840371748095E-3</v>
      </c>
      <c r="G50">
        <f>C41*X41</f>
        <v>3.6193374721714924E-2</v>
      </c>
      <c r="H50">
        <f>D41*Y41</f>
        <v>0.55567806215975457</v>
      </c>
      <c r="I50">
        <f>E41*Z41</f>
        <v>0.40812856401519515</v>
      </c>
      <c r="J50" s="93">
        <f>SUM(G50:I50)</f>
        <v>1.0000000008966645</v>
      </c>
      <c r="L50">
        <f t="shared" si="30"/>
        <v>9.4018943482613151E-2</v>
      </c>
      <c r="M50">
        <f t="shared" si="31"/>
        <v>0.91900088448726158</v>
      </c>
      <c r="N50">
        <f t="shared" si="32"/>
        <v>0.97887068043729031</v>
      </c>
      <c r="O50">
        <f t="shared" si="33"/>
        <v>0.53564099086788208</v>
      </c>
      <c r="P50">
        <f t="shared" si="34"/>
        <v>0.19281428379138768</v>
      </c>
      <c r="Q50">
        <f t="shared" si="35"/>
        <v>1.9809901810405473E-2</v>
      </c>
      <c r="R50">
        <f>(O50/L50)-(G44*O50/L50^2)+(H44*$C$38/M50)*($C$36-P50/M50)+(I44*$E$38/N50)*($E$36-Q50/N50)</f>
        <v>5.9533301518902384</v>
      </c>
      <c r="S50">
        <f>(P50/M50)-(H44*P50/M50^2)+(G44*$D$38/L50)*($D$36-O50/L50)+(I44*$G$38/N50)*($G$36-Q50/N50)</f>
        <v>0.9757426104187048</v>
      </c>
      <c r="T50">
        <f>(Q50/N50)-(I44*Q50/N50^2)+(G44*$F$38/L50)*($F$36-O50/L50)+(H44*$H$38/M50)*($H$36-P50/M50)</f>
        <v>1.1963467378759316E-3</v>
      </c>
      <c r="U50">
        <f t="shared" si="36"/>
        <v>385.03342622791632</v>
      </c>
      <c r="V50">
        <f t="shared" si="36"/>
        <v>2.6531367265761001</v>
      </c>
      <c r="W50">
        <f t="shared" si="36"/>
        <v>1.0011970626460975</v>
      </c>
      <c r="X50">
        <f t="shared" si="37"/>
        <v>384.99375181742619</v>
      </c>
      <c r="Y50">
        <f t="shared" si="37"/>
        <v>0.13482265410014649</v>
      </c>
      <c r="Z50">
        <f t="shared" si="37"/>
        <v>4.8173341015034942E-4</v>
      </c>
      <c r="AE50" s="52" t="s">
        <v>15</v>
      </c>
      <c r="AF50" s="110">
        <f>AF43</f>
        <v>0.5556780619513404</v>
      </c>
      <c r="AG50" s="110">
        <f>AG43</f>
        <v>2.7458997334419448E-3</v>
      </c>
    </row>
    <row r="51" spans="2:33" x14ac:dyDescent="0.25">
      <c r="B51" s="93">
        <f t="shared" ref="B51:B54" si="38">SUM(C51:E51)</f>
        <v>0.99999999122369732</v>
      </c>
      <c r="C51">
        <f t="shared" ref="C51:E54" si="39">G42*X48</f>
        <v>0.97560949781095063</v>
      </c>
      <c r="D51">
        <f t="shared" si="39"/>
        <v>2.3827774028538772E-2</v>
      </c>
      <c r="E51">
        <f t="shared" si="39"/>
        <v>5.6271938420789222E-4</v>
      </c>
      <c r="G51">
        <f t="shared" ref="G51:I54" si="40">C42*X42</f>
        <v>1.0367138942680116E-2</v>
      </c>
      <c r="H51">
        <f t="shared" si="40"/>
        <v>0.162473094999593</v>
      </c>
      <c r="I51">
        <f t="shared" si="40"/>
        <v>0.82715976631936328</v>
      </c>
      <c r="J51" s="93">
        <f t="shared" ref="J51:J54" si="41">SUM(G51:I51)</f>
        <v>1.0000000002616365</v>
      </c>
      <c r="L51">
        <f t="shared" si="30"/>
        <v>9.3237527235793427E-2</v>
      </c>
      <c r="M51">
        <f t="shared" si="31"/>
        <v>0.91880557227523574</v>
      </c>
      <c r="N51">
        <f t="shared" si="32"/>
        <v>0.98132208228879025</v>
      </c>
      <c r="O51">
        <f t="shared" si="33"/>
        <v>0.53455628505582786</v>
      </c>
      <c r="P51">
        <f t="shared" si="34"/>
        <v>0.19332494485653859</v>
      </c>
      <c r="Q51">
        <f t="shared" si="35"/>
        <v>1.7396846265223923E-2</v>
      </c>
      <c r="R51">
        <f>(O51/L51)-(G45*O51/L51^2)+(H45*$C$38/M51)*($C$36-P51/M51)+(I45*$E$38/N51)*($E$36-Q51/N51)</f>
        <v>5.9906501730119661</v>
      </c>
      <c r="S51">
        <f>(P51/M51)-(H45*P51/M51^2)+(G45*$D$38/L51)*($D$36-O51/L51)+(I45*$G$38/N51)*($G$36-Q51/N51)</f>
        <v>0.97840142431591248</v>
      </c>
      <c r="T51">
        <f>(Q51/N51)-(I45*Q51/N51^2)+(G45*$F$38/L51)*($F$36-O51/L51)+(H45*$H$38/M51)*($H$36-P51/M51)</f>
        <v>1.0395357976377699E-3</v>
      </c>
      <c r="U51">
        <f t="shared" si="36"/>
        <v>399.67438296662817</v>
      </c>
      <c r="V51">
        <f t="shared" si="36"/>
        <v>2.6602003095910445</v>
      </c>
      <c r="W51">
        <f t="shared" si="36"/>
        <v>1.0010400763022502</v>
      </c>
      <c r="X51">
        <f t="shared" si="37"/>
        <v>399.63933032078654</v>
      </c>
      <c r="Y51">
        <f t="shared" si="37"/>
        <v>0.13462508192355083</v>
      </c>
      <c r="Z51">
        <f t="shared" si="37"/>
        <v>4.784492558243909E-4</v>
      </c>
    </row>
    <row r="52" spans="2:33" x14ac:dyDescent="0.25">
      <c r="B52" s="93">
        <f t="shared" si="38"/>
        <v>0.99999999939353101</v>
      </c>
      <c r="C52">
        <f t="shared" si="39"/>
        <v>0.99366963878788339</v>
      </c>
      <c r="D52">
        <f t="shared" si="39"/>
        <v>5.8493535060918549E-3</v>
      </c>
      <c r="E52">
        <f t="shared" si="39"/>
        <v>4.8100709955577707E-4</v>
      </c>
      <c r="G52">
        <f t="shared" si="40"/>
        <v>3.2729862044858413E-3</v>
      </c>
      <c r="H52">
        <f t="shared" si="40"/>
        <v>4.2954148992149103E-2</v>
      </c>
      <c r="I52">
        <f t="shared" si="40"/>
        <v>0.95377286482726542</v>
      </c>
      <c r="J52" s="93">
        <f t="shared" si="41"/>
        <v>1.0000000000239004</v>
      </c>
    </row>
    <row r="53" spans="2:33" x14ac:dyDescent="0.25">
      <c r="B53" s="93">
        <f t="shared" si="38"/>
        <v>0.99999999992392496</v>
      </c>
      <c r="C53">
        <f t="shared" si="39"/>
        <v>0.99638269900166565</v>
      </c>
      <c r="D53">
        <f t="shared" si="39"/>
        <v>3.1480625711132371E-3</v>
      </c>
      <c r="E53">
        <f t="shared" si="39"/>
        <v>4.6923835114611769E-4</v>
      </c>
      <c r="G53">
        <f t="shared" si="40"/>
        <v>2.5880490121570651E-3</v>
      </c>
      <c r="H53">
        <f t="shared" si="40"/>
        <v>2.3349655828456835E-2</v>
      </c>
      <c r="I53">
        <f t="shared" si="40"/>
        <v>0.97406229516864484</v>
      </c>
      <c r="J53" s="93">
        <f t="shared" si="41"/>
        <v>1.0000000000092588</v>
      </c>
    </row>
    <row r="54" spans="2:33" x14ac:dyDescent="0.25">
      <c r="B54" s="93">
        <f t="shared" si="38"/>
        <v>0.99999999999007805</v>
      </c>
      <c r="C54">
        <f t="shared" si="39"/>
        <v>0.99678660311501111</v>
      </c>
      <c r="D54">
        <f t="shared" si="39"/>
        <v>2.7458997334413528E-3</v>
      </c>
      <c r="E54">
        <f t="shared" si="39"/>
        <v>4.6749714162560842E-4</v>
      </c>
      <c r="G54">
        <f t="shared" si="40"/>
        <v>2.4942154775527679E-3</v>
      </c>
      <c r="H54">
        <f t="shared" si="40"/>
        <v>2.0396642989612079E-2</v>
      </c>
      <c r="I54">
        <f t="shared" si="40"/>
        <v>0.97710914154009909</v>
      </c>
      <c r="J54" s="93">
        <f t="shared" si="41"/>
        <v>1.000000000007264</v>
      </c>
    </row>
    <row r="55" spans="2:33" ht="15.75" thickBot="1" x14ac:dyDescent="0.3"/>
    <row r="56" spans="2:33" ht="15.75" thickBot="1" x14ac:dyDescent="0.3">
      <c r="C56" s="1" t="s">
        <v>119</v>
      </c>
      <c r="D56" s="2"/>
      <c r="E56" s="2"/>
      <c r="F56" s="2"/>
      <c r="G56" s="2"/>
      <c r="H56" s="2"/>
      <c r="I56" s="94"/>
    </row>
    <row r="57" spans="2:33" ht="15.75" thickBot="1" x14ac:dyDescent="0.3">
      <c r="C57" s="9" t="s">
        <v>120</v>
      </c>
      <c r="D57" s="10" t="s">
        <v>121</v>
      </c>
      <c r="E57" s="3" t="s">
        <v>122</v>
      </c>
      <c r="G57" s="9" t="s">
        <v>120</v>
      </c>
      <c r="H57" s="10" t="s">
        <v>121</v>
      </c>
      <c r="I57" s="3" t="s">
        <v>122</v>
      </c>
    </row>
    <row r="58" spans="2:33" x14ac:dyDescent="0.25">
      <c r="C58">
        <f>(C41+C50)/2</f>
        <v>0.86351946987551154</v>
      </c>
      <c r="D58">
        <f>(D41+D50)/2</f>
        <v>0.13520894597504338</v>
      </c>
      <c r="E58">
        <f>(E41+E50)/2</f>
        <v>1.2715840382359089E-3</v>
      </c>
      <c r="G58">
        <f>(G41+G50)/2</f>
        <v>3.6193374718160969E-2</v>
      </c>
      <c r="H58">
        <f>(H41+H50)/2</f>
        <v>0.55567806205554748</v>
      </c>
      <c r="I58">
        <f>(I41+I50)/2</f>
        <v>0.40812856367462386</v>
      </c>
    </row>
    <row r="59" spans="2:33" x14ac:dyDescent="0.25">
      <c r="C59">
        <f t="shared" ref="C59:E62" si="42">(C42+C51)/2</f>
        <v>0.97560950219729015</v>
      </c>
      <c r="D59">
        <f t="shared" si="42"/>
        <v>2.382777403030148E-2</v>
      </c>
      <c r="E59">
        <f t="shared" si="42"/>
        <v>5.6271938425700213E-4</v>
      </c>
      <c r="G59">
        <f t="shared" ref="G59:I62" si="43">(G42+G51)/2</f>
        <v>1.0367138896069467E-2</v>
      </c>
      <c r="H59">
        <f t="shared" si="43"/>
        <v>0.16247309498757373</v>
      </c>
      <c r="I59">
        <f t="shared" si="43"/>
        <v>0.82715976624717502</v>
      </c>
    </row>
    <row r="60" spans="2:33" x14ac:dyDescent="0.25">
      <c r="C60">
        <f t="shared" si="42"/>
        <v>0.99366963909107997</v>
      </c>
      <c r="D60">
        <f t="shared" si="42"/>
        <v>5.8493535061244009E-3</v>
      </c>
      <c r="E60">
        <f t="shared" si="42"/>
        <v>4.810070995611796E-4</v>
      </c>
      <c r="G60">
        <f t="shared" si="43"/>
        <v>3.272986203487161E-3</v>
      </c>
      <c r="H60">
        <f t="shared" si="43"/>
        <v>4.2954148991910107E-2</v>
      </c>
      <c r="I60">
        <f t="shared" si="43"/>
        <v>0.95377286481655288</v>
      </c>
    </row>
    <row r="61" spans="2:33" x14ac:dyDescent="0.25">
      <c r="C61">
        <f t="shared" si="42"/>
        <v>0.99638269903969889</v>
      </c>
      <c r="D61">
        <f t="shared" si="42"/>
        <v>3.1480625711153712E-3</v>
      </c>
      <c r="E61">
        <f t="shared" si="42"/>
        <v>4.6923835114829259E-4</v>
      </c>
      <c r="G61">
        <f t="shared" si="43"/>
        <v>2.5880490120582756E-3</v>
      </c>
      <c r="H61">
        <f t="shared" si="43"/>
        <v>2.3349655828441007E-2</v>
      </c>
      <c r="I61">
        <f t="shared" si="43"/>
        <v>0.97406229516413001</v>
      </c>
    </row>
    <row r="62" spans="2:33" x14ac:dyDescent="0.25">
      <c r="C62">
        <f t="shared" si="42"/>
        <v>0.99678660311997003</v>
      </c>
      <c r="D62">
        <f t="shared" si="42"/>
        <v>2.745899733441649E-3</v>
      </c>
      <c r="E62">
        <f t="shared" si="42"/>
        <v>4.6749714162733918E-4</v>
      </c>
      <c r="G62">
        <f t="shared" si="43"/>
        <v>2.4942154775403594E-3</v>
      </c>
      <c r="H62">
        <f t="shared" si="43"/>
        <v>2.039664298960988E-2</v>
      </c>
      <c r="I62">
        <f t="shared" si="43"/>
        <v>0.97710914153648176</v>
      </c>
    </row>
  </sheetData>
  <mergeCells count="5">
    <mergeCell ref="AD6:AD7"/>
    <mergeCell ref="C48:I48"/>
    <mergeCell ref="AD3:AD5"/>
    <mergeCell ref="AF40:AG40"/>
    <mergeCell ref="AF46:AG4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ODLADENIE">
                <anchor moveWithCells="1" sizeWithCells="1">
                  <from>
                    <xdr:col>9</xdr:col>
                    <xdr:colOff>28575</xdr:colOff>
                    <xdr:row>36</xdr:row>
                    <xdr:rowOff>47625</xdr:rowOff>
                  </from>
                  <to>
                    <xdr:col>11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1]!ODLADENIE">
                <anchor moveWithCells="1" sizeWithCells="1">
                  <from>
                    <xdr:col>9</xdr:col>
                    <xdr:colOff>28575</xdr:colOff>
                    <xdr:row>36</xdr:row>
                    <xdr:rowOff>47625</xdr:rowOff>
                  </from>
                  <to>
                    <xdr:col>11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DLADENIE">
                <anchor moveWithCells="1" sizeWithCells="1">
                  <from>
                    <xdr:col>9</xdr:col>
                    <xdr:colOff>28575</xdr:colOff>
                    <xdr:row>36</xdr:row>
                    <xdr:rowOff>47625</xdr:rowOff>
                  </from>
                  <to>
                    <xdr:col>11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2"/>
  <dimension ref="A1:AI62"/>
  <sheetViews>
    <sheetView zoomScale="40" zoomScaleNormal="40" workbookViewId="0">
      <selection activeCell="D58" sqref="D58:H62"/>
    </sheetView>
  </sheetViews>
  <sheetFormatPr defaultRowHeight="15" x14ac:dyDescent="0.25"/>
  <cols>
    <col min="5" max="5" width="13.5703125" bestFit="1" customWidth="1"/>
    <col min="7" max="9" width="9.28515625" bestFit="1" customWidth="1"/>
    <col min="12" max="17" width="9.28515625" bestFit="1" customWidth="1"/>
    <col min="20" max="24" width="13.85546875" bestFit="1" customWidth="1"/>
    <col min="25" max="25" width="16" bestFit="1" customWidth="1"/>
    <col min="26" max="26" width="9.28515625" bestFit="1" customWidth="1"/>
    <col min="33" max="34" width="15.7109375" bestFit="1" customWidth="1"/>
    <col min="35" max="35" width="18.5703125" bestFit="1" customWidth="1"/>
  </cols>
  <sheetData>
    <row r="1" spans="1:35" ht="15.75" thickBot="1" x14ac:dyDescent="0.3"/>
    <row r="2" spans="1:35" ht="15.75" thickBot="1" x14ac:dyDescent="0.3">
      <c r="B2" s="1" t="s">
        <v>0</v>
      </c>
      <c r="C2" s="2"/>
      <c r="D2" s="2"/>
      <c r="E2" s="3" t="s">
        <v>1</v>
      </c>
      <c r="G2" s="4" t="s">
        <v>2</v>
      </c>
      <c r="H2" s="4"/>
      <c r="I2" s="4"/>
      <c r="AB2" s="119"/>
      <c r="AE2" t="s">
        <v>3</v>
      </c>
    </row>
    <row r="3" spans="1:35" ht="15.75" thickBot="1" x14ac:dyDescent="0.3">
      <c r="B3" s="5" t="s">
        <v>4</v>
      </c>
      <c r="C3" s="6" t="s">
        <v>5</v>
      </c>
      <c r="D3" s="7" t="s">
        <v>6</v>
      </c>
      <c r="E3" s="8" t="s">
        <v>7</v>
      </c>
      <c r="G3" s="9" t="s">
        <v>8</v>
      </c>
      <c r="H3" s="10" t="s">
        <v>9</v>
      </c>
      <c r="I3" s="3" t="s">
        <v>10</v>
      </c>
      <c r="L3">
        <v>1</v>
      </c>
      <c r="M3">
        <v>2</v>
      </c>
      <c r="N3">
        <v>3</v>
      </c>
      <c r="O3">
        <v>4</v>
      </c>
      <c r="P3">
        <v>5</v>
      </c>
      <c r="Q3" s="8" t="s">
        <v>11</v>
      </c>
      <c r="S3" s="11" t="s">
        <v>12</v>
      </c>
      <c r="Z3" s="11" t="s">
        <v>13</v>
      </c>
      <c r="AF3" t="s">
        <v>14</v>
      </c>
      <c r="AG3" t="s">
        <v>13</v>
      </c>
      <c r="AH3" t="s">
        <v>15</v>
      </c>
      <c r="AI3" t="s">
        <v>16</v>
      </c>
    </row>
    <row r="4" spans="1:35" ht="15.75" thickBot="1" x14ac:dyDescent="0.3">
      <c r="A4" s="5" t="s">
        <v>17</v>
      </c>
      <c r="B4" s="12">
        <f>AA26</f>
        <v>0.54</v>
      </c>
      <c r="C4" s="12">
        <f t="shared" ref="C4:D4" si="0">AB26</f>
        <v>0.46</v>
      </c>
      <c r="D4" s="12">
        <f t="shared" si="0"/>
        <v>0</v>
      </c>
      <c r="E4" s="13">
        <f>AA30</f>
        <v>531.13269542899855</v>
      </c>
      <c r="G4" s="14" t="s">
        <v>18</v>
      </c>
      <c r="H4" s="15" t="s">
        <v>18</v>
      </c>
      <c r="I4" s="16" t="s">
        <v>18</v>
      </c>
      <c r="K4" s="11" t="s">
        <v>19</v>
      </c>
      <c r="L4" s="12">
        <f>E$10*$G$5+E$5</f>
        <v>335.51408247642649</v>
      </c>
      <c r="M4" s="17">
        <f>-$E$11*$G$6</f>
        <v>-2.9993687880210183</v>
      </c>
      <c r="N4" s="17">
        <v>0</v>
      </c>
      <c r="O4" s="17">
        <v>0</v>
      </c>
      <c r="P4" s="17">
        <v>0</v>
      </c>
      <c r="Q4" s="13">
        <f>$B$4*$E$4</f>
        <v>286.81165553165926</v>
      </c>
      <c r="T4" s="12">
        <f t="array" ref="T4:X8">MINVERSE(L4:P8)</f>
        <v>3.0107650239809746E-3</v>
      </c>
      <c r="U4" s="17">
        <v>3.20227543641494E-5</v>
      </c>
      <c r="V4" s="17">
        <v>7.1824236167584811E-8</v>
      </c>
      <c r="W4" s="17">
        <v>1.0254665644582581E-10</v>
      </c>
      <c r="X4" s="18">
        <v>1.3248337259951478E-13</v>
      </c>
      <c r="Z4" s="22">
        <f t="array" ref="Z4:Z8">MMULT(T4:X8,Q4:Q8)</f>
        <v>0.8635225009447991</v>
      </c>
      <c r="AD4" s="118" t="s">
        <v>17</v>
      </c>
      <c r="AE4" t="s">
        <v>20</v>
      </c>
      <c r="AF4">
        <v>531.13269542899855</v>
      </c>
      <c r="AG4">
        <v>0.54</v>
      </c>
      <c r="AH4">
        <v>0.46</v>
      </c>
      <c r="AI4">
        <v>0</v>
      </c>
    </row>
    <row r="5" spans="1:35" x14ac:dyDescent="0.25">
      <c r="A5" s="24" t="s">
        <v>21</v>
      </c>
      <c r="B5" s="25">
        <f>S31</f>
        <v>0.86352250094479921</v>
      </c>
      <c r="C5" s="26">
        <f t="shared" ref="C5:D9" si="1">T31</f>
        <v>0.13520594011809997</v>
      </c>
      <c r="D5" s="27">
        <f t="shared" si="1"/>
        <v>1.2715589371008198E-3</v>
      </c>
      <c r="E5" s="28">
        <f t="shared" ref="E5:E9" si="2">AA31</f>
        <v>317.08904417231156</v>
      </c>
      <c r="G5" s="14">
        <f>B10/B5</f>
        <v>4.1913687383465292E-2</v>
      </c>
      <c r="H5" s="15">
        <f t="shared" ref="H5:I9" si="3">C10/C5</f>
        <v>4.1098181811113417</v>
      </c>
      <c r="I5" s="16">
        <f t="shared" si="3"/>
        <v>320.97195422632041</v>
      </c>
      <c r="L5" s="29">
        <f>-$E$5</f>
        <v>-317.08904417231156</v>
      </c>
      <c r="M5" s="15">
        <f>$E$6+$E$11*$G$6</f>
        <v>282.62648935259944</v>
      </c>
      <c r="N5" s="15">
        <f>-$G$7*$E$12</f>
        <v>-0.61277236058130458</v>
      </c>
      <c r="O5" s="15">
        <v>0</v>
      </c>
      <c r="P5" s="15">
        <v>0</v>
      </c>
      <c r="Q5" s="28">
        <v>0</v>
      </c>
      <c r="T5" s="14">
        <v>3.3854004928125223E-3</v>
      </c>
      <c r="U5" s="15">
        <v>3.5821153743299805E-3</v>
      </c>
      <c r="V5" s="15">
        <v>8.0343713629284182E-6</v>
      </c>
      <c r="W5" s="15">
        <v>1.1471029333190978E-8</v>
      </c>
      <c r="X5" s="16">
        <v>1.4819797211544917E-11</v>
      </c>
      <c r="Z5" s="23">
        <v>0.97097231998125466</v>
      </c>
      <c r="AD5" s="118"/>
      <c r="AE5" t="s">
        <v>22</v>
      </c>
      <c r="AF5">
        <v>0</v>
      </c>
      <c r="AG5">
        <v>0.74967316816000285</v>
      </c>
      <c r="AH5">
        <v>3.2683091387313701E-4</v>
      </c>
      <c r="AI5">
        <v>0.25</v>
      </c>
    </row>
    <row r="6" spans="1:35" ht="15.75" thickBot="1" x14ac:dyDescent="0.3">
      <c r="A6" s="24" t="s">
        <v>23</v>
      </c>
      <c r="B6" s="25">
        <f t="shared" ref="B6:B9" si="4">S32</f>
        <v>0.97097231998125488</v>
      </c>
      <c r="C6" s="26">
        <f t="shared" si="1"/>
        <v>2.8442962797369763E-2</v>
      </c>
      <c r="D6" s="27">
        <f t="shared" si="1"/>
        <v>5.8471722137531999E-4</v>
      </c>
      <c r="E6" s="28">
        <f t="shared" si="2"/>
        <v>279.62712056457843</v>
      </c>
      <c r="G6" s="14">
        <f t="shared" ref="G6:G9" si="5">B11/B6</f>
        <v>1.3297954954719433E-2</v>
      </c>
      <c r="H6" s="15">
        <f t="shared" si="3"/>
        <v>6.6748923582316388</v>
      </c>
      <c r="I6" s="16">
        <f t="shared" si="3"/>
        <v>1363.4528104539074</v>
      </c>
      <c r="L6" s="14">
        <v>0</v>
      </c>
      <c r="M6" s="30">
        <f>-$E$6</f>
        <v>-279.62712056457843</v>
      </c>
      <c r="N6" s="15">
        <f>$E$7+$E$12*$G$7</f>
        <v>273.59360996690975</v>
      </c>
      <c r="O6" s="15">
        <f>-$E$13*$G$8</f>
        <v>-0.38794159877489842</v>
      </c>
      <c r="P6" s="15">
        <v>0</v>
      </c>
      <c r="Q6" s="28">
        <v>0</v>
      </c>
      <c r="T6" s="14">
        <v>3.4649941661781341E-3</v>
      </c>
      <c r="U6" s="15">
        <v>3.6663339835219144E-3</v>
      </c>
      <c r="V6" s="15">
        <v>3.6684936179762102E-3</v>
      </c>
      <c r="W6" s="15">
        <v>5.2376714990543964E-6</v>
      </c>
      <c r="X6" s="16">
        <v>6.7667187679557766E-9</v>
      </c>
      <c r="Z6" s="23">
        <v>0.99380071320909191</v>
      </c>
      <c r="AD6" s="118" t="s">
        <v>24</v>
      </c>
      <c r="AE6" t="s">
        <v>25</v>
      </c>
      <c r="AF6" s="95">
        <v>179.53765112162898</v>
      </c>
      <c r="AG6">
        <v>0</v>
      </c>
      <c r="AH6">
        <v>0</v>
      </c>
      <c r="AI6">
        <v>1</v>
      </c>
    </row>
    <row r="7" spans="1:35" x14ac:dyDescent="0.25">
      <c r="A7" s="24" t="s">
        <v>26</v>
      </c>
      <c r="B7" s="25">
        <f t="shared" si="4"/>
        <v>0.99380071320909202</v>
      </c>
      <c r="C7" s="26">
        <f t="shared" si="1"/>
        <v>5.7188511919761377E-3</v>
      </c>
      <c r="D7" s="27">
        <f t="shared" si="1"/>
        <v>4.8043559893179606E-4</v>
      </c>
      <c r="E7" s="28">
        <f t="shared" si="2"/>
        <v>272.98083760632846</v>
      </c>
      <c r="G7" s="14">
        <f t="shared" si="5"/>
        <v>3.2578815505567636E-3</v>
      </c>
      <c r="H7" s="15">
        <f t="shared" si="3"/>
        <v>7.346991063040873</v>
      </c>
      <c r="I7" s="16">
        <f t="shared" si="3"/>
        <v>1987.2506710909547</v>
      </c>
      <c r="L7" s="14">
        <v>0</v>
      </c>
      <c r="M7" s="15">
        <v>0</v>
      </c>
      <c r="N7" s="30">
        <f>-$E$7</f>
        <v>-272.98083760632846</v>
      </c>
      <c r="O7" s="15">
        <f>$E$8+$E$13*$G$8</f>
        <v>272.06739826825407</v>
      </c>
      <c r="P7" s="15">
        <f>-$E$14*$G$9</f>
        <v>-0.35066440346716871</v>
      </c>
      <c r="Q7" s="28">
        <v>0</v>
      </c>
      <c r="T7" s="14">
        <v>3.4811184986412581E-3</v>
      </c>
      <c r="U7" s="15">
        <v>3.6833952497855632E-3</v>
      </c>
      <c r="V7" s="15">
        <v>3.6855649340876429E-3</v>
      </c>
      <c r="W7" s="15">
        <v>3.6855698044755535E-3</v>
      </c>
      <c r="X7" s="16">
        <v>4.7615079279138314E-6</v>
      </c>
      <c r="Z7" s="23">
        <v>0.99842535969718338</v>
      </c>
      <c r="AD7" s="118"/>
      <c r="AE7" t="s">
        <v>27</v>
      </c>
      <c r="AF7" s="15">
        <v>0</v>
      </c>
      <c r="AG7" s="31">
        <v>4.0506397868165211E-6</v>
      </c>
      <c r="AH7" s="31">
        <v>1.9995887431844498E-2</v>
      </c>
      <c r="AI7">
        <v>0.98</v>
      </c>
    </row>
    <row r="8" spans="1:35" ht="15.75" thickBot="1" x14ac:dyDescent="0.3">
      <c r="A8" s="24" t="s">
        <v>28</v>
      </c>
      <c r="B8" s="25">
        <f t="shared" si="4"/>
        <v>0.99842535969718349</v>
      </c>
      <c r="C8" s="26">
        <f t="shared" si="1"/>
        <v>1.1141790244433949E-3</v>
      </c>
      <c r="D8" s="27">
        <f t="shared" si="1"/>
        <v>4.6046127837303503E-4</v>
      </c>
      <c r="E8" s="28">
        <f t="shared" si="2"/>
        <v>271.67945666947918</v>
      </c>
      <c r="G8" s="14">
        <f t="shared" si="5"/>
        <v>2.1380916268806684E-3</v>
      </c>
      <c r="H8" s="15">
        <f t="shared" si="3"/>
        <v>7.471979966274203</v>
      </c>
      <c r="I8" s="16">
        <f t="shared" si="3"/>
        <v>2149.0192514021182</v>
      </c>
      <c r="L8" s="19">
        <v>0</v>
      </c>
      <c r="M8" s="20">
        <v>0</v>
      </c>
      <c r="N8" s="20">
        <v>0</v>
      </c>
      <c r="O8" s="32">
        <f>-$E$8</f>
        <v>-271.67945666947918</v>
      </c>
      <c r="P8" s="20">
        <f>$E$9+$E$14*$G$9</f>
        <v>271.42622809603733</v>
      </c>
      <c r="Q8" s="33">
        <f>$E$15*$B$15</f>
        <v>0</v>
      </c>
      <c r="T8" s="19">
        <v>3.48436622704826E-3</v>
      </c>
      <c r="U8" s="20">
        <v>3.6868316933859791E-3</v>
      </c>
      <c r="V8" s="20">
        <v>3.6890034019068101E-3</v>
      </c>
      <c r="W8" s="20">
        <v>3.6890082768385765E-3</v>
      </c>
      <c r="X8" s="21">
        <v>3.6890082837996796E-3</v>
      </c>
      <c r="Z8" s="23">
        <v>0.99935684605831276</v>
      </c>
    </row>
    <row r="9" spans="1:35" ht="15.75" thickBot="1" x14ac:dyDescent="0.3">
      <c r="A9" s="34" t="s">
        <v>29</v>
      </c>
      <c r="B9" s="35">
        <f t="shared" si="4"/>
        <v>0.99935684605831299</v>
      </c>
      <c r="C9" s="36">
        <f t="shared" si="1"/>
        <v>1.8667140642200089E-4</v>
      </c>
      <c r="D9" s="37">
        <f t="shared" si="1"/>
        <v>4.564825352649254E-4</v>
      </c>
      <c r="E9" s="33">
        <f t="shared" si="2"/>
        <v>271.07556369257014</v>
      </c>
      <c r="G9" s="19">
        <f t="shared" si="5"/>
        <v>1.9466048502135304E-3</v>
      </c>
      <c r="H9" s="20">
        <f t="shared" si="3"/>
        <v>7.4968159725746846</v>
      </c>
      <c r="I9" s="21">
        <f t="shared" si="3"/>
        <v>2183.3369930717281</v>
      </c>
      <c r="AD9" t="s">
        <v>30</v>
      </c>
      <c r="AE9" t="s">
        <v>17</v>
      </c>
      <c r="AF9">
        <f>AF4+AF5</f>
        <v>531.13269542899855</v>
      </c>
      <c r="AG9">
        <f>(AG4*$AF$4+AG5*$AF$5)/$AF$9</f>
        <v>0.54</v>
      </c>
      <c r="AH9">
        <f t="shared" ref="AH9:AI9" si="6">(AH4*$AF$4+AH5*$AF$5)/$AF$9</f>
        <v>0.46</v>
      </c>
      <c r="AI9">
        <f t="shared" si="6"/>
        <v>0</v>
      </c>
    </row>
    <row r="10" spans="1:35" ht="15.75" thickBot="1" x14ac:dyDescent="0.3">
      <c r="A10" s="5" t="s">
        <v>31</v>
      </c>
      <c r="B10" s="38">
        <f t="shared" ref="B10:D15" si="7">W31</f>
        <v>3.6193412153188428E-2</v>
      </c>
      <c r="C10" s="39">
        <f t="shared" si="7"/>
        <v>0.55567183089161865</v>
      </c>
      <c r="D10" s="40">
        <f t="shared" si="7"/>
        <v>0.40813475695519297</v>
      </c>
      <c r="E10" s="13">
        <f t="shared" ref="E10:E15" si="8">AB31</f>
        <v>439.59478285805739</v>
      </c>
      <c r="L10">
        <v>1</v>
      </c>
      <c r="M10">
        <v>2</v>
      </c>
      <c r="N10">
        <v>3</v>
      </c>
      <c r="O10">
        <v>4</v>
      </c>
      <c r="P10">
        <v>5</v>
      </c>
      <c r="Q10" s="11" t="s">
        <v>32</v>
      </c>
      <c r="S10" s="11" t="s">
        <v>12</v>
      </c>
      <c r="Z10" s="11" t="s">
        <v>15</v>
      </c>
      <c r="AE10" t="s">
        <v>24</v>
      </c>
      <c r="AF10">
        <f>AF6+AF7</f>
        <v>179.53765112162898</v>
      </c>
      <c r="AG10">
        <f>(AG6*$AF$6+$AF$7*AG7)/$AF$10</f>
        <v>0</v>
      </c>
      <c r="AH10">
        <f>(AH6*$AF$6+$AF$7*AH7)/$AF$10</f>
        <v>0</v>
      </c>
      <c r="AI10">
        <f>(AI6*$AF$6+$AF$7*AI7)/$AF$10</f>
        <v>1</v>
      </c>
    </row>
    <row r="11" spans="1:35" ht="15.75" thickBot="1" x14ac:dyDescent="0.3">
      <c r="A11" s="24" t="s">
        <v>33</v>
      </c>
      <c r="B11" s="25">
        <f t="shared" si="7"/>
        <v>1.291194617339015E-2</v>
      </c>
      <c r="C11" s="26">
        <f t="shared" si="7"/>
        <v>0.18985371502163023</v>
      </c>
      <c r="D11" s="27">
        <f t="shared" si="7"/>
        <v>0.79723433880497963</v>
      </c>
      <c r="E11" s="28">
        <f t="shared" si="8"/>
        <v>225.5511316013704</v>
      </c>
      <c r="K11" s="11" t="s">
        <v>34</v>
      </c>
      <c r="L11" s="12">
        <f>E$10*$H$5+E$5</f>
        <v>2123.7436750840479</v>
      </c>
      <c r="M11" s="17">
        <f>-$E$11*$H$6</f>
        <v>-1505.5295247164861</v>
      </c>
      <c r="N11" s="17">
        <v>0</v>
      </c>
      <c r="O11" s="17">
        <v>0</v>
      </c>
      <c r="P11" s="17">
        <v>0</v>
      </c>
      <c r="Q11" s="13">
        <f>$C$4*$E$4</f>
        <v>244.32103989733935</v>
      </c>
      <c r="T11" s="12">
        <f t="array" ref="T11:X15">MINVERSE(L11:P15)</f>
        <v>5.5339458351447363E-4</v>
      </c>
      <c r="U11" s="17">
        <v>5.5274141376322825E-4</v>
      </c>
      <c r="V11" s="17">
        <v>5.4922470786157584E-4</v>
      </c>
      <c r="W11" s="17">
        <v>5.3142236022361464E-4</v>
      </c>
      <c r="X11" s="18">
        <v>4.4258488346545936E-4</v>
      </c>
      <c r="Z11">
        <f t="array" ref="Z11:Z15">MMULT(T11:X15,Q11:Q15)</f>
        <v>0.1352059401178112</v>
      </c>
    </row>
    <row r="12" spans="1:35" x14ac:dyDescent="0.25">
      <c r="A12" s="24" t="s">
        <v>35</v>
      </c>
      <c r="B12" s="25">
        <f t="shared" si="7"/>
        <v>3.2376850084940541E-3</v>
      </c>
      <c r="C12" s="26">
        <f t="shared" si="7"/>
        <v>4.2016348598309328E-2</v>
      </c>
      <c r="D12" s="27">
        <f t="shared" si="7"/>
        <v>0.95474596639319653</v>
      </c>
      <c r="E12" s="28">
        <f t="shared" si="8"/>
        <v>188.08920799363727</v>
      </c>
      <c r="L12" s="29">
        <f>-$E$5</f>
        <v>-317.08904417231156</v>
      </c>
      <c r="M12" s="15">
        <f>$E$6+$E$11*$H$6</f>
        <v>1785.1566452810646</v>
      </c>
      <c r="N12" s="15">
        <f>-$H$7*$E$12</f>
        <v>-1381.8897301836889</v>
      </c>
      <c r="O12" s="15">
        <v>0</v>
      </c>
      <c r="P12" s="15">
        <v>0</v>
      </c>
      <c r="Q12" s="28">
        <v>0</v>
      </c>
      <c r="T12" s="14">
        <v>1.1641634633345359E-4</v>
      </c>
      <c r="U12" s="15">
        <v>7.7971309241360131E-4</v>
      </c>
      <c r="V12" s="15">
        <v>7.7475232492737653E-4</v>
      </c>
      <c r="W12" s="15">
        <v>7.4963981628701137E-4</v>
      </c>
      <c r="X12" s="16">
        <v>6.2432309132202772E-4</v>
      </c>
      <c r="Z12">
        <v>2.8442962797238191E-2</v>
      </c>
    </row>
    <row r="13" spans="1:35" x14ac:dyDescent="0.25">
      <c r="A13" s="24" t="s">
        <v>36</v>
      </c>
      <c r="B13" s="25">
        <f t="shared" si="7"/>
        <v>2.1347249016338676E-3</v>
      </c>
      <c r="C13" s="26">
        <f t="shared" si="7"/>
        <v>8.3251233494839819E-3</v>
      </c>
      <c r="D13" s="27">
        <f t="shared" si="7"/>
        <v>0.9895401517488821</v>
      </c>
      <c r="E13" s="28">
        <f t="shared" si="8"/>
        <v>181.4429250353873</v>
      </c>
      <c r="L13" s="14">
        <v>0</v>
      </c>
      <c r="M13" s="30">
        <f>-$E$6</f>
        <v>-279.62712056457843</v>
      </c>
      <c r="N13" s="15">
        <f>$E$7+$E$12*$H$7</f>
        <v>1654.8705677900175</v>
      </c>
      <c r="O13" s="15">
        <f>-$E$13*$H$8</f>
        <v>-1355.737900886606</v>
      </c>
      <c r="P13" s="15">
        <v>0</v>
      </c>
      <c r="Q13" s="28">
        <v>0</v>
      </c>
      <c r="T13" s="14">
        <v>2.3407117104393041E-5</v>
      </c>
      <c r="U13" s="15">
        <v>1.5677210492139461E-4</v>
      </c>
      <c r="V13" s="15">
        <v>8.7481735860264515E-4</v>
      </c>
      <c r="W13" s="15">
        <v>8.4646138241540399E-4</v>
      </c>
      <c r="X13" s="16">
        <v>7.0495906897235941E-4</v>
      </c>
      <c r="Z13">
        <v>5.7188511919441061E-3</v>
      </c>
    </row>
    <row r="14" spans="1:35" x14ac:dyDescent="0.25">
      <c r="A14" s="24" t="s">
        <v>37</v>
      </c>
      <c r="B14" s="25">
        <f t="shared" si="7"/>
        <v>1.9453528836312086E-3</v>
      </c>
      <c r="C14" s="26">
        <f t="shared" si="7"/>
        <v>1.3994411812874369E-3</v>
      </c>
      <c r="D14" s="27">
        <f>Y35</f>
        <v>0.99665520593508139</v>
      </c>
      <c r="E14" s="28">
        <f>AB35</f>
        <v>180.14154409853802</v>
      </c>
      <c r="L14" s="14">
        <v>0</v>
      </c>
      <c r="M14" s="15">
        <v>0</v>
      </c>
      <c r="N14" s="30">
        <f>-$E$7</f>
        <v>-272.98083760632846</v>
      </c>
      <c r="O14" s="15">
        <f>$E$8+$E$13*$H$8</f>
        <v>1627.4173575560851</v>
      </c>
      <c r="P14" s="15">
        <f>-$E$14*$H$9</f>
        <v>-1350.4880051221867</v>
      </c>
      <c r="Q14" s="28">
        <v>0</v>
      </c>
      <c r="T14" s="14">
        <v>4.5603073108443765E-6</v>
      </c>
      <c r="U14" s="15">
        <v>3.0543230634554297E-5</v>
      </c>
      <c r="V14" s="15">
        <v>1.7043687944554576E-4</v>
      </c>
      <c r="W14" s="15">
        <v>8.7860965195575471E-4</v>
      </c>
      <c r="X14" s="16">
        <v>7.3173313644318469E-4</v>
      </c>
      <c r="Z14">
        <v>1.1141790244369371E-3</v>
      </c>
    </row>
    <row r="15" spans="1:35" ht="15.75" thickBot="1" x14ac:dyDescent="0.3">
      <c r="A15" s="34" t="s">
        <v>24</v>
      </c>
      <c r="B15" s="35">
        <f t="shared" si="7"/>
        <v>0</v>
      </c>
      <c r="C15" s="36">
        <f t="shared" si="7"/>
        <v>0</v>
      </c>
      <c r="D15" s="37">
        <f>Y36</f>
        <v>1</v>
      </c>
      <c r="E15" s="33">
        <f t="shared" si="8"/>
        <v>179.53765112162898</v>
      </c>
      <c r="L15" s="19">
        <v>0</v>
      </c>
      <c r="M15" s="20">
        <v>0</v>
      </c>
      <c r="N15" s="20">
        <v>0</v>
      </c>
      <c r="O15" s="32">
        <f>-$E$8</f>
        <v>-271.67945666947918</v>
      </c>
      <c r="P15" s="20">
        <f>$E$9+$E$14*$H$9</f>
        <v>1621.5635688147568</v>
      </c>
      <c r="Q15" s="33">
        <f>$E$15*$C$15</f>
        <v>0</v>
      </c>
      <c r="T15" s="19">
        <v>7.6404146977822696E-7</v>
      </c>
      <c r="U15" s="20">
        <v>5.1172636480674674E-6</v>
      </c>
      <c r="V15" s="20">
        <v>2.8555278186258429E-5</v>
      </c>
      <c r="W15" s="20">
        <v>1.4720372204857305E-4</v>
      </c>
      <c r="X15" s="21">
        <v>7.3928453006142107E-4</v>
      </c>
      <c r="Z15">
        <v>1.8667140642090798E-4</v>
      </c>
    </row>
    <row r="16" spans="1:35" ht="15.75" thickBot="1" x14ac:dyDescent="0.3"/>
    <row r="17" spans="1:35" ht="15.75" thickBot="1" x14ac:dyDescent="0.3">
      <c r="L17">
        <v>1</v>
      </c>
      <c r="M17">
        <v>2</v>
      </c>
      <c r="N17">
        <v>3</v>
      </c>
      <c r="O17">
        <v>4</v>
      </c>
      <c r="P17">
        <v>5</v>
      </c>
      <c r="Q17" s="11" t="s">
        <v>38</v>
      </c>
      <c r="S17" s="11" t="s">
        <v>12</v>
      </c>
      <c r="Z17" s="11" t="s">
        <v>16</v>
      </c>
    </row>
    <row r="18" spans="1:35" ht="15.75" thickBot="1" x14ac:dyDescent="0.3">
      <c r="A18" t="s">
        <v>4</v>
      </c>
      <c r="B18" t="s">
        <v>39</v>
      </c>
      <c r="K18" s="11" t="s">
        <v>40</v>
      </c>
      <c r="L18" s="12">
        <f>E$10*$I$5+E$5</f>
        <v>141414.68556581798</v>
      </c>
      <c r="M18" s="17">
        <f>-$E$11*$I$6</f>
        <v>-307528.32428294758</v>
      </c>
      <c r="N18" s="17">
        <v>0</v>
      </c>
      <c r="O18" s="17">
        <v>0</v>
      </c>
      <c r="P18" s="17">
        <v>0</v>
      </c>
      <c r="Q18" s="13">
        <f>$D$4*$E$4</f>
        <v>0</v>
      </c>
      <c r="T18" s="12">
        <f t="array" ref="T18:X22">MINVERSE(L18:P22)</f>
        <v>7.087292942276236E-6</v>
      </c>
      <c r="U18" s="17">
        <v>7.0872929422739778E-6</v>
      </c>
      <c r="V18" s="17">
        <v>7.0872929397901062E-6</v>
      </c>
      <c r="W18" s="17">
        <v>7.0872895387392504E-6</v>
      </c>
      <c r="X18" s="18">
        <v>7.0824082255765633E-6</v>
      </c>
      <c r="Z18">
        <f t="array" ref="Z18:Z22">MMULT(T18:X22,Q18:Q22)</f>
        <v>1.2715589371045204E-3</v>
      </c>
    </row>
    <row r="19" spans="1:35" x14ac:dyDescent="0.25">
      <c r="A19" t="s">
        <v>5</v>
      </c>
      <c r="B19" t="s">
        <v>41</v>
      </c>
      <c r="L19" s="29">
        <f>-$E$5</f>
        <v>-317.08904417231156</v>
      </c>
      <c r="M19" s="15">
        <f>$E$6+$E$11*$I$6</f>
        <v>307807.95140351215</v>
      </c>
      <c r="N19" s="15">
        <f>-$I$7*$E$12</f>
        <v>-373780.40481032181</v>
      </c>
      <c r="O19" s="15">
        <v>0</v>
      </c>
      <c r="P19" s="15">
        <v>0</v>
      </c>
      <c r="Q19" s="28">
        <v>0</v>
      </c>
      <c r="T19" s="14">
        <v>7.3076291430221195E-9</v>
      </c>
      <c r="U19" s="15">
        <v>3.2590406274980314E-6</v>
      </c>
      <c r="V19" s="15">
        <v>3.2590406263558409E-6</v>
      </c>
      <c r="W19" s="15">
        <v>3.2590390624070939E-6</v>
      </c>
      <c r="X19" s="16">
        <v>3.2567944256970961E-6</v>
      </c>
      <c r="Z19">
        <v>5.8471722137567127E-4</v>
      </c>
    </row>
    <row r="20" spans="1:35" x14ac:dyDescent="0.25">
      <c r="A20" t="s">
        <v>6</v>
      </c>
      <c r="B20" t="s">
        <v>42</v>
      </c>
      <c r="L20" s="14">
        <v>0</v>
      </c>
      <c r="M20" s="30">
        <f>-$E$6</f>
        <v>-279.62712056457843</v>
      </c>
      <c r="N20" s="15">
        <f>$E$7+$E$12*$I$7</f>
        <v>374053.38564792811</v>
      </c>
      <c r="O20" s="15">
        <f>-$E$13*$I$8</f>
        <v>-389924.33893175866</v>
      </c>
      <c r="P20" s="15">
        <v>0</v>
      </c>
      <c r="Q20" s="28">
        <v>0</v>
      </c>
      <c r="T20" s="14">
        <v>5.4668764558106528E-12</v>
      </c>
      <c r="U20" s="15">
        <v>2.4381057284512269E-9</v>
      </c>
      <c r="V20" s="15">
        <v>2.6778057461393266E-6</v>
      </c>
      <c r="W20" s="15">
        <v>2.6778044611136329E-6</v>
      </c>
      <c r="X20" s="16">
        <v>2.675960145019068E-6</v>
      </c>
      <c r="Z20">
        <v>4.8043559893181715E-4</v>
      </c>
    </row>
    <row r="21" spans="1:35" x14ac:dyDescent="0.25">
      <c r="L21" s="14">
        <v>0</v>
      </c>
      <c r="M21" s="15">
        <v>0</v>
      </c>
      <c r="N21" s="30">
        <f>-$E$7</f>
        <v>-272.98083760632846</v>
      </c>
      <c r="O21" s="15">
        <f>$E$8+$E$13*$I$8</f>
        <v>390196.01838842814</v>
      </c>
      <c r="P21" s="15">
        <f>-$E$14*$I$9</f>
        <v>-393309.69721940008</v>
      </c>
      <c r="Q21" s="28">
        <v>0</v>
      </c>
      <c r="T21" s="14">
        <v>3.8272855752880067E-15</v>
      </c>
      <c r="U21" s="15">
        <v>1.7068845365273118E-12</v>
      </c>
      <c r="V21" s="15">
        <v>1.8746952466301264E-9</v>
      </c>
      <c r="W21" s="15">
        <v>2.56647356719374E-6</v>
      </c>
      <c r="X21" s="16">
        <v>2.564705929349011E-6</v>
      </c>
      <c r="Z21">
        <v>4.6046127837303595E-4</v>
      </c>
    </row>
    <row r="22" spans="1:35" ht="15.75" thickBot="1" x14ac:dyDescent="0.3">
      <c r="L22" s="19">
        <v>0</v>
      </c>
      <c r="M22" s="20">
        <v>0</v>
      </c>
      <c r="N22" s="20">
        <v>0</v>
      </c>
      <c r="O22" s="32">
        <f>-$E$8</f>
        <v>-271.67945666947918</v>
      </c>
      <c r="P22" s="20">
        <f>$E$9+$E$14*$I$9</f>
        <v>393580.77278309263</v>
      </c>
      <c r="Q22" s="41">
        <f>$E$15*$D$15</f>
        <v>179.53765112162898</v>
      </c>
      <c r="T22" s="19">
        <v>2.6418843030887205E-18</v>
      </c>
      <c r="U22" s="20">
        <v>1.1782218430086799E-15</v>
      </c>
      <c r="V22" s="20">
        <v>1.2940575893071348E-12</v>
      </c>
      <c r="W22" s="20">
        <v>1.7715757285634559E-9</v>
      </c>
      <c r="X22" s="21">
        <v>2.5425448779859458E-6</v>
      </c>
      <c r="Z22">
        <v>4.5648253526492545E-4</v>
      </c>
    </row>
    <row r="24" spans="1:35" ht="15.75" thickBot="1" x14ac:dyDescent="0.3"/>
    <row r="25" spans="1:35" ht="15.75" thickBot="1" x14ac:dyDescent="0.3">
      <c r="R25" s="15"/>
      <c r="S25" s="15"/>
      <c r="T25" s="15"/>
      <c r="Y25" s="8"/>
      <c r="Z25" s="9" t="s">
        <v>43</v>
      </c>
      <c r="AA25" s="10" t="s">
        <v>13</v>
      </c>
      <c r="AB25" s="10" t="s">
        <v>15</v>
      </c>
      <c r="AC25" s="3" t="s">
        <v>16</v>
      </c>
      <c r="AE25" s="42" t="s">
        <v>44</v>
      </c>
      <c r="AF25" s="42" t="s">
        <v>45</v>
      </c>
      <c r="AG25" s="42" t="s">
        <v>46</v>
      </c>
      <c r="AH25" s="42" t="s">
        <v>47</v>
      </c>
      <c r="AI25" s="42" t="s">
        <v>48</v>
      </c>
    </row>
    <row r="26" spans="1:35" ht="15.75" thickBot="1" x14ac:dyDescent="0.3">
      <c r="L26" s="43" t="s">
        <v>49</v>
      </c>
      <c r="M26" s="44"/>
      <c r="N26" s="45"/>
      <c r="R26" s="15"/>
      <c r="S26" s="15"/>
      <c r="T26" s="15"/>
      <c r="Y26" s="46" t="s">
        <v>17</v>
      </c>
      <c r="Z26" s="47">
        <f>AF9</f>
        <v>531.13269542899855</v>
      </c>
      <c r="AA26" s="47">
        <f t="shared" ref="AA26:AC27" si="9">AG9</f>
        <v>0.54</v>
      </c>
      <c r="AB26" s="47">
        <f t="shared" si="9"/>
        <v>0.46</v>
      </c>
      <c r="AC26" s="47">
        <f t="shared" si="9"/>
        <v>0</v>
      </c>
      <c r="AE26">
        <f>Z27</f>
        <v>179.53765112162898</v>
      </c>
      <c r="AF26">
        <f>AE26/Z26</f>
        <v>0.33802786510180005</v>
      </c>
      <c r="AG26">
        <f>AB31*W31/Z26/AA26</f>
        <v>5.5473460891538963E-2</v>
      </c>
      <c r="AH26" s="48">
        <f>(X31*AB31-Z27*AB27)/Z26/AB26</f>
        <v>0.999792887030031</v>
      </c>
      <c r="AI26" s="49">
        <f>AA35*U35/AB36/AC27</f>
        <v>6.8922178601369712E-4</v>
      </c>
    </row>
    <row r="27" spans="1:35" ht="15.75" thickBot="1" x14ac:dyDescent="0.3">
      <c r="L27" s="12" t="s">
        <v>4</v>
      </c>
      <c r="M27" s="17" t="s">
        <v>5</v>
      </c>
      <c r="N27" s="18" t="s">
        <v>6</v>
      </c>
      <c r="O27" s="50" t="s">
        <v>50</v>
      </c>
      <c r="R27" s="15"/>
      <c r="S27" s="15"/>
      <c r="T27" s="15"/>
      <c r="U27" s="15"/>
      <c r="V27" s="15"/>
      <c r="W27" s="51"/>
      <c r="Y27" s="52" t="s">
        <v>24</v>
      </c>
      <c r="Z27" s="47">
        <f>AF10</f>
        <v>179.53765112162898</v>
      </c>
      <c r="AA27" s="47">
        <f>AG10</f>
        <v>0</v>
      </c>
      <c r="AB27" s="47">
        <f t="shared" si="9"/>
        <v>0</v>
      </c>
      <c r="AC27" s="47">
        <f t="shared" si="9"/>
        <v>1</v>
      </c>
    </row>
    <row r="28" spans="1:35" ht="15.75" thickBot="1" x14ac:dyDescent="0.3">
      <c r="L28" s="12">
        <f>Z4</f>
        <v>0.8635225009447991</v>
      </c>
      <c r="M28" s="17">
        <f>Z11</f>
        <v>0.1352059401178112</v>
      </c>
      <c r="N28" s="18">
        <f>Z18</f>
        <v>1.2715589371045204E-3</v>
      </c>
      <c r="O28" s="13">
        <f>SUM(L28:N28)</f>
        <v>0.99999999999971478</v>
      </c>
      <c r="R28" s="15"/>
      <c r="S28" s="15"/>
      <c r="T28" s="15"/>
      <c r="U28" s="15"/>
      <c r="V28" s="15"/>
      <c r="AG28" s="47"/>
    </row>
    <row r="29" spans="1:35" ht="21.75" thickBot="1" x14ac:dyDescent="0.4">
      <c r="L29" s="14">
        <f>Z5</f>
        <v>0.97097231998125466</v>
      </c>
      <c r="M29" s="15">
        <f t="shared" ref="M29:M32" si="10">Z12</f>
        <v>2.8442962797238191E-2</v>
      </c>
      <c r="N29" s="16">
        <f>Z19</f>
        <v>5.8471722137567127E-4</v>
      </c>
      <c r="O29" s="28">
        <f t="shared" ref="O29:O32" si="11">SUM(L29:N29)</f>
        <v>0.99999999999986855</v>
      </c>
      <c r="R29" s="15"/>
      <c r="S29" s="15"/>
      <c r="T29" s="15"/>
      <c r="U29" s="15"/>
      <c r="V29" s="15"/>
      <c r="AA29" s="9" t="s">
        <v>51</v>
      </c>
      <c r="AB29" s="3" t="s">
        <v>52</v>
      </c>
      <c r="AG29" s="42"/>
      <c r="AI29" s="53"/>
    </row>
    <row r="30" spans="1:35" ht="15.75" thickBot="1" x14ac:dyDescent="0.3">
      <c r="L30" s="14">
        <f>Z6</f>
        <v>0.99380071320909191</v>
      </c>
      <c r="M30" s="15">
        <f t="shared" si="10"/>
        <v>5.7188511919441061E-3</v>
      </c>
      <c r="N30" s="16">
        <f>Z20</f>
        <v>4.8043559893181715E-4</v>
      </c>
      <c r="O30" s="28">
        <f t="shared" si="11"/>
        <v>0.99999999999996791</v>
      </c>
      <c r="R30" s="11" t="s">
        <v>53</v>
      </c>
      <c r="S30" s="5" t="s">
        <v>54</v>
      </c>
      <c r="T30" s="6" t="s">
        <v>55</v>
      </c>
      <c r="U30" s="6" t="s">
        <v>56</v>
      </c>
      <c r="V30" s="54" t="s">
        <v>50</v>
      </c>
      <c r="W30" s="5" t="s">
        <v>57</v>
      </c>
      <c r="X30" s="6" t="s">
        <v>58</v>
      </c>
      <c r="Y30" s="6" t="s">
        <v>59</v>
      </c>
      <c r="Z30" s="55" t="s">
        <v>60</v>
      </c>
      <c r="AA30" s="56">
        <f>Z26</f>
        <v>531.13269542899855</v>
      </c>
      <c r="AB30" s="57"/>
      <c r="AC30" s="6" t="s">
        <v>8</v>
      </c>
      <c r="AD30" s="6" t="s">
        <v>9</v>
      </c>
      <c r="AE30" s="7" t="s">
        <v>10</v>
      </c>
      <c r="AG30" s="42" t="s">
        <v>61</v>
      </c>
    </row>
    <row r="31" spans="1:35" x14ac:dyDescent="0.25">
      <c r="L31" s="14">
        <f>Z7</f>
        <v>0.99842535969718338</v>
      </c>
      <c r="M31" s="15">
        <f t="shared" si="10"/>
        <v>1.1141790244369371E-3</v>
      </c>
      <c r="N31" s="16">
        <f>Z21</f>
        <v>4.6046127837303595E-4</v>
      </c>
      <c r="O31" s="28">
        <f t="shared" si="11"/>
        <v>0.99999999999999334</v>
      </c>
      <c r="R31" s="58">
        <v>1</v>
      </c>
      <c r="S31" s="59">
        <f>C41</f>
        <v>0.86352250094479921</v>
      </c>
      <c r="T31" s="60">
        <f t="shared" ref="T31:U35" si="12">D41</f>
        <v>0.13520594011809997</v>
      </c>
      <c r="U31" s="60">
        <f t="shared" si="12"/>
        <v>1.2715589371008198E-3</v>
      </c>
      <c r="V31" s="61">
        <f>SUM(S31:U31)</f>
        <v>1</v>
      </c>
      <c r="W31" s="60">
        <f>G41</f>
        <v>3.6193412153188428E-2</v>
      </c>
      <c r="X31" s="60">
        <f t="shared" ref="X31:Y35" si="13">H41</f>
        <v>0.55567183089161865</v>
      </c>
      <c r="Y31" s="60">
        <f t="shared" si="13"/>
        <v>0.40813475695519297</v>
      </c>
      <c r="Z31" s="62">
        <f>SUM(W31:Y31)</f>
        <v>1</v>
      </c>
      <c r="AA31" s="30">
        <f t="shared" ref="AA31:AA33" si="14">(AB33*(W32-W33)+AA32*(S32-W32))/(S31-W32)</f>
        <v>317.08904417231156</v>
      </c>
      <c r="AB31" s="30">
        <f>AA30+AB36-AA35</f>
        <v>439.59478285805739</v>
      </c>
      <c r="AC31" s="63">
        <f>W31/S31</f>
        <v>4.1913687383465292E-2</v>
      </c>
      <c r="AD31" s="64">
        <f t="shared" ref="AD31:AE35" si="15">X31/T31</f>
        <v>4.1098181811113417</v>
      </c>
      <c r="AE31" s="65">
        <f t="shared" si="15"/>
        <v>320.97195422632041</v>
      </c>
      <c r="AG31" t="s">
        <v>62</v>
      </c>
      <c r="AH31">
        <v>0.55567183919333374</v>
      </c>
    </row>
    <row r="32" spans="1:35" ht="15.75" thickBot="1" x14ac:dyDescent="0.3">
      <c r="L32" s="19">
        <f>Z8</f>
        <v>0.99935684605831276</v>
      </c>
      <c r="M32" s="20">
        <f t="shared" si="10"/>
        <v>1.8667140642090798E-4</v>
      </c>
      <c r="N32" s="21">
        <f>Z22</f>
        <v>4.5648253526492545E-4</v>
      </c>
      <c r="O32" s="33">
        <f t="shared" si="11"/>
        <v>0.99999999999999867</v>
      </c>
      <c r="R32" s="66">
        <v>2</v>
      </c>
      <c r="S32" s="67">
        <f t="shared" ref="S32:S35" si="16">C42</f>
        <v>0.97097231998125488</v>
      </c>
      <c r="T32" s="68">
        <f t="shared" si="12"/>
        <v>2.8442962797369763E-2</v>
      </c>
      <c r="U32" s="68">
        <f t="shared" si="12"/>
        <v>5.8471722137531999E-4</v>
      </c>
      <c r="V32" s="69">
        <f t="shared" ref="V32:V35" si="17">SUM(S32:U32)</f>
        <v>1</v>
      </c>
      <c r="W32" s="68">
        <f t="shared" ref="W32:W35" si="18">G42</f>
        <v>1.291194617339015E-2</v>
      </c>
      <c r="X32" s="68">
        <f t="shared" si="13"/>
        <v>0.18985371502163023</v>
      </c>
      <c r="Y32" s="68">
        <f t="shared" si="13"/>
        <v>0.79723433880497963</v>
      </c>
      <c r="Z32" s="70">
        <f t="shared" ref="Z32:Z35" si="19">SUM(W32:Y32)</f>
        <v>1</v>
      </c>
      <c r="AA32" s="30">
        <f t="shared" si="14"/>
        <v>279.62712056457843</v>
      </c>
      <c r="AB32" s="30">
        <f>AA31+AB33-AA32</f>
        <v>225.5511316013704</v>
      </c>
      <c r="AC32" s="71">
        <f t="shared" ref="AC32:AC35" si="20">W32/S32</f>
        <v>1.3297954954719433E-2</v>
      </c>
      <c r="AD32" s="15">
        <f t="shared" si="15"/>
        <v>6.6748923582316388</v>
      </c>
      <c r="AE32" s="72">
        <f t="shared" si="15"/>
        <v>1363.4528104539074</v>
      </c>
      <c r="AG32" s="31" t="s">
        <v>63</v>
      </c>
      <c r="AH32">
        <v>2.8203086494330174E-3</v>
      </c>
      <c r="AI32" s="47">
        <v>0.13520594401969205</v>
      </c>
    </row>
    <row r="33" spans="3:35" x14ac:dyDescent="0.25">
      <c r="R33" s="66">
        <v>3</v>
      </c>
      <c r="S33" s="67">
        <f t="shared" si="16"/>
        <v>0.99380071320909202</v>
      </c>
      <c r="T33" s="68">
        <f t="shared" si="12"/>
        <v>5.7188511919761377E-3</v>
      </c>
      <c r="U33" s="68">
        <f t="shared" si="12"/>
        <v>4.8043559893179606E-4</v>
      </c>
      <c r="V33" s="69">
        <f t="shared" si="17"/>
        <v>1</v>
      </c>
      <c r="W33" s="68">
        <f t="shared" si="18"/>
        <v>3.2376850084940541E-3</v>
      </c>
      <c r="X33" s="68">
        <f t="shared" si="13"/>
        <v>4.2016348598309328E-2</v>
      </c>
      <c r="Y33" s="68">
        <f t="shared" si="13"/>
        <v>0.95474596639319653</v>
      </c>
      <c r="Z33" s="70">
        <f t="shared" si="19"/>
        <v>0.99999999999999989</v>
      </c>
      <c r="AA33" s="30">
        <f t="shared" si="14"/>
        <v>272.98083760632846</v>
      </c>
      <c r="AB33" s="30">
        <f>AA32+AB34-AA33</f>
        <v>188.08920799363727</v>
      </c>
      <c r="AC33" s="71">
        <f t="shared" si="20"/>
        <v>3.2578815505567636E-3</v>
      </c>
      <c r="AD33" s="15">
        <f t="shared" si="15"/>
        <v>7.346991063040873</v>
      </c>
      <c r="AE33" s="72">
        <f t="shared" si="15"/>
        <v>1987.2506710909547</v>
      </c>
      <c r="AG33" t="s">
        <v>64</v>
      </c>
    </row>
    <row r="34" spans="3:35" ht="15.75" thickBot="1" x14ac:dyDescent="0.3">
      <c r="R34" s="66">
        <v>4</v>
      </c>
      <c r="S34" s="67">
        <f t="shared" si="16"/>
        <v>0.99842535969718349</v>
      </c>
      <c r="T34" s="68">
        <f t="shared" si="12"/>
        <v>1.1141790244433949E-3</v>
      </c>
      <c r="U34" s="68">
        <f t="shared" si="12"/>
        <v>4.6046127837303503E-4</v>
      </c>
      <c r="V34" s="69">
        <f t="shared" si="17"/>
        <v>1</v>
      </c>
      <c r="W34" s="68">
        <f t="shared" si="18"/>
        <v>2.1347249016338676E-3</v>
      </c>
      <c r="X34" s="68">
        <f t="shared" si="13"/>
        <v>8.3251233494839819E-3</v>
      </c>
      <c r="Y34" s="68">
        <f t="shared" si="13"/>
        <v>0.9895401517488821</v>
      </c>
      <c r="Z34" s="70">
        <f t="shared" si="19"/>
        <v>1</v>
      </c>
      <c r="AA34" s="30">
        <f>(AB36*(W35-W36)+AA35*(S35-W35))/(S34-W35)</f>
        <v>271.67945666947918</v>
      </c>
      <c r="AB34" s="30">
        <f>AA33+AB35-AA34</f>
        <v>181.4429250353873</v>
      </c>
      <c r="AC34" s="71">
        <f t="shared" si="20"/>
        <v>2.1380916268806684E-3</v>
      </c>
      <c r="AD34" s="15">
        <f t="shared" si="15"/>
        <v>7.471979966274203</v>
      </c>
      <c r="AE34" s="72">
        <f t="shared" si="15"/>
        <v>2149.0192514021182</v>
      </c>
      <c r="AG34" t="s">
        <v>62</v>
      </c>
      <c r="AH34" s="73">
        <f>(Z26*AB26+Z27*AB27-AA35*T35)/AB31</f>
        <v>0.55567183089043104</v>
      </c>
    </row>
    <row r="35" spans="3:35" ht="18.75" thickBot="1" x14ac:dyDescent="0.4">
      <c r="C35" s="74" t="s">
        <v>65</v>
      </c>
      <c r="D35" s="75" t="s">
        <v>66</v>
      </c>
      <c r="E35" s="75" t="s">
        <v>67</v>
      </c>
      <c r="F35" s="75" t="s">
        <v>68</v>
      </c>
      <c r="G35" s="75" t="s">
        <v>69</v>
      </c>
      <c r="H35" s="76" t="s">
        <v>70</v>
      </c>
      <c r="J35" s="77"/>
      <c r="R35" s="78">
        <v>5</v>
      </c>
      <c r="S35" s="79">
        <f t="shared" si="16"/>
        <v>0.99935684605831299</v>
      </c>
      <c r="T35" s="80">
        <f t="shared" si="12"/>
        <v>1.8667140642200089E-4</v>
      </c>
      <c r="U35" s="80">
        <f t="shared" si="12"/>
        <v>4.564825352649254E-4</v>
      </c>
      <c r="V35" s="81">
        <f t="shared" si="17"/>
        <v>1</v>
      </c>
      <c r="W35" s="80">
        <f t="shared" si="18"/>
        <v>1.9453528836312086E-3</v>
      </c>
      <c r="X35" s="80">
        <f>H45</f>
        <v>1.3994411812874369E-3</v>
      </c>
      <c r="Y35" s="80">
        <f t="shared" si="13"/>
        <v>0.99665520593508139</v>
      </c>
      <c r="Z35" s="82">
        <f t="shared" si="19"/>
        <v>1</v>
      </c>
      <c r="AA35" s="30">
        <f>(AA30*(AA26-W31)+AB36*(AA27-W31))/(S35-W31)</f>
        <v>271.07556369257014</v>
      </c>
      <c r="AB35" s="30">
        <f>AA34+AB36-AA35</f>
        <v>180.14154409853802</v>
      </c>
      <c r="AC35" s="83">
        <f t="shared" si="20"/>
        <v>1.9466048502135304E-3</v>
      </c>
      <c r="AD35" s="84">
        <f t="shared" si="15"/>
        <v>7.4968159725746846</v>
      </c>
      <c r="AE35" s="85">
        <f t="shared" si="15"/>
        <v>2183.3369930717281</v>
      </c>
      <c r="AG35" s="31" t="s">
        <v>63</v>
      </c>
      <c r="AH35" s="73">
        <f>(Z26*AB26+Z27*AB27-AB31*X31)/AA35</f>
        <v>1.8667140449611484E-4</v>
      </c>
    </row>
    <row r="36" spans="3:35" ht="15.75" thickBot="1" x14ac:dyDescent="0.3">
      <c r="C36">
        <v>2.1071800296631609</v>
      </c>
      <c r="D36">
        <v>2.8350922655412045</v>
      </c>
      <c r="E36">
        <v>7.2849444468829168</v>
      </c>
      <c r="F36">
        <v>6.1290709297054313</v>
      </c>
      <c r="G36">
        <v>4.0246507210259157</v>
      </c>
      <c r="H36">
        <v>0.21292207917654202</v>
      </c>
      <c r="V36" s="86"/>
      <c r="W36" s="47">
        <f>AA27</f>
        <v>0</v>
      </c>
      <c r="X36" s="47">
        <f>AB27</f>
        <v>0</v>
      </c>
      <c r="Y36" s="47">
        <f>AC27</f>
        <v>1</v>
      </c>
      <c r="Z36" s="87"/>
      <c r="AA36" s="88"/>
      <c r="AB36" s="89">
        <f>Z27</f>
        <v>179.53765112162898</v>
      </c>
    </row>
    <row r="37" spans="3:35" ht="18.75" thickBot="1" x14ac:dyDescent="0.4">
      <c r="C37" s="74" t="s">
        <v>71</v>
      </c>
      <c r="D37" s="75" t="s">
        <v>72</v>
      </c>
      <c r="E37" s="75" t="s">
        <v>73</v>
      </c>
      <c r="F37" s="75" t="s">
        <v>74</v>
      </c>
      <c r="G37" s="75" t="s">
        <v>75</v>
      </c>
      <c r="H37" s="76" t="s">
        <v>76</v>
      </c>
      <c r="AG37" s="15" t="s">
        <v>77</v>
      </c>
      <c r="AH37" s="15" t="s">
        <v>78</v>
      </c>
      <c r="AI37" t="s">
        <v>79</v>
      </c>
    </row>
    <row r="38" spans="3:35" x14ac:dyDescent="0.25">
      <c r="C38">
        <v>0.43047242445194145</v>
      </c>
      <c r="D38">
        <v>0.32173183009668638</v>
      </c>
      <c r="E38">
        <v>5.425946787469077E-2</v>
      </c>
      <c r="F38">
        <v>8.6153182795249569E-2</v>
      </c>
      <c r="G38">
        <v>0.19991554264238187</v>
      </c>
      <c r="H38">
        <v>0.91835722352796123</v>
      </c>
      <c r="AG38" s="15">
        <f>(AH34-AH31)^2</f>
        <v>6.8938193224231636E-17</v>
      </c>
      <c r="AH38" s="15">
        <f>(AH32-AH35)^2</f>
        <v>6.9360451379188392E-6</v>
      </c>
      <c r="AI38">
        <f>AG38+AH38</f>
        <v>6.9360451379877775E-6</v>
      </c>
    </row>
    <row r="39" spans="3:35" ht="15.75" thickBot="1" x14ac:dyDescent="0.3"/>
    <row r="40" spans="3:35" ht="16.5" thickBot="1" x14ac:dyDescent="0.3">
      <c r="C40" s="9" t="s">
        <v>80</v>
      </c>
      <c r="D40" s="10" t="s">
        <v>81</v>
      </c>
      <c r="E40" s="3" t="s">
        <v>82</v>
      </c>
      <c r="G40" s="9" t="s">
        <v>83</v>
      </c>
      <c r="H40" s="10" t="s">
        <v>84</v>
      </c>
      <c r="I40" s="3" t="s">
        <v>85</v>
      </c>
      <c r="L40" s="90" t="s">
        <v>86</v>
      </c>
      <c r="M40" s="91" t="s">
        <v>87</v>
      </c>
      <c r="N40" s="91" t="s">
        <v>88</v>
      </c>
      <c r="O40" s="91" t="s">
        <v>89</v>
      </c>
      <c r="P40" s="91" t="s">
        <v>90</v>
      </c>
      <c r="Q40" s="91" t="s">
        <v>91</v>
      </c>
      <c r="R40" s="91" t="s">
        <v>92</v>
      </c>
      <c r="S40" s="91" t="s">
        <v>93</v>
      </c>
      <c r="T40" s="91" t="s">
        <v>94</v>
      </c>
      <c r="U40" s="91" t="s">
        <v>95</v>
      </c>
      <c r="V40" s="91" t="s">
        <v>96</v>
      </c>
      <c r="W40" s="91" t="s">
        <v>97</v>
      </c>
      <c r="X40" s="91" t="s">
        <v>98</v>
      </c>
      <c r="Y40" s="91" t="s">
        <v>99</v>
      </c>
      <c r="Z40" s="92" t="s">
        <v>100</v>
      </c>
    </row>
    <row r="41" spans="3:35" x14ac:dyDescent="0.25">
      <c r="C41">
        <f>1-D41-E41</f>
        <v>0.86352250094479921</v>
      </c>
      <c r="D41" s="47">
        <v>0.13520594011809997</v>
      </c>
      <c r="E41" s="47">
        <v>1.2715589371008198E-3</v>
      </c>
      <c r="F41" s="47"/>
      <c r="G41" s="47">
        <v>3.6193412153188428E-2</v>
      </c>
      <c r="H41" s="47">
        <v>0.55567183089161865</v>
      </c>
      <c r="I41">
        <f>1-G41-H41</f>
        <v>0.40813475695519297</v>
      </c>
      <c r="L41">
        <f>$C41+$D$38*$D41+$F$38*$E41</f>
        <v>0.90713210434848146</v>
      </c>
      <c r="M41">
        <f>$C$38*$C41+$D41+$H$38*$E41</f>
        <v>0.50809631000363964</v>
      </c>
      <c r="N41">
        <f>$E$38*$C41+$G$38*$D41+$E41</f>
        <v>7.5155599223371117E-2</v>
      </c>
      <c r="O41">
        <f>$D41*$D$36*$D$38+$E41*$F$36*$F$38</f>
        <v>0.12399810088617731</v>
      </c>
      <c r="P41">
        <f>$C41*$C$36*$C$38+$E41*$H$36*$H$38</f>
        <v>0.78353512979149786</v>
      </c>
      <c r="Q41">
        <f>$C41*$E$36*$E$38+$D41*$G$36*$G$38</f>
        <v>0.45011614308248993</v>
      </c>
      <c r="R41">
        <f>(O41/L41)-(C41*O41/L41^2)+(D41*$C$38/M41)*($C$36-P41/M41)+(E41*$E$38/N41)*($E$36-Q41/N41)</f>
        <v>7.2490914819925645E-2</v>
      </c>
      <c r="S41">
        <f>(P41/M41)-(D41*P41/M41^2)+(C41*$D$38/L41)*($D$36-O41/L41)+(E41*$G$38/N41)*($G$36-Q41/N41)</f>
        <v>1.9515227526377721</v>
      </c>
      <c r="T41">
        <f>(Q41/N41)-(E41*Q41/N41^2)+(C41*$F$38/L41)*($F$36-O41/L41)+(D41*$H$38/M41)*($H$36-P41/M41)</f>
        <v>6.0544155134063216</v>
      </c>
      <c r="U41">
        <f>EXP(R41)</f>
        <v>1.0751830378142704</v>
      </c>
      <c r="V41">
        <f>EXP(S41)</f>
        <v>7.0393986862551943</v>
      </c>
      <c r="W41">
        <f>EXP(T41)</f>
        <v>425.98984732132539</v>
      </c>
      <c r="X41">
        <f>U41/U47</f>
        <v>4.1913687383465056E-2</v>
      </c>
      <c r="Y41">
        <f>V41/V47</f>
        <v>4.1098181811112822</v>
      </c>
      <c r="Z41">
        <f>W41/W47</f>
        <v>320.97195422630284</v>
      </c>
    </row>
    <row r="42" spans="3:35" x14ac:dyDescent="0.25">
      <c r="C42">
        <f t="shared" ref="C42:C45" si="21">1-D42-E42</f>
        <v>0.97097231998125488</v>
      </c>
      <c r="D42">
        <v>2.8442962797369763E-2</v>
      </c>
      <c r="E42" s="47">
        <v>5.8471722137531999E-4</v>
      </c>
      <c r="G42" s="47">
        <v>1.291194617339015E-2</v>
      </c>
      <c r="H42">
        <v>0.18985371502163023</v>
      </c>
      <c r="I42">
        <f t="shared" ref="I42:I45" si="22">1-G42-H42</f>
        <v>0.79723433880497963</v>
      </c>
      <c r="L42">
        <f>$C42+$D$38*$D42+$F$38*$E42</f>
        <v>0.98017370170508133</v>
      </c>
      <c r="M42">
        <f t="shared" ref="M42:M45" si="23">$C$38*$C42+$D42+$H$38*$E42</f>
        <v>0.44695675073939806</v>
      </c>
      <c r="N42">
        <f t="shared" ref="N42:N45" si="24">$E$38*$C42+$G$38*$D42+$E42</f>
        <v>5.8955348966605439E-2</v>
      </c>
      <c r="O42">
        <f t="shared" ref="O42:O45" si="25">$D42*$D$36*$D$38+$E42*$F$36*$F$38</f>
        <v>2.6252701155083522E-2</v>
      </c>
      <c r="P42">
        <f t="shared" ref="P42:P45" si="26">$C42*$C$36*$C$38+$E42*$H$36*$H$38</f>
        <v>0.8808667188122159</v>
      </c>
      <c r="Q42">
        <f t="shared" ref="Q42:Q45" si="27">$C42*$E$36*$E$38+$D42*$G$36*$G$38</f>
        <v>0.40668815889743254</v>
      </c>
      <c r="R42">
        <f>(O42/L42)-(C42*O42/L42^2)+(D42*$C$38/M42)*($C$36-P42/M42)+(E42*$E$38/N42)*($E$36-Q42/N42)</f>
        <v>4.1952555641221806E-3</v>
      </c>
      <c r="S42">
        <f>(P42/M42)-(D42*P42/M42^2)+(C42*$D$38/L42)*($D$36-O42/L42)+(E42*$G$38/N42)*($G$36-Q42/N42)</f>
        <v>2.7347362329077112</v>
      </c>
      <c r="T42">
        <f>(Q42/N42)-(E42*Q42/N42^2)+(C42*$F$38/L42)*($F$36-O42/L42)+(D42*$H$38/M42)*($H$36-P42/M42)</f>
        <v>7.2478863478964426</v>
      </c>
      <c r="U42">
        <f t="shared" ref="U42:W45" si="28">EXP(R42)</f>
        <v>1.0042040679678654</v>
      </c>
      <c r="V42">
        <f t="shared" si="28"/>
        <v>15.405679388714828</v>
      </c>
      <c r="W42">
        <f t="shared" si="28"/>
        <v>1405.131747587312</v>
      </c>
      <c r="X42">
        <f t="shared" ref="X42:Z45" si="29">U42/U48</f>
        <v>1.3297954954713921E-2</v>
      </c>
      <c r="Y42">
        <f t="shared" si="29"/>
        <v>6.6748923582315989</v>
      </c>
      <c r="Z42">
        <f t="shared" si="29"/>
        <v>1363.4528104538974</v>
      </c>
    </row>
    <row r="43" spans="3:35" x14ac:dyDescent="0.25">
      <c r="C43">
        <f t="shared" si="21"/>
        <v>0.99380071320909202</v>
      </c>
      <c r="D43">
        <v>5.7188511919761377E-3</v>
      </c>
      <c r="E43" s="47">
        <v>4.8043559893179606E-4</v>
      </c>
      <c r="G43" s="47">
        <v>3.2376850084940541E-3</v>
      </c>
      <c r="H43">
        <v>4.2016348598309328E-2</v>
      </c>
      <c r="I43">
        <f t="shared" si="22"/>
        <v>0.95474596639319653</v>
      </c>
      <c r="L43">
        <f t="shared" ref="L43:L45" si="30">$C43+$D$38*$D43+$F$38*$E43</f>
        <v>0.99568204072511324</v>
      </c>
      <c r="M43">
        <f t="shared" si="23"/>
        <v>0.43396386513188151</v>
      </c>
      <c r="N43">
        <f t="shared" si="24"/>
        <v>5.5546820710480241E-2</v>
      </c>
      <c r="O43">
        <f t="shared" si="25"/>
        <v>5.4700783448941477E-3</v>
      </c>
      <c r="P43">
        <f t="shared" si="26"/>
        <v>0.90155357278011894</v>
      </c>
      <c r="Q43">
        <f t="shared" si="27"/>
        <v>0.39742810421503494</v>
      </c>
      <c r="R43">
        <f>(O43/L43)-(C43*O43/L43^2)+(D43*$C$38/M43)*($C$36-P43/M43)+(E43*$E$38/N43)*($E$36-Q43/N43)</f>
        <v>2.3989609428597857E-4</v>
      </c>
      <c r="S43">
        <f>(P43/M43)-(D43*P43/M43^2)+(C43*$D$38/L43)*($D$36-O43/L43)+(E43*$G$38/N43)*($G$36-Q43/N43)</f>
        <v>2.9533472213310965</v>
      </c>
      <c r="T43">
        <f>(Q43/N43)-(E43*Q43/N43^2)+(C43*$F$38/L43)*($F$36-O43/L43)+(D43*$H$38/M43)*($H$36-P43/M43)</f>
        <v>7.5969506242332754</v>
      </c>
      <c r="U43">
        <f t="shared" si="28"/>
        <v>1.0002399248716551</v>
      </c>
      <c r="V43">
        <f t="shared" si="28"/>
        <v>19.170012734128058</v>
      </c>
      <c r="W43">
        <f t="shared" si="28"/>
        <v>1992.1119258330618</v>
      </c>
      <c r="X43">
        <f t="shared" si="29"/>
        <v>3.2578815505566318E-3</v>
      </c>
      <c r="Y43">
        <f t="shared" si="29"/>
        <v>7.3469910630408686</v>
      </c>
      <c r="Z43">
        <f t="shared" si="29"/>
        <v>1987.2506710909543</v>
      </c>
    </row>
    <row r="44" spans="3:35" x14ac:dyDescent="0.25">
      <c r="C44">
        <f t="shared" si="21"/>
        <v>0.99842535969718349</v>
      </c>
      <c r="D44">
        <v>1.1141790244433949E-3</v>
      </c>
      <c r="E44" s="47">
        <v>4.6046127837303503E-4</v>
      </c>
      <c r="G44" s="47">
        <v>2.1347249016338676E-3</v>
      </c>
      <c r="H44">
        <v>8.3251233494839819E-3</v>
      </c>
      <c r="I44">
        <f t="shared" si="22"/>
        <v>0.9895401517488821</v>
      </c>
      <c r="L44">
        <f t="shared" si="30"/>
        <v>0.99882349675845872</v>
      </c>
      <c r="M44">
        <f t="shared" si="23"/>
        <v>0.43133163218874049</v>
      </c>
      <c r="N44">
        <f t="shared" si="24"/>
        <v>5.4857231712411303E-2</v>
      </c>
      <c r="O44">
        <f t="shared" si="25"/>
        <v>1.2594281108850396E-3</v>
      </c>
      <c r="P44">
        <f t="shared" si="26"/>
        <v>0.90574460476082608</v>
      </c>
      <c r="Q44">
        <f t="shared" si="27"/>
        <v>0.39555124732088603</v>
      </c>
      <c r="R44">
        <f>(O44/L44)-(C44*O44/L44^2)+(D44*$C$38/M44)*($C$36-P44/M44)+(E44*$E$38/N44)*($E$36-Q44/N44)</f>
        <v>4.2498981018314101E-5</v>
      </c>
      <c r="S44">
        <f>(P44/M44)-(D44*P44/M44^2)+(C44*$D$38/L44)*($D$36-O44/L44)+(E44*$G$38/N44)*($G$36-Q44/N44)</f>
        <v>3.0004798261782835</v>
      </c>
      <c r="T44">
        <f>(Q44/N44)-(E44*Q44/N44^2)+(C44*$F$38/L44)*($F$36-O44/L44)+(D44*$H$38/M44)*($H$36-P44/M44)</f>
        <v>7.673277484872143</v>
      </c>
      <c r="U44">
        <f t="shared" si="28"/>
        <v>1.0000424998841129</v>
      </c>
      <c r="V44">
        <f t="shared" si="28"/>
        <v>20.095176802156484</v>
      </c>
      <c r="W44">
        <f t="shared" si="28"/>
        <v>2150.1168852405654</v>
      </c>
      <c r="X44">
        <f t="shared" si="29"/>
        <v>2.138091626880655E-3</v>
      </c>
      <c r="Y44">
        <f t="shared" si="29"/>
        <v>7.4719799662742012</v>
      </c>
      <c r="Z44">
        <f t="shared" si="29"/>
        <v>2149.0192514021178</v>
      </c>
      <c r="AD44">
        <v>12.759314481366351</v>
      </c>
      <c r="AE44">
        <v>0.99935684605831099</v>
      </c>
      <c r="AF44">
        <v>1.8667140642403509E-4</v>
      </c>
      <c r="AG44">
        <v>4.5648253526493472E-4</v>
      </c>
    </row>
    <row r="45" spans="3:35" ht="15.75" thickBot="1" x14ac:dyDescent="0.3">
      <c r="C45">
        <f t="shared" si="21"/>
        <v>0.99935684605831299</v>
      </c>
      <c r="D45">
        <v>1.8667140642200089E-4</v>
      </c>
      <c r="E45" s="47">
        <v>4.564825352649254E-4</v>
      </c>
      <c r="G45" s="47">
        <v>1.9453528836312086E-3</v>
      </c>
      <c r="H45">
        <v>1.3994411812874369E-3</v>
      </c>
      <c r="I45">
        <f t="shared" si="22"/>
        <v>0.99665520593508139</v>
      </c>
      <c r="L45">
        <f t="shared" si="30"/>
        <v>0.99945623161483133</v>
      </c>
      <c r="M45">
        <f t="shared" si="23"/>
        <v>0.43080144985546448</v>
      </c>
      <c r="N45">
        <f t="shared" si="24"/>
        <v>5.4718371734828915E-2</v>
      </c>
      <c r="O45">
        <f t="shared" si="25"/>
        <v>4.1131091587014146E-4</v>
      </c>
      <c r="P45">
        <f t="shared" si="26"/>
        <v>0.90658876210940453</v>
      </c>
      <c r="Q45">
        <f t="shared" si="27"/>
        <v>0.39517317907976213</v>
      </c>
      <c r="R45">
        <f>(O45/L45)-(C45*O45/L45^2)+(D45*$C$38/M45)*($C$36-P45/M45)+(E45*$E$38/N45)*($E$36-Q45/N45)</f>
        <v>2.9071135961635505E-5</v>
      </c>
      <c r="S45">
        <f>(P45/M45)-(D45*P45/M45^2)+(C45*$D$38/L45)*($D$36-O45/L45)+(E45*$G$38/N45)*($G$36-Q45/N45)</f>
        <v>3.0100957417514249</v>
      </c>
      <c r="T45">
        <f>(Q45/N45)-(E45*Q45/N45^2)+(C45*$F$38/L45)*($F$36-O45/L45)+(D45*$H$38/M45)*($H$36-P45/M45)</f>
        <v>7.6888969168162644</v>
      </c>
      <c r="U45">
        <f t="shared" si="28"/>
        <v>1.0000290715585312</v>
      </c>
      <c r="V45">
        <f t="shared" si="28"/>
        <v>20.289342369426652</v>
      </c>
      <c r="W45">
        <f t="shared" si="28"/>
        <v>2183.964138908429</v>
      </c>
      <c r="X45">
        <f t="shared" si="29"/>
        <v>1.9466048502135291E-3</v>
      </c>
      <c r="Y45">
        <f t="shared" si="29"/>
        <v>7.4968159725746828</v>
      </c>
      <c r="Z45">
        <f t="shared" si="29"/>
        <v>2183.3369930717281</v>
      </c>
      <c r="AD45">
        <v>20.691382146178647</v>
      </c>
      <c r="AE45">
        <v>3.6193412153179866E-2</v>
      </c>
      <c r="AF45">
        <v>0.55567183089309369</v>
      </c>
      <c r="AG45">
        <v>0.40813475695372647</v>
      </c>
    </row>
    <row r="46" spans="3:35" ht="16.5" thickBot="1" x14ac:dyDescent="0.3">
      <c r="L46" s="90" t="s">
        <v>101</v>
      </c>
      <c r="M46" s="91" t="s">
        <v>102</v>
      </c>
      <c r="N46" s="91" t="s">
        <v>103</v>
      </c>
      <c r="O46" s="91" t="s">
        <v>104</v>
      </c>
      <c r="P46" s="91" t="s">
        <v>105</v>
      </c>
      <c r="Q46" s="91" t="s">
        <v>106</v>
      </c>
      <c r="R46" s="91" t="s">
        <v>107</v>
      </c>
      <c r="S46" s="91" t="s">
        <v>108</v>
      </c>
      <c r="T46" s="91" t="s">
        <v>109</v>
      </c>
      <c r="U46" s="91" t="s">
        <v>110</v>
      </c>
      <c r="V46" s="91" t="s">
        <v>111</v>
      </c>
      <c r="W46" s="91" t="s">
        <v>112</v>
      </c>
      <c r="X46" s="91" t="s">
        <v>113</v>
      </c>
      <c r="Y46" s="91" t="s">
        <v>114</v>
      </c>
      <c r="Z46" s="92" t="s">
        <v>115</v>
      </c>
    </row>
    <row r="47" spans="3:35" ht="15.75" thickBot="1" x14ac:dyDescent="0.3">
      <c r="L47">
        <f>$G41+$D$38*$H41+$F$38*$I41</f>
        <v>0.25013283556018079</v>
      </c>
      <c r="M47">
        <f>$C$38*$G41+$H41+$H$38*$I41</f>
        <v>0.94606559899302023</v>
      </c>
      <c r="N47">
        <f>$E$38*$G41+$G$38*$H41+$I41</f>
        <v>0.52118602784297818</v>
      </c>
      <c r="O47">
        <f>$H41*$D$36*$D$38+$I41*$F$36*$F$38</f>
        <v>0.72236123919209727</v>
      </c>
      <c r="P47">
        <f>$G41*$C$36*$C$38+$I41*$H$36*$H$38</f>
        <v>0.11263649531327333</v>
      </c>
      <c r="Q47">
        <f>$G41*$E$36*$E$38+$H41*$G$36*$G$38</f>
        <v>0.46139455874646695</v>
      </c>
      <c r="R47">
        <f>(O47/L47)-(G41*O47/L47^2)+(H41*$C$38/M47)*($C$36-P47/M47)+(I41*$E$38/N47)*($E$36-Q47/N47)</f>
        <v>3.2446337523551723</v>
      </c>
      <c r="S47">
        <f>(P47/M47)-(H41*P47/M47^2)+(G41*$D$38/L47)*($D$36-O47/L47)+(I41*$G$38/N47)*($G$36-Q47/N47)</f>
        <v>0.5381439632806031</v>
      </c>
      <c r="T47">
        <f>(Q47/N47)-(I41*Q47/N47^2)+(G41*$F$38/L47)*($F$36-O47/L47)+(H41*$H$38/M47)*($H$36-P47/M47)</f>
        <v>0.28306176410480516</v>
      </c>
      <c r="U47">
        <f>EXP(R47)</f>
        <v>25.652313240243089</v>
      </c>
      <c r="V47">
        <f>EXP(S47)</f>
        <v>1.7128248443223739</v>
      </c>
      <c r="W47">
        <f>EXP(T47)</f>
        <v>1.3271871318108346</v>
      </c>
      <c r="X47">
        <f>U47/U41</f>
        <v>23.858554625630479</v>
      </c>
      <c r="Y47">
        <f>V47/V41</f>
        <v>0.24331976645487588</v>
      </c>
      <c r="Z47">
        <f>W47/W41</f>
        <v>3.1155370020115375E-3</v>
      </c>
    </row>
    <row r="48" spans="3:35" ht="15.75" thickBot="1" x14ac:dyDescent="0.3">
      <c r="C48" s="114" t="s">
        <v>116</v>
      </c>
      <c r="D48" s="115"/>
      <c r="E48" s="115"/>
      <c r="F48" s="115"/>
      <c r="G48" s="115"/>
      <c r="H48" s="115"/>
      <c r="I48" s="116"/>
      <c r="L48">
        <f t="shared" ref="L48:L51" si="31">$G42+$D$38*$H42+$F$38*$I42</f>
        <v>0.14267820507966933</v>
      </c>
      <c r="M48">
        <f t="shared" ref="M48:M51" si="32">$C$38*$G42+$H42+$H$38*$I42</f>
        <v>0.92755786568137355</v>
      </c>
      <c r="N48">
        <f t="shared" ref="N48:N51" si="33">$E$38*$G42+$G$38*$H42+$I42</f>
        <v>0.83588964259479581</v>
      </c>
      <c r="O48">
        <f t="shared" ref="O48:O51" si="34">$H42*$D$36*$D$38+$I42*$F$36*$F$38</f>
        <v>0.59414385574431283</v>
      </c>
      <c r="P48">
        <f t="shared" ref="P48:P51" si="35">$G42*$C$36*$C$38+$I42*$H$36*$H$38</f>
        <v>0.16760223577481537</v>
      </c>
      <c r="Q48">
        <f t="shared" ref="Q48:Q51" si="36">$G42*$E$36*$E$38+$H42*$G$36*$G$38</f>
        <v>0.15785824282334165</v>
      </c>
      <c r="R48">
        <f>(O48/L48)-(G42*O48/L48^2)+(H42*$C$38/M48)*($C$36-P48/M48)+(I42*$E$38/N48)*($E$36-Q48/N48)</f>
        <v>4.3243402739447276</v>
      </c>
      <c r="S48">
        <f>(P48/M48)-(H42*P48/M48^2)+(G42*$D$38/L48)*($D$36-O48/L48)+(I42*$G$38/N48)*($G$36-Q48/N48)</f>
        <v>0.83638315485905057</v>
      </c>
      <c r="T48">
        <f>(Q48/N48)-(I42*Q48/N48^2)+(G42*$F$38/L48)*($F$36-O48/L48)+(H42*$H$38/M48)*($H$36-P48/M48)</f>
        <v>3.0110755337763688E-2</v>
      </c>
      <c r="U48">
        <f t="shared" ref="U48:W51" si="37">EXP(R48)</f>
        <v>75.515676762906352</v>
      </c>
      <c r="V48">
        <f t="shared" si="37"/>
        <v>2.3080041687438246</v>
      </c>
      <c r="W48">
        <f t="shared" si="37"/>
        <v>1.0305686686138698</v>
      </c>
      <c r="X48">
        <f t="shared" ref="X48:Z51" si="38">U48/U42</f>
        <v>75.199532815797014</v>
      </c>
      <c r="Y48">
        <f t="shared" si="38"/>
        <v>0.14981515001763013</v>
      </c>
      <c r="Z48">
        <f t="shared" si="38"/>
        <v>7.3343205744472889E-4</v>
      </c>
    </row>
    <row r="49" spans="2:26" ht="15.75" thickBot="1" x14ac:dyDescent="0.3">
      <c r="B49" s="11" t="s">
        <v>117</v>
      </c>
      <c r="C49" s="10" t="s">
        <v>80</v>
      </c>
      <c r="D49" s="10" t="s">
        <v>81</v>
      </c>
      <c r="E49" s="10" t="s">
        <v>82</v>
      </c>
      <c r="F49" s="10"/>
      <c r="G49" s="10" t="s">
        <v>83</v>
      </c>
      <c r="H49" s="10" t="s">
        <v>84</v>
      </c>
      <c r="I49" s="10" t="s">
        <v>118</v>
      </c>
      <c r="J49" s="11" t="s">
        <v>117</v>
      </c>
      <c r="L49">
        <f t="shared" si="31"/>
        <v>9.901008550270872E-2</v>
      </c>
      <c r="M49">
        <f t="shared" si="32"/>
        <v>0.9202079375849036</v>
      </c>
      <c r="N49">
        <f t="shared" si="33"/>
        <v>0.96332136258878576</v>
      </c>
      <c r="O49">
        <f t="shared" si="34"/>
        <v>0.54246784293122885</v>
      </c>
      <c r="P49">
        <f t="shared" si="35"/>
        <v>0.18962647097099328</v>
      </c>
      <c r="Q49">
        <f t="shared" si="36"/>
        <v>3.5085726796174374E-2</v>
      </c>
      <c r="R49">
        <f>(O49/L49)-(G43*O49/L49^2)+(H43*$C$38/M49)*($C$36-P49/M49)+(I43*$E$38/N49)*($E$36-Q49/N49)</f>
        <v>5.7269180220471601</v>
      </c>
      <c r="S49">
        <f>(P49/M49)-(H43*P49/M49^2)+(G43*$D$38/L49)*($D$36-O49/L49)+(I43*$G$38/N49)*($G$36-Q49/N49)</f>
        <v>0.95905637110299669</v>
      </c>
      <c r="T49">
        <f>(Q49/N49)-(I43*Q49/N49^2)+(G43*$F$38/L49)*($F$36-O49/L49)+(H43*$H$38/M49)*($H$36-P49/M49)</f>
        <v>2.4432340818064525E-3</v>
      </c>
      <c r="U49">
        <f t="shared" si="37"/>
        <v>307.02157501728607</v>
      </c>
      <c r="V49">
        <f t="shared" si="37"/>
        <v>2.6092331635685593</v>
      </c>
      <c r="W49">
        <f t="shared" si="37"/>
        <v>1.0024462212104519</v>
      </c>
      <c r="X49">
        <f t="shared" si="38"/>
        <v>306.9479305744382</v>
      </c>
      <c r="Y49">
        <f t="shared" si="38"/>
        <v>0.13611014242694708</v>
      </c>
      <c r="Z49">
        <f t="shared" si="38"/>
        <v>5.0320778075320675E-4</v>
      </c>
    </row>
    <row r="50" spans="2:26" x14ac:dyDescent="0.25">
      <c r="B50" s="93">
        <f>SUM(C50:E50)</f>
        <v>1.0000000000000071</v>
      </c>
      <c r="C50">
        <f>G41*X47</f>
        <v>0.86352250094480421</v>
      </c>
      <c r="D50">
        <f>H41*Y47</f>
        <v>0.13520594011810194</v>
      </c>
      <c r="E50">
        <f>I41*Z47</f>
        <v>1.2715589371008894E-3</v>
      </c>
      <c r="G50">
        <f>C41*X41</f>
        <v>3.619341215318822E-2</v>
      </c>
      <c r="H50">
        <f>D41*Y41</f>
        <v>0.55567183089161054</v>
      </c>
      <c r="I50">
        <f>E41*Z41</f>
        <v>0.4081347569551706</v>
      </c>
      <c r="J50" s="93">
        <f>SUM(G50:I50)</f>
        <v>0.99999999999996936</v>
      </c>
      <c r="L50">
        <f t="shared" si="31"/>
        <v>9.006521564950444E-2</v>
      </c>
      <c r="M50">
        <f t="shared" si="32"/>
        <v>0.91799540988296902</v>
      </c>
      <c r="N50">
        <f t="shared" si="33"/>
        <v>0.99132030233808044</v>
      </c>
      <c r="O50">
        <f t="shared" si="34"/>
        <v>0.53010943390332088</v>
      </c>
      <c r="P50">
        <f t="shared" si="35"/>
        <v>0.19542959856117359</v>
      </c>
      <c r="Q50">
        <f t="shared" si="36"/>
        <v>7.5421210356772152E-3</v>
      </c>
      <c r="R50">
        <f>(O50/L50)-(G44*O50/L50^2)+(H44*$C$38/M50)*($C$36-P50/M50)+(I44*$E$38/N50)*($E$36-Q50/N50)</f>
        <v>6.1478841099265722</v>
      </c>
      <c r="S50">
        <f>(P50/M50)-(H44*P50/M50^2)+(G44*$D$38/L50)*($D$36-O50/L50)+(I44*$G$38/N50)*($G$36-Q50/N50)</f>
        <v>0.98931980642848927</v>
      </c>
      <c r="T50">
        <f>(Q50/N50)-(I44*Q50/N50^2)+(G44*$F$38/L50)*($F$36-O50/L50)+(H44*$H$38/M50)*($H$36-P50/M50)</f>
        <v>5.1062996258350061E-4</v>
      </c>
      <c r="U50">
        <f t="shared" si="37"/>
        <v>467.72668079857442</v>
      </c>
      <c r="V50">
        <f t="shared" si="37"/>
        <v>2.6894045343883146</v>
      </c>
      <c r="W50">
        <f t="shared" si="37"/>
        <v>1.0005107603562562</v>
      </c>
      <c r="X50">
        <f t="shared" si="38"/>
        <v>467.70680331363479</v>
      </c>
      <c r="Y50">
        <f t="shared" si="38"/>
        <v>0.13383333527574165</v>
      </c>
      <c r="Z50">
        <f t="shared" si="38"/>
        <v>4.6532854433367898E-4</v>
      </c>
    </row>
    <row r="51" spans="2:26" x14ac:dyDescent="0.25">
      <c r="B51" s="93">
        <f t="shared" ref="B51:B54" si="39">SUM(C51:E51)</f>
        <v>1.0000000000004026</v>
      </c>
      <c r="C51">
        <f t="shared" ref="C51:E54" si="40">G42*X48</f>
        <v>0.97097231998165723</v>
      </c>
      <c r="D51">
        <f t="shared" si="40"/>
        <v>2.8442962797369933E-2</v>
      </c>
      <c r="E51">
        <f t="shared" si="40"/>
        <v>5.8471722137532422E-4</v>
      </c>
      <c r="G51">
        <f t="shared" ref="G51:I54" si="41">C42*X42</f>
        <v>1.29119461733848E-2</v>
      </c>
      <c r="H51">
        <f t="shared" si="41"/>
        <v>0.18985371502162909</v>
      </c>
      <c r="I51">
        <f t="shared" si="41"/>
        <v>0.79723433880497374</v>
      </c>
      <c r="J51" s="93">
        <f t="shared" ref="J51:J54" si="42">SUM(G51:I51)</f>
        <v>0.99999999999998757</v>
      </c>
      <c r="L51">
        <f t="shared" si="31"/>
        <v>8.8260615796761657E-2</v>
      </c>
      <c r="M51">
        <f t="shared" si="32"/>
        <v>0.91752236969074841</v>
      </c>
      <c r="N51">
        <f t="shared" si="33"/>
        <v>0.99704052979052893</v>
      </c>
      <c r="O51">
        <f t="shared" si="34"/>
        <v>0.52754927203691659</v>
      </c>
      <c r="P51">
        <f t="shared" si="35"/>
        <v>0.19664908967523878</v>
      </c>
      <c r="Q51">
        <f t="shared" si="36"/>
        <v>1.8949303646187347E-3</v>
      </c>
      <c r="R51">
        <f>(O51/L51)-(G45*O51/L51^2)+(H45*$C$38/M51)*($C$36-P51/M51)+(I45*$E$38/N51)*($E$36-Q51/N51)</f>
        <v>6.2416975974775708</v>
      </c>
      <c r="S51">
        <f>(P51/M51)-(H45*P51/M51^2)+(G45*$D$38/L51)*($D$36-O51/L51)+(I45*$G$38/N51)*($G$36-Q51/N51)</f>
        <v>0.9956173483405435</v>
      </c>
      <c r="T51">
        <f>(Q51/N51)-(I45*Q51/N51^2)+(G45*$F$38/L51)*($F$36-O51/L51)+(H45*$H$38/M51)*($H$36-P51/M51)</f>
        <v>2.8720064042280559E-4</v>
      </c>
      <c r="U51">
        <f t="shared" si="37"/>
        <v>513.72987766306801</v>
      </c>
      <c r="V51">
        <f t="shared" si="37"/>
        <v>2.7063946138801303</v>
      </c>
      <c r="W51">
        <f t="shared" si="37"/>
        <v>1.0002872418864752</v>
      </c>
      <c r="X51">
        <f t="shared" si="38"/>
        <v>513.71494316902931</v>
      </c>
      <c r="Y51">
        <f t="shared" si="38"/>
        <v>0.13338996230643277</v>
      </c>
      <c r="Z51">
        <f t="shared" si="38"/>
        <v>4.5801449944431346E-4</v>
      </c>
    </row>
    <row r="52" spans="2:26" x14ac:dyDescent="0.25">
      <c r="B52" s="93">
        <f t="shared" si="39"/>
        <v>1.0000000000000402</v>
      </c>
      <c r="C52">
        <f t="shared" si="40"/>
        <v>0.99380071320913232</v>
      </c>
      <c r="D52">
        <f t="shared" si="40"/>
        <v>5.7188511919761412E-3</v>
      </c>
      <c r="E52">
        <f t="shared" si="40"/>
        <v>4.8043559893179612E-4</v>
      </c>
      <c r="G52">
        <f t="shared" si="41"/>
        <v>3.2376850084939231E-3</v>
      </c>
      <c r="H52">
        <f t="shared" si="41"/>
        <v>4.20163485983093E-2</v>
      </c>
      <c r="I52">
        <f t="shared" si="41"/>
        <v>0.95474596639319631</v>
      </c>
      <c r="J52" s="93">
        <f t="shared" si="42"/>
        <v>0.99999999999999956</v>
      </c>
    </row>
    <row r="53" spans="2:26" x14ac:dyDescent="0.25">
      <c r="B53" s="93">
        <f t="shared" si="39"/>
        <v>1.0000000000000062</v>
      </c>
      <c r="C53">
        <f t="shared" si="40"/>
        <v>0.99842535969718971</v>
      </c>
      <c r="D53">
        <f t="shared" si="40"/>
        <v>1.1141790244433951E-3</v>
      </c>
      <c r="E53">
        <f t="shared" si="40"/>
        <v>4.6046127837303508E-4</v>
      </c>
      <c r="G53">
        <f t="shared" si="41"/>
        <v>2.1347249016338541E-3</v>
      </c>
      <c r="H53">
        <f t="shared" si="41"/>
        <v>8.3251233494839802E-3</v>
      </c>
      <c r="I53">
        <f t="shared" si="41"/>
        <v>0.98954015174888188</v>
      </c>
      <c r="J53" s="93">
        <f t="shared" si="42"/>
        <v>0.99999999999999967</v>
      </c>
    </row>
    <row r="54" spans="2:26" x14ac:dyDescent="0.25">
      <c r="B54" s="93">
        <f t="shared" si="39"/>
        <v>1.0000000000000007</v>
      </c>
      <c r="C54">
        <f t="shared" si="40"/>
        <v>0.99935684605831365</v>
      </c>
      <c r="D54">
        <f t="shared" si="40"/>
        <v>1.8667140642200094E-4</v>
      </c>
      <c r="E54">
        <f t="shared" si="40"/>
        <v>4.5648253526492545E-4</v>
      </c>
      <c r="G54">
        <f t="shared" si="41"/>
        <v>1.9453528836312073E-3</v>
      </c>
      <c r="H54">
        <f t="shared" si="41"/>
        <v>1.3994411812874364E-3</v>
      </c>
      <c r="I54">
        <f t="shared" si="41"/>
        <v>0.99665520593508128</v>
      </c>
      <c r="J54" s="93">
        <f t="shared" si="42"/>
        <v>0.99999999999999989</v>
      </c>
    </row>
    <row r="55" spans="2:26" ht="15.75" thickBot="1" x14ac:dyDescent="0.3"/>
    <row r="56" spans="2:26" ht="15.75" thickBot="1" x14ac:dyDescent="0.3">
      <c r="C56" s="1" t="s">
        <v>119</v>
      </c>
      <c r="D56" s="2"/>
      <c r="E56" s="2"/>
      <c r="F56" s="2"/>
      <c r="G56" s="2"/>
      <c r="H56" s="2"/>
      <c r="I56" s="94"/>
    </row>
    <row r="57" spans="2:26" ht="15.75" thickBot="1" x14ac:dyDescent="0.3">
      <c r="C57" s="9" t="s">
        <v>120</v>
      </c>
      <c r="D57" s="10" t="s">
        <v>121</v>
      </c>
      <c r="E57" s="3" t="s">
        <v>122</v>
      </c>
      <c r="G57" s="9" t="s">
        <v>120</v>
      </c>
      <c r="H57" s="10" t="s">
        <v>121</v>
      </c>
      <c r="I57" s="3" t="s">
        <v>122</v>
      </c>
    </row>
    <row r="58" spans="2:26" x14ac:dyDescent="0.25">
      <c r="C58">
        <f>(C41+C50)/2</f>
        <v>0.86352250094480176</v>
      </c>
      <c r="D58">
        <f>(D41+D50)/2</f>
        <v>0.13520594011810094</v>
      </c>
      <c r="E58">
        <f>(E41+E50)/2</f>
        <v>1.2715589371008547E-3</v>
      </c>
      <c r="G58">
        <f>(G41+G50)/2</f>
        <v>3.6193412153188324E-2</v>
      </c>
      <c r="H58">
        <f>(H41+H50)/2</f>
        <v>0.55567183089161465</v>
      </c>
      <c r="I58">
        <f>(I41+I50)/2</f>
        <v>0.40813475695518175</v>
      </c>
    </row>
    <row r="59" spans="2:26" x14ac:dyDescent="0.25">
      <c r="C59">
        <f t="shared" ref="C59:E62" si="43">(C42+C51)/2</f>
        <v>0.97097231998145606</v>
      </c>
      <c r="D59">
        <f t="shared" si="43"/>
        <v>2.8442962797369846E-2</v>
      </c>
      <c r="E59">
        <f t="shared" si="43"/>
        <v>5.8471722137532216E-4</v>
      </c>
      <c r="G59">
        <f t="shared" ref="G59:I62" si="44">(G42+G51)/2</f>
        <v>1.2911946173387475E-2</v>
      </c>
      <c r="H59">
        <f t="shared" si="44"/>
        <v>0.18985371502162968</v>
      </c>
      <c r="I59">
        <f t="shared" si="44"/>
        <v>0.79723433880497674</v>
      </c>
    </row>
    <row r="60" spans="2:26" x14ac:dyDescent="0.25">
      <c r="C60">
        <f t="shared" si="43"/>
        <v>0.99380071320911223</v>
      </c>
      <c r="D60">
        <f t="shared" si="43"/>
        <v>5.7188511919761395E-3</v>
      </c>
      <c r="E60">
        <f t="shared" si="43"/>
        <v>4.8043559893179606E-4</v>
      </c>
      <c r="G60">
        <f t="shared" si="44"/>
        <v>3.2376850084939886E-3</v>
      </c>
      <c r="H60">
        <f t="shared" si="44"/>
        <v>4.2016348598309314E-2</v>
      </c>
      <c r="I60">
        <f t="shared" si="44"/>
        <v>0.95474596639319642</v>
      </c>
    </row>
    <row r="61" spans="2:26" x14ac:dyDescent="0.25">
      <c r="C61">
        <f t="shared" si="43"/>
        <v>0.9984253596971866</v>
      </c>
      <c r="D61">
        <f t="shared" si="43"/>
        <v>1.1141790244433951E-3</v>
      </c>
      <c r="E61">
        <f t="shared" si="43"/>
        <v>4.6046127837303503E-4</v>
      </c>
      <c r="G61">
        <f t="shared" si="44"/>
        <v>2.1347249016338606E-3</v>
      </c>
      <c r="H61">
        <f t="shared" si="44"/>
        <v>8.3251233494839802E-3</v>
      </c>
      <c r="I61">
        <f t="shared" si="44"/>
        <v>0.98954015174888199</v>
      </c>
    </row>
    <row r="62" spans="2:26" x14ac:dyDescent="0.25">
      <c r="C62">
        <f t="shared" si="43"/>
        <v>0.99935684605831332</v>
      </c>
      <c r="D62">
        <f t="shared" si="43"/>
        <v>1.8667140642200091E-4</v>
      </c>
      <c r="E62">
        <f t="shared" si="43"/>
        <v>4.564825352649254E-4</v>
      </c>
      <c r="G62">
        <f t="shared" si="44"/>
        <v>1.9453528836312079E-3</v>
      </c>
      <c r="H62">
        <f t="shared" si="44"/>
        <v>1.3994411812874366E-3</v>
      </c>
      <c r="I62">
        <f t="shared" si="44"/>
        <v>0.99665520593508128</v>
      </c>
    </row>
  </sheetData>
  <mergeCells count="3">
    <mergeCell ref="AD4:AD5"/>
    <mergeCell ref="AD6:AD7"/>
    <mergeCell ref="C48:I4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1]!ODLADENIE">
                <anchor moveWithCells="1" sizeWithCells="1">
                  <from>
                    <xdr:col>9</xdr:col>
                    <xdr:colOff>28575</xdr:colOff>
                    <xdr:row>36</xdr:row>
                    <xdr:rowOff>47625</xdr:rowOff>
                  </from>
                  <to>
                    <xdr:col>11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1]!ODLADENIE">
                <anchor moveWithCells="1" sizeWithCells="1">
                  <from>
                    <xdr:col>9</xdr:col>
                    <xdr:colOff>28575</xdr:colOff>
                    <xdr:row>36</xdr:row>
                    <xdr:rowOff>47625</xdr:rowOff>
                  </from>
                  <to>
                    <xdr:col>11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ODLADENIE">
                <anchor moveWithCells="1" sizeWithCells="1">
                  <from>
                    <xdr:col>9</xdr:col>
                    <xdr:colOff>28575</xdr:colOff>
                    <xdr:row>36</xdr:row>
                    <xdr:rowOff>47625</xdr:rowOff>
                  </from>
                  <to>
                    <xdr:col>11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Reg-IL</vt:lpstr>
      <vt:lpstr>Cista-IL</vt:lpstr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2025-05-01T13:56:35Z</dcterms:modified>
</cp:coreProperties>
</file>