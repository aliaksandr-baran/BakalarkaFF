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4.xml" ContentType="application/vnd.ms-excel.controlproperties+xml"/>
  <Override PartName="/xl/drawings/drawing4.xml" ContentType="application/vnd.openxmlformats-officedocument.drawing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activeTab="2"/>
  </bookViews>
  <sheets>
    <sheet name="Kolona" sheetId="1" r:id="rId1"/>
    <sheet name="SF" sheetId="2" r:id="rId2"/>
    <sheet name="Odparka-Extrakt" sheetId="3" r:id="rId3"/>
    <sheet name="Odparka-Rafinat" sheetId="4" r:id="rId4"/>
  </sheets>
  <externalReferences>
    <externalReference r:id="rId5"/>
    <externalReference r:id="rId6"/>
    <externalReference r:id="rId7"/>
    <externalReference r:id="rId8"/>
  </externalReferences>
  <definedNames>
    <definedName name="solver_adj" localSheetId="2" hidden="1">'Odparka-Extrakt'!$T$10</definedName>
    <definedName name="solver_adj" localSheetId="3" hidden="1">'Odparka-Rafinat'!$T$10</definedName>
    <definedName name="solver_adj" localSheetId="1" hidden="1">SF!$C$19:$C$20</definedName>
    <definedName name="solver_eng" localSheetId="2" hidden="1">1</definedName>
    <definedName name="solver_eng" localSheetId="3" hidden="1">1</definedName>
    <definedName name="solver_eng" localSheetId="1" hidden="1">1</definedName>
    <definedName name="solver_neg" localSheetId="2" hidden="1">1</definedName>
    <definedName name="solver_neg" localSheetId="3" hidden="1">1</definedName>
    <definedName name="solver_num" localSheetId="2" hidden="1">0</definedName>
    <definedName name="solver_num" localSheetId="3" hidden="1">0</definedName>
    <definedName name="solver_opt" localSheetId="2" hidden="1">'Odparka-Extrakt'!$AE$10</definedName>
    <definedName name="solver_opt" localSheetId="3" hidden="1">'Odparka-Rafinat'!$AE$10</definedName>
    <definedName name="solver_opt" localSheetId="1" hidden="1">SF!$F$25</definedName>
    <definedName name="solver_typ" localSheetId="2" hidden="1">3</definedName>
    <definedName name="solver_typ" localSheetId="3" hidden="1">3</definedName>
    <definedName name="solver_typ" localSheetId="1" hidden="1">2</definedName>
    <definedName name="solver_val" localSheetId="2" hidden="1">1</definedName>
    <definedName name="solver_val" localSheetId="3" hidden="1">1</definedName>
    <definedName name="solver_val" localSheetId="1" hidden="1">1</definedName>
    <definedName name="solver_ver" localSheetId="2" hidden="1">3</definedName>
    <definedName name="solver_ver" localSheetId="3" hidden="1">3</definedName>
  </definedNames>
  <calcPr calcId="145621"/>
</workbook>
</file>

<file path=xl/calcChain.xml><?xml version="1.0" encoding="utf-8"?>
<calcChain xmlns="http://schemas.openxmlformats.org/spreadsheetml/2006/main">
  <c r="AF7" i="1" l="1"/>
  <c r="AF5" i="1"/>
  <c r="AR15" i="1"/>
  <c r="AR16" i="1"/>
  <c r="AO17" i="1"/>
  <c r="AP17" i="1"/>
  <c r="AQ17" i="1"/>
  <c r="AR17" i="1"/>
  <c r="AR14" i="1"/>
  <c r="AG17" i="1"/>
  <c r="C34" i="4"/>
  <c r="AH17" i="1"/>
  <c r="C35" i="3"/>
  <c r="AF17" i="1"/>
  <c r="AI3" i="1" l="1"/>
  <c r="A13" i="2"/>
  <c r="G13" i="2" s="1"/>
  <c r="AI7" i="1"/>
  <c r="AH7" i="1"/>
  <c r="AG7" i="1"/>
  <c r="AG5" i="1"/>
  <c r="J29" i="4"/>
  <c r="E29" i="4"/>
  <c r="D29" i="4"/>
  <c r="F29" i="4" s="1"/>
  <c r="U10" i="4"/>
  <c r="V10" i="4" s="1"/>
  <c r="O1" i="4"/>
  <c r="J29" i="3"/>
  <c r="E29" i="3"/>
  <c r="D29" i="3"/>
  <c r="F29" i="3" s="1"/>
  <c r="U10" i="3"/>
  <c r="V10" i="3" s="1"/>
  <c r="O1" i="3"/>
  <c r="AF10" i="1" l="1"/>
  <c r="W10" i="4"/>
  <c r="W10" i="3"/>
  <c r="O29" i="4"/>
  <c r="U29" i="4" s="1"/>
  <c r="M29" i="4"/>
  <c r="S29" i="4" s="1"/>
  <c r="K29" i="4"/>
  <c r="Q29" i="4" s="1"/>
  <c r="J14" i="4"/>
  <c r="P14" i="4" s="1"/>
  <c r="H14" i="4"/>
  <c r="N14" i="4" s="1"/>
  <c r="F14" i="4"/>
  <c r="L14" i="4" s="1"/>
  <c r="P29" i="4"/>
  <c r="V29" i="4" s="1"/>
  <c r="N29" i="4"/>
  <c r="T29" i="4" s="1"/>
  <c r="L29" i="4"/>
  <c r="R29" i="4" s="1"/>
  <c r="K14" i="4"/>
  <c r="Q14" i="4" s="1"/>
  <c r="I14" i="4"/>
  <c r="O14" i="4" s="1"/>
  <c r="G14" i="4"/>
  <c r="M14" i="4" s="1"/>
  <c r="O29" i="3"/>
  <c r="U29" i="3" s="1"/>
  <c r="M29" i="3"/>
  <c r="S29" i="3" s="1"/>
  <c r="K29" i="3"/>
  <c r="Q29" i="3" s="1"/>
  <c r="J14" i="3"/>
  <c r="P14" i="3" s="1"/>
  <c r="H14" i="3"/>
  <c r="N14" i="3" s="1"/>
  <c r="F14" i="3"/>
  <c r="L14" i="3" s="1"/>
  <c r="P29" i="3"/>
  <c r="V29" i="3" s="1"/>
  <c r="N29" i="3"/>
  <c r="T29" i="3" s="1"/>
  <c r="L29" i="3"/>
  <c r="R29" i="3" s="1"/>
  <c r="K14" i="3"/>
  <c r="Q14" i="3" s="1"/>
  <c r="I14" i="3"/>
  <c r="O14" i="3" s="1"/>
  <c r="G14" i="3"/>
  <c r="M14" i="3" s="1"/>
  <c r="A34" i="2" l="1"/>
  <c r="A36" i="2" s="1"/>
  <c r="D32" i="2"/>
  <c r="D34" i="2" s="1"/>
  <c r="D36" i="2" s="1"/>
  <c r="C32" i="2"/>
  <c r="C34" i="2" s="1"/>
  <c r="C36" i="2" s="1"/>
  <c r="B32" i="2"/>
  <c r="B34" i="2" s="1"/>
  <c r="B36" i="2" s="1"/>
  <c r="C21" i="2"/>
  <c r="D10" i="2" s="1"/>
  <c r="T20" i="2"/>
  <c r="B17" i="2"/>
  <c r="G10" i="2"/>
  <c r="F10" i="2"/>
  <c r="E10" i="2"/>
  <c r="C10" i="2"/>
  <c r="A10" i="2"/>
  <c r="C16" i="2" s="1"/>
  <c r="C17" i="2" s="1"/>
  <c r="S16" i="2" s="1"/>
  <c r="S22" i="2" s="1"/>
  <c r="Y5" i="2"/>
  <c r="V5" i="2"/>
  <c r="A35" i="3" s="1"/>
  <c r="E20" i="3" s="1"/>
  <c r="V3" i="2"/>
  <c r="A33" i="3" s="1"/>
  <c r="C20" i="3" s="1"/>
  <c r="J2" i="2"/>
  <c r="F13" i="2" s="1"/>
  <c r="L13" i="2" s="1"/>
  <c r="D16" i="2" l="1"/>
  <c r="D17" i="2" s="1"/>
  <c r="T18" i="2" s="1"/>
  <c r="S20" i="2"/>
  <c r="Q13" i="2"/>
  <c r="C13" i="2"/>
  <c r="E13" i="2"/>
  <c r="K13" i="2" s="1"/>
  <c r="V4" i="2"/>
  <c r="A34" i="3" s="1"/>
  <c r="D20" i="3" s="1"/>
  <c r="B13" i="2"/>
  <c r="D13" i="2"/>
  <c r="J13" i="2" s="1"/>
  <c r="N13" i="2"/>
  <c r="T16" i="2" l="1"/>
  <c r="I13" i="2"/>
  <c r="O13" i="2" s="1"/>
  <c r="H13" i="2"/>
  <c r="P13" i="2" s="1"/>
  <c r="M13" i="2" l="1"/>
  <c r="R13" i="2"/>
  <c r="U13" i="2" l="1"/>
  <c r="S13" i="2"/>
  <c r="I10" i="2" s="1"/>
  <c r="E19" i="2" s="1"/>
  <c r="T13" i="2"/>
  <c r="J10" i="2" s="1"/>
  <c r="E21" i="2" s="1"/>
  <c r="L10" i="2" l="1"/>
  <c r="AG10" i="1" l="1"/>
  <c r="Q51" i="1"/>
  <c r="Q50" i="1"/>
  <c r="Q49" i="1"/>
  <c r="Q48" i="1"/>
  <c r="Q47" i="1"/>
  <c r="O45" i="1"/>
  <c r="I45" i="1"/>
  <c r="N51" i="1" s="1"/>
  <c r="C45" i="1"/>
  <c r="Q45" i="1" s="1"/>
  <c r="O44" i="1"/>
  <c r="I44" i="1"/>
  <c r="O50" i="1" s="1"/>
  <c r="C44" i="1"/>
  <c r="Q44" i="1" s="1"/>
  <c r="O43" i="1"/>
  <c r="I43" i="1"/>
  <c r="N49" i="1" s="1"/>
  <c r="C43" i="1"/>
  <c r="O42" i="1"/>
  <c r="I42" i="1"/>
  <c r="O48" i="1" s="1"/>
  <c r="C42" i="1"/>
  <c r="Q42" i="1" s="1"/>
  <c r="O41" i="1"/>
  <c r="I41" i="1"/>
  <c r="N47" i="1" s="1"/>
  <c r="C41" i="1"/>
  <c r="Y35" i="1"/>
  <c r="D14" i="1" s="1"/>
  <c r="X35" i="1"/>
  <c r="C14" i="1" s="1"/>
  <c r="W35" i="1"/>
  <c r="B14" i="1" s="1"/>
  <c r="U35" i="1"/>
  <c r="AG44" i="1" s="1"/>
  <c r="T35" i="1"/>
  <c r="AG43" i="1" s="1"/>
  <c r="S35" i="1"/>
  <c r="AG42" i="1" s="1"/>
  <c r="X34" i="1"/>
  <c r="C13" i="1" s="1"/>
  <c r="W34" i="1"/>
  <c r="B13" i="1" s="1"/>
  <c r="U34" i="1"/>
  <c r="D8" i="1" s="1"/>
  <c r="T34" i="1"/>
  <c r="C8" i="1" s="1"/>
  <c r="X33" i="1"/>
  <c r="C12" i="1" s="1"/>
  <c r="W33" i="1"/>
  <c r="U33" i="1"/>
  <c r="D7" i="1" s="1"/>
  <c r="T33" i="1"/>
  <c r="C7" i="1" s="1"/>
  <c r="X32" i="1"/>
  <c r="C11" i="1" s="1"/>
  <c r="W32" i="1"/>
  <c r="B11" i="1" s="1"/>
  <c r="U32" i="1"/>
  <c r="D6" i="1" s="1"/>
  <c r="T32" i="1"/>
  <c r="C6" i="1" s="1"/>
  <c r="X31" i="1"/>
  <c r="AF43" i="1" s="1"/>
  <c r="AF50" i="1" s="1"/>
  <c r="B21" i="2" s="1"/>
  <c r="W31" i="1"/>
  <c r="U31" i="1"/>
  <c r="D5" i="1" s="1"/>
  <c r="T31" i="1"/>
  <c r="C5" i="1" s="1"/>
  <c r="AA27" i="1"/>
  <c r="W36" i="1" s="1"/>
  <c r="B15" i="1" s="1"/>
  <c r="AI5" i="1"/>
  <c r="AH5" i="1"/>
  <c r="AH10" i="1" s="1"/>
  <c r="AB27" i="1" s="1"/>
  <c r="X36" i="1" s="1"/>
  <c r="C15" i="1" s="1"/>
  <c r="S34" i="1" l="1"/>
  <c r="B8" i="1" s="1"/>
  <c r="C9" i="1"/>
  <c r="H9" i="1" s="1"/>
  <c r="S32" i="1"/>
  <c r="B6" i="1" s="1"/>
  <c r="G6" i="1" s="1"/>
  <c r="Y33" i="1"/>
  <c r="D12" i="1" s="1"/>
  <c r="I7" i="1" s="1"/>
  <c r="B9" i="1"/>
  <c r="D9" i="1"/>
  <c r="G9" i="1"/>
  <c r="I9" i="1"/>
  <c r="H6" i="1"/>
  <c r="C10" i="1"/>
  <c r="Y31" i="1"/>
  <c r="AF44" i="1" s="1"/>
  <c r="AF49" i="1" s="1"/>
  <c r="B20" i="2" s="1"/>
  <c r="H7" i="1"/>
  <c r="Z31" i="1"/>
  <c r="H8" i="1"/>
  <c r="AD35" i="1"/>
  <c r="H5" i="1"/>
  <c r="G8" i="1"/>
  <c r="AD33" i="1"/>
  <c r="AD32" i="1"/>
  <c r="AG48" i="1"/>
  <c r="A32" i="4"/>
  <c r="C20" i="4" s="1"/>
  <c r="AG49" i="1"/>
  <c r="A34" i="4"/>
  <c r="E20" i="4" s="1"/>
  <c r="M45" i="1"/>
  <c r="V34" i="1"/>
  <c r="AD34" i="1"/>
  <c r="AG50" i="1"/>
  <c r="A33" i="4"/>
  <c r="D20" i="4" s="1"/>
  <c r="AC35" i="1"/>
  <c r="AE35" i="1"/>
  <c r="M42" i="1"/>
  <c r="M44" i="1"/>
  <c r="AI10" i="1"/>
  <c r="AC27" i="1" s="1"/>
  <c r="Y36" i="1" s="1"/>
  <c r="D15" i="1" s="1"/>
  <c r="Z27" i="1"/>
  <c r="AB36" i="1" s="1"/>
  <c r="B12" i="1"/>
  <c r="Q41" i="1"/>
  <c r="M41" i="1"/>
  <c r="L41" i="1"/>
  <c r="Q43" i="1"/>
  <c r="M43" i="1"/>
  <c r="L43" i="1"/>
  <c r="B10" i="1"/>
  <c r="S31" i="1"/>
  <c r="S33" i="1"/>
  <c r="AC33" i="1" s="1"/>
  <c r="V35" i="1"/>
  <c r="Z35" i="1"/>
  <c r="N41" i="1"/>
  <c r="P41" i="1"/>
  <c r="P48" i="1"/>
  <c r="N48" i="1"/>
  <c r="L48" i="1"/>
  <c r="M48" i="1"/>
  <c r="Y32" i="1"/>
  <c r="AF42" i="1"/>
  <c r="AF48" i="1" s="1"/>
  <c r="B19" i="2" s="1"/>
  <c r="N43" i="1"/>
  <c r="P43" i="1"/>
  <c r="P50" i="1"/>
  <c r="N50" i="1"/>
  <c r="L50" i="1"/>
  <c r="M50" i="1"/>
  <c r="Y34" i="1"/>
  <c r="AD31" i="1"/>
  <c r="O47" i="1"/>
  <c r="M47" i="1"/>
  <c r="L42" i="1"/>
  <c r="N42" i="1"/>
  <c r="P42" i="1"/>
  <c r="O49" i="1"/>
  <c r="M49" i="1"/>
  <c r="L44" i="1"/>
  <c r="N44" i="1"/>
  <c r="P44" i="1"/>
  <c r="O51" i="1"/>
  <c r="M51" i="1"/>
  <c r="L47" i="1"/>
  <c r="P47" i="1"/>
  <c r="L49" i="1"/>
  <c r="P49" i="1"/>
  <c r="L51" i="1"/>
  <c r="P51" i="1"/>
  <c r="L45" i="1"/>
  <c r="N45" i="1"/>
  <c r="P45" i="1"/>
  <c r="AE33" i="1" l="1"/>
  <c r="AC34" i="1"/>
  <c r="Z33" i="1"/>
  <c r="S24" i="2"/>
  <c r="B22" i="2" s="1"/>
  <c r="AE31" i="1"/>
  <c r="D10" i="1"/>
  <c r="I5" i="1" s="1"/>
  <c r="AC32" i="1"/>
  <c r="V32" i="1"/>
  <c r="S44" i="1"/>
  <c r="V44" i="1" s="1"/>
  <c r="T42" i="1"/>
  <c r="W42" i="1" s="1"/>
  <c r="S43" i="1"/>
  <c r="V43" i="1" s="1"/>
  <c r="T48" i="1"/>
  <c r="W48" i="1" s="1"/>
  <c r="T51" i="1"/>
  <c r="W51" i="1" s="1"/>
  <c r="T49" i="1"/>
  <c r="W49" i="1" s="1"/>
  <c r="R45" i="1"/>
  <c r="U45" i="1" s="1"/>
  <c r="T50" i="1"/>
  <c r="W50" i="1" s="1"/>
  <c r="R48" i="1"/>
  <c r="U48" i="1" s="1"/>
  <c r="S51" i="1"/>
  <c r="V51" i="1" s="1"/>
  <c r="S49" i="1"/>
  <c r="V49" i="1" s="1"/>
  <c r="Y49" i="1" s="1"/>
  <c r="D52" i="1" s="1"/>
  <c r="D60" i="1" s="1"/>
  <c r="T47" i="1"/>
  <c r="W47" i="1" s="1"/>
  <c r="R50" i="1"/>
  <c r="U50" i="1" s="1"/>
  <c r="R44" i="1"/>
  <c r="U44" i="1" s="1"/>
  <c r="T45" i="1"/>
  <c r="W45" i="1" s="1"/>
  <c r="Z51" i="1" s="1"/>
  <c r="E54" i="1" s="1"/>
  <c r="E62" i="1" s="1"/>
  <c r="T44" i="1"/>
  <c r="W44" i="1" s="1"/>
  <c r="Z44" i="1" s="1"/>
  <c r="I53" i="1" s="1"/>
  <c r="I61" i="1" s="1"/>
  <c r="R42" i="1"/>
  <c r="U42" i="1" s="1"/>
  <c r="X42" i="1" s="1"/>
  <c r="G51" i="1" s="1"/>
  <c r="G59" i="1" s="1"/>
  <c r="E15" i="1"/>
  <c r="Q8" i="1" s="1"/>
  <c r="AE26" i="1"/>
  <c r="AE32" i="1"/>
  <c r="Z32" i="1"/>
  <c r="D11" i="1"/>
  <c r="I6" i="1" s="1"/>
  <c r="S45" i="1"/>
  <c r="V45" i="1" s="1"/>
  <c r="S47" i="1"/>
  <c r="V47" i="1" s="1"/>
  <c r="R51" i="1"/>
  <c r="U51" i="1" s="1"/>
  <c r="X51" i="1" s="1"/>
  <c r="C54" i="1" s="1"/>
  <c r="S42" i="1"/>
  <c r="V42" i="1" s="1"/>
  <c r="AE34" i="1"/>
  <c r="D13" i="1"/>
  <c r="I8" i="1" s="1"/>
  <c r="Z34" i="1"/>
  <c r="S50" i="1"/>
  <c r="V50" i="1" s="1"/>
  <c r="S48" i="1"/>
  <c r="V48" i="1" s="1"/>
  <c r="S41" i="1"/>
  <c r="V41" i="1" s="1"/>
  <c r="Y41" i="1" s="1"/>
  <c r="H50" i="1" s="1"/>
  <c r="H58" i="1" s="1"/>
  <c r="R49" i="1"/>
  <c r="U49" i="1" s="1"/>
  <c r="R47" i="1"/>
  <c r="U47" i="1" s="1"/>
  <c r="V33" i="1"/>
  <c r="B7" i="1"/>
  <c r="G7" i="1" s="1"/>
  <c r="V31" i="1"/>
  <c r="B5" i="1"/>
  <c r="G5" i="1" s="1"/>
  <c r="R43" i="1"/>
  <c r="U43" i="1" s="1"/>
  <c r="T43" i="1"/>
  <c r="W43" i="1" s="1"/>
  <c r="R41" i="1"/>
  <c r="U41" i="1" s="1"/>
  <c r="T41" i="1"/>
  <c r="W41" i="1" s="1"/>
  <c r="AC31" i="1"/>
  <c r="X43" i="1" l="1"/>
  <c r="G52" i="1" s="1"/>
  <c r="Z42" i="1"/>
  <c r="I51" i="1" s="1"/>
  <c r="I59" i="1" s="1"/>
  <c r="Y43" i="1"/>
  <c r="H52" i="1" s="1"/>
  <c r="H60" i="1" s="1"/>
  <c r="Z50" i="1"/>
  <c r="E53" i="1" s="1"/>
  <c r="E61" i="1" s="1"/>
  <c r="Z41" i="1"/>
  <c r="I50" i="1" s="1"/>
  <c r="I58" i="1" s="1"/>
  <c r="Z43" i="1"/>
  <c r="I52" i="1" s="1"/>
  <c r="I60" i="1" s="1"/>
  <c r="Z48" i="1"/>
  <c r="E51" i="1" s="1"/>
  <c r="E59" i="1" s="1"/>
  <c r="Q22" i="1"/>
  <c r="Y50" i="1"/>
  <c r="D53" i="1" s="1"/>
  <c r="D61" i="1" s="1"/>
  <c r="Y45" i="1"/>
  <c r="H54" i="1" s="1"/>
  <c r="H62" i="1" s="1"/>
  <c r="Y44" i="1"/>
  <c r="H53" i="1" s="1"/>
  <c r="H61" i="1" s="1"/>
  <c r="Y51" i="1"/>
  <c r="D54" i="1" s="1"/>
  <c r="D62" i="1" s="1"/>
  <c r="X50" i="1"/>
  <c r="C53" i="1" s="1"/>
  <c r="Z45" i="1"/>
  <c r="I54" i="1" s="1"/>
  <c r="I62" i="1" s="1"/>
  <c r="X44" i="1"/>
  <c r="G53" i="1" s="1"/>
  <c r="G61" i="1" s="1"/>
  <c r="X41" i="1"/>
  <c r="G50" i="1" s="1"/>
  <c r="Y48" i="1"/>
  <c r="D51" i="1" s="1"/>
  <c r="D59" i="1" s="1"/>
  <c r="X48" i="1"/>
  <c r="C51" i="1" s="1"/>
  <c r="C59" i="1" s="1"/>
  <c r="Q15" i="1"/>
  <c r="X47" i="1"/>
  <c r="C50" i="1" s="1"/>
  <c r="Y42" i="1"/>
  <c r="H51" i="1" s="1"/>
  <c r="Y47" i="1"/>
  <c r="D50" i="1" s="1"/>
  <c r="D58" i="1" s="1"/>
  <c r="Z47" i="1"/>
  <c r="E50" i="1" s="1"/>
  <c r="E58" i="1" s="1"/>
  <c r="X45" i="1"/>
  <c r="G54" i="1" s="1"/>
  <c r="G60" i="1"/>
  <c r="X49" i="1"/>
  <c r="C52" i="1" s="1"/>
  <c r="C62" i="1"/>
  <c r="Z49" i="1"/>
  <c r="E52" i="1" s="1"/>
  <c r="E60" i="1" s="1"/>
  <c r="B54" i="1" l="1"/>
  <c r="J52" i="1"/>
  <c r="B53" i="1"/>
  <c r="J50" i="1"/>
  <c r="G58" i="1"/>
  <c r="J53" i="1"/>
  <c r="C61" i="1"/>
  <c r="B51" i="1"/>
  <c r="H59" i="1"/>
  <c r="J51" i="1"/>
  <c r="B52" i="1"/>
  <c r="C60" i="1"/>
  <c r="G62" i="1"/>
  <c r="J54" i="1"/>
  <c r="B50" i="1"/>
  <c r="C58" i="1"/>
  <c r="AG3" i="1" l="1"/>
  <c r="AH3" i="1"/>
  <c r="AF3" i="1"/>
  <c r="AF9" i="1" l="1"/>
  <c r="Z26" i="1" s="1"/>
  <c r="AG9" i="1" l="1"/>
  <c r="AA26" i="1" s="1"/>
  <c r="B4" i="1" s="1"/>
  <c r="AF26" i="1"/>
  <c r="AA30" i="1"/>
  <c r="AH9" i="1"/>
  <c r="AB26" i="1" s="1"/>
  <c r="C4" i="1" s="1"/>
  <c r="AI9" i="1"/>
  <c r="AC26" i="1" s="1"/>
  <c r="D4" i="1" s="1"/>
  <c r="AA35" i="1" l="1"/>
  <c r="E4" i="1"/>
  <c r="Q4" i="1" s="1"/>
  <c r="Q18" i="1" l="1"/>
  <c r="AI26" i="1"/>
  <c r="AG41" i="1"/>
  <c r="AA34" i="1"/>
  <c r="E9" i="1"/>
  <c r="AB31" i="1"/>
  <c r="Q11" i="1"/>
  <c r="AH34" i="1" l="1"/>
  <c r="AG38" i="1" s="1"/>
  <c r="AH35" i="1"/>
  <c r="AH38" i="1" s="1"/>
  <c r="AG47" i="1"/>
  <c r="A31" i="4"/>
  <c r="B20" i="4" s="1"/>
  <c r="AG26" i="1"/>
  <c r="AH26" i="1"/>
  <c r="E10" i="1"/>
  <c r="AF41" i="1"/>
  <c r="AF47" i="1" s="1"/>
  <c r="E8" i="1"/>
  <c r="AB35" i="1"/>
  <c r="AI38" i="1" l="1"/>
  <c r="I24" i="4"/>
  <c r="I20" i="4"/>
  <c r="I22" i="4"/>
  <c r="B22" i="4"/>
  <c r="AA33" i="1"/>
  <c r="E14" i="1"/>
  <c r="O22" i="1"/>
  <c r="O8" i="1"/>
  <c r="O15" i="1"/>
  <c r="B18" i="2"/>
  <c r="C31" i="4" l="1"/>
  <c r="AG14" i="1" s="1"/>
  <c r="AP14" i="1" s="1"/>
  <c r="B21" i="4"/>
  <c r="H24" i="4" s="1"/>
  <c r="L24" i="4" s="1"/>
  <c r="M10" i="4" s="1"/>
  <c r="C18" i="2"/>
  <c r="V2" i="2" s="1"/>
  <c r="A32" i="3" s="1"/>
  <c r="B20" i="3" s="1"/>
  <c r="B23" i="2"/>
  <c r="P7" i="1"/>
  <c r="P14" i="1"/>
  <c r="P21" i="1"/>
  <c r="P8" i="1"/>
  <c r="P15" i="1"/>
  <c r="P22" i="1"/>
  <c r="AB34" i="1"/>
  <c r="E7" i="1"/>
  <c r="I24" i="3" l="1"/>
  <c r="I20" i="3"/>
  <c r="I22" i="3"/>
  <c r="B22" i="3"/>
  <c r="B21" i="3" s="1"/>
  <c r="H20" i="4"/>
  <c r="L20" i="4" s="1"/>
  <c r="K10" i="4" s="1"/>
  <c r="H22" i="4"/>
  <c r="L22" i="4" s="1"/>
  <c r="L10" i="4" s="1"/>
  <c r="AA32" i="1"/>
  <c r="E13" i="1"/>
  <c r="N21" i="1"/>
  <c r="N7" i="1"/>
  <c r="N14" i="1"/>
  <c r="D18" i="2"/>
  <c r="D21" i="2" s="1"/>
  <c r="P10" i="4" l="1"/>
  <c r="D22" i="4" s="1"/>
  <c r="N10" i="4"/>
  <c r="O10" i="4"/>
  <c r="C32" i="3"/>
  <c r="AH14" i="1" s="1"/>
  <c r="AQ14" i="1" s="1"/>
  <c r="H22" i="3"/>
  <c r="L22" i="3" s="1"/>
  <c r="L10" i="3" s="1"/>
  <c r="H24" i="3"/>
  <c r="L24" i="3" s="1"/>
  <c r="M10" i="3" s="1"/>
  <c r="H20" i="3"/>
  <c r="L20" i="3" s="1"/>
  <c r="K10" i="3" s="1"/>
  <c r="Q10" i="4"/>
  <c r="O20" i="1"/>
  <c r="O6" i="1"/>
  <c r="O13" i="1"/>
  <c r="O14" i="1"/>
  <c r="O7" i="1"/>
  <c r="O21" i="1"/>
  <c r="F21" i="2"/>
  <c r="Y4" i="2"/>
  <c r="AF16" i="1" s="1"/>
  <c r="AO16" i="1" s="1"/>
  <c r="Y2" i="2"/>
  <c r="AF14" i="1" s="1"/>
  <c r="AO14" i="1" s="1"/>
  <c r="D19" i="2"/>
  <c r="E6" i="1"/>
  <c r="AB33" i="1"/>
  <c r="N10" i="3" l="1"/>
  <c r="O10" i="3"/>
  <c r="P10" i="3"/>
  <c r="C22" i="4"/>
  <c r="U14" i="4"/>
  <c r="W14" i="4"/>
  <c r="T14" i="4"/>
  <c r="V14" i="4"/>
  <c r="S14" i="4"/>
  <c r="R14" i="4"/>
  <c r="Q10" i="3"/>
  <c r="I29" i="4"/>
  <c r="W29" i="4" s="1"/>
  <c r="C33" i="4"/>
  <c r="AG16" i="1" s="1"/>
  <c r="AP16" i="1" s="1"/>
  <c r="AA31" i="1"/>
  <c r="E12" i="1"/>
  <c r="Y3" i="2"/>
  <c r="AF15" i="1" s="1"/>
  <c r="AO15" i="1" s="1"/>
  <c r="F19" i="2"/>
  <c r="T22" i="2"/>
  <c r="D22" i="2" s="1"/>
  <c r="D23" i="2" s="1"/>
  <c r="E23" i="2" s="1"/>
  <c r="F23" i="2" s="1"/>
  <c r="M6" i="1"/>
  <c r="M20" i="1"/>
  <c r="M13" i="1"/>
  <c r="X14" i="4" l="1"/>
  <c r="AA14" i="4" s="1"/>
  <c r="AB10" i="4" s="1"/>
  <c r="C21" i="4" s="1"/>
  <c r="C32" i="4"/>
  <c r="AG15" i="1" s="1"/>
  <c r="AP15" i="1" s="1"/>
  <c r="H29" i="4"/>
  <c r="V14" i="3"/>
  <c r="S14" i="3"/>
  <c r="T14" i="3"/>
  <c r="W14" i="3"/>
  <c r="C22" i="3"/>
  <c r="U14" i="3"/>
  <c r="Y14" i="4"/>
  <c r="AB14" i="4" s="1"/>
  <c r="Z14" i="4"/>
  <c r="AC14" i="4" s="1"/>
  <c r="D22" i="3"/>
  <c r="R14" i="3"/>
  <c r="F25" i="2"/>
  <c r="N5" i="1"/>
  <c r="N12" i="1"/>
  <c r="N19" i="1"/>
  <c r="N13" i="1"/>
  <c r="N20" i="1"/>
  <c r="N6" i="1"/>
  <c r="E5" i="1"/>
  <c r="AB32" i="1"/>
  <c r="E11" i="1" s="1"/>
  <c r="Y10" i="4" l="1"/>
  <c r="X14" i="3"/>
  <c r="AA14" i="3" s="1"/>
  <c r="Y10" i="3" s="1"/>
  <c r="AF10" i="4"/>
  <c r="AA10" i="4"/>
  <c r="AD10" i="4"/>
  <c r="E21" i="4" s="1"/>
  <c r="C33" i="3"/>
  <c r="AH15" i="1" s="1"/>
  <c r="AQ15" i="1" s="1"/>
  <c r="H29" i="3"/>
  <c r="Z14" i="3"/>
  <c r="AC14" i="3" s="1"/>
  <c r="C34" i="3"/>
  <c r="AH16" i="1" s="1"/>
  <c r="AQ16" i="1" s="1"/>
  <c r="I29" i="3"/>
  <c r="W29" i="3" s="1"/>
  <c r="Z10" i="4"/>
  <c r="AC10" i="4"/>
  <c r="Y14" i="3"/>
  <c r="AB14" i="3" s="1"/>
  <c r="Y29" i="4"/>
  <c r="AA29" i="4"/>
  <c r="X29" i="4"/>
  <c r="Z29" i="4"/>
  <c r="AB29" i="4"/>
  <c r="L19" i="1"/>
  <c r="L5" i="1"/>
  <c r="L12" i="1"/>
  <c r="L4" i="1"/>
  <c r="L18" i="1"/>
  <c r="L11" i="1"/>
  <c r="M4" i="1"/>
  <c r="M18" i="1"/>
  <c r="M11" i="1"/>
  <c r="M12" i="1"/>
  <c r="M5" i="1"/>
  <c r="M19" i="1"/>
  <c r="AB10" i="3" l="1"/>
  <c r="C21" i="3" s="1"/>
  <c r="AC29" i="4"/>
  <c r="AF29" i="4" s="1"/>
  <c r="AI29" i="4" s="1"/>
  <c r="Z10" i="3"/>
  <c r="AC10" i="3"/>
  <c r="D21" i="3" s="1"/>
  <c r="AA10" i="3"/>
  <c r="AD10" i="3"/>
  <c r="E21" i="3" s="1"/>
  <c r="D21" i="4"/>
  <c r="AE10" i="4"/>
  <c r="AD29" i="4"/>
  <c r="AG29" i="4" s="1"/>
  <c r="AJ29" i="4" s="1"/>
  <c r="AE29" i="4"/>
  <c r="AH29" i="4" s="1"/>
  <c r="AK29" i="4" s="1"/>
  <c r="AF10" i="3"/>
  <c r="Z29" i="3"/>
  <c r="AB29" i="3"/>
  <c r="Y29" i="3"/>
  <c r="AA29" i="3"/>
  <c r="X29" i="3"/>
  <c r="T4" i="1" a="1"/>
  <c r="T11" i="1" a="1"/>
  <c r="T18" i="1" a="1"/>
  <c r="AE10" i="3" l="1"/>
  <c r="AL29" i="4"/>
  <c r="AM29" i="4" s="1"/>
  <c r="AN29" i="4" s="1"/>
  <c r="AO29" i="4" s="1"/>
  <c r="AD29" i="3"/>
  <c r="AG29" i="3" s="1"/>
  <c r="AJ29" i="3" s="1"/>
  <c r="AC29" i="3"/>
  <c r="AF29" i="3" s="1"/>
  <c r="AI29" i="3" s="1"/>
  <c r="AE29" i="3"/>
  <c r="AH29" i="3" s="1"/>
  <c r="AK29" i="3" s="1"/>
  <c r="W18" i="1"/>
  <c r="T18" i="1"/>
  <c r="V20" i="1"/>
  <c r="V18" i="1"/>
  <c r="T22" i="1"/>
  <c r="X20" i="1"/>
  <c r="V21" i="1"/>
  <c r="W20" i="1"/>
  <c r="W21" i="1"/>
  <c r="U18" i="1"/>
  <c r="U22" i="1"/>
  <c r="U19" i="1"/>
  <c r="X18" i="1"/>
  <c r="V22" i="1"/>
  <c r="T21" i="1"/>
  <c r="W22" i="1"/>
  <c r="X19" i="1"/>
  <c r="X22" i="1"/>
  <c r="W19" i="1"/>
  <c r="T19" i="1"/>
  <c r="X21" i="1"/>
  <c r="U21" i="1"/>
  <c r="U20" i="1"/>
  <c r="V19" i="1"/>
  <c r="T20" i="1"/>
  <c r="V14" i="1"/>
  <c r="T12" i="1"/>
  <c r="V12" i="1"/>
  <c r="T15" i="1"/>
  <c r="U11" i="1"/>
  <c r="U14" i="1"/>
  <c r="U12" i="1"/>
  <c r="U15" i="1"/>
  <c r="U13" i="1"/>
  <c r="T11" i="1"/>
  <c r="X14" i="1"/>
  <c r="T13" i="1"/>
  <c r="W12" i="1"/>
  <c r="W15" i="1"/>
  <c r="V13" i="1"/>
  <c r="X11" i="1"/>
  <c r="T14" i="1"/>
  <c r="W14" i="1"/>
  <c r="X15" i="1"/>
  <c r="V15" i="1"/>
  <c r="W13" i="1"/>
  <c r="X12" i="1"/>
  <c r="W11" i="1"/>
  <c r="X13" i="1"/>
  <c r="V11" i="1"/>
  <c r="X8" i="1"/>
  <c r="V8" i="1"/>
  <c r="W6" i="1"/>
  <c r="U6" i="1"/>
  <c r="T4" i="1"/>
  <c r="X6" i="1"/>
  <c r="U8" i="1"/>
  <c r="W8" i="1"/>
  <c r="U5" i="1"/>
  <c r="T6" i="1"/>
  <c r="X4" i="1"/>
  <c r="X7" i="1"/>
  <c r="W7" i="1"/>
  <c r="T5" i="1"/>
  <c r="W5" i="1"/>
  <c r="T8" i="1"/>
  <c r="W4" i="1"/>
  <c r="V7" i="1"/>
  <c r="V5" i="1"/>
  <c r="V4" i="1"/>
  <c r="X5" i="1"/>
  <c r="V6" i="1"/>
  <c r="T7" i="1"/>
  <c r="U4" i="1"/>
  <c r="U7" i="1"/>
  <c r="AL29" i="3" l="1"/>
  <c r="Z18" i="1" a="1"/>
  <c r="Z4" i="1" a="1"/>
  <c r="Z11" i="1" a="1"/>
  <c r="Z14" i="1" l="1"/>
  <c r="M31" i="1" s="1"/>
  <c r="Z13" i="1"/>
  <c r="M30" i="1" s="1"/>
  <c r="Z12" i="1"/>
  <c r="M29" i="1" s="1"/>
  <c r="Z11" i="1"/>
  <c r="M28" i="1" s="1"/>
  <c r="Z15" i="1"/>
  <c r="M32" i="1" s="1"/>
  <c r="Z5" i="1"/>
  <c r="L29" i="1" s="1"/>
  <c r="Z4" i="1"/>
  <c r="L28" i="1" s="1"/>
  <c r="Z6" i="1"/>
  <c r="L30" i="1" s="1"/>
  <c r="Z8" i="1"/>
  <c r="L32" i="1" s="1"/>
  <c r="Z7" i="1"/>
  <c r="L31" i="1" s="1"/>
  <c r="Z20" i="1"/>
  <c r="N30" i="1" s="1"/>
  <c r="Z19" i="1"/>
  <c r="N29" i="1" s="1"/>
  <c r="Z18" i="1"/>
  <c r="N28" i="1" s="1"/>
  <c r="Z21" i="1"/>
  <c r="N31" i="1" s="1"/>
  <c r="Z22" i="1"/>
  <c r="N32" i="1" s="1"/>
  <c r="O30" i="1" l="1"/>
  <c r="O31" i="1"/>
  <c r="O29" i="1"/>
  <c r="O32" i="1"/>
  <c r="O28" i="1"/>
</calcChain>
</file>

<file path=xl/sharedStrings.xml><?xml version="1.0" encoding="utf-8"?>
<sst xmlns="http://schemas.openxmlformats.org/spreadsheetml/2006/main" count="591" uniqueCount="259">
  <si>
    <t>Vstupne prudy</t>
  </si>
  <si>
    <t>xi</t>
  </si>
  <si>
    <t>n [kmol/h]</t>
  </si>
  <si>
    <t>'=xe/xr</t>
  </si>
  <si>
    <t>n</t>
  </si>
  <si>
    <t>xA</t>
  </si>
  <si>
    <t>xB</t>
  </si>
  <si>
    <t>xC</t>
  </si>
  <si>
    <t>A</t>
  </si>
  <si>
    <t>B</t>
  </si>
  <si>
    <t>C</t>
  </si>
  <si>
    <t>A+B+C</t>
  </si>
  <si>
    <t>kA</t>
  </si>
  <si>
    <t>kB</t>
  </si>
  <si>
    <t>kC</t>
  </si>
  <si>
    <t>psA</t>
  </si>
  <si>
    <t>inverz</t>
  </si>
  <si>
    <t>F</t>
  </si>
  <si>
    <t>MeOH z Extr</t>
  </si>
  <si>
    <t>-</t>
  </si>
  <si>
    <t>A(zlozka A)</t>
  </si>
  <si>
    <t>Surovina</t>
  </si>
  <si>
    <t>R1</t>
  </si>
  <si>
    <t>W z Raffinatu</t>
  </si>
  <si>
    <t>R2</t>
  </si>
  <si>
    <t>S</t>
  </si>
  <si>
    <t>Cista IL</t>
  </si>
  <si>
    <t>R3</t>
  </si>
  <si>
    <t>W z Extraktu</t>
  </si>
  <si>
    <t>R4</t>
  </si>
  <si>
    <t>R5</t>
  </si>
  <si>
    <t xml:space="preserve">vysledne </t>
  </si>
  <si>
    <t>E1</t>
  </si>
  <si>
    <t>psB</t>
  </si>
  <si>
    <t>E2</t>
  </si>
  <si>
    <t>A(zlozka B)</t>
  </si>
  <si>
    <t>E3</t>
  </si>
  <si>
    <t>E4</t>
  </si>
  <si>
    <t>Ventil-exit</t>
  </si>
  <si>
    <t>Raf-exit</t>
  </si>
  <si>
    <t>Ext-exit</t>
  </si>
  <si>
    <t>E5</t>
  </si>
  <si>
    <t>psC</t>
  </si>
  <si>
    <t>MTBE</t>
  </si>
  <si>
    <t>A(zlozka C)</t>
  </si>
  <si>
    <t>Methanol</t>
  </si>
  <si>
    <t>[BMIM][HSO4]</t>
  </si>
  <si>
    <t>n[kmol/h]</t>
  </si>
  <si>
    <t>ns</t>
  </si>
  <si>
    <t>ns/nf</t>
  </si>
  <si>
    <t>Ya(straty</t>
  </si>
  <si>
    <t>Yb</t>
  </si>
  <si>
    <t>Yc(straty)</t>
  </si>
  <si>
    <t>Raf</t>
  </si>
  <si>
    <t>∑xRi</t>
  </si>
  <si>
    <t>nR [kmol/h][mol.h-1]</t>
  </si>
  <si>
    <t>nE [kmol/h]</t>
  </si>
  <si>
    <t>Kontakt</t>
  </si>
  <si>
    <t>xRA</t>
  </si>
  <si>
    <t>xRB</t>
  </si>
  <si>
    <t>xRC</t>
  </si>
  <si>
    <t>xEA</t>
  </si>
  <si>
    <t>xEB</t>
  </si>
  <si>
    <t>xEC</t>
  </si>
  <si>
    <t>∑xEi</t>
  </si>
  <si>
    <t>Ziadane</t>
  </si>
  <si>
    <t>xEB1</t>
  </si>
  <si>
    <t>xRB5</t>
  </si>
  <si>
    <t xml:space="preserve">Vypocitane </t>
  </si>
  <si>
    <r>
      <t>τ</t>
    </r>
    <r>
      <rPr>
        <b/>
        <vertAlign val="subscript"/>
        <sz val="11"/>
        <color rgb="FF000000"/>
        <rFont val="Calibri"/>
        <family val="2"/>
      </rPr>
      <t>12</t>
    </r>
  </si>
  <si>
    <r>
      <t>τ</t>
    </r>
    <r>
      <rPr>
        <b/>
        <vertAlign val="subscript"/>
        <sz val="11"/>
        <color rgb="FF000000"/>
        <rFont val="Calibri"/>
        <family val="2"/>
      </rPr>
      <t>21</t>
    </r>
  </si>
  <si>
    <r>
      <t>τ</t>
    </r>
    <r>
      <rPr>
        <b/>
        <vertAlign val="subscript"/>
        <sz val="11"/>
        <color rgb="FF000000"/>
        <rFont val="Calibri"/>
        <family val="2"/>
      </rPr>
      <t>13</t>
    </r>
  </si>
  <si>
    <r>
      <t>τ</t>
    </r>
    <r>
      <rPr>
        <b/>
        <vertAlign val="subscript"/>
        <sz val="11"/>
        <color rgb="FF000000"/>
        <rFont val="Calibri"/>
        <family val="2"/>
      </rPr>
      <t>31</t>
    </r>
  </si>
  <si>
    <r>
      <t>τ</t>
    </r>
    <r>
      <rPr>
        <b/>
        <vertAlign val="subscript"/>
        <sz val="11"/>
        <color rgb="FF000000"/>
        <rFont val="Calibri"/>
        <family val="2"/>
      </rPr>
      <t>23</t>
    </r>
  </si>
  <si>
    <r>
      <t>τ</t>
    </r>
    <r>
      <rPr>
        <b/>
        <vertAlign val="subscript"/>
        <sz val="11"/>
        <color rgb="FF000000"/>
        <rFont val="Calibri"/>
        <family val="2"/>
      </rPr>
      <t>32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</si>
  <si>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</si>
  <si>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</si>
  <si>
    <r>
      <t>G</t>
    </r>
    <r>
      <rPr>
        <b/>
        <vertAlign val="subscript"/>
        <sz val="11"/>
        <color rgb="FF000000"/>
        <rFont val="Calibri"/>
        <family val="2"/>
      </rPr>
      <t>13</t>
    </r>
  </si>
  <si>
    <r>
      <t>G</t>
    </r>
    <r>
      <rPr>
        <b/>
        <vertAlign val="subscript"/>
        <sz val="11"/>
        <color rgb="FF000000"/>
        <rFont val="Calibri"/>
        <family val="2"/>
      </rPr>
      <t>31</t>
    </r>
  </si>
  <si>
    <r>
      <t>G</t>
    </r>
    <r>
      <rPr>
        <b/>
        <vertAlign val="subscript"/>
        <sz val="11"/>
        <color rgb="FF000000"/>
        <rFont val="Calibri"/>
        <family val="2"/>
      </rPr>
      <t>23</t>
    </r>
  </si>
  <si>
    <r>
      <t>G</t>
    </r>
    <r>
      <rPr>
        <b/>
        <vertAlign val="subscript"/>
        <sz val="11"/>
        <color rgb="FF000000"/>
        <rFont val="Calibri"/>
        <family val="2"/>
      </rPr>
      <t>32</t>
    </r>
  </si>
  <si>
    <t>xEBreg-xEB</t>
  </si>
  <si>
    <t>xRBreg-xRB</t>
  </si>
  <si>
    <t>sum</t>
  </si>
  <si>
    <t>x1.1</t>
  </si>
  <si>
    <t>x2.1</t>
  </si>
  <si>
    <t>x3.1</t>
  </si>
  <si>
    <t>x1.2</t>
  </si>
  <si>
    <t>x2.2</t>
  </si>
  <si>
    <t>x3.2</t>
  </si>
  <si>
    <t>φ1.1</t>
  </si>
  <si>
    <t>φ2.1</t>
  </si>
  <si>
    <t>φ3.1</t>
  </si>
  <si>
    <t>θ1.1</t>
  </si>
  <si>
    <t>θ2.1</t>
  </si>
  <si>
    <t>θ3.1</t>
  </si>
  <si>
    <t>lnγ1.1</t>
  </si>
  <si>
    <t>lnγ2.1</t>
  </si>
  <si>
    <t>lnγ3.1</t>
  </si>
  <si>
    <t>γ1.1</t>
  </si>
  <si>
    <t>γ2.1</t>
  </si>
  <si>
    <t>γ3.1</t>
  </si>
  <si>
    <t>γ1.1/γ1.2</t>
  </si>
  <si>
    <t>γ2.1/γ2.2</t>
  </si>
  <si>
    <t>γ3.1/γ3.2</t>
  </si>
  <si>
    <t>potrebne vystupy pre odparku</t>
  </si>
  <si>
    <t>φ1.2</t>
  </si>
  <si>
    <t>φ2.2</t>
  </si>
  <si>
    <t>φ3.2</t>
  </si>
  <si>
    <t>θ1.2</t>
  </si>
  <si>
    <t>θ2.2</t>
  </si>
  <si>
    <t>θ3.2</t>
  </si>
  <si>
    <t>lnγ1.2</t>
  </si>
  <si>
    <t>lnγ2.2</t>
  </si>
  <si>
    <t>lnγ3.2</t>
  </si>
  <si>
    <t>γ1.2</t>
  </si>
  <si>
    <t>γ2.2</t>
  </si>
  <si>
    <t>γ3.2</t>
  </si>
  <si>
    <t>γ1.2/γ1.1</t>
  </si>
  <si>
    <t>γ2.2/γ2.1</t>
  </si>
  <si>
    <t>γ3.2/γ3.1</t>
  </si>
  <si>
    <t>potrebne vystupy pre ventil</t>
  </si>
  <si>
    <t>Nove</t>
  </si>
  <si>
    <t>Σxi</t>
  </si>
  <si>
    <t>x3.3</t>
  </si>
  <si>
    <t>Step</t>
  </si>
  <si>
    <t>x1</t>
  </si>
  <si>
    <t>x2</t>
  </si>
  <si>
    <t>x3</t>
  </si>
  <si>
    <t>NRTL parameters:</t>
  </si>
  <si>
    <t>R</t>
  </si>
  <si>
    <t>Antoine equation parameters (Pa)</t>
  </si>
  <si>
    <t>pre odparku</t>
  </si>
  <si>
    <t>pre Extraktor</t>
  </si>
  <si>
    <t>Metanol</t>
  </si>
  <si>
    <t>alphaAB</t>
  </si>
  <si>
    <t>gAB</t>
  </si>
  <si>
    <t>MACRO</t>
  </si>
  <si>
    <t>gBA</t>
  </si>
  <si>
    <t>P - ventil</t>
  </si>
  <si>
    <t>kPa</t>
  </si>
  <si>
    <t>CTRL+Q</t>
  </si>
  <si>
    <t>xa</t>
  </si>
  <si>
    <t>gAC</t>
  </si>
  <si>
    <t>xb</t>
  </si>
  <si>
    <t>gCA</t>
  </si>
  <si>
    <t>P - pred</t>
  </si>
  <si>
    <t>xc</t>
  </si>
  <si>
    <t>gBC</t>
  </si>
  <si>
    <t>gCB</t>
  </si>
  <si>
    <t>t</t>
  </si>
  <si>
    <t>T</t>
  </si>
  <si>
    <t>PA0</t>
  </si>
  <si>
    <t>PB0</t>
  </si>
  <si>
    <t>PC0</t>
  </si>
  <si>
    <t>yA</t>
  </si>
  <si>
    <t>yB</t>
  </si>
  <si>
    <t>yC</t>
  </si>
  <si>
    <t>SUMy</t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</si>
  <si>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AB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</si>
  <si>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BA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</si>
  <si>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AC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</si>
  <si>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CA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</si>
  <si>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BC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</si>
  <si>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CB</t>
    </r>
  </si>
  <si>
    <t>GAB</t>
  </si>
  <si>
    <t>GBA</t>
  </si>
  <si>
    <t>GAC</t>
  </si>
  <si>
    <t>GCA</t>
  </si>
  <si>
    <t>GBC</t>
  </si>
  <si>
    <t>GCB</t>
  </si>
  <si>
    <t>θ1</t>
  </si>
  <si>
    <t>θ2</t>
  </si>
  <si>
    <t>θ3</t>
  </si>
  <si>
    <t>φ1</t>
  </si>
  <si>
    <t>φ2</t>
  </si>
  <si>
    <t>φ3</t>
  </si>
  <si>
    <t>γA</t>
  </si>
  <si>
    <t>γB</t>
  </si>
  <si>
    <t>γC</t>
  </si>
  <si>
    <t>VSTUP</t>
  </si>
  <si>
    <t>L</t>
  </si>
  <si>
    <t>G</t>
  </si>
  <si>
    <t>Stred. T</t>
  </si>
  <si>
    <t>vypA [kJ/kmol]</t>
  </si>
  <si>
    <t>A [kJ/mol]</t>
  </si>
  <si>
    <t>alpha</t>
  </si>
  <si>
    <t>cpA [kJ/kmol/K]</t>
  </si>
  <si>
    <t>vypB</t>
  </si>
  <si>
    <t>n[kmol]</t>
  </si>
  <si>
    <t>odchylka</t>
  </si>
  <si>
    <t>beta</t>
  </si>
  <si>
    <t>Tc [K]</t>
  </si>
  <si>
    <t>NIST</t>
  </si>
  <si>
    <t>cpB</t>
  </si>
  <si>
    <t>vypC</t>
  </si>
  <si>
    <t>cpC</t>
  </si>
  <si>
    <t>vypZ</t>
  </si>
  <si>
    <t>h[kJ/kmol/h]</t>
  </si>
  <si>
    <t>H</t>
  </si>
  <si>
    <t>cpZ</t>
  </si>
  <si>
    <t>kJ/h</t>
  </si>
  <si>
    <t>SUMA</t>
  </si>
  <si>
    <t>Referenčný stav</t>
  </si>
  <si>
    <r>
      <t>Majer, V.</t>
    </r>
    <r>
      <rPr>
        <sz val="12"/>
        <color rgb="FF000000"/>
        <rFont val="Arial"/>
        <family val="2"/>
      </rPr>
      <t>; </t>
    </r>
    <r>
      <rPr>
        <sz val="12"/>
        <color theme="1"/>
        <rFont val="Arial"/>
        <family val="2"/>
      </rPr>
      <t>Svoboda, V.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Enthalpies of Vaporization of Organic Compounds: A Critical Review and Data Compilation</t>
    </r>
    <r>
      <rPr>
        <sz val="12"/>
        <color rgb="FF000000"/>
        <rFont val="Arial"/>
        <family val="2"/>
      </rPr>
      <t>, Blackwell Scientific Publications, Oxford, 1985, 300. </t>
    </r>
  </si>
  <si>
    <t>teplota L a G</t>
  </si>
  <si>
    <t>M</t>
  </si>
  <si>
    <t>kg/kmol</t>
  </si>
  <si>
    <r>
      <t>Andon, R.J.L.</t>
    </r>
    <r>
      <rPr>
        <sz val="12"/>
        <color rgb="FF000000"/>
        <rFont val="Arial"/>
        <family val="2"/>
      </rPr>
      <t>; </t>
    </r>
    <r>
      <rPr>
        <sz val="12"/>
        <color theme="1"/>
        <rFont val="Arial"/>
        <family val="2"/>
      </rPr>
      <t>Martin, J.F.</t>
    </r>
    <r>
      <rPr>
        <sz val="12"/>
        <color rgb="FF000000"/>
        <rFont val="Arial"/>
        <family val="2"/>
      </rPr>
      <t>, </t>
    </r>
    <r>
      <rPr>
        <i/>
        <sz val="12"/>
        <color rgb="FF000000"/>
        <rFont val="Arial"/>
        <family val="2"/>
      </rPr>
      <t>Thermodynamic properties of organic oxygen compounds. 40. Heat capacity and entropy of six ethers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J. Chem. Thermodynam.</t>
    </r>
    <r>
      <rPr>
        <sz val="12"/>
        <color rgb="FF000000"/>
        <rFont val="Arial"/>
        <family val="2"/>
      </rPr>
      <t>, 1975, 7, 593-606.</t>
    </r>
  </si>
  <si>
    <t>cp</t>
  </si>
  <si>
    <t>kcal/kg/K</t>
  </si>
  <si>
    <t>1kcal</t>
  </si>
  <si>
    <t>=</t>
  </si>
  <si>
    <t>4,1868kJ</t>
  </si>
  <si>
    <t>a</t>
  </si>
  <si>
    <t>b</t>
  </si>
  <si>
    <t>c</t>
  </si>
  <si>
    <t>d</t>
  </si>
  <si>
    <t>kJ/kg/K</t>
  </si>
  <si>
    <t>kJ/kmol/K</t>
  </si>
  <si>
    <t>[EMIM][HSO4]</t>
  </si>
  <si>
    <t>J/mol/K</t>
  </si>
  <si>
    <t>Ficke, L. E.; Novak, R.; Brennecke, J. F. (2010) J. Chem. Eng. Data 55(11),</t>
  </si>
  <si>
    <t>cp[J/mol/K]</t>
  </si>
  <si>
    <t>Antoine equation parameters (P = Pa)</t>
  </si>
  <si>
    <r>
      <t>i</t>
    </r>
    <r>
      <rPr>
        <b/>
        <sz val="11"/>
        <color rgb="FF1F1F1F"/>
        <rFont val="Georgia"/>
        <family val="1"/>
      </rPr>
      <t>–</t>
    </r>
    <r>
      <rPr>
        <b/>
        <i/>
        <sz val="11"/>
        <color rgb="FF1F1F1F"/>
        <rFont val="Georgia"/>
        <family val="1"/>
      </rPr>
      <t>j</t>
    </r>
  </si>
  <si>
    <r>
      <t>Δgij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</si>
  <si>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r>
      <t>Δgji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</si>
  <si>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t>rmsd</t>
  </si>
  <si>
    <t>α</t>
  </si>
  <si>
    <t>R [kJ.mol^-1.K^-1]</t>
  </si>
  <si>
    <t>NRTL parameters</t>
  </si>
  <si>
    <r>
      <t>MTBE (1) + methanol (2) + [BMIM][HSO</t>
    </r>
    <r>
      <rPr>
        <b/>
        <sz val="8"/>
        <color rgb="FF1F1F1F"/>
        <rFont val="Georgia"/>
        <family val="1"/>
      </rPr>
      <t>4</t>
    </r>
    <r>
      <rPr>
        <b/>
        <sz val="11"/>
        <color rgb="FF1F1F1F"/>
        <rFont val="Georgia"/>
        <family val="1"/>
      </rPr>
      <t>] (3) at 318.15 K</t>
    </r>
  </si>
  <si>
    <t>1–2</t>
  </si>
  <si>
    <t>1–3</t>
  </si>
  <si>
    <t>P[kPa]</t>
  </si>
  <si>
    <t>2–3</t>
  </si>
  <si>
    <t>Normalizacia</t>
  </si>
  <si>
    <t>KA</t>
  </si>
  <si>
    <t>KB</t>
  </si>
  <si>
    <t>KC</t>
  </si>
  <si>
    <t>SUMx</t>
  </si>
  <si>
    <t>sumP</t>
  </si>
  <si>
    <t>NASTRELY</t>
  </si>
  <si>
    <t>Vypocitane</t>
  </si>
  <si>
    <t>lnγA</t>
  </si>
  <si>
    <t>lnγB</t>
  </si>
  <si>
    <t>lnγC</t>
  </si>
  <si>
    <t>ps</t>
  </si>
  <si>
    <t>inverzna</t>
  </si>
  <si>
    <t>D</t>
  </si>
  <si>
    <t>W</t>
  </si>
  <si>
    <t>PA</t>
  </si>
  <si>
    <t>PB</t>
  </si>
  <si>
    <t>PC</t>
  </si>
  <si>
    <t>vstup</t>
  </si>
  <si>
    <t>vystup</t>
  </si>
  <si>
    <t>Udaje vstupne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</si>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</sst>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000"/>
    <numFmt numFmtId="165" formatCode="_(* #,##0.0000_);_(* \(#,##0.0000\);_(* &quot;-&quot;??_);_(@_)"/>
    <numFmt numFmtId="166" formatCode="_(* #,##0.0000_);_(* \(#,##0.0000\);_(* &quot;-&quot;????_);_(@_)"/>
    <numFmt numFmtId="167" formatCode="0.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vertAlign val="subscript"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1F1F1F"/>
      <name val="Georgia"/>
      <family val="1"/>
    </font>
    <font>
      <b/>
      <sz val="11"/>
      <color theme="1"/>
      <name val="Calibri"/>
      <family val="2"/>
      <charset val="238"/>
    </font>
    <font>
      <b/>
      <i/>
      <sz val="11"/>
      <color theme="1"/>
      <name val="Calibri"/>
      <family val="2"/>
      <charset val="238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b/>
      <i/>
      <sz val="11"/>
      <color rgb="FF1F1F1F"/>
      <name val="Georgia"/>
      <family val="1"/>
    </font>
    <font>
      <b/>
      <sz val="11"/>
      <color rgb="FF1F1F1F"/>
      <name val="Georgia"/>
      <family val="1"/>
    </font>
    <font>
      <sz val="10"/>
      <color rgb="FF1F1F1F"/>
      <name val="Georgia"/>
      <family val="1"/>
    </font>
    <font>
      <b/>
      <sz val="8"/>
      <color rgb="FF1F1F1F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8E8E8E"/>
      </top>
      <bottom/>
      <diagonal/>
    </border>
    <border>
      <left/>
      <right/>
      <top/>
      <bottom style="medium">
        <color rgb="FF8E8E8E"/>
      </bottom>
      <diagonal/>
    </border>
    <border>
      <left/>
      <right/>
      <top style="medium">
        <color rgb="FF8E8E8E"/>
      </top>
      <bottom style="medium">
        <color rgb="FF8E8E8E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36">
    <xf numFmtId="0" fontId="0" fillId="0" borderId="0" xfId="0"/>
    <xf numFmtId="0" fontId="3" fillId="0" borderId="1" xfId="0" applyFont="1" applyBorder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0" fillId="0" borderId="0" xfId="0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5" xfId="0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5" fillId="0" borderId="0" xfId="0" applyFont="1"/>
    <xf numFmtId="164" fontId="5" fillId="0" borderId="0" xfId="0" applyNumberFormat="1" applyFont="1"/>
    <xf numFmtId="0" fontId="3" fillId="0" borderId="14" xfId="0" applyFont="1" applyBorder="1"/>
    <xf numFmtId="2" fontId="0" fillId="0" borderId="9" xfId="0" applyNumberFormat="1" applyBorder="1"/>
    <xf numFmtId="164" fontId="0" fillId="0" borderId="0" xfId="0" applyNumberFormat="1" applyBorder="1"/>
    <xf numFmtId="164" fontId="0" fillId="0" borderId="10" xfId="0" applyNumberFormat="1" applyBorder="1"/>
    <xf numFmtId="0" fontId="3" fillId="0" borderId="9" xfId="0" applyFont="1" applyBorder="1"/>
    <xf numFmtId="165" fontId="0" fillId="0" borderId="9" xfId="0" applyNumberFormat="1" applyBorder="1"/>
    <xf numFmtId="165" fontId="0" fillId="0" borderId="0" xfId="0" applyNumberFormat="1" applyBorder="1"/>
    <xf numFmtId="165" fontId="0" fillId="0" borderId="10" xfId="0" applyNumberFormat="1" applyBorder="1"/>
    <xf numFmtId="0" fontId="0" fillId="0" borderId="14" xfId="0" applyBorder="1"/>
    <xf numFmtId="0" fontId="3" fillId="0" borderId="15" xfId="0" applyFont="1" applyBorder="1"/>
    <xf numFmtId="164" fontId="0" fillId="0" borderId="12" xfId="0" applyNumberFormat="1" applyBorder="1"/>
    <xf numFmtId="164" fontId="0" fillId="0" borderId="13" xfId="0" applyNumberFormat="1" applyBorder="1"/>
    <xf numFmtId="2" fontId="0" fillId="0" borderId="0" xfId="0" applyNumberFormat="1" applyBorder="1"/>
    <xf numFmtId="2" fontId="0" fillId="0" borderId="5" xfId="0" applyNumberFormat="1" applyBorder="1"/>
    <xf numFmtId="2" fontId="0" fillId="0" borderId="12" xfId="0" applyNumberFormat="1" applyBorder="1"/>
    <xf numFmtId="0" fontId="0" fillId="0" borderId="15" xfId="0" applyBorder="1"/>
    <xf numFmtId="2" fontId="0" fillId="0" borderId="0" xfId="0" applyNumberFormat="1"/>
    <xf numFmtId="164" fontId="0" fillId="0" borderId="0" xfId="0" applyNumberFormat="1"/>
    <xf numFmtId="0" fontId="3" fillId="0" borderId="11" xfId="0" applyFont="1" applyBorder="1"/>
    <xf numFmtId="165" fontId="0" fillId="0" borderId="11" xfId="0" applyNumberFormat="1" applyBorder="1"/>
    <xf numFmtId="165" fontId="0" fillId="0" borderId="12" xfId="0" applyNumberFormat="1" applyBorder="1"/>
    <xf numFmtId="165" fontId="0" fillId="0" borderId="13" xfId="0" applyNumberFormat="1" applyBorder="1"/>
    <xf numFmtId="2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166" fontId="0" fillId="0" borderId="15" xfId="0" applyNumberFormat="1" applyBorder="1"/>
    <xf numFmtId="0" fontId="3" fillId="0" borderId="0" xfId="0" applyFont="1" applyFill="1" applyBorder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167" fontId="0" fillId="0" borderId="0" xfId="0" applyNumberFormat="1"/>
    <xf numFmtId="166" fontId="0" fillId="0" borderId="0" xfId="0" applyNumberFormat="1"/>
    <xf numFmtId="0" fontId="6" fillId="0" borderId="1" xfId="0" applyFont="1" applyBorder="1"/>
    <xf numFmtId="0" fontId="2" fillId="0" borderId="0" xfId="0" applyFont="1" applyBorder="1"/>
    <xf numFmtId="0" fontId="7" fillId="0" borderId="0" xfId="0" applyFont="1"/>
    <xf numFmtId="0" fontId="6" fillId="0" borderId="7" xfId="0" applyFont="1" applyBorder="1"/>
    <xf numFmtId="0" fontId="6" fillId="0" borderId="6" xfId="0" applyFont="1" applyBorder="1"/>
    <xf numFmtId="2" fontId="3" fillId="0" borderId="5" xfId="0" applyNumberFormat="1" applyFont="1" applyBorder="1"/>
    <xf numFmtId="2" fontId="0" fillId="0" borderId="7" xfId="0" applyNumberFormat="1" applyBorder="1"/>
    <xf numFmtId="0" fontId="3" fillId="0" borderId="5" xfId="0" applyFont="1" applyBorder="1" applyAlignment="1">
      <alignment horizontal="left"/>
    </xf>
    <xf numFmtId="165" fontId="0" fillId="0" borderId="5" xfId="1" applyNumberFormat="1" applyFont="1" applyBorder="1"/>
    <xf numFmtId="165" fontId="0" fillId="0" borderId="6" xfId="1" applyNumberFormat="1" applyFont="1" applyBorder="1"/>
    <xf numFmtId="0" fontId="0" fillId="0" borderId="8" xfId="0" applyNumberFormat="1" applyBorder="1"/>
    <xf numFmtId="0" fontId="5" fillId="0" borderId="8" xfId="0" applyNumberFormat="1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0" borderId="9" xfId="0" applyFont="1" applyBorder="1" applyAlignment="1">
      <alignment horizontal="left"/>
    </xf>
    <xf numFmtId="165" fontId="0" fillId="0" borderId="9" xfId="1" applyNumberFormat="1" applyFont="1" applyBorder="1"/>
    <xf numFmtId="165" fontId="0" fillId="0" borderId="0" xfId="1" applyNumberFormat="1" applyFont="1" applyBorder="1"/>
    <xf numFmtId="0" fontId="0" fillId="0" borderId="14" xfId="0" applyNumberFormat="1" applyBorder="1"/>
    <xf numFmtId="0" fontId="5" fillId="0" borderId="14" xfId="0" applyNumberFormat="1" applyFont="1" applyBorder="1"/>
    <xf numFmtId="0" fontId="0" fillId="0" borderId="19" xfId="0" applyBorder="1"/>
    <xf numFmtId="0" fontId="0" fillId="0" borderId="20" xfId="0" applyBorder="1"/>
    <xf numFmtId="43" fontId="0" fillId="0" borderId="0" xfId="0" applyNumberFormat="1"/>
    <xf numFmtId="165" fontId="0" fillId="0" borderId="0" xfId="0" applyNumberFormat="1"/>
    <xf numFmtId="0" fontId="8" fillId="0" borderId="2" xfId="2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0" fontId="8" fillId="0" borderId="4" xfId="2" applyFont="1" applyBorder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11" xfId="0" applyFont="1" applyBorder="1" applyAlignment="1">
      <alignment horizontal="left"/>
    </xf>
    <xf numFmtId="165" fontId="0" fillId="0" borderId="11" xfId="1" applyNumberFormat="1" applyFont="1" applyBorder="1"/>
    <xf numFmtId="165" fontId="0" fillId="0" borderId="12" xfId="1" applyNumberFormat="1" applyFont="1" applyBorder="1"/>
    <xf numFmtId="0" fontId="0" fillId="0" borderId="15" xfId="0" applyNumberFormat="1" applyBorder="1"/>
    <xf numFmtId="0" fontId="5" fillId="0" borderId="15" xfId="0" applyNumberFormat="1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167" fontId="0" fillId="0" borderId="0" xfId="0" applyNumberFormat="1" applyBorder="1"/>
    <xf numFmtId="167" fontId="5" fillId="0" borderId="0" xfId="0" applyNumberFormat="1" applyFont="1" applyBorder="1"/>
    <xf numFmtId="2" fontId="0" fillId="0" borderId="11" xfId="0" applyNumberFormat="1" applyBorder="1"/>
    <xf numFmtId="2" fontId="3" fillId="0" borderId="13" xfId="0" applyNumberFormat="1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2" fontId="0" fillId="0" borderId="8" xfId="0" applyNumberFormat="1" applyBorder="1"/>
    <xf numFmtId="165" fontId="0" fillId="0" borderId="14" xfId="0" applyNumberFormat="1" applyBorder="1"/>
    <xf numFmtId="165" fontId="0" fillId="0" borderId="15" xfId="0" applyNumberFormat="1" applyBorder="1"/>
    <xf numFmtId="43" fontId="0" fillId="0" borderId="8" xfId="1" applyFont="1" applyBorder="1"/>
    <xf numFmtId="0" fontId="2" fillId="0" borderId="0" xfId="0" applyFont="1"/>
    <xf numFmtId="0" fontId="3" fillId="0" borderId="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164" fontId="12" fillId="0" borderId="24" xfId="0" applyNumberFormat="1" applyFont="1" applyBorder="1" applyAlignment="1">
      <alignment horizontal="left" vertical="center"/>
    </xf>
    <xf numFmtId="0" fontId="0" fillId="0" borderId="15" xfId="0" applyBorder="1" applyAlignment="1">
      <alignment horizontal="center"/>
    </xf>
    <xf numFmtId="164" fontId="12" fillId="0" borderId="0" xfId="0" applyNumberFormat="1" applyFont="1" applyAlignment="1">
      <alignment horizontal="left" vertical="center"/>
    </xf>
    <xf numFmtId="0" fontId="0" fillId="0" borderId="13" xfId="0" applyBorder="1" applyAlignment="1">
      <alignment horizontal="center"/>
    </xf>
    <xf numFmtId="164" fontId="12" fillId="0" borderId="25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1" fillId="0" borderId="9" xfId="0" applyFont="1" applyFill="1" applyBorder="1" applyAlignment="1">
      <alignment horizontal="center"/>
    </xf>
    <xf numFmtId="0" fontId="11" fillId="0" borderId="0" xfId="0" applyFont="1" applyBorder="1" applyAlignment="1"/>
    <xf numFmtId="0" fontId="14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1" fillId="0" borderId="14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4" fillId="0" borderId="14" xfId="0" applyFont="1" applyFill="1" applyBorder="1" applyAlignment="1">
      <alignment horizontal="center"/>
    </xf>
    <xf numFmtId="0" fontId="15" fillId="0" borderId="0" xfId="0" applyFont="1"/>
    <xf numFmtId="0" fontId="3" fillId="0" borderId="0" xfId="0" applyFont="1" applyBorder="1"/>
    <xf numFmtId="0" fontId="3" fillId="0" borderId="8" xfId="0" applyFont="1" applyBorder="1" applyAlignment="1">
      <alignment horizontal="center"/>
    </xf>
    <xf numFmtId="0" fontId="3" fillId="0" borderId="3" xfId="0" quotePrefix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0" xfId="0" quotePrefix="1"/>
    <xf numFmtId="0" fontId="16" fillId="0" borderId="0" xfId="0" applyFont="1"/>
    <xf numFmtId="0" fontId="3" fillId="0" borderId="1" xfId="0" applyFont="1" applyBorder="1" applyAlignment="1">
      <alignment horizontal="center"/>
    </xf>
    <xf numFmtId="43" fontId="0" fillId="0" borderId="1" xfId="0" applyNumberFormat="1" applyBorder="1"/>
    <xf numFmtId="0" fontId="21" fillId="0" borderId="26" xfId="0" applyFont="1" applyBorder="1" applyAlignment="1">
      <alignment horizontal="left" vertic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12" fillId="0" borderId="24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0" fillId="0" borderId="25" xfId="0" applyBorder="1" applyAlignment="1"/>
    <xf numFmtId="0" fontId="13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11" fontId="0" fillId="0" borderId="0" xfId="0" applyNumberFormat="1"/>
    <xf numFmtId="0" fontId="13" fillId="0" borderId="10" xfId="0" applyFont="1" applyFill="1" applyBorder="1" applyAlignment="1">
      <alignment horizontal="center"/>
    </xf>
    <xf numFmtId="43" fontId="0" fillId="0" borderId="8" xfId="0" applyNumberFormat="1" applyBorder="1" applyAlignment="1">
      <alignment horizontal="center"/>
    </xf>
    <xf numFmtId="0" fontId="0" fillId="0" borderId="2" xfId="0" applyFont="1" applyBorder="1"/>
    <xf numFmtId="43" fontId="0" fillId="0" borderId="4" xfId="0" applyNumberFormat="1" applyFont="1" applyBorder="1"/>
    <xf numFmtId="0" fontId="0" fillId="0" borderId="1" xfId="0" applyFont="1" applyBorder="1"/>
    <xf numFmtId="0" fontId="0" fillId="0" borderId="10" xfId="0" applyFont="1" applyBorder="1"/>
    <xf numFmtId="0" fontId="0" fillId="0" borderId="13" xfId="0" applyFont="1" applyBorder="1"/>
    <xf numFmtId="0" fontId="0" fillId="3" borderId="0" xfId="0" applyFill="1"/>
    <xf numFmtId="0" fontId="14" fillId="0" borderId="0" xfId="0" applyFont="1" applyFill="1" applyBorder="1" applyAlignment="1">
      <alignment horizontal="center"/>
    </xf>
    <xf numFmtId="0" fontId="3" fillId="0" borderId="0" xfId="0" quotePrefix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164" fontId="12" fillId="0" borderId="0" xfId="0" applyNumberFormat="1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43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0" fontId="15" fillId="0" borderId="0" xfId="0" applyFont="1" applyFill="1" applyBorder="1"/>
    <xf numFmtId="0" fontId="0" fillId="0" borderId="0" xfId="0" quotePrefix="1" applyFill="1" applyBorder="1"/>
    <xf numFmtId="0" fontId="16" fillId="0" borderId="0" xfId="0" applyFont="1" applyFill="1" applyBorder="1"/>
    <xf numFmtId="0" fontId="3" fillId="0" borderId="12" xfId="0" applyFont="1" applyBorder="1"/>
    <xf numFmtId="0" fontId="3" fillId="0" borderId="13" xfId="0" applyFont="1" applyBorder="1"/>
    <xf numFmtId="0" fontId="0" fillId="0" borderId="0" xfId="0" applyNumberFormat="1"/>
    <xf numFmtId="0" fontId="14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/>
    </xf>
  </cellXfs>
  <cellStyles count="3">
    <cellStyle name="Normal 2" xfId="2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36180358705161852"/>
                  <c:y val="-6.5799066783318752E-4"/>
                </c:manualLayout>
              </c:layout>
              <c:numFmt formatCode="General" sourceLinked="0"/>
            </c:trendlineLbl>
          </c:trendline>
          <c:xVal>
            <c:numRef>
              <c:f>'[3]Ventil ext'!$A$42:$A$48</c:f>
              <c:numCache>
                <c:formatCode>General</c:formatCode>
                <c:ptCount val="7"/>
                <c:pt idx="0">
                  <c:v>283.14999999999998</c:v>
                </c:pt>
                <c:pt idx="1">
                  <c:v>293.14999999999998</c:v>
                </c:pt>
                <c:pt idx="2">
                  <c:v>303.14999999999998</c:v>
                </c:pt>
                <c:pt idx="3">
                  <c:v>313.14999999999998</c:v>
                </c:pt>
                <c:pt idx="4">
                  <c:v>323.14999999999998</c:v>
                </c:pt>
                <c:pt idx="5">
                  <c:v>333.15</c:v>
                </c:pt>
                <c:pt idx="6">
                  <c:v>343.15</c:v>
                </c:pt>
              </c:numCache>
            </c:numRef>
          </c:xVal>
          <c:yVal>
            <c:numRef>
              <c:f>'[3]Ventil ext'!$B$42:$B$48</c:f>
              <c:numCache>
                <c:formatCode>General</c:formatCode>
                <c:ptCount val="7"/>
                <c:pt idx="0">
                  <c:v>290</c:v>
                </c:pt>
                <c:pt idx="1">
                  <c:v>294</c:v>
                </c:pt>
                <c:pt idx="2">
                  <c:v>297</c:v>
                </c:pt>
                <c:pt idx="3">
                  <c:v>302</c:v>
                </c:pt>
                <c:pt idx="4">
                  <c:v>306</c:v>
                </c:pt>
                <c:pt idx="5">
                  <c:v>313</c:v>
                </c:pt>
                <c:pt idx="6">
                  <c:v>324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87328"/>
        <c:axId val="144788864"/>
      </c:scatterChart>
      <c:valAx>
        <c:axId val="144787328"/>
        <c:scaling>
          <c:orientation val="minMax"/>
          <c:max val="350"/>
          <c:min val="280"/>
        </c:scaling>
        <c:delete val="0"/>
        <c:axPos val="b"/>
        <c:numFmt formatCode="General" sourceLinked="1"/>
        <c:majorTickMark val="out"/>
        <c:minorTickMark val="none"/>
        <c:tickLblPos val="nextTo"/>
        <c:crossAx val="144788864"/>
        <c:crosses val="autoZero"/>
        <c:crossBetween val="midCat"/>
      </c:valAx>
      <c:valAx>
        <c:axId val="144788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7873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36</xdr:row>
          <xdr:rowOff>47625</xdr:rowOff>
        </xdr:from>
        <xdr:to>
          <xdr:col>11</xdr:col>
          <xdr:colOff>19050</xdr:colOff>
          <xdr:row>38</xdr:row>
          <xdr:rowOff>171450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FIX</a:t>
              </a:r>
              <a:endParaRPr lang="sk-SK"/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36</xdr:row>
          <xdr:rowOff>47625</xdr:rowOff>
        </xdr:from>
        <xdr:to>
          <xdr:col>11</xdr:col>
          <xdr:colOff>19050</xdr:colOff>
          <xdr:row>38</xdr:row>
          <xdr:rowOff>171450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FIX</a:t>
              </a:r>
              <a:endParaRPr lang="sk-SK"/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36</xdr:row>
          <xdr:rowOff>47625</xdr:rowOff>
        </xdr:from>
        <xdr:to>
          <xdr:col>11</xdr:col>
          <xdr:colOff>19050</xdr:colOff>
          <xdr:row>38</xdr:row>
          <xdr:rowOff>171450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FIX</a:t>
              </a:r>
              <a:endParaRPr lang="sk-SK"/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85725</xdr:colOff>
      <xdr:row>19</xdr:row>
      <xdr:rowOff>180975</xdr:rowOff>
    </xdr:from>
    <xdr:to>
      <xdr:col>16</xdr:col>
      <xdr:colOff>170904</xdr:colOff>
      <xdr:row>23</xdr:row>
      <xdr:rowOff>76099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4675" y="3981450"/>
          <a:ext cx="3857079" cy="733324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14</xdr:row>
      <xdr:rowOff>152400</xdr:rowOff>
    </xdr:from>
    <xdr:to>
      <xdr:col>11</xdr:col>
      <xdr:colOff>571279</xdr:colOff>
      <xdr:row>15</xdr:row>
      <xdr:rowOff>114264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7050" y="2952750"/>
          <a:ext cx="1257079" cy="171414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25</xdr:row>
      <xdr:rowOff>0</xdr:rowOff>
    </xdr:from>
    <xdr:to>
      <xdr:col>18</xdr:col>
      <xdr:colOff>199321</xdr:colOff>
      <xdr:row>27</xdr:row>
      <xdr:rowOff>156411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05625" y="5010150"/>
          <a:ext cx="5123746" cy="556461"/>
        </a:xfrm>
        <a:prstGeom prst="rect">
          <a:avLst/>
        </a:prstGeom>
      </xdr:spPr>
    </xdr:pic>
    <xdr:clientData/>
  </xdr:twoCellAnchor>
  <xdr:twoCellAnchor>
    <xdr:from>
      <xdr:col>5</xdr:col>
      <xdr:colOff>709612</xdr:colOff>
      <xdr:row>41</xdr:row>
      <xdr:rowOff>14287</xdr:rowOff>
    </xdr:from>
    <xdr:to>
      <xdr:col>12</xdr:col>
      <xdr:colOff>509587</xdr:colOff>
      <xdr:row>55</xdr:row>
      <xdr:rowOff>90487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353786</xdr:colOff>
      <xdr:row>16</xdr:row>
      <xdr:rowOff>27216</xdr:rowOff>
    </xdr:from>
    <xdr:to>
      <xdr:col>17</xdr:col>
      <xdr:colOff>481105</xdr:colOff>
      <xdr:row>20</xdr:row>
      <xdr:rowOff>51444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9086" y="3227616"/>
          <a:ext cx="3175319" cy="8529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2</xdr:row>
      <xdr:rowOff>47625</xdr:rowOff>
    </xdr:from>
    <xdr:to>
      <xdr:col>18</xdr:col>
      <xdr:colOff>604967</xdr:colOff>
      <xdr:row>4</xdr:row>
      <xdr:rowOff>66617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4825" y="447675"/>
          <a:ext cx="3605342" cy="419042"/>
        </a:xfrm>
        <a:prstGeom prst="rect">
          <a:avLst/>
        </a:prstGeom>
      </xdr:spPr>
    </xdr:pic>
    <xdr:clientData/>
  </xdr:twoCellAnchor>
  <xdr:twoCellAnchor editAs="oneCell">
    <xdr:from>
      <xdr:col>23</xdr:col>
      <xdr:colOff>380999</xdr:colOff>
      <xdr:row>0</xdr:row>
      <xdr:rowOff>0</xdr:rowOff>
    </xdr:from>
    <xdr:to>
      <xdr:col>25</xdr:col>
      <xdr:colOff>339435</xdr:colOff>
      <xdr:row>5</xdr:row>
      <xdr:rowOff>124213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40024" y="0"/>
          <a:ext cx="1330036" cy="115291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171450</xdr:colOff>
          <xdr:row>3</xdr:row>
          <xdr:rowOff>0</xdr:rowOff>
        </xdr:from>
        <xdr:to>
          <xdr:col>21</xdr:col>
          <xdr:colOff>590550</xdr:colOff>
          <xdr:row>5</xdr:row>
          <xdr:rowOff>104775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MACRO</a:t>
              </a:r>
              <a:endParaRPr lang="sk-SK"/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2</xdr:row>
      <xdr:rowOff>47625</xdr:rowOff>
    </xdr:from>
    <xdr:to>
      <xdr:col>18</xdr:col>
      <xdr:colOff>604967</xdr:colOff>
      <xdr:row>4</xdr:row>
      <xdr:rowOff>66617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2425" y="447675"/>
          <a:ext cx="3605342" cy="419042"/>
        </a:xfrm>
        <a:prstGeom prst="rect">
          <a:avLst/>
        </a:prstGeom>
      </xdr:spPr>
    </xdr:pic>
    <xdr:clientData/>
  </xdr:twoCellAnchor>
  <xdr:twoCellAnchor editAs="oneCell">
    <xdr:from>
      <xdr:col>24</xdr:col>
      <xdr:colOff>81642</xdr:colOff>
      <xdr:row>0</xdr:row>
      <xdr:rowOff>0</xdr:rowOff>
    </xdr:from>
    <xdr:to>
      <xdr:col>25</xdr:col>
      <xdr:colOff>563335</xdr:colOff>
      <xdr:row>6</xdr:row>
      <xdr:rowOff>46187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97867" y="0"/>
          <a:ext cx="1243693" cy="128443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171450</xdr:colOff>
          <xdr:row>3</xdr:row>
          <xdr:rowOff>0</xdr:rowOff>
        </xdr:from>
        <xdr:to>
          <xdr:col>21</xdr:col>
          <xdr:colOff>590550</xdr:colOff>
          <xdr:row>5</xdr:row>
          <xdr:rowOff>104775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MACRO</a:t>
              </a:r>
              <a:endParaRPr lang="sk-SK"/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sha/Desktop/bak24-25/Regenovana-IL/EXT.Kol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xtraktor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sha/Desktop/bak24-25/ventil%20ILcista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dpark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ytazky"/>
      <sheetName val="8PTK"/>
      <sheetName val="5PTK"/>
      <sheetName val="4PTK"/>
      <sheetName val="3PTK"/>
      <sheetName val="2PTK"/>
      <sheetName val="1PTK"/>
      <sheetName val="Vytazky 2 (bez RK)"/>
      <sheetName val="8.2"/>
      <sheetName val="5.2"/>
      <sheetName val="4.2"/>
      <sheetName val="3.2"/>
      <sheetName val="2.2"/>
      <sheetName val="1.2"/>
      <sheetName val="EXT.Kol"/>
    </sheetNames>
    <definedNames>
      <definedName name="ODLADENI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-IL"/>
      <sheetName val="Cista-IL"/>
      <sheetName val="Лист1"/>
      <sheetName val="Extraktor"/>
    </sheetNames>
    <definedNames>
      <definedName name="ODLADENIE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il ext"/>
      <sheetName val="Лист3"/>
      <sheetName val="Ventil Raf"/>
      <sheetName val="Raf-REG.IL"/>
    </sheetNames>
    <sheetDataSet>
      <sheetData sheetId="0">
        <row r="42">
          <cell r="A42">
            <v>283.14999999999998</v>
          </cell>
          <cell r="B42">
            <v>290</v>
          </cell>
        </row>
        <row r="43">
          <cell r="A43">
            <v>293.14999999999998</v>
          </cell>
          <cell r="B43">
            <v>294</v>
          </cell>
        </row>
        <row r="44">
          <cell r="A44">
            <v>303.14999999999998</v>
          </cell>
          <cell r="B44">
            <v>297</v>
          </cell>
        </row>
        <row r="45">
          <cell r="A45">
            <v>313.14999999999998</v>
          </cell>
          <cell r="B45">
            <v>302</v>
          </cell>
        </row>
        <row r="46">
          <cell r="A46">
            <v>323.14999999999998</v>
          </cell>
          <cell r="B46">
            <v>306</v>
          </cell>
        </row>
        <row r="47">
          <cell r="A47">
            <v>333.15</v>
          </cell>
          <cell r="B47">
            <v>313</v>
          </cell>
        </row>
        <row r="48">
          <cell r="A48">
            <v>343.15</v>
          </cell>
          <cell r="B48">
            <v>324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akt-cistaIL"/>
      <sheetName val="Rafinat-cistaIL"/>
      <sheetName val="Extrakt-RegIL"/>
      <sheetName val="Rafinat-RegIL"/>
      <sheetName val="Лист1"/>
      <sheetName val="Odparka"/>
    </sheetNames>
    <definedNames>
      <definedName name="Module1.Solver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122"/>
  <sheetViews>
    <sheetView topLeftCell="P7" zoomScale="70" zoomScaleNormal="70" workbookViewId="0">
      <selection activeCell="AH17" sqref="AH17"/>
    </sheetView>
  </sheetViews>
  <sheetFormatPr defaultRowHeight="15" x14ac:dyDescent="0.25"/>
  <cols>
    <col min="5" max="5" width="13.5703125" bestFit="1" customWidth="1"/>
    <col min="7" max="9" width="9.28515625" bestFit="1" customWidth="1"/>
    <col min="12" max="17" width="9.28515625" bestFit="1" customWidth="1"/>
    <col min="20" max="24" width="13.85546875" bestFit="1" customWidth="1"/>
    <col min="25" max="25" width="16" bestFit="1" customWidth="1"/>
    <col min="26" max="26" width="9.28515625" bestFit="1" customWidth="1"/>
    <col min="31" max="31" width="9.140625" customWidth="1"/>
    <col min="32" max="32" width="12.28515625" customWidth="1"/>
    <col min="33" max="34" width="15.7109375" bestFit="1" customWidth="1"/>
    <col min="35" max="35" width="18.5703125" bestFit="1" customWidth="1"/>
    <col min="41" max="41" width="15.140625" bestFit="1" customWidth="1"/>
    <col min="42" max="43" width="16.5703125" bestFit="1" customWidth="1"/>
    <col min="44" max="44" width="12.85546875" customWidth="1"/>
  </cols>
  <sheetData>
    <row r="1" spans="1:44" ht="15.75" thickBot="1" x14ac:dyDescent="0.3">
      <c r="AE1" s="1" t="s">
        <v>0</v>
      </c>
      <c r="AF1" s="2"/>
    </row>
    <row r="2" spans="1:44" ht="15.75" thickBot="1" x14ac:dyDescent="0.3">
      <c r="B2" s="3" t="s">
        <v>1</v>
      </c>
      <c r="C2" s="4"/>
      <c r="D2" s="4"/>
      <c r="E2" s="5" t="s">
        <v>2</v>
      </c>
      <c r="G2" s="6" t="s">
        <v>3</v>
      </c>
      <c r="H2" s="6"/>
      <c r="I2" s="6"/>
      <c r="AF2" s="7" t="s">
        <v>4</v>
      </c>
      <c r="AG2" s="8" t="s">
        <v>5</v>
      </c>
      <c r="AH2" s="8" t="s">
        <v>6</v>
      </c>
      <c r="AI2" s="5" t="s">
        <v>7</v>
      </c>
    </row>
    <row r="3" spans="1:44" ht="15.75" thickBot="1" x14ac:dyDescent="0.3">
      <c r="B3" s="9" t="s">
        <v>8</v>
      </c>
      <c r="C3" s="10" t="s">
        <v>9</v>
      </c>
      <c r="D3" s="11" t="s">
        <v>10</v>
      </c>
      <c r="E3" s="12" t="s">
        <v>11</v>
      </c>
      <c r="G3" s="7" t="s">
        <v>12</v>
      </c>
      <c r="H3" s="8" t="s">
        <v>13</v>
      </c>
      <c r="I3" s="5" t="s">
        <v>14</v>
      </c>
      <c r="L3">
        <v>1</v>
      </c>
      <c r="M3">
        <v>2</v>
      </c>
      <c r="N3">
        <v>3</v>
      </c>
      <c r="O3">
        <v>4</v>
      </c>
      <c r="P3">
        <v>5</v>
      </c>
      <c r="Q3" s="12" t="s">
        <v>15</v>
      </c>
      <c r="S3" s="1" t="s">
        <v>16</v>
      </c>
      <c r="Z3" s="1" t="s">
        <v>5</v>
      </c>
      <c r="AD3" s="211" t="s">
        <v>17</v>
      </c>
      <c r="AE3" s="12" t="s">
        <v>18</v>
      </c>
      <c r="AF3" s="13">
        <f>AJ14</f>
        <v>5.499721154502808</v>
      </c>
      <c r="AG3" s="14">
        <f>AJ15</f>
        <v>0.1838157132935723</v>
      </c>
      <c r="AH3" s="14">
        <f>AJ16</f>
        <v>0.81618428670642806</v>
      </c>
      <c r="AI3" s="15">
        <f>AJ17</f>
        <v>0</v>
      </c>
    </row>
    <row r="4" spans="1:44" ht="15.75" thickBot="1" x14ac:dyDescent="0.3">
      <c r="A4" s="9" t="s">
        <v>17</v>
      </c>
      <c r="B4" s="13">
        <f>AA26</f>
        <v>0.47577271586918651</v>
      </c>
      <c r="C4" s="13">
        <f t="shared" ref="C4:D4" si="0">AB26</f>
        <v>0.52422728413081354</v>
      </c>
      <c r="D4" s="13">
        <f t="shared" si="0"/>
        <v>0</v>
      </c>
      <c r="E4" s="16">
        <f>AA30</f>
        <v>30.499721154502808</v>
      </c>
      <c r="G4" s="17" t="s">
        <v>19</v>
      </c>
      <c r="H4" s="18" t="s">
        <v>19</v>
      </c>
      <c r="I4" s="19" t="s">
        <v>19</v>
      </c>
      <c r="K4" s="1" t="s">
        <v>20</v>
      </c>
      <c r="L4" s="13">
        <f>E$10*$G$5+E$5</f>
        <v>16.977067607876482</v>
      </c>
      <c r="M4" s="20">
        <f>-$E$11*$G$6</f>
        <v>-0.15270495477305043</v>
      </c>
      <c r="N4" s="20">
        <v>0</v>
      </c>
      <c r="O4" s="20">
        <v>0</v>
      </c>
      <c r="P4" s="20">
        <v>0</v>
      </c>
      <c r="Q4" s="16">
        <f>$B$4*$E$4</f>
        <v>14.510935166930683</v>
      </c>
      <c r="T4" s="13">
        <f t="array" ref="T4:X8">MINVERSE(L4:P8)</f>
        <v>5.9507754681166716E-2</v>
      </c>
      <c r="U4" s="20">
        <v>6.5165349787224872E-4</v>
      </c>
      <c r="V4" s="20">
        <v>1.9694900532150627E-6</v>
      </c>
      <c r="W4" s="20">
        <v>4.6148996582335355E-9</v>
      </c>
      <c r="X4" s="21">
        <v>1.0377421996064933E-11</v>
      </c>
      <c r="Z4" s="25">
        <f t="array" ref="Z4:Z8">MMULT(T4:X8,Q4:Q8)</f>
        <v>0.86351317010822282</v>
      </c>
      <c r="AD4" s="212"/>
      <c r="AE4" s="27" t="s">
        <v>21</v>
      </c>
      <c r="AF4" s="28">
        <v>25</v>
      </c>
      <c r="AG4" s="29">
        <v>0.54</v>
      </c>
      <c r="AH4" s="29">
        <v>0.46</v>
      </c>
      <c r="AI4" s="30">
        <v>0</v>
      </c>
    </row>
    <row r="5" spans="1:44" ht="15.75" thickBot="1" x14ac:dyDescent="0.3">
      <c r="A5" s="31" t="s">
        <v>22</v>
      </c>
      <c r="B5" s="32">
        <f>S31</f>
        <v>0.86351317010822259</v>
      </c>
      <c r="C5" s="33">
        <f t="shared" ref="C5:D9" si="1">T31</f>
        <v>0.13521519368765789</v>
      </c>
      <c r="D5" s="34">
        <f t="shared" si="1"/>
        <v>1.2716362041194675E-3</v>
      </c>
      <c r="E5" s="35">
        <f t="shared" ref="E5:E9" si="2">AA31</f>
        <v>15.755573243479059</v>
      </c>
      <c r="G5" s="17">
        <f>B10/B5</f>
        <v>4.1914006962442789E-2</v>
      </c>
      <c r="H5" s="18">
        <f t="shared" ref="H5:I9" si="3">C10/C5</f>
        <v>4.1096787955094127</v>
      </c>
      <c r="I5" s="19">
        <f t="shared" si="3"/>
        <v>320.9374562669463</v>
      </c>
      <c r="L5" s="28">
        <f>-$E$5</f>
        <v>-15.755573243479059</v>
      </c>
      <c r="M5" s="18">
        <f>$E$6+$E$11*$G$6</f>
        <v>13.986535187849251</v>
      </c>
      <c r="N5" s="18">
        <f>-$G$7*$E$12</f>
        <v>-4.10511036763343E-2</v>
      </c>
      <c r="O5" s="18">
        <v>0</v>
      </c>
      <c r="P5" s="18">
        <v>0</v>
      </c>
      <c r="Q5" s="35">
        <v>0</v>
      </c>
      <c r="T5" s="17">
        <v>6.7235371834231436E-2</v>
      </c>
      <c r="U5" s="18">
        <v>7.2447979875495186E-2</v>
      </c>
      <c r="V5" s="18">
        <v>2.1895927238356529E-4</v>
      </c>
      <c r="W5" s="18">
        <v>5.1306431816725614E-7</v>
      </c>
      <c r="X5" s="19">
        <v>1.1537162961378318E-9</v>
      </c>
      <c r="Z5" s="26">
        <v>0.97564812163287729</v>
      </c>
      <c r="AD5" s="212" t="s">
        <v>25</v>
      </c>
      <c r="AE5" s="36" t="s">
        <v>23</v>
      </c>
      <c r="AF5" s="100">
        <f>AK14</f>
        <v>2.52789131129279E-2</v>
      </c>
      <c r="AG5" s="37">
        <f>AK15</f>
        <v>0.74968589600221036</v>
      </c>
      <c r="AH5" s="37">
        <f>AK16</f>
        <v>3.1410575828227038E-4</v>
      </c>
      <c r="AI5" s="38">
        <f>AK17</f>
        <v>0.25</v>
      </c>
    </row>
    <row r="6" spans="1:44" x14ac:dyDescent="0.25">
      <c r="A6" s="31" t="s">
        <v>24</v>
      </c>
      <c r="B6" s="32">
        <f t="shared" ref="B6:B9" si="4">S32</f>
        <v>0.97564812163287706</v>
      </c>
      <c r="C6" s="33">
        <f t="shared" si="1"/>
        <v>2.3789340311500762E-2</v>
      </c>
      <c r="D6" s="34">
        <f t="shared" si="1"/>
        <v>5.6253805562210286E-4</v>
      </c>
      <c r="E6" s="35">
        <f t="shared" si="2"/>
        <v>13.833830233076201</v>
      </c>
      <c r="G6" s="17">
        <f t="shared" ref="G6:G9" si="5">B11/B6</f>
        <v>1.06054535276925E-2</v>
      </c>
      <c r="H6" s="18">
        <f t="shared" si="3"/>
        <v>6.8198272575139516</v>
      </c>
      <c r="I6" s="19">
        <f t="shared" si="3"/>
        <v>1470.8580324880754</v>
      </c>
      <c r="L6" s="17">
        <v>0</v>
      </c>
      <c r="M6" s="39">
        <f>-$E$6</f>
        <v>-13.833830233076201</v>
      </c>
      <c r="N6" s="18">
        <f>$E$7+$E$12*$G$7</f>
        <v>13.614557549394727</v>
      </c>
      <c r="O6" s="18">
        <f>-$E$13*$G$8</f>
        <v>-3.171915909246547E-2</v>
      </c>
      <c r="P6" s="18">
        <v>0</v>
      </c>
      <c r="Q6" s="35">
        <v>0</v>
      </c>
      <c r="T6" s="17">
        <v>6.8478222063511535E-2</v>
      </c>
      <c r="U6" s="18">
        <v>7.3787185504061312E-2</v>
      </c>
      <c r="V6" s="18">
        <v>7.3845788581330729E-2</v>
      </c>
      <c r="W6" s="18">
        <v>1.7303509805985078E-4</v>
      </c>
      <c r="X6" s="19">
        <v>3.8910016808141817E-7</v>
      </c>
      <c r="Z6" s="26">
        <v>0.99368304808533703</v>
      </c>
      <c r="AD6" s="212"/>
      <c r="AE6" s="12" t="s">
        <v>26</v>
      </c>
      <c r="AF6" s="40">
        <v>0</v>
      </c>
      <c r="AG6" s="14">
        <v>0</v>
      </c>
      <c r="AH6" s="14">
        <v>0</v>
      </c>
      <c r="AI6" s="15">
        <v>1</v>
      </c>
    </row>
    <row r="7" spans="1:44" ht="15.75" thickBot="1" x14ac:dyDescent="0.3">
      <c r="A7" s="31" t="s">
        <v>27</v>
      </c>
      <c r="B7" s="32">
        <f t="shared" si="4"/>
        <v>0.99368304808533681</v>
      </c>
      <c r="C7" s="33">
        <f t="shared" si="1"/>
        <v>5.8360032926167383E-3</v>
      </c>
      <c r="D7" s="34">
        <f t="shared" si="1"/>
        <v>4.8094862204647236E-4</v>
      </c>
      <c r="E7" s="35">
        <f t="shared" si="2"/>
        <v>13.573506445718392</v>
      </c>
      <c r="G7" s="17">
        <f t="shared" si="5"/>
        <v>3.2901482494371317E-3</v>
      </c>
      <c r="H7" s="18">
        <f t="shared" si="3"/>
        <v>7.3437684837110968</v>
      </c>
      <c r="I7" s="19">
        <f t="shared" si="3"/>
        <v>1983.3145052976665</v>
      </c>
      <c r="L7" s="17">
        <v>0</v>
      </c>
      <c r="M7" s="18">
        <v>0</v>
      </c>
      <c r="N7" s="39">
        <f>-$E$7</f>
        <v>-13.573506445718392</v>
      </c>
      <c r="O7" s="18">
        <f>$E$8+$E$13*$G$8</f>
        <v>13.56714898110784</v>
      </c>
      <c r="P7" s="18">
        <f>-$E$14*$G$9</f>
        <v>-3.0467309511267561E-2</v>
      </c>
      <c r="Q7" s="35">
        <v>0</v>
      </c>
      <c r="T7" s="17">
        <v>6.8664353460618471E-2</v>
      </c>
      <c r="U7" s="18">
        <v>7.3987747252199601E-2</v>
      </c>
      <c r="V7" s="18">
        <v>7.4046509619128079E-2</v>
      </c>
      <c r="W7" s="18">
        <v>7.4046687337393197E-2</v>
      </c>
      <c r="X7" s="19">
        <v>1.6650713532630432E-4</v>
      </c>
      <c r="Z7" s="26">
        <v>0.99638713733716355</v>
      </c>
      <c r="AD7" s="213"/>
      <c r="AE7" s="36" t="s">
        <v>28</v>
      </c>
      <c r="AF7" s="100">
        <f>AL14</f>
        <v>12.136389413931443</v>
      </c>
      <c r="AG7" s="37">
        <f>AL15</f>
        <v>2.3429527268474451E-7</v>
      </c>
      <c r="AH7" s="37">
        <f>AL16</f>
        <v>1.9999770059764131E-2</v>
      </c>
      <c r="AI7" s="38">
        <f>AL17</f>
        <v>0.98</v>
      </c>
    </row>
    <row r="8" spans="1:44" ht="15.75" thickBot="1" x14ac:dyDescent="0.3">
      <c r="A8" s="31" t="s">
        <v>29</v>
      </c>
      <c r="B8" s="32">
        <f t="shared" si="4"/>
        <v>0.99638713733716355</v>
      </c>
      <c r="C8" s="33">
        <f t="shared" si="1"/>
        <v>3.1436434600384307E-3</v>
      </c>
      <c r="D8" s="34">
        <f t="shared" si="1"/>
        <v>4.6921920279799508E-4</v>
      </c>
      <c r="E8" s="35">
        <f t="shared" si="2"/>
        <v>13.535429822015374</v>
      </c>
      <c r="G8" s="17">
        <f t="shared" si="5"/>
        <v>2.5963869828550669E-3</v>
      </c>
      <c r="H8" s="18">
        <f t="shared" si="3"/>
        <v>7.4172708564794796</v>
      </c>
      <c r="I8" s="19">
        <f t="shared" si="3"/>
        <v>2075.9929103046302</v>
      </c>
      <c r="L8" s="22">
        <v>0</v>
      </c>
      <c r="M8" s="23">
        <v>0</v>
      </c>
      <c r="N8" s="23">
        <v>0</v>
      </c>
      <c r="O8" s="41">
        <f>-$E$8</f>
        <v>-13.535429822015374</v>
      </c>
      <c r="P8" s="23">
        <f>$E$9+$E$14*$G$9</f>
        <v>13.548988978588344</v>
      </c>
      <c r="Q8" s="42">
        <f>$E$15*$B$15</f>
        <v>1.8954088125694522E-2</v>
      </c>
      <c r="T8" s="22">
        <v>6.8595637579232371E-2</v>
      </c>
      <c r="U8" s="23">
        <v>7.3913703982177073E-2</v>
      </c>
      <c r="V8" s="23">
        <v>7.3972407542641477E-2</v>
      </c>
      <c r="W8" s="23">
        <v>7.3972585083054959E-2</v>
      </c>
      <c r="X8" s="24">
        <v>7.3972585499106208E-2</v>
      </c>
      <c r="Z8" s="26">
        <v>0.99678893255095047</v>
      </c>
      <c r="AF8" s="43"/>
      <c r="AG8" s="44"/>
      <c r="AH8" s="44"/>
      <c r="AI8" s="44"/>
    </row>
    <row r="9" spans="1:44" ht="15.75" thickBot="1" x14ac:dyDescent="0.3">
      <c r="A9" s="45" t="s">
        <v>30</v>
      </c>
      <c r="B9" s="46">
        <f t="shared" si="4"/>
        <v>0.99678893255095036</v>
      </c>
      <c r="C9" s="47">
        <f t="shared" si="1"/>
        <v>2.7435803413279509E-3</v>
      </c>
      <c r="D9" s="48">
        <f t="shared" si="1"/>
        <v>4.6748710772170633E-4</v>
      </c>
      <c r="E9" s="42">
        <f t="shared" si="2"/>
        <v>13.518521669077076</v>
      </c>
      <c r="G9" s="22">
        <f t="shared" si="5"/>
        <v>2.501713526317726E-3</v>
      </c>
      <c r="H9" s="23">
        <f t="shared" si="3"/>
        <v>7.4280990464250163</v>
      </c>
      <c r="I9" s="24">
        <f t="shared" si="3"/>
        <v>2090.1682998048054</v>
      </c>
      <c r="AD9" s="1" t="s">
        <v>31</v>
      </c>
      <c r="AE9" s="1" t="s">
        <v>17</v>
      </c>
      <c r="AF9" s="49">
        <f>AF3+AF4</f>
        <v>30.499721154502808</v>
      </c>
      <c r="AG9" s="50">
        <f>(AG4*$AF$4+$AF$3*AG3)/$AF$9</f>
        <v>0.47577271586918651</v>
      </c>
      <c r="AH9" s="50">
        <f>(AH4*$AF$4+$AF$3*AH3)/$AF$9</f>
        <v>0.52422728413081354</v>
      </c>
      <c r="AI9" s="51">
        <f>(AI4*$AF$4+$AF$3*AI3)/$AF$9</f>
        <v>0</v>
      </c>
    </row>
    <row r="10" spans="1:44" ht="15.75" thickBot="1" x14ac:dyDescent="0.3">
      <c r="A10" s="9" t="s">
        <v>32</v>
      </c>
      <c r="B10" s="52">
        <f t="shared" ref="B10:D15" si="6">W31</f>
        <v>3.6193297024077087E-2</v>
      </c>
      <c r="C10" s="53">
        <f t="shared" si="6"/>
        <v>0.55569101432886581</v>
      </c>
      <c r="D10" s="54">
        <f t="shared" si="6"/>
        <v>0.40811568864705716</v>
      </c>
      <c r="E10" s="16">
        <f t="shared" ref="E10:E15" si="7">AB31</f>
        <v>29.142867812470101</v>
      </c>
      <c r="L10">
        <v>1</v>
      </c>
      <c r="M10">
        <v>2</v>
      </c>
      <c r="N10">
        <v>3</v>
      </c>
      <c r="O10">
        <v>4</v>
      </c>
      <c r="P10">
        <v>5</v>
      </c>
      <c r="Q10" s="1" t="s">
        <v>33</v>
      </c>
      <c r="S10" s="1" t="s">
        <v>16</v>
      </c>
      <c r="Z10" s="1" t="s">
        <v>6</v>
      </c>
      <c r="AE10" s="1" t="s">
        <v>25</v>
      </c>
      <c r="AF10" s="49">
        <f>AF6+AF7+AF5</f>
        <v>12.161668327044371</v>
      </c>
      <c r="AG10" s="50">
        <f>(AG6*$AF$6+$AF$7*AG7+AF5*AG5)/$AF$10</f>
        <v>1.5585105279960303E-3</v>
      </c>
      <c r="AH10" s="50">
        <f>(AH6*$AF$6+$AF$7*AH7+AF5*AH5)/$AF$10</f>
        <v>1.9958851973193654E-2</v>
      </c>
      <c r="AI10" s="51">
        <f>(AI6*$AF$6+$AF$7*AI7+AF5*AI5)/$AF$10</f>
        <v>0.97848264184845424</v>
      </c>
    </row>
    <row r="11" spans="1:44" ht="15.75" thickBot="1" x14ac:dyDescent="0.3">
      <c r="A11" s="31" t="s">
        <v>34</v>
      </c>
      <c r="B11" s="32">
        <f t="shared" si="6"/>
        <v>1.0347190813357957E-2</v>
      </c>
      <c r="C11" s="33">
        <f t="shared" si="6"/>
        <v>0.16223919149464833</v>
      </c>
      <c r="D11" s="34">
        <f t="shared" si="6"/>
        <v>0.82741361769199373</v>
      </c>
      <c r="E11" s="35">
        <f t="shared" si="7"/>
        <v>14.398719901446354</v>
      </c>
      <c r="K11" s="1" t="s">
        <v>35</v>
      </c>
      <c r="L11" s="13">
        <f>E$10*$H$5+E$5</f>
        <v>135.52339913272121</v>
      </c>
      <c r="M11" s="20">
        <f>-$E$11*$H$6</f>
        <v>-98.196782457192441</v>
      </c>
      <c r="N11" s="20">
        <v>0</v>
      </c>
      <c r="O11" s="20">
        <v>0</v>
      </c>
      <c r="P11" s="20">
        <v>0</v>
      </c>
      <c r="Q11" s="16">
        <f>$C$4*$E$4</f>
        <v>15.988785987572127</v>
      </c>
      <c r="T11" s="13">
        <f t="array" ref="T11:X15">MINVERSE(L11:P15)</f>
        <v>8.3490525426962638E-3</v>
      </c>
      <c r="U11" s="20">
        <v>8.3457439530680907E-3</v>
      </c>
      <c r="V11" s="20">
        <v>8.3222585661229045E-3</v>
      </c>
      <c r="W11" s="20">
        <v>8.1637203328152452E-3</v>
      </c>
      <c r="X11" s="21">
        <v>7.1023710193724313E-3</v>
      </c>
      <c r="Z11">
        <f t="array" ref="Z11:Z15">MMULT(T11:X15,Q11:Q15)</f>
        <v>0.13521519368765808</v>
      </c>
      <c r="AI11" s="44"/>
    </row>
    <row r="12" spans="1:44" ht="15.75" thickBot="1" x14ac:dyDescent="0.3">
      <c r="A12" s="31" t="s">
        <v>36</v>
      </c>
      <c r="B12" s="32">
        <f t="shared" si="6"/>
        <v>3.2693645411533238E-3</v>
      </c>
      <c r="C12" s="33">
        <f t="shared" si="6"/>
        <v>4.2858257051152995E-2</v>
      </c>
      <c r="D12" s="34">
        <f t="shared" si="6"/>
        <v>0.95387237840769368</v>
      </c>
      <c r="E12" s="35">
        <f t="shared" si="7"/>
        <v>12.476976891043494</v>
      </c>
      <c r="L12" s="28">
        <f>-$E$5</f>
        <v>-15.755573243479059</v>
      </c>
      <c r="M12" s="18">
        <f>$E$6+$E$11*$H$6</f>
        <v>112.03061269026864</v>
      </c>
      <c r="N12" s="18">
        <f>-$H$7*$E$12</f>
        <v>-91.628029664436866</v>
      </c>
      <c r="O12" s="18">
        <v>0</v>
      </c>
      <c r="P12" s="18">
        <v>0</v>
      </c>
      <c r="Q12" s="35">
        <v>0</v>
      </c>
      <c r="T12" s="17">
        <v>1.3390660756243101E-3</v>
      </c>
      <c r="U12" s="18">
        <v>1.1518132880822287E-2</v>
      </c>
      <c r="V12" s="18">
        <v>1.1485720215263246E-2</v>
      </c>
      <c r="W12" s="18">
        <v>1.126691833873825E-2</v>
      </c>
      <c r="X12" s="19">
        <v>9.8021283219405612E-3</v>
      </c>
      <c r="Z12">
        <v>2.3789340311500821E-2</v>
      </c>
      <c r="AF12" s="204" t="s">
        <v>257</v>
      </c>
      <c r="AG12" s="205"/>
      <c r="AH12" s="206"/>
    </row>
    <row r="13" spans="1:44" ht="15.75" thickBot="1" x14ac:dyDescent="0.3">
      <c r="A13" s="31" t="s">
        <v>37</v>
      </c>
      <c r="B13" s="32">
        <f t="shared" si="6"/>
        <v>2.5870065932664353E-3</v>
      </c>
      <c r="C13" s="33">
        <f t="shared" si="6"/>
        <v>2.3317255019305365E-2</v>
      </c>
      <c r="D13" s="34">
        <f t="shared" si="6"/>
        <v>0.97409573838742824</v>
      </c>
      <c r="E13" s="35">
        <f t="shared" si="7"/>
        <v>12.216653103685687</v>
      </c>
      <c r="L13" s="17">
        <v>0</v>
      </c>
      <c r="M13" s="39">
        <f>-$E$6</f>
        <v>-13.833830233076201</v>
      </c>
      <c r="N13" s="18">
        <f>$E$7+$E$12*$H$7</f>
        <v>105.20153611015526</v>
      </c>
      <c r="O13" s="18">
        <f>-$E$13*$H$8</f>
        <v>-90.614225029687432</v>
      </c>
      <c r="P13" s="18">
        <v>0</v>
      </c>
      <c r="Q13" s="35">
        <v>0</v>
      </c>
      <c r="T13" s="17">
        <v>2.016007994768499E-4</v>
      </c>
      <c r="U13" s="18">
        <v>1.7340927677312367E-3</v>
      </c>
      <c r="V13" s="18">
        <v>1.2612192172498E-2</v>
      </c>
      <c r="W13" s="18">
        <v>1.2371931112441075E-2</v>
      </c>
      <c r="X13" s="19">
        <v>1.0763480546175421E-2</v>
      </c>
      <c r="Z13">
        <v>5.8360032926167513E-3</v>
      </c>
      <c r="AF13" s="45" t="s">
        <v>38</v>
      </c>
      <c r="AG13" s="199" t="s">
        <v>39</v>
      </c>
      <c r="AH13" s="200" t="s">
        <v>40</v>
      </c>
      <c r="AJ13" s="7" t="s">
        <v>38</v>
      </c>
      <c r="AK13" s="8" t="s">
        <v>39</v>
      </c>
      <c r="AL13" s="5" t="s">
        <v>40</v>
      </c>
      <c r="AO13" s="56" t="s">
        <v>258</v>
      </c>
    </row>
    <row r="14" spans="1:44" x14ac:dyDescent="0.25">
      <c r="A14" s="31" t="s">
        <v>41</v>
      </c>
      <c r="B14" s="32">
        <f t="shared" si="6"/>
        <v>2.4936803554465197E-3</v>
      </c>
      <c r="C14" s="33">
        <f t="shared" si="6"/>
        <v>2.0379586517208573E-2</v>
      </c>
      <c r="D14" s="34">
        <f>Y35</f>
        <v>0.97712673312734488</v>
      </c>
      <c r="E14" s="35">
        <f>AB35</f>
        <v>12.178576479982668</v>
      </c>
      <c r="L14" s="17">
        <v>0</v>
      </c>
      <c r="M14" s="18">
        <v>0</v>
      </c>
      <c r="N14" s="39">
        <f>-$E$7</f>
        <v>-13.573506445718392</v>
      </c>
      <c r="O14" s="18">
        <f>$E$8+$E$13*$H$8</f>
        <v>104.14965485170281</v>
      </c>
      <c r="P14" s="18">
        <f>-$E$14*$H$9</f>
        <v>-90.463672337773389</v>
      </c>
      <c r="Q14" s="35">
        <v>0</v>
      </c>
      <c r="T14" s="17">
        <v>2.9623395488536903E-5</v>
      </c>
      <c r="U14" s="18">
        <v>2.5480908808703825E-4</v>
      </c>
      <c r="V14" s="18">
        <v>1.853246404145538E-3</v>
      </c>
      <c r="W14" s="18">
        <v>1.2643506267966557E-2</v>
      </c>
      <c r="X14" s="19">
        <v>1.0999748746891773E-2</v>
      </c>
      <c r="Z14">
        <v>3.1436434600384325E-3</v>
      </c>
      <c r="AE14" s="12" t="s">
        <v>4</v>
      </c>
      <c r="AF14" s="43">
        <f>SF!Y2</f>
        <v>5.4997511720892689</v>
      </c>
      <c r="AG14" s="43">
        <f>'Odparka-Rafinat'!C31</f>
        <v>2.5278938383000226E-2</v>
      </c>
      <c r="AH14" s="43">
        <f>'Odparka-Extrakt'!C32</f>
        <v>12.136389353506521</v>
      </c>
      <c r="AJ14" s="43">
        <v>5.499721154502808</v>
      </c>
      <c r="AK14" s="43">
        <v>2.52789131129279E-2</v>
      </c>
      <c r="AL14" s="43">
        <v>12.136389413931443</v>
      </c>
      <c r="AO14" s="178">
        <f>AF14-AJ14</f>
        <v>3.0017586460928669E-5</v>
      </c>
      <c r="AP14" s="178">
        <f t="shared" ref="AP14:AR14" si="8">AG14-AK14</f>
        <v>2.527007232633327E-8</v>
      </c>
      <c r="AQ14" s="178">
        <f t="shared" si="8"/>
        <v>-6.0424921954904676E-8</v>
      </c>
      <c r="AR14" s="178">
        <f t="shared" si="8"/>
        <v>0</v>
      </c>
    </row>
    <row r="15" spans="1:44" ht="15.75" thickBot="1" x14ac:dyDescent="0.3">
      <c r="A15" s="45" t="s">
        <v>25</v>
      </c>
      <c r="B15" s="46">
        <f t="shared" si="6"/>
        <v>1.5585105279960303E-3</v>
      </c>
      <c r="C15" s="47">
        <f t="shared" si="6"/>
        <v>1.9958851973193654E-2</v>
      </c>
      <c r="D15" s="48">
        <f>Y36</f>
        <v>0.97848264184845424</v>
      </c>
      <c r="E15" s="42">
        <f t="shared" si="7"/>
        <v>12.161668327044371</v>
      </c>
      <c r="L15" s="22">
        <v>0</v>
      </c>
      <c r="M15" s="23">
        <v>0</v>
      </c>
      <c r="N15" s="23">
        <v>0</v>
      </c>
      <c r="O15" s="41">
        <f>-$E$8</f>
        <v>-13.535429822015374</v>
      </c>
      <c r="P15" s="23">
        <f>$E$9+$E$14*$H$9</f>
        <v>103.98219400685046</v>
      </c>
      <c r="Q15" s="42">
        <f>$E$15*$C$15</f>
        <v>0.24273293788655631</v>
      </c>
      <c r="T15" s="22">
        <v>3.8560966572650115E-6</v>
      </c>
      <c r="U15" s="23">
        <v>3.3168664719525142E-5</v>
      </c>
      <c r="V15" s="23">
        <v>2.412382897456624E-4</v>
      </c>
      <c r="W15" s="23">
        <v>1.645813434009656E-3</v>
      </c>
      <c r="X15" s="24">
        <v>1.1048875609872832E-2</v>
      </c>
      <c r="Z15">
        <v>2.7435803413279518E-3</v>
      </c>
      <c r="AE15" s="27" t="s">
        <v>5</v>
      </c>
      <c r="AF15" s="44">
        <f>SF!Y3</f>
        <v>0.18381489338123186</v>
      </c>
      <c r="AG15" s="44">
        <f>'Odparka-Rafinat'!C32</f>
        <v>0.74968589592042545</v>
      </c>
      <c r="AH15" s="44">
        <f>'Odparka-Extrakt'!C33</f>
        <v>2.3429527268474451E-7</v>
      </c>
      <c r="AJ15" s="44">
        <v>0.1838157132935723</v>
      </c>
      <c r="AK15" s="44">
        <v>0.74968589600221036</v>
      </c>
      <c r="AL15" s="44">
        <v>2.3429527268474451E-7</v>
      </c>
      <c r="AO15" s="178">
        <f t="shared" ref="AO15:AO17" si="9">AF15-AJ15</f>
        <v>-8.1991234043843342E-7</v>
      </c>
      <c r="AP15" s="178">
        <f t="shared" ref="AP15:AP17" si="10">AG15-AK15</f>
        <v>-8.1784912175919544E-11</v>
      </c>
      <c r="AQ15" s="178">
        <f t="shared" ref="AQ15:AQ17" si="11">AH15-AL15</f>
        <v>0</v>
      </c>
      <c r="AR15" s="178">
        <f t="shared" ref="AR15:AR17" si="12">AI15-AM15</f>
        <v>0</v>
      </c>
    </row>
    <row r="16" spans="1:44" ht="15.75" thickBot="1" x14ac:dyDescent="0.3">
      <c r="AE16" s="27" t="s">
        <v>6</v>
      </c>
      <c r="AF16" s="44">
        <f>SF!Y4</f>
        <v>0.81618510661876897</v>
      </c>
      <c r="AG16" s="44">
        <f>'Odparka-Rafinat'!C33</f>
        <v>3.1410579250348858E-4</v>
      </c>
      <c r="AH16" s="44">
        <f>'Odparka-Extrakt'!C34</f>
        <v>1.9999770059764131E-2</v>
      </c>
      <c r="AJ16" s="44">
        <v>0.81618428670642806</v>
      </c>
      <c r="AK16" s="44">
        <v>3.1410575828227038E-4</v>
      </c>
      <c r="AL16" s="44">
        <v>1.9999770059764131E-2</v>
      </c>
      <c r="AO16" s="178">
        <f t="shared" si="9"/>
        <v>8.199123409102782E-7</v>
      </c>
      <c r="AP16" s="178">
        <f t="shared" si="10"/>
        <v>3.4221218198592085E-11</v>
      </c>
      <c r="AQ16" s="178">
        <f t="shared" si="11"/>
        <v>0</v>
      </c>
      <c r="AR16" s="178">
        <f t="shared" si="12"/>
        <v>0</v>
      </c>
    </row>
    <row r="17" spans="1:44" ht="15.75" thickBot="1" x14ac:dyDescent="0.3">
      <c r="L17">
        <v>1</v>
      </c>
      <c r="M17">
        <v>2</v>
      </c>
      <c r="N17">
        <v>3</v>
      </c>
      <c r="O17">
        <v>4</v>
      </c>
      <c r="P17">
        <v>5</v>
      </c>
      <c r="Q17" s="1" t="s">
        <v>42</v>
      </c>
      <c r="S17" s="1" t="s">
        <v>16</v>
      </c>
      <c r="Z17" s="1" t="s">
        <v>7</v>
      </c>
      <c r="AE17" s="36" t="s">
        <v>7</v>
      </c>
      <c r="AF17" s="44">
        <f>SF!Y5</f>
        <v>0</v>
      </c>
      <c r="AG17" s="44">
        <f>'Odparka-Rafinat'!C34</f>
        <v>0.25</v>
      </c>
      <c r="AH17" s="44">
        <f>'Odparka-Extrakt'!C35</f>
        <v>0.98</v>
      </c>
      <c r="AJ17" s="44">
        <v>0</v>
      </c>
      <c r="AK17" s="44">
        <v>0.25</v>
      </c>
      <c r="AL17" s="44">
        <v>0.98</v>
      </c>
      <c r="AO17" s="178">
        <f t="shared" si="9"/>
        <v>0</v>
      </c>
      <c r="AP17" s="178">
        <f t="shared" si="10"/>
        <v>0</v>
      </c>
      <c r="AQ17" s="178">
        <f t="shared" si="11"/>
        <v>0</v>
      </c>
      <c r="AR17" s="178">
        <f t="shared" si="12"/>
        <v>0</v>
      </c>
    </row>
    <row r="18" spans="1:44" ht="15.75" thickBot="1" x14ac:dyDescent="0.3">
      <c r="A18" t="s">
        <v>8</v>
      </c>
      <c r="B18" t="s">
        <v>43</v>
      </c>
      <c r="K18" s="1" t="s">
        <v>44</v>
      </c>
      <c r="L18" s="13">
        <f>E$10*$I$5+E$5</f>
        <v>9368.7934373014996</v>
      </c>
      <c r="M18" s="20">
        <f>-$E$11*$I$6</f>
        <v>-21178.47282458828</v>
      </c>
      <c r="N18" s="20">
        <v>0</v>
      </c>
      <c r="O18" s="20">
        <v>0</v>
      </c>
      <c r="P18" s="20">
        <v>0</v>
      </c>
      <c r="Q18" s="16">
        <f>$D$4*$E$4</f>
        <v>0</v>
      </c>
      <c r="T18" s="13">
        <f t="array" ref="T18:X22">MINVERSE(L18:P22)</f>
        <v>1.069171337200305E-4</v>
      </c>
      <c r="U18" s="20">
        <v>1.0691713372001964E-4</v>
      </c>
      <c r="V18" s="20">
        <v>1.0691713370340641E-4</v>
      </c>
      <c r="W18" s="20">
        <v>1.0691710341600838E-4</v>
      </c>
      <c r="X18" s="21">
        <v>1.0686035313426683E-4</v>
      </c>
      <c r="Z18">
        <f t="array" ref="Z18:Z22">MMULT(T18:X22,Q18:Q22)</f>
        <v>1.2716362097722623E-3</v>
      </c>
    </row>
    <row r="19" spans="1:44" ht="15.75" thickBot="1" x14ac:dyDescent="0.3">
      <c r="A19" t="s">
        <v>9</v>
      </c>
      <c r="B19" t="s">
        <v>45</v>
      </c>
      <c r="L19" s="28">
        <f>-$E$5</f>
        <v>-15.755573243479059</v>
      </c>
      <c r="M19" s="18">
        <f>$E$6+$E$11*$I$6</f>
        <v>21192.306654821357</v>
      </c>
      <c r="N19" s="18">
        <f>-$I$7*$E$12</f>
        <v>-24745.769250270343</v>
      </c>
      <c r="O19" s="18">
        <v>0</v>
      </c>
      <c r="P19" s="18">
        <v>0</v>
      </c>
      <c r="Q19" s="35">
        <v>0</v>
      </c>
      <c r="T19" s="17">
        <v>7.9540236222928052E-8</v>
      </c>
      <c r="U19" s="18">
        <v>4.7297298017081178E-5</v>
      </c>
      <c r="V19" s="18">
        <v>4.7297298009731934E-5</v>
      </c>
      <c r="W19" s="18">
        <v>4.7297284611392096E-5</v>
      </c>
      <c r="X19" s="19">
        <v>4.7272179795216317E-5</v>
      </c>
      <c r="Z19">
        <v>5.6253805812275012E-4</v>
      </c>
      <c r="AC19" s="2"/>
    </row>
    <row r="20" spans="1:44" x14ac:dyDescent="0.25">
      <c r="A20" t="s">
        <v>10</v>
      </c>
      <c r="B20" t="s">
        <v>46</v>
      </c>
      <c r="L20" s="17">
        <v>0</v>
      </c>
      <c r="M20" s="39">
        <f>-$E$6</f>
        <v>-13.833830233076201</v>
      </c>
      <c r="N20" s="18">
        <f>$E$7+$E$12*$I$7</f>
        <v>24759.342756716062</v>
      </c>
      <c r="O20" s="18">
        <f>-$E$13*$I$8</f>
        <v>-25361.685230902542</v>
      </c>
      <c r="P20" s="18">
        <v>0</v>
      </c>
      <c r="Q20" s="35">
        <v>0</v>
      </c>
      <c r="T20" s="17">
        <v>4.446603026591174E-11</v>
      </c>
      <c r="U20" s="18">
        <v>2.6440996217674521E-8</v>
      </c>
      <c r="V20" s="18">
        <v>4.0437389216531725E-5</v>
      </c>
      <c r="W20" s="18">
        <v>4.0437377761461231E-5</v>
      </c>
      <c r="X20" s="19">
        <v>4.0415914099357302E-5</v>
      </c>
      <c r="Z20">
        <v>4.8094862418443079E-4</v>
      </c>
    </row>
    <row r="21" spans="1:44" x14ac:dyDescent="0.25">
      <c r="L21" s="17">
        <v>0</v>
      </c>
      <c r="M21" s="18">
        <v>0</v>
      </c>
      <c r="N21" s="39">
        <f>-$E$7</f>
        <v>-13.573506445718392</v>
      </c>
      <c r="O21" s="18">
        <f>$E$8+$E$13*$I$8</f>
        <v>25375.220660724557</v>
      </c>
      <c r="P21" s="18">
        <f>-$E$14*$I$9</f>
        <v>-25455.274495208167</v>
      </c>
      <c r="Q21" s="35">
        <v>0</v>
      </c>
      <c r="T21" s="17">
        <v>2.3798094328466493E-14</v>
      </c>
      <c r="U21" s="18">
        <v>1.4151146804962979E-11</v>
      </c>
      <c r="V21" s="18">
        <v>2.1641976970219293E-8</v>
      </c>
      <c r="W21" s="18">
        <v>3.9451187271809712E-5</v>
      </c>
      <c r="X21" s="19">
        <v>3.943024706747214E-5</v>
      </c>
      <c r="Z21">
        <v>4.6921920488381282E-4</v>
      </c>
    </row>
    <row r="22" spans="1:44" ht="15.75" thickBot="1" x14ac:dyDescent="0.3">
      <c r="L22" s="22">
        <v>0</v>
      </c>
      <c r="M22" s="23">
        <v>0</v>
      </c>
      <c r="N22" s="23">
        <v>0</v>
      </c>
      <c r="O22" s="41">
        <f>-$E$8</f>
        <v>-13.535429822015374</v>
      </c>
      <c r="P22" s="23">
        <f>$E$9+$E$14*$I$9</f>
        <v>25468.793016877244</v>
      </c>
      <c r="Q22" s="55">
        <f>$E$15*$D$15</f>
        <v>11.899981353931047</v>
      </c>
      <c r="T22" s="22">
        <v>1.2647534395022365E-17</v>
      </c>
      <c r="U22" s="23">
        <v>7.5206490685556121E-15</v>
      </c>
      <c r="V22" s="23">
        <v>1.1501662457893464E-11</v>
      </c>
      <c r="W22" s="23">
        <v>2.0966395084325813E-8</v>
      </c>
      <c r="X22" s="24">
        <v>3.9284692630664878E-5</v>
      </c>
      <c r="Z22">
        <v>4.6748710979982444E-4</v>
      </c>
    </row>
    <row r="24" spans="1:44" ht="15.75" thickBot="1" x14ac:dyDescent="0.3"/>
    <row r="25" spans="1:44" ht="15.75" thickBot="1" x14ac:dyDescent="0.3">
      <c r="R25" s="18"/>
      <c r="S25" s="18"/>
      <c r="T25" s="18"/>
      <c r="Y25" s="12"/>
      <c r="Z25" s="7" t="s">
        <v>47</v>
      </c>
      <c r="AA25" s="8" t="s">
        <v>5</v>
      </c>
      <c r="AB25" s="8" t="s">
        <v>6</v>
      </c>
      <c r="AC25" s="5" t="s">
        <v>7</v>
      </c>
      <c r="AE25" s="56" t="s">
        <v>48</v>
      </c>
      <c r="AF25" s="56" t="s">
        <v>49</v>
      </c>
      <c r="AG25" s="56" t="s">
        <v>50</v>
      </c>
      <c r="AH25" s="56" t="s">
        <v>51</v>
      </c>
      <c r="AI25" s="56" t="s">
        <v>52</v>
      </c>
    </row>
    <row r="26" spans="1:44" ht="15.75" thickBot="1" x14ac:dyDescent="0.3">
      <c r="L26" s="57" t="s">
        <v>53</v>
      </c>
      <c r="M26" s="58"/>
      <c r="N26" s="59"/>
      <c r="R26" s="18"/>
      <c r="S26" s="18"/>
      <c r="T26" s="18"/>
      <c r="Y26" s="27" t="s">
        <v>17</v>
      </c>
      <c r="Z26" s="44">
        <f>AF9</f>
        <v>30.499721154502808</v>
      </c>
      <c r="AA26" s="44">
        <f t="shared" ref="AA26:AC27" si="13">AG9</f>
        <v>0.47577271586918651</v>
      </c>
      <c r="AB26" s="44">
        <f t="shared" si="13"/>
        <v>0.52422728413081354</v>
      </c>
      <c r="AC26" s="44">
        <f t="shared" si="13"/>
        <v>0</v>
      </c>
      <c r="AE26">
        <f>Z27</f>
        <v>12.161668327044371</v>
      </c>
      <c r="AF26">
        <f>AE26/Z26</f>
        <v>0.39874686937093162</v>
      </c>
      <c r="AG26">
        <f>AB31*W31/Z26/AA26</f>
        <v>7.2688386981005979E-2</v>
      </c>
      <c r="AH26" s="60">
        <f>(X31*AB31-Z27*AB27)/Z26/AB26</f>
        <v>0.99768030228661853</v>
      </c>
      <c r="AI26" s="61">
        <f>AA35*U35/AB36/AC27</f>
        <v>5.3107096622990861E-4</v>
      </c>
    </row>
    <row r="27" spans="1:44" ht="15.75" thickBot="1" x14ac:dyDescent="0.3">
      <c r="L27" s="13" t="s">
        <v>8</v>
      </c>
      <c r="M27" s="20" t="s">
        <v>9</v>
      </c>
      <c r="N27" s="21" t="s">
        <v>10</v>
      </c>
      <c r="O27" s="62" t="s">
        <v>54</v>
      </c>
      <c r="R27" s="18"/>
      <c r="S27" s="18"/>
      <c r="T27" s="18"/>
      <c r="U27" s="18"/>
      <c r="V27" s="18"/>
      <c r="W27" s="63"/>
      <c r="Y27" s="36" t="s">
        <v>25</v>
      </c>
      <c r="Z27" s="44">
        <f>AF10</f>
        <v>12.161668327044371</v>
      </c>
      <c r="AA27" s="44">
        <f>AG10</f>
        <v>1.5585105279960303E-3</v>
      </c>
      <c r="AB27" s="44">
        <f t="shared" si="13"/>
        <v>1.9958851973193654E-2</v>
      </c>
      <c r="AC27" s="44">
        <f t="shared" si="13"/>
        <v>0.97848264184845424</v>
      </c>
    </row>
    <row r="28" spans="1:44" ht="15.75" thickBot="1" x14ac:dyDescent="0.3">
      <c r="L28" s="13">
        <f>Z4</f>
        <v>0.86351317010822282</v>
      </c>
      <c r="M28" s="20">
        <f>Z11</f>
        <v>0.13521519368765808</v>
      </c>
      <c r="N28" s="21">
        <f>Z18</f>
        <v>1.2716362097722623E-3</v>
      </c>
      <c r="O28" s="16">
        <f>SUM(L28:N28)</f>
        <v>1.0000000000056533</v>
      </c>
      <c r="R28" s="18"/>
      <c r="S28" s="18"/>
      <c r="T28" s="18"/>
      <c r="U28" s="18"/>
      <c r="V28" s="18"/>
      <c r="AG28" s="44"/>
    </row>
    <row r="29" spans="1:44" ht="21.75" thickBot="1" x14ac:dyDescent="0.4">
      <c r="L29" s="17">
        <f>Z5</f>
        <v>0.97564812163287729</v>
      </c>
      <c r="M29" s="18">
        <f t="shared" ref="M29:M32" si="14">Z12</f>
        <v>2.3789340311500821E-2</v>
      </c>
      <c r="N29" s="19">
        <f>Z19</f>
        <v>5.6253805812275012E-4</v>
      </c>
      <c r="O29" s="35">
        <f t="shared" ref="O29:O32" si="15">SUM(L29:N29)</f>
        <v>1.0000000000025009</v>
      </c>
      <c r="R29" s="18"/>
      <c r="S29" s="18"/>
      <c r="T29" s="18"/>
      <c r="U29" s="18"/>
      <c r="V29" s="18"/>
      <c r="AA29" s="7" t="s">
        <v>55</v>
      </c>
      <c r="AB29" s="5" t="s">
        <v>56</v>
      </c>
      <c r="AG29" s="56"/>
      <c r="AI29" s="64"/>
    </row>
    <row r="30" spans="1:44" ht="15.75" thickBot="1" x14ac:dyDescent="0.3">
      <c r="L30" s="17">
        <f>Z6</f>
        <v>0.99368304808533703</v>
      </c>
      <c r="M30" s="18">
        <f t="shared" si="14"/>
        <v>5.8360032926167513E-3</v>
      </c>
      <c r="N30" s="19">
        <f>Z20</f>
        <v>4.8094862418443079E-4</v>
      </c>
      <c r="O30" s="35">
        <f t="shared" si="15"/>
        <v>1.0000000000021383</v>
      </c>
      <c r="R30" s="1" t="s">
        <v>57</v>
      </c>
      <c r="S30" s="9" t="s">
        <v>58</v>
      </c>
      <c r="T30" s="10" t="s">
        <v>59</v>
      </c>
      <c r="U30" s="10" t="s">
        <v>60</v>
      </c>
      <c r="V30" s="65" t="s">
        <v>54</v>
      </c>
      <c r="W30" s="9" t="s">
        <v>61</v>
      </c>
      <c r="X30" s="10" t="s">
        <v>62</v>
      </c>
      <c r="Y30" s="10" t="s">
        <v>63</v>
      </c>
      <c r="Z30" s="66" t="s">
        <v>64</v>
      </c>
      <c r="AA30" s="67">
        <f>Z26</f>
        <v>30.499721154502808</v>
      </c>
      <c r="AB30" s="68"/>
      <c r="AC30" s="10" t="s">
        <v>12</v>
      </c>
      <c r="AD30" s="10" t="s">
        <v>13</v>
      </c>
      <c r="AE30" s="11" t="s">
        <v>14</v>
      </c>
      <c r="AG30" s="56" t="s">
        <v>65</v>
      </c>
    </row>
    <row r="31" spans="1:44" x14ac:dyDescent="0.25">
      <c r="L31" s="17">
        <f>Z7</f>
        <v>0.99638713733716355</v>
      </c>
      <c r="M31" s="18">
        <f t="shared" si="14"/>
        <v>3.1436434600384325E-3</v>
      </c>
      <c r="N31" s="19">
        <f>Z21</f>
        <v>4.6921920488381282E-4</v>
      </c>
      <c r="O31" s="35">
        <f t="shared" si="15"/>
        <v>1.0000000000020859</v>
      </c>
      <c r="R31" s="69">
        <v>1</v>
      </c>
      <c r="S31" s="70">
        <f>C41</f>
        <v>0.86351317010822259</v>
      </c>
      <c r="T31" s="71">
        <f t="shared" ref="T31:U35" si="16">D41</f>
        <v>0.13521519368765789</v>
      </c>
      <c r="U31" s="71">
        <f t="shared" si="16"/>
        <v>1.2716362041194675E-3</v>
      </c>
      <c r="V31" s="72">
        <f>SUM(S31:U31)</f>
        <v>1</v>
      </c>
      <c r="W31" s="71">
        <f>G41</f>
        <v>3.6193297024077087E-2</v>
      </c>
      <c r="X31" s="71">
        <f t="shared" ref="X31:Y35" si="17">H41</f>
        <v>0.55569101432886581</v>
      </c>
      <c r="Y31" s="71">
        <f t="shared" si="17"/>
        <v>0.40811568864705716</v>
      </c>
      <c r="Z31" s="73">
        <f>SUM(W31:Y31)</f>
        <v>1</v>
      </c>
      <c r="AA31" s="39">
        <f t="shared" ref="AA31:AA33" si="18">(AB33*(W32-W33)+AA32*(S32-W32))/(S31-W32)</f>
        <v>15.755573243479059</v>
      </c>
      <c r="AB31" s="39">
        <f>AA30+AB36-AA35</f>
        <v>29.142867812470101</v>
      </c>
      <c r="AC31" s="74">
        <f>W31/S31</f>
        <v>4.1914006962442789E-2</v>
      </c>
      <c r="AD31" s="75">
        <f t="shared" ref="AD31:AE35" si="19">X31/T31</f>
        <v>4.1096787955094127</v>
      </c>
      <c r="AE31" s="76">
        <f t="shared" si="19"/>
        <v>320.9374562669463</v>
      </c>
      <c r="AG31" t="s">
        <v>66</v>
      </c>
      <c r="AH31" s="44">
        <v>0.55567183919333374</v>
      </c>
    </row>
    <row r="32" spans="1:44" ht="15.75" thickBot="1" x14ac:dyDescent="0.3">
      <c r="L32" s="22">
        <f>Z8</f>
        <v>0.99678893255095047</v>
      </c>
      <c r="M32" s="23">
        <f t="shared" si="14"/>
        <v>2.7435803413279518E-3</v>
      </c>
      <c r="N32" s="24">
        <f>Z22</f>
        <v>4.6748710979982444E-4</v>
      </c>
      <c r="O32" s="42">
        <f t="shared" si="15"/>
        <v>1.0000000000020781</v>
      </c>
      <c r="R32" s="77">
        <v>2</v>
      </c>
      <c r="S32" s="78">
        <f t="shared" ref="S32:S35" si="20">C42</f>
        <v>0.97564812163287706</v>
      </c>
      <c r="T32" s="79">
        <f t="shared" si="16"/>
        <v>2.3789340311500762E-2</v>
      </c>
      <c r="U32" s="79">
        <f t="shared" si="16"/>
        <v>5.6253805562210286E-4</v>
      </c>
      <c r="V32" s="80">
        <f t="shared" ref="V32:V35" si="21">SUM(S32:U32)</f>
        <v>0.99999999999999989</v>
      </c>
      <c r="W32" s="79">
        <f t="shared" ref="W32:W35" si="22">G42</f>
        <v>1.0347190813357957E-2</v>
      </c>
      <c r="X32" s="79">
        <f t="shared" si="17"/>
        <v>0.16223919149464833</v>
      </c>
      <c r="Y32" s="79">
        <f t="shared" si="17"/>
        <v>0.82741361769199373</v>
      </c>
      <c r="Z32" s="81">
        <f t="shared" ref="Z32:Z35" si="23">SUM(W32:Y32)</f>
        <v>1</v>
      </c>
      <c r="AA32" s="39">
        <f t="shared" si="18"/>
        <v>13.833830233076201</v>
      </c>
      <c r="AB32" s="39">
        <f>AA31+AB33-AA32</f>
        <v>14.398719901446354</v>
      </c>
      <c r="AC32" s="82">
        <f t="shared" ref="AC32:AC35" si="24">W32/S32</f>
        <v>1.06054535276925E-2</v>
      </c>
      <c r="AD32" s="18">
        <f t="shared" si="19"/>
        <v>6.8198272575139516</v>
      </c>
      <c r="AE32" s="83">
        <f t="shared" si="19"/>
        <v>1470.8580324880754</v>
      </c>
      <c r="AG32" s="84" t="s">
        <v>67</v>
      </c>
      <c r="AH32" s="44">
        <v>1.8667140642403509E-4</v>
      </c>
      <c r="AI32" s="44">
        <v>0.13520594401969205</v>
      </c>
    </row>
    <row r="33" spans="3:35" x14ac:dyDescent="0.25">
      <c r="R33" s="77">
        <v>3</v>
      </c>
      <c r="S33" s="78">
        <f t="shared" si="20"/>
        <v>0.99368304808533681</v>
      </c>
      <c r="T33" s="79">
        <f t="shared" si="16"/>
        <v>5.8360032926167383E-3</v>
      </c>
      <c r="U33" s="79">
        <f t="shared" si="16"/>
        <v>4.8094862204647236E-4</v>
      </c>
      <c r="V33" s="80">
        <f t="shared" si="21"/>
        <v>1</v>
      </c>
      <c r="W33" s="79">
        <f t="shared" si="22"/>
        <v>3.2693645411533238E-3</v>
      </c>
      <c r="X33" s="79">
        <f t="shared" si="17"/>
        <v>4.2858257051152995E-2</v>
      </c>
      <c r="Y33" s="79">
        <f t="shared" si="17"/>
        <v>0.95387237840769368</v>
      </c>
      <c r="Z33" s="81">
        <f t="shared" si="23"/>
        <v>1</v>
      </c>
      <c r="AA33" s="39">
        <f t="shared" si="18"/>
        <v>13.573506445718392</v>
      </c>
      <c r="AB33" s="39">
        <f>AA32+AB34-AA33</f>
        <v>12.476976891043494</v>
      </c>
      <c r="AC33" s="82">
        <f t="shared" si="24"/>
        <v>3.2901482494371317E-3</v>
      </c>
      <c r="AD33" s="18">
        <f t="shared" si="19"/>
        <v>7.3437684837110968</v>
      </c>
      <c r="AE33" s="83">
        <f t="shared" si="19"/>
        <v>1983.3145052976665</v>
      </c>
      <c r="AG33" t="s">
        <v>68</v>
      </c>
    </row>
    <row r="34" spans="3:35" ht="15.75" thickBot="1" x14ac:dyDescent="0.3">
      <c r="R34" s="77">
        <v>4</v>
      </c>
      <c r="S34" s="78">
        <f t="shared" si="20"/>
        <v>0.99638713733716355</v>
      </c>
      <c r="T34" s="79">
        <f t="shared" si="16"/>
        <v>3.1436434600384307E-3</v>
      </c>
      <c r="U34" s="79">
        <f t="shared" si="16"/>
        <v>4.6921920279799508E-4</v>
      </c>
      <c r="V34" s="80">
        <f t="shared" si="21"/>
        <v>1</v>
      </c>
      <c r="W34" s="79">
        <f t="shared" si="22"/>
        <v>2.5870065932664353E-3</v>
      </c>
      <c r="X34" s="79">
        <f t="shared" si="17"/>
        <v>2.3317255019305365E-2</v>
      </c>
      <c r="Y34" s="79">
        <f t="shared" si="17"/>
        <v>0.97409573838742824</v>
      </c>
      <c r="Z34" s="81">
        <f t="shared" si="23"/>
        <v>1</v>
      </c>
      <c r="AA34" s="39">
        <f>(AB36*(W35-W36)+AA35*(S35-W35))/(S34-W35)</f>
        <v>13.535429822015374</v>
      </c>
      <c r="AB34" s="39">
        <f>AA33+AB35-AA34</f>
        <v>12.216653103685687</v>
      </c>
      <c r="AC34" s="82">
        <f t="shared" si="24"/>
        <v>2.5963869828550669E-3</v>
      </c>
      <c r="AD34" s="18">
        <f t="shared" si="19"/>
        <v>7.4172708564794796</v>
      </c>
      <c r="AE34" s="83">
        <f t="shared" si="19"/>
        <v>2075.9929103046302</v>
      </c>
      <c r="AG34" t="s">
        <v>66</v>
      </c>
      <c r="AH34" s="85">
        <f>(Z26*AB26+Z27*AB27-AA35*T35)/AB31</f>
        <v>0.55569101432886658</v>
      </c>
    </row>
    <row r="35" spans="3:35" ht="18.75" thickBot="1" x14ac:dyDescent="0.4">
      <c r="C35" s="86" t="s">
        <v>69</v>
      </c>
      <c r="D35" s="87" t="s">
        <v>70</v>
      </c>
      <c r="E35" s="87" t="s">
        <v>71</v>
      </c>
      <c r="F35" s="87" t="s">
        <v>72</v>
      </c>
      <c r="G35" s="87" t="s">
        <v>73</v>
      </c>
      <c r="H35" s="88" t="s">
        <v>74</v>
      </c>
      <c r="J35" s="89"/>
      <c r="R35" s="90">
        <v>5</v>
      </c>
      <c r="S35" s="91">
        <f t="shared" si="20"/>
        <v>0.99678893255095036</v>
      </c>
      <c r="T35" s="92">
        <f t="shared" si="16"/>
        <v>2.7435803413279509E-3</v>
      </c>
      <c r="U35" s="92">
        <f t="shared" si="16"/>
        <v>4.6748710772170633E-4</v>
      </c>
      <c r="V35" s="93">
        <f t="shared" si="21"/>
        <v>1</v>
      </c>
      <c r="W35" s="92">
        <f t="shared" si="22"/>
        <v>2.4936803554465197E-3</v>
      </c>
      <c r="X35" s="92">
        <f>H45</f>
        <v>2.0379586517208573E-2</v>
      </c>
      <c r="Y35" s="92">
        <f t="shared" si="17"/>
        <v>0.97712673312734488</v>
      </c>
      <c r="Z35" s="94">
        <f t="shared" si="23"/>
        <v>1</v>
      </c>
      <c r="AA35" s="39">
        <f>(AA30*(AA26-W31)+AB36*(AA27-W31))/(S35-W31)</f>
        <v>13.518521669077076</v>
      </c>
      <c r="AB35" s="39">
        <f>AA34+AB36-AA35</f>
        <v>12.178576479982668</v>
      </c>
      <c r="AC35" s="95">
        <f t="shared" si="24"/>
        <v>2.501713526317726E-3</v>
      </c>
      <c r="AD35" s="96">
        <f t="shared" si="19"/>
        <v>7.4280990464250163</v>
      </c>
      <c r="AE35" s="97">
        <f t="shared" si="19"/>
        <v>2090.1682998048054</v>
      </c>
      <c r="AG35" s="84" t="s">
        <v>67</v>
      </c>
      <c r="AH35" s="85">
        <f>(Z26*AB26+Z27*AB27-AB31*X31)/AA35</f>
        <v>2.7435803413294996E-3</v>
      </c>
    </row>
    <row r="36" spans="3:35" ht="15.75" thickBot="1" x14ac:dyDescent="0.3">
      <c r="C36">
        <v>2.1071800296631609</v>
      </c>
      <c r="D36">
        <v>2.8350922655412045</v>
      </c>
      <c r="E36">
        <v>7.2849444468829168</v>
      </c>
      <c r="F36">
        <v>6.1290709297054313</v>
      </c>
      <c r="G36">
        <v>4.0246507210259157</v>
      </c>
      <c r="H36">
        <v>0.21292207917654202</v>
      </c>
      <c r="V36" s="98"/>
      <c r="W36" s="44">
        <f>AA27</f>
        <v>1.5585105279960303E-3</v>
      </c>
      <c r="X36" s="44">
        <f>AB27</f>
        <v>1.9958851973193654E-2</v>
      </c>
      <c r="Y36" s="44">
        <f>AC27</f>
        <v>0.97848264184845424</v>
      </c>
      <c r="Z36" s="99"/>
      <c r="AA36" s="100"/>
      <c r="AB36" s="101">
        <f>Z27</f>
        <v>12.161668327044371</v>
      </c>
    </row>
    <row r="37" spans="3:35" ht="18.75" thickBot="1" x14ac:dyDescent="0.4">
      <c r="C37" s="86" t="s">
        <v>75</v>
      </c>
      <c r="D37" s="87" t="s">
        <v>76</v>
      </c>
      <c r="E37" s="87" t="s">
        <v>77</v>
      </c>
      <c r="F37" s="87" t="s">
        <v>78</v>
      </c>
      <c r="G37" s="87" t="s">
        <v>79</v>
      </c>
      <c r="H37" s="88" t="s">
        <v>80</v>
      </c>
      <c r="AG37" s="18" t="s">
        <v>81</v>
      </c>
      <c r="AH37" s="18" t="s">
        <v>82</v>
      </c>
      <c r="AI37" t="s">
        <v>83</v>
      </c>
    </row>
    <row r="38" spans="3:35" x14ac:dyDescent="0.25">
      <c r="C38">
        <v>0.43047242445194145</v>
      </c>
      <c r="D38">
        <v>0.32173183009668638</v>
      </c>
      <c r="E38">
        <v>5.425946787469077E-2</v>
      </c>
      <c r="F38">
        <v>8.6153182795249569E-2</v>
      </c>
      <c r="G38">
        <v>0.19991554264238187</v>
      </c>
      <c r="H38">
        <v>0.91835722352796123</v>
      </c>
      <c r="AG38" s="18">
        <f>(AH34-AH31)^2</f>
        <v>3.6768582270297916E-10</v>
      </c>
      <c r="AH38" s="18">
        <f>(AH32-AH35)^2</f>
        <v>6.5377833013993961E-6</v>
      </c>
      <c r="AI38">
        <f>AG38+AH38</f>
        <v>6.5381509872220994E-6</v>
      </c>
    </row>
    <row r="39" spans="3:35" ht="15.75" thickBot="1" x14ac:dyDescent="0.3"/>
    <row r="40" spans="3:35" ht="16.5" thickBot="1" x14ac:dyDescent="0.3">
      <c r="C40" s="7" t="s">
        <v>84</v>
      </c>
      <c r="D40" s="8" t="s">
        <v>85</v>
      </c>
      <c r="E40" s="5" t="s">
        <v>86</v>
      </c>
      <c r="G40" s="7" t="s">
        <v>87</v>
      </c>
      <c r="H40" s="8" t="s">
        <v>88</v>
      </c>
      <c r="I40" s="5" t="s">
        <v>89</v>
      </c>
      <c r="L40" s="102" t="s">
        <v>90</v>
      </c>
      <c r="M40" s="103" t="s">
        <v>91</v>
      </c>
      <c r="N40" s="103" t="s">
        <v>92</v>
      </c>
      <c r="O40" s="103" t="s">
        <v>93</v>
      </c>
      <c r="P40" s="103" t="s">
        <v>94</v>
      </c>
      <c r="Q40" s="103" t="s">
        <v>95</v>
      </c>
      <c r="R40" s="103" t="s">
        <v>96</v>
      </c>
      <c r="S40" s="103" t="s">
        <v>97</v>
      </c>
      <c r="T40" s="103" t="s">
        <v>98</v>
      </c>
      <c r="U40" s="103" t="s">
        <v>99</v>
      </c>
      <c r="V40" s="103" t="s">
        <v>100</v>
      </c>
      <c r="W40" s="103" t="s">
        <v>101</v>
      </c>
      <c r="X40" s="103" t="s">
        <v>102</v>
      </c>
      <c r="Y40" s="103" t="s">
        <v>103</v>
      </c>
      <c r="Z40" s="104" t="s">
        <v>104</v>
      </c>
      <c r="AF40" s="208" t="s">
        <v>105</v>
      </c>
      <c r="AG40" s="209"/>
    </row>
    <row r="41" spans="3:35" x14ac:dyDescent="0.25">
      <c r="C41">
        <f>1-D41-E41</f>
        <v>0.86351317010822259</v>
      </c>
      <c r="D41" s="44">
        <v>0.13521519368765789</v>
      </c>
      <c r="E41" s="44">
        <v>1.2716362041194675E-3</v>
      </c>
      <c r="F41" s="44"/>
      <c r="G41" s="44">
        <v>3.6193297024077087E-2</v>
      </c>
      <c r="H41" s="44">
        <v>0.55569101432886581</v>
      </c>
      <c r="I41">
        <f>1-G41-H41</f>
        <v>0.40811568864705716</v>
      </c>
      <c r="L41">
        <f>$C41+$D$38*$D41+$F$38*$E41</f>
        <v>0.90712575733657319</v>
      </c>
      <c r="M41">
        <f>$C$38*$C41+$D41+$H$38*$E41</f>
        <v>0.50810161786407904</v>
      </c>
      <c r="N41">
        <f>$E$38*$C41+$G$38*$D41+$E41</f>
        <v>7.5157020136541852E-2</v>
      </c>
      <c r="O41">
        <f>$D41*$D$36*$D$38+$E41*$F$36*$F$38</f>
        <v>0.12400658223177215</v>
      </c>
      <c r="P41">
        <f>$C41*$C$36*$C$38+$E41*$H$36*$H$38</f>
        <v>0.7835266810579119</v>
      </c>
      <c r="Q41">
        <f>$C41*$E$36*$E$38+$D41*$G$36*$G$38</f>
        <v>0.45011990014713377</v>
      </c>
      <c r="R41">
        <f>(O41/L41)-(C41*O41/L41^2)+(D41*$C$38/M41)*($C$36-P41/M41)+(E41*$E$38/N41)*($E$36-Q41/N41)</f>
        <v>7.2499517979335779E-2</v>
      </c>
      <c r="S41">
        <f>(P41/M41)-(D41*P41/M41^2)+(C41*$D$38/L41)*($D$36-O41/L41)+(E41*$G$38/N41)*($G$36-Q41/N41)</f>
        <v>1.9514685608859001</v>
      </c>
      <c r="T41">
        <f>(Q41/N41)-(E41*Q41/N41^2)+(C41*$F$38/L41)*($F$36-O41/L41)+(D41*$H$38/M41)*($H$36-P41/M41)</f>
        <v>6.054335547775624</v>
      </c>
      <c r="U41">
        <f>EXP(R41)</f>
        <v>1.0751922878251294</v>
      </c>
      <c r="V41">
        <f>EXP(S41)</f>
        <v>7.0390172192445366</v>
      </c>
      <c r="W41">
        <f>EXP(T41)</f>
        <v>425.95578413647371</v>
      </c>
      <c r="X41">
        <f>U41/U47</f>
        <v>4.1914006962460039E-2</v>
      </c>
      <c r="Y41">
        <f>V41/V47</f>
        <v>4.1096787955113765</v>
      </c>
      <c r="Z41">
        <f>W41/W47</f>
        <v>320.93745626825478</v>
      </c>
      <c r="AE41" s="12" t="s">
        <v>4</v>
      </c>
      <c r="AF41" s="105">
        <f>AB31</f>
        <v>29.142867812470101</v>
      </c>
      <c r="AG41" s="105">
        <f>AA35</f>
        <v>13.518521669077076</v>
      </c>
    </row>
    <row r="42" spans="3:35" x14ac:dyDescent="0.25">
      <c r="C42">
        <f t="shared" ref="C42:C45" si="25">1-D42-E42</f>
        <v>0.97564812163287706</v>
      </c>
      <c r="D42">
        <v>2.3789340311500762E-2</v>
      </c>
      <c r="E42" s="44">
        <v>5.6253805562210286E-4</v>
      </c>
      <c r="G42" s="44">
        <v>1.0347190813357957E-2</v>
      </c>
      <c r="H42">
        <v>0.16223919149464833</v>
      </c>
      <c r="I42">
        <f t="shared" ref="I42:I45" si="26">1-G42-H42</f>
        <v>0.82741361769199373</v>
      </c>
      <c r="L42">
        <f>$C42+$D$38*$D42+$F$38*$E42</f>
        <v>0.9833503740720243</v>
      </c>
      <c r="M42">
        <f t="shared" ref="M42:M45" si="27">$C$38*$C42+$D42+$H$38*$E42</f>
        <v>0.44429556352967792</v>
      </c>
      <c r="N42">
        <f t="shared" ref="N42:N45" si="28">$E$38*$C42+$G$38*$D42+$E42</f>
        <v>5.8256544845841557E-2</v>
      </c>
      <c r="O42">
        <f t="shared" ref="O42:O45" si="29">$D42*$D$36*$D$38+$E42*$F$36*$F$38</f>
        <v>2.1996237161765863E-2</v>
      </c>
      <c r="P42">
        <f t="shared" ref="P42:P45" si="30">$C42*$C$36*$C$38+$E42*$H$36*$H$38</f>
        <v>0.88510372163462325</v>
      </c>
      <c r="Q42">
        <f t="shared" ref="Q42:Q45" si="31">$C42*$E$36*$E$38+$D42*$G$36*$G$38</f>
        <v>0.40479213752553178</v>
      </c>
      <c r="R42">
        <f>(O42/L42)-(C42*O42/L42^2)+(D42*$C$38/M42)*($C$36-P42/M42)+(E42*$E$38/N42)*($E$36-Q42/N42)</f>
        <v>3.0028478050600949E-3</v>
      </c>
      <c r="S42">
        <f>(P42/M42)-(D42*P42/M42^2)+(C42*$D$38/L42)*($D$36-O42/L42)+(E42*$G$38/N42)*($G$36-Q42/N42)</f>
        <v>2.7776935183679461</v>
      </c>
      <c r="T42">
        <f>(Q42/N42)-(E42*Q42/N42^2)+(C42*$F$38/L42)*($F$36-O42/L42)+(D42*$H$38/M42)*($H$36-P42/M42)</f>
        <v>7.3158467616374878</v>
      </c>
      <c r="U42">
        <f t="shared" ref="U42:W45" si="32">EXP(R42)</f>
        <v>1.0030073608687475</v>
      </c>
      <c r="V42">
        <f t="shared" si="32"/>
        <v>16.081885564786809</v>
      </c>
      <c r="W42">
        <f t="shared" si="32"/>
        <v>1503.9447397352815</v>
      </c>
      <c r="X42">
        <f t="shared" ref="X42:Z45" si="33">U42/U48</f>
        <v>1.0605453527698528E-2</v>
      </c>
      <c r="Y42">
        <f t="shared" si="33"/>
        <v>6.8198272575140715</v>
      </c>
      <c r="Z42">
        <f t="shared" si="33"/>
        <v>1470.8580324892716</v>
      </c>
      <c r="AE42" s="27" t="s">
        <v>5</v>
      </c>
      <c r="AF42" s="106">
        <f>W31</f>
        <v>3.6193297024077087E-2</v>
      </c>
      <c r="AG42" s="106">
        <f>S35</f>
        <v>0.99678893255095036</v>
      </c>
    </row>
    <row r="43" spans="3:35" x14ac:dyDescent="0.25">
      <c r="C43">
        <f t="shared" si="25"/>
        <v>0.99368304808533681</v>
      </c>
      <c r="D43">
        <v>5.8360032926167383E-3</v>
      </c>
      <c r="E43" s="44">
        <v>4.8094862204647236E-4</v>
      </c>
      <c r="G43" s="44">
        <v>3.2693645411533238E-3</v>
      </c>
      <c r="H43">
        <v>4.2858257051152995E-2</v>
      </c>
      <c r="I43">
        <f t="shared" si="26"/>
        <v>0.95387237840769368</v>
      </c>
      <c r="L43">
        <f t="shared" ref="L43:L45" si="34">$C43+$D$38*$D43+$F$38*$E43</f>
        <v>0.99560211135967092</v>
      </c>
      <c r="M43">
        <f t="shared" si="27"/>
        <v>0.434030836779909</v>
      </c>
      <c r="N43">
        <f t="shared" si="28"/>
        <v>5.5564369812363811E-2</v>
      </c>
      <c r="O43">
        <f t="shared" si="29"/>
        <v>5.5772082905818469E-3</v>
      </c>
      <c r="P43">
        <f t="shared" si="30"/>
        <v>0.90144694107467549</v>
      </c>
      <c r="Q43">
        <f t="shared" si="31"/>
        <v>0.39747585330923069</v>
      </c>
      <c r="R43">
        <f>(O43/L43)-(C43*O43/L43^2)+(D43*$C$38/M43)*($C$36-P43/M43)+(E43*$E$38/N43)*($E$36-Q43/N43)</f>
        <v>2.4771876099472726E-4</v>
      </c>
      <c r="S43">
        <f>(P43/M43)-(D43*P43/M43^2)+(C43*$D$38/L43)*($D$36-O43/L43)+(E43*$G$38/N43)*($G$36-Q43/N43)</f>
        <v>2.9521610919793551</v>
      </c>
      <c r="T43">
        <f>(Q43/N43)-(E43*Q43/N43^2)+(C43*$F$38/L43)*($F$36-O43/L43)+(D43*$H$38/M43)*($H$36-P43/M43)</f>
        <v>7.5950347606857482</v>
      </c>
      <c r="U43">
        <f t="shared" si="32"/>
        <v>1.0002477494458206</v>
      </c>
      <c r="V43">
        <f t="shared" si="32"/>
        <v>19.147288099193382</v>
      </c>
      <c r="W43">
        <f t="shared" si="32"/>
        <v>1988.2989649344609</v>
      </c>
      <c r="X43">
        <f t="shared" si="33"/>
        <v>3.2901482494373754E-3</v>
      </c>
      <c r="Y43">
        <f t="shared" si="33"/>
        <v>7.3437684837111403</v>
      </c>
      <c r="Z43">
        <f t="shared" si="33"/>
        <v>1983.314505299023</v>
      </c>
      <c r="AE43" s="27" t="s">
        <v>6</v>
      </c>
      <c r="AF43" s="106">
        <f>X31</f>
        <v>0.55569101432886581</v>
      </c>
      <c r="AG43" s="106">
        <f>T35</f>
        <v>2.7435803413279509E-3</v>
      </c>
    </row>
    <row r="44" spans="3:35" ht="15.75" thickBot="1" x14ac:dyDescent="0.3">
      <c r="C44">
        <f t="shared" si="25"/>
        <v>0.99638713733716355</v>
      </c>
      <c r="D44">
        <v>3.1436434600384307E-3</v>
      </c>
      <c r="E44" s="44">
        <v>4.6921920279799508E-4</v>
      </c>
      <c r="G44" s="44">
        <v>2.5870065932664353E-3</v>
      </c>
      <c r="H44">
        <v>2.3317255019305365E-2</v>
      </c>
      <c r="I44">
        <f t="shared" si="26"/>
        <v>0.97409573838742824</v>
      </c>
      <c r="L44">
        <f t="shared" si="34"/>
        <v>0.99743897222848288</v>
      </c>
      <c r="M44">
        <f t="shared" si="27"/>
        <v>0.43249174100660437</v>
      </c>
      <c r="N44">
        <f t="shared" si="28"/>
        <v>5.5161118260086676E-2</v>
      </c>
      <c r="O44">
        <f t="shared" si="29"/>
        <v>3.1152071557179854E-3</v>
      </c>
      <c r="P44">
        <f t="shared" si="30"/>
        <v>0.90389748063121378</v>
      </c>
      <c r="Q44">
        <f t="shared" si="31"/>
        <v>0.39637847173749563</v>
      </c>
      <c r="R44">
        <f>(O44/L44)-(C44*O44/L44^2)+(D44*$C$38/M44)*($C$36-P44/M44)+(E44*$E$38/N44)*($E$36-Q44/N44)</f>
        <v>1.0286924283514901E-4</v>
      </c>
      <c r="S44">
        <f>(P44/M44)-(D44*P44/M44^2)+(C44*$D$38/L44)*($D$36-O44/L44)+(E44*$G$38/N44)*($G$36-Q44/N44)</f>
        <v>2.9795829366746123</v>
      </c>
      <c r="T44">
        <f>(Q44/N44)-(E44*Q44/N44^2)+(C44*$F$38/L44)*($F$36-O44/L44)+(D44*$H$38/M44)*($H$36-P44/M44)</f>
        <v>7.6393893962540123</v>
      </c>
      <c r="U44">
        <f t="shared" si="32"/>
        <v>1.0001028745340572</v>
      </c>
      <c r="V44">
        <f t="shared" si="32"/>
        <v>19.679607290512198</v>
      </c>
      <c r="W44">
        <f t="shared" si="32"/>
        <v>2078.4743048300315</v>
      </c>
      <c r="X44">
        <f t="shared" si="33"/>
        <v>2.5963869828551671E-3</v>
      </c>
      <c r="Y44">
        <f t="shared" si="33"/>
        <v>7.4172708564795133</v>
      </c>
      <c r="Z44">
        <f t="shared" si="33"/>
        <v>2075.9929103060167</v>
      </c>
      <c r="AE44" s="36" t="s">
        <v>7</v>
      </c>
      <c r="AF44" s="107">
        <f>Y31</f>
        <v>0.40811568864705716</v>
      </c>
      <c r="AG44" s="107">
        <f>U35</f>
        <v>4.6748710772170633E-4</v>
      </c>
    </row>
    <row r="45" spans="3:35" ht="15.75" thickBot="1" x14ac:dyDescent="0.3">
      <c r="C45">
        <f t="shared" si="25"/>
        <v>0.99678893255095036</v>
      </c>
      <c r="D45">
        <v>2.7435803413279509E-3</v>
      </c>
      <c r="E45" s="44">
        <v>4.6748710772170633E-4</v>
      </c>
      <c r="G45" s="44">
        <v>2.4936803554465197E-3</v>
      </c>
      <c r="H45">
        <v>2.0379586517208573E-2</v>
      </c>
      <c r="I45">
        <f t="shared" si="26"/>
        <v>0.97712673312734488</v>
      </c>
      <c r="L45">
        <f t="shared" si="34"/>
        <v>0.99771190517742903</v>
      </c>
      <c r="M45">
        <f t="shared" si="27"/>
        <v>0.43226304896568069</v>
      </c>
      <c r="N45">
        <f t="shared" si="28"/>
        <v>5.5101208524036854E-2</v>
      </c>
      <c r="O45">
        <f t="shared" si="29"/>
        <v>2.7493791997227502E-3</v>
      </c>
      <c r="P45">
        <f t="shared" si="30"/>
        <v>0.904261603506061</v>
      </c>
      <c r="Q45">
        <f t="shared" si="31"/>
        <v>0.39621540535043098</v>
      </c>
      <c r="R45">
        <f>(O45/L45)-(C45*O45/L45^2)+(D45*$C$38/M45)*($C$36-P45/M45)+(E45*$E$38/N45)*($E$36-Q45/N45)</f>
        <v>8.7623180529604501E-5</v>
      </c>
      <c r="S45">
        <f>(P45/M45)-(D45*P45/M45^2)+(C45*$D$38/L45)*($D$36-O45/L45)+(E45*$G$38/N45)*($G$36-Q45/N45)</f>
        <v>2.9836867734366757</v>
      </c>
      <c r="T45">
        <f>(Q45/N45)-(E45*Q45/N45^2)+(C45*$F$38/L45)*($F$36-O45/L45)+(D45*$H$38/M45)*($H$36-P45/M45)</f>
        <v>7.6460385295974165</v>
      </c>
      <c r="U45">
        <f t="shared" si="32"/>
        <v>1.0000876270195527</v>
      </c>
      <c r="V45">
        <f t="shared" si="32"/>
        <v>19.760535130116939</v>
      </c>
      <c r="W45">
        <f t="shared" si="32"/>
        <v>2092.3404053231384</v>
      </c>
      <c r="X45">
        <f t="shared" si="33"/>
        <v>2.5017135263178097E-3</v>
      </c>
      <c r="Y45">
        <f t="shared" si="33"/>
        <v>7.4280990464250589</v>
      </c>
      <c r="Z45">
        <f t="shared" si="33"/>
        <v>2090.168299806196</v>
      </c>
    </row>
    <row r="46" spans="3:35" ht="16.5" thickBot="1" x14ac:dyDescent="0.3">
      <c r="L46" s="102" t="s">
        <v>106</v>
      </c>
      <c r="M46" s="103" t="s">
        <v>107</v>
      </c>
      <c r="N46" s="103" t="s">
        <v>108</v>
      </c>
      <c r="O46" s="103" t="s">
        <v>109</v>
      </c>
      <c r="P46" s="103" t="s">
        <v>110</v>
      </c>
      <c r="Q46" s="103" t="s">
        <v>111</v>
      </c>
      <c r="R46" s="103" t="s">
        <v>112</v>
      </c>
      <c r="S46" s="103" t="s">
        <v>113</v>
      </c>
      <c r="T46" s="103" t="s">
        <v>114</v>
      </c>
      <c r="U46" s="103" t="s">
        <v>115</v>
      </c>
      <c r="V46" s="103" t="s">
        <v>116</v>
      </c>
      <c r="W46" s="103" t="s">
        <v>117</v>
      </c>
      <c r="X46" s="103" t="s">
        <v>118</v>
      </c>
      <c r="Y46" s="103" t="s">
        <v>119</v>
      </c>
      <c r="Z46" s="104" t="s">
        <v>120</v>
      </c>
      <c r="AF46" s="208" t="s">
        <v>121</v>
      </c>
      <c r="AG46" s="209"/>
    </row>
    <row r="47" spans="3:35" ht="15.75" thickBot="1" x14ac:dyDescent="0.3">
      <c r="L47">
        <f>$G41+$D$38*$H41+$F$38*$I41</f>
        <v>0.25013724955800615</v>
      </c>
      <c r="M47">
        <f>$C$38*$G41+$H41+$H$38*$I41</f>
        <v>0.94606722135184285</v>
      </c>
      <c r="N47">
        <f>$E$38*$G41+$G$38*$H41+$I41</f>
        <v>0.52117078835526498</v>
      </c>
      <c r="O47">
        <f>$H41*$D$36*$D$38+$I41*$F$36*$F$38</f>
        <v>0.72236866835172786</v>
      </c>
      <c r="P47">
        <f>$G41*$C$36*$C$38+$I41*$H$36*$H$38</f>
        <v>0.11263266229269339</v>
      </c>
      <c r="Q47">
        <f>$G41*$E$36*$E$38+$H41*$G$36*$G$38</f>
        <v>0.46140994804479452</v>
      </c>
      <c r="R47">
        <f>(O47/L47)-(G41*O47/L47^2)+(H41*$C$38/M47)*($C$36-P47/M47)+(I41*$E$38/N47)*($E$36-Q47/N47)</f>
        <v>3.2446347308507413</v>
      </c>
      <c r="S47">
        <f>(P47/M47)-(H41*P47/M47^2)+(G41*$D$38/L47)*($D$36-O47/L47)+(I41*$G$38/N47)*($G$36-Q47/N47)</f>
        <v>0.53812368737548311</v>
      </c>
      <c r="T47">
        <f>(Q47/N47)-(I41*Q47/N47^2)+(G41*$F$38/L47)*($F$36-O47/L47)+(H41*$H$38/M47)*($H$36-P47/M47)</f>
        <v>0.28308928391525318</v>
      </c>
      <c r="U47">
        <f>EXP(R47)</f>
        <v>25.652338340930211</v>
      </c>
      <c r="V47">
        <f>EXP(S47)</f>
        <v>1.7127901156004226</v>
      </c>
      <c r="W47">
        <f>EXP(T47)</f>
        <v>1.3272236562517017</v>
      </c>
      <c r="X47">
        <f>U47/U41</f>
        <v>23.858372712865233</v>
      </c>
      <c r="Y47">
        <f>V47/V41</f>
        <v>0.24332801899073178</v>
      </c>
      <c r="Z47">
        <f>W47/W41</f>
        <v>3.1158718948783356E-3</v>
      </c>
      <c r="AE47" s="12" t="s">
        <v>4</v>
      </c>
      <c r="AF47" s="108">
        <f>AF41</f>
        <v>29.142867812470101</v>
      </c>
      <c r="AG47" s="108">
        <f>AG41</f>
        <v>13.518521669077076</v>
      </c>
    </row>
    <row r="48" spans="3:35" ht="15.75" thickBot="1" x14ac:dyDescent="0.3">
      <c r="C48" s="208" t="s">
        <v>122</v>
      </c>
      <c r="D48" s="210"/>
      <c r="E48" s="210"/>
      <c r="F48" s="210"/>
      <c r="G48" s="210"/>
      <c r="H48" s="210"/>
      <c r="I48" s="209"/>
      <c r="L48">
        <f t="shared" ref="L48:L51" si="35">$G42+$D$38*$H42+$F$38*$I42</f>
        <v>0.13382901945863501</v>
      </c>
      <c r="M48">
        <f t="shared" ref="M48:M51" si="36">$C$38*$G42+$H42+$H$38*$I42</f>
        <v>0.92655464446318669</v>
      </c>
      <c r="N48">
        <f t="shared" ref="N48:N51" si="37">$E$38*$G42+$G$38*$H42+$I42</f>
        <v>0.8604091867650383</v>
      </c>
      <c r="O48">
        <f t="shared" ref="O48:O51" si="38">$H42*$D$36*$D$38+$I42*$F$36*$F$38</f>
        <v>0.58489139546930258</v>
      </c>
      <c r="P48">
        <f t="shared" ref="P48:P51" si="39">$G42*$C$36*$C$38+$I42*$H$36*$H$38</f>
        <v>0.17117700186872425</v>
      </c>
      <c r="Q48">
        <f t="shared" ref="Q48:Q51" si="40">$G42*$E$36*$E$38+$H42*$G$36*$G$38</f>
        <v>0.1346260775680484</v>
      </c>
      <c r="R48">
        <f>(O48/L48)-(G42*O48/L48^2)+(H42*$C$38/M48)*($C$36-P48/M48)+(I42*$E$38/N48)*($E$36-Q48/N48)</f>
        <v>4.5493897742254177</v>
      </c>
      <c r="S48">
        <f>(P48/M48)-(H42*P48/M48^2)+(G42*$D$38/L48)*($D$36-O48/L48)+(I42*$G$38/N48)*($G$36-Q48/N48)</f>
        <v>0.85785937564360848</v>
      </c>
      <c r="T48">
        <f>(Q48/N48)-(I42*Q48/N48^2)+(G42*$F$38/L48)*($F$36-O48/L48)+(H42*$H$38/M48)*($H$36-P48/M48)</f>
        <v>2.2245556577773128E-2</v>
      </c>
      <c r="U48">
        <f t="shared" ref="U48:W51" si="41">EXP(R48)</f>
        <v>94.574678796071112</v>
      </c>
      <c r="V48">
        <f t="shared" si="41"/>
        <v>2.3581074648287932</v>
      </c>
      <c r="W48">
        <f t="shared" si="41"/>
        <v>1.02249483397797</v>
      </c>
      <c r="X48">
        <f t="shared" ref="X48:Z51" si="42">U48/U42</f>
        <v>94.291111397383901</v>
      </c>
      <c r="Y48">
        <f t="shared" si="42"/>
        <v>0.14663127997827247</v>
      </c>
      <c r="Z48">
        <f t="shared" si="42"/>
        <v>6.7987526866043334E-4</v>
      </c>
      <c r="AE48" s="27" t="s">
        <v>5</v>
      </c>
      <c r="AF48" s="106">
        <f>AF42</f>
        <v>3.6193297024077087E-2</v>
      </c>
      <c r="AG48" s="106">
        <f>AG42</f>
        <v>0.99678893255095036</v>
      </c>
    </row>
    <row r="49" spans="2:33" ht="15.75" thickBot="1" x14ac:dyDescent="0.3">
      <c r="B49" s="1" t="s">
        <v>123</v>
      </c>
      <c r="C49" s="8" t="s">
        <v>84</v>
      </c>
      <c r="D49" s="8" t="s">
        <v>85</v>
      </c>
      <c r="E49" s="8" t="s">
        <v>86</v>
      </c>
      <c r="F49" s="8"/>
      <c r="G49" s="8" t="s">
        <v>87</v>
      </c>
      <c r="H49" s="8" t="s">
        <v>88</v>
      </c>
      <c r="I49" s="8" t="s">
        <v>124</v>
      </c>
      <c r="J49" s="1" t="s">
        <v>123</v>
      </c>
      <c r="L49">
        <f t="shared" si="35"/>
        <v>9.9237371397272484E-2</v>
      </c>
      <c r="M49">
        <f t="shared" si="36"/>
        <v>0.92026121736610289</v>
      </c>
      <c r="N49">
        <f t="shared" si="37"/>
        <v>0.96261780410307296</v>
      </c>
      <c r="O49">
        <f t="shared" si="38"/>
        <v>0.54277449232322428</v>
      </c>
      <c r="P49">
        <f t="shared" si="39"/>
        <v>0.18948438682318627</v>
      </c>
      <c r="Q49">
        <f t="shared" si="40"/>
        <v>3.5775640311535607E-2</v>
      </c>
      <c r="R49">
        <f>(O49/L49)-(G43*O49/L49^2)+(H43*$C$38/M49)*($C$36-P49/M49)+(I43*$E$38/N49)*($E$36-Q49/N49)</f>
        <v>5.7170703733617874</v>
      </c>
      <c r="S49">
        <f>(P49/M49)-(H43*P49/M49^2)+(G43*$D$38/L49)*($D$36-O49/L49)+(I43*$G$38/N49)*($G$36-Q49/N49)</f>
        <v>0.95830896370721141</v>
      </c>
      <c r="T49">
        <f>(Q49/N49)-(I43*Q49/N49^2)+(G43*$F$38/L49)*($F$36-O49/L49)+(H43*$H$38/M49)*($H$36-P49/M49)</f>
        <v>2.5100439857854723E-3</v>
      </c>
      <c r="U49">
        <f t="shared" si="41"/>
        <v>304.01297255127207</v>
      </c>
      <c r="V49">
        <f t="shared" si="41"/>
        <v>2.607283732005313</v>
      </c>
      <c r="W49">
        <f t="shared" si="41"/>
        <v>1.0025131967835259</v>
      </c>
      <c r="X49">
        <f t="shared" si="42"/>
        <v>303.93767216143004</v>
      </c>
      <c r="Y49">
        <f t="shared" si="42"/>
        <v>0.1361698700358068</v>
      </c>
      <c r="Z49">
        <f t="shared" si="42"/>
        <v>5.0420646716806551E-4</v>
      </c>
      <c r="AE49" s="27" t="s">
        <v>7</v>
      </c>
      <c r="AF49" s="106">
        <f>AF44</f>
        <v>0.40811568864705716</v>
      </c>
      <c r="AG49" s="106">
        <f>AG44</f>
        <v>4.6748710772170633E-4</v>
      </c>
    </row>
    <row r="50" spans="2:33" ht="15.75" thickBot="1" x14ac:dyDescent="0.3">
      <c r="B50" s="109">
        <f>SUM(C50:E50)</f>
        <v>0.99999999999957478</v>
      </c>
      <c r="C50">
        <f>G41*X47</f>
        <v>0.86351317010786721</v>
      </c>
      <c r="D50">
        <f>H41*Y47</f>
        <v>0.13521519368759327</v>
      </c>
      <c r="E50">
        <f>I41*Z47</f>
        <v>1.2716362041142828E-3</v>
      </c>
      <c r="G50">
        <f>C41*X41</f>
        <v>3.6193297024091985E-2</v>
      </c>
      <c r="H50">
        <f>D41*Y41</f>
        <v>0.55569101432913137</v>
      </c>
      <c r="I50">
        <f>E41*Z41</f>
        <v>0.40811568864872111</v>
      </c>
      <c r="J50" s="109">
        <f>SUM(G50:I50)</f>
        <v>1.0000000000019444</v>
      </c>
      <c r="L50">
        <f t="shared" si="35"/>
        <v>9.4010357932824418E-2</v>
      </c>
      <c r="M50">
        <f t="shared" si="36"/>
        <v>0.91899874777547974</v>
      </c>
      <c r="N50">
        <f t="shared" si="37"/>
        <v>0.97889758967868246</v>
      </c>
      <c r="O50">
        <f t="shared" si="38"/>
        <v>0.53562909614005072</v>
      </c>
      <c r="P50">
        <f t="shared" si="39"/>
        <v>0.19281987767080755</v>
      </c>
      <c r="Q50">
        <f t="shared" si="40"/>
        <v>1.978342039149977E-2</v>
      </c>
      <c r="R50">
        <f>(O50/L50)-(G44*O50/L50^2)+(H44*$C$38/M50)*($C$36-P50/M50)+(I44*$E$38/N50)*($E$36-Q50/N50)</f>
        <v>5.9537372915963491</v>
      </c>
      <c r="S50">
        <f>(P50/M50)-(H44*P50/M50^2)+(G44*$D$38/L50)*($D$36-O50/L50)+(I44*$G$38/N50)*($G$36-Q50/N50)</f>
        <v>0.9757717562534769</v>
      </c>
      <c r="T50">
        <f>(Q50/N50)-(I44*Q50/N50^2)+(G44*$F$38/L50)*($F$36-O50/L50)+(H44*$H$38/M50)*($H$36-P50/M50)</f>
        <v>1.1945670482373146E-3</v>
      </c>
      <c r="U50">
        <f t="shared" si="41"/>
        <v>385.19022054034286</v>
      </c>
      <c r="V50">
        <f t="shared" si="41"/>
        <v>2.6532140555876644</v>
      </c>
      <c r="W50">
        <f t="shared" si="41"/>
        <v>1.0011952808276445</v>
      </c>
      <c r="X50">
        <f t="shared" si="42"/>
        <v>385.15059835199554</v>
      </c>
      <c r="Y50">
        <f t="shared" si="42"/>
        <v>0.13482047768640254</v>
      </c>
      <c r="Z50">
        <f t="shared" si="42"/>
        <v>4.8169721343248355E-4</v>
      </c>
      <c r="AE50" s="36" t="s">
        <v>6</v>
      </c>
      <c r="AF50" s="107">
        <f>AF43</f>
        <v>0.55569101432886581</v>
      </c>
      <c r="AG50" s="107">
        <f>AG43</f>
        <v>2.7435803413279509E-3</v>
      </c>
    </row>
    <row r="51" spans="2:33" x14ac:dyDescent="0.25">
      <c r="B51" s="109">
        <f t="shared" ref="B51:B54" si="43">SUM(C51:E51)</f>
        <v>0.99999999999944444</v>
      </c>
      <c r="C51">
        <f t="shared" ref="C51:E54" si="44">G42*X48</f>
        <v>0.9756481216323224</v>
      </c>
      <c r="D51">
        <f t="shared" si="44"/>
        <v>2.3789340311500339E-2</v>
      </c>
      <c r="E51">
        <f t="shared" si="44"/>
        <v>5.6253805562164532E-4</v>
      </c>
      <c r="G51">
        <f t="shared" ref="G51:I54" si="45">C42*X42</f>
        <v>1.0347190813363839E-2</v>
      </c>
      <c r="H51">
        <f t="shared" si="45"/>
        <v>0.16223919149465119</v>
      </c>
      <c r="I51">
        <f t="shared" si="45"/>
        <v>0.82741361769266664</v>
      </c>
      <c r="J51" s="109">
        <f t="shared" ref="J51:J54" si="46">SUM(G51:I51)</f>
        <v>1.0000000000006817</v>
      </c>
      <c r="L51">
        <f t="shared" si="35"/>
        <v>9.3233020075486964E-2</v>
      </c>
      <c r="M51">
        <f t="shared" si="36"/>
        <v>0.91880444081540136</v>
      </c>
      <c r="N51">
        <f t="shared" si="37"/>
        <v>0.98133623499389611</v>
      </c>
      <c r="O51">
        <f t="shared" si="38"/>
        <v>0.53455001622233178</v>
      </c>
      <c r="P51">
        <f t="shared" si="39"/>
        <v>0.19332789929096675</v>
      </c>
      <c r="Q51">
        <f t="shared" si="40"/>
        <v>1.7382911272561977E-2</v>
      </c>
      <c r="R51">
        <f>(O51/L51)-(G45*O51/L51^2)+(H45*$C$38/M51)*($C$36-P51/M51)+(I45*$E$38/N51)*($E$36-Q51/N51)</f>
        <v>5.9908669945479058</v>
      </c>
      <c r="S51">
        <f>(P51/M51)-(H45*P51/M51^2)+(G45*$D$38/L51)*($D$36-O51/L51)+(I45*$G$38/N51)*($G$36-Q51/N51)</f>
        <v>0.97841679583680441</v>
      </c>
      <c r="T51">
        <f>(Q51/N51)-(I45*Q51/N51^2)+(G45*$F$38/L51)*($F$36-O51/L51)+(H45*$H$38/M51)*($H$36-P51/M51)</f>
        <v>1.0386616575618639E-3</v>
      </c>
      <c r="U51">
        <f t="shared" si="41"/>
        <v>399.76105037555959</v>
      </c>
      <c r="V51">
        <f t="shared" si="41"/>
        <v>2.6602412012299625</v>
      </c>
      <c r="W51">
        <f t="shared" si="41"/>
        <v>1.0010392012533842</v>
      </c>
      <c r="X51">
        <f t="shared" si="42"/>
        <v>399.72602357547601</v>
      </c>
      <c r="Y51">
        <f t="shared" si="42"/>
        <v>0.13462394533918778</v>
      </c>
      <c r="Z51">
        <f t="shared" si="42"/>
        <v>4.7843037333056949E-4</v>
      </c>
    </row>
    <row r="52" spans="2:33" x14ac:dyDescent="0.25">
      <c r="B52" s="109">
        <f t="shared" si="43"/>
        <v>0.99999999999992595</v>
      </c>
      <c r="C52">
        <f t="shared" si="44"/>
        <v>0.99368304808526309</v>
      </c>
      <c r="D52">
        <f t="shared" si="44"/>
        <v>5.8360032926167036E-3</v>
      </c>
      <c r="E52">
        <f t="shared" si="44"/>
        <v>4.8094862204614336E-4</v>
      </c>
      <c r="G52">
        <f t="shared" si="45"/>
        <v>3.2693645411535663E-3</v>
      </c>
      <c r="H52">
        <f t="shared" si="45"/>
        <v>4.2858257051153245E-2</v>
      </c>
      <c r="I52">
        <f t="shared" si="45"/>
        <v>0.95387237840834616</v>
      </c>
      <c r="J52" s="109">
        <f t="shared" si="46"/>
        <v>1.000000000000653</v>
      </c>
    </row>
    <row r="53" spans="2:33" x14ac:dyDescent="0.25">
      <c r="B53" s="109">
        <f t="shared" si="43"/>
        <v>0.99999999999996114</v>
      </c>
      <c r="C53">
        <f t="shared" si="44"/>
        <v>0.99638713733712514</v>
      </c>
      <c r="D53">
        <f t="shared" si="44"/>
        <v>3.1436434600384164E-3</v>
      </c>
      <c r="E53">
        <f t="shared" si="44"/>
        <v>4.6921920279768169E-4</v>
      </c>
      <c r="G53">
        <f t="shared" si="45"/>
        <v>2.5870065932665351E-3</v>
      </c>
      <c r="H53">
        <f t="shared" si="45"/>
        <v>2.3317255019305472E-2</v>
      </c>
      <c r="I53">
        <f t="shared" si="45"/>
        <v>0.97409573838807884</v>
      </c>
      <c r="J53" s="109">
        <f t="shared" si="46"/>
        <v>1.0000000000006508</v>
      </c>
    </row>
    <row r="54" spans="2:33" x14ac:dyDescent="0.25">
      <c r="B54" s="109">
        <f t="shared" si="43"/>
        <v>0.99999999999996625</v>
      </c>
      <c r="C54">
        <f t="shared" si="44"/>
        <v>0.99678893255091694</v>
      </c>
      <c r="D54">
        <f t="shared" si="44"/>
        <v>2.7435803413279353E-3</v>
      </c>
      <c r="E54">
        <f t="shared" si="44"/>
        <v>4.6748710772139533E-4</v>
      </c>
      <c r="G54">
        <f t="shared" si="45"/>
        <v>2.4936803554466034E-3</v>
      </c>
      <c r="H54">
        <f t="shared" si="45"/>
        <v>2.0379586517208691E-2</v>
      </c>
      <c r="I54">
        <f t="shared" si="45"/>
        <v>0.97712673312799492</v>
      </c>
      <c r="J54" s="109">
        <f t="shared" si="46"/>
        <v>1.0000000000006501</v>
      </c>
    </row>
    <row r="55" spans="2:33" ht="15.75" thickBot="1" x14ac:dyDescent="0.3"/>
    <row r="56" spans="2:33" ht="15.75" thickBot="1" x14ac:dyDescent="0.3">
      <c r="C56" s="3" t="s">
        <v>125</v>
      </c>
      <c r="D56" s="4"/>
      <c r="E56" s="4"/>
      <c r="F56" s="4"/>
      <c r="G56" s="4"/>
      <c r="H56" s="4"/>
      <c r="I56" s="110"/>
    </row>
    <row r="57" spans="2:33" ht="15.75" thickBot="1" x14ac:dyDescent="0.3">
      <c r="C57" s="7" t="s">
        <v>126</v>
      </c>
      <c r="D57" s="8" t="s">
        <v>127</v>
      </c>
      <c r="E57" s="5" t="s">
        <v>128</v>
      </c>
      <c r="G57" s="7" t="s">
        <v>126</v>
      </c>
      <c r="H57" s="8" t="s">
        <v>127</v>
      </c>
      <c r="I57" s="5" t="s">
        <v>128</v>
      </c>
    </row>
    <row r="58" spans="2:33" x14ac:dyDescent="0.25">
      <c r="C58">
        <f>(C41+C50)/2</f>
        <v>0.86351317010804496</v>
      </c>
      <c r="D58">
        <f>(D41+D50)/2</f>
        <v>0.13521519368762558</v>
      </c>
      <c r="E58">
        <f>(E41+E50)/2</f>
        <v>1.2716362041168751E-3</v>
      </c>
      <c r="G58">
        <f>(G41+G50)/2</f>
        <v>3.6193297024084539E-2</v>
      </c>
      <c r="H58">
        <f>(H41+H50)/2</f>
        <v>0.55569101432899859</v>
      </c>
      <c r="I58">
        <f>(I41+I50)/2</f>
        <v>0.40811568864788916</v>
      </c>
    </row>
    <row r="59" spans="2:33" x14ac:dyDescent="0.25">
      <c r="C59">
        <f t="shared" ref="C59:E62" si="47">(C42+C51)/2</f>
        <v>0.97564812163259973</v>
      </c>
      <c r="D59">
        <f t="shared" si="47"/>
        <v>2.378934031150055E-2</v>
      </c>
      <c r="E59">
        <f t="shared" si="47"/>
        <v>5.6253805562187409E-4</v>
      </c>
      <c r="G59">
        <f t="shared" ref="G59:I62" si="48">(G42+G51)/2</f>
        <v>1.0347190813360899E-2</v>
      </c>
      <c r="H59">
        <f t="shared" si="48"/>
        <v>0.16223919149464977</v>
      </c>
      <c r="I59">
        <f t="shared" si="48"/>
        <v>0.82741361769233013</v>
      </c>
    </row>
    <row r="60" spans="2:33" x14ac:dyDescent="0.25">
      <c r="C60">
        <f t="shared" si="47"/>
        <v>0.99368304808529995</v>
      </c>
      <c r="D60">
        <f t="shared" si="47"/>
        <v>5.836003292616721E-3</v>
      </c>
      <c r="E60">
        <f t="shared" si="47"/>
        <v>4.8094862204630783E-4</v>
      </c>
      <c r="G60">
        <f t="shared" si="48"/>
        <v>3.2693645411534453E-3</v>
      </c>
      <c r="H60">
        <f t="shared" si="48"/>
        <v>4.285825705115312E-2</v>
      </c>
      <c r="I60">
        <f t="shared" si="48"/>
        <v>0.95387237840801986</v>
      </c>
    </row>
    <row r="61" spans="2:33" x14ac:dyDescent="0.25">
      <c r="C61">
        <f t="shared" si="47"/>
        <v>0.99638713733714435</v>
      </c>
      <c r="D61">
        <f t="shared" si="47"/>
        <v>3.1436434600384238E-3</v>
      </c>
      <c r="E61">
        <f t="shared" si="47"/>
        <v>4.6921920279783841E-4</v>
      </c>
      <c r="G61">
        <f t="shared" si="48"/>
        <v>2.5870065932664852E-3</v>
      </c>
      <c r="H61">
        <f t="shared" si="48"/>
        <v>2.331725501930542E-2</v>
      </c>
      <c r="I61">
        <f t="shared" si="48"/>
        <v>0.97409573838775354</v>
      </c>
    </row>
    <row r="62" spans="2:33" x14ac:dyDescent="0.25">
      <c r="C62">
        <f t="shared" si="47"/>
        <v>0.99678893255093359</v>
      </c>
      <c r="D62">
        <f t="shared" si="47"/>
        <v>2.7435803413279431E-3</v>
      </c>
      <c r="E62">
        <f t="shared" si="47"/>
        <v>4.674871077215508E-4</v>
      </c>
      <c r="G62">
        <f t="shared" si="48"/>
        <v>2.4936803554465618E-3</v>
      </c>
      <c r="H62">
        <f t="shared" si="48"/>
        <v>2.0379586517208632E-2</v>
      </c>
      <c r="I62">
        <f t="shared" si="48"/>
        <v>0.97712673312766984</v>
      </c>
    </row>
    <row r="64" spans="2:33" s="186" customFormat="1" x14ac:dyDescent="0.25"/>
    <row r="66" spans="1:29" x14ac:dyDescent="0.25">
      <c r="A66" s="119"/>
      <c r="B66" s="203"/>
      <c r="C66" s="203"/>
      <c r="D66" s="190"/>
      <c r="E66" s="207"/>
      <c r="F66" s="207"/>
      <c r="G66" s="207"/>
      <c r="H66" s="207"/>
      <c r="I66" s="190"/>
      <c r="J66" s="119"/>
      <c r="K66" s="190"/>
      <c r="L66" s="207"/>
      <c r="M66" s="207"/>
      <c r="N66" s="207"/>
      <c r="O66" s="207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</row>
    <row r="67" spans="1:29" x14ac:dyDescent="0.25">
      <c r="A67" s="119"/>
      <c r="B67" s="203"/>
      <c r="C67" s="203"/>
      <c r="D67" s="190"/>
      <c r="E67" s="119"/>
      <c r="F67" s="191"/>
      <c r="G67" s="119"/>
      <c r="H67" s="191"/>
      <c r="I67" s="190"/>
      <c r="J67" s="191"/>
      <c r="K67" s="190"/>
      <c r="L67" s="119"/>
      <c r="M67" s="119"/>
      <c r="N67" s="119"/>
      <c r="O67" s="119"/>
      <c r="P67" s="190"/>
      <c r="Q67" s="190"/>
      <c r="R67" s="119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</row>
    <row r="68" spans="1:29" x14ac:dyDescent="0.25">
      <c r="A68" s="119"/>
      <c r="B68" s="203"/>
      <c r="C68" s="203"/>
      <c r="D68" s="190"/>
      <c r="E68" s="119"/>
      <c r="F68" s="191"/>
      <c r="G68" s="119"/>
      <c r="H68" s="191"/>
      <c r="I68" s="190"/>
      <c r="J68" s="119"/>
      <c r="K68" s="190"/>
      <c r="L68" s="119"/>
      <c r="M68" s="119"/>
      <c r="N68" s="119"/>
      <c r="O68" s="119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</row>
    <row r="69" spans="1:29" x14ac:dyDescent="0.25">
      <c r="A69" s="190"/>
      <c r="B69" s="190"/>
      <c r="C69" s="190"/>
      <c r="D69" s="190"/>
      <c r="E69" s="119"/>
      <c r="F69" s="191"/>
      <c r="G69" s="119"/>
      <c r="H69" s="191"/>
      <c r="I69" s="190"/>
      <c r="J69" s="191"/>
      <c r="K69" s="190"/>
      <c r="L69" s="119"/>
      <c r="M69" s="119"/>
      <c r="N69" s="119"/>
      <c r="O69" s="119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</row>
    <row r="70" spans="1:29" x14ac:dyDescent="0.25">
      <c r="A70" s="190"/>
      <c r="B70" s="190"/>
      <c r="C70" s="190"/>
      <c r="D70" s="190"/>
      <c r="E70" s="119"/>
      <c r="F70" s="191"/>
      <c r="G70" s="119"/>
      <c r="H70" s="191"/>
      <c r="I70" s="190"/>
      <c r="J70" s="119"/>
      <c r="K70" s="190"/>
      <c r="L70" s="119"/>
      <c r="M70" s="119"/>
      <c r="N70" s="119"/>
      <c r="O70" s="119"/>
      <c r="P70" s="190"/>
      <c r="Q70" s="192"/>
      <c r="R70" s="192"/>
      <c r="S70" s="190"/>
      <c r="T70" s="190"/>
      <c r="U70" s="190"/>
      <c r="V70" s="190"/>
      <c r="W70" s="190"/>
      <c r="X70" s="190"/>
      <c r="Y70" s="190"/>
      <c r="Z70" s="190"/>
      <c r="AA70" s="190"/>
      <c r="AB70" s="190"/>
      <c r="AC70" s="190"/>
    </row>
    <row r="71" spans="1:29" x14ac:dyDescent="0.25">
      <c r="A71" s="190"/>
      <c r="B71" s="190"/>
      <c r="C71" s="190"/>
      <c r="D71" s="190"/>
      <c r="E71" s="119"/>
      <c r="F71" s="191"/>
      <c r="G71" s="119"/>
      <c r="H71" s="191"/>
      <c r="I71" s="190"/>
      <c r="J71" s="191"/>
      <c r="K71" s="190"/>
      <c r="L71" s="190"/>
      <c r="M71" s="190"/>
      <c r="N71" s="190"/>
      <c r="O71" s="190"/>
      <c r="P71" s="190"/>
      <c r="Q71" s="192"/>
      <c r="R71" s="192"/>
      <c r="S71" s="190"/>
      <c r="T71" s="190"/>
      <c r="U71" s="190"/>
      <c r="V71" s="190"/>
      <c r="W71" s="190"/>
      <c r="X71" s="190"/>
      <c r="Y71" s="190"/>
      <c r="Z71" s="190"/>
      <c r="AA71" s="190"/>
      <c r="AB71" s="190"/>
      <c r="AC71" s="190"/>
    </row>
    <row r="72" spans="1:29" x14ac:dyDescent="0.25">
      <c r="A72" s="190"/>
      <c r="B72" s="190"/>
      <c r="C72" s="190"/>
      <c r="D72" s="190"/>
      <c r="E72" s="119"/>
      <c r="F72" s="191"/>
      <c r="G72" s="119"/>
      <c r="H72" s="191"/>
      <c r="I72" s="190"/>
      <c r="J72" s="190"/>
      <c r="K72" s="190"/>
      <c r="L72" s="190"/>
      <c r="M72" s="190"/>
      <c r="N72" s="190"/>
      <c r="O72" s="190"/>
      <c r="P72" s="190"/>
      <c r="Q72" s="192"/>
      <c r="R72" s="192"/>
      <c r="S72" s="190"/>
      <c r="T72" s="190"/>
      <c r="U72" s="190"/>
      <c r="V72" s="190"/>
      <c r="W72" s="190"/>
      <c r="X72" s="190"/>
      <c r="Y72" s="190"/>
      <c r="Z72" s="190"/>
      <c r="AA72" s="190"/>
      <c r="AB72" s="190"/>
      <c r="AC72" s="190"/>
    </row>
    <row r="73" spans="1:29" x14ac:dyDescent="0.25">
      <c r="A73" s="190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0"/>
      <c r="AB73" s="190"/>
      <c r="AC73" s="190"/>
    </row>
    <row r="74" spans="1:29" x14ac:dyDescent="0.25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91"/>
      <c r="N74" s="191"/>
      <c r="O74" s="191"/>
      <c r="P74" s="191"/>
      <c r="Q74" s="191"/>
      <c r="R74" s="191"/>
      <c r="S74" s="191"/>
      <c r="T74" s="191"/>
      <c r="U74" s="191"/>
      <c r="V74" s="190"/>
      <c r="W74" s="190"/>
      <c r="X74" s="190"/>
      <c r="Y74" s="190"/>
      <c r="Z74" s="190"/>
      <c r="AA74" s="190"/>
      <c r="AB74" s="190"/>
      <c r="AC74" s="190"/>
    </row>
    <row r="75" spans="1:29" x14ac:dyDescent="0.25">
      <c r="A75" s="191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0"/>
      <c r="W75" s="190"/>
      <c r="X75" s="190"/>
      <c r="Y75" s="190"/>
      <c r="Z75" s="190"/>
      <c r="AA75" s="190"/>
      <c r="AB75" s="190"/>
      <c r="AC75" s="190"/>
    </row>
    <row r="76" spans="1:29" x14ac:dyDescent="0.25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0"/>
      <c r="W76" s="190"/>
      <c r="X76" s="190"/>
      <c r="Y76" s="190"/>
      <c r="Z76" s="190"/>
      <c r="AA76" s="190"/>
      <c r="AB76" s="190"/>
      <c r="AC76" s="190"/>
    </row>
    <row r="77" spans="1:29" x14ac:dyDescent="0.25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75"/>
      <c r="N77" s="175"/>
      <c r="O77" s="175"/>
      <c r="P77" s="175"/>
      <c r="Q77" s="175"/>
      <c r="R77" s="175"/>
      <c r="S77" s="175"/>
      <c r="T77" s="175"/>
      <c r="U77" s="175"/>
      <c r="V77" s="190"/>
      <c r="W77" s="190"/>
      <c r="X77" s="190"/>
      <c r="Y77" s="190"/>
      <c r="Z77" s="190"/>
      <c r="AA77" s="190"/>
      <c r="AB77" s="190"/>
      <c r="AC77" s="190"/>
    </row>
    <row r="78" spans="1:29" x14ac:dyDescent="0.25">
      <c r="A78" s="191"/>
      <c r="B78" s="191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0"/>
      <c r="W78" s="190"/>
      <c r="X78" s="190"/>
      <c r="Y78" s="190"/>
      <c r="Z78" s="190"/>
      <c r="AA78" s="190"/>
      <c r="AB78" s="190"/>
      <c r="AC78" s="190"/>
    </row>
    <row r="79" spans="1:29" x14ac:dyDescent="0.25">
      <c r="A79" s="190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0"/>
      <c r="AB79" s="190"/>
      <c r="AC79" s="190"/>
    </row>
    <row r="80" spans="1:29" x14ac:dyDescent="0.25">
      <c r="A80" s="190"/>
      <c r="B80" s="187"/>
      <c r="C80" s="187"/>
      <c r="D80" s="187"/>
      <c r="E80" s="190"/>
      <c r="F80" s="190"/>
      <c r="G80" s="190"/>
      <c r="H80" s="190"/>
      <c r="I80" s="119"/>
      <c r="J80" s="190"/>
      <c r="K80" s="193"/>
      <c r="L80" s="193"/>
      <c r="M80" s="190"/>
      <c r="N80" s="193"/>
      <c r="O80" s="193"/>
      <c r="P80" s="193"/>
      <c r="Q80" s="193"/>
      <c r="R80" s="190"/>
      <c r="S80" s="187"/>
      <c r="T80" s="187"/>
      <c r="U80" s="190"/>
      <c r="V80" s="190"/>
      <c r="W80" s="190"/>
      <c r="X80" s="190"/>
      <c r="Y80" s="190"/>
      <c r="Z80" s="190"/>
      <c r="AA80" s="190"/>
      <c r="AB80" s="190"/>
      <c r="AC80" s="190"/>
    </row>
    <row r="81" spans="1:29" x14ac:dyDescent="0.25">
      <c r="A81" s="187"/>
      <c r="B81" s="191"/>
      <c r="C81" s="191"/>
      <c r="D81" s="191"/>
      <c r="E81" s="190"/>
      <c r="F81" s="190"/>
      <c r="G81" s="190"/>
      <c r="H81" s="190"/>
      <c r="I81" s="119"/>
      <c r="J81" s="191"/>
      <c r="K81" s="119"/>
      <c r="L81" s="119"/>
      <c r="M81" s="190"/>
      <c r="N81" s="190"/>
      <c r="O81" s="119"/>
      <c r="P81" s="119"/>
      <c r="Q81" s="119"/>
      <c r="R81" s="190"/>
      <c r="S81" s="191"/>
      <c r="T81" s="191"/>
      <c r="U81" s="190"/>
      <c r="V81" s="190"/>
      <c r="W81" s="190"/>
      <c r="X81" s="190"/>
      <c r="Y81" s="190"/>
      <c r="Z81" s="190"/>
      <c r="AA81" s="190"/>
      <c r="AB81" s="190"/>
      <c r="AC81" s="190"/>
    </row>
    <row r="82" spans="1:29" x14ac:dyDescent="0.25">
      <c r="A82" s="187"/>
      <c r="B82" s="191"/>
      <c r="C82" s="191"/>
      <c r="D82" s="191"/>
      <c r="E82" s="190"/>
      <c r="F82" s="190"/>
      <c r="G82" s="190"/>
      <c r="H82" s="190"/>
      <c r="I82" s="119"/>
      <c r="J82" s="191"/>
      <c r="K82" s="191"/>
      <c r="L82" s="191"/>
      <c r="M82" s="190"/>
      <c r="N82" s="119"/>
      <c r="O82" s="191"/>
      <c r="P82" s="191"/>
      <c r="Q82" s="191"/>
      <c r="R82" s="190"/>
      <c r="S82" s="119"/>
      <c r="T82" s="119"/>
      <c r="U82" s="190"/>
      <c r="V82" s="190"/>
      <c r="W82" s="190"/>
      <c r="X82" s="190"/>
      <c r="Y82" s="190"/>
      <c r="Z82" s="190"/>
      <c r="AA82" s="190"/>
      <c r="AB82" s="190"/>
      <c r="AC82" s="190"/>
    </row>
    <row r="83" spans="1:29" x14ac:dyDescent="0.25">
      <c r="A83" s="187"/>
      <c r="B83" s="194"/>
      <c r="C83" s="195"/>
      <c r="D83" s="191"/>
      <c r="E83" s="190"/>
      <c r="F83" s="119"/>
      <c r="G83" s="190"/>
      <c r="H83" s="190"/>
      <c r="I83" s="119"/>
      <c r="J83" s="191"/>
      <c r="K83" s="190"/>
      <c r="L83" s="191"/>
      <c r="M83" s="190"/>
      <c r="N83" s="119"/>
      <c r="O83" s="191"/>
      <c r="P83" s="191"/>
      <c r="Q83" s="191"/>
      <c r="R83" s="190"/>
      <c r="S83" s="191"/>
      <c r="T83" s="191"/>
      <c r="U83" s="190"/>
      <c r="V83" s="190"/>
      <c r="W83" s="190"/>
      <c r="X83" s="190"/>
      <c r="Y83" s="190"/>
      <c r="Z83" s="190"/>
      <c r="AA83" s="190"/>
      <c r="AB83" s="190"/>
      <c r="AC83" s="190"/>
    </row>
    <row r="84" spans="1:29" x14ac:dyDescent="0.25">
      <c r="A84" s="187"/>
      <c r="B84" s="194"/>
      <c r="C84" s="191"/>
      <c r="D84" s="191"/>
      <c r="E84" s="191"/>
      <c r="F84" s="191"/>
      <c r="G84" s="190"/>
      <c r="H84" s="190"/>
      <c r="I84" s="119"/>
      <c r="J84" s="191"/>
      <c r="K84" s="191"/>
      <c r="L84" s="191"/>
      <c r="M84" s="190"/>
      <c r="N84" s="119"/>
      <c r="O84" s="191"/>
      <c r="P84" s="191"/>
      <c r="Q84" s="191"/>
      <c r="R84" s="190"/>
      <c r="S84" s="119"/>
      <c r="T84" s="119"/>
      <c r="U84" s="190"/>
      <c r="V84" s="190"/>
      <c r="W84" s="190"/>
      <c r="X84" s="190"/>
      <c r="Y84" s="190"/>
      <c r="Z84" s="190"/>
      <c r="AA84" s="190"/>
      <c r="AB84" s="190"/>
      <c r="AC84" s="190"/>
    </row>
    <row r="85" spans="1:29" x14ac:dyDescent="0.25">
      <c r="A85" s="187"/>
      <c r="B85" s="194"/>
      <c r="C85" s="191"/>
      <c r="D85" s="191"/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1"/>
      <c r="T85" s="191"/>
      <c r="U85" s="190"/>
      <c r="V85" s="190"/>
      <c r="W85" s="190"/>
      <c r="X85" s="190"/>
      <c r="Y85" s="190"/>
      <c r="Z85" s="190"/>
      <c r="AA85" s="190"/>
      <c r="AB85" s="190"/>
      <c r="AC85" s="190"/>
    </row>
    <row r="86" spans="1:29" x14ac:dyDescent="0.25">
      <c r="A86" s="187"/>
      <c r="B86" s="194"/>
      <c r="C86" s="191"/>
      <c r="D86" s="191"/>
      <c r="E86" s="191"/>
      <c r="F86" s="191"/>
      <c r="G86" s="190"/>
      <c r="H86" s="190"/>
      <c r="I86" s="119"/>
      <c r="J86" s="190"/>
      <c r="K86" s="190"/>
      <c r="L86" s="190"/>
      <c r="M86" s="190"/>
      <c r="N86" s="190"/>
      <c r="O86" s="190"/>
      <c r="P86" s="190"/>
      <c r="Q86" s="190"/>
      <c r="R86" s="190"/>
      <c r="S86" s="119"/>
      <c r="T86" s="119"/>
      <c r="U86" s="190"/>
      <c r="V86" s="190"/>
      <c r="W86" s="190"/>
      <c r="X86" s="190"/>
      <c r="Y86" s="190"/>
      <c r="Z86" s="190"/>
      <c r="AA86" s="190"/>
      <c r="AB86" s="190"/>
      <c r="AC86" s="190"/>
    </row>
    <row r="87" spans="1:29" x14ac:dyDescent="0.25">
      <c r="A87" s="187"/>
      <c r="B87" s="191"/>
      <c r="C87" s="191"/>
      <c r="D87" s="191"/>
      <c r="E87" s="190"/>
      <c r="F87" s="119"/>
      <c r="G87" s="190"/>
      <c r="H87" s="190"/>
      <c r="I87" s="119"/>
      <c r="J87" s="191"/>
      <c r="K87" s="190"/>
      <c r="L87" s="190"/>
      <c r="M87" s="190"/>
      <c r="N87" s="190"/>
      <c r="O87" s="190"/>
      <c r="P87" s="190"/>
      <c r="Q87" s="190"/>
      <c r="R87" s="190"/>
      <c r="S87" s="191"/>
      <c r="T87" s="191"/>
      <c r="U87" s="190"/>
      <c r="V87" s="190"/>
      <c r="W87" s="190"/>
      <c r="X87" s="190"/>
      <c r="Y87" s="190"/>
      <c r="Z87" s="190"/>
      <c r="AA87" s="190"/>
      <c r="AB87" s="190"/>
      <c r="AC87" s="190"/>
    </row>
    <row r="88" spans="1:29" x14ac:dyDescent="0.25">
      <c r="A88" s="187"/>
      <c r="B88" s="191"/>
      <c r="C88" s="191"/>
      <c r="D88" s="191"/>
      <c r="E88" s="190"/>
      <c r="F88" s="190"/>
      <c r="G88" s="190"/>
      <c r="H88" s="190"/>
      <c r="I88" s="119"/>
      <c r="J88" s="191"/>
      <c r="K88" s="190"/>
      <c r="L88" s="190"/>
      <c r="M88" s="190"/>
      <c r="N88" s="190"/>
      <c r="O88" s="190"/>
      <c r="P88" s="190"/>
      <c r="Q88" s="190"/>
      <c r="R88" s="190"/>
      <c r="S88" s="119"/>
      <c r="T88" s="190"/>
      <c r="U88" s="190"/>
      <c r="V88" s="190"/>
      <c r="W88" s="190"/>
      <c r="X88" s="190"/>
      <c r="Y88" s="190"/>
      <c r="Z88" s="190"/>
      <c r="AA88" s="190"/>
      <c r="AB88" s="190"/>
      <c r="AC88" s="190"/>
    </row>
    <row r="89" spans="1:29" x14ac:dyDescent="0.25">
      <c r="A89" s="187"/>
      <c r="B89" s="190"/>
      <c r="C89" s="190"/>
      <c r="D89" s="190"/>
      <c r="E89" s="190"/>
      <c r="F89" s="119"/>
      <c r="G89" s="190"/>
      <c r="H89" s="190"/>
      <c r="I89" s="119"/>
      <c r="J89" s="191"/>
      <c r="K89" s="190"/>
      <c r="L89" s="190"/>
      <c r="M89" s="190"/>
      <c r="N89" s="190"/>
      <c r="O89" s="190"/>
      <c r="P89" s="190"/>
      <c r="Q89" s="190"/>
      <c r="R89" s="190"/>
      <c r="S89" s="191"/>
      <c r="T89" s="190"/>
      <c r="U89" s="190"/>
      <c r="V89" s="190"/>
      <c r="W89" s="190"/>
      <c r="X89" s="190"/>
      <c r="Y89" s="190"/>
      <c r="Z89" s="190"/>
      <c r="AA89" s="190"/>
      <c r="AB89" s="190"/>
      <c r="AC89" s="190"/>
    </row>
    <row r="90" spans="1:29" ht="15.75" x14ac:dyDescent="0.25">
      <c r="A90" s="207"/>
      <c r="B90" s="207"/>
      <c r="C90" s="207"/>
      <c r="D90" s="207"/>
      <c r="E90" s="190"/>
      <c r="F90" s="191"/>
      <c r="G90" s="190"/>
      <c r="H90" s="190"/>
      <c r="I90" s="190"/>
      <c r="J90" s="190"/>
      <c r="K90" s="196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  <c r="AA90" s="190"/>
      <c r="AB90" s="190"/>
      <c r="AC90" s="190"/>
    </row>
    <row r="91" spans="1:29" x14ac:dyDescent="0.25">
      <c r="A91" s="202"/>
      <c r="B91" s="202"/>
      <c r="C91" s="202"/>
      <c r="D91" s="202"/>
      <c r="E91" s="190"/>
      <c r="F91" s="190"/>
      <c r="G91" s="190"/>
      <c r="H91" s="190"/>
      <c r="I91" s="119"/>
      <c r="J91" s="119"/>
      <c r="K91" s="190"/>
      <c r="L91" s="190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  <c r="AA91" s="190"/>
      <c r="AB91" s="190"/>
      <c r="AC91" s="190"/>
    </row>
    <row r="92" spans="1:29" x14ac:dyDescent="0.25">
      <c r="A92" s="190"/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  <c r="AA92" s="190"/>
      <c r="AB92" s="190"/>
      <c r="AC92" s="190"/>
    </row>
    <row r="93" spans="1:29" x14ac:dyDescent="0.25">
      <c r="A93" s="190"/>
      <c r="B93" s="190"/>
      <c r="C93" s="190"/>
      <c r="D93" s="190"/>
      <c r="E93" s="56"/>
      <c r="F93" s="190"/>
      <c r="G93" s="190"/>
      <c r="H93" s="190"/>
      <c r="I93" s="190"/>
      <c r="J93" s="190"/>
      <c r="K93" s="190"/>
      <c r="L93" s="190"/>
      <c r="M93" s="190"/>
      <c r="N93" s="203"/>
      <c r="O93" s="203"/>
      <c r="P93" s="190"/>
      <c r="Q93" s="190"/>
      <c r="R93" s="190"/>
      <c r="S93" s="190"/>
      <c r="T93" s="190"/>
      <c r="U93" s="190"/>
      <c r="V93" s="190"/>
      <c r="W93" s="190"/>
      <c r="X93" s="203"/>
      <c r="Y93" s="203"/>
      <c r="Z93" s="190"/>
      <c r="AA93" s="190"/>
      <c r="AB93" s="190"/>
      <c r="AC93" s="190"/>
    </row>
    <row r="94" spans="1:29" ht="15.75" x14ac:dyDescent="0.25">
      <c r="A94" s="189"/>
      <c r="B94" s="191"/>
      <c r="C94" s="189"/>
      <c r="D94" s="189"/>
      <c r="E94" s="189"/>
      <c r="F94" s="190"/>
      <c r="G94" s="190"/>
      <c r="H94" s="190"/>
      <c r="I94" s="190"/>
      <c r="J94" s="190"/>
      <c r="K94" s="196"/>
      <c r="L94" s="190"/>
      <c r="M94" s="190"/>
      <c r="N94" s="191"/>
      <c r="O94" s="191"/>
      <c r="P94" s="190"/>
      <c r="Q94" s="190"/>
      <c r="R94" s="190"/>
      <c r="S94" s="190"/>
      <c r="T94" s="190"/>
      <c r="U94" s="190"/>
      <c r="V94" s="190"/>
      <c r="W94" s="190"/>
      <c r="X94" s="191"/>
      <c r="Y94" s="191"/>
      <c r="Z94" s="191"/>
      <c r="AA94" s="191"/>
      <c r="AB94" s="190"/>
      <c r="AC94" s="190"/>
    </row>
    <row r="95" spans="1:29" x14ac:dyDescent="0.25">
      <c r="A95" s="189"/>
      <c r="B95" s="189"/>
      <c r="C95" s="191"/>
      <c r="D95" s="191"/>
      <c r="E95" s="189"/>
      <c r="F95" s="188"/>
      <c r="G95" s="189"/>
      <c r="H95" s="190"/>
      <c r="I95" s="190"/>
      <c r="J95" s="190"/>
      <c r="K95" s="190"/>
      <c r="L95" s="190"/>
      <c r="M95" s="190"/>
      <c r="N95" s="191"/>
      <c r="O95" s="191"/>
      <c r="P95" s="190"/>
      <c r="Q95" s="190"/>
      <c r="R95" s="190"/>
      <c r="S95" s="190"/>
      <c r="T95" s="190"/>
      <c r="U95" s="190"/>
      <c r="V95" s="190"/>
      <c r="W95" s="190"/>
      <c r="X95" s="191"/>
      <c r="Y95" s="191"/>
      <c r="Z95" s="191"/>
      <c r="AA95" s="191"/>
      <c r="AB95" s="190"/>
      <c r="AC95" s="190"/>
    </row>
    <row r="96" spans="1:29" x14ac:dyDescent="0.25">
      <c r="A96" s="189"/>
      <c r="B96" s="189"/>
      <c r="C96" s="189"/>
      <c r="D96" s="189"/>
      <c r="E96" s="191"/>
      <c r="F96" s="190"/>
      <c r="G96" s="190"/>
      <c r="H96" s="190"/>
      <c r="I96" s="190"/>
      <c r="J96" s="190"/>
      <c r="K96" s="190"/>
      <c r="L96" s="190"/>
      <c r="M96" s="190"/>
      <c r="N96" s="191"/>
      <c r="O96" s="191"/>
      <c r="P96" s="190"/>
      <c r="Q96" s="190"/>
      <c r="R96" s="190"/>
      <c r="S96" s="190"/>
      <c r="T96" s="190"/>
      <c r="U96" s="190"/>
      <c r="V96" s="190"/>
      <c r="W96" s="190"/>
      <c r="X96" s="191"/>
      <c r="Y96" s="191"/>
      <c r="Z96" s="191"/>
      <c r="AA96" s="191"/>
      <c r="AB96" s="190"/>
      <c r="AC96" s="190"/>
    </row>
    <row r="97" spans="1:29" x14ac:dyDescent="0.25">
      <c r="A97" s="191"/>
      <c r="B97" s="191"/>
      <c r="C97" s="191"/>
      <c r="D97" s="191"/>
      <c r="E97" s="191"/>
      <c r="F97" s="190"/>
      <c r="G97" s="190"/>
      <c r="H97" s="190"/>
      <c r="I97" s="190"/>
      <c r="J97" s="190"/>
      <c r="K97" s="190"/>
      <c r="L97" s="190"/>
      <c r="M97" s="190"/>
      <c r="N97" s="191"/>
      <c r="O97" s="191"/>
      <c r="P97" s="190"/>
      <c r="Q97" s="190"/>
      <c r="R97" s="190"/>
      <c r="S97" s="190"/>
      <c r="T97" s="190"/>
      <c r="U97" s="190"/>
      <c r="V97" s="190"/>
      <c r="W97" s="190"/>
      <c r="X97" s="191"/>
      <c r="Y97" s="191"/>
      <c r="Z97" s="191"/>
      <c r="AA97" s="191"/>
      <c r="AB97" s="190"/>
      <c r="AC97" s="190"/>
    </row>
    <row r="98" spans="1:29" x14ac:dyDescent="0.25">
      <c r="A98" s="191"/>
      <c r="B98" s="189"/>
      <c r="C98" s="191"/>
      <c r="D98" s="191"/>
      <c r="E98" s="191"/>
      <c r="F98" s="190"/>
      <c r="G98" s="190"/>
      <c r="H98" s="190"/>
      <c r="I98" s="190"/>
      <c r="J98" s="190"/>
      <c r="K98" s="190"/>
      <c r="L98" s="190"/>
      <c r="M98" s="190"/>
      <c r="N98" s="191"/>
      <c r="O98" s="191"/>
      <c r="P98" s="190"/>
      <c r="Q98" s="190"/>
      <c r="R98" s="190"/>
      <c r="S98" s="190"/>
      <c r="T98" s="190"/>
      <c r="U98" s="190"/>
      <c r="V98" s="190"/>
      <c r="W98" s="190"/>
      <c r="X98" s="191"/>
      <c r="Y98" s="191"/>
      <c r="Z98" s="191"/>
      <c r="AA98" s="191"/>
      <c r="AB98" s="190"/>
      <c r="AC98" s="190"/>
    </row>
    <row r="99" spans="1:29" x14ac:dyDescent="0.25">
      <c r="A99" s="191"/>
      <c r="B99" s="191"/>
      <c r="C99" s="191"/>
      <c r="D99" s="191"/>
      <c r="E99" s="191"/>
      <c r="F99" s="190"/>
      <c r="G99" s="190"/>
      <c r="H99" s="190"/>
      <c r="I99" s="190"/>
      <c r="J99" s="190"/>
      <c r="K99" s="190"/>
      <c r="L99" s="190"/>
      <c r="M99" s="190"/>
      <c r="N99" s="191"/>
      <c r="O99" s="191"/>
      <c r="P99" s="190"/>
      <c r="Q99" s="190"/>
      <c r="R99" s="190"/>
      <c r="S99" s="190"/>
      <c r="T99" s="190"/>
      <c r="U99" s="190"/>
      <c r="V99" s="190"/>
      <c r="W99" s="190"/>
      <c r="X99" s="191"/>
      <c r="Y99" s="191"/>
      <c r="Z99" s="191"/>
      <c r="AA99" s="191"/>
      <c r="AB99" s="190"/>
      <c r="AC99" s="190"/>
    </row>
    <row r="100" spans="1:29" x14ac:dyDescent="0.25">
      <c r="A100" s="191"/>
      <c r="B100" s="189"/>
      <c r="C100" s="191"/>
      <c r="D100" s="191"/>
      <c r="E100" s="191"/>
      <c r="F100" s="190"/>
      <c r="G100" s="190"/>
      <c r="H100" s="190"/>
      <c r="I100" s="190"/>
      <c r="J100" s="190"/>
      <c r="K100" s="190"/>
      <c r="L100" s="190"/>
      <c r="M100" s="190"/>
      <c r="N100" s="191"/>
      <c r="O100" s="191"/>
      <c r="P100" s="190"/>
      <c r="Q100" s="190"/>
      <c r="R100" s="190"/>
      <c r="S100" s="190"/>
      <c r="T100" s="190"/>
      <c r="U100" s="190"/>
      <c r="V100" s="190"/>
      <c r="W100" s="190"/>
      <c r="X100" s="191"/>
      <c r="Y100" s="191"/>
      <c r="Z100" s="191"/>
      <c r="AA100" s="191"/>
      <c r="AB100" s="190"/>
      <c r="AC100" s="190"/>
    </row>
    <row r="101" spans="1:29" x14ac:dyDescent="0.25">
      <c r="A101" s="191"/>
      <c r="B101" s="191"/>
      <c r="C101" s="191"/>
      <c r="D101" s="191"/>
      <c r="E101" s="191"/>
      <c r="F101" s="190"/>
      <c r="G101" s="190"/>
      <c r="H101" s="190"/>
      <c r="I101" s="190"/>
      <c r="J101" s="190"/>
      <c r="K101" s="190"/>
      <c r="L101" s="190"/>
      <c r="M101" s="190"/>
      <c r="N101" s="191"/>
      <c r="O101" s="191"/>
      <c r="P101" s="190"/>
      <c r="Q101" s="190"/>
      <c r="R101" s="190"/>
      <c r="S101" s="190"/>
      <c r="T101" s="190"/>
      <c r="U101" s="190"/>
      <c r="V101" s="190"/>
      <c r="W101" s="190"/>
      <c r="X101" s="191"/>
      <c r="Y101" s="191"/>
      <c r="Z101" s="191"/>
      <c r="AA101" s="191"/>
      <c r="AB101" s="190"/>
      <c r="AC101" s="190"/>
    </row>
    <row r="102" spans="1:29" x14ac:dyDescent="0.25">
      <c r="A102" s="191"/>
      <c r="B102" s="191"/>
      <c r="C102" s="191"/>
      <c r="D102" s="191"/>
      <c r="E102" s="191"/>
      <c r="F102" s="190"/>
      <c r="G102" s="190"/>
      <c r="H102" s="190"/>
      <c r="I102" s="190"/>
      <c r="J102" s="190"/>
      <c r="K102" s="190"/>
      <c r="L102" s="190"/>
      <c r="M102" s="190"/>
      <c r="N102" s="191"/>
      <c r="O102" s="191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  <c r="AA102" s="190"/>
      <c r="AB102" s="190"/>
      <c r="AC102" s="190"/>
    </row>
    <row r="103" spans="1:29" x14ac:dyDescent="0.25">
      <c r="A103" s="191"/>
      <c r="B103" s="191"/>
      <c r="C103" s="191"/>
      <c r="D103" s="191"/>
      <c r="E103" s="191"/>
      <c r="F103" s="190"/>
      <c r="G103" s="190"/>
      <c r="H103" s="190"/>
      <c r="I103" s="190"/>
      <c r="J103" s="190"/>
      <c r="K103" s="190"/>
      <c r="L103" s="190"/>
      <c r="M103" s="190"/>
      <c r="N103" s="191"/>
      <c r="O103" s="191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  <c r="AA103" s="190"/>
      <c r="AB103" s="190"/>
      <c r="AC103" s="190"/>
    </row>
    <row r="104" spans="1:29" x14ac:dyDescent="0.25">
      <c r="A104" s="191"/>
      <c r="B104" s="191"/>
      <c r="C104" s="191"/>
      <c r="D104" s="191"/>
      <c r="E104" s="191"/>
      <c r="F104" s="190"/>
      <c r="G104" s="197"/>
      <c r="H104" s="190"/>
      <c r="I104" s="190"/>
      <c r="J104" s="190"/>
      <c r="K104" s="190"/>
      <c r="L104" s="190"/>
      <c r="M104" s="190"/>
      <c r="N104" s="191"/>
      <c r="O104" s="191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  <c r="AC104" s="190"/>
    </row>
    <row r="105" spans="1:29" ht="15.75" x14ac:dyDescent="0.25">
      <c r="A105" s="198"/>
      <c r="B105" s="191"/>
      <c r="C105" s="191"/>
      <c r="D105" s="191"/>
      <c r="E105" s="191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  <c r="AA105" s="190"/>
      <c r="AB105" s="190"/>
      <c r="AC105" s="190"/>
    </row>
    <row r="106" spans="1:29" x14ac:dyDescent="0.25">
      <c r="A106" s="189"/>
      <c r="B106" s="189"/>
      <c r="C106" s="191"/>
      <c r="D106" s="190"/>
      <c r="E106" s="189"/>
      <c r="F106" s="191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190"/>
      <c r="AB106" s="190"/>
      <c r="AC106" s="190"/>
    </row>
    <row r="107" spans="1:29" x14ac:dyDescent="0.25">
      <c r="A107" s="191"/>
      <c r="B107" s="191"/>
      <c r="C107" s="191"/>
      <c r="D107" s="189"/>
      <c r="E107" s="189"/>
      <c r="F107" s="189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  <c r="AA107" s="190"/>
      <c r="AB107" s="190"/>
      <c r="AC107" s="190"/>
    </row>
    <row r="108" spans="1:29" x14ac:dyDescent="0.25">
      <c r="A108" s="191"/>
      <c r="B108" s="191"/>
      <c r="C108" s="191"/>
      <c r="D108" s="191"/>
      <c r="E108" s="191"/>
      <c r="F108" s="191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  <c r="AA108" s="190"/>
      <c r="AB108" s="190"/>
      <c r="AC108" s="190"/>
    </row>
    <row r="109" spans="1:29" x14ac:dyDescent="0.25">
      <c r="A109" s="191"/>
      <c r="B109" s="191"/>
      <c r="C109" s="191"/>
      <c r="D109" s="191"/>
      <c r="E109" s="191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  <c r="AA109" s="190"/>
      <c r="AB109" s="190"/>
      <c r="AC109" s="190"/>
    </row>
    <row r="110" spans="1:29" x14ac:dyDescent="0.25">
      <c r="A110" s="191"/>
      <c r="B110" s="191"/>
      <c r="C110" s="191"/>
      <c r="D110" s="191"/>
      <c r="E110" s="191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  <c r="AB110" s="190"/>
      <c r="AC110" s="190"/>
    </row>
    <row r="111" spans="1:29" x14ac:dyDescent="0.25">
      <c r="A111" s="191"/>
      <c r="B111" s="191"/>
      <c r="C111" s="191"/>
      <c r="D111" s="191"/>
      <c r="E111" s="191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  <c r="AA111" s="190"/>
      <c r="AB111" s="190"/>
      <c r="AC111" s="190"/>
    </row>
    <row r="112" spans="1:29" x14ac:dyDescent="0.25">
      <c r="A112" s="191"/>
      <c r="B112" s="191"/>
      <c r="C112" s="191"/>
      <c r="D112" s="191"/>
      <c r="E112" s="191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  <c r="AA112" s="190"/>
      <c r="AB112" s="190"/>
      <c r="AC112" s="190"/>
    </row>
    <row r="113" spans="1:29" x14ac:dyDescent="0.25">
      <c r="A113" s="191"/>
      <c r="B113" s="191"/>
      <c r="C113" s="191"/>
      <c r="D113" s="191"/>
      <c r="E113" s="191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  <c r="AA113" s="190"/>
      <c r="AB113" s="190"/>
      <c r="AC113" s="190"/>
    </row>
    <row r="114" spans="1:29" x14ac:dyDescent="0.25">
      <c r="A114" s="191"/>
      <c r="B114" s="191"/>
      <c r="C114" s="191"/>
      <c r="D114" s="191"/>
      <c r="E114" s="191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  <c r="AA114" s="190"/>
      <c r="AB114" s="190"/>
      <c r="AC114" s="190"/>
    </row>
    <row r="115" spans="1:29" x14ac:dyDescent="0.25">
      <c r="A115" s="190"/>
      <c r="B115" s="190"/>
      <c r="C115" s="190"/>
      <c r="D115" s="191"/>
      <c r="E115" s="191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  <c r="AA115" s="190"/>
      <c r="AB115" s="190"/>
      <c r="AC115" s="190"/>
    </row>
    <row r="116" spans="1:29" x14ac:dyDescent="0.25">
      <c r="D116" s="148"/>
      <c r="E116" s="148"/>
    </row>
    <row r="117" spans="1:29" x14ac:dyDescent="0.25">
      <c r="D117" s="148"/>
      <c r="E117" s="148"/>
    </row>
    <row r="118" spans="1:29" x14ac:dyDescent="0.25">
      <c r="A118" s="148"/>
      <c r="B118" s="148"/>
      <c r="C118" s="148"/>
      <c r="D118" s="148"/>
      <c r="E118" s="148"/>
    </row>
    <row r="119" spans="1:29" x14ac:dyDescent="0.25">
      <c r="A119" s="148"/>
      <c r="B119" s="148"/>
      <c r="C119" s="148"/>
      <c r="D119" s="148"/>
      <c r="E119" s="148"/>
    </row>
    <row r="120" spans="1:29" x14ac:dyDescent="0.25">
      <c r="A120" s="148"/>
      <c r="B120" s="148"/>
      <c r="C120" s="148"/>
      <c r="D120" s="148"/>
      <c r="E120" s="148"/>
    </row>
    <row r="121" spans="1:29" x14ac:dyDescent="0.25">
      <c r="A121" s="148"/>
      <c r="B121" s="148"/>
      <c r="C121" s="148"/>
      <c r="D121" s="148"/>
      <c r="E121" s="148"/>
    </row>
    <row r="122" spans="1:29" x14ac:dyDescent="0.25">
      <c r="A122" s="148"/>
      <c r="B122" s="148"/>
      <c r="C122" s="148"/>
      <c r="D122" s="148"/>
      <c r="E122" s="148"/>
    </row>
  </sheetData>
  <mergeCells count="16">
    <mergeCell ref="AD3:AD4"/>
    <mergeCell ref="AD5:AD7"/>
    <mergeCell ref="A91:B91"/>
    <mergeCell ref="C91:D91"/>
    <mergeCell ref="N93:O93"/>
    <mergeCell ref="X93:Y93"/>
    <mergeCell ref="AF12:AH12"/>
    <mergeCell ref="B66:C66"/>
    <mergeCell ref="E66:H66"/>
    <mergeCell ref="L66:O66"/>
    <mergeCell ref="B67:C67"/>
    <mergeCell ref="B68:C68"/>
    <mergeCell ref="A90:D90"/>
    <mergeCell ref="AF40:AG40"/>
    <mergeCell ref="AF46:AG46"/>
    <mergeCell ref="C48:I4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ODLADENIE">
                <anchor moveWithCells="1" sizeWithCells="1">
                  <from>
                    <xdr:col>9</xdr:col>
                    <xdr:colOff>28575</xdr:colOff>
                    <xdr:row>36</xdr:row>
                    <xdr:rowOff>47625</xdr:rowOff>
                  </from>
                  <to>
                    <xdr:col>11</xdr:col>
                    <xdr:colOff>19050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1]!ODLADENIE">
                <anchor moveWithCells="1" sizeWithCells="1">
                  <from>
                    <xdr:col>9</xdr:col>
                    <xdr:colOff>28575</xdr:colOff>
                    <xdr:row>36</xdr:row>
                    <xdr:rowOff>47625</xdr:rowOff>
                  </from>
                  <to>
                    <xdr:col>11</xdr:col>
                    <xdr:colOff>19050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2]!ODLADENIE">
                <anchor moveWithCells="1" sizeWithCells="1">
                  <from>
                    <xdr:col>9</xdr:col>
                    <xdr:colOff>28575</xdr:colOff>
                    <xdr:row>36</xdr:row>
                    <xdr:rowOff>47625</xdr:rowOff>
                  </from>
                  <to>
                    <xdr:col>11</xdr:col>
                    <xdr:colOff>19050</xdr:colOff>
                    <xdr:row>38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6"/>
  <sheetViews>
    <sheetView zoomScale="70" zoomScaleNormal="70" workbookViewId="0">
      <selection activeCell="F25" sqref="F25"/>
    </sheetView>
  </sheetViews>
  <sheetFormatPr defaultRowHeight="15" x14ac:dyDescent="0.25"/>
  <cols>
    <col min="3" max="3" width="9.85546875" customWidth="1"/>
    <col min="4" max="4" width="11.28515625" customWidth="1"/>
    <col min="5" max="6" width="10.7109375" customWidth="1"/>
    <col min="7" max="7" width="12.7109375" bestFit="1" customWidth="1"/>
    <col min="9" max="9" width="10.7109375" customWidth="1"/>
    <col min="11" max="11" width="10" customWidth="1"/>
    <col min="24" max="24" width="10.7109375" customWidth="1"/>
    <col min="25" max="25" width="11" customWidth="1"/>
  </cols>
  <sheetData>
    <row r="1" spans="1:25" ht="15.75" thickBot="1" x14ac:dyDescent="0.3">
      <c r="A1" s="111" t="s">
        <v>8</v>
      </c>
      <c r="B1" s="219" t="s">
        <v>43</v>
      </c>
      <c r="C1" s="220"/>
      <c r="E1" s="221" t="s">
        <v>129</v>
      </c>
      <c r="F1" s="222"/>
      <c r="G1" s="222"/>
      <c r="H1" s="223"/>
      <c r="J1" s="112" t="s">
        <v>130</v>
      </c>
      <c r="L1" s="224" t="s">
        <v>131</v>
      </c>
      <c r="M1" s="225"/>
      <c r="N1" s="225"/>
      <c r="O1" s="226"/>
      <c r="V1" t="s">
        <v>132</v>
      </c>
      <c r="Y1" t="s">
        <v>133</v>
      </c>
    </row>
    <row r="2" spans="1:25" ht="15.75" thickBot="1" x14ac:dyDescent="0.3">
      <c r="A2" s="113" t="s">
        <v>9</v>
      </c>
      <c r="B2" s="227" t="s">
        <v>134</v>
      </c>
      <c r="C2" s="228"/>
      <c r="E2" s="111" t="s">
        <v>135</v>
      </c>
      <c r="F2" s="114">
        <v>0.4</v>
      </c>
      <c r="G2" s="111" t="s">
        <v>136</v>
      </c>
      <c r="H2" s="115">
        <v>5.5736999999999997</v>
      </c>
      <c r="J2" s="116">
        <f>8.314/1000</f>
        <v>8.3140000000000002E-3</v>
      </c>
      <c r="L2" s="112"/>
      <c r="M2" s="117" t="s">
        <v>8</v>
      </c>
      <c r="N2" s="117" t="s">
        <v>9</v>
      </c>
      <c r="O2" s="118" t="s">
        <v>10</v>
      </c>
      <c r="R2" s="119" t="s">
        <v>137</v>
      </c>
      <c r="U2" t="s">
        <v>4</v>
      </c>
      <c r="V2">
        <f>C18</f>
        <v>23.643116640380832</v>
      </c>
      <c r="Y2">
        <f>D18</f>
        <v>5.4997511720892689</v>
      </c>
    </row>
    <row r="3" spans="1:25" ht="15.75" thickBot="1" x14ac:dyDescent="0.3">
      <c r="A3" s="120" t="s">
        <v>10</v>
      </c>
      <c r="B3" s="229" t="s">
        <v>46</v>
      </c>
      <c r="C3" s="230"/>
      <c r="E3" s="121"/>
      <c r="F3" s="114"/>
      <c r="G3" s="113" t="s">
        <v>138</v>
      </c>
      <c r="H3" s="122">
        <v>7.4991000000000003</v>
      </c>
      <c r="J3" s="112" t="s">
        <v>139</v>
      </c>
      <c r="K3" t="s">
        <v>140</v>
      </c>
      <c r="L3" s="113" t="s">
        <v>8</v>
      </c>
      <c r="M3" s="123">
        <v>20.840540000000001</v>
      </c>
      <c r="N3" s="111">
        <v>-2624.5250000000001</v>
      </c>
      <c r="O3" s="124">
        <v>-46.151710000000001</v>
      </c>
      <c r="R3" t="s">
        <v>141</v>
      </c>
      <c r="U3" t="s">
        <v>142</v>
      </c>
      <c r="V3">
        <f>C19</f>
        <v>1.8542519675420353E-3</v>
      </c>
      <c r="Y3">
        <f>D19</f>
        <v>0.18381489338123186</v>
      </c>
    </row>
    <row r="4" spans="1:25" ht="15.75" thickBot="1" x14ac:dyDescent="0.3">
      <c r="E4" s="121"/>
      <c r="F4" s="114"/>
      <c r="G4" s="113" t="s">
        <v>143</v>
      </c>
      <c r="H4" s="122">
        <v>19.269400000000001</v>
      </c>
      <c r="J4" s="116">
        <v>50</v>
      </c>
      <c r="L4" s="113" t="s">
        <v>9</v>
      </c>
      <c r="M4" s="123">
        <v>23.534700000000001</v>
      </c>
      <c r="N4" s="113">
        <v>-3661.4679999999998</v>
      </c>
      <c r="O4" s="124">
        <v>-32.770009999999999</v>
      </c>
      <c r="U4" t="s">
        <v>144</v>
      </c>
      <c r="V4">
        <f>C21</f>
        <v>0.49509609737333848</v>
      </c>
      <c r="Y4">
        <f>D21</f>
        <v>0.81618510661876897</v>
      </c>
    </row>
    <row r="5" spans="1:25" ht="15.75" thickBot="1" x14ac:dyDescent="0.3">
      <c r="E5" s="121"/>
      <c r="F5" s="114"/>
      <c r="G5" s="113" t="s">
        <v>145</v>
      </c>
      <c r="H5" s="122">
        <v>16.212</v>
      </c>
      <c r="J5" s="112" t="s">
        <v>146</v>
      </c>
      <c r="K5" t="s">
        <v>140</v>
      </c>
      <c r="L5" s="120" t="s">
        <v>10</v>
      </c>
      <c r="M5" s="125">
        <v>0</v>
      </c>
      <c r="N5" s="120">
        <v>0</v>
      </c>
      <c r="O5" s="126">
        <v>0</v>
      </c>
      <c r="Q5" s="127"/>
      <c r="R5" s="127"/>
      <c r="U5" t="s">
        <v>147</v>
      </c>
      <c r="V5">
        <f>C20</f>
        <v>0.50304965065911944</v>
      </c>
      <c r="Y5">
        <f>D20</f>
        <v>0</v>
      </c>
    </row>
    <row r="6" spans="1:25" ht="15.75" thickBot="1" x14ac:dyDescent="0.3">
      <c r="E6" s="121"/>
      <c r="F6" s="114"/>
      <c r="G6" s="113" t="s">
        <v>148</v>
      </c>
      <c r="H6" s="122">
        <v>10.6456</v>
      </c>
      <c r="J6" s="128">
        <v>101.325</v>
      </c>
      <c r="Q6" s="129"/>
      <c r="R6" s="129"/>
    </row>
    <row r="7" spans="1:25" ht="15.75" thickBot="1" x14ac:dyDescent="0.3">
      <c r="E7" s="121"/>
      <c r="F7" s="114"/>
      <c r="G7" s="120" t="s">
        <v>149</v>
      </c>
      <c r="H7" s="130">
        <v>0.56320000000000003</v>
      </c>
      <c r="Q7" s="131"/>
      <c r="R7" s="131"/>
    </row>
    <row r="8" spans="1:25" ht="15.75" thickBot="1" x14ac:dyDescent="0.3"/>
    <row r="9" spans="1:25" ht="15.75" thickBot="1" x14ac:dyDescent="0.3">
      <c r="A9" s="112" t="s">
        <v>150</v>
      </c>
      <c r="B9" s="118" t="s">
        <v>151</v>
      </c>
      <c r="C9" s="112" t="s">
        <v>5</v>
      </c>
      <c r="D9" s="112" t="s">
        <v>6</v>
      </c>
      <c r="E9" s="112" t="s">
        <v>7</v>
      </c>
      <c r="F9" s="132" t="s">
        <v>152</v>
      </c>
      <c r="G9" s="112" t="s">
        <v>153</v>
      </c>
      <c r="H9" s="118" t="s">
        <v>154</v>
      </c>
      <c r="I9" s="132" t="s">
        <v>155</v>
      </c>
      <c r="J9" s="112" t="s">
        <v>156</v>
      </c>
      <c r="K9" s="118" t="s">
        <v>157</v>
      </c>
      <c r="L9" s="112" t="s">
        <v>158</v>
      </c>
      <c r="M9" s="6"/>
      <c r="N9" s="6"/>
      <c r="O9" s="6"/>
      <c r="P9" s="6"/>
      <c r="Q9" s="6"/>
      <c r="R9" s="6"/>
      <c r="S9" s="6"/>
      <c r="T9" s="6"/>
      <c r="U9" s="6"/>
    </row>
    <row r="10" spans="1:25" ht="15.75" thickBot="1" x14ac:dyDescent="0.3">
      <c r="A10" s="133">
        <f>B10-273.15</f>
        <v>45.113903207531678</v>
      </c>
      <c r="B10" s="134">
        <v>318.26390320753165</v>
      </c>
      <c r="C10" s="128">
        <f>C19</f>
        <v>1.8542519675420353E-3</v>
      </c>
      <c r="D10" s="128">
        <f>C21</f>
        <v>0.49509609737333848</v>
      </c>
      <c r="E10" s="128">
        <f>C20</f>
        <v>0.50304965065911944</v>
      </c>
      <c r="F10" s="135">
        <f>EXP(M3+N3/(B10+O3))/1000</f>
        <v>72.80423135066853</v>
      </c>
      <c r="G10" s="128">
        <f>EXP(M4+N4/(B10+O4))/1000</f>
        <v>44.78681681266481</v>
      </c>
      <c r="H10" s="130">
        <v>0</v>
      </c>
      <c r="I10" s="136">
        <f>(C10*F10*S13)/J4</f>
        <v>0.18381484679331606</v>
      </c>
      <c r="J10" s="133">
        <f>(D10*G10*T13)/J4</f>
        <v>0.8161851531673513</v>
      </c>
      <c r="K10" s="137">
        <v>0</v>
      </c>
      <c r="L10" s="133">
        <f>SUM(I10:K10)</f>
        <v>0.99999999996066735</v>
      </c>
      <c r="M10" s="6"/>
      <c r="N10" s="6"/>
      <c r="O10" s="6"/>
      <c r="P10" s="6"/>
      <c r="Q10" s="6"/>
      <c r="R10" s="6"/>
      <c r="S10" s="6"/>
      <c r="T10" s="6"/>
      <c r="U10" s="6"/>
    </row>
    <row r="11" spans="1:25" ht="15.75" thickBo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5" ht="15.75" thickBot="1" x14ac:dyDescent="0.3">
      <c r="A12" s="112" t="s">
        <v>159</v>
      </c>
      <c r="B12" s="118" t="s">
        <v>160</v>
      </c>
      <c r="C12" s="118" t="s">
        <v>161</v>
      </c>
      <c r="D12" s="118" t="s">
        <v>162</v>
      </c>
      <c r="E12" s="118" t="s">
        <v>163</v>
      </c>
      <c r="F12" s="118" t="s">
        <v>164</v>
      </c>
      <c r="G12" s="112" t="s">
        <v>165</v>
      </c>
      <c r="H12" s="118" t="s">
        <v>166</v>
      </c>
      <c r="I12" s="118" t="s">
        <v>167</v>
      </c>
      <c r="J12" s="118" t="s">
        <v>168</v>
      </c>
      <c r="K12" s="118" t="s">
        <v>169</v>
      </c>
      <c r="L12" s="118" t="s">
        <v>170</v>
      </c>
      <c r="M12" s="138" t="s">
        <v>171</v>
      </c>
      <c r="N12" s="139" t="s">
        <v>172</v>
      </c>
      <c r="O12" s="139" t="s">
        <v>173</v>
      </c>
      <c r="P12" s="138" t="s">
        <v>174</v>
      </c>
      <c r="Q12" s="139" t="s">
        <v>175</v>
      </c>
      <c r="R12" s="139" t="s">
        <v>176</v>
      </c>
      <c r="S12" s="138" t="s">
        <v>177</v>
      </c>
      <c r="T12" s="139" t="s">
        <v>178</v>
      </c>
      <c r="U12" s="139" t="s">
        <v>179</v>
      </c>
    </row>
    <row r="13" spans="1:25" ht="15.75" thickBot="1" x14ac:dyDescent="0.3">
      <c r="A13" s="136">
        <f>H2/(J2*B10)</f>
        <v>2.1064258927289803</v>
      </c>
      <c r="B13" s="133">
        <f>H3/(J2*B10)</f>
        <v>2.8340776166933805</v>
      </c>
      <c r="C13" s="137">
        <f>H4/(J2*B10)</f>
        <v>7.2823372440841476</v>
      </c>
      <c r="D13" s="133">
        <f>H5/(J2*B10)</f>
        <v>6.1268774015325951</v>
      </c>
      <c r="E13" s="137">
        <f>H6/(J2*B10)</f>
        <v>4.0232103420771894</v>
      </c>
      <c r="F13" s="133">
        <f>H7/(J2*B10)</f>
        <v>0.21284587666809512</v>
      </c>
      <c r="G13" s="137">
        <f>EXP(-F2*A13)</f>
        <v>0.43060229810122996</v>
      </c>
      <c r="H13" s="137">
        <f>EXP(-F2*B13)</f>
        <v>0.32186243453070768</v>
      </c>
      <c r="I13" s="137">
        <f>EXP(-F2*C13)</f>
        <v>5.4316083565878241E-2</v>
      </c>
      <c r="J13" s="137">
        <f>EXP(-F2*D13)</f>
        <v>8.6228807740944033E-2</v>
      </c>
      <c r="K13" s="137">
        <f>EXP(-F2*E13)</f>
        <v>0.20003075748545973</v>
      </c>
      <c r="L13" s="137">
        <f>EXP(-F2*F13)</f>
        <v>0.91838521640421789</v>
      </c>
      <c r="M13" s="137">
        <f>D10*B13*H13+E10*D13*J13</f>
        <v>0.71738614133443734</v>
      </c>
      <c r="N13" s="133">
        <f>C10*A13*G13+E10*F13*L13</f>
        <v>0.100015247765641</v>
      </c>
      <c r="O13" s="137">
        <f>C10*C13*I13+D10*E13*K13</f>
        <v>0.39916985867226612</v>
      </c>
      <c r="P13" s="133">
        <f>C10+H13*D10+J13*E10</f>
        <v>0.20458445880561135</v>
      </c>
      <c r="Q13" s="137">
        <f>G13*C10+D10+L13*E10</f>
        <v>0.9578879048144624</v>
      </c>
      <c r="R13" s="133">
        <f>I13*C10+K13*D10+E10</f>
        <v>0.60218481374962451</v>
      </c>
      <c r="S13" s="137">
        <f>EXP(M13/P13-(C10*M13)/P13^2+D10*G13/Q13*(A13-N13/Q13)+E10*I13/R13*(C13-O13/R13))</f>
        <v>68.080889506587056</v>
      </c>
      <c r="T13" s="133">
        <f>EXP(N13/Q13-D10*N13/Q13^2+C10*H13/P13*(B13-M13/P13)+E10*K13/R13*(E13-O13/R13))</f>
        <v>1.8404286927406004</v>
      </c>
      <c r="U13" s="134">
        <f>EXP(O13/R13-E10*O13/R13^2+C10*J13/P13*(D13-M13/P13)+D10*L13/Q13*(F13-N13/Q13))</f>
        <v>1.1766182098277234</v>
      </c>
    </row>
    <row r="14" spans="1:25" ht="15.75" thickBot="1" x14ac:dyDescent="0.3"/>
    <row r="15" spans="1:25" ht="15.75" thickBot="1" x14ac:dyDescent="0.3">
      <c r="A15" s="13"/>
      <c r="B15" s="140" t="s">
        <v>180</v>
      </c>
      <c r="C15" s="141" t="s">
        <v>181</v>
      </c>
      <c r="D15" s="142" t="s">
        <v>182</v>
      </c>
      <c r="I15" s="143" t="s">
        <v>134</v>
      </c>
      <c r="K15" s="144"/>
      <c r="L15" s="144"/>
      <c r="N15" s="144"/>
      <c r="O15" s="144"/>
      <c r="P15" s="144"/>
      <c r="Q15" s="144"/>
      <c r="S15" s="141" t="s">
        <v>183</v>
      </c>
      <c r="T15" s="141" t="s">
        <v>184</v>
      </c>
    </row>
    <row r="16" spans="1:25" ht="15.75" thickBot="1" x14ac:dyDescent="0.3">
      <c r="A16" s="145" t="s">
        <v>150</v>
      </c>
      <c r="B16" s="6">
        <v>68</v>
      </c>
      <c r="C16" s="146">
        <f>A10</f>
        <v>45.113903207531678</v>
      </c>
      <c r="D16" s="122">
        <f>A10</f>
        <v>45.113903207531678</v>
      </c>
      <c r="I16" s="111" t="s">
        <v>185</v>
      </c>
      <c r="J16" s="146">
        <v>45.3</v>
      </c>
      <c r="K16" s="121"/>
      <c r="L16" s="121"/>
      <c r="N16" s="18"/>
      <c r="O16" s="121"/>
      <c r="P16" s="121"/>
      <c r="Q16" s="121"/>
      <c r="S16" s="133">
        <f>(B17+C17)/2</f>
        <v>329.70695160376579</v>
      </c>
      <c r="T16" s="133">
        <f>J22*1000*EXP(-J23*D17/J24)*(1-D17/J24)^J23</f>
        <v>28578.353226500141</v>
      </c>
    </row>
    <row r="17" spans="1:27" ht="15.75" thickBot="1" x14ac:dyDescent="0.3">
      <c r="A17" s="141" t="s">
        <v>151</v>
      </c>
      <c r="B17" s="114">
        <f>B16+273.15</f>
        <v>341.15</v>
      </c>
      <c r="C17" s="133">
        <f>C16+273.15</f>
        <v>318.26390320753165</v>
      </c>
      <c r="D17" s="134">
        <f>D16+273.15</f>
        <v>318.26390320753165</v>
      </c>
      <c r="I17" s="147" t="s">
        <v>186</v>
      </c>
      <c r="J17" s="116">
        <v>-0.31</v>
      </c>
      <c r="K17" s="148"/>
      <c r="L17" s="148"/>
      <c r="N17" s="121"/>
      <c r="O17" s="148"/>
      <c r="P17" s="148"/>
      <c r="Q17" s="148"/>
      <c r="S17" s="112" t="s">
        <v>187</v>
      </c>
      <c r="T17" s="112" t="s">
        <v>188</v>
      </c>
    </row>
    <row r="18" spans="1:27" ht="15.75" thickBot="1" x14ac:dyDescent="0.3">
      <c r="A18" s="149" t="s">
        <v>189</v>
      </c>
      <c r="B18" s="165">
        <f>Kolona!AF47</f>
        <v>29.142867812470101</v>
      </c>
      <c r="C18" s="150">
        <f>(B18*B20)/C20</f>
        <v>23.643116640380832</v>
      </c>
      <c r="D18" s="122">
        <f>B18-C18</f>
        <v>5.4997511720892689</v>
      </c>
      <c r="F18" s="112" t="s">
        <v>190</v>
      </c>
      <c r="I18" s="113" t="s">
        <v>191</v>
      </c>
      <c r="J18" s="116">
        <v>0.42409999999999998</v>
      </c>
      <c r="L18" s="148"/>
      <c r="N18" s="121"/>
      <c r="O18" s="148"/>
      <c r="P18" s="148"/>
      <c r="Q18" s="148"/>
      <c r="S18" s="133">
        <v>187.5</v>
      </c>
      <c r="T18" s="133">
        <f>J16*1000*EXP(-J17*D17/J19)*(1-D17/J19)</f>
        <v>20819.15818446601</v>
      </c>
    </row>
    <row r="19" spans="1:27" ht="15.75" thickBot="1" x14ac:dyDescent="0.3">
      <c r="A19" s="141" t="s">
        <v>5</v>
      </c>
      <c r="B19" s="165">
        <f>Kolona!AF48</f>
        <v>3.6193297024077087E-2</v>
      </c>
      <c r="C19" s="151">
        <v>1.8542519675420353E-3</v>
      </c>
      <c r="D19" s="134">
        <f>(B18*B19-C18*C19)/D18</f>
        <v>0.18381489338123186</v>
      </c>
      <c r="E19" s="6">
        <f>I10</f>
        <v>0.18381484679331606</v>
      </c>
      <c r="F19" s="6">
        <f>(D19-E19)^2</f>
        <v>2.1704338988599932E-15</v>
      </c>
      <c r="I19" s="120" t="s">
        <v>192</v>
      </c>
      <c r="J19" s="128">
        <v>512.6</v>
      </c>
      <c r="K19" s="148"/>
      <c r="L19" s="148" t="s">
        <v>193</v>
      </c>
      <c r="N19" s="121"/>
      <c r="O19" s="148"/>
      <c r="P19" s="148"/>
      <c r="Q19" s="148"/>
      <c r="S19" s="112" t="s">
        <v>194</v>
      </c>
      <c r="T19" s="112" t="s">
        <v>195</v>
      </c>
    </row>
    <row r="20" spans="1:27" ht="15.75" thickBot="1" x14ac:dyDescent="0.3">
      <c r="A20" s="141" t="s">
        <v>7</v>
      </c>
      <c r="B20" s="165">
        <f>Kolona!AF49</f>
        <v>0.40811568864705716</v>
      </c>
      <c r="C20" s="151">
        <v>0.50304965065911944</v>
      </c>
      <c r="D20" s="134">
        <v>0</v>
      </c>
      <c r="S20" s="133">
        <f>A36+B36*S16+C36*S16^2+D36*S16^3</f>
        <v>89.701978347606598</v>
      </c>
      <c r="T20" s="133">
        <f>0</f>
        <v>0</v>
      </c>
    </row>
    <row r="21" spans="1:27" ht="15.75" thickBot="1" x14ac:dyDescent="0.3">
      <c r="A21" s="141" t="s">
        <v>6</v>
      </c>
      <c r="B21" s="165">
        <f>Kolona!AF50</f>
        <v>0.55569101432886581</v>
      </c>
      <c r="C21" s="133">
        <f>1-C19-C20</f>
        <v>0.49509609737333848</v>
      </c>
      <c r="D21" s="134">
        <f>(B18*B21-C18*C21)/D18</f>
        <v>0.81618510661876897</v>
      </c>
      <c r="E21" s="6">
        <f>J10</f>
        <v>0.8161851531673513</v>
      </c>
      <c r="F21" s="6">
        <f>(D21-E21)^2</f>
        <v>2.1667705161883403E-15</v>
      </c>
      <c r="I21" s="143" t="s">
        <v>43</v>
      </c>
      <c r="S21" s="112" t="s">
        <v>196</v>
      </c>
      <c r="T21" s="112" t="s">
        <v>197</v>
      </c>
    </row>
    <row r="22" spans="1:27" ht="15.75" thickBot="1" x14ac:dyDescent="0.3">
      <c r="A22" s="149" t="s">
        <v>198</v>
      </c>
      <c r="B22" s="6">
        <f>S24*(B17-C17)</f>
        <v>4198.088594896456</v>
      </c>
      <c r="C22" s="116">
        <v>0</v>
      </c>
      <c r="D22" s="122">
        <f>T22</f>
        <v>22245.413793841712</v>
      </c>
      <c r="F22" s="112" t="s">
        <v>190</v>
      </c>
      <c r="I22" s="111" t="s">
        <v>185</v>
      </c>
      <c r="J22" s="146">
        <v>46.23</v>
      </c>
      <c r="S22" s="133">
        <f>D43+E43*S16+S16^2*F43</f>
        <v>310.69912478676474</v>
      </c>
      <c r="T22" s="133">
        <f>D19*T16+D21*T18</f>
        <v>22245.413793841712</v>
      </c>
    </row>
    <row r="23" spans="1:27" ht="15.75" thickBot="1" x14ac:dyDescent="0.3">
      <c r="A23" s="141" t="s">
        <v>199</v>
      </c>
      <c r="B23" s="137">
        <f>B18*B22</f>
        <v>122344.34098610576</v>
      </c>
      <c r="C23" s="133">
        <v>0</v>
      </c>
      <c r="D23" s="134">
        <f>D18*D22</f>
        <v>122344.24058629174</v>
      </c>
      <c r="E23">
        <f>(B23-D23)/B23</f>
        <v>8.2063308538023328E-7</v>
      </c>
      <c r="F23">
        <f>E23^2</f>
        <v>6.7343866082068123E-13</v>
      </c>
      <c r="I23" s="113" t="s">
        <v>191</v>
      </c>
      <c r="J23" s="116">
        <v>0.2893</v>
      </c>
      <c r="S23" s="112" t="s">
        <v>200</v>
      </c>
    </row>
    <row r="24" spans="1:27" ht="15.75" thickBot="1" x14ac:dyDescent="0.3">
      <c r="A24" s="152" t="s">
        <v>201</v>
      </c>
      <c r="F24" s="112" t="s">
        <v>202</v>
      </c>
      <c r="I24" s="120" t="s">
        <v>192</v>
      </c>
      <c r="J24" s="128">
        <v>497.1</v>
      </c>
      <c r="S24" s="133">
        <f>S18*B19+S20*B21+S22*B20</f>
        <v>183.43401380169036</v>
      </c>
    </row>
    <row r="25" spans="1:27" ht="16.5" thickBot="1" x14ac:dyDescent="0.3">
      <c r="A25" s="221" t="s">
        <v>203</v>
      </c>
      <c r="B25" s="222"/>
      <c r="C25" s="222"/>
      <c r="D25" s="223"/>
      <c r="F25" s="133">
        <f>F19+F21+F23</f>
        <v>6.7777586523572953E-13</v>
      </c>
      <c r="K25" s="153" t="s">
        <v>204</v>
      </c>
    </row>
    <row r="26" spans="1:27" ht="15.75" thickBot="1" x14ac:dyDescent="0.3">
      <c r="A26" s="214" t="s">
        <v>181</v>
      </c>
      <c r="B26" s="215"/>
      <c r="C26" s="216" t="s">
        <v>205</v>
      </c>
      <c r="D26" s="215"/>
      <c r="I26" s="121"/>
      <c r="J26" s="121"/>
    </row>
    <row r="27" spans="1:27" x14ac:dyDescent="0.25">
      <c r="I27" s="18"/>
      <c r="J27" s="18"/>
    </row>
    <row r="28" spans="1:27" ht="15.75" thickBot="1" x14ac:dyDescent="0.3">
      <c r="E28" s="154"/>
      <c r="N28" s="217"/>
      <c r="O28" s="217"/>
      <c r="X28" s="218"/>
      <c r="Y28" s="218"/>
    </row>
    <row r="29" spans="1:27" ht="16.5" thickBot="1" x14ac:dyDescent="0.3">
      <c r="A29" s="155" t="s">
        <v>134</v>
      </c>
      <c r="B29" s="148"/>
      <c r="C29" s="3" t="s">
        <v>206</v>
      </c>
      <c r="D29" s="4">
        <v>32.04</v>
      </c>
      <c r="E29" s="110" t="s">
        <v>207</v>
      </c>
      <c r="K29" s="153" t="s">
        <v>208</v>
      </c>
      <c r="N29" s="148"/>
      <c r="O29" s="148"/>
      <c r="X29" s="6"/>
      <c r="Y29" s="6"/>
      <c r="Z29" s="6"/>
      <c r="AA29" s="6"/>
    </row>
    <row r="30" spans="1:27" ht="15.75" thickBot="1" x14ac:dyDescent="0.3">
      <c r="A30" s="3" t="s">
        <v>209</v>
      </c>
      <c r="B30" s="110" t="s">
        <v>210</v>
      </c>
      <c r="C30" s="148"/>
      <c r="D30" s="148"/>
      <c r="E30" s="3" t="s">
        <v>211</v>
      </c>
      <c r="F30" s="156" t="s">
        <v>212</v>
      </c>
      <c r="G30" s="157" t="s">
        <v>213</v>
      </c>
      <c r="N30" s="148"/>
      <c r="O30" s="148"/>
      <c r="X30" s="6"/>
      <c r="Y30" s="6"/>
      <c r="Z30" s="6"/>
      <c r="AA30" s="6"/>
    </row>
    <row r="31" spans="1:27" ht="15.75" thickBot="1" x14ac:dyDescent="0.3">
      <c r="A31" s="158" t="s">
        <v>214</v>
      </c>
      <c r="B31" s="159" t="s">
        <v>215</v>
      </c>
      <c r="C31" s="159" t="s">
        <v>216</v>
      </c>
      <c r="D31" s="160" t="s">
        <v>217</v>
      </c>
      <c r="E31" s="148"/>
      <c r="N31" s="148"/>
      <c r="O31" s="148"/>
      <c r="X31" s="6"/>
      <c r="Y31" s="6"/>
      <c r="Z31" s="6"/>
      <c r="AA31" s="6"/>
    </row>
    <row r="32" spans="1:27" ht="15.75" thickBot="1" x14ac:dyDescent="0.3">
      <c r="A32" s="136">
        <v>0.83819999999999995</v>
      </c>
      <c r="B32" s="137">
        <f>-3.231*10^-3</f>
        <v>-3.2309999999999999E-3</v>
      </c>
      <c r="C32" s="137">
        <f>8.296*10^-6</f>
        <v>8.2959999999999982E-6</v>
      </c>
      <c r="D32" s="134">
        <f>-0.1689*10^-9</f>
        <v>-1.6890000000000001E-10</v>
      </c>
      <c r="E32" s="148"/>
      <c r="N32" s="148"/>
      <c r="O32" s="148"/>
      <c r="X32" s="6"/>
      <c r="Y32" s="6"/>
      <c r="Z32" s="6"/>
      <c r="AA32" s="6"/>
    </row>
    <row r="33" spans="1:27" ht="15.75" thickBot="1" x14ac:dyDescent="0.3">
      <c r="A33" s="148"/>
      <c r="B33" s="161" t="s">
        <v>218</v>
      </c>
      <c r="C33" s="148"/>
      <c r="D33" s="148"/>
      <c r="E33" s="148"/>
      <c r="N33" s="148"/>
      <c r="O33" s="148"/>
      <c r="X33" s="6"/>
      <c r="Y33" s="6"/>
      <c r="Z33" s="6"/>
      <c r="AA33" s="6"/>
    </row>
    <row r="34" spans="1:27" ht="15.75" thickBot="1" x14ac:dyDescent="0.3">
      <c r="A34" s="136">
        <f>A32*4.1868</f>
        <v>3.5093757599999997</v>
      </c>
      <c r="B34" s="137">
        <f t="shared" ref="B34:D34" si="0">B32*4.1868</f>
        <v>-1.35275508E-2</v>
      </c>
      <c r="C34" s="137">
        <f t="shared" si="0"/>
        <v>3.4733692799999993E-5</v>
      </c>
      <c r="D34" s="134">
        <f t="shared" si="0"/>
        <v>-7.0715052000000002E-10</v>
      </c>
      <c r="E34" s="148"/>
      <c r="N34" s="148"/>
      <c r="O34" s="148"/>
      <c r="X34" s="6"/>
      <c r="Y34" s="6"/>
      <c r="Z34" s="6"/>
      <c r="AA34" s="6"/>
    </row>
    <row r="35" spans="1:27" ht="15.75" thickBot="1" x14ac:dyDescent="0.3">
      <c r="A35" s="148"/>
      <c r="B35" s="161" t="s">
        <v>219</v>
      </c>
      <c r="C35" s="148"/>
      <c r="D35" s="148"/>
      <c r="E35" s="148"/>
      <c r="N35" s="148"/>
      <c r="O35" s="148"/>
      <c r="X35" s="6"/>
      <c r="Y35" s="6"/>
      <c r="Z35" s="6"/>
      <c r="AA35" s="6"/>
    </row>
    <row r="36" spans="1:27" ht="15.75" thickBot="1" x14ac:dyDescent="0.3">
      <c r="A36" s="136">
        <f>A34*$D$29</f>
        <v>112.44039935039999</v>
      </c>
      <c r="B36" s="137">
        <f t="shared" ref="B36:D36" si="1">B34*$D$29</f>
        <v>-0.43342272763199996</v>
      </c>
      <c r="C36" s="137">
        <f t="shared" si="1"/>
        <v>1.1128675173119997E-3</v>
      </c>
      <c r="D36" s="134">
        <f t="shared" si="1"/>
        <v>-2.26571026608E-8</v>
      </c>
      <c r="E36" s="148"/>
      <c r="N36" s="148"/>
      <c r="O36" s="148"/>
      <c r="X36" s="6"/>
      <c r="Y36" s="6"/>
      <c r="Z36" s="6"/>
      <c r="AA36" s="6"/>
    </row>
    <row r="37" spans="1:27" x14ac:dyDescent="0.25">
      <c r="A37" s="148"/>
      <c r="B37" s="148"/>
      <c r="C37" s="148"/>
      <c r="D37" s="148"/>
      <c r="E37" s="148"/>
      <c r="N37" s="148"/>
      <c r="O37" s="148"/>
    </row>
    <row r="38" spans="1:27" x14ac:dyDescent="0.25">
      <c r="A38" s="148"/>
      <c r="B38" s="148"/>
      <c r="C38" s="148"/>
      <c r="D38" s="148"/>
      <c r="E38" s="148"/>
      <c r="N38" s="148"/>
      <c r="O38" s="148"/>
    </row>
    <row r="39" spans="1:27" x14ac:dyDescent="0.25">
      <c r="A39" s="148" t="s">
        <v>220</v>
      </c>
      <c r="B39" s="148"/>
      <c r="C39" s="148"/>
      <c r="D39" s="148"/>
      <c r="E39" s="148"/>
      <c r="F39" t="s">
        <v>221</v>
      </c>
      <c r="G39" s="162" t="s">
        <v>212</v>
      </c>
      <c r="H39" t="s">
        <v>219</v>
      </c>
      <c r="N39" s="148"/>
      <c r="O39" s="148"/>
    </row>
    <row r="40" spans="1:27" ht="16.5" thickBot="1" x14ac:dyDescent="0.3">
      <c r="A40" s="163" t="s">
        <v>222</v>
      </c>
      <c r="B40" s="148"/>
      <c r="C40" s="148"/>
      <c r="D40" s="148"/>
      <c r="E40" s="148"/>
    </row>
    <row r="41" spans="1:27" ht="15.75" thickBot="1" x14ac:dyDescent="0.3">
      <c r="A41" s="3" t="s">
        <v>151</v>
      </c>
      <c r="B41" s="110" t="s">
        <v>223</v>
      </c>
      <c r="C41" s="148"/>
      <c r="E41" s="164" t="s">
        <v>209</v>
      </c>
      <c r="F41" s="148"/>
    </row>
    <row r="42" spans="1:27" ht="15.75" thickBot="1" x14ac:dyDescent="0.3">
      <c r="A42" s="148">
        <v>283.14999999999998</v>
      </c>
      <c r="B42" s="148">
        <v>290</v>
      </c>
      <c r="C42" s="148"/>
      <c r="D42" s="3" t="s">
        <v>214</v>
      </c>
      <c r="E42" s="4" t="s">
        <v>215</v>
      </c>
      <c r="F42" s="110" t="s">
        <v>216</v>
      </c>
    </row>
    <row r="43" spans="1:27" ht="15.75" thickBot="1" x14ac:dyDescent="0.3">
      <c r="A43" s="148">
        <v>293.14999999999998</v>
      </c>
      <c r="B43" s="148">
        <v>294</v>
      </c>
      <c r="C43" s="148"/>
      <c r="D43" s="136">
        <v>753.28</v>
      </c>
      <c r="E43" s="137">
        <v>-3.4195000000000002</v>
      </c>
      <c r="F43" s="134">
        <v>6.3E-3</v>
      </c>
    </row>
    <row r="44" spans="1:27" x14ac:dyDescent="0.25">
      <c r="A44" s="148">
        <v>303.14999999999998</v>
      </c>
      <c r="B44" s="148">
        <v>297</v>
      </c>
      <c r="C44" s="148"/>
      <c r="D44" s="148"/>
      <c r="E44" s="148"/>
    </row>
    <row r="45" spans="1:27" x14ac:dyDescent="0.25">
      <c r="A45" s="148">
        <v>313.14999999999998</v>
      </c>
      <c r="B45" s="148">
        <v>302</v>
      </c>
      <c r="C45" s="148"/>
      <c r="D45" s="148"/>
      <c r="E45" s="148"/>
    </row>
    <row r="46" spans="1:27" x14ac:dyDescent="0.25">
      <c r="A46" s="148">
        <v>323.14999999999998</v>
      </c>
      <c r="B46" s="148">
        <v>306</v>
      </c>
      <c r="C46" s="148"/>
      <c r="D46" s="148"/>
      <c r="E46" s="148"/>
    </row>
    <row r="47" spans="1:27" x14ac:dyDescent="0.25">
      <c r="A47" s="148">
        <v>333.15</v>
      </c>
      <c r="B47" s="148">
        <v>313</v>
      </c>
      <c r="C47" s="148"/>
      <c r="D47" s="148"/>
      <c r="E47" s="148"/>
    </row>
    <row r="48" spans="1:27" x14ac:dyDescent="0.25">
      <c r="A48" s="148">
        <v>343.15</v>
      </c>
      <c r="B48" s="148">
        <v>324</v>
      </c>
      <c r="C48" s="148"/>
      <c r="D48" s="148"/>
      <c r="E48" s="148"/>
    </row>
    <row r="49" spans="1:5" x14ac:dyDescent="0.25">
      <c r="A49" s="148"/>
      <c r="B49" s="148"/>
      <c r="C49" s="148"/>
      <c r="D49" s="148"/>
      <c r="E49" s="148"/>
    </row>
    <row r="50" spans="1:5" x14ac:dyDescent="0.25">
      <c r="D50" s="148"/>
      <c r="E50" s="148"/>
    </row>
    <row r="51" spans="1:5" x14ac:dyDescent="0.25">
      <c r="D51" s="148"/>
      <c r="E51" s="148"/>
    </row>
    <row r="52" spans="1:5" x14ac:dyDescent="0.25">
      <c r="D52" s="148"/>
      <c r="E52" s="148"/>
    </row>
    <row r="53" spans="1:5" x14ac:dyDescent="0.25">
      <c r="A53" s="148"/>
      <c r="B53" s="148"/>
      <c r="C53" s="148"/>
      <c r="D53" s="148"/>
      <c r="E53" s="148"/>
    </row>
    <row r="54" spans="1:5" x14ac:dyDescent="0.25">
      <c r="A54" s="148"/>
      <c r="B54" s="148"/>
      <c r="C54" s="148"/>
      <c r="D54" s="148"/>
      <c r="E54" s="148"/>
    </row>
    <row r="55" spans="1:5" x14ac:dyDescent="0.25">
      <c r="A55" s="148"/>
      <c r="B55" s="148"/>
      <c r="C55" s="148"/>
      <c r="D55" s="148"/>
      <c r="E55" s="148"/>
    </row>
    <row r="56" spans="1:5" x14ac:dyDescent="0.25">
      <c r="A56" s="148"/>
      <c r="B56" s="148"/>
      <c r="C56" s="148"/>
      <c r="D56" s="148"/>
      <c r="E56" s="148"/>
    </row>
    <row r="57" spans="1:5" x14ac:dyDescent="0.25">
      <c r="A57" s="148"/>
      <c r="B57" s="148"/>
      <c r="C57" s="148"/>
      <c r="D57" s="148"/>
      <c r="E57" s="148"/>
    </row>
    <row r="58" spans="1:5" x14ac:dyDescent="0.25">
      <c r="A58" s="148"/>
      <c r="B58" s="148"/>
      <c r="C58" s="148"/>
      <c r="D58" s="148"/>
      <c r="E58" s="148"/>
    </row>
    <row r="59" spans="1:5" x14ac:dyDescent="0.25">
      <c r="A59" s="148"/>
      <c r="B59" s="148"/>
      <c r="C59" s="148"/>
      <c r="D59" s="148"/>
      <c r="E59" s="148"/>
    </row>
    <row r="60" spans="1:5" x14ac:dyDescent="0.25">
      <c r="A60" s="148"/>
      <c r="B60" s="148"/>
      <c r="C60" s="148"/>
      <c r="D60" s="148"/>
      <c r="E60" s="148"/>
    </row>
    <row r="61" spans="1:5" x14ac:dyDescent="0.25">
      <c r="A61" s="148"/>
      <c r="B61" s="148"/>
      <c r="C61" s="148"/>
      <c r="D61" s="148"/>
      <c r="E61" s="148"/>
    </row>
    <row r="62" spans="1:5" x14ac:dyDescent="0.25">
      <c r="A62" s="148"/>
      <c r="B62" s="148"/>
      <c r="C62" s="148"/>
      <c r="D62" s="148"/>
      <c r="E62" s="148"/>
    </row>
    <row r="63" spans="1:5" x14ac:dyDescent="0.25">
      <c r="A63" s="148"/>
      <c r="B63" s="148"/>
      <c r="C63" s="148"/>
      <c r="D63" s="148"/>
      <c r="E63" s="148"/>
    </row>
    <row r="64" spans="1:5" x14ac:dyDescent="0.25">
      <c r="A64" s="148"/>
      <c r="B64" s="148"/>
      <c r="C64" s="148"/>
      <c r="D64" s="148"/>
      <c r="E64" s="148"/>
    </row>
    <row r="65" spans="1:5" x14ac:dyDescent="0.25">
      <c r="A65" s="148"/>
      <c r="B65" s="148"/>
      <c r="C65" s="148"/>
      <c r="D65" s="148"/>
      <c r="E65" s="148"/>
    </row>
    <row r="66" spans="1:5" x14ac:dyDescent="0.25">
      <c r="A66" s="148"/>
      <c r="B66" s="148"/>
      <c r="C66" s="148"/>
      <c r="D66" s="148"/>
      <c r="E66" s="148"/>
    </row>
    <row r="67" spans="1:5" x14ac:dyDescent="0.25">
      <c r="A67" s="148"/>
      <c r="B67" s="148"/>
      <c r="C67" s="148"/>
      <c r="D67" s="148"/>
      <c r="E67" s="148"/>
    </row>
    <row r="68" spans="1:5" x14ac:dyDescent="0.25">
      <c r="A68" s="148"/>
      <c r="B68" s="148"/>
      <c r="C68" s="148"/>
      <c r="D68" s="148"/>
      <c r="E68" s="148"/>
    </row>
    <row r="69" spans="1:5" x14ac:dyDescent="0.25">
      <c r="A69" s="148"/>
      <c r="B69" s="148"/>
      <c r="C69" s="148"/>
      <c r="D69" s="148"/>
      <c r="E69" s="148"/>
    </row>
    <row r="70" spans="1:5" x14ac:dyDescent="0.25">
      <c r="A70" s="148"/>
      <c r="B70" s="148"/>
      <c r="C70" s="148"/>
      <c r="D70" s="148"/>
      <c r="E70" s="148"/>
    </row>
    <row r="71" spans="1:5" x14ac:dyDescent="0.25">
      <c r="A71" s="148"/>
      <c r="B71" s="148"/>
      <c r="C71" s="148"/>
      <c r="D71" s="148"/>
      <c r="E71" s="148"/>
    </row>
    <row r="72" spans="1:5" x14ac:dyDescent="0.25">
      <c r="A72" s="148"/>
      <c r="B72" s="148"/>
      <c r="C72" s="148"/>
      <c r="D72" s="148"/>
      <c r="E72" s="148"/>
    </row>
    <row r="73" spans="1:5" x14ac:dyDescent="0.25">
      <c r="A73" s="148"/>
      <c r="B73" s="148"/>
      <c r="C73" s="148"/>
      <c r="D73" s="148"/>
      <c r="E73" s="148"/>
    </row>
    <row r="74" spans="1:5" x14ac:dyDescent="0.25">
      <c r="A74" s="148"/>
      <c r="B74" s="148"/>
      <c r="C74" s="148"/>
      <c r="D74" s="148"/>
      <c r="E74" s="148"/>
    </row>
    <row r="75" spans="1:5" x14ac:dyDescent="0.25">
      <c r="A75" s="148"/>
      <c r="B75" s="148"/>
      <c r="C75" s="148"/>
      <c r="D75" s="148"/>
      <c r="E75" s="148"/>
    </row>
    <row r="76" spans="1:5" x14ac:dyDescent="0.25">
      <c r="A76" s="148"/>
      <c r="B76" s="148"/>
      <c r="C76" s="148"/>
      <c r="D76" s="148"/>
      <c r="E76" s="148"/>
    </row>
    <row r="77" spans="1:5" x14ac:dyDescent="0.25">
      <c r="A77" s="148"/>
      <c r="B77" s="148"/>
      <c r="C77" s="148"/>
      <c r="D77" s="148"/>
      <c r="E77" s="148"/>
    </row>
    <row r="78" spans="1:5" x14ac:dyDescent="0.25">
      <c r="A78" s="148"/>
      <c r="B78" s="148"/>
      <c r="C78" s="148"/>
      <c r="D78" s="148"/>
      <c r="E78" s="148"/>
    </row>
    <row r="79" spans="1:5" x14ac:dyDescent="0.25">
      <c r="A79" s="148"/>
      <c r="B79" s="148"/>
      <c r="C79" s="148"/>
      <c r="D79" s="148"/>
      <c r="E79" s="148"/>
    </row>
    <row r="80" spans="1:5" x14ac:dyDescent="0.25">
      <c r="A80" s="148"/>
      <c r="B80" s="148"/>
      <c r="C80" s="148"/>
      <c r="D80" s="148"/>
      <c r="E80" s="148"/>
    </row>
    <row r="81" spans="1:5" x14ac:dyDescent="0.25">
      <c r="A81" s="148"/>
      <c r="B81" s="148"/>
      <c r="C81" s="148"/>
      <c r="D81" s="148"/>
      <c r="E81" s="148"/>
    </row>
    <row r="82" spans="1:5" x14ac:dyDescent="0.25">
      <c r="A82" s="148"/>
      <c r="B82" s="148"/>
      <c r="C82" s="148"/>
      <c r="D82" s="148"/>
      <c r="E82" s="148"/>
    </row>
    <row r="83" spans="1:5" x14ac:dyDescent="0.25">
      <c r="A83" s="148"/>
      <c r="B83" s="148"/>
      <c r="C83" s="148"/>
      <c r="D83" s="148"/>
      <c r="E83" s="148"/>
    </row>
    <row r="84" spans="1:5" x14ac:dyDescent="0.25">
      <c r="A84" s="148"/>
      <c r="B84" s="148"/>
      <c r="C84" s="148"/>
      <c r="D84" s="148"/>
      <c r="E84" s="148"/>
    </row>
    <row r="85" spans="1:5" x14ac:dyDescent="0.25">
      <c r="A85" s="148"/>
      <c r="B85" s="148"/>
      <c r="C85" s="148"/>
      <c r="D85" s="148"/>
      <c r="E85" s="148"/>
    </row>
    <row r="86" spans="1:5" x14ac:dyDescent="0.25">
      <c r="A86" s="148"/>
      <c r="B86" s="148"/>
      <c r="C86" s="148"/>
      <c r="D86" s="148"/>
      <c r="E86" s="148"/>
    </row>
    <row r="87" spans="1:5" x14ac:dyDescent="0.25">
      <c r="A87" s="148"/>
      <c r="B87" s="148"/>
      <c r="C87" s="148"/>
      <c r="D87" s="148"/>
      <c r="E87" s="148"/>
    </row>
    <row r="88" spans="1:5" x14ac:dyDescent="0.25">
      <c r="A88" s="148"/>
      <c r="B88" s="148"/>
      <c r="C88" s="148"/>
      <c r="D88" s="148"/>
      <c r="E88" s="148"/>
    </row>
    <row r="89" spans="1:5" x14ac:dyDescent="0.25">
      <c r="A89" s="148"/>
      <c r="B89" s="148"/>
      <c r="C89" s="148"/>
      <c r="D89" s="148"/>
      <c r="E89" s="148"/>
    </row>
    <row r="90" spans="1:5" x14ac:dyDescent="0.25">
      <c r="A90" s="148"/>
      <c r="B90" s="148"/>
      <c r="C90" s="148"/>
      <c r="D90" s="148"/>
      <c r="E90" s="148"/>
    </row>
    <row r="91" spans="1:5" x14ac:dyDescent="0.25">
      <c r="A91" s="148"/>
      <c r="B91" s="148"/>
      <c r="C91" s="148"/>
      <c r="D91" s="148"/>
      <c r="E91" s="148"/>
    </row>
    <row r="92" spans="1:5" x14ac:dyDescent="0.25">
      <c r="A92" s="148"/>
      <c r="B92" s="148"/>
      <c r="C92" s="148"/>
      <c r="D92" s="148"/>
      <c r="E92" s="148"/>
    </row>
    <row r="93" spans="1:5" x14ac:dyDescent="0.25">
      <c r="A93" s="148"/>
      <c r="B93" s="148"/>
      <c r="C93" s="148"/>
      <c r="D93" s="148"/>
      <c r="E93" s="148"/>
    </row>
    <row r="94" spans="1:5" x14ac:dyDescent="0.25">
      <c r="A94" s="148"/>
      <c r="B94" s="148"/>
      <c r="C94" s="148"/>
      <c r="D94" s="148"/>
      <c r="E94" s="148"/>
    </row>
    <row r="95" spans="1:5" x14ac:dyDescent="0.25">
      <c r="A95" s="148"/>
      <c r="B95" s="148"/>
      <c r="C95" s="148"/>
      <c r="D95" s="148"/>
      <c r="E95" s="148"/>
    </row>
    <row r="96" spans="1:5" x14ac:dyDescent="0.25">
      <c r="A96" s="148"/>
      <c r="B96" s="148"/>
      <c r="C96" s="148"/>
      <c r="D96" s="148"/>
      <c r="E96" s="148"/>
    </row>
    <row r="97" spans="1:5" x14ac:dyDescent="0.25">
      <c r="A97" s="148"/>
      <c r="B97" s="148"/>
      <c r="C97" s="148"/>
      <c r="D97" s="148"/>
      <c r="E97" s="148"/>
    </row>
    <row r="98" spans="1:5" x14ac:dyDescent="0.25">
      <c r="A98" s="148"/>
      <c r="B98" s="148"/>
      <c r="C98" s="148"/>
      <c r="D98" s="148"/>
      <c r="E98" s="148"/>
    </row>
    <row r="99" spans="1:5" x14ac:dyDescent="0.25">
      <c r="A99" s="148"/>
      <c r="B99" s="148"/>
      <c r="C99" s="148"/>
      <c r="D99" s="148"/>
      <c r="E99" s="148"/>
    </row>
    <row r="100" spans="1:5" x14ac:dyDescent="0.25">
      <c r="A100" s="148"/>
      <c r="B100" s="148"/>
      <c r="C100" s="148"/>
      <c r="D100" s="148"/>
      <c r="E100" s="148"/>
    </row>
    <row r="101" spans="1:5" x14ac:dyDescent="0.25">
      <c r="A101" s="148"/>
      <c r="B101" s="148"/>
      <c r="C101" s="148"/>
      <c r="D101" s="148"/>
      <c r="E101" s="148"/>
    </row>
    <row r="102" spans="1:5" x14ac:dyDescent="0.25">
      <c r="A102" s="148"/>
      <c r="B102" s="148"/>
      <c r="C102" s="148"/>
      <c r="D102" s="148"/>
      <c r="E102" s="148"/>
    </row>
    <row r="103" spans="1:5" x14ac:dyDescent="0.25">
      <c r="A103" s="148"/>
      <c r="B103" s="148"/>
      <c r="C103" s="148"/>
      <c r="D103" s="148"/>
      <c r="E103" s="148"/>
    </row>
    <row r="104" spans="1:5" x14ac:dyDescent="0.25">
      <c r="A104" s="148"/>
      <c r="B104" s="148"/>
      <c r="C104" s="148"/>
      <c r="D104" s="148"/>
      <c r="E104" s="148"/>
    </row>
    <row r="105" spans="1:5" x14ac:dyDescent="0.25">
      <c r="A105" s="148"/>
      <c r="B105" s="148"/>
      <c r="C105" s="148"/>
      <c r="D105" s="148"/>
      <c r="E105" s="148"/>
    </row>
    <row r="106" spans="1:5" x14ac:dyDescent="0.25">
      <c r="A106" s="148"/>
      <c r="B106" s="148"/>
      <c r="C106" s="148"/>
      <c r="D106" s="148"/>
      <c r="E106" s="148"/>
    </row>
    <row r="107" spans="1:5" x14ac:dyDescent="0.25">
      <c r="A107" s="148"/>
      <c r="B107" s="148"/>
      <c r="C107" s="148"/>
      <c r="D107" s="148"/>
      <c r="E107" s="148"/>
    </row>
    <row r="108" spans="1:5" x14ac:dyDescent="0.25">
      <c r="A108" s="148"/>
      <c r="B108" s="148"/>
      <c r="C108" s="148"/>
      <c r="D108" s="148"/>
      <c r="E108" s="148"/>
    </row>
    <row r="109" spans="1:5" x14ac:dyDescent="0.25">
      <c r="A109" s="148"/>
      <c r="B109" s="148"/>
      <c r="C109" s="148"/>
      <c r="D109" s="148"/>
      <c r="E109" s="148"/>
    </row>
    <row r="110" spans="1:5" x14ac:dyDescent="0.25">
      <c r="A110" s="148"/>
      <c r="B110" s="148"/>
      <c r="C110" s="148"/>
      <c r="D110" s="148"/>
      <c r="E110" s="148"/>
    </row>
    <row r="111" spans="1:5" x14ac:dyDescent="0.25">
      <c r="A111" s="148"/>
      <c r="B111" s="148"/>
      <c r="C111" s="148"/>
      <c r="D111" s="148"/>
      <c r="E111" s="148"/>
    </row>
    <row r="112" spans="1:5" x14ac:dyDescent="0.25">
      <c r="A112" s="148"/>
      <c r="B112" s="148"/>
      <c r="C112" s="148"/>
      <c r="D112" s="148"/>
      <c r="E112" s="148"/>
    </row>
    <row r="113" spans="1:5" x14ac:dyDescent="0.25">
      <c r="A113" s="148"/>
      <c r="B113" s="148"/>
      <c r="C113" s="148"/>
      <c r="D113" s="148"/>
      <c r="E113" s="148"/>
    </row>
    <row r="114" spans="1:5" x14ac:dyDescent="0.25">
      <c r="A114" s="148"/>
      <c r="B114" s="148"/>
      <c r="C114" s="148"/>
      <c r="D114" s="148"/>
      <c r="E114" s="148"/>
    </row>
    <row r="115" spans="1:5" x14ac:dyDescent="0.25">
      <c r="A115" s="148"/>
      <c r="B115" s="148"/>
      <c r="C115" s="148"/>
      <c r="D115" s="148"/>
      <c r="E115" s="148"/>
    </row>
    <row r="116" spans="1:5" x14ac:dyDescent="0.25">
      <c r="A116" s="148"/>
      <c r="B116" s="148"/>
      <c r="C116" s="148"/>
      <c r="D116" s="148"/>
      <c r="E116" s="148"/>
    </row>
    <row r="117" spans="1:5" x14ac:dyDescent="0.25">
      <c r="A117" s="148"/>
      <c r="B117" s="148"/>
      <c r="C117" s="148"/>
      <c r="D117" s="148"/>
      <c r="E117" s="148"/>
    </row>
    <row r="118" spans="1:5" x14ac:dyDescent="0.25">
      <c r="A118" s="148"/>
      <c r="B118" s="148"/>
      <c r="C118" s="148"/>
      <c r="D118" s="148"/>
      <c r="E118" s="148"/>
    </row>
    <row r="119" spans="1:5" x14ac:dyDescent="0.25">
      <c r="A119" s="148"/>
      <c r="B119" s="148"/>
      <c r="C119" s="148"/>
      <c r="D119" s="148"/>
      <c r="E119" s="148"/>
    </row>
    <row r="120" spans="1:5" x14ac:dyDescent="0.25">
      <c r="A120" s="148"/>
      <c r="B120" s="148"/>
      <c r="C120" s="148"/>
      <c r="D120" s="148"/>
      <c r="E120" s="148"/>
    </row>
    <row r="121" spans="1:5" x14ac:dyDescent="0.25">
      <c r="A121" s="148"/>
      <c r="B121" s="148"/>
      <c r="C121" s="148"/>
      <c r="D121" s="148"/>
      <c r="E121" s="148"/>
    </row>
    <row r="122" spans="1:5" x14ac:dyDescent="0.25">
      <c r="A122" s="148"/>
      <c r="B122" s="148"/>
      <c r="C122" s="148"/>
      <c r="D122" s="148"/>
      <c r="E122" s="148"/>
    </row>
    <row r="123" spans="1:5" x14ac:dyDescent="0.25">
      <c r="A123" s="148"/>
      <c r="B123" s="148"/>
      <c r="C123" s="148"/>
      <c r="D123" s="148"/>
      <c r="E123" s="148"/>
    </row>
    <row r="124" spans="1:5" x14ac:dyDescent="0.25">
      <c r="A124" s="148"/>
      <c r="B124" s="148"/>
      <c r="C124" s="148"/>
      <c r="D124" s="148"/>
      <c r="E124" s="148"/>
    </row>
    <row r="125" spans="1:5" x14ac:dyDescent="0.25">
      <c r="A125" s="148"/>
      <c r="B125" s="148"/>
      <c r="C125" s="148"/>
      <c r="D125" s="148"/>
      <c r="E125" s="148"/>
    </row>
    <row r="126" spans="1:5" x14ac:dyDescent="0.25">
      <c r="A126" s="148"/>
      <c r="B126" s="148"/>
      <c r="C126" s="148"/>
      <c r="D126" s="148"/>
      <c r="E126" s="148"/>
    </row>
    <row r="127" spans="1:5" x14ac:dyDescent="0.25">
      <c r="A127" s="148"/>
      <c r="B127" s="148"/>
      <c r="C127" s="148"/>
      <c r="D127" s="148"/>
      <c r="E127" s="148"/>
    </row>
    <row r="128" spans="1:5" x14ac:dyDescent="0.25">
      <c r="A128" s="148"/>
      <c r="B128" s="148"/>
      <c r="C128" s="148"/>
      <c r="D128" s="148"/>
      <c r="E128" s="148"/>
    </row>
    <row r="129" spans="1:5" x14ac:dyDescent="0.25">
      <c r="A129" s="148"/>
      <c r="B129" s="148"/>
      <c r="C129" s="148"/>
      <c r="D129" s="148"/>
      <c r="E129" s="148"/>
    </row>
    <row r="130" spans="1:5" x14ac:dyDescent="0.25">
      <c r="A130" s="148"/>
      <c r="B130" s="148"/>
      <c r="C130" s="148"/>
      <c r="D130" s="148"/>
      <c r="E130" s="148"/>
    </row>
    <row r="131" spans="1:5" x14ac:dyDescent="0.25">
      <c r="A131" s="148"/>
      <c r="B131" s="148"/>
      <c r="C131" s="148"/>
      <c r="D131" s="148"/>
      <c r="E131" s="148"/>
    </row>
    <row r="132" spans="1:5" x14ac:dyDescent="0.25">
      <c r="A132" s="148"/>
      <c r="B132" s="148"/>
      <c r="C132" s="148"/>
      <c r="D132" s="148"/>
      <c r="E132" s="148"/>
    </row>
    <row r="133" spans="1:5" x14ac:dyDescent="0.25">
      <c r="A133" s="148"/>
      <c r="B133" s="148"/>
      <c r="C133" s="148"/>
      <c r="D133" s="148"/>
      <c r="E133" s="148"/>
    </row>
    <row r="134" spans="1:5" x14ac:dyDescent="0.25">
      <c r="A134" s="148"/>
      <c r="B134" s="148"/>
      <c r="C134" s="148"/>
      <c r="D134" s="148"/>
      <c r="E134" s="148"/>
    </row>
    <row r="135" spans="1:5" x14ac:dyDescent="0.25">
      <c r="A135" s="148"/>
      <c r="B135" s="148"/>
      <c r="C135" s="148"/>
      <c r="D135" s="148"/>
      <c r="E135" s="148"/>
    </row>
    <row r="136" spans="1:5" x14ac:dyDescent="0.25">
      <c r="A136" s="148"/>
      <c r="B136" s="148"/>
      <c r="C136" s="148"/>
      <c r="D136" s="148"/>
      <c r="E136" s="148"/>
    </row>
    <row r="137" spans="1:5" x14ac:dyDescent="0.25">
      <c r="A137" s="148"/>
      <c r="B137" s="148"/>
      <c r="C137" s="148"/>
      <c r="D137" s="148"/>
      <c r="E137" s="148"/>
    </row>
    <row r="138" spans="1:5" x14ac:dyDescent="0.25">
      <c r="A138" s="148"/>
      <c r="B138" s="148"/>
      <c r="C138" s="148"/>
      <c r="D138" s="148"/>
      <c r="E138" s="148"/>
    </row>
    <row r="139" spans="1:5" x14ac:dyDescent="0.25">
      <c r="A139" s="148"/>
      <c r="B139" s="148"/>
      <c r="C139" s="148"/>
      <c r="D139" s="148"/>
      <c r="E139" s="148"/>
    </row>
    <row r="140" spans="1:5" x14ac:dyDescent="0.25">
      <c r="A140" s="148"/>
      <c r="B140" s="148"/>
      <c r="C140" s="148"/>
      <c r="D140" s="148"/>
      <c r="E140" s="148"/>
    </row>
    <row r="141" spans="1:5" x14ac:dyDescent="0.25">
      <c r="A141" s="148"/>
      <c r="B141" s="148"/>
      <c r="C141" s="148"/>
      <c r="D141" s="148"/>
      <c r="E141" s="148"/>
    </row>
    <row r="142" spans="1:5" x14ac:dyDescent="0.25">
      <c r="A142" s="148"/>
      <c r="B142" s="148"/>
      <c r="C142" s="148"/>
      <c r="D142" s="148"/>
      <c r="E142" s="148"/>
    </row>
    <row r="143" spans="1:5" x14ac:dyDescent="0.25">
      <c r="A143" s="148"/>
      <c r="B143" s="148"/>
      <c r="C143" s="148"/>
      <c r="D143" s="148"/>
      <c r="E143" s="148"/>
    </row>
    <row r="144" spans="1:5" x14ac:dyDescent="0.25">
      <c r="A144" s="148"/>
      <c r="B144" s="148"/>
      <c r="C144" s="148"/>
      <c r="D144" s="148"/>
      <c r="E144" s="148"/>
    </row>
    <row r="145" spans="1:5" x14ac:dyDescent="0.25">
      <c r="A145" s="148"/>
      <c r="B145" s="148"/>
      <c r="C145" s="148"/>
      <c r="D145" s="148"/>
      <c r="E145" s="148"/>
    </row>
    <row r="146" spans="1:5" x14ac:dyDescent="0.25">
      <c r="A146" s="148"/>
      <c r="B146" s="148"/>
      <c r="C146" s="148"/>
      <c r="D146" s="148"/>
      <c r="E146" s="148"/>
    </row>
    <row r="147" spans="1:5" x14ac:dyDescent="0.25">
      <c r="A147" s="148"/>
      <c r="B147" s="148"/>
      <c r="C147" s="148"/>
      <c r="D147" s="148"/>
      <c r="E147" s="148"/>
    </row>
    <row r="148" spans="1:5" x14ac:dyDescent="0.25">
      <c r="A148" s="148"/>
      <c r="B148" s="148"/>
      <c r="C148" s="148"/>
      <c r="D148" s="148"/>
      <c r="E148" s="148"/>
    </row>
    <row r="149" spans="1:5" x14ac:dyDescent="0.25">
      <c r="A149" s="148"/>
      <c r="B149" s="148"/>
      <c r="C149" s="148"/>
      <c r="D149" s="148"/>
      <c r="E149" s="148"/>
    </row>
    <row r="150" spans="1:5" x14ac:dyDescent="0.25">
      <c r="A150" s="148"/>
      <c r="B150" s="148"/>
      <c r="C150" s="148"/>
      <c r="D150" s="148"/>
      <c r="E150" s="148"/>
    </row>
    <row r="151" spans="1:5" x14ac:dyDescent="0.25">
      <c r="A151" s="148"/>
      <c r="B151" s="148"/>
      <c r="C151" s="148"/>
      <c r="D151" s="148"/>
      <c r="E151" s="148"/>
    </row>
    <row r="152" spans="1:5" x14ac:dyDescent="0.25">
      <c r="A152" s="148"/>
      <c r="B152" s="148"/>
      <c r="C152" s="148"/>
      <c r="D152" s="148"/>
      <c r="E152" s="148"/>
    </row>
    <row r="153" spans="1:5" x14ac:dyDescent="0.25">
      <c r="A153" s="148"/>
      <c r="B153" s="148"/>
      <c r="C153" s="148"/>
      <c r="D153" s="148"/>
      <c r="E153" s="148"/>
    </row>
    <row r="154" spans="1:5" x14ac:dyDescent="0.25">
      <c r="A154" s="148"/>
      <c r="B154" s="148"/>
      <c r="C154" s="148"/>
      <c r="D154" s="148"/>
      <c r="E154" s="148"/>
    </row>
    <row r="155" spans="1:5" x14ac:dyDescent="0.25">
      <c r="A155" s="148"/>
      <c r="B155" s="148"/>
      <c r="C155" s="148"/>
      <c r="D155" s="148"/>
      <c r="E155" s="148"/>
    </row>
    <row r="156" spans="1:5" x14ac:dyDescent="0.25">
      <c r="A156" s="148"/>
      <c r="B156" s="148"/>
      <c r="C156" s="148"/>
      <c r="D156" s="148"/>
      <c r="E156" s="148"/>
    </row>
    <row r="157" spans="1:5" x14ac:dyDescent="0.25">
      <c r="A157" s="148"/>
      <c r="B157" s="148"/>
      <c r="C157" s="148"/>
      <c r="D157" s="148"/>
      <c r="E157" s="148"/>
    </row>
    <row r="158" spans="1:5" x14ac:dyDescent="0.25">
      <c r="A158" s="148"/>
      <c r="B158" s="148"/>
      <c r="C158" s="148"/>
      <c r="D158" s="148"/>
      <c r="E158" s="148"/>
    </row>
    <row r="159" spans="1:5" x14ac:dyDescent="0.25">
      <c r="A159" s="148"/>
      <c r="B159" s="148"/>
      <c r="C159" s="148"/>
      <c r="D159" s="148"/>
      <c r="E159" s="148"/>
    </row>
    <row r="160" spans="1:5" x14ac:dyDescent="0.25">
      <c r="A160" s="148"/>
      <c r="B160" s="148"/>
      <c r="C160" s="148"/>
      <c r="D160" s="148"/>
      <c r="E160" s="148"/>
    </row>
    <row r="161" spans="1:5" x14ac:dyDescent="0.25">
      <c r="A161" s="148"/>
      <c r="B161" s="148"/>
      <c r="C161" s="148"/>
      <c r="D161" s="148"/>
      <c r="E161" s="148"/>
    </row>
    <row r="162" spans="1:5" x14ac:dyDescent="0.25">
      <c r="A162" s="148"/>
      <c r="B162" s="148"/>
      <c r="C162" s="148"/>
      <c r="D162" s="148"/>
      <c r="E162" s="148"/>
    </row>
    <row r="163" spans="1:5" x14ac:dyDescent="0.25">
      <c r="A163" s="148"/>
      <c r="B163" s="148"/>
      <c r="C163" s="148"/>
      <c r="D163" s="148"/>
      <c r="E163" s="148"/>
    </row>
    <row r="164" spans="1:5" x14ac:dyDescent="0.25">
      <c r="A164" s="148"/>
      <c r="B164" s="148"/>
      <c r="C164" s="148"/>
      <c r="D164" s="148"/>
      <c r="E164" s="148"/>
    </row>
    <row r="165" spans="1:5" x14ac:dyDescent="0.25">
      <c r="A165" s="148"/>
      <c r="B165" s="148"/>
      <c r="C165" s="148"/>
      <c r="D165" s="148"/>
      <c r="E165" s="148"/>
    </row>
    <row r="166" spans="1:5" x14ac:dyDescent="0.25">
      <c r="A166" s="148"/>
      <c r="B166" s="148"/>
      <c r="C166" s="148"/>
      <c r="D166" s="148"/>
      <c r="E166" s="148"/>
    </row>
    <row r="167" spans="1:5" x14ac:dyDescent="0.25">
      <c r="A167" s="148"/>
      <c r="B167" s="148"/>
      <c r="C167" s="148"/>
      <c r="D167" s="148"/>
      <c r="E167" s="148"/>
    </row>
    <row r="168" spans="1:5" x14ac:dyDescent="0.25">
      <c r="A168" s="148"/>
      <c r="B168" s="148"/>
      <c r="C168" s="148"/>
      <c r="D168" s="148"/>
      <c r="E168" s="148"/>
    </row>
    <row r="169" spans="1:5" x14ac:dyDescent="0.25">
      <c r="A169" s="148"/>
      <c r="B169" s="148"/>
      <c r="C169" s="148"/>
      <c r="D169" s="148"/>
      <c r="E169" s="148"/>
    </row>
    <row r="170" spans="1:5" x14ac:dyDescent="0.25">
      <c r="A170" s="148"/>
      <c r="B170" s="148"/>
      <c r="C170" s="148"/>
      <c r="D170" s="148"/>
      <c r="E170" s="148"/>
    </row>
    <row r="171" spans="1:5" x14ac:dyDescent="0.25">
      <c r="A171" s="148"/>
      <c r="B171" s="148"/>
      <c r="C171" s="148"/>
      <c r="D171" s="148"/>
      <c r="E171" s="148"/>
    </row>
    <row r="172" spans="1:5" x14ac:dyDescent="0.25">
      <c r="A172" s="148"/>
      <c r="B172" s="148"/>
      <c r="C172" s="148"/>
      <c r="D172" s="148"/>
      <c r="E172" s="148"/>
    </row>
    <row r="173" spans="1:5" x14ac:dyDescent="0.25">
      <c r="A173" s="148"/>
      <c r="B173" s="148"/>
      <c r="C173" s="148"/>
      <c r="D173" s="148"/>
      <c r="E173" s="148"/>
    </row>
    <row r="174" spans="1:5" x14ac:dyDescent="0.25">
      <c r="A174" s="148"/>
      <c r="B174" s="148"/>
      <c r="C174" s="148"/>
      <c r="D174" s="148"/>
      <c r="E174" s="148"/>
    </row>
    <row r="175" spans="1:5" x14ac:dyDescent="0.25">
      <c r="A175" s="148"/>
      <c r="B175" s="148"/>
      <c r="C175" s="148"/>
      <c r="D175" s="148"/>
      <c r="E175" s="148"/>
    </row>
    <row r="176" spans="1:5" x14ac:dyDescent="0.25">
      <c r="A176" s="148"/>
      <c r="B176" s="148"/>
      <c r="C176" s="148"/>
      <c r="D176" s="148"/>
      <c r="E176" s="148"/>
    </row>
    <row r="177" spans="1:5" x14ac:dyDescent="0.25">
      <c r="A177" s="148"/>
      <c r="B177" s="148"/>
      <c r="C177" s="148"/>
      <c r="D177" s="148"/>
      <c r="E177" s="148"/>
    </row>
    <row r="178" spans="1:5" x14ac:dyDescent="0.25">
      <c r="A178" s="148"/>
      <c r="B178" s="148"/>
      <c r="C178" s="148"/>
      <c r="D178" s="148"/>
      <c r="E178" s="148"/>
    </row>
    <row r="179" spans="1:5" x14ac:dyDescent="0.25">
      <c r="A179" s="148"/>
      <c r="B179" s="148"/>
      <c r="C179" s="148"/>
      <c r="D179" s="148"/>
      <c r="E179" s="148"/>
    </row>
    <row r="180" spans="1:5" x14ac:dyDescent="0.25">
      <c r="A180" s="148"/>
      <c r="B180" s="148"/>
      <c r="C180" s="148"/>
      <c r="D180" s="148"/>
      <c r="E180" s="148"/>
    </row>
    <row r="181" spans="1:5" x14ac:dyDescent="0.25">
      <c r="A181" s="148"/>
      <c r="B181" s="148"/>
      <c r="C181" s="148"/>
      <c r="D181" s="148"/>
      <c r="E181" s="148"/>
    </row>
    <row r="182" spans="1:5" x14ac:dyDescent="0.25">
      <c r="A182" s="148"/>
      <c r="B182" s="148"/>
      <c r="C182" s="148"/>
      <c r="D182" s="148"/>
      <c r="E182" s="148"/>
    </row>
    <row r="183" spans="1:5" x14ac:dyDescent="0.25">
      <c r="A183" s="148"/>
      <c r="B183" s="148"/>
      <c r="C183" s="148"/>
      <c r="D183" s="148"/>
      <c r="E183" s="148"/>
    </row>
    <row r="184" spans="1:5" x14ac:dyDescent="0.25">
      <c r="A184" s="148"/>
      <c r="B184" s="148"/>
      <c r="C184" s="148"/>
      <c r="D184" s="148"/>
      <c r="E184" s="148"/>
    </row>
    <row r="185" spans="1:5" x14ac:dyDescent="0.25">
      <c r="A185" s="148"/>
      <c r="B185" s="148"/>
      <c r="C185" s="148"/>
      <c r="D185" s="148"/>
      <c r="E185" s="148"/>
    </row>
    <row r="186" spans="1:5" x14ac:dyDescent="0.25">
      <c r="A186" s="148"/>
      <c r="B186" s="148"/>
      <c r="C186" s="148"/>
      <c r="D186" s="148"/>
      <c r="E186" s="148"/>
    </row>
    <row r="187" spans="1:5" x14ac:dyDescent="0.25">
      <c r="A187" s="148"/>
      <c r="B187" s="148"/>
      <c r="C187" s="148"/>
      <c r="D187" s="148"/>
      <c r="E187" s="148"/>
    </row>
    <row r="188" spans="1:5" x14ac:dyDescent="0.25">
      <c r="A188" s="148"/>
      <c r="B188" s="148"/>
      <c r="C188" s="148"/>
      <c r="D188" s="148"/>
      <c r="E188" s="148"/>
    </row>
    <row r="189" spans="1:5" x14ac:dyDescent="0.25">
      <c r="A189" s="148"/>
      <c r="B189" s="148"/>
      <c r="C189" s="148"/>
      <c r="D189" s="148"/>
      <c r="E189" s="148"/>
    </row>
    <row r="190" spans="1:5" x14ac:dyDescent="0.25">
      <c r="A190" s="148"/>
      <c r="B190" s="148"/>
      <c r="C190" s="148"/>
      <c r="D190" s="148"/>
      <c r="E190" s="148"/>
    </row>
    <row r="191" spans="1:5" x14ac:dyDescent="0.25">
      <c r="A191" s="148"/>
      <c r="B191" s="148"/>
      <c r="C191" s="148"/>
      <c r="D191" s="148"/>
      <c r="E191" s="148"/>
    </row>
    <row r="192" spans="1:5" x14ac:dyDescent="0.25">
      <c r="A192" s="148"/>
      <c r="B192" s="148"/>
      <c r="C192" s="148"/>
      <c r="D192" s="148"/>
      <c r="E192" s="148"/>
    </row>
    <row r="193" spans="1:5" x14ac:dyDescent="0.25">
      <c r="A193" s="148"/>
      <c r="B193" s="148"/>
      <c r="C193" s="148"/>
      <c r="D193" s="148"/>
      <c r="E193" s="148"/>
    </row>
    <row r="194" spans="1:5" x14ac:dyDescent="0.25">
      <c r="A194" s="148"/>
      <c r="B194" s="148"/>
      <c r="C194" s="148"/>
      <c r="D194" s="148"/>
      <c r="E194" s="148"/>
    </row>
    <row r="195" spans="1:5" x14ac:dyDescent="0.25">
      <c r="A195" s="148"/>
      <c r="B195" s="148"/>
      <c r="C195" s="148"/>
      <c r="D195" s="148"/>
      <c r="E195" s="148"/>
    </row>
    <row r="196" spans="1:5" x14ac:dyDescent="0.25">
      <c r="A196" s="148"/>
      <c r="B196" s="148"/>
      <c r="C196" s="148"/>
      <c r="D196" s="148"/>
      <c r="E196" s="148"/>
    </row>
    <row r="197" spans="1:5" x14ac:dyDescent="0.25">
      <c r="A197" s="148"/>
      <c r="B197" s="148"/>
      <c r="C197" s="148"/>
      <c r="D197" s="148"/>
      <c r="E197" s="148"/>
    </row>
    <row r="198" spans="1:5" x14ac:dyDescent="0.25">
      <c r="A198" s="148"/>
      <c r="B198" s="148"/>
      <c r="C198" s="148"/>
      <c r="D198" s="148"/>
      <c r="E198" s="148"/>
    </row>
    <row r="199" spans="1:5" x14ac:dyDescent="0.25">
      <c r="A199" s="148"/>
      <c r="B199" s="148"/>
      <c r="C199" s="148"/>
      <c r="D199" s="148"/>
      <c r="E199" s="148"/>
    </row>
    <row r="200" spans="1:5" x14ac:dyDescent="0.25">
      <c r="A200" s="148"/>
      <c r="B200" s="148"/>
      <c r="C200" s="148"/>
      <c r="D200" s="148"/>
      <c r="E200" s="148"/>
    </row>
    <row r="201" spans="1:5" x14ac:dyDescent="0.25">
      <c r="A201" s="148"/>
      <c r="B201" s="148"/>
      <c r="C201" s="148"/>
      <c r="D201" s="148"/>
      <c r="E201" s="148"/>
    </row>
    <row r="202" spans="1:5" x14ac:dyDescent="0.25">
      <c r="A202" s="148"/>
      <c r="B202" s="148"/>
      <c r="C202" s="148"/>
      <c r="D202" s="148"/>
      <c r="E202" s="148"/>
    </row>
    <row r="203" spans="1:5" x14ac:dyDescent="0.25">
      <c r="A203" s="148"/>
      <c r="B203" s="148"/>
      <c r="C203" s="148"/>
      <c r="D203" s="148"/>
      <c r="E203" s="148"/>
    </row>
    <row r="204" spans="1:5" x14ac:dyDescent="0.25">
      <c r="A204" s="148"/>
      <c r="B204" s="148"/>
      <c r="C204" s="148"/>
      <c r="D204" s="148"/>
      <c r="E204" s="148"/>
    </row>
    <row r="205" spans="1:5" x14ac:dyDescent="0.25">
      <c r="A205" s="148"/>
      <c r="B205" s="148"/>
      <c r="C205" s="148"/>
      <c r="D205" s="148"/>
      <c r="E205" s="148"/>
    </row>
    <row r="206" spans="1:5" x14ac:dyDescent="0.25">
      <c r="A206" s="148"/>
      <c r="B206" s="148"/>
      <c r="C206" s="148"/>
      <c r="D206" s="148"/>
      <c r="E206" s="148"/>
    </row>
  </sheetData>
  <mergeCells count="10">
    <mergeCell ref="A26:B26"/>
    <mergeCell ref="C26:D26"/>
    <mergeCell ref="N28:O28"/>
    <mergeCell ref="X28:Y28"/>
    <mergeCell ref="B1:C1"/>
    <mergeCell ref="E1:H1"/>
    <mergeCell ref="L1:O1"/>
    <mergeCell ref="B2:C2"/>
    <mergeCell ref="B3:C3"/>
    <mergeCell ref="A25:D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35"/>
  <sheetViews>
    <sheetView tabSelected="1" zoomScale="55" zoomScaleNormal="55" workbookViewId="0">
      <selection activeCell="K34" sqref="K34"/>
    </sheetView>
  </sheetViews>
  <sheetFormatPr defaultRowHeight="15" x14ac:dyDescent="0.25"/>
  <cols>
    <col min="3" max="3" width="11.42578125" customWidth="1"/>
    <col min="19" max="19" width="14.42578125" bestFit="1" customWidth="1"/>
    <col min="20" max="20" width="14.28515625" bestFit="1" customWidth="1"/>
    <col min="23" max="23" width="12" bestFit="1" customWidth="1"/>
    <col min="25" max="25" width="10.28515625" bestFit="1" customWidth="1"/>
  </cols>
  <sheetData>
    <row r="1" spans="1:37" ht="15.75" thickBot="1" x14ac:dyDescent="0.3">
      <c r="C1" s="231" t="s">
        <v>224</v>
      </c>
      <c r="D1" s="232"/>
      <c r="E1" s="232"/>
      <c r="H1" s="233" t="s">
        <v>225</v>
      </c>
      <c r="I1" s="166" t="s">
        <v>226</v>
      </c>
      <c r="J1" s="166" t="s">
        <v>227</v>
      </c>
      <c r="K1" s="233" t="s">
        <v>228</v>
      </c>
      <c r="L1" s="233" t="s">
        <v>229</v>
      </c>
      <c r="N1" s="167" t="s">
        <v>230</v>
      </c>
      <c r="O1" s="168">
        <f>8.314/1000</f>
        <v>8.3140000000000002E-3</v>
      </c>
    </row>
    <row r="2" spans="1:37" ht="15.75" thickBot="1" x14ac:dyDescent="0.3">
      <c r="C2" s="167" t="s">
        <v>8</v>
      </c>
      <c r="D2" s="169" t="s">
        <v>9</v>
      </c>
      <c r="E2" s="168" t="s">
        <v>10</v>
      </c>
      <c r="H2" s="234"/>
      <c r="I2" s="235" t="s">
        <v>231</v>
      </c>
      <c r="J2" s="235"/>
      <c r="K2" s="234"/>
      <c r="L2" s="234"/>
    </row>
    <row r="3" spans="1:37" ht="15.75" thickBot="1" x14ac:dyDescent="0.3">
      <c r="A3" s="13" t="s">
        <v>8</v>
      </c>
      <c r="B3" s="21" t="s">
        <v>43</v>
      </c>
      <c r="C3" s="13">
        <v>20.840540000000001</v>
      </c>
      <c r="D3" s="20">
        <v>-2624.5250000000001</v>
      </c>
      <c r="E3" s="21">
        <v>-46.151710000000001</v>
      </c>
      <c r="H3" s="235" t="s">
        <v>232</v>
      </c>
      <c r="I3" s="235"/>
      <c r="J3" s="235"/>
      <c r="K3" s="235"/>
      <c r="L3" s="235"/>
    </row>
    <row r="4" spans="1:37" x14ac:dyDescent="0.25">
      <c r="A4" s="17" t="s">
        <v>9</v>
      </c>
      <c r="B4" s="19" t="s">
        <v>134</v>
      </c>
      <c r="C4" s="17">
        <v>23.534700000000001</v>
      </c>
      <c r="D4" s="18">
        <v>-3661.4679999999998</v>
      </c>
      <c r="E4" s="19">
        <v>-32.770009999999999</v>
      </c>
      <c r="H4" s="170" t="s">
        <v>233</v>
      </c>
      <c r="I4" s="127">
        <v>5.5736999999999997</v>
      </c>
      <c r="J4" s="127">
        <v>7.4991000000000003</v>
      </c>
      <c r="K4" s="170">
        <v>6.4999999999999997E-3</v>
      </c>
      <c r="L4" s="170">
        <v>0.4</v>
      </c>
    </row>
    <row r="5" spans="1:37" ht="15.75" thickBot="1" x14ac:dyDescent="0.3">
      <c r="A5" s="22" t="s">
        <v>10</v>
      </c>
      <c r="B5" s="24" t="s">
        <v>46</v>
      </c>
      <c r="C5" s="22" t="s">
        <v>19</v>
      </c>
      <c r="D5" s="23" t="s">
        <v>19</v>
      </c>
      <c r="E5" s="24" t="s">
        <v>19</v>
      </c>
      <c r="H5" s="171" t="s">
        <v>234</v>
      </c>
      <c r="I5" s="129">
        <v>19.269400000000001</v>
      </c>
      <c r="J5" s="129">
        <v>16.212</v>
      </c>
      <c r="K5" s="171"/>
      <c r="L5" s="171"/>
    </row>
    <row r="6" spans="1:37" ht="15.75" thickBot="1" x14ac:dyDescent="0.3">
      <c r="A6" s="2" t="s">
        <v>235</v>
      </c>
      <c r="B6">
        <v>2.4500000000000002</v>
      </c>
      <c r="H6" s="172" t="s">
        <v>236</v>
      </c>
      <c r="I6" s="131">
        <v>10.6456</v>
      </c>
      <c r="J6" s="131">
        <v>0.56320000000000003</v>
      </c>
      <c r="K6" s="173"/>
      <c r="L6" s="173"/>
    </row>
    <row r="7" spans="1:37" ht="15.75" thickBot="1" x14ac:dyDescent="0.3">
      <c r="AI7" s="174"/>
      <c r="AJ7" s="174"/>
      <c r="AK7" s="174"/>
    </row>
    <row r="8" spans="1:37" ht="15.75" thickBot="1" x14ac:dyDescent="0.3">
      <c r="O8" s="221" t="s">
        <v>237</v>
      </c>
      <c r="P8" s="222"/>
      <c r="Q8" s="223"/>
      <c r="AG8" s="175"/>
      <c r="AH8" s="175"/>
      <c r="AI8" s="175"/>
      <c r="AJ8" s="18"/>
    </row>
    <row r="9" spans="1:37" ht="15.75" thickBot="1" x14ac:dyDescent="0.3">
      <c r="B9" s="112"/>
      <c r="C9" s="112" t="s">
        <v>150</v>
      </c>
      <c r="D9" s="118" t="s">
        <v>151</v>
      </c>
      <c r="E9" s="111" t="s">
        <v>152</v>
      </c>
      <c r="F9" s="118" t="s">
        <v>153</v>
      </c>
      <c r="G9" s="118" t="s">
        <v>154</v>
      </c>
      <c r="H9" s="112" t="s">
        <v>238</v>
      </c>
      <c r="I9" s="118" t="s">
        <v>239</v>
      </c>
      <c r="J9" s="118" t="s">
        <v>240</v>
      </c>
      <c r="K9" s="112" t="s">
        <v>5</v>
      </c>
      <c r="L9" s="112" t="s">
        <v>6</v>
      </c>
      <c r="M9" s="118" t="s">
        <v>7</v>
      </c>
      <c r="N9" s="112" t="s">
        <v>241</v>
      </c>
      <c r="O9" s="112" t="s">
        <v>5</v>
      </c>
      <c r="P9" s="118" t="s">
        <v>6</v>
      </c>
      <c r="Q9" s="118" t="s">
        <v>7</v>
      </c>
      <c r="S9" s="112"/>
      <c r="T9" s="112" t="s">
        <v>150</v>
      </c>
      <c r="U9" s="118" t="s">
        <v>151</v>
      </c>
      <c r="V9" s="111" t="s">
        <v>152</v>
      </c>
      <c r="W9" s="176" t="s">
        <v>153</v>
      </c>
      <c r="X9" s="118" t="s">
        <v>154</v>
      </c>
      <c r="Y9" s="112" t="s">
        <v>238</v>
      </c>
      <c r="Z9" s="118" t="s">
        <v>239</v>
      </c>
      <c r="AA9" s="118" t="s">
        <v>240</v>
      </c>
      <c r="AB9" s="112" t="s">
        <v>155</v>
      </c>
      <c r="AC9" s="118" t="s">
        <v>156</v>
      </c>
      <c r="AD9" s="118" t="s">
        <v>157</v>
      </c>
      <c r="AE9" s="112" t="s">
        <v>158</v>
      </c>
      <c r="AF9" s="147" t="s">
        <v>242</v>
      </c>
      <c r="AG9" s="18"/>
      <c r="AH9" s="18"/>
      <c r="AI9" s="18"/>
      <c r="AJ9" s="18"/>
    </row>
    <row r="10" spans="1:37" x14ac:dyDescent="0.25">
      <c r="B10" s="146"/>
      <c r="C10" s="146">
        <v>45.124085008374763</v>
      </c>
      <c r="D10" s="177">
        <v>318.27408500837475</v>
      </c>
      <c r="E10" s="146">
        <v>72.830509697727308</v>
      </c>
      <c r="F10" s="115">
        <v>44.807305787263978</v>
      </c>
      <c r="G10" s="146">
        <v>0</v>
      </c>
      <c r="H10" s="146">
        <v>16260.352476853752</v>
      </c>
      <c r="I10" s="146">
        <v>49.810086024720398</v>
      </c>
      <c r="J10" s="146">
        <v>0</v>
      </c>
      <c r="K10" s="146">
        <f>MMULT(L20,I20)</f>
        <v>2.3429527372593278E-7</v>
      </c>
      <c r="L10" s="146">
        <f>MMULT(L22,I22)</f>
        <v>1.9999770148641408E-2</v>
      </c>
      <c r="M10" s="146">
        <f>MMULT(L24,I24)</f>
        <v>0.98</v>
      </c>
      <c r="N10" s="111">
        <f>SUM(K10:M10)</f>
        <v>1.000000004443915</v>
      </c>
      <c r="O10" s="146">
        <f>K10/(K10+L10+M10)</f>
        <v>2.3429527268474451E-7</v>
      </c>
      <c r="P10" s="146">
        <f>L10/(K10+L10+M10)</f>
        <v>1.9999770059764131E-2</v>
      </c>
      <c r="Q10" s="146">
        <f>M10/(K10+L10+M10)</f>
        <v>0.97999999564496332</v>
      </c>
      <c r="S10" s="146"/>
      <c r="T10" s="146">
        <v>45.124085008374763</v>
      </c>
      <c r="U10" s="177">
        <f>T10+273.15</f>
        <v>318.27408500837475</v>
      </c>
      <c r="V10" s="146">
        <f>EXP(C3+D3/(U10+E3))/1000</f>
        <v>72.830509697727308</v>
      </c>
      <c r="W10" s="146">
        <f>EXP(C4+D4/(U10+E4))/1000</f>
        <v>44.807305787263978</v>
      </c>
      <c r="X10" s="146">
        <v>0</v>
      </c>
      <c r="Y10" s="146">
        <f>V10*AA14/$B$6</f>
        <v>16260.352476853781</v>
      </c>
      <c r="Z10" s="146">
        <f t="shared" ref="Z10:AA10" si="0">W10*AB14/$B$6</f>
        <v>49.810086024720398</v>
      </c>
      <c r="AA10" s="146">
        <f t="shared" si="0"/>
        <v>0</v>
      </c>
      <c r="AB10" s="146">
        <f>(O10*AA14*V10)/$B$6</f>
        <v>3.8097237175145171E-3</v>
      </c>
      <c r="AC10" s="146">
        <f t="shared" ref="AC10:AD10" si="1">(P10*AB14*W10)/$B$6</f>
        <v>0.99619026715147885</v>
      </c>
      <c r="AD10" s="146">
        <f t="shared" si="1"/>
        <v>0</v>
      </c>
      <c r="AE10" s="146">
        <f>SUM(AB10:AD10)</f>
        <v>0.99999999086899338</v>
      </c>
      <c r="AF10">
        <f>V10*O10*AA14+W10*P10*AB14+Q10*X10*AC14</f>
        <v>2.4499999776290333</v>
      </c>
    </row>
    <row r="11" spans="1:37" ht="15.75" thickBot="1" x14ac:dyDescent="0.3"/>
    <row r="12" spans="1:37" ht="15.75" thickBot="1" x14ac:dyDescent="0.3">
      <c r="C12" s="221" t="s">
        <v>243</v>
      </c>
      <c r="D12" s="222"/>
      <c r="E12" s="223"/>
      <c r="AA12" s="221" t="s">
        <v>244</v>
      </c>
      <c r="AB12" s="222"/>
      <c r="AC12" s="223"/>
    </row>
    <row r="13" spans="1:37" ht="15.75" thickBot="1" x14ac:dyDescent="0.3">
      <c r="B13" s="112"/>
      <c r="C13" s="112" t="s">
        <v>177</v>
      </c>
      <c r="D13" s="118" t="s">
        <v>178</v>
      </c>
      <c r="E13" s="118" t="s">
        <v>179</v>
      </c>
      <c r="F13" s="112" t="s">
        <v>159</v>
      </c>
      <c r="G13" s="118" t="s">
        <v>160</v>
      </c>
      <c r="H13" s="118" t="s">
        <v>161</v>
      </c>
      <c r="I13" s="118" t="s">
        <v>162</v>
      </c>
      <c r="J13" s="118" t="s">
        <v>163</v>
      </c>
      <c r="K13" s="118" t="s">
        <v>164</v>
      </c>
      <c r="L13" s="112" t="s">
        <v>165</v>
      </c>
      <c r="M13" s="118" t="s">
        <v>166</v>
      </c>
      <c r="N13" s="118" t="s">
        <v>167</v>
      </c>
      <c r="O13" s="118" t="s">
        <v>168</v>
      </c>
      <c r="P13" s="118" t="s">
        <v>169</v>
      </c>
      <c r="Q13" s="118" t="s">
        <v>170</v>
      </c>
      <c r="R13" s="138" t="s">
        <v>171</v>
      </c>
      <c r="S13" s="139" t="s">
        <v>172</v>
      </c>
      <c r="T13" s="139" t="s">
        <v>173</v>
      </c>
      <c r="U13" s="138" t="s">
        <v>174</v>
      </c>
      <c r="V13" s="139" t="s">
        <v>175</v>
      </c>
      <c r="W13" s="139" t="s">
        <v>176</v>
      </c>
      <c r="X13" s="138" t="s">
        <v>245</v>
      </c>
      <c r="Y13" s="139" t="s">
        <v>246</v>
      </c>
      <c r="Z13" s="139" t="s">
        <v>247</v>
      </c>
      <c r="AA13" s="138" t="s">
        <v>177</v>
      </c>
      <c r="AB13" s="139" t="s">
        <v>178</v>
      </c>
      <c r="AC13" s="139" t="s">
        <v>179</v>
      </c>
    </row>
    <row r="14" spans="1:37" x14ac:dyDescent="0.25">
      <c r="B14" s="146"/>
      <c r="C14" s="146">
        <v>1</v>
      </c>
      <c r="D14" s="146">
        <v>1</v>
      </c>
      <c r="E14" s="146">
        <v>1</v>
      </c>
      <c r="F14" s="146">
        <f>I4/$O$1/$D$10</f>
        <v>2.106358506755881</v>
      </c>
      <c r="G14" s="146">
        <f>J4/$O$1/$D$10</f>
        <v>2.8339869526549739</v>
      </c>
      <c r="H14" s="146">
        <f>I5/$O$1/$D$10</f>
        <v>7.282104277245236</v>
      </c>
      <c r="I14" s="146">
        <f>J5/$O$1/$D$10</f>
        <v>6.1266813986268263</v>
      </c>
      <c r="J14" s="146">
        <f>I6/$O$1/$D$10</f>
        <v>4.023081636887599</v>
      </c>
      <c r="K14" s="146">
        <f>J6/$O$1/$D$10</f>
        <v>0.21283906758614785</v>
      </c>
      <c r="L14" s="146">
        <f>EXP(-$L$4*F14)</f>
        <v>0.4306139048796066</v>
      </c>
      <c r="M14" s="146">
        <f t="shared" ref="M14:Q14" si="2">EXP(-$L$4*G14)</f>
        <v>0.32187410728161653</v>
      </c>
      <c r="N14" s="146">
        <f t="shared" si="2"/>
        <v>5.4321145340235868E-2</v>
      </c>
      <c r="O14" s="146">
        <f t="shared" si="2"/>
        <v>8.6235568444715374E-2</v>
      </c>
      <c r="P14" s="146">
        <f t="shared" si="2"/>
        <v>0.20004105574917189</v>
      </c>
      <c r="Q14" s="146">
        <f t="shared" si="2"/>
        <v>0.91838771775170325</v>
      </c>
      <c r="R14" s="146">
        <f>P10*G14*M14+Q10*I14*O14</f>
        <v>0.53601462438768521</v>
      </c>
      <c r="S14" s="146">
        <f>O10*F14*L14+Q10*K14*Q14</f>
        <v>0.19155962147919187</v>
      </c>
      <c r="T14" s="146">
        <f>O10*H14*N14+P10*J14*P14</f>
        <v>1.6095537589221529E-2</v>
      </c>
      <c r="U14" s="146">
        <f>O10+M14*P10+Q10*O14</f>
        <v>9.0948499129358859E-2</v>
      </c>
      <c r="V14" s="146">
        <f>O10*L14+P10+Q10*Q14</f>
        <v>0.92001983034762347</v>
      </c>
      <c r="W14" s="146">
        <f>O10*N14+P10*P14+Q10</f>
        <v>0.98400078348964681</v>
      </c>
      <c r="X14">
        <f>R14/U14-O10*R14/U14^2+P10*L14/V14*(F14-S14/V14)+Q10*N14/W14*(H14-T14/W14)</f>
        <v>6.3044381283030031</v>
      </c>
      <c r="Y14">
        <f>S14/V14-P10*S14/V14^2+O10*M14/U14*(G14-R14/U14)+Q10*P14/W14*(J14-T14/W14)</f>
        <v>1.0019343169634329</v>
      </c>
      <c r="Z14">
        <f>T14/W14-Q10*T14/W14^2+O10*O14/U14*(I14-R14/U14)+P10*Q14/V14*(K14-S14/V14)</f>
        <v>1.5892397129174722E-4</v>
      </c>
      <c r="AA14" s="111">
        <f>EXP(X14)</f>
        <v>546.99416128808059</v>
      </c>
      <c r="AB14" s="111">
        <f t="shared" ref="AB14:AC14" si="3">EXP(Y14)</f>
        <v>2.7235449357290324</v>
      </c>
      <c r="AC14" s="111">
        <f t="shared" si="3"/>
        <v>1.0001589366003751</v>
      </c>
    </row>
    <row r="18" spans="1:38" ht="15.75" thickBot="1" x14ac:dyDescent="0.3"/>
    <row r="19" spans="1:38" ht="15.75" thickBot="1" x14ac:dyDescent="0.3">
      <c r="B19" s="1" t="s">
        <v>47</v>
      </c>
      <c r="C19" s="8" t="s">
        <v>5</v>
      </c>
      <c r="D19" s="8" t="s">
        <v>6</v>
      </c>
      <c r="E19" s="5" t="s">
        <v>7</v>
      </c>
      <c r="G19" s="1" t="s">
        <v>8</v>
      </c>
      <c r="I19" s="12" t="s">
        <v>248</v>
      </c>
      <c r="K19" s="1" t="s">
        <v>249</v>
      </c>
    </row>
    <row r="20" spans="1:38" ht="15.75" thickBot="1" x14ac:dyDescent="0.3">
      <c r="A20" s="12" t="s">
        <v>17</v>
      </c>
      <c r="B20">
        <f>A32</f>
        <v>23.643116640380832</v>
      </c>
      <c r="C20">
        <f>A33</f>
        <v>1.8542519675420353E-3</v>
      </c>
      <c r="D20">
        <f>A34</f>
        <v>0.49509609737333848</v>
      </c>
      <c r="E20">
        <f>A35</f>
        <v>0.50304965065911944</v>
      </c>
      <c r="H20" s="167">
        <f>$B$22+$B$21*H10</f>
        <v>187115.57792896088</v>
      </c>
      <c r="I20" s="165">
        <f>$B$20*C20</f>
        <v>4.3840295549251992E-2</v>
      </c>
      <c r="L20" s="2">
        <f>MINVERSE(H20)</f>
        <v>5.3442904704580705E-6</v>
      </c>
    </row>
    <row r="21" spans="1:38" ht="15.75" thickBot="1" x14ac:dyDescent="0.3">
      <c r="A21" s="27" t="s">
        <v>250</v>
      </c>
      <c r="B21" s="35">
        <f>B20-B22</f>
        <v>11.506727286874311</v>
      </c>
      <c r="C21">
        <f>AB10</f>
        <v>3.8097237175145171E-3</v>
      </c>
      <c r="D21">
        <f t="shared" ref="D21:E21" si="4">AC10</f>
        <v>0.99619026715147885</v>
      </c>
      <c r="E21">
        <f t="shared" si="4"/>
        <v>0</v>
      </c>
      <c r="G21" s="1" t="s">
        <v>9</v>
      </c>
      <c r="I21" s="27" t="s">
        <v>248</v>
      </c>
      <c r="K21" s="1" t="s">
        <v>249</v>
      </c>
    </row>
    <row r="22" spans="1:38" ht="15.75" thickBot="1" x14ac:dyDescent="0.3">
      <c r="A22" s="36" t="s">
        <v>251</v>
      </c>
      <c r="B22" s="42">
        <f>B20*E20/E22</f>
        <v>12.136389353506521</v>
      </c>
      <c r="C22" s="178">
        <f>O10</f>
        <v>2.3429527268474451E-7</v>
      </c>
      <c r="D22" s="84">
        <f>P10</f>
        <v>1.9999770059764131E-2</v>
      </c>
      <c r="E22">
        <v>0.98</v>
      </c>
      <c r="H22" s="167">
        <f>$B$22+$B$21*I10</f>
        <v>585.28746537571351</v>
      </c>
      <c r="I22" s="165">
        <f>$B$20*D20</f>
        <v>11.705614778395187</v>
      </c>
      <c r="L22" s="2">
        <f>MINVERSE(H22)</f>
        <v>1.7085621325549319E-3</v>
      </c>
    </row>
    <row r="23" spans="1:38" ht="15.75" thickBot="1" x14ac:dyDescent="0.3">
      <c r="G23" s="1" t="s">
        <v>10</v>
      </c>
      <c r="I23" s="27" t="s">
        <v>248</v>
      </c>
      <c r="K23" s="1" t="s">
        <v>249</v>
      </c>
    </row>
    <row r="24" spans="1:38" ht="15.75" thickBot="1" x14ac:dyDescent="0.3">
      <c r="H24" s="167">
        <f>$B$22+$B$21*J10</f>
        <v>12.136389353506521</v>
      </c>
      <c r="I24" s="165">
        <f>$B$20*E20</f>
        <v>11.893661566436391</v>
      </c>
      <c r="L24" s="2">
        <f>MINVERSE(H24)</f>
        <v>8.2396829145158709E-2</v>
      </c>
    </row>
    <row r="27" spans="1:38" ht="15.75" thickBot="1" x14ac:dyDescent="0.3"/>
    <row r="28" spans="1:38" ht="15.75" thickBot="1" x14ac:dyDescent="0.3">
      <c r="C28" s="112" t="s">
        <v>150</v>
      </c>
      <c r="D28" s="118" t="s">
        <v>151</v>
      </c>
      <c r="E28" s="111" t="s">
        <v>152</v>
      </c>
      <c r="F28" s="118" t="s">
        <v>153</v>
      </c>
      <c r="G28" s="118" t="s">
        <v>154</v>
      </c>
      <c r="H28" s="112" t="s">
        <v>5</v>
      </c>
      <c r="I28" s="112" t="s">
        <v>6</v>
      </c>
      <c r="J28" s="118" t="s">
        <v>7</v>
      </c>
      <c r="K28" s="112" t="s">
        <v>159</v>
      </c>
      <c r="L28" s="118" t="s">
        <v>160</v>
      </c>
      <c r="M28" s="118" t="s">
        <v>161</v>
      </c>
      <c r="N28" s="118" t="s">
        <v>162</v>
      </c>
      <c r="O28" s="118" t="s">
        <v>163</v>
      </c>
      <c r="P28" s="118" t="s">
        <v>164</v>
      </c>
      <c r="Q28" s="112" t="s">
        <v>165</v>
      </c>
      <c r="R28" s="118" t="s">
        <v>166</v>
      </c>
      <c r="S28" s="118" t="s">
        <v>167</v>
      </c>
      <c r="T28" s="118" t="s">
        <v>168</v>
      </c>
      <c r="U28" s="118" t="s">
        <v>169</v>
      </c>
      <c r="V28" s="118" t="s">
        <v>170</v>
      </c>
      <c r="W28" s="138" t="s">
        <v>171</v>
      </c>
      <c r="X28" s="139" t="s">
        <v>172</v>
      </c>
      <c r="Y28" s="139" t="s">
        <v>173</v>
      </c>
      <c r="Z28" s="138" t="s">
        <v>174</v>
      </c>
      <c r="AA28" s="139" t="s">
        <v>175</v>
      </c>
      <c r="AB28" s="139" t="s">
        <v>176</v>
      </c>
      <c r="AC28" s="138" t="s">
        <v>245</v>
      </c>
      <c r="AD28" s="139" t="s">
        <v>246</v>
      </c>
      <c r="AE28" s="139" t="s">
        <v>247</v>
      </c>
      <c r="AF28" s="138" t="s">
        <v>177</v>
      </c>
      <c r="AG28" s="139" t="s">
        <v>178</v>
      </c>
      <c r="AH28" s="139" t="s">
        <v>179</v>
      </c>
      <c r="AI28" s="179" t="s">
        <v>252</v>
      </c>
      <c r="AJ28" s="179" t="s">
        <v>253</v>
      </c>
      <c r="AK28" s="179" t="s">
        <v>254</v>
      </c>
      <c r="AL28" s="179" t="s">
        <v>235</v>
      </c>
    </row>
    <row r="29" spans="1:38" x14ac:dyDescent="0.25">
      <c r="C29">
        <v>45</v>
      </c>
      <c r="D29">
        <f>C29+273.15</f>
        <v>318.14999999999998</v>
      </c>
      <c r="E29">
        <f>EXP(C3+D3/(D29+E3))/1000</f>
        <v>72.510769026390932</v>
      </c>
      <c r="F29">
        <f>EXP(C4+D4/(D29+E4))/1000</f>
        <v>44.55814639452187</v>
      </c>
      <c r="G29">
        <v>0</v>
      </c>
      <c r="H29" s="84">
        <f>C22</f>
        <v>2.3429527268474451E-7</v>
      </c>
      <c r="I29" s="84">
        <f>D22</f>
        <v>1.9999770059764131E-2</v>
      </c>
      <c r="J29" s="84">
        <f t="shared" ref="J29" si="5">E22</f>
        <v>0.98</v>
      </c>
      <c r="K29" s="146">
        <f>I4/$O$1/$D$29</f>
        <v>2.1071800296631609</v>
      </c>
      <c r="L29" s="146">
        <f>J4/$O$1/$D$29</f>
        <v>2.8350922655412045</v>
      </c>
      <c r="M29" s="146">
        <f>I5/$O$1/$D$29</f>
        <v>7.2849444468829168</v>
      </c>
      <c r="N29" s="146">
        <f>J5/$O$1/$D$29</f>
        <v>6.1290709297054313</v>
      </c>
      <c r="O29" s="146">
        <f>I6/$O$1/$D$29</f>
        <v>4.0246507210259157</v>
      </c>
      <c r="P29" s="146">
        <f>J6/$O$1/$D$29</f>
        <v>0.21292207917654202</v>
      </c>
      <c r="Q29" s="146">
        <f>EXP(-$L$4*K29)</f>
        <v>0.43047242445194145</v>
      </c>
      <c r="R29" s="146">
        <f t="shared" ref="R29:V29" si="6">EXP(-$L$4*L29)</f>
        <v>0.32173183009668638</v>
      </c>
      <c r="S29" s="146">
        <f t="shared" si="6"/>
        <v>5.425946787469077E-2</v>
      </c>
      <c r="T29" s="146">
        <f t="shared" si="6"/>
        <v>8.6153182795249569E-2</v>
      </c>
      <c r="U29" s="146">
        <f t="shared" si="6"/>
        <v>0.19991554264238187</v>
      </c>
      <c r="V29" s="146">
        <f t="shared" si="6"/>
        <v>0.91835722352796123</v>
      </c>
      <c r="W29" s="180">
        <f>I29*L29*R29+J29*N29*T29</f>
        <v>0.5357207675326795</v>
      </c>
      <c r="X29" s="180">
        <f>H29*K29*Q29+J29*P29*V29</f>
        <v>0.19162797139639695</v>
      </c>
      <c r="Y29" s="180">
        <f>H29*M29*S29+I29*O29*U29</f>
        <v>1.6091712260712581E-2</v>
      </c>
      <c r="Z29" s="180">
        <f>H29+R29*I29+J29*T29</f>
        <v>9.0864916057458084E-2</v>
      </c>
      <c r="AA29" s="180">
        <f>H29*Q29+I29+J29*V29</f>
        <v>0.9199899499748202</v>
      </c>
      <c r="AB29" s="180">
        <f>H29*S29+I29*U29+J29</f>
        <v>0.98399827759695746</v>
      </c>
      <c r="AC29">
        <f>W29/Z29-H29*W29/Z29^2+I29*Q29/AA29*(K29-X29/AA29)+J29*S29/AB29*(M29-Y29/AB29)</f>
        <v>6.3063354557796538</v>
      </c>
      <c r="AD29">
        <f>X29/AA29-I29*X29/AA29^2+H29*R29/Z29*(L29-W29/Z29)+J29*U29/AB29*(O29-Y29/AB29)</f>
        <v>1.0018278213224991</v>
      </c>
      <c r="AE29">
        <f>Y29/AB29-J29*Y29/AB29^2+H29*T29/Z29*(N29-W29/Z29)+I29*V29/AA29*(P29-X29/AA29)</f>
        <v>1.5890578844104063E-4</v>
      </c>
      <c r="AF29" s="111">
        <f>EXP(AC29)</f>
        <v>548.0329735117167</v>
      </c>
      <c r="AG29" s="111">
        <f t="shared" ref="AG29:AH29" si="7">EXP(AD29)</f>
        <v>2.7232549055092412</v>
      </c>
      <c r="AH29" s="111">
        <f t="shared" si="7"/>
        <v>1.0001589184146347</v>
      </c>
      <c r="AI29" s="84">
        <f>AF29*E29*H29</f>
        <v>9.3104940447827477E-3</v>
      </c>
      <c r="AJ29" s="84">
        <f>AG29*F29*I29</f>
        <v>2.4268359133037101</v>
      </c>
      <c r="AK29" s="84">
        <f>AH29*G29*J29</f>
        <v>0</v>
      </c>
      <c r="AL29">
        <f>SUM(AI29:AK29)</f>
        <v>2.4361464073484926</v>
      </c>
    </row>
    <row r="31" spans="1:38" x14ac:dyDescent="0.25">
      <c r="A31" t="s">
        <v>255</v>
      </c>
      <c r="C31" t="s">
        <v>256</v>
      </c>
    </row>
    <row r="32" spans="1:38" x14ac:dyDescent="0.25">
      <c r="A32">
        <f>SF!V2</f>
        <v>23.643116640380832</v>
      </c>
      <c r="C32">
        <f>B22</f>
        <v>12.136389353506521</v>
      </c>
    </row>
    <row r="33" spans="1:3" x14ac:dyDescent="0.25">
      <c r="A33">
        <f>SF!V3</f>
        <v>1.8542519675420353E-3</v>
      </c>
      <c r="C33" s="178">
        <f>C22</f>
        <v>2.3429527268474451E-7</v>
      </c>
    </row>
    <row r="34" spans="1:3" x14ac:dyDescent="0.25">
      <c r="A34">
        <f>SF!V4</f>
        <v>0.49509609737333848</v>
      </c>
      <c r="C34" s="84">
        <f>D22</f>
        <v>1.9999770059764131E-2</v>
      </c>
    </row>
    <row r="35" spans="1:3" x14ac:dyDescent="0.25">
      <c r="A35">
        <f>SF!V5</f>
        <v>0.50304965065911944</v>
      </c>
      <c r="C35">
        <f>E22</f>
        <v>0.98</v>
      </c>
    </row>
  </sheetData>
  <mergeCells count="9">
    <mergeCell ref="O8:Q8"/>
    <mergeCell ref="C12:E12"/>
    <mergeCell ref="AA12:AC12"/>
    <mergeCell ref="C1:E1"/>
    <mergeCell ref="H1:H2"/>
    <mergeCell ref="K1:K2"/>
    <mergeCell ref="L1:L2"/>
    <mergeCell ref="I2:J2"/>
    <mergeCell ref="H3:L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4]!Module1.Solver">
                <anchor moveWithCells="1" sizeWithCells="1">
                  <from>
                    <xdr:col>20</xdr:col>
                    <xdr:colOff>171450</xdr:colOff>
                    <xdr:row>3</xdr:row>
                    <xdr:rowOff>0</xdr:rowOff>
                  </from>
                  <to>
                    <xdr:col>21</xdr:col>
                    <xdr:colOff>590550</xdr:colOff>
                    <xdr:row>5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34"/>
  <sheetViews>
    <sheetView zoomScale="70" zoomScaleNormal="70" workbookViewId="0">
      <selection activeCell="V20" sqref="V20"/>
    </sheetView>
  </sheetViews>
  <sheetFormatPr defaultRowHeight="15" x14ac:dyDescent="0.25"/>
  <cols>
    <col min="19" max="19" width="14.42578125" bestFit="1" customWidth="1"/>
    <col min="20" max="20" width="14.28515625" bestFit="1" customWidth="1"/>
    <col min="23" max="23" width="12" bestFit="1" customWidth="1"/>
    <col min="25" max="25" width="10.28515625" bestFit="1" customWidth="1"/>
  </cols>
  <sheetData>
    <row r="1" spans="1:37" ht="15.75" thickBot="1" x14ac:dyDescent="0.3">
      <c r="C1" s="231" t="s">
        <v>224</v>
      </c>
      <c r="D1" s="232"/>
      <c r="E1" s="232"/>
      <c r="H1" s="233" t="s">
        <v>225</v>
      </c>
      <c r="I1" s="166" t="s">
        <v>226</v>
      </c>
      <c r="J1" s="166" t="s">
        <v>227</v>
      </c>
      <c r="K1" s="233" t="s">
        <v>228</v>
      </c>
      <c r="L1" s="233" t="s">
        <v>229</v>
      </c>
      <c r="N1" s="7" t="s">
        <v>230</v>
      </c>
      <c r="O1" s="5">
        <f>8.314/1000</f>
        <v>8.3140000000000002E-3</v>
      </c>
    </row>
    <row r="2" spans="1:37" ht="15.75" thickBot="1" x14ac:dyDescent="0.3">
      <c r="C2" s="7" t="s">
        <v>8</v>
      </c>
      <c r="D2" s="8" t="s">
        <v>9</v>
      </c>
      <c r="E2" s="5" t="s">
        <v>10</v>
      </c>
      <c r="H2" s="234"/>
      <c r="I2" s="235" t="s">
        <v>231</v>
      </c>
      <c r="J2" s="235"/>
      <c r="K2" s="234"/>
      <c r="L2" s="234"/>
    </row>
    <row r="3" spans="1:37" ht="15.75" thickBot="1" x14ac:dyDescent="0.3">
      <c r="A3" s="12" t="s">
        <v>8</v>
      </c>
      <c r="B3" t="s">
        <v>43</v>
      </c>
      <c r="C3">
        <v>20.840540000000001</v>
      </c>
      <c r="D3">
        <v>-2624.5250000000001</v>
      </c>
      <c r="E3">
        <v>-46.151710000000001</v>
      </c>
      <c r="H3" s="235" t="s">
        <v>232</v>
      </c>
      <c r="I3" s="235"/>
      <c r="J3" s="235"/>
      <c r="K3" s="235"/>
      <c r="L3" s="235"/>
    </row>
    <row r="4" spans="1:37" x14ac:dyDescent="0.25">
      <c r="A4" s="27" t="s">
        <v>9</v>
      </c>
      <c r="B4" t="s">
        <v>134</v>
      </c>
      <c r="C4">
        <v>23.534700000000001</v>
      </c>
      <c r="D4">
        <v>-3661.4679999999998</v>
      </c>
      <c r="E4">
        <v>-32.770009999999999</v>
      </c>
      <c r="H4" s="170" t="s">
        <v>233</v>
      </c>
      <c r="I4" s="127">
        <v>5.5736999999999997</v>
      </c>
      <c r="J4" s="127">
        <v>7.4991000000000003</v>
      </c>
      <c r="K4" s="170">
        <v>6.4999999999999997E-3</v>
      </c>
      <c r="L4" s="170">
        <v>0.4</v>
      </c>
    </row>
    <row r="5" spans="1:37" ht="15.75" thickBot="1" x14ac:dyDescent="0.3">
      <c r="A5" s="27" t="s">
        <v>10</v>
      </c>
      <c r="B5" t="s">
        <v>46</v>
      </c>
      <c r="C5" t="s">
        <v>19</v>
      </c>
      <c r="D5" t="s">
        <v>19</v>
      </c>
      <c r="E5" t="s">
        <v>19</v>
      </c>
      <c r="H5" s="171" t="s">
        <v>234</v>
      </c>
      <c r="I5" s="129">
        <v>19.269400000000001</v>
      </c>
      <c r="J5" s="129">
        <v>16.212</v>
      </c>
      <c r="K5" s="171"/>
      <c r="L5" s="171"/>
    </row>
    <row r="6" spans="1:37" ht="15.75" thickBot="1" x14ac:dyDescent="0.3">
      <c r="A6" s="7" t="s">
        <v>235</v>
      </c>
      <c r="B6" s="5">
        <v>73.5</v>
      </c>
      <c r="H6" s="172" t="s">
        <v>236</v>
      </c>
      <c r="I6" s="131">
        <v>10.6456</v>
      </c>
      <c r="J6" s="131">
        <v>0.56320000000000003</v>
      </c>
      <c r="K6" s="173"/>
      <c r="L6" s="173"/>
    </row>
    <row r="7" spans="1:37" ht="15.75" thickBot="1" x14ac:dyDescent="0.3">
      <c r="AI7" s="174"/>
      <c r="AJ7" s="174"/>
      <c r="AK7" s="174"/>
    </row>
    <row r="8" spans="1:37" ht="15.75" thickBot="1" x14ac:dyDescent="0.3">
      <c r="O8" s="221" t="s">
        <v>237</v>
      </c>
      <c r="P8" s="222"/>
      <c r="Q8" s="223"/>
      <c r="AG8" s="175"/>
      <c r="AH8" s="175"/>
      <c r="AI8" s="175"/>
      <c r="AJ8" s="18"/>
    </row>
    <row r="9" spans="1:37" ht="15.75" thickBot="1" x14ac:dyDescent="0.3">
      <c r="B9" s="112"/>
      <c r="C9" s="112" t="s">
        <v>150</v>
      </c>
      <c r="D9" s="118" t="s">
        <v>151</v>
      </c>
      <c r="E9" s="111" t="s">
        <v>152</v>
      </c>
      <c r="F9" s="118" t="s">
        <v>153</v>
      </c>
      <c r="G9" s="118" t="s">
        <v>154</v>
      </c>
      <c r="H9" s="112" t="s">
        <v>238</v>
      </c>
      <c r="I9" s="118" t="s">
        <v>239</v>
      </c>
      <c r="J9" s="118" t="s">
        <v>240</v>
      </c>
      <c r="K9" s="112" t="s">
        <v>5</v>
      </c>
      <c r="L9" s="112" t="s">
        <v>6</v>
      </c>
      <c r="M9" s="118" t="s">
        <v>7</v>
      </c>
      <c r="N9" s="112" t="s">
        <v>241</v>
      </c>
      <c r="O9" s="112" t="s">
        <v>5</v>
      </c>
      <c r="P9" s="118" t="s">
        <v>6</v>
      </c>
      <c r="Q9" s="118" t="s">
        <v>7</v>
      </c>
      <c r="S9" s="112"/>
      <c r="T9" s="112" t="s">
        <v>150</v>
      </c>
      <c r="U9" s="118" t="s">
        <v>151</v>
      </c>
      <c r="V9" s="111" t="s">
        <v>152</v>
      </c>
      <c r="W9" s="176" t="s">
        <v>153</v>
      </c>
      <c r="X9" s="118" t="s">
        <v>154</v>
      </c>
      <c r="Y9" s="112" t="s">
        <v>238</v>
      </c>
      <c r="Z9" s="118" t="s">
        <v>239</v>
      </c>
      <c r="AA9" s="118" t="s">
        <v>240</v>
      </c>
      <c r="AB9" s="112" t="s">
        <v>155</v>
      </c>
      <c r="AC9" s="118" t="s">
        <v>156</v>
      </c>
      <c r="AD9" s="118" t="s">
        <v>157</v>
      </c>
      <c r="AE9" s="112" t="s">
        <v>158</v>
      </c>
      <c r="AF9" s="147" t="s">
        <v>242</v>
      </c>
      <c r="AG9" s="18"/>
      <c r="AH9" s="18"/>
      <c r="AI9" s="18"/>
      <c r="AJ9" s="18"/>
    </row>
    <row r="10" spans="1:37" x14ac:dyDescent="0.25">
      <c r="B10" s="146"/>
      <c r="C10" s="146">
        <v>45.043810419961815</v>
      </c>
      <c r="D10" s="177">
        <v>318.19381041996178</v>
      </c>
      <c r="E10" s="146">
        <v>72.623531818102663</v>
      </c>
      <c r="F10" s="115">
        <v>44.645982642785796</v>
      </c>
      <c r="G10" s="146">
        <v>0</v>
      </c>
      <c r="H10" s="146">
        <v>1.3302262544040302</v>
      </c>
      <c r="I10" s="146">
        <v>8.7490644594231579</v>
      </c>
      <c r="J10" s="146">
        <v>0</v>
      </c>
      <c r="K10" s="146">
        <f>MMULT(L20,I20)</f>
        <v>0.74968590105705968</v>
      </c>
      <c r="L10" s="146">
        <f>MMULT(L22,I22)</f>
        <v>3.1410579465565201E-4</v>
      </c>
      <c r="M10" s="146">
        <f>MMULT(L24,I24)</f>
        <v>0.25</v>
      </c>
      <c r="N10" s="111">
        <f>SUM(K10:M10)</f>
        <v>1.0000000068517152</v>
      </c>
      <c r="O10" s="146">
        <f>K10/(K10+L10+M10)</f>
        <v>0.74968589592042545</v>
      </c>
      <c r="P10" s="146">
        <f>L10/(K10+L10+M10)</f>
        <v>3.1410579250348858E-4</v>
      </c>
      <c r="Q10" s="146">
        <f>M10/(K10+L10+M10)</f>
        <v>0.2499999982870712</v>
      </c>
      <c r="S10" s="146"/>
      <c r="T10" s="146">
        <v>45.043810419961815</v>
      </c>
      <c r="U10" s="177">
        <f>T10+273.15</f>
        <v>318.19381041996178</v>
      </c>
      <c r="V10" s="146">
        <f>EXP(C3+D3/(U10+E3))/1000</f>
        <v>72.623531818102663</v>
      </c>
      <c r="W10" s="146">
        <f>EXP(C4+D4/(U10+E4))/1000</f>
        <v>44.645982642785796</v>
      </c>
      <c r="X10" s="146">
        <v>0</v>
      </c>
      <c r="Y10" s="146">
        <f>V10*AA14/$B$6</f>
        <v>1.3302262544593988</v>
      </c>
      <c r="Z10" s="146">
        <f t="shared" ref="Z10:AA10" si="0">W10*AB14/$B$6</f>
        <v>8.7490644567579601</v>
      </c>
      <c r="AA10" s="146">
        <f t="shared" si="0"/>
        <v>0</v>
      </c>
      <c r="AB10" s="146">
        <f>(O10*AA14*V10)/$B$6</f>
        <v>0.9972518613512662</v>
      </c>
      <c r="AC10" s="146">
        <f t="shared" ref="AC10:AD10" si="1">(P10*AB14*W10)/$B$6</f>
        <v>2.7481318248540627E-3</v>
      </c>
      <c r="AD10" s="146">
        <f t="shared" si="1"/>
        <v>0</v>
      </c>
      <c r="AE10" s="146">
        <f>SUM(AB10:AD10)</f>
        <v>0.99999999317612032</v>
      </c>
      <c r="AF10">
        <f>V10*AA14*O10+W10*AB14*P10</f>
        <v>73.499999498444836</v>
      </c>
    </row>
    <row r="11" spans="1:37" ht="15.75" thickBot="1" x14ac:dyDescent="0.3"/>
    <row r="12" spans="1:37" ht="15.75" thickBot="1" x14ac:dyDescent="0.3">
      <c r="C12" s="221" t="s">
        <v>243</v>
      </c>
      <c r="D12" s="222"/>
      <c r="E12" s="223"/>
      <c r="AA12" s="221" t="s">
        <v>244</v>
      </c>
      <c r="AB12" s="222"/>
      <c r="AC12" s="223"/>
    </row>
    <row r="13" spans="1:37" ht="15.75" thickBot="1" x14ac:dyDescent="0.3">
      <c r="B13" s="112"/>
      <c r="C13" s="112" t="s">
        <v>177</v>
      </c>
      <c r="D13" s="118" t="s">
        <v>178</v>
      </c>
      <c r="E13" s="118" t="s">
        <v>179</v>
      </c>
      <c r="F13" s="112" t="s">
        <v>159</v>
      </c>
      <c r="G13" s="118" t="s">
        <v>160</v>
      </c>
      <c r="H13" s="118" t="s">
        <v>161</v>
      </c>
      <c r="I13" s="118" t="s">
        <v>162</v>
      </c>
      <c r="J13" s="118" t="s">
        <v>163</v>
      </c>
      <c r="K13" s="118" t="s">
        <v>164</v>
      </c>
      <c r="L13" s="112" t="s">
        <v>165</v>
      </c>
      <c r="M13" s="118" t="s">
        <v>166</v>
      </c>
      <c r="N13" s="118" t="s">
        <v>167</v>
      </c>
      <c r="O13" s="118" t="s">
        <v>168</v>
      </c>
      <c r="P13" s="118" t="s">
        <v>169</v>
      </c>
      <c r="Q13" s="118" t="s">
        <v>170</v>
      </c>
      <c r="R13" s="138" t="s">
        <v>171</v>
      </c>
      <c r="S13" s="139" t="s">
        <v>172</v>
      </c>
      <c r="T13" s="139" t="s">
        <v>173</v>
      </c>
      <c r="U13" s="138" t="s">
        <v>174</v>
      </c>
      <c r="V13" s="139" t="s">
        <v>175</v>
      </c>
      <c r="W13" s="139" t="s">
        <v>176</v>
      </c>
      <c r="X13" s="138" t="s">
        <v>245</v>
      </c>
      <c r="Y13" s="139" t="s">
        <v>246</v>
      </c>
      <c r="Z13" s="139" t="s">
        <v>247</v>
      </c>
      <c r="AA13" s="138" t="s">
        <v>177</v>
      </c>
      <c r="AB13" s="139" t="s">
        <v>178</v>
      </c>
      <c r="AC13" s="139" t="s">
        <v>179</v>
      </c>
    </row>
    <row r="14" spans="1:37" ht="15.75" thickBot="1" x14ac:dyDescent="0.3">
      <c r="B14" s="146"/>
      <c r="C14" s="146">
        <v>1</v>
      </c>
      <c r="D14" s="146">
        <v>1</v>
      </c>
      <c r="E14" s="146">
        <v>1</v>
      </c>
      <c r="F14" s="146">
        <f>I4/$O$1/$D$10</f>
        <v>2.1068899032087436</v>
      </c>
      <c r="G14" s="146">
        <f>J4/$O$1/$D$10</f>
        <v>2.8347019167075178</v>
      </c>
      <c r="H14" s="146">
        <f>I5/$O$1/$D$10</f>
        <v>7.2839414214777554</v>
      </c>
      <c r="I14" s="146">
        <f>J5/$O$1/$D$10</f>
        <v>6.1282270504010175</v>
      </c>
      <c r="J14" s="146">
        <f>I6/$O$1/$D$10</f>
        <v>4.0240965881907895</v>
      </c>
      <c r="K14" s="146">
        <f>J6/$O$1/$D$10</f>
        <v>0.21289276306352414</v>
      </c>
      <c r="L14" s="146">
        <f>EXP(-$L$4*F14)</f>
        <v>0.43052238392609066</v>
      </c>
      <c r="M14" s="146">
        <f t="shared" ref="M14:Q14" si="2">EXP(-$L$4*G14)</f>
        <v>0.32178206907658502</v>
      </c>
      <c r="N14" s="146">
        <f t="shared" si="2"/>
        <v>5.4281241692236679E-2</v>
      </c>
      <c r="O14" s="146">
        <f t="shared" si="2"/>
        <v>8.618226885918695E-2</v>
      </c>
      <c r="P14" s="146">
        <f t="shared" si="2"/>
        <v>0.19995985946025327</v>
      </c>
      <c r="Q14" s="146">
        <f t="shared" si="2"/>
        <v>0.91836799265676528</v>
      </c>
      <c r="R14" s="146">
        <f>P10*G14*M14+Q10*I14*O14</f>
        <v>0.13232264047843345</v>
      </c>
      <c r="S14" s="146">
        <f>O10*F14*L14+Q10*K14*Q14</f>
        <v>0.72889101010938628</v>
      </c>
      <c r="T14" s="146">
        <f>O10*H14*N14+P10*J14*P14</f>
        <v>0.29666459534481726</v>
      </c>
      <c r="U14" s="146">
        <f>O10+M14*P10+Q10*O14</f>
        <v>0.77133253659941892</v>
      </c>
      <c r="V14" s="146">
        <f>O10*L14+P10+Q10*Q14</f>
        <v>0.5526626614910245</v>
      </c>
      <c r="W14" s="146">
        <f>O10*N14+P10*P14+Q10</f>
        <v>0.29075668814691347</v>
      </c>
      <c r="X14">
        <f>R14/U14-O10*R14/U14^2+P10*L14/V14*(F14-S14/V14)+Q10*N14/W14*(H14-T14/W14)</f>
        <v>0.29734545108123978</v>
      </c>
      <c r="Y14">
        <f>S14/V14-P10*S14/V14^2+O10*M14/U14*(G14-R14/U14)+Q10*P14/W14*(J14-T14/W14)</f>
        <v>2.6674678527755091</v>
      </c>
      <c r="Z14">
        <f>T14/W14-Q10*T14/W14^2+O10*O14/U14*(I14-R14/U14)+P10*Q14/V14*(K14-S14/V14)</f>
        <v>0.64139847795335803</v>
      </c>
      <c r="AA14" s="111">
        <f>EXP(X14)</f>
        <v>1.3462802931100983</v>
      </c>
      <c r="AB14" s="111">
        <f t="shared" ref="AB14:AC14" si="3">EXP(Y14)</f>
        <v>14.403451318718359</v>
      </c>
      <c r="AC14" s="111">
        <f t="shared" si="3"/>
        <v>1.899134921380738</v>
      </c>
    </row>
    <row r="15" spans="1:37" ht="15.75" thickBot="1" x14ac:dyDescent="0.3">
      <c r="G15" s="1"/>
    </row>
    <row r="18" spans="1:41" ht="15.75" thickBot="1" x14ac:dyDescent="0.3"/>
    <row r="19" spans="1:41" ht="15.75" thickBot="1" x14ac:dyDescent="0.3">
      <c r="B19" s="1" t="s">
        <v>4</v>
      </c>
      <c r="C19" s="8" t="s">
        <v>5</v>
      </c>
      <c r="D19" s="8" t="s">
        <v>6</v>
      </c>
      <c r="E19" s="5" t="s">
        <v>7</v>
      </c>
      <c r="G19" s="1" t="s">
        <v>8</v>
      </c>
      <c r="I19" s="1" t="s">
        <v>248</v>
      </c>
      <c r="K19" s="1" t="s">
        <v>249</v>
      </c>
    </row>
    <row r="20" spans="1:41" ht="15.75" thickBot="1" x14ac:dyDescent="0.3">
      <c r="A20" s="12" t="s">
        <v>17</v>
      </c>
      <c r="B20">
        <f>A31</f>
        <v>13.518521669077076</v>
      </c>
      <c r="C20">
        <f>A32</f>
        <v>0.99678893255095036</v>
      </c>
      <c r="D20">
        <f>A33</f>
        <v>2.7435803413279509E-3</v>
      </c>
      <c r="E20">
        <f>A34</f>
        <v>4.6748710772170633E-4</v>
      </c>
      <c r="H20" s="181">
        <f>$B$22+$B$21*H10</f>
        <v>17.974344675798591</v>
      </c>
      <c r="I20" s="182">
        <f>$B$20*C20</f>
        <v>13.47511278418623</v>
      </c>
      <c r="L20" s="183">
        <f>MINVERSE(H20)</f>
        <v>5.5634851675368274E-2</v>
      </c>
    </row>
    <row r="21" spans="1:41" ht="15.75" thickBot="1" x14ac:dyDescent="0.3">
      <c r="A21" s="27" t="s">
        <v>250</v>
      </c>
      <c r="B21" s="184">
        <f>B20-B22</f>
        <v>13.493242730694076</v>
      </c>
      <c r="C21">
        <f>AB10</f>
        <v>0.9972518613512662</v>
      </c>
      <c r="D21">
        <f t="shared" ref="D21:E21" si="4">AC10</f>
        <v>2.7481318248540627E-3</v>
      </c>
      <c r="E21">
        <f t="shared" si="4"/>
        <v>0</v>
      </c>
      <c r="G21" s="1" t="s">
        <v>9</v>
      </c>
      <c r="I21" s="1" t="s">
        <v>248</v>
      </c>
      <c r="K21" s="1" t="s">
        <v>249</v>
      </c>
    </row>
    <row r="22" spans="1:41" ht="15.75" thickBot="1" x14ac:dyDescent="0.3">
      <c r="A22" s="36" t="s">
        <v>251</v>
      </c>
      <c r="B22" s="185">
        <f>B20*E20/E22</f>
        <v>2.5278938383000226E-2</v>
      </c>
      <c r="C22" s="84">
        <f>O10</f>
        <v>0.74968589592042545</v>
      </c>
      <c r="D22" s="84">
        <f>P10</f>
        <v>3.1410579250348858E-4</v>
      </c>
      <c r="E22">
        <v>0.25</v>
      </c>
      <c r="H22" s="181">
        <f>$B$22+$B$21*I10</f>
        <v>118.07852935586843</v>
      </c>
      <c r="I22" s="182">
        <f>$B$20*D20</f>
        <v>3.7089150295095782E-2</v>
      </c>
      <c r="L22" s="183">
        <f>MINVERSE(H22)</f>
        <v>8.4689401659650727E-3</v>
      </c>
    </row>
    <row r="23" spans="1:41" ht="15.75" thickBot="1" x14ac:dyDescent="0.3">
      <c r="G23" s="1" t="s">
        <v>10</v>
      </c>
      <c r="I23" s="1" t="s">
        <v>248</v>
      </c>
      <c r="K23" s="1" t="s">
        <v>249</v>
      </c>
    </row>
    <row r="24" spans="1:41" ht="15.75" thickBot="1" x14ac:dyDescent="0.3">
      <c r="A24" s="43"/>
      <c r="H24" s="181">
        <f>$B$22+$B$21*J10</f>
        <v>2.5278938383000226E-2</v>
      </c>
      <c r="I24" s="182">
        <f>$B$20*E20</f>
        <v>6.3197345957500565E-3</v>
      </c>
      <c r="L24" s="183">
        <f>MINVERSE(H24)</f>
        <v>39.558623263724066</v>
      </c>
    </row>
    <row r="27" spans="1:41" ht="15.75" thickBot="1" x14ac:dyDescent="0.3"/>
    <row r="28" spans="1:41" ht="15.75" thickBot="1" x14ac:dyDescent="0.3">
      <c r="C28" s="112" t="s">
        <v>150</v>
      </c>
      <c r="D28" s="118" t="s">
        <v>151</v>
      </c>
      <c r="E28" s="111" t="s">
        <v>152</v>
      </c>
      <c r="F28" s="118" t="s">
        <v>153</v>
      </c>
      <c r="G28" s="118" t="s">
        <v>154</v>
      </c>
      <c r="H28" s="112" t="s">
        <v>5</v>
      </c>
      <c r="I28" s="112" t="s">
        <v>6</v>
      </c>
      <c r="J28" s="118" t="s">
        <v>7</v>
      </c>
      <c r="K28" s="112" t="s">
        <v>159</v>
      </c>
      <c r="L28" s="118" t="s">
        <v>160</v>
      </c>
      <c r="M28" s="118" t="s">
        <v>161</v>
      </c>
      <c r="N28" s="118" t="s">
        <v>162</v>
      </c>
      <c r="O28" s="118" t="s">
        <v>163</v>
      </c>
      <c r="P28" s="118" t="s">
        <v>164</v>
      </c>
      <c r="Q28" s="112" t="s">
        <v>165</v>
      </c>
      <c r="R28" s="118" t="s">
        <v>166</v>
      </c>
      <c r="S28" s="118" t="s">
        <v>167</v>
      </c>
      <c r="T28" s="118" t="s">
        <v>168</v>
      </c>
      <c r="U28" s="118" t="s">
        <v>169</v>
      </c>
      <c r="V28" s="118" t="s">
        <v>170</v>
      </c>
      <c r="W28" s="138" t="s">
        <v>171</v>
      </c>
      <c r="X28" s="139" t="s">
        <v>172</v>
      </c>
      <c r="Y28" s="139" t="s">
        <v>173</v>
      </c>
      <c r="Z28" s="138" t="s">
        <v>174</v>
      </c>
      <c r="AA28" s="139" t="s">
        <v>175</v>
      </c>
      <c r="AB28" s="139" t="s">
        <v>176</v>
      </c>
      <c r="AC28" s="138" t="s">
        <v>245</v>
      </c>
      <c r="AD28" s="139" t="s">
        <v>246</v>
      </c>
      <c r="AE28" s="139" t="s">
        <v>247</v>
      </c>
      <c r="AF28" s="138" t="s">
        <v>177</v>
      </c>
      <c r="AG28" s="139" t="s">
        <v>178</v>
      </c>
      <c r="AH28" s="139" t="s">
        <v>179</v>
      </c>
      <c r="AI28" s="179" t="s">
        <v>252</v>
      </c>
      <c r="AJ28" s="179" t="s">
        <v>253</v>
      </c>
      <c r="AK28" s="179" t="s">
        <v>254</v>
      </c>
      <c r="AL28" s="179" t="s">
        <v>235</v>
      </c>
      <c r="AM28" s="179" t="s">
        <v>155</v>
      </c>
      <c r="AN28" s="179" t="s">
        <v>156</v>
      </c>
      <c r="AO28" s="179" t="s">
        <v>157</v>
      </c>
    </row>
    <row r="29" spans="1:41" x14ac:dyDescent="0.25">
      <c r="C29">
        <v>45</v>
      </c>
      <c r="D29">
        <f>273.15+C29</f>
        <v>318.14999999999998</v>
      </c>
      <c r="E29">
        <f>EXP(C3+D3/(D29+E3))/1000</f>
        <v>72.510769026390932</v>
      </c>
      <c r="F29">
        <f>EXP(C4+D4/(D29+E4))/1000</f>
        <v>44.55814639452187</v>
      </c>
      <c r="G29">
        <v>0</v>
      </c>
      <c r="H29" s="84">
        <f>C22</f>
        <v>0.74968589592042545</v>
      </c>
      <c r="I29" s="84">
        <f>D22</f>
        <v>3.1410579250348858E-4</v>
      </c>
      <c r="J29" s="84">
        <f>E22</f>
        <v>0.25</v>
      </c>
      <c r="K29" s="146">
        <f>I4/$O$1/$D$29</f>
        <v>2.1071800296631609</v>
      </c>
      <c r="L29" s="146">
        <f>J4/$O$1/$D$29</f>
        <v>2.8350922655412045</v>
      </c>
      <c r="M29" s="146">
        <f>I5/$O$1/$D$29</f>
        <v>7.2849444468829168</v>
      </c>
      <c r="N29" s="146">
        <f>J5/$O$1/$D$29</f>
        <v>6.1290709297054313</v>
      </c>
      <c r="O29" s="146">
        <f>I6/$O$1/$D$29</f>
        <v>4.0246507210259157</v>
      </c>
      <c r="P29" s="146">
        <f>J6/$O$1/$D$29</f>
        <v>0.21292207917654202</v>
      </c>
      <c r="Q29" s="146">
        <f>EXP(-$L$4*K29)</f>
        <v>0.43047242445194145</v>
      </c>
      <c r="R29" s="146">
        <f t="shared" ref="R29:V29" si="5">EXP(-$L$4*L29)</f>
        <v>0.32173183009668638</v>
      </c>
      <c r="S29" s="146">
        <f t="shared" si="5"/>
        <v>5.425946787469077E-2</v>
      </c>
      <c r="T29" s="146">
        <f t="shared" si="5"/>
        <v>8.6153182795249569E-2</v>
      </c>
      <c r="U29" s="146">
        <f t="shared" si="5"/>
        <v>0.19991554264238187</v>
      </c>
      <c r="V29" s="146">
        <f t="shared" si="5"/>
        <v>0.91835722352796123</v>
      </c>
      <c r="W29" s="180">
        <f>I29*L29*R29+J29*N29*T29</f>
        <v>0.13229625031935252</v>
      </c>
      <c r="X29" s="180">
        <f>H29*K29*Q29+J29*P29*V29</f>
        <v>0.72891188602126811</v>
      </c>
      <c r="Y29" s="180">
        <f>H29*M29*S29+I29*O29*U29</f>
        <v>0.29658647515717201</v>
      </c>
      <c r="Z29" s="180">
        <f>H29+R29*I29+J29*T29</f>
        <v>0.77132524945070391</v>
      </c>
      <c r="AA29" s="180">
        <f>H29*Q29+I29+J29*V29</f>
        <v>0.55262251686878516</v>
      </c>
      <c r="AB29" s="180">
        <f>H29*S29+I29*U29+J29</f>
        <v>0.29074035241575852</v>
      </c>
      <c r="AC29">
        <f>W29/Z29-H29*W29/Z29^2+I29*Q29/AA29*(K29-X29/AA29)+J29*S29/AB29*(M29-Y29/AB29)</f>
        <v>0.29729880572532519</v>
      </c>
      <c r="AD29">
        <f>X29/AA29-I29*X29/AA29^2+H29*R29/Z29*(L29-W29/Z29)+J29*U29/AB29*(O29-Y29/AB29)</f>
        <v>2.6676575381900234</v>
      </c>
      <c r="AE29">
        <f>Y29/AB29-J29*Y29/AB29^2+H29*T29/Z29*(N29-W29/Z29)+I29*V29/AA29*(P29-X29/AA29)</f>
        <v>0.64122918287208752</v>
      </c>
      <c r="AF29" s="111">
        <f>EXP(AC29)</f>
        <v>1.3462174968512537</v>
      </c>
      <c r="AG29" s="111">
        <f t="shared" ref="AG29:AH29" si="6">EXP(AD29)</f>
        <v>14.406183702490669</v>
      </c>
      <c r="AH29" s="111">
        <f t="shared" si="6"/>
        <v>1.89881343439373</v>
      </c>
      <c r="AI29" s="84">
        <f>AF29*E29*H29</f>
        <v>73.18078812682954</v>
      </c>
      <c r="AJ29" s="84">
        <f>AG29*F29*I29</f>
        <v>0.20162854208083283</v>
      </c>
      <c r="AK29" s="84">
        <f>AH29*G29*J29</f>
        <v>0</v>
      </c>
      <c r="AL29" s="84">
        <f>SUM(AI29:AK29)</f>
        <v>73.382416668910366</v>
      </c>
      <c r="AM29">
        <f>AI29/AL29</f>
        <v>0.99725235892692743</v>
      </c>
      <c r="AN29">
        <f t="shared" ref="AN29:AO29" si="7">AJ29/AM29</f>
        <v>0.20218407133956645</v>
      </c>
      <c r="AO29">
        <f t="shared" si="7"/>
        <v>0</v>
      </c>
    </row>
    <row r="30" spans="1:41" x14ac:dyDescent="0.25">
      <c r="A30" t="s">
        <v>255</v>
      </c>
      <c r="C30" t="s">
        <v>256</v>
      </c>
    </row>
    <row r="31" spans="1:41" x14ac:dyDescent="0.25">
      <c r="A31" s="201">
        <f>Kolona!AG41</f>
        <v>13.518521669077076</v>
      </c>
      <c r="C31" s="85">
        <f>B22</f>
        <v>2.5278938383000226E-2</v>
      </c>
    </row>
    <row r="32" spans="1:41" x14ac:dyDescent="0.25">
      <c r="A32" s="201">
        <f>Kolona!AG42</f>
        <v>0.99678893255095036</v>
      </c>
      <c r="C32" s="84">
        <f>C22</f>
        <v>0.74968589592042545</v>
      </c>
    </row>
    <row r="33" spans="1:3" x14ac:dyDescent="0.25">
      <c r="A33" s="201">
        <f>Kolona!AG43</f>
        <v>2.7435803413279509E-3</v>
      </c>
      <c r="C33" s="84">
        <f>D22</f>
        <v>3.1410579250348858E-4</v>
      </c>
    </row>
    <row r="34" spans="1:3" x14ac:dyDescent="0.25">
      <c r="A34" s="201">
        <f>Kolona!AG44</f>
        <v>4.6748710772170633E-4</v>
      </c>
      <c r="C34">
        <f>E22</f>
        <v>0.25</v>
      </c>
    </row>
  </sheetData>
  <mergeCells count="9">
    <mergeCell ref="O8:Q8"/>
    <mergeCell ref="C12:E12"/>
    <mergeCell ref="AA12:AC12"/>
    <mergeCell ref="C1:E1"/>
    <mergeCell ref="H1:H2"/>
    <mergeCell ref="K1:K2"/>
    <mergeCell ref="L1:L2"/>
    <mergeCell ref="I2:J2"/>
    <mergeCell ref="H3:L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4]!Module1.Solver">
                <anchor moveWithCells="1" sizeWithCells="1">
                  <from>
                    <xdr:col>20</xdr:col>
                    <xdr:colOff>171450</xdr:colOff>
                    <xdr:row>3</xdr:row>
                    <xdr:rowOff>0</xdr:rowOff>
                  </from>
                  <to>
                    <xdr:col>21</xdr:col>
                    <xdr:colOff>590550</xdr:colOff>
                    <xdr:row>5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Kolona</vt:lpstr>
      <vt:lpstr>SF</vt:lpstr>
      <vt:lpstr>Odparka-Extrakt</vt:lpstr>
      <vt:lpstr>Odparka-Rafinat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2025-04-25T20:05:40Z</dcterms:modified>
</cp:coreProperties>
</file>