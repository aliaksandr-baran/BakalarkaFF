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Workbook________" defaultThemeVersion="124226"/>
  <bookViews>
    <workbookView xWindow="240" yWindow="105" windowWidth="14805" windowHeight="8010" activeTab="4"/>
  </bookViews>
  <sheets>
    <sheet name="Extrakt-cistaIL" sheetId="1" r:id="rId1"/>
    <sheet name="Rafinat-cistaIL" sheetId="2" r:id="rId2"/>
    <sheet name="Extrakt-RegIL" sheetId="3" r:id="rId3"/>
    <sheet name="Rafinat-RegIL" sheetId="4" r:id="rId4"/>
    <sheet name="Лист1" sheetId="5" r:id="rId5"/>
  </sheets>
  <definedNames>
    <definedName name="solver_adj" localSheetId="0" hidden="1">'Extrakt-cistaIL'!$T$10</definedName>
    <definedName name="solver_adj" localSheetId="2" hidden="1">'Extrakt-RegIL'!$T$10</definedName>
    <definedName name="solver_adj" localSheetId="1" hidden="1">'Rafinat-cistaIL'!$T$10</definedName>
    <definedName name="solver_adj" localSheetId="3" hidden="1">'Rafinat-RegIL'!$T$10</definedName>
    <definedName name="solver_adj" localSheetId="4" hidden="1">Лист1!$T$10</definedName>
    <definedName name="solver_eng" localSheetId="0" hidden="1">1</definedName>
    <definedName name="solver_eng" localSheetId="2" hidden="1">1</definedName>
    <definedName name="solver_eng" localSheetId="1" hidden="1">1</definedName>
    <definedName name="solver_eng" localSheetId="3" hidden="1">1</definedName>
    <definedName name="solver_eng" localSheetId="4" hidden="1">1</definedName>
    <definedName name="solver_neg" localSheetId="0" hidden="1">1</definedName>
    <definedName name="solver_neg" localSheetId="2" hidden="1">1</definedName>
    <definedName name="solver_neg" localSheetId="1" hidden="1">1</definedName>
    <definedName name="solver_neg" localSheetId="3" hidden="1">1</definedName>
    <definedName name="solver_neg" localSheetId="4" hidden="1">1</definedName>
    <definedName name="solver_num" localSheetId="0" hidden="1">0</definedName>
    <definedName name="solver_num" localSheetId="2" hidden="1">0</definedName>
    <definedName name="solver_num" localSheetId="1" hidden="1">0</definedName>
    <definedName name="solver_num" localSheetId="3" hidden="1">0</definedName>
    <definedName name="solver_num" localSheetId="4" hidden="1">0</definedName>
    <definedName name="solver_opt" localSheetId="0" hidden="1">'Extrakt-cistaIL'!$AE$10</definedName>
    <definedName name="solver_opt" localSheetId="2" hidden="1">'Extrakt-RegIL'!$AE$10</definedName>
    <definedName name="solver_opt" localSheetId="1" hidden="1">'Rafinat-cistaIL'!$AE$10</definedName>
    <definedName name="solver_opt" localSheetId="3" hidden="1">'Rafinat-RegIL'!$AE$10</definedName>
    <definedName name="solver_opt" localSheetId="4" hidden="1">Лист1!$AE$10</definedName>
    <definedName name="solver_typ" localSheetId="0" hidden="1">3</definedName>
    <definedName name="solver_typ" localSheetId="2" hidden="1">3</definedName>
    <definedName name="solver_typ" localSheetId="1" hidden="1">3</definedName>
    <definedName name="solver_typ" localSheetId="3" hidden="1">3</definedName>
    <definedName name="solver_typ" localSheetId="4" hidden="1">3</definedName>
    <definedName name="solver_val" localSheetId="0" hidden="1">1</definedName>
    <definedName name="solver_val" localSheetId="2" hidden="1">1</definedName>
    <definedName name="solver_val" localSheetId="1" hidden="1">1</definedName>
    <definedName name="solver_val" localSheetId="3" hidden="1">1</definedName>
    <definedName name="solver_val" localSheetId="4" hidden="1">1</definedName>
    <definedName name="solver_ver" localSheetId="0" hidden="1">3</definedName>
    <definedName name="solver_ver" localSheetId="2" hidden="1">3</definedName>
    <definedName name="solver_ver" localSheetId="1" hidden="1">3</definedName>
    <definedName name="solver_ver" localSheetId="3" hidden="1">3</definedName>
    <definedName name="solver_ver" localSheetId="4" hidden="1">3</definedName>
  </definedNames>
  <calcPr calcId="145621"/>
</workbook>
</file>

<file path=xl/calcChain.xml><?xml version="1.0" encoding="utf-8"?>
<calcChain xmlns="http://schemas.openxmlformats.org/spreadsheetml/2006/main">
  <c r="B21" i="5" l="1"/>
  <c r="B22" i="5" s="1"/>
  <c r="E29" i="5" l="1"/>
  <c r="D29" i="5"/>
  <c r="F29" i="5" s="1"/>
  <c r="E20" i="5"/>
  <c r="D20" i="5"/>
  <c r="C20" i="5"/>
  <c r="I20" i="5" s="1"/>
  <c r="B20" i="5"/>
  <c r="U10" i="5"/>
  <c r="V10" i="5" s="1"/>
  <c r="O1" i="5"/>
  <c r="K14" i="5" s="1"/>
  <c r="Q14" i="5" s="1"/>
  <c r="I24" i="5" l="1"/>
  <c r="I22" i="5"/>
  <c r="W10" i="5"/>
  <c r="G14" i="5"/>
  <c r="M14" i="5" s="1"/>
  <c r="I14" i="5"/>
  <c r="O14" i="5" s="1"/>
  <c r="L29" i="5"/>
  <c r="R29" i="5" s="1"/>
  <c r="N29" i="5"/>
  <c r="T29" i="5" s="1"/>
  <c r="P29" i="5"/>
  <c r="V29" i="5" s="1"/>
  <c r="F14" i="5"/>
  <c r="L14" i="5" s="1"/>
  <c r="H14" i="5"/>
  <c r="N14" i="5" s="1"/>
  <c r="J14" i="5"/>
  <c r="P14" i="5" s="1"/>
  <c r="K29" i="5"/>
  <c r="Q29" i="5" s="1"/>
  <c r="M29" i="5"/>
  <c r="S29" i="5" s="1"/>
  <c r="O29" i="5"/>
  <c r="U29" i="5" s="1"/>
  <c r="E20" i="4"/>
  <c r="D20" i="4"/>
  <c r="C20" i="4"/>
  <c r="B20" i="4"/>
  <c r="E20" i="3"/>
  <c r="D20" i="3"/>
  <c r="C20" i="3"/>
  <c r="B20" i="3"/>
  <c r="C35" i="3" l="1"/>
  <c r="J29" i="4" l="1"/>
  <c r="D29" i="4"/>
  <c r="M29" i="4" s="1"/>
  <c r="S29" i="4" s="1"/>
  <c r="I24" i="4"/>
  <c r="I22" i="4"/>
  <c r="B22" i="4"/>
  <c r="C31" i="4" s="1"/>
  <c r="I20" i="4"/>
  <c r="J14" i="4"/>
  <c r="P14" i="4" s="1"/>
  <c r="H14" i="4"/>
  <c r="N14" i="4" s="1"/>
  <c r="F14" i="4"/>
  <c r="L14" i="4" s="1"/>
  <c r="U10" i="4"/>
  <c r="W10" i="4" s="1"/>
  <c r="O1" i="4"/>
  <c r="P29" i="4" s="1"/>
  <c r="V29" i="4" s="1"/>
  <c r="J29" i="3"/>
  <c r="D29" i="3"/>
  <c r="E29" i="3" s="1"/>
  <c r="I24" i="3"/>
  <c r="I22" i="3"/>
  <c r="B22" i="3"/>
  <c r="C32" i="3" s="1"/>
  <c r="I20" i="3"/>
  <c r="U10" i="3"/>
  <c r="W10" i="3" s="1"/>
  <c r="O1" i="3"/>
  <c r="P29" i="3" s="1"/>
  <c r="V29" i="3" s="1"/>
  <c r="B21" i="4" l="1"/>
  <c r="H20" i="4" s="1"/>
  <c r="L20" i="4" s="1"/>
  <c r="K10" i="4" s="1"/>
  <c r="V10" i="4"/>
  <c r="H24" i="4"/>
  <c r="L24" i="4" s="1"/>
  <c r="M10" i="4" s="1"/>
  <c r="V10" i="3"/>
  <c r="B21" i="3"/>
  <c r="H24" i="3" s="1"/>
  <c r="L24" i="3" s="1"/>
  <c r="M10" i="3" s="1"/>
  <c r="F29" i="4"/>
  <c r="K29" i="4"/>
  <c r="Q29" i="4" s="1"/>
  <c r="O29" i="4"/>
  <c r="U29" i="4" s="1"/>
  <c r="G14" i="4"/>
  <c r="M14" i="4" s="1"/>
  <c r="I14" i="4"/>
  <c r="O14" i="4" s="1"/>
  <c r="K14" i="4"/>
  <c r="Q14" i="4" s="1"/>
  <c r="E29" i="4"/>
  <c r="L29" i="4"/>
  <c r="R29" i="4" s="1"/>
  <c r="N29" i="4"/>
  <c r="T29" i="4" s="1"/>
  <c r="F14" i="3"/>
  <c r="L14" i="3" s="1"/>
  <c r="H14" i="3"/>
  <c r="N14" i="3" s="1"/>
  <c r="J14" i="3"/>
  <c r="P14" i="3" s="1"/>
  <c r="F29" i="3"/>
  <c r="K29" i="3"/>
  <c r="Q29" i="3" s="1"/>
  <c r="M29" i="3"/>
  <c r="S29" i="3" s="1"/>
  <c r="O29" i="3"/>
  <c r="U29" i="3" s="1"/>
  <c r="G14" i="3"/>
  <c r="M14" i="3" s="1"/>
  <c r="I14" i="3"/>
  <c r="O14" i="3" s="1"/>
  <c r="K14" i="3"/>
  <c r="Q14" i="3" s="1"/>
  <c r="L29" i="3"/>
  <c r="R29" i="3" s="1"/>
  <c r="N29" i="3"/>
  <c r="T29" i="3" s="1"/>
  <c r="J29" i="2"/>
  <c r="H22" i="4" l="1"/>
  <c r="L22" i="4" s="1"/>
  <c r="L10" i="4" s="1"/>
  <c r="N10" i="4" s="1"/>
  <c r="H22" i="3"/>
  <c r="L22" i="3" s="1"/>
  <c r="L10" i="3" s="1"/>
  <c r="H20" i="3"/>
  <c r="L20" i="3" s="1"/>
  <c r="K10" i="3" s="1"/>
  <c r="B22" i="1"/>
  <c r="B21" i="1" s="1"/>
  <c r="B22" i="2"/>
  <c r="B21" i="2" s="1"/>
  <c r="O10" i="4" l="1"/>
  <c r="P10" i="4"/>
  <c r="D22" i="4" s="1"/>
  <c r="Q10" i="4"/>
  <c r="O10" i="3"/>
  <c r="C22" i="3" s="1"/>
  <c r="N10" i="3"/>
  <c r="Q10" i="3"/>
  <c r="P10" i="3"/>
  <c r="D22" i="3" s="1"/>
  <c r="E29" i="2"/>
  <c r="D29" i="2"/>
  <c r="F29" i="2" s="1"/>
  <c r="I24" i="2"/>
  <c r="I22" i="2"/>
  <c r="H22" i="2"/>
  <c r="L22" i="2" s="1"/>
  <c r="L10" i="2" s="1"/>
  <c r="I20" i="2"/>
  <c r="U10" i="2"/>
  <c r="V10" i="2" s="1"/>
  <c r="O1" i="2"/>
  <c r="P29" i="2" s="1"/>
  <c r="V29" i="2" s="1"/>
  <c r="I29" i="3" l="1"/>
  <c r="W29" i="3" s="1"/>
  <c r="C34" i="3"/>
  <c r="H29" i="3"/>
  <c r="X29" i="3" s="1"/>
  <c r="C33" i="3"/>
  <c r="I29" i="4"/>
  <c r="W29" i="4" s="1"/>
  <c r="C33" i="4"/>
  <c r="S14" i="4"/>
  <c r="C22" i="4"/>
  <c r="C32" i="4" s="1"/>
  <c r="U14" i="4"/>
  <c r="W14" i="4"/>
  <c r="V14" i="4"/>
  <c r="R14" i="4"/>
  <c r="T14" i="4"/>
  <c r="W14" i="3"/>
  <c r="R14" i="3"/>
  <c r="S14" i="3"/>
  <c r="V14" i="3"/>
  <c r="T14" i="3"/>
  <c r="U14" i="3"/>
  <c r="W10" i="2"/>
  <c r="G14" i="2"/>
  <c r="M14" i="2" s="1"/>
  <c r="I14" i="2"/>
  <c r="O14" i="2" s="1"/>
  <c r="K14" i="2"/>
  <c r="Q14" i="2" s="1"/>
  <c r="H24" i="2"/>
  <c r="L24" i="2" s="1"/>
  <c r="M10" i="2" s="1"/>
  <c r="K29" i="2"/>
  <c r="Q29" i="2" s="1"/>
  <c r="M29" i="2"/>
  <c r="S29" i="2" s="1"/>
  <c r="O29" i="2"/>
  <c r="U29" i="2" s="1"/>
  <c r="F14" i="2"/>
  <c r="L14" i="2" s="1"/>
  <c r="H14" i="2"/>
  <c r="N14" i="2" s="1"/>
  <c r="J14" i="2"/>
  <c r="P14" i="2" s="1"/>
  <c r="H20" i="2"/>
  <c r="L20" i="2" s="1"/>
  <c r="K10" i="2" s="1"/>
  <c r="L29" i="2"/>
  <c r="N29" i="2"/>
  <c r="T29" i="2" s="1"/>
  <c r="J29" i="1"/>
  <c r="E29" i="1"/>
  <c r="D29" i="1"/>
  <c r="F29" i="1" s="1"/>
  <c r="I24" i="1"/>
  <c r="I22" i="1"/>
  <c r="H22" i="1"/>
  <c r="L22" i="1" s="1"/>
  <c r="L10" i="1" s="1"/>
  <c r="I20" i="1"/>
  <c r="U10" i="1"/>
  <c r="V10" i="1" s="1"/>
  <c r="O1" i="1"/>
  <c r="AB29" i="3" l="1"/>
  <c r="AA29" i="3"/>
  <c r="Z29" i="3"/>
  <c r="Y29" i="3"/>
  <c r="H29" i="4"/>
  <c r="Z29" i="4" s="1"/>
  <c r="X14" i="4"/>
  <c r="AA14" i="4" s="1"/>
  <c r="AB10" i="4" s="1"/>
  <c r="C21" i="4" s="1"/>
  <c r="Y14" i="4"/>
  <c r="AB14" i="4" s="1"/>
  <c r="AC10" i="4" s="1"/>
  <c r="D21" i="4" s="1"/>
  <c r="Z14" i="4"/>
  <c r="AC14" i="4" s="1"/>
  <c r="AA10" i="4" s="1"/>
  <c r="X14" i="3"/>
  <c r="AA14" i="3" s="1"/>
  <c r="AB10" i="3" s="1"/>
  <c r="Z14" i="3"/>
  <c r="AC14" i="3" s="1"/>
  <c r="AA10" i="3" s="1"/>
  <c r="Y14" i="3"/>
  <c r="AB14" i="3" s="1"/>
  <c r="Q10" i="2"/>
  <c r="O29" i="1"/>
  <c r="U29" i="1" s="1"/>
  <c r="M29" i="1"/>
  <c r="S29" i="1" s="1"/>
  <c r="K29" i="1"/>
  <c r="Q29" i="1" s="1"/>
  <c r="J14" i="1"/>
  <c r="P14" i="1" s="1"/>
  <c r="H14" i="1"/>
  <c r="N14" i="1" s="1"/>
  <c r="F14" i="1"/>
  <c r="L14" i="1" s="1"/>
  <c r="P29" i="1"/>
  <c r="V29" i="1" s="1"/>
  <c r="N29" i="1"/>
  <c r="T29" i="1" s="1"/>
  <c r="L29" i="1"/>
  <c r="R29" i="1" s="1"/>
  <c r="K14" i="1"/>
  <c r="Q14" i="1" s="1"/>
  <c r="I14" i="1"/>
  <c r="O14" i="1" s="1"/>
  <c r="G14" i="1"/>
  <c r="M14" i="1" s="1"/>
  <c r="W10" i="1"/>
  <c r="H24" i="1"/>
  <c r="L24" i="1" s="1"/>
  <c r="M10" i="1" s="1"/>
  <c r="R29" i="2"/>
  <c r="P10" i="2"/>
  <c r="H20" i="1"/>
  <c r="L20" i="1" s="1"/>
  <c r="K10" i="1" s="1"/>
  <c r="O10" i="2"/>
  <c r="N10" i="2"/>
  <c r="Y10" i="3" l="1"/>
  <c r="AD29" i="3"/>
  <c r="AG29" i="3" s="1"/>
  <c r="AJ29" i="3" s="1"/>
  <c r="AC29" i="3"/>
  <c r="AF29" i="3" s="1"/>
  <c r="AI29" i="3" s="1"/>
  <c r="AE29" i="3"/>
  <c r="AH29" i="3" s="1"/>
  <c r="AK29" i="3" s="1"/>
  <c r="X29" i="4"/>
  <c r="AA29" i="4"/>
  <c r="AB29" i="4"/>
  <c r="Y29" i="4"/>
  <c r="Y10" i="4"/>
  <c r="AF10" i="4"/>
  <c r="Z10" i="4"/>
  <c r="AD10" i="4"/>
  <c r="E21" i="4" s="1"/>
  <c r="AF10" i="3"/>
  <c r="AD10" i="3"/>
  <c r="E21" i="3" s="1"/>
  <c r="Z10" i="3"/>
  <c r="AC10" i="3"/>
  <c r="D21" i="3" s="1"/>
  <c r="C21" i="3"/>
  <c r="O10" i="1"/>
  <c r="C22" i="1" s="1"/>
  <c r="N10" i="1"/>
  <c r="Q10" i="1"/>
  <c r="P10" i="1"/>
  <c r="D22" i="1" s="1"/>
  <c r="C22" i="2"/>
  <c r="H29" i="2" s="1"/>
  <c r="V14" i="2"/>
  <c r="T14" i="2"/>
  <c r="W14" i="2"/>
  <c r="U14" i="2"/>
  <c r="S14" i="2"/>
  <c r="R14" i="2"/>
  <c r="D22" i="2"/>
  <c r="I29" i="2" s="1"/>
  <c r="AL29" i="3" l="1"/>
  <c r="AD29" i="4"/>
  <c r="AG29" i="4" s="1"/>
  <c r="AJ29" i="4" s="1"/>
  <c r="AE29" i="4"/>
  <c r="AH29" i="4" s="1"/>
  <c r="AK29" i="4" s="1"/>
  <c r="AC29" i="4"/>
  <c r="AF29" i="4" s="1"/>
  <c r="AI29" i="4" s="1"/>
  <c r="AE10" i="4"/>
  <c r="AE10" i="3"/>
  <c r="Z29" i="2"/>
  <c r="W29" i="2"/>
  <c r="AA29" i="2"/>
  <c r="Y29" i="2"/>
  <c r="X29" i="2"/>
  <c r="AB29" i="2"/>
  <c r="X14" i="2"/>
  <c r="AA14" i="2" s="1"/>
  <c r="Y10" i="2" s="1"/>
  <c r="Y14" i="2"/>
  <c r="AB14" i="2" s="1"/>
  <c r="R14" i="1"/>
  <c r="I29" i="1"/>
  <c r="W29" i="1" s="1"/>
  <c r="H29" i="1"/>
  <c r="V14" i="1"/>
  <c r="T14" i="1"/>
  <c r="W14" i="1"/>
  <c r="U14" i="1"/>
  <c r="S14" i="1"/>
  <c r="Z14" i="2"/>
  <c r="AC14" i="2" s="1"/>
  <c r="AL29" i="4" l="1"/>
  <c r="AM29" i="4" s="1"/>
  <c r="AN29" i="4" s="1"/>
  <c r="AO29" i="4" s="1"/>
  <c r="AE29" i="2"/>
  <c r="AH29" i="2" s="1"/>
  <c r="AK29" i="2" s="1"/>
  <c r="AC29" i="2"/>
  <c r="AF29" i="2" s="1"/>
  <c r="AI29" i="2" s="1"/>
  <c r="AD29" i="2"/>
  <c r="AG29" i="2" s="1"/>
  <c r="AJ29" i="2" s="1"/>
  <c r="AF10" i="2"/>
  <c r="AB10" i="2"/>
  <c r="C21" i="2" s="1"/>
  <c r="Z14" i="1"/>
  <c r="AC14" i="1" s="1"/>
  <c r="AA29" i="1"/>
  <c r="Y29" i="1"/>
  <c r="AB29" i="1"/>
  <c r="Z29" i="1"/>
  <c r="X29" i="1"/>
  <c r="X14" i="1"/>
  <c r="AA14" i="1" s="1"/>
  <c r="AA10" i="2"/>
  <c r="AD10" i="2"/>
  <c r="E21" i="2" s="1"/>
  <c r="Y14" i="1"/>
  <c r="AB14" i="1" s="1"/>
  <c r="Z10" i="2"/>
  <c r="AC10" i="2"/>
  <c r="D21" i="2" s="1"/>
  <c r="AL29" i="2" l="1"/>
  <c r="AM29" i="2" s="1"/>
  <c r="AN29" i="2" s="1"/>
  <c r="AO29" i="2" s="1"/>
  <c r="AC29" i="1"/>
  <c r="AF29" i="1" s="1"/>
  <c r="AI29" i="1" s="1"/>
  <c r="AE29" i="1"/>
  <c r="AH29" i="1" s="1"/>
  <c r="AK29" i="1" s="1"/>
  <c r="AA10" i="1"/>
  <c r="AD10" i="1"/>
  <c r="E21" i="1" s="1"/>
  <c r="Z10" i="1"/>
  <c r="AC10" i="1"/>
  <c r="D21" i="1" s="1"/>
  <c r="Y10" i="1"/>
  <c r="AF10" i="1"/>
  <c r="AB10" i="1"/>
  <c r="C21" i="1" s="1"/>
  <c r="AD29" i="1"/>
  <c r="AG29" i="1" s="1"/>
  <c r="AJ29" i="1" s="1"/>
  <c r="AE10" i="2"/>
  <c r="AL29" i="1" l="1"/>
  <c r="AE10" i="1"/>
  <c r="C32" i="5" l="1"/>
  <c r="H20" i="5"/>
  <c r="L20" i="5" s="1"/>
  <c r="K10" i="5" s="1"/>
  <c r="H24" i="5"/>
  <c r="L24" i="5"/>
  <c r="M10" i="5" s="1"/>
  <c r="H22" i="5"/>
  <c r="L22" i="5" s="1"/>
  <c r="L10" i="5" s="1"/>
  <c r="P10" i="5" l="1"/>
  <c r="D22" i="5" s="1"/>
  <c r="Q10" i="5"/>
  <c r="N10" i="5"/>
  <c r="O10" i="5"/>
  <c r="U14" i="5" l="1"/>
  <c r="W14" i="5"/>
  <c r="T14" i="5"/>
  <c r="C22" i="5"/>
  <c r="V14" i="5"/>
  <c r="S14" i="5"/>
  <c r="E22" i="5"/>
  <c r="C34" i="5"/>
  <c r="I29" i="5"/>
  <c r="R14" i="5"/>
  <c r="X14" i="5" l="1"/>
  <c r="AA14" i="5" s="1"/>
  <c r="Y10" i="5" s="1"/>
  <c r="C33" i="5"/>
  <c r="H29" i="5"/>
  <c r="J29" i="5"/>
  <c r="W29" i="5" s="1"/>
  <c r="C35" i="5"/>
  <c r="Y14" i="5"/>
  <c r="AB14" i="5" s="1"/>
  <c r="Z14" i="5"/>
  <c r="AC14" i="5" s="1"/>
  <c r="AB10" i="5" l="1"/>
  <c r="C21" i="5" s="1"/>
  <c r="AA10" i="5"/>
  <c r="AD10" i="5"/>
  <c r="E21" i="5" s="1"/>
  <c r="AB29" i="5"/>
  <c r="Z29" i="5"/>
  <c r="X29" i="5"/>
  <c r="Y29" i="5"/>
  <c r="AA29" i="5"/>
  <c r="AF10" i="5"/>
  <c r="Z10" i="5"/>
  <c r="AC10" i="5"/>
  <c r="D21" i="5" s="1"/>
  <c r="B24" i="5" s="1"/>
  <c r="AE10" i="5" l="1"/>
  <c r="AE29" i="5"/>
  <c r="AH29" i="5" s="1"/>
  <c r="AK29" i="5" s="1"/>
  <c r="AC29" i="5"/>
  <c r="AF29" i="5" s="1"/>
  <c r="AI29" i="5" s="1"/>
  <c r="AD29" i="5"/>
  <c r="AG29" i="5" s="1"/>
  <c r="AJ29" i="5" s="1"/>
  <c r="AL29" i="5" l="1"/>
</calcChain>
</file>

<file path=xl/sharedStrings.xml><?xml version="1.0" encoding="utf-8"?>
<sst xmlns="http://schemas.openxmlformats.org/spreadsheetml/2006/main" count="687" uniqueCount="76">
  <si>
    <t>Antoine equation parameters (P = Pa)</t>
  </si>
  <si>
    <r>
      <t>i</t>
    </r>
    <r>
      <rPr>
        <b/>
        <sz val="11"/>
        <color rgb="FF1F1F1F"/>
        <rFont val="Georgia"/>
        <family val="1"/>
      </rPr>
      <t>–</t>
    </r>
    <r>
      <rPr>
        <b/>
        <i/>
        <sz val="11"/>
        <color rgb="FF1F1F1F"/>
        <rFont val="Georgia"/>
        <family val="1"/>
      </rPr>
      <t>j</t>
    </r>
  </si>
  <si>
    <r>
      <t>Δgij</t>
    </r>
    <r>
      <rPr>
        <b/>
        <sz val="11"/>
        <color rgb="FF1F1F1F"/>
        <rFont val="Georgia"/>
        <family val="1"/>
      </rPr>
      <t>(kJ·mol</t>
    </r>
    <r>
      <rPr>
        <b/>
        <sz val="8"/>
        <color rgb="FF1F1F1F"/>
        <rFont val="Georgia"/>
        <family val="1"/>
      </rPr>
      <t>−1</t>
    </r>
    <r>
      <rPr>
        <b/>
        <sz val="11"/>
        <color rgb="FF1F1F1F"/>
        <rFont val="Georgia"/>
        <family val="1"/>
      </rPr>
      <t>)</t>
    </r>
  </si>
  <si>
    <r>
      <t>Δgji</t>
    </r>
    <r>
      <rPr>
        <b/>
        <sz val="11"/>
        <color rgb="FF1F1F1F"/>
        <rFont val="Georgia"/>
        <family val="1"/>
      </rPr>
      <t>(kJ·mol</t>
    </r>
    <r>
      <rPr>
        <b/>
        <sz val="8"/>
        <color rgb="FF1F1F1F"/>
        <rFont val="Georgia"/>
        <family val="1"/>
      </rPr>
      <t>−1</t>
    </r>
    <r>
      <rPr>
        <b/>
        <sz val="11"/>
        <color rgb="FF1F1F1F"/>
        <rFont val="Georgia"/>
        <family val="1"/>
      </rPr>
      <t>)</t>
    </r>
  </si>
  <si>
    <t>rmsd</t>
  </si>
  <si>
    <t>α</t>
  </si>
  <si>
    <t>R [kJ.mol^-1.K^-1]</t>
  </si>
  <si>
    <t>A</t>
  </si>
  <si>
    <t>B</t>
  </si>
  <si>
    <t>C</t>
  </si>
  <si>
    <t>NRTL parameters</t>
  </si>
  <si>
    <t>MTBE</t>
  </si>
  <si>
    <r>
      <t>MTBE (1) + methanol (2) + [BMIM][HSO</t>
    </r>
    <r>
      <rPr>
        <b/>
        <sz val="8"/>
        <color rgb="FF1F1F1F"/>
        <rFont val="Georgia"/>
        <family val="1"/>
      </rPr>
      <t>4</t>
    </r>
    <r>
      <rPr>
        <b/>
        <sz val="11"/>
        <color rgb="FF1F1F1F"/>
        <rFont val="Georgia"/>
        <family val="1"/>
      </rPr>
      <t>] (3) at 318.15 K</t>
    </r>
  </si>
  <si>
    <t>Metanol</t>
  </si>
  <si>
    <t>1–2</t>
  </si>
  <si>
    <t>[BMIM][HSO4]</t>
  </si>
  <si>
    <t>-</t>
  </si>
  <si>
    <t>1–3</t>
  </si>
  <si>
    <t>P[kPa]</t>
  </si>
  <si>
    <t>2–3</t>
  </si>
  <si>
    <t>Normalizacia</t>
  </si>
  <si>
    <t>t</t>
  </si>
  <si>
    <t>T</t>
  </si>
  <si>
    <t>PA0</t>
  </si>
  <si>
    <t>PB0</t>
  </si>
  <si>
    <t>PC0</t>
  </si>
  <si>
    <t>KA</t>
  </si>
  <si>
    <t>KB</t>
  </si>
  <si>
    <t>KC</t>
  </si>
  <si>
    <t>xA</t>
  </si>
  <si>
    <t>xB</t>
  </si>
  <si>
    <t>xC</t>
  </si>
  <si>
    <t>SUMx</t>
  </si>
  <si>
    <t>yA</t>
  </si>
  <si>
    <t>yB</t>
  </si>
  <si>
    <t>yC</t>
  </si>
  <si>
    <t>SUMy</t>
  </si>
  <si>
    <t>sumP</t>
  </si>
  <si>
    <t>NASTRELY</t>
  </si>
  <si>
    <t>Vypocitane</t>
  </si>
  <si>
    <t>γA</t>
  </si>
  <si>
    <t>γB</t>
  </si>
  <si>
    <t>γC</t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</si>
  <si>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AB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</si>
  <si>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BA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</si>
  <si>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AC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</si>
  <si>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CA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</si>
  <si>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BC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</si>
  <si>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CB</t>
    </r>
  </si>
  <si>
    <t>GAB</t>
  </si>
  <si>
    <t>GBA</t>
  </si>
  <si>
    <t>GAC</t>
  </si>
  <si>
    <t>GCA</t>
  </si>
  <si>
    <t>GBC</t>
  </si>
  <si>
    <t>GCB</t>
  </si>
  <si>
    <t>θ1</t>
  </si>
  <si>
    <t>θ2</t>
  </si>
  <si>
    <t>θ3</t>
  </si>
  <si>
    <t>φ1</t>
  </si>
  <si>
    <t>φ2</t>
  </si>
  <si>
    <t>φ3</t>
  </si>
  <si>
    <t>lnγA</t>
  </si>
  <si>
    <t>lnγB</t>
  </si>
  <si>
    <t>lnγC</t>
  </si>
  <si>
    <t>n[kmol/h]</t>
  </si>
  <si>
    <t>ps</t>
  </si>
  <si>
    <t>inverzna</t>
  </si>
  <si>
    <t>F</t>
  </si>
  <si>
    <t>D</t>
  </si>
  <si>
    <t>W</t>
  </si>
  <si>
    <t>PA</t>
  </si>
  <si>
    <t>PB</t>
  </si>
  <si>
    <t>PC</t>
  </si>
  <si>
    <t>n</t>
  </si>
  <si>
    <t>vstup</t>
  </si>
  <si>
    <t>vystup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</si>
</sst>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000"/>
    <numFmt numFmtId="165" formatCode="_(* #,##0.0000_);_(* \(#,##0.000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b/>
      <i/>
      <sz val="11"/>
      <color rgb="FF1F1F1F"/>
      <name val="Georgia"/>
      <family val="1"/>
    </font>
    <font>
      <b/>
      <sz val="11"/>
      <color rgb="FF1F1F1F"/>
      <name val="Georgia"/>
      <family val="1"/>
    </font>
    <font>
      <sz val="10"/>
      <color rgb="FF1F1F1F"/>
      <name val="Georgia"/>
      <family val="1"/>
    </font>
    <font>
      <b/>
      <sz val="8"/>
      <color rgb="FF1F1F1F"/>
      <name val="Georgia"/>
      <family val="1"/>
    </font>
    <font>
      <sz val="11"/>
      <color rgb="FF1F1F1F"/>
      <name val="Georgia"/>
      <family val="1"/>
    </font>
    <font>
      <b/>
      <sz val="11"/>
      <color theme="1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rgb="FF8E8E8E"/>
      </top>
      <bottom/>
      <diagonal/>
    </border>
    <border>
      <left/>
      <right/>
      <top style="medium">
        <color rgb="FF8E8E8E"/>
      </top>
      <bottom style="medium">
        <color rgb="FF8E8E8E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8E8E8E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6" fillId="0" borderId="3" xfId="0" applyFont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/>
    <xf numFmtId="0" fontId="0" fillId="0" borderId="11" xfId="0" applyBorder="1"/>
    <xf numFmtId="0" fontId="0" fillId="0" borderId="0" xfId="0" applyBorder="1"/>
    <xf numFmtId="0" fontId="8" fillId="0" borderId="2" xfId="0" applyFont="1" applyBorder="1" applyAlignment="1">
      <alignment horizontal="left" vertical="center"/>
    </xf>
    <xf numFmtId="164" fontId="8" fillId="0" borderId="2" xfId="0" applyNumberFormat="1" applyFont="1" applyBorder="1" applyAlignment="1">
      <alignment horizontal="left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0" fillId="0" borderId="15" xfId="0" applyBorder="1"/>
    <xf numFmtId="0" fontId="8" fillId="0" borderId="7" xfId="0" applyFont="1" applyBorder="1" applyAlignment="1">
      <alignment horizontal="left" vertical="center"/>
    </xf>
    <xf numFmtId="164" fontId="8" fillId="0" borderId="7" xfId="0" applyNumberFormat="1" applyFont="1" applyBorder="1" applyAlignment="1">
      <alignment horizontal="left" vertical="center"/>
    </xf>
    <xf numFmtId="0" fontId="0" fillId="0" borderId="7" xfId="0" applyBorder="1" applyAlignment="1"/>
    <xf numFmtId="0" fontId="9" fillId="0" borderId="0" xfId="0" applyFont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" fillId="0" borderId="15" xfId="0" applyFont="1" applyBorder="1"/>
    <xf numFmtId="0" fontId="1" fillId="0" borderId="6" xfId="0" applyFont="1" applyBorder="1"/>
    <xf numFmtId="0" fontId="1" fillId="0" borderId="5" xfId="0" applyFont="1" applyBorder="1"/>
    <xf numFmtId="0" fontId="1" fillId="0" borderId="16" xfId="0" applyFont="1" applyBorder="1"/>
    <xf numFmtId="0" fontId="0" fillId="0" borderId="17" xfId="0" applyBorder="1"/>
    <xf numFmtId="43" fontId="0" fillId="0" borderId="15" xfId="0" applyNumberFormat="1" applyBorder="1"/>
    <xf numFmtId="0" fontId="1" fillId="0" borderId="17" xfId="0" applyFont="1" applyBorder="1"/>
    <xf numFmtId="0" fontId="1" fillId="0" borderId="18" xfId="0" applyFont="1" applyBorder="1"/>
    <xf numFmtId="0" fontId="0" fillId="0" borderId="18" xfId="0" applyBorder="1"/>
    <xf numFmtId="11" fontId="0" fillId="0" borderId="0" xfId="0" applyNumberFormat="1"/>
    <xf numFmtId="43" fontId="0" fillId="0" borderId="0" xfId="0" applyNumberFormat="1"/>
    <xf numFmtId="0" fontId="9" fillId="0" borderId="11" xfId="0" applyFont="1" applyFill="1" applyBorder="1" applyAlignment="1">
      <alignment horizontal="center"/>
    </xf>
    <xf numFmtId="43" fontId="0" fillId="0" borderId="16" xfId="0" applyNumberFormat="1" applyBorder="1" applyAlignment="1">
      <alignment horizontal="center"/>
    </xf>
    <xf numFmtId="0" fontId="1" fillId="0" borderId="4" xfId="0" applyFont="1" applyBorder="1"/>
    <xf numFmtId="0" fontId="0" fillId="0" borderId="4" xfId="0" applyFont="1" applyBorder="1"/>
    <xf numFmtId="43" fontId="0" fillId="0" borderId="5" xfId="0" applyNumberFormat="1" applyFont="1" applyBorder="1"/>
    <xf numFmtId="0" fontId="0" fillId="0" borderId="15" xfId="0" applyFont="1" applyBorder="1"/>
    <xf numFmtId="0" fontId="0" fillId="0" borderId="11" xfId="0" applyFont="1" applyBorder="1"/>
    <xf numFmtId="0" fontId="0" fillId="0" borderId="13" xfId="0" applyFont="1" applyBorder="1"/>
    <xf numFmtId="2" fontId="0" fillId="0" borderId="0" xfId="0" applyNumberFormat="1"/>
    <xf numFmtId="0" fontId="3" fillId="0" borderId="5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65" fontId="0" fillId="0" borderId="0" xfId="0" applyNumberFormat="1"/>
    <xf numFmtId="0" fontId="3" fillId="0" borderId="4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2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2</xdr:row>
      <xdr:rowOff>47625</xdr:rowOff>
    </xdr:from>
    <xdr:to>
      <xdr:col>18</xdr:col>
      <xdr:colOff>604967</xdr:colOff>
      <xdr:row>4</xdr:row>
      <xdr:rowOff>85667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4825" y="447675"/>
          <a:ext cx="3605342" cy="438092"/>
        </a:xfrm>
        <a:prstGeom prst="rect">
          <a:avLst/>
        </a:prstGeom>
      </xdr:spPr>
    </xdr:pic>
    <xdr:clientData/>
  </xdr:twoCellAnchor>
  <xdr:twoCellAnchor editAs="oneCell">
    <xdr:from>
      <xdr:col>23</xdr:col>
      <xdr:colOff>380999</xdr:colOff>
      <xdr:row>0</xdr:row>
      <xdr:rowOff>0</xdr:rowOff>
    </xdr:from>
    <xdr:to>
      <xdr:col>25</xdr:col>
      <xdr:colOff>491835</xdr:colOff>
      <xdr:row>6</xdr:row>
      <xdr:rowOff>9913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40024" y="0"/>
          <a:ext cx="1482436" cy="12481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171450</xdr:colOff>
          <xdr:row>3</xdr:row>
          <xdr:rowOff>0</xdr:rowOff>
        </xdr:from>
        <xdr:to>
          <xdr:col>21</xdr:col>
          <xdr:colOff>590550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MACRO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2</xdr:row>
      <xdr:rowOff>47625</xdr:rowOff>
    </xdr:from>
    <xdr:to>
      <xdr:col>18</xdr:col>
      <xdr:colOff>604967</xdr:colOff>
      <xdr:row>4</xdr:row>
      <xdr:rowOff>85667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2425" y="447675"/>
          <a:ext cx="3605342" cy="438092"/>
        </a:xfrm>
        <a:prstGeom prst="rect">
          <a:avLst/>
        </a:prstGeom>
      </xdr:spPr>
    </xdr:pic>
    <xdr:clientData/>
  </xdr:twoCellAnchor>
  <xdr:twoCellAnchor editAs="oneCell">
    <xdr:from>
      <xdr:col>24</xdr:col>
      <xdr:colOff>81642</xdr:colOff>
      <xdr:row>0</xdr:row>
      <xdr:rowOff>0</xdr:rowOff>
    </xdr:from>
    <xdr:to>
      <xdr:col>26</xdr:col>
      <xdr:colOff>106135</xdr:colOff>
      <xdr:row>6</xdr:row>
      <xdr:rowOff>141437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597867" y="0"/>
          <a:ext cx="1396093" cy="13892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171450</xdr:colOff>
          <xdr:row>3</xdr:row>
          <xdr:rowOff>0</xdr:rowOff>
        </xdr:from>
        <xdr:to>
          <xdr:col>21</xdr:col>
          <xdr:colOff>590550</xdr:colOff>
          <xdr:row>5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MACRO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2</xdr:row>
      <xdr:rowOff>47625</xdr:rowOff>
    </xdr:from>
    <xdr:to>
      <xdr:col>18</xdr:col>
      <xdr:colOff>604967</xdr:colOff>
      <xdr:row>4</xdr:row>
      <xdr:rowOff>76142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4825" y="447675"/>
          <a:ext cx="3605342" cy="428567"/>
        </a:xfrm>
        <a:prstGeom prst="rect">
          <a:avLst/>
        </a:prstGeom>
      </xdr:spPr>
    </xdr:pic>
    <xdr:clientData/>
  </xdr:twoCellAnchor>
  <xdr:twoCellAnchor editAs="oneCell">
    <xdr:from>
      <xdr:col>23</xdr:col>
      <xdr:colOff>380999</xdr:colOff>
      <xdr:row>0</xdr:row>
      <xdr:rowOff>0</xdr:rowOff>
    </xdr:from>
    <xdr:to>
      <xdr:col>25</xdr:col>
      <xdr:colOff>415635</xdr:colOff>
      <xdr:row>5</xdr:row>
      <xdr:rowOff>162313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40024" y="0"/>
          <a:ext cx="1406236" cy="12005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171450</xdr:colOff>
          <xdr:row>3</xdr:row>
          <xdr:rowOff>0</xdr:rowOff>
        </xdr:from>
        <xdr:to>
          <xdr:col>21</xdr:col>
          <xdr:colOff>590550</xdr:colOff>
          <xdr:row>5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MACRO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2</xdr:row>
      <xdr:rowOff>47625</xdr:rowOff>
    </xdr:from>
    <xdr:to>
      <xdr:col>18</xdr:col>
      <xdr:colOff>604967</xdr:colOff>
      <xdr:row>4</xdr:row>
      <xdr:rowOff>76142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2425" y="447675"/>
          <a:ext cx="3605342" cy="428567"/>
        </a:xfrm>
        <a:prstGeom prst="rect">
          <a:avLst/>
        </a:prstGeom>
      </xdr:spPr>
    </xdr:pic>
    <xdr:clientData/>
  </xdr:twoCellAnchor>
  <xdr:twoCellAnchor editAs="oneCell">
    <xdr:from>
      <xdr:col>24</xdr:col>
      <xdr:colOff>81642</xdr:colOff>
      <xdr:row>0</xdr:row>
      <xdr:rowOff>0</xdr:rowOff>
    </xdr:from>
    <xdr:to>
      <xdr:col>26</xdr:col>
      <xdr:colOff>29935</xdr:colOff>
      <xdr:row>6</xdr:row>
      <xdr:rowOff>93812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597867" y="0"/>
          <a:ext cx="1319893" cy="13320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171450</xdr:colOff>
          <xdr:row>3</xdr:row>
          <xdr:rowOff>0</xdr:rowOff>
        </xdr:from>
        <xdr:to>
          <xdr:col>21</xdr:col>
          <xdr:colOff>590550</xdr:colOff>
          <xdr:row>5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MACRO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2</xdr:row>
      <xdr:rowOff>47625</xdr:rowOff>
    </xdr:from>
    <xdr:to>
      <xdr:col>18</xdr:col>
      <xdr:colOff>604968</xdr:colOff>
      <xdr:row>4</xdr:row>
      <xdr:rowOff>66617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4825" y="447675"/>
          <a:ext cx="3605342" cy="419042"/>
        </a:xfrm>
        <a:prstGeom prst="rect">
          <a:avLst/>
        </a:prstGeom>
      </xdr:spPr>
    </xdr:pic>
    <xdr:clientData/>
  </xdr:twoCellAnchor>
  <xdr:twoCellAnchor editAs="oneCell">
    <xdr:from>
      <xdr:col>23</xdr:col>
      <xdr:colOff>380999</xdr:colOff>
      <xdr:row>0</xdr:row>
      <xdr:rowOff>0</xdr:rowOff>
    </xdr:from>
    <xdr:to>
      <xdr:col>25</xdr:col>
      <xdr:colOff>339436</xdr:colOff>
      <xdr:row>5</xdr:row>
      <xdr:rowOff>124213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40024" y="0"/>
          <a:ext cx="1330036" cy="11529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171450</xdr:colOff>
          <xdr:row>3</xdr:row>
          <xdr:rowOff>0</xdr:rowOff>
        </xdr:from>
        <xdr:to>
          <xdr:col>21</xdr:col>
          <xdr:colOff>590550</xdr:colOff>
          <xdr:row>5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MACRO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L35"/>
  <sheetViews>
    <sheetView zoomScale="55" zoomScaleNormal="55" workbookViewId="0">
      <selection sqref="A1:XFD1048576"/>
    </sheetView>
  </sheetViews>
  <sheetFormatPr defaultRowHeight="15" x14ac:dyDescent="0.25"/>
  <cols>
    <col min="3" max="3" width="11.42578125" customWidth="1"/>
    <col min="19" max="19" width="14.42578125" bestFit="1" customWidth="1"/>
    <col min="20" max="20" width="14.28515625" bestFit="1" customWidth="1"/>
    <col min="23" max="23" width="12" bestFit="1" customWidth="1"/>
    <col min="25" max="25" width="10.28515625" bestFit="1" customWidth="1"/>
  </cols>
  <sheetData>
    <row r="1" spans="1:37" ht="15.75" thickBot="1" x14ac:dyDescent="0.3">
      <c r="C1" s="60" t="s">
        <v>0</v>
      </c>
      <c r="D1" s="61"/>
      <c r="E1" s="61"/>
      <c r="H1" s="62" t="s">
        <v>1</v>
      </c>
      <c r="I1" s="1" t="s">
        <v>2</v>
      </c>
      <c r="J1" s="1" t="s">
        <v>3</v>
      </c>
      <c r="K1" s="62" t="s">
        <v>4</v>
      </c>
      <c r="L1" s="62" t="s">
        <v>5</v>
      </c>
      <c r="N1" s="2" t="s">
        <v>6</v>
      </c>
      <c r="O1" s="3">
        <f>8.314/1000</f>
        <v>8.3140000000000002E-3</v>
      </c>
    </row>
    <row r="2" spans="1:37" ht="15.75" thickBot="1" x14ac:dyDescent="0.3">
      <c r="C2" s="2" t="s">
        <v>7</v>
      </c>
      <c r="D2" s="4" t="s">
        <v>8</v>
      </c>
      <c r="E2" s="3" t="s">
        <v>9</v>
      </c>
      <c r="H2" s="63"/>
      <c r="I2" s="64" t="s">
        <v>10</v>
      </c>
      <c r="J2" s="64"/>
      <c r="K2" s="63"/>
      <c r="L2" s="63"/>
    </row>
    <row r="3" spans="1:37" ht="15.75" thickBot="1" x14ac:dyDescent="0.3">
      <c r="A3" s="5" t="s">
        <v>7</v>
      </c>
      <c r="B3" s="6" t="s">
        <v>11</v>
      </c>
      <c r="C3" s="5">
        <v>20.840540000000001</v>
      </c>
      <c r="D3" s="7">
        <v>-2624.5250000000001</v>
      </c>
      <c r="E3" s="6">
        <v>-46.151710000000001</v>
      </c>
      <c r="H3" s="64" t="s">
        <v>12</v>
      </c>
      <c r="I3" s="64"/>
      <c r="J3" s="64"/>
      <c r="K3" s="64"/>
      <c r="L3" s="64"/>
    </row>
    <row r="4" spans="1:37" x14ac:dyDescent="0.25">
      <c r="A4" s="8" t="s">
        <v>8</v>
      </c>
      <c r="B4" s="9" t="s">
        <v>13</v>
      </c>
      <c r="C4" s="8">
        <v>23.534700000000001</v>
      </c>
      <c r="D4" s="10">
        <v>-3661.4679999999998</v>
      </c>
      <c r="E4" s="9">
        <v>-32.770009999999999</v>
      </c>
      <c r="H4" s="11" t="s">
        <v>14</v>
      </c>
      <c r="I4" s="12">
        <v>5.5736999999999997</v>
      </c>
      <c r="J4" s="12">
        <v>7.4991000000000003</v>
      </c>
      <c r="K4" s="11">
        <v>6.4999999999999997E-3</v>
      </c>
      <c r="L4" s="11">
        <v>0.4</v>
      </c>
    </row>
    <row r="5" spans="1:37" ht="15.75" thickBot="1" x14ac:dyDescent="0.3">
      <c r="A5" s="13" t="s">
        <v>9</v>
      </c>
      <c r="B5" s="14" t="s">
        <v>15</v>
      </c>
      <c r="C5" s="13" t="s">
        <v>16</v>
      </c>
      <c r="D5" s="15" t="s">
        <v>16</v>
      </c>
      <c r="E5" s="14" t="s">
        <v>16</v>
      </c>
      <c r="H5" s="16" t="s">
        <v>17</v>
      </c>
      <c r="I5" s="17">
        <v>19.269400000000001</v>
      </c>
      <c r="J5" s="17">
        <v>16.212</v>
      </c>
      <c r="K5" s="16"/>
      <c r="L5" s="16"/>
    </row>
    <row r="6" spans="1:37" ht="15.75" thickBot="1" x14ac:dyDescent="0.3">
      <c r="A6" s="18" t="s">
        <v>18</v>
      </c>
      <c r="B6">
        <v>2.4500000000000002</v>
      </c>
      <c r="H6" s="19" t="s">
        <v>19</v>
      </c>
      <c r="I6" s="20">
        <v>10.6456</v>
      </c>
      <c r="J6" s="20">
        <v>0.56320000000000003</v>
      </c>
      <c r="K6" s="21"/>
      <c r="L6" s="21"/>
    </row>
    <row r="7" spans="1:37" ht="15.75" thickBot="1" x14ac:dyDescent="0.3">
      <c r="AI7" s="22"/>
      <c r="AJ7" s="22"/>
      <c r="AK7" s="22"/>
    </row>
    <row r="8" spans="1:37" ht="15.75" thickBot="1" x14ac:dyDescent="0.3">
      <c r="O8" s="57" t="s">
        <v>20</v>
      </c>
      <c r="P8" s="58"/>
      <c r="Q8" s="59"/>
      <c r="AG8" s="23"/>
      <c r="AH8" s="23"/>
      <c r="AI8" s="23"/>
      <c r="AJ8" s="10"/>
    </row>
    <row r="9" spans="1:37" ht="15.75" thickBot="1" x14ac:dyDescent="0.3">
      <c r="B9" s="24"/>
      <c r="C9" s="24" t="s">
        <v>21</v>
      </c>
      <c r="D9" s="25" t="s">
        <v>22</v>
      </c>
      <c r="E9" s="26" t="s">
        <v>23</v>
      </c>
      <c r="F9" s="25" t="s">
        <v>24</v>
      </c>
      <c r="G9" s="25" t="s">
        <v>25</v>
      </c>
      <c r="H9" s="24" t="s">
        <v>26</v>
      </c>
      <c r="I9" s="25" t="s">
        <v>27</v>
      </c>
      <c r="J9" s="25" t="s">
        <v>28</v>
      </c>
      <c r="K9" s="24" t="s">
        <v>29</v>
      </c>
      <c r="L9" s="24" t="s">
        <v>30</v>
      </c>
      <c r="M9" s="25" t="s">
        <v>31</v>
      </c>
      <c r="N9" s="24" t="s">
        <v>32</v>
      </c>
      <c r="O9" s="24" t="s">
        <v>29</v>
      </c>
      <c r="P9" s="25" t="s">
        <v>30</v>
      </c>
      <c r="Q9" s="25" t="s">
        <v>31</v>
      </c>
      <c r="S9" s="24"/>
      <c r="T9" s="24" t="s">
        <v>21</v>
      </c>
      <c r="U9" s="25" t="s">
        <v>22</v>
      </c>
      <c r="V9" s="26" t="s">
        <v>23</v>
      </c>
      <c r="W9" s="27" t="s">
        <v>24</v>
      </c>
      <c r="X9" s="25" t="s">
        <v>25</v>
      </c>
      <c r="Y9" s="24" t="s">
        <v>26</v>
      </c>
      <c r="Z9" s="25" t="s">
        <v>27</v>
      </c>
      <c r="AA9" s="25" t="s">
        <v>28</v>
      </c>
      <c r="AB9" s="24" t="s">
        <v>33</v>
      </c>
      <c r="AC9" s="25" t="s">
        <v>34</v>
      </c>
      <c r="AD9" s="25" t="s">
        <v>35</v>
      </c>
      <c r="AE9" s="24" t="s">
        <v>36</v>
      </c>
      <c r="AF9" s="28" t="s">
        <v>37</v>
      </c>
      <c r="AG9" s="10"/>
      <c r="AH9" s="10"/>
      <c r="AI9" s="10"/>
      <c r="AJ9" s="10"/>
    </row>
    <row r="10" spans="1:37" x14ac:dyDescent="0.25">
      <c r="B10" s="29"/>
      <c r="C10" s="29">
        <v>45.124068398868033</v>
      </c>
      <c r="D10" s="30">
        <v>318.274068398868</v>
      </c>
      <c r="E10" s="29">
        <v>72.830466823906079</v>
      </c>
      <c r="F10" s="31">
        <v>44.807272357289108</v>
      </c>
      <c r="G10" s="29">
        <v>0</v>
      </c>
      <c r="H10" s="29">
        <v>16260.344906879882</v>
      </c>
      <c r="I10" s="29">
        <v>49.810047555622752</v>
      </c>
      <c r="J10" s="29">
        <v>0</v>
      </c>
      <c r="K10" s="29">
        <f>MMULT(L20,I20)</f>
        <v>2.3430043250914532E-7</v>
      </c>
      <c r="L10" s="29">
        <f>MMULT(L22,I22)</f>
        <v>1.9999783660103833E-2</v>
      </c>
      <c r="M10" s="29">
        <f>MMULT(L24,I24)</f>
        <v>0.98</v>
      </c>
      <c r="N10" s="26">
        <f>SUM(K10:M10)</f>
        <v>1.0000000179605364</v>
      </c>
      <c r="O10" s="29">
        <f>K10/(K10+L10+M10)</f>
        <v>2.3430042830098394E-7</v>
      </c>
      <c r="P10" s="29">
        <f>L10/(K10+L10+M10)</f>
        <v>1.9999783300896998E-2</v>
      </c>
      <c r="Q10" s="29">
        <f>M10/(K10+L10+M10)</f>
        <v>0.97999998239867459</v>
      </c>
      <c r="S10" s="29"/>
      <c r="T10" s="29">
        <v>45.124068398868033</v>
      </c>
      <c r="U10" s="30">
        <f>T10+273.15</f>
        <v>318.274068398868</v>
      </c>
      <c r="V10" s="29">
        <f>EXP(C3+D3/(U10+E3))/1000</f>
        <v>72.830466823906079</v>
      </c>
      <c r="W10" s="29">
        <f>EXP(C4+D4/(U10+E4))/1000</f>
        <v>44.807272357289108</v>
      </c>
      <c r="X10" s="29">
        <v>0</v>
      </c>
      <c r="Y10" s="29">
        <f>V10*AA14/$B$6</f>
        <v>16260.344807040447</v>
      </c>
      <c r="Z10" s="29">
        <f t="shared" ref="Z10:AA10" si="0">W10*AB14/$B$6</f>
        <v>49.810047633749619</v>
      </c>
      <c r="AA10" s="29">
        <f t="shared" si="0"/>
        <v>0</v>
      </c>
      <c r="AB10" s="29">
        <f>(O10*AA14*V10)/$B$6</f>
        <v>3.8098057526112562E-3</v>
      </c>
      <c r="AC10" s="29">
        <f t="shared" ref="AC10:AD10" si="1">(P10*AB14*W10)/$B$6</f>
        <v>0.99619015888234963</v>
      </c>
      <c r="AD10" s="29">
        <f t="shared" si="1"/>
        <v>0</v>
      </c>
      <c r="AE10" s="29">
        <f>SUM(AB10:AD10)</f>
        <v>0.99999996463496088</v>
      </c>
      <c r="AF10">
        <f>V10*O10*AA14+W10*P10*AB14+Q10*X10*AC14</f>
        <v>2.4499999133556543</v>
      </c>
    </row>
    <row r="11" spans="1:37" ht="15.75" thickBot="1" x14ac:dyDescent="0.3"/>
    <row r="12" spans="1:37" ht="15.75" thickBot="1" x14ac:dyDescent="0.3">
      <c r="C12" s="57" t="s">
        <v>38</v>
      </c>
      <c r="D12" s="58"/>
      <c r="E12" s="59"/>
      <c r="AA12" s="57" t="s">
        <v>39</v>
      </c>
      <c r="AB12" s="58"/>
      <c r="AC12" s="59"/>
    </row>
    <row r="13" spans="1:37" ht="15.75" thickBot="1" x14ac:dyDescent="0.3">
      <c r="B13" s="24"/>
      <c r="C13" s="24" t="s">
        <v>40</v>
      </c>
      <c r="D13" s="25" t="s">
        <v>41</v>
      </c>
      <c r="E13" s="25" t="s">
        <v>42</v>
      </c>
      <c r="F13" s="24" t="s">
        <v>43</v>
      </c>
      <c r="G13" s="25" t="s">
        <v>44</v>
      </c>
      <c r="H13" s="25" t="s">
        <v>45</v>
      </c>
      <c r="I13" s="25" t="s">
        <v>46</v>
      </c>
      <c r="J13" s="25" t="s">
        <v>47</v>
      </c>
      <c r="K13" s="25" t="s">
        <v>48</v>
      </c>
      <c r="L13" s="24" t="s">
        <v>49</v>
      </c>
      <c r="M13" s="25" t="s">
        <v>50</v>
      </c>
      <c r="N13" s="25" t="s">
        <v>51</v>
      </c>
      <c r="O13" s="25" t="s">
        <v>52</v>
      </c>
      <c r="P13" s="25" t="s">
        <v>53</v>
      </c>
      <c r="Q13" s="25" t="s">
        <v>54</v>
      </c>
      <c r="R13" s="32" t="s">
        <v>55</v>
      </c>
      <c r="S13" s="33" t="s">
        <v>56</v>
      </c>
      <c r="T13" s="33" t="s">
        <v>57</v>
      </c>
      <c r="U13" s="32" t="s">
        <v>58</v>
      </c>
      <c r="V13" s="33" t="s">
        <v>59</v>
      </c>
      <c r="W13" s="33" t="s">
        <v>60</v>
      </c>
      <c r="X13" s="32" t="s">
        <v>61</v>
      </c>
      <c r="Y13" s="33" t="s">
        <v>62</v>
      </c>
      <c r="Z13" s="33" t="s">
        <v>63</v>
      </c>
      <c r="AA13" s="32" t="s">
        <v>40</v>
      </c>
      <c r="AB13" s="33" t="s">
        <v>41</v>
      </c>
      <c r="AC13" s="33" t="s">
        <v>42</v>
      </c>
    </row>
    <row r="14" spans="1:37" x14ac:dyDescent="0.25">
      <c r="B14" s="29"/>
      <c r="C14" s="29">
        <v>1</v>
      </c>
      <c r="D14" s="29">
        <v>1</v>
      </c>
      <c r="E14" s="29">
        <v>1</v>
      </c>
      <c r="F14" s="29">
        <f>I4/$O$1/$D$10</f>
        <v>2.1063586166786781</v>
      </c>
      <c r="G14" s="29">
        <f>J4/$O$1/$D$10</f>
        <v>2.8339871005499178</v>
      </c>
      <c r="H14" s="29">
        <f>I5/$O$1/$D$10</f>
        <v>7.2821046572704162</v>
      </c>
      <c r="I14" s="29">
        <f>J5/$O$1/$D$10</f>
        <v>6.126681718354904</v>
      </c>
      <c r="J14" s="29">
        <f>I6/$O$1/$D$10</f>
        <v>4.0230818468368481</v>
      </c>
      <c r="K14" s="29">
        <f>J6/$O$1/$D$10</f>
        <v>0.21283907869340504</v>
      </c>
      <c r="L14" s="29">
        <f>EXP(-$L$4*F14)</f>
        <v>0.43061388594589306</v>
      </c>
      <c r="M14" s="29">
        <f t="shared" ref="M14:Q14" si="2">EXP(-$L$4*G14)</f>
        <v>0.32187408824019587</v>
      </c>
      <c r="N14" s="29">
        <f t="shared" si="2"/>
        <v>5.4321137082875282E-2</v>
      </c>
      <c r="O14" s="29">
        <f t="shared" si="2"/>
        <v>8.6235557415943048E-2</v>
      </c>
      <c r="P14" s="29">
        <f t="shared" si="2"/>
        <v>0.20004103894978481</v>
      </c>
      <c r="Q14" s="29">
        <f t="shared" si="2"/>
        <v>0.91838771367139582</v>
      </c>
      <c r="R14" s="29">
        <f>P10*G14*M14+Q10*I14*O14</f>
        <v>0.5360145901424811</v>
      </c>
      <c r="S14" s="29">
        <f>O10*F14*L14+Q10*K14*Q14</f>
        <v>0.19155962804030707</v>
      </c>
      <c r="T14" s="29">
        <f>O10*H14*N14+P10*J14*P14</f>
        <v>1.6095547735739194E-2</v>
      </c>
      <c r="U14" s="29">
        <f>O10+M14*P10+Q10*O14</f>
        <v>9.0948491065170098E-2</v>
      </c>
      <c r="V14" s="29">
        <f>O10*L14+P10+Q10*Q14</f>
        <v>0.92001982742704191</v>
      </c>
      <c r="W14" s="29">
        <f>O10*N14+P10*P14+Q10</f>
        <v>0.98400077255642227</v>
      </c>
      <c r="X14">
        <f>R14/U14-O10*R14/U14^2+P10*L14/V14*(F14-S14/V14)+Q10*N14/W14*(H14-T14/W14)</f>
        <v>6.3044382452944596</v>
      </c>
      <c r="Y14">
        <f>S14/V14-P10*S14/V14^2+O10*M14/U14*(G14-R14/U14)+Q10*P14/W14*(J14-T14/W14)</f>
        <v>1.0019342922996146</v>
      </c>
      <c r="Z14">
        <f>T14/W14-Q10*T14/W14^2+O10*O14/U14*(I14-R14/U14)+P10*Q14/V14*(K14-S14/V14)</f>
        <v>1.589241815338876E-4</v>
      </c>
      <c r="AA14" s="26">
        <f>EXP(X14)</f>
        <v>546.99422528172795</v>
      </c>
      <c r="AB14" s="26">
        <f t="shared" ref="AB14:AC14" si="3">EXP(Y14)</f>
        <v>2.723544868556016</v>
      </c>
      <c r="AC14" s="26">
        <f t="shared" si="3"/>
        <v>1.0001589368106507</v>
      </c>
    </row>
    <row r="18" spans="1:38" ht="15.75" thickBot="1" x14ac:dyDescent="0.3"/>
    <row r="19" spans="1:38" ht="15.75" thickBot="1" x14ac:dyDescent="0.3">
      <c r="B19" s="34" t="s">
        <v>64</v>
      </c>
      <c r="C19" s="35" t="s">
        <v>29</v>
      </c>
      <c r="D19" s="35" t="s">
        <v>30</v>
      </c>
      <c r="E19" s="36" t="s">
        <v>31</v>
      </c>
      <c r="G19" s="34" t="s">
        <v>7</v>
      </c>
      <c r="I19" s="37" t="s">
        <v>65</v>
      </c>
      <c r="K19" s="34" t="s">
        <v>66</v>
      </c>
    </row>
    <row r="20" spans="1:38" ht="15.75" thickBot="1" x14ac:dyDescent="0.3">
      <c r="A20" s="37" t="s">
        <v>67</v>
      </c>
      <c r="B20">
        <v>16.786397025740577</v>
      </c>
      <c r="C20">
        <v>1.8542782363381138E-3</v>
      </c>
      <c r="D20">
        <v>0.4950925479888969</v>
      </c>
      <c r="E20">
        <v>0.50305317377476499</v>
      </c>
      <c r="H20" s="2">
        <f>$B$22+$B$21*H10</f>
        <v>132849.30948706911</v>
      </c>
      <c r="I20" s="39">
        <f>$B$20*C20</f>
        <v>3.1126650671361597E-2</v>
      </c>
      <c r="L20" s="18">
        <f>MINVERSE(H20)</f>
        <v>7.5273255379421824E-6</v>
      </c>
    </row>
    <row r="21" spans="1:38" ht="15.75" thickBot="1" x14ac:dyDescent="0.3">
      <c r="A21" s="40" t="s">
        <v>68</v>
      </c>
      <c r="B21" s="38">
        <f>B20-B22</f>
        <v>8.1696110052894824</v>
      </c>
      <c r="C21">
        <f>AB10</f>
        <v>3.8098057526112562E-3</v>
      </c>
      <c r="D21">
        <f t="shared" ref="D21:E21" si="4">AC10</f>
        <v>0.99619015888234963</v>
      </c>
      <c r="E21">
        <f t="shared" si="4"/>
        <v>0</v>
      </c>
      <c r="G21" s="34" t="s">
        <v>8</v>
      </c>
      <c r="I21" s="40" t="s">
        <v>65</v>
      </c>
      <c r="K21" s="34" t="s">
        <v>66</v>
      </c>
    </row>
    <row r="22" spans="1:38" ht="15.75" thickBot="1" x14ac:dyDescent="0.3">
      <c r="A22" s="41" t="s">
        <v>69</v>
      </c>
      <c r="B22" s="42">
        <f>B20*E20/E22</f>
        <v>8.6167860204510944</v>
      </c>
      <c r="C22" s="43">
        <f>O10</f>
        <v>2.3430042830098394E-7</v>
      </c>
      <c r="D22" s="44">
        <f>P10</f>
        <v>1.9999783300896998E-2</v>
      </c>
      <c r="E22">
        <v>0.98</v>
      </c>
      <c r="H22" s="2">
        <f>$B$22+$B$21*I10</f>
        <v>415.54549870485926</v>
      </c>
      <c r="I22" s="39">
        <f>$B$20*D20</f>
        <v>8.3108200750271433</v>
      </c>
      <c r="L22" s="18">
        <f>MINVERSE(H22)</f>
        <v>2.4064753513555657E-3</v>
      </c>
    </row>
    <row r="23" spans="1:38" ht="15.75" thickBot="1" x14ac:dyDescent="0.3">
      <c r="G23" s="34" t="s">
        <v>9</v>
      </c>
      <c r="I23" s="40" t="s">
        <v>65</v>
      </c>
      <c r="K23" s="34" t="s">
        <v>66</v>
      </c>
    </row>
    <row r="24" spans="1:38" ht="15.75" thickBot="1" x14ac:dyDescent="0.3">
      <c r="H24" s="2">
        <f>$B$22+$B$21*J10</f>
        <v>8.6167860204510944</v>
      </c>
      <c r="I24" s="39">
        <f>$B$20*E20</f>
        <v>8.4444503000420728</v>
      </c>
      <c r="L24" s="18">
        <f>MINVERSE(H24)</f>
        <v>0.11605255110508701</v>
      </c>
    </row>
    <row r="27" spans="1:38" ht="15.75" thickBot="1" x14ac:dyDescent="0.3"/>
    <row r="28" spans="1:38" ht="15.75" thickBot="1" x14ac:dyDescent="0.3">
      <c r="C28" s="24" t="s">
        <v>21</v>
      </c>
      <c r="D28" s="25" t="s">
        <v>22</v>
      </c>
      <c r="E28" s="26" t="s">
        <v>23</v>
      </c>
      <c r="F28" s="25" t="s">
        <v>24</v>
      </c>
      <c r="G28" s="25" t="s">
        <v>25</v>
      </c>
      <c r="H28" s="24" t="s">
        <v>29</v>
      </c>
      <c r="I28" s="24" t="s">
        <v>30</v>
      </c>
      <c r="J28" s="25" t="s">
        <v>31</v>
      </c>
      <c r="K28" s="24" t="s">
        <v>43</v>
      </c>
      <c r="L28" s="25" t="s">
        <v>44</v>
      </c>
      <c r="M28" s="25" t="s">
        <v>45</v>
      </c>
      <c r="N28" s="25" t="s">
        <v>46</v>
      </c>
      <c r="O28" s="25" t="s">
        <v>47</v>
      </c>
      <c r="P28" s="25" t="s">
        <v>48</v>
      </c>
      <c r="Q28" s="24" t="s">
        <v>49</v>
      </c>
      <c r="R28" s="25" t="s">
        <v>50</v>
      </c>
      <c r="S28" s="25" t="s">
        <v>51</v>
      </c>
      <c r="T28" s="25" t="s">
        <v>52</v>
      </c>
      <c r="U28" s="25" t="s">
        <v>53</v>
      </c>
      <c r="V28" s="25" t="s">
        <v>54</v>
      </c>
      <c r="W28" s="32" t="s">
        <v>55</v>
      </c>
      <c r="X28" s="33" t="s">
        <v>56</v>
      </c>
      <c r="Y28" s="33" t="s">
        <v>57</v>
      </c>
      <c r="Z28" s="32" t="s">
        <v>58</v>
      </c>
      <c r="AA28" s="33" t="s">
        <v>59</v>
      </c>
      <c r="AB28" s="33" t="s">
        <v>60</v>
      </c>
      <c r="AC28" s="32" t="s">
        <v>61</v>
      </c>
      <c r="AD28" s="33" t="s">
        <v>62</v>
      </c>
      <c r="AE28" s="33" t="s">
        <v>63</v>
      </c>
      <c r="AF28" s="32" t="s">
        <v>40</v>
      </c>
      <c r="AG28" s="33" t="s">
        <v>41</v>
      </c>
      <c r="AH28" s="33" t="s">
        <v>42</v>
      </c>
      <c r="AI28" s="45" t="s">
        <v>70</v>
      </c>
      <c r="AJ28" s="45" t="s">
        <v>71</v>
      </c>
      <c r="AK28" s="45" t="s">
        <v>72</v>
      </c>
      <c r="AL28" s="45" t="s">
        <v>18</v>
      </c>
    </row>
    <row r="29" spans="1:38" x14ac:dyDescent="0.25">
      <c r="C29">
        <v>45</v>
      </c>
      <c r="D29">
        <f>C29+273.15</f>
        <v>318.14999999999998</v>
      </c>
      <c r="E29">
        <f>EXP(C3+D3/(D29+E3))/1000</f>
        <v>72.510769026390932</v>
      </c>
      <c r="F29">
        <f>EXP(C4+D4/(D29+E4))/1000</f>
        <v>44.55814639452187</v>
      </c>
      <c r="G29">
        <v>0</v>
      </c>
      <c r="H29" s="44">
        <f>C22</f>
        <v>2.3430042830098394E-7</v>
      </c>
      <c r="I29" s="44">
        <f>D22</f>
        <v>1.9999783300896998E-2</v>
      </c>
      <c r="J29" s="44">
        <f t="shared" ref="J29" si="5">E22</f>
        <v>0.98</v>
      </c>
      <c r="K29" s="29">
        <f>I4/$O$1/$D$29</f>
        <v>2.1071800296631609</v>
      </c>
      <c r="L29" s="29">
        <f>J4/$O$1/$D$29</f>
        <v>2.8350922655412045</v>
      </c>
      <c r="M29" s="29">
        <f>I5/$O$1/$D$29</f>
        <v>7.2849444468829168</v>
      </c>
      <c r="N29" s="29">
        <f>J5/$O$1/$D$29</f>
        <v>6.1290709297054313</v>
      </c>
      <c r="O29" s="29">
        <f>I6/$O$1/$D$29</f>
        <v>4.0246507210259157</v>
      </c>
      <c r="P29" s="29">
        <f>J6/$O$1/$D$29</f>
        <v>0.21292207917654202</v>
      </c>
      <c r="Q29" s="29">
        <f>EXP(-$L$4*K29)</f>
        <v>0.43047242445194145</v>
      </c>
      <c r="R29" s="29">
        <f t="shared" ref="R29:V29" si="6">EXP(-$L$4*L29)</f>
        <v>0.32173183009668638</v>
      </c>
      <c r="S29" s="29">
        <f t="shared" si="6"/>
        <v>5.425946787469077E-2</v>
      </c>
      <c r="T29" s="29">
        <f t="shared" si="6"/>
        <v>8.6153182795249569E-2</v>
      </c>
      <c r="U29" s="29">
        <f t="shared" si="6"/>
        <v>0.19991554264238187</v>
      </c>
      <c r="V29" s="29">
        <f t="shared" si="6"/>
        <v>0.91835722352796123</v>
      </c>
      <c r="W29" s="46">
        <f>I29*L29*R29+J29*N29*T29</f>
        <v>0.53572077961043874</v>
      </c>
      <c r="X29" s="46">
        <f>H29*K29*Q29+J29*P29*V29</f>
        <v>0.19162797140107352</v>
      </c>
      <c r="Y29" s="46">
        <f>H29*M29*S29+I29*O29*U29</f>
        <v>1.6091722916436655E-2</v>
      </c>
      <c r="Z29" s="46">
        <f>H29+R29*I29+J29*T29</f>
        <v>9.0864920322707612E-2</v>
      </c>
      <c r="AA29" s="46">
        <f>H29*Q29+I29+J29*V29</f>
        <v>0.9199899632181725</v>
      </c>
      <c r="AB29" s="46">
        <f>H29*S29+I29*U29+J29</f>
        <v>0.98399828024434544</v>
      </c>
      <c r="AC29">
        <f>W29/Z29-H29*W29/Z29^2+I29*Q29/AA29*(K29-X29/AA29)+J29*S29/AB29*(M29-Y29/AB29)</f>
        <v>6.3063353215118347</v>
      </c>
      <c r="AD29">
        <f>X29/AA29-I29*X29/AA29^2+H29*R29/Z29*(L29-W29/Z29)+J29*U29/AB29*(O29-Y29/AB29)</f>
        <v>1.0018278111114149</v>
      </c>
      <c r="AE29">
        <f>Y29/AB29-J29*Y29/AB29^2+H29*T29/Z29*(N29-W29/Z29)+I29*V29/AA29*(P29-X29/AA29)</f>
        <v>1.589059968602843E-4</v>
      </c>
      <c r="AF29" s="26">
        <f>EXP(AC29)</f>
        <v>548.03289992852945</v>
      </c>
      <c r="AG29" s="26">
        <f t="shared" ref="AG29:AH29" si="7">EXP(AD29)</f>
        <v>2.7232548777018564</v>
      </c>
      <c r="AH29" s="26">
        <f t="shared" si="7"/>
        <v>1.000158918623087</v>
      </c>
      <c r="AI29" s="44">
        <f>AF29*E29*H29</f>
        <v>9.3106976700410189E-3</v>
      </c>
      <c r="AJ29" s="44">
        <f>AG29*F29*I29</f>
        <v>2.4268374952443792</v>
      </c>
      <c r="AK29" s="44">
        <f>AH29*G29*J29</f>
        <v>0</v>
      </c>
      <c r="AL29">
        <f>SUM(AI29:AK29)</f>
        <v>2.4361481929144202</v>
      </c>
    </row>
    <row r="32" spans="1:38" x14ac:dyDescent="0.25">
      <c r="A32">
        <v>16.786397025740577</v>
      </c>
    </row>
    <row r="33" spans="1:1" x14ac:dyDescent="0.25">
      <c r="A33">
        <v>1.8542782363381138E-3</v>
      </c>
    </row>
    <row r="34" spans="1:1" x14ac:dyDescent="0.25">
      <c r="A34">
        <v>0.4950925479888969</v>
      </c>
    </row>
    <row r="35" spans="1:1" x14ac:dyDescent="0.25">
      <c r="A35">
        <v>0.50305317377476499</v>
      </c>
    </row>
  </sheetData>
  <mergeCells count="9">
    <mergeCell ref="O8:Q8"/>
    <mergeCell ref="C12:E12"/>
    <mergeCell ref="AA12:AC12"/>
    <mergeCell ref="C1:E1"/>
    <mergeCell ref="H1:H2"/>
    <mergeCell ref="K1:K2"/>
    <mergeCell ref="L1:L2"/>
    <mergeCell ref="I2:J2"/>
    <mergeCell ref="H3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1.Solver">
                <anchor moveWithCells="1" sizeWithCells="1">
                  <from>
                    <xdr:col>20</xdr:col>
                    <xdr:colOff>171450</xdr:colOff>
                    <xdr:row>3</xdr:row>
                    <xdr:rowOff>0</xdr:rowOff>
                  </from>
                  <to>
                    <xdr:col>21</xdr:col>
                    <xdr:colOff>590550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"/>
  <dimension ref="A1:AO31"/>
  <sheetViews>
    <sheetView zoomScale="55" zoomScaleNormal="55" workbookViewId="0">
      <selection sqref="A1:XFD1048576"/>
    </sheetView>
  </sheetViews>
  <sheetFormatPr defaultRowHeight="15" x14ac:dyDescent="0.25"/>
  <cols>
    <col min="19" max="19" width="14.42578125" bestFit="1" customWidth="1"/>
    <col min="20" max="20" width="14.28515625" bestFit="1" customWidth="1"/>
    <col min="23" max="23" width="12" bestFit="1" customWidth="1"/>
    <col min="25" max="25" width="10.28515625" bestFit="1" customWidth="1"/>
  </cols>
  <sheetData>
    <row r="1" spans="1:37" ht="15.75" thickBot="1" x14ac:dyDescent="0.3">
      <c r="C1" s="60" t="s">
        <v>0</v>
      </c>
      <c r="D1" s="61"/>
      <c r="E1" s="61"/>
      <c r="H1" s="62" t="s">
        <v>1</v>
      </c>
      <c r="I1" s="1" t="s">
        <v>2</v>
      </c>
      <c r="J1" s="1" t="s">
        <v>3</v>
      </c>
      <c r="K1" s="62" t="s">
        <v>4</v>
      </c>
      <c r="L1" s="62" t="s">
        <v>5</v>
      </c>
      <c r="N1" s="47" t="s">
        <v>6</v>
      </c>
      <c r="O1" s="36">
        <f>8.314/1000</f>
        <v>8.3140000000000002E-3</v>
      </c>
    </row>
    <row r="2" spans="1:37" ht="15.75" thickBot="1" x14ac:dyDescent="0.3">
      <c r="C2" s="47" t="s">
        <v>7</v>
      </c>
      <c r="D2" s="35" t="s">
        <v>8</v>
      </c>
      <c r="E2" s="36" t="s">
        <v>9</v>
      </c>
      <c r="H2" s="63"/>
      <c r="I2" s="64" t="s">
        <v>10</v>
      </c>
      <c r="J2" s="64"/>
      <c r="K2" s="63"/>
      <c r="L2" s="63"/>
    </row>
    <row r="3" spans="1:37" ht="15.75" thickBot="1" x14ac:dyDescent="0.3">
      <c r="A3" s="37" t="s">
        <v>7</v>
      </c>
      <c r="B3" t="s">
        <v>11</v>
      </c>
      <c r="C3">
        <v>20.840540000000001</v>
      </c>
      <c r="D3">
        <v>-2624.5250000000001</v>
      </c>
      <c r="E3">
        <v>-46.151710000000001</v>
      </c>
      <c r="H3" s="64" t="s">
        <v>12</v>
      </c>
      <c r="I3" s="64"/>
      <c r="J3" s="64"/>
      <c r="K3" s="64"/>
      <c r="L3" s="64"/>
    </row>
    <row r="4" spans="1:37" x14ac:dyDescent="0.25">
      <c r="A4" s="40" t="s">
        <v>8</v>
      </c>
      <c r="B4" t="s">
        <v>13</v>
      </c>
      <c r="C4">
        <v>23.534700000000001</v>
      </c>
      <c r="D4">
        <v>-3661.4679999999998</v>
      </c>
      <c r="E4">
        <v>-32.770009999999999</v>
      </c>
      <c r="H4" s="11" t="s">
        <v>14</v>
      </c>
      <c r="I4" s="12">
        <v>5.5736999999999997</v>
      </c>
      <c r="J4" s="12">
        <v>7.4991000000000003</v>
      </c>
      <c r="K4" s="11">
        <v>6.4999999999999997E-3</v>
      </c>
      <c r="L4" s="11">
        <v>0.4</v>
      </c>
    </row>
    <row r="5" spans="1:37" ht="15.75" thickBot="1" x14ac:dyDescent="0.3">
      <c r="A5" s="40" t="s">
        <v>9</v>
      </c>
      <c r="B5" t="s">
        <v>15</v>
      </c>
      <c r="C5" t="s">
        <v>16</v>
      </c>
      <c r="D5" t="s">
        <v>16</v>
      </c>
      <c r="E5" t="s">
        <v>16</v>
      </c>
      <c r="H5" s="16" t="s">
        <v>17</v>
      </c>
      <c r="I5" s="17">
        <v>19.269400000000001</v>
      </c>
      <c r="J5" s="17">
        <v>16.212</v>
      </c>
      <c r="K5" s="16"/>
      <c r="L5" s="16"/>
    </row>
    <row r="6" spans="1:37" ht="15.75" thickBot="1" x14ac:dyDescent="0.3">
      <c r="A6" s="47" t="s">
        <v>18</v>
      </c>
      <c r="B6" s="36">
        <v>73.5</v>
      </c>
      <c r="H6" s="19" t="s">
        <v>19</v>
      </c>
      <c r="I6" s="20">
        <v>10.6456</v>
      </c>
      <c r="J6" s="20">
        <v>0.56320000000000003</v>
      </c>
      <c r="K6" s="21"/>
      <c r="L6" s="21"/>
    </row>
    <row r="7" spans="1:37" ht="15.75" thickBot="1" x14ac:dyDescent="0.3">
      <c r="AI7" s="22"/>
      <c r="AJ7" s="22"/>
      <c r="AK7" s="22"/>
    </row>
    <row r="8" spans="1:37" ht="15.75" thickBot="1" x14ac:dyDescent="0.3">
      <c r="O8" s="57" t="s">
        <v>20</v>
      </c>
      <c r="P8" s="58"/>
      <c r="Q8" s="59"/>
      <c r="AG8" s="23"/>
      <c r="AH8" s="23"/>
      <c r="AI8" s="23"/>
      <c r="AJ8" s="10"/>
    </row>
    <row r="9" spans="1:37" ht="15.75" thickBot="1" x14ac:dyDescent="0.3">
      <c r="B9" s="24"/>
      <c r="C9" s="24" t="s">
        <v>21</v>
      </c>
      <c r="D9" s="25" t="s">
        <v>22</v>
      </c>
      <c r="E9" s="26" t="s">
        <v>23</v>
      </c>
      <c r="F9" s="25" t="s">
        <v>24</v>
      </c>
      <c r="G9" s="25" t="s">
        <v>25</v>
      </c>
      <c r="H9" s="24" t="s">
        <v>26</v>
      </c>
      <c r="I9" s="25" t="s">
        <v>27</v>
      </c>
      <c r="J9" s="25" t="s">
        <v>28</v>
      </c>
      <c r="K9" s="24" t="s">
        <v>29</v>
      </c>
      <c r="L9" s="24" t="s">
        <v>30</v>
      </c>
      <c r="M9" s="25" t="s">
        <v>31</v>
      </c>
      <c r="N9" s="24" t="s">
        <v>32</v>
      </c>
      <c r="O9" s="24" t="s">
        <v>29</v>
      </c>
      <c r="P9" s="25" t="s">
        <v>30</v>
      </c>
      <c r="Q9" s="25" t="s">
        <v>31</v>
      </c>
      <c r="S9" s="24"/>
      <c r="T9" s="24" t="s">
        <v>21</v>
      </c>
      <c r="U9" s="25" t="s">
        <v>22</v>
      </c>
      <c r="V9" s="26" t="s">
        <v>23</v>
      </c>
      <c r="W9" s="27" t="s">
        <v>24</v>
      </c>
      <c r="X9" s="25" t="s">
        <v>25</v>
      </c>
      <c r="Y9" s="24" t="s">
        <v>26</v>
      </c>
      <c r="Z9" s="25" t="s">
        <v>27</v>
      </c>
      <c r="AA9" s="25" t="s">
        <v>28</v>
      </c>
      <c r="AB9" s="24" t="s">
        <v>33</v>
      </c>
      <c r="AC9" s="25" t="s">
        <v>34</v>
      </c>
      <c r="AD9" s="25" t="s">
        <v>35</v>
      </c>
      <c r="AE9" s="24" t="s">
        <v>36</v>
      </c>
      <c r="AF9" s="28" t="s">
        <v>37</v>
      </c>
      <c r="AG9" s="10"/>
      <c r="AH9" s="10"/>
      <c r="AI9" s="10"/>
      <c r="AJ9" s="10"/>
    </row>
    <row r="10" spans="1:37" x14ac:dyDescent="0.25">
      <c r="B10" s="29">
        <v>0</v>
      </c>
      <c r="C10" s="29">
        <v>45.1076695500306</v>
      </c>
      <c r="D10" s="30">
        <v>318.25766955003058</v>
      </c>
      <c r="E10" s="29">
        <v>72.788146529515203</v>
      </c>
      <c r="F10" s="31">
        <v>44.774276643203507</v>
      </c>
      <c r="G10" s="29">
        <v>0</v>
      </c>
      <c r="H10" s="29">
        <v>1.3331218461083492</v>
      </c>
      <c r="I10" s="29">
        <v>8.7887352919571988</v>
      </c>
      <c r="J10" s="29">
        <v>0</v>
      </c>
      <c r="K10" s="29">
        <f>MMULT(L20,I20)</f>
        <v>0.74997872771535223</v>
      </c>
      <c r="L10" s="29">
        <f>MMULT(L22,I22)</f>
        <v>2.1274273973269835E-5</v>
      </c>
      <c r="M10" s="29">
        <f>MMULT(L24,I24)</f>
        <v>0.25</v>
      </c>
      <c r="N10" s="26">
        <f>SUM(K10:M10)</f>
        <v>1.0000000019893256</v>
      </c>
      <c r="O10" s="29">
        <f>K10/(K10+L10+M10)</f>
        <v>0.74997872622340034</v>
      </c>
      <c r="P10" s="29">
        <f>L10/(K10+L10+M10)</f>
        <v>2.1274273930948376E-5</v>
      </c>
      <c r="Q10" s="29">
        <f>M10/(K10+L10+M10)</f>
        <v>0.2499999995026686</v>
      </c>
      <c r="S10" s="29"/>
      <c r="T10" s="29">
        <v>45.1076695500306</v>
      </c>
      <c r="U10" s="30">
        <f>T10+273.15</f>
        <v>318.25766955003058</v>
      </c>
      <c r="V10" s="29">
        <f>EXP(C3+D3/(U10+E3))/1000</f>
        <v>72.788146529515203</v>
      </c>
      <c r="W10" s="29">
        <f>EXP(C4+D4/(U10+E4))/1000</f>
        <v>44.774276643203507</v>
      </c>
      <c r="X10" s="29">
        <v>0</v>
      </c>
      <c r="Y10" s="29">
        <f>V10*AA14/$B$6</f>
        <v>1.3331218461083492</v>
      </c>
      <c r="Z10" s="29">
        <f t="shared" ref="Z10:AA10" si="0">W10*AB14/$B$6</f>
        <v>8.7887352919571988</v>
      </c>
      <c r="AA10" s="29">
        <f t="shared" si="0"/>
        <v>0</v>
      </c>
      <c r="AB10" s="29">
        <f>(O10*AA14*V10)/$B$6</f>
        <v>0.99981302404492778</v>
      </c>
      <c r="AC10" s="29">
        <f t="shared" ref="AC10:AD10" si="1">(P10*AB14*W10)/$B$6</f>
        <v>1.8697396210769102E-4</v>
      </c>
      <c r="AD10" s="29">
        <f t="shared" si="1"/>
        <v>0</v>
      </c>
      <c r="AE10" s="29">
        <f>SUM(AB10:AD10)</f>
        <v>0.99999999800703543</v>
      </c>
      <c r="AF10">
        <f>V10*AA14*O10+W10*AB14*P10</f>
        <v>73.499999853517096</v>
      </c>
    </row>
    <row r="11" spans="1:37" ht="15.75" thickBot="1" x14ac:dyDescent="0.3"/>
    <row r="12" spans="1:37" ht="15.75" thickBot="1" x14ac:dyDescent="0.3">
      <c r="C12" s="57" t="s">
        <v>38</v>
      </c>
      <c r="D12" s="58"/>
      <c r="E12" s="59"/>
      <c r="AA12" s="57" t="s">
        <v>39</v>
      </c>
      <c r="AB12" s="58"/>
      <c r="AC12" s="59"/>
    </row>
    <row r="13" spans="1:37" ht="15.75" thickBot="1" x14ac:dyDescent="0.3">
      <c r="B13" s="24"/>
      <c r="C13" s="24" t="s">
        <v>40</v>
      </c>
      <c r="D13" s="25" t="s">
        <v>41</v>
      </c>
      <c r="E13" s="25" t="s">
        <v>42</v>
      </c>
      <c r="F13" s="24" t="s">
        <v>43</v>
      </c>
      <c r="G13" s="25" t="s">
        <v>44</v>
      </c>
      <c r="H13" s="25" t="s">
        <v>45</v>
      </c>
      <c r="I13" s="25" t="s">
        <v>46</v>
      </c>
      <c r="J13" s="25" t="s">
        <v>47</v>
      </c>
      <c r="K13" s="25" t="s">
        <v>48</v>
      </c>
      <c r="L13" s="24" t="s">
        <v>49</v>
      </c>
      <c r="M13" s="25" t="s">
        <v>50</v>
      </c>
      <c r="N13" s="25" t="s">
        <v>51</v>
      </c>
      <c r="O13" s="25" t="s">
        <v>52</v>
      </c>
      <c r="P13" s="25" t="s">
        <v>53</v>
      </c>
      <c r="Q13" s="25" t="s">
        <v>54</v>
      </c>
      <c r="R13" s="32" t="s">
        <v>55</v>
      </c>
      <c r="S13" s="33" t="s">
        <v>56</v>
      </c>
      <c r="T13" s="33" t="s">
        <v>57</v>
      </c>
      <c r="U13" s="32" t="s">
        <v>58</v>
      </c>
      <c r="V13" s="33" t="s">
        <v>59</v>
      </c>
      <c r="W13" s="33" t="s">
        <v>60</v>
      </c>
      <c r="X13" s="32" t="s">
        <v>61</v>
      </c>
      <c r="Y13" s="33" t="s">
        <v>62</v>
      </c>
      <c r="Z13" s="33" t="s">
        <v>63</v>
      </c>
      <c r="AA13" s="32" t="s">
        <v>40</v>
      </c>
      <c r="AB13" s="33" t="s">
        <v>41</v>
      </c>
      <c r="AC13" s="33" t="s">
        <v>42</v>
      </c>
    </row>
    <row r="14" spans="1:37" ht="15.75" thickBot="1" x14ac:dyDescent="0.3">
      <c r="B14" s="29"/>
      <c r="C14" s="29">
        <v>1</v>
      </c>
      <c r="D14" s="29">
        <v>1</v>
      </c>
      <c r="E14" s="29">
        <v>1</v>
      </c>
      <c r="F14" s="29">
        <f>I4/$O$1/$D$10</f>
        <v>2.1064671509257904</v>
      </c>
      <c r="G14" s="29">
        <f>J4/$O$1/$D$10</f>
        <v>2.8341331272776782</v>
      </c>
      <c r="H14" s="29">
        <f>I5/$O$1/$D$10</f>
        <v>7.2824798819544334</v>
      </c>
      <c r="I14" s="29">
        <f>J5/$O$1/$D$10</f>
        <v>6.1269974076123424</v>
      </c>
      <c r="J14" s="29">
        <f>I6/$O$1/$D$10</f>
        <v>4.0232891439969132</v>
      </c>
      <c r="K14" s="29">
        <f>J6/$O$1/$D$10</f>
        <v>0.2128500456431823</v>
      </c>
      <c r="L14" s="29">
        <f>EXP(-$L$4*F14)</f>
        <v>0.4305951918101239</v>
      </c>
      <c r="M14" s="29">
        <f t="shared" ref="M14:Q14" si="2">EXP(-$L$4*G14)</f>
        <v>0.32185528790132895</v>
      </c>
      <c r="N14" s="29">
        <f t="shared" si="2"/>
        <v>5.4312984642091035E-2</v>
      </c>
      <c r="O14" s="29">
        <f t="shared" si="2"/>
        <v>8.6224668647816805E-2</v>
      </c>
      <c r="P14" s="29">
        <f t="shared" si="2"/>
        <v>0.20002445246175241</v>
      </c>
      <c r="Q14" s="29">
        <f t="shared" si="2"/>
        <v>0.91838368491545974</v>
      </c>
      <c r="R14" s="29">
        <f>P10*G14*M14+Q10*I14*O14</f>
        <v>0.13209398603941414</v>
      </c>
      <c r="S14" s="29">
        <f>O10*F14*L14+Q10*K14*Q14</f>
        <v>0.72912617633477628</v>
      </c>
      <c r="T14" s="29">
        <f>O10*H14*N14+P10*J14*P14</f>
        <v>0.2966586196073982</v>
      </c>
      <c r="U14" s="29">
        <f>O10+M14*P10+Q10*O14</f>
        <v>0.77154174058003322</v>
      </c>
      <c r="V14" s="29">
        <f>O10*L14+P10+Q10*Q14</f>
        <v>0.55255442851773229</v>
      </c>
      <c r="W14" s="29">
        <f>O10*N14+P10*P14+Q10</f>
        <v>0.2907378379169297</v>
      </c>
      <c r="X14">
        <f>R14/U14-O10*R14/U14^2+P10*L14/V14*(F14-S14/V14)+Q10*N14/W14*(H14-T14/W14)</f>
        <v>0.29725573112221232</v>
      </c>
      <c r="Y14">
        <f>S14/V14-P10*S14/V14^2+O10*M14/U14*(G14-R14/U14)+Q10*P14/W14*(J14-T14/W14)</f>
        <v>2.6691224347967601</v>
      </c>
      <c r="Z14">
        <f>T14/W14-Q10*T14/W14^2+O10*O14/U14*(I14-R14/U14)+P10*Q14/V14*(K14-S14/V14)</f>
        <v>0.64211684873315844</v>
      </c>
      <c r="AA14" s="26">
        <f>EXP(X14)</f>
        <v>1.3461595103157558</v>
      </c>
      <c r="AB14" s="26">
        <f t="shared" ref="AB14:AC14" si="3">EXP(Y14)</f>
        <v>14.427302736936772</v>
      </c>
      <c r="AC14" s="26">
        <f t="shared" si="3"/>
        <v>1.9004996945630523</v>
      </c>
    </row>
    <row r="15" spans="1:37" ht="15.75" thickBot="1" x14ac:dyDescent="0.3">
      <c r="G15" s="34"/>
    </row>
    <row r="18" spans="1:41" ht="15.75" thickBot="1" x14ac:dyDescent="0.3"/>
    <row r="19" spans="1:41" ht="15.75" thickBot="1" x14ac:dyDescent="0.3">
      <c r="B19" s="34" t="s">
        <v>73</v>
      </c>
      <c r="C19" s="35" t="s">
        <v>29</v>
      </c>
      <c r="D19" s="35" t="s">
        <v>30</v>
      </c>
      <c r="E19" s="36" t="s">
        <v>31</v>
      </c>
      <c r="G19" s="34" t="s">
        <v>7</v>
      </c>
      <c r="I19" s="34" t="s">
        <v>65</v>
      </c>
      <c r="K19" s="34" t="s">
        <v>66</v>
      </c>
    </row>
    <row r="20" spans="1:41" ht="15.75" thickBot="1" x14ac:dyDescent="0.3">
      <c r="A20" s="37" t="s">
        <v>67</v>
      </c>
      <c r="B20">
        <v>12.759314481366351</v>
      </c>
      <c r="C20">
        <v>0.99935684605831099</v>
      </c>
      <c r="D20">
        <v>1.8667140642403509E-4</v>
      </c>
      <c r="E20">
        <v>4.5648253526493472E-4</v>
      </c>
      <c r="H20" s="48">
        <f>$B$22+$B$21*H10</f>
        <v>17.001959931327519</v>
      </c>
      <c r="I20" s="49">
        <f>$B$20*C20</f>
        <v>12.751108277964411</v>
      </c>
      <c r="L20" s="50">
        <f>MINVERSE(H20)</f>
        <v>5.8816748424245911E-2</v>
      </c>
    </row>
    <row r="21" spans="1:41" ht="15.75" thickBot="1" x14ac:dyDescent="0.3">
      <c r="A21" s="40" t="s">
        <v>68</v>
      </c>
      <c r="B21" s="51">
        <f>B20-B22</f>
        <v>12.736016864475564</v>
      </c>
      <c r="C21">
        <f>AB10</f>
        <v>0.99981302404492778</v>
      </c>
      <c r="D21">
        <f t="shared" ref="D21:E21" si="4">AC10</f>
        <v>1.8697396210769102E-4</v>
      </c>
      <c r="E21">
        <f t="shared" si="4"/>
        <v>0</v>
      </c>
      <c r="G21" s="34" t="s">
        <v>8</v>
      </c>
      <c r="I21" s="34" t="s">
        <v>65</v>
      </c>
      <c r="K21" s="34" t="s">
        <v>66</v>
      </c>
    </row>
    <row r="22" spans="1:41" ht="15.75" thickBot="1" x14ac:dyDescent="0.3">
      <c r="A22" s="41" t="s">
        <v>69</v>
      </c>
      <c r="B22" s="52">
        <f>B20*E20/E22</f>
        <v>2.329761689078683E-2</v>
      </c>
      <c r="C22" s="44">
        <f>O10</f>
        <v>0.74997872622340034</v>
      </c>
      <c r="D22" s="44">
        <f>P10</f>
        <v>2.1274273930948376E-5</v>
      </c>
      <c r="E22">
        <v>0.25</v>
      </c>
      <c r="H22" s="48">
        <f>$B$22+$B$21*I10</f>
        <v>111.95677851266925</v>
      </c>
      <c r="I22" s="49">
        <f>$B$20*D20</f>
        <v>2.3817991792432149E-3</v>
      </c>
      <c r="L22" s="50">
        <f>MINVERSE(H22)</f>
        <v>8.9320183492671516E-3</v>
      </c>
    </row>
    <row r="23" spans="1:41" ht="15.75" thickBot="1" x14ac:dyDescent="0.3">
      <c r="G23" s="34" t="s">
        <v>9</v>
      </c>
      <c r="I23" s="34" t="s">
        <v>65</v>
      </c>
      <c r="K23" s="34" t="s">
        <v>66</v>
      </c>
    </row>
    <row r="24" spans="1:41" ht="15.75" thickBot="1" x14ac:dyDescent="0.3">
      <c r="A24" s="53"/>
      <c r="H24" s="48">
        <f>$B$22+$B$21*J10</f>
        <v>2.329761689078683E-2</v>
      </c>
      <c r="I24" s="49">
        <f>$B$20*E20</f>
        <v>5.8244042226967075E-3</v>
      </c>
      <c r="L24" s="50">
        <f>MINVERSE(H24)</f>
        <v>42.922845056974708</v>
      </c>
    </row>
    <row r="27" spans="1:41" ht="15.75" thickBot="1" x14ac:dyDescent="0.3"/>
    <row r="28" spans="1:41" ht="15.75" thickBot="1" x14ac:dyDescent="0.3">
      <c r="C28" s="24" t="s">
        <v>21</v>
      </c>
      <c r="D28" s="25" t="s">
        <v>22</v>
      </c>
      <c r="E28" s="26" t="s">
        <v>23</v>
      </c>
      <c r="F28" s="25" t="s">
        <v>24</v>
      </c>
      <c r="G28" s="25" t="s">
        <v>25</v>
      </c>
      <c r="H28" s="24" t="s">
        <v>29</v>
      </c>
      <c r="I28" s="24" t="s">
        <v>30</v>
      </c>
      <c r="J28" s="25" t="s">
        <v>31</v>
      </c>
      <c r="K28" s="24" t="s">
        <v>43</v>
      </c>
      <c r="L28" s="25" t="s">
        <v>44</v>
      </c>
      <c r="M28" s="25" t="s">
        <v>45</v>
      </c>
      <c r="N28" s="25" t="s">
        <v>46</v>
      </c>
      <c r="O28" s="25" t="s">
        <v>47</v>
      </c>
      <c r="P28" s="25" t="s">
        <v>48</v>
      </c>
      <c r="Q28" s="24" t="s">
        <v>49</v>
      </c>
      <c r="R28" s="25" t="s">
        <v>50</v>
      </c>
      <c r="S28" s="25" t="s">
        <v>51</v>
      </c>
      <c r="T28" s="25" t="s">
        <v>52</v>
      </c>
      <c r="U28" s="25" t="s">
        <v>53</v>
      </c>
      <c r="V28" s="25" t="s">
        <v>54</v>
      </c>
      <c r="W28" s="32" t="s">
        <v>55</v>
      </c>
      <c r="X28" s="33" t="s">
        <v>56</v>
      </c>
      <c r="Y28" s="33" t="s">
        <v>57</v>
      </c>
      <c r="Z28" s="32" t="s">
        <v>58</v>
      </c>
      <c r="AA28" s="33" t="s">
        <v>59</v>
      </c>
      <c r="AB28" s="33" t="s">
        <v>60</v>
      </c>
      <c r="AC28" s="32" t="s">
        <v>61</v>
      </c>
      <c r="AD28" s="33" t="s">
        <v>62</v>
      </c>
      <c r="AE28" s="33" t="s">
        <v>63</v>
      </c>
      <c r="AF28" s="32" t="s">
        <v>40</v>
      </c>
      <c r="AG28" s="33" t="s">
        <v>41</v>
      </c>
      <c r="AH28" s="33" t="s">
        <v>42</v>
      </c>
      <c r="AI28" s="45" t="s">
        <v>70</v>
      </c>
      <c r="AJ28" s="45" t="s">
        <v>71</v>
      </c>
      <c r="AK28" s="45" t="s">
        <v>72</v>
      </c>
      <c r="AL28" s="45" t="s">
        <v>18</v>
      </c>
      <c r="AM28" s="45" t="s">
        <v>33</v>
      </c>
      <c r="AN28" s="45" t="s">
        <v>34</v>
      </c>
      <c r="AO28" s="45" t="s">
        <v>35</v>
      </c>
    </row>
    <row r="29" spans="1:41" x14ac:dyDescent="0.25">
      <c r="C29">
        <v>45</v>
      </c>
      <c r="D29">
        <f>273.15+C29</f>
        <v>318.14999999999998</v>
      </c>
      <c r="E29">
        <f>EXP(C3+D3/(D29+E3))/1000</f>
        <v>72.510769026390932</v>
      </c>
      <c r="F29">
        <f>EXP(C4+D4/(D29+E4))/1000</f>
        <v>44.55814639452187</v>
      </c>
      <c r="G29">
        <v>0</v>
      </c>
      <c r="H29" s="44">
        <f>C22</f>
        <v>0.74997872622340034</v>
      </c>
      <c r="I29" s="44">
        <f>D22</f>
        <v>2.1274273930948376E-5</v>
      </c>
      <c r="J29" s="44">
        <f>E22</f>
        <v>0.25</v>
      </c>
      <c r="K29" s="29">
        <f>I4/$O$1/$D$29</f>
        <v>2.1071800296631609</v>
      </c>
      <c r="L29" s="29">
        <f>J4/$O$1/$D$29</f>
        <v>2.8350922655412045</v>
      </c>
      <c r="M29" s="29">
        <f>I5/$O$1/$D$29</f>
        <v>7.2849444468829168</v>
      </c>
      <c r="N29" s="29">
        <f>J5/$O$1/$D$29</f>
        <v>6.1290709297054313</v>
      </c>
      <c r="O29" s="29">
        <f>I6/$O$1/$D$29</f>
        <v>4.0246507210259157</v>
      </c>
      <c r="P29" s="29">
        <f>J6/$O$1/$D$29</f>
        <v>0.21292207917654202</v>
      </c>
      <c r="Q29" s="29">
        <f>EXP(-$L$4*K29)</f>
        <v>0.43047242445194145</v>
      </c>
      <c r="R29" s="29">
        <f t="shared" ref="R29:V29" si="5">EXP(-$L$4*L29)</f>
        <v>0.32173183009668638</v>
      </c>
      <c r="S29" s="29">
        <f t="shared" si="5"/>
        <v>5.425946787469077E-2</v>
      </c>
      <c r="T29" s="29">
        <f t="shared" si="5"/>
        <v>8.6153182795249569E-2</v>
      </c>
      <c r="U29" s="29">
        <f t="shared" si="5"/>
        <v>0.19991554264238187</v>
      </c>
      <c r="V29" s="29">
        <f t="shared" si="5"/>
        <v>0.91835722352796123</v>
      </c>
      <c r="W29" s="46">
        <f>I29*L29*R29+J29*N29*T29</f>
        <v>0.1320291471469405</v>
      </c>
      <c r="X29" s="46">
        <f>H29*K29*Q29+J29*P29*V29</f>
        <v>0.72917750738056397</v>
      </c>
      <c r="Y29" s="46">
        <f>H29*M29*S29+I29*O29*U29</f>
        <v>0.29646661492238535</v>
      </c>
      <c r="Z29" s="46">
        <f>H29+R29*I29+J29*T29</f>
        <v>0.77152386653329852</v>
      </c>
      <c r="AA29" s="46">
        <f>H29*Q29+I29+J29*V29</f>
        <v>0.55245574072068726</v>
      </c>
      <c r="AB29" s="46">
        <f>H29*S29+I29*U29+J29</f>
        <v>0.29069769966023734</v>
      </c>
      <c r="AC29">
        <f>W29/Z29-H29*W29/Z29^2+I29*Q29/AA29*(K29-X29/AA29)+J29*S29/AB29*(M29-Y29/AB29)</f>
        <v>0.29714106702760801</v>
      </c>
      <c r="AD29">
        <f>X29/AA29-I29*X29/AA29^2+H29*R29/Z29*(L29-W29/Z29)+J29*U29/AB29*(O29-Y29/AB29)</f>
        <v>2.6695892619248398</v>
      </c>
      <c r="AE29">
        <f>Y29/AB29-J29*Y29/AB29^2+H29*T29/Z29*(N29-W29/Z29)+I29*V29/AA29*(P29-X29/AA29)</f>
        <v>0.6417009975759641</v>
      </c>
      <c r="AF29" s="26">
        <f>EXP(AC29)</f>
        <v>1.346005163003529</v>
      </c>
      <c r="AG29" s="26">
        <f t="shared" ref="AG29:AH29" si="6">EXP(AD29)</f>
        <v>14.434039365537542</v>
      </c>
      <c r="AH29" s="26">
        <f t="shared" si="6"/>
        <v>1.8997095338718268</v>
      </c>
      <c r="AI29" s="44">
        <f>AF29*E29*H29</f>
        <v>73.197825794339394</v>
      </c>
      <c r="AJ29" s="44">
        <f>AG29*F29*I29</f>
        <v>1.3682635207905278E-2</v>
      </c>
      <c r="AK29" s="44">
        <f>AH29*G29*J29</f>
        <v>0</v>
      </c>
      <c r="AL29" s="44">
        <f>SUM(AI29:AK29)</f>
        <v>73.211508429547294</v>
      </c>
      <c r="AM29">
        <f>AI29/AL29</f>
        <v>0.99981310813693902</v>
      </c>
      <c r="AN29">
        <f t="shared" ref="AN29:AO29" si="7">AJ29/AM29</f>
        <v>1.3685192859095063E-2</v>
      </c>
      <c r="AO29">
        <f t="shared" si="7"/>
        <v>0</v>
      </c>
    </row>
    <row r="31" spans="1:41" x14ac:dyDescent="0.25">
      <c r="A31">
        <v>12.802468396553602</v>
      </c>
      <c r="B31">
        <v>0.99668005240521662</v>
      </c>
      <c r="C31">
        <v>2.8519914189287761E-3</v>
      </c>
      <c r="D31">
        <v>4.679561758545622E-4</v>
      </c>
    </row>
  </sheetData>
  <mergeCells count="9">
    <mergeCell ref="O8:Q8"/>
    <mergeCell ref="C12:E12"/>
    <mergeCell ref="AA12:AC12"/>
    <mergeCell ref="C1:E1"/>
    <mergeCell ref="H1:H2"/>
    <mergeCell ref="K1:K2"/>
    <mergeCell ref="L1:L2"/>
    <mergeCell ref="I2:J2"/>
    <mergeCell ref="H3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ule1.Solver">
                <anchor moveWithCells="1" sizeWithCells="1">
                  <from>
                    <xdr:col>20</xdr:col>
                    <xdr:colOff>171450</xdr:colOff>
                    <xdr:row>3</xdr:row>
                    <xdr:rowOff>0</xdr:rowOff>
                  </from>
                  <to>
                    <xdr:col>21</xdr:col>
                    <xdr:colOff>590550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3"/>
  <dimension ref="A1:AL35"/>
  <sheetViews>
    <sheetView zoomScale="55" zoomScaleNormal="55" workbookViewId="0">
      <selection sqref="A1:XFD1048576"/>
    </sheetView>
  </sheetViews>
  <sheetFormatPr defaultRowHeight="15" x14ac:dyDescent="0.25"/>
  <cols>
    <col min="3" max="3" width="11.42578125" customWidth="1"/>
    <col min="19" max="19" width="14.42578125" bestFit="1" customWidth="1"/>
    <col min="20" max="20" width="14.28515625" bestFit="1" customWidth="1"/>
    <col min="23" max="23" width="12" bestFit="1" customWidth="1"/>
    <col min="25" max="25" width="10.28515625" bestFit="1" customWidth="1"/>
  </cols>
  <sheetData>
    <row r="1" spans="1:37" ht="15.75" thickBot="1" x14ac:dyDescent="0.3">
      <c r="C1" s="60" t="s">
        <v>0</v>
      </c>
      <c r="D1" s="61"/>
      <c r="E1" s="61"/>
      <c r="H1" s="62" t="s">
        <v>1</v>
      </c>
      <c r="I1" s="1" t="s">
        <v>2</v>
      </c>
      <c r="J1" s="1" t="s">
        <v>3</v>
      </c>
      <c r="K1" s="62" t="s">
        <v>4</v>
      </c>
      <c r="L1" s="62" t="s">
        <v>5</v>
      </c>
      <c r="N1" s="2" t="s">
        <v>6</v>
      </c>
      <c r="O1" s="3">
        <f>8.314/1000</f>
        <v>8.3140000000000002E-3</v>
      </c>
    </row>
    <row r="2" spans="1:37" ht="15.75" thickBot="1" x14ac:dyDescent="0.3">
      <c r="C2" s="2" t="s">
        <v>7</v>
      </c>
      <c r="D2" s="4" t="s">
        <v>8</v>
      </c>
      <c r="E2" s="3" t="s">
        <v>9</v>
      </c>
      <c r="H2" s="63"/>
      <c r="I2" s="64" t="s">
        <v>10</v>
      </c>
      <c r="J2" s="64"/>
      <c r="K2" s="63"/>
      <c r="L2" s="63"/>
    </row>
    <row r="3" spans="1:37" ht="15.75" thickBot="1" x14ac:dyDescent="0.3">
      <c r="A3" s="5" t="s">
        <v>7</v>
      </c>
      <c r="B3" s="6" t="s">
        <v>11</v>
      </c>
      <c r="C3" s="5">
        <v>20.840540000000001</v>
      </c>
      <c r="D3" s="7">
        <v>-2624.5250000000001</v>
      </c>
      <c r="E3" s="6">
        <v>-46.151710000000001</v>
      </c>
      <c r="H3" s="64" t="s">
        <v>12</v>
      </c>
      <c r="I3" s="64"/>
      <c r="J3" s="64"/>
      <c r="K3" s="64"/>
      <c r="L3" s="64"/>
    </row>
    <row r="4" spans="1:37" x14ac:dyDescent="0.25">
      <c r="A4" s="8" t="s">
        <v>8</v>
      </c>
      <c r="B4" s="9" t="s">
        <v>13</v>
      </c>
      <c r="C4" s="8">
        <v>23.534700000000001</v>
      </c>
      <c r="D4" s="10">
        <v>-3661.4679999999998</v>
      </c>
      <c r="E4" s="9">
        <v>-32.770009999999999</v>
      </c>
      <c r="H4" s="11" t="s">
        <v>14</v>
      </c>
      <c r="I4" s="12">
        <v>5.5736999999999997</v>
      </c>
      <c r="J4" s="12">
        <v>7.4991000000000003</v>
      </c>
      <c r="K4" s="11">
        <v>6.4999999999999997E-3</v>
      </c>
      <c r="L4" s="11">
        <v>0.4</v>
      </c>
    </row>
    <row r="5" spans="1:37" ht="15.75" thickBot="1" x14ac:dyDescent="0.3">
      <c r="A5" s="13" t="s">
        <v>9</v>
      </c>
      <c r="B5" s="14" t="s">
        <v>15</v>
      </c>
      <c r="C5" s="13" t="s">
        <v>16</v>
      </c>
      <c r="D5" s="15" t="s">
        <v>16</v>
      </c>
      <c r="E5" s="14" t="s">
        <v>16</v>
      </c>
      <c r="H5" s="16" t="s">
        <v>17</v>
      </c>
      <c r="I5" s="17">
        <v>19.269400000000001</v>
      </c>
      <c r="J5" s="17">
        <v>16.212</v>
      </c>
      <c r="K5" s="16"/>
      <c r="L5" s="16"/>
    </row>
    <row r="6" spans="1:37" ht="15.75" thickBot="1" x14ac:dyDescent="0.3">
      <c r="A6" s="18" t="s">
        <v>18</v>
      </c>
      <c r="B6">
        <v>2.4500000000000002</v>
      </c>
      <c r="H6" s="19" t="s">
        <v>19</v>
      </c>
      <c r="I6" s="20">
        <v>10.6456</v>
      </c>
      <c r="J6" s="20">
        <v>0.56320000000000003</v>
      </c>
      <c r="K6" s="21"/>
      <c r="L6" s="21"/>
    </row>
    <row r="7" spans="1:37" ht="15.75" thickBot="1" x14ac:dyDescent="0.3">
      <c r="AI7" s="22"/>
      <c r="AJ7" s="22"/>
      <c r="AK7" s="22"/>
    </row>
    <row r="8" spans="1:37" ht="15.75" thickBot="1" x14ac:dyDescent="0.3">
      <c r="O8" s="57" t="s">
        <v>20</v>
      </c>
      <c r="P8" s="58"/>
      <c r="Q8" s="59"/>
      <c r="AG8" s="23"/>
      <c r="AH8" s="23"/>
      <c r="AI8" s="23"/>
      <c r="AJ8" s="10"/>
    </row>
    <row r="9" spans="1:37" ht="15.75" thickBot="1" x14ac:dyDescent="0.3">
      <c r="B9" s="24"/>
      <c r="C9" s="24" t="s">
        <v>21</v>
      </c>
      <c r="D9" s="54" t="s">
        <v>22</v>
      </c>
      <c r="E9" s="26" t="s">
        <v>23</v>
      </c>
      <c r="F9" s="54" t="s">
        <v>24</v>
      </c>
      <c r="G9" s="54" t="s">
        <v>25</v>
      </c>
      <c r="H9" s="24" t="s">
        <v>26</v>
      </c>
      <c r="I9" s="54" t="s">
        <v>27</v>
      </c>
      <c r="J9" s="54" t="s">
        <v>28</v>
      </c>
      <c r="K9" s="24" t="s">
        <v>29</v>
      </c>
      <c r="L9" s="24" t="s">
        <v>30</v>
      </c>
      <c r="M9" s="54" t="s">
        <v>31</v>
      </c>
      <c r="N9" s="24" t="s">
        <v>32</v>
      </c>
      <c r="O9" s="24" t="s">
        <v>29</v>
      </c>
      <c r="P9" s="54" t="s">
        <v>30</v>
      </c>
      <c r="Q9" s="54" t="s">
        <v>31</v>
      </c>
      <c r="S9" s="24"/>
      <c r="T9" s="24" t="s">
        <v>21</v>
      </c>
      <c r="U9" s="54" t="s">
        <v>22</v>
      </c>
      <c r="V9" s="26" t="s">
        <v>23</v>
      </c>
      <c r="W9" s="27" t="s">
        <v>24</v>
      </c>
      <c r="X9" s="54" t="s">
        <v>25</v>
      </c>
      <c r="Y9" s="24" t="s">
        <v>26</v>
      </c>
      <c r="Z9" s="54" t="s">
        <v>27</v>
      </c>
      <c r="AA9" s="54" t="s">
        <v>28</v>
      </c>
      <c r="AB9" s="24" t="s">
        <v>33</v>
      </c>
      <c r="AC9" s="54" t="s">
        <v>34</v>
      </c>
      <c r="AD9" s="54" t="s">
        <v>35</v>
      </c>
      <c r="AE9" s="24" t="s">
        <v>36</v>
      </c>
      <c r="AF9" s="28" t="s">
        <v>37</v>
      </c>
      <c r="AG9" s="10"/>
      <c r="AH9" s="10"/>
      <c r="AI9" s="10"/>
      <c r="AJ9" s="10"/>
    </row>
    <row r="10" spans="1:37" x14ac:dyDescent="0.25">
      <c r="B10" s="29"/>
      <c r="C10" s="29">
        <v>45.124084580926265</v>
      </c>
      <c r="D10" s="30">
        <v>318.27408458092623</v>
      </c>
      <c r="E10" s="29">
        <v>72.830508594361874</v>
      </c>
      <c r="F10" s="31">
        <v>44.807304926937533</v>
      </c>
      <c r="G10" s="29">
        <v>0</v>
      </c>
      <c r="H10" s="29">
        <v>16260.352293153028</v>
      </c>
      <c r="I10" s="29">
        <v>49.810085039909509</v>
      </c>
      <c r="J10" s="29">
        <v>0</v>
      </c>
      <c r="K10" s="29">
        <f>MMULT(L20,I20)</f>
        <v>2.342956717003001E-7</v>
      </c>
      <c r="L10" s="29">
        <f>MMULT(L22,I22)</f>
        <v>1.9999770409474437E-2</v>
      </c>
      <c r="M10" s="29">
        <f>MMULT(L24,I24)</f>
        <v>0.98</v>
      </c>
      <c r="N10" s="26">
        <f>SUM(K10:M10)</f>
        <v>1.0000000047051461</v>
      </c>
      <c r="O10" s="29">
        <f>K10/(K10+L10+M10)</f>
        <v>2.3429567059790474E-7</v>
      </c>
      <c r="P10" s="29">
        <f>L10/(K10+L10+M10)</f>
        <v>1.9999770315372596E-2</v>
      </c>
      <c r="Q10" s="29">
        <f>M10/(K10+L10+M10)</f>
        <v>0.97999999538895688</v>
      </c>
      <c r="S10" s="29"/>
      <c r="T10" s="29">
        <v>45.124084580926265</v>
      </c>
      <c r="U10" s="30">
        <f>T10+273.15</f>
        <v>318.27408458092623</v>
      </c>
      <c r="V10" s="29">
        <f>EXP(C3+D3/(U10+E3))/1000</f>
        <v>72.830508594361874</v>
      </c>
      <c r="W10" s="29">
        <f>EXP(C4+D4/(U10+E4))/1000</f>
        <v>44.807304926937533</v>
      </c>
      <c r="X10" s="29">
        <v>0</v>
      </c>
      <c r="Y10" s="29">
        <f>V10*AA14/$B$6</f>
        <v>16260.352293153028</v>
      </c>
      <c r="Z10" s="29">
        <f t="shared" ref="Z10:AA10" si="0">W10*AB14/$B$6</f>
        <v>49.810085039909509</v>
      </c>
      <c r="AA10" s="29">
        <f t="shared" si="0"/>
        <v>0</v>
      </c>
      <c r="AB10" s="29">
        <f>(O10*AA14*V10)/$B$6</f>
        <v>3.8097301446824673E-3</v>
      </c>
      <c r="AC10" s="29">
        <f t="shared" ref="AC10:AD10" si="1">(P10*AB14*W10)/$B$6</f>
        <v>0.99619026018736678</v>
      </c>
      <c r="AD10" s="29">
        <f t="shared" si="1"/>
        <v>0</v>
      </c>
      <c r="AE10" s="29">
        <f>SUM(AB10:AD10)</f>
        <v>0.99999999033204923</v>
      </c>
      <c r="AF10">
        <f>V10*O10*AA14+W10*P10*AB14+Q10*X10*AC14</f>
        <v>2.4499999763135207</v>
      </c>
    </row>
    <row r="11" spans="1:37" ht="15.75" thickBot="1" x14ac:dyDescent="0.3"/>
    <row r="12" spans="1:37" ht="15.75" thickBot="1" x14ac:dyDescent="0.3">
      <c r="C12" s="57" t="s">
        <v>38</v>
      </c>
      <c r="D12" s="58"/>
      <c r="E12" s="59"/>
      <c r="AA12" s="57" t="s">
        <v>39</v>
      </c>
      <c r="AB12" s="58"/>
      <c r="AC12" s="59"/>
    </row>
    <row r="13" spans="1:37" ht="15.75" thickBot="1" x14ac:dyDescent="0.3">
      <c r="B13" s="24"/>
      <c r="C13" s="24" t="s">
        <v>40</v>
      </c>
      <c r="D13" s="54" t="s">
        <v>41</v>
      </c>
      <c r="E13" s="54" t="s">
        <v>42</v>
      </c>
      <c r="F13" s="24" t="s">
        <v>43</v>
      </c>
      <c r="G13" s="54" t="s">
        <v>44</v>
      </c>
      <c r="H13" s="54" t="s">
        <v>45</v>
      </c>
      <c r="I13" s="54" t="s">
        <v>46</v>
      </c>
      <c r="J13" s="54" t="s">
        <v>47</v>
      </c>
      <c r="K13" s="54" t="s">
        <v>48</v>
      </c>
      <c r="L13" s="24" t="s">
        <v>49</v>
      </c>
      <c r="M13" s="54" t="s">
        <v>50</v>
      </c>
      <c r="N13" s="54" t="s">
        <v>51</v>
      </c>
      <c r="O13" s="54" t="s">
        <v>52</v>
      </c>
      <c r="P13" s="54" t="s">
        <v>53</v>
      </c>
      <c r="Q13" s="54" t="s">
        <v>54</v>
      </c>
      <c r="R13" s="32" t="s">
        <v>55</v>
      </c>
      <c r="S13" s="33" t="s">
        <v>56</v>
      </c>
      <c r="T13" s="33" t="s">
        <v>57</v>
      </c>
      <c r="U13" s="32" t="s">
        <v>58</v>
      </c>
      <c r="V13" s="33" t="s">
        <v>59</v>
      </c>
      <c r="W13" s="33" t="s">
        <v>60</v>
      </c>
      <c r="X13" s="32" t="s">
        <v>61</v>
      </c>
      <c r="Y13" s="33" t="s">
        <v>62</v>
      </c>
      <c r="Z13" s="33" t="s">
        <v>63</v>
      </c>
      <c r="AA13" s="32" t="s">
        <v>40</v>
      </c>
      <c r="AB13" s="33" t="s">
        <v>41</v>
      </c>
      <c r="AC13" s="33" t="s">
        <v>42</v>
      </c>
    </row>
    <row r="14" spans="1:37" x14ac:dyDescent="0.25">
      <c r="B14" s="29"/>
      <c r="C14" s="29">
        <v>1</v>
      </c>
      <c r="D14" s="29">
        <v>1</v>
      </c>
      <c r="E14" s="29">
        <v>1</v>
      </c>
      <c r="F14" s="29">
        <f>I4/$O$1/$D$10</f>
        <v>2.106358509584763</v>
      </c>
      <c r="G14" s="29">
        <f>J4/$O$1/$D$10</f>
        <v>2.833986956461076</v>
      </c>
      <c r="H14" s="29">
        <f>I5/$O$1/$D$10</f>
        <v>7.2821042870252493</v>
      </c>
      <c r="I14" s="29">
        <f>J5/$O$1/$D$10</f>
        <v>6.1266814068550834</v>
      </c>
      <c r="J14" s="29">
        <f>I6/$O$1/$D$10</f>
        <v>4.0230816422906788</v>
      </c>
      <c r="K14" s="29">
        <f>J6/$O$1/$D$10</f>
        <v>0.21283906787199502</v>
      </c>
      <c r="L14" s="29">
        <f>EXP(-$L$4*F14)</f>
        <v>0.43061390439234426</v>
      </c>
      <c r="M14" s="29">
        <f t="shared" ref="M14:Q14" si="2">EXP(-$L$4*G14)</f>
        <v>0.32187410679158224</v>
      </c>
      <c r="N14" s="29">
        <f t="shared" si="2"/>
        <v>5.4321145127731257E-2</v>
      </c>
      <c r="O14" s="29">
        <f t="shared" si="2"/>
        <v>8.623556816088801E-2</v>
      </c>
      <c r="P14" s="29">
        <f t="shared" si="2"/>
        <v>0.20004105531683677</v>
      </c>
      <c r="Q14" s="29">
        <f t="shared" si="2"/>
        <v>0.91838771764669591</v>
      </c>
      <c r="R14" s="29">
        <f>P10*G14*M14+Q10*I14*O14</f>
        <v>0.53601462347355244</v>
      </c>
      <c r="S14" s="29">
        <f>O10*F14*L14+Q10*K14*Q14</f>
        <v>0.19155962166487706</v>
      </c>
      <c r="T14" s="29">
        <f>O10*H14*N14+P10*J14*P14</f>
        <v>1.6095537781918176E-2</v>
      </c>
      <c r="U14" s="29">
        <f>O10+M14*P10+Q10*O14</f>
        <v>9.0948498902002267E-2</v>
      </c>
      <c r="V14" s="29">
        <f>O10*L14+P10+Q10*Q14</f>
        <v>0.9200198302653827</v>
      </c>
      <c r="W14" s="29">
        <f>O10*N14+P10*P14+Q10</f>
        <v>0.98400078327614748</v>
      </c>
      <c r="X14">
        <f>R14/U14-O10*R14/U14^2+P10*L14/V14*(F14-S14/V14)+Q10*N14/W14*(H14-T14/W14)</f>
        <v>6.3044381321553082</v>
      </c>
      <c r="Y14">
        <f>S14/V14-P10*S14/V14^2+O10*M14/U14*(G14-R14/U14)+Q10*P14/W14*(J14-T14/W14)</f>
        <v>1.0019343163927024</v>
      </c>
      <c r="Z14">
        <f>T14/W14-Q10*T14/W14^2+O10*O14/U14*(I14-R14/U14)+P10*Q14/V14*(K14-S14/V14)</f>
        <v>1.5892397539611581E-4</v>
      </c>
      <c r="AA14" s="26">
        <f>EXP(X14)</f>
        <v>546.99416339526897</v>
      </c>
      <c r="AB14" s="26">
        <f t="shared" ref="AB14:AC14" si="3">EXP(Y14)</f>
        <v>2.7235449341746221</v>
      </c>
      <c r="AC14" s="26">
        <f t="shared" si="3"/>
        <v>1.0001589366044801</v>
      </c>
    </row>
    <row r="18" spans="1:38" ht="15.75" thickBot="1" x14ac:dyDescent="0.3"/>
    <row r="19" spans="1:38" ht="15.75" thickBot="1" x14ac:dyDescent="0.3">
      <c r="B19" s="34" t="s">
        <v>64</v>
      </c>
      <c r="C19" s="35" t="s">
        <v>29</v>
      </c>
      <c r="D19" s="35" t="s">
        <v>30</v>
      </c>
      <c r="E19" s="36" t="s">
        <v>31</v>
      </c>
      <c r="G19" s="34" t="s">
        <v>7</v>
      </c>
      <c r="I19" s="37" t="s">
        <v>65</v>
      </c>
      <c r="K19" s="34" t="s">
        <v>66</v>
      </c>
    </row>
    <row r="20" spans="1:38" ht="15.75" thickBot="1" x14ac:dyDescent="0.3">
      <c r="A20" s="37" t="s">
        <v>67</v>
      </c>
      <c r="B20">
        <f>A32</f>
        <v>23.642682326303682</v>
      </c>
      <c r="C20">
        <f>A33</f>
        <v>1.8542191593732282E-3</v>
      </c>
      <c r="D20">
        <f>A34</f>
        <v>0.49508688535711376</v>
      </c>
      <c r="E20">
        <f>A35</f>
        <v>0.50305889548351301</v>
      </c>
      <c r="H20" s="2">
        <f>$B$22+$B$21*H10</f>
        <v>187108.5122071034</v>
      </c>
      <c r="I20" s="39">
        <f>$B$20*C20</f>
        <v>4.3838714548407091E-2</v>
      </c>
      <c r="L20" s="18">
        <f>MINVERSE(H20)</f>
        <v>5.3444922852742126E-6</v>
      </c>
    </row>
    <row r="21" spans="1:38" ht="15.75" thickBot="1" x14ac:dyDescent="0.3">
      <c r="A21" s="40" t="s">
        <v>68</v>
      </c>
      <c r="B21" s="38">
        <f>B20-B22</f>
        <v>11.506292880040514</v>
      </c>
      <c r="C21">
        <f>AB10</f>
        <v>3.8097301446824673E-3</v>
      </c>
      <c r="D21">
        <f t="shared" ref="D21:E21" si="4">AC10</f>
        <v>0.99619026018736678</v>
      </c>
      <c r="E21">
        <f t="shared" si="4"/>
        <v>0</v>
      </c>
      <c r="G21" s="34" t="s">
        <v>8</v>
      </c>
      <c r="I21" s="40" t="s">
        <v>65</v>
      </c>
      <c r="K21" s="34" t="s">
        <v>66</v>
      </c>
    </row>
    <row r="22" spans="1:38" ht="15.75" thickBot="1" x14ac:dyDescent="0.3">
      <c r="A22" s="41" t="s">
        <v>69</v>
      </c>
      <c r="B22" s="42">
        <f>B20*E20/E22</f>
        <v>12.136389446263168</v>
      </c>
      <c r="C22" s="43">
        <f>O10</f>
        <v>2.3429567059790474E-7</v>
      </c>
      <c r="D22" s="44">
        <f>P10</f>
        <v>1.9999770315372596E-2</v>
      </c>
      <c r="E22">
        <v>0.98</v>
      </c>
      <c r="H22" s="2">
        <f>$B$22+$B$21*I10</f>
        <v>585.26581629518637</v>
      </c>
      <c r="I22" s="39">
        <f>$B$20*D20</f>
        <v>11.70518195441737</v>
      </c>
      <c r="L22" s="18">
        <f>MINVERSE(H22)</f>
        <v>1.7086253325542544E-3</v>
      </c>
    </row>
    <row r="23" spans="1:38" ht="15.75" thickBot="1" x14ac:dyDescent="0.3">
      <c r="G23" s="34" t="s">
        <v>9</v>
      </c>
      <c r="I23" s="40" t="s">
        <v>65</v>
      </c>
      <c r="K23" s="34" t="s">
        <v>66</v>
      </c>
    </row>
    <row r="24" spans="1:38" ht="15.75" thickBot="1" x14ac:dyDescent="0.3">
      <c r="H24" s="2">
        <f>$B$22+$B$21*J10</f>
        <v>12.136389446263168</v>
      </c>
      <c r="I24" s="39">
        <f>$B$20*E20</f>
        <v>11.893661657337905</v>
      </c>
      <c r="L24" s="18">
        <f>MINVERSE(H24)</f>
        <v>8.2396828515411816E-2</v>
      </c>
    </row>
    <row r="27" spans="1:38" ht="15.75" thickBot="1" x14ac:dyDescent="0.3"/>
    <row r="28" spans="1:38" ht="15.75" thickBot="1" x14ac:dyDescent="0.3">
      <c r="C28" s="24" t="s">
        <v>21</v>
      </c>
      <c r="D28" s="54" t="s">
        <v>22</v>
      </c>
      <c r="E28" s="26" t="s">
        <v>23</v>
      </c>
      <c r="F28" s="54" t="s">
        <v>24</v>
      </c>
      <c r="G28" s="54" t="s">
        <v>25</v>
      </c>
      <c r="H28" s="24" t="s">
        <v>29</v>
      </c>
      <c r="I28" s="24" t="s">
        <v>30</v>
      </c>
      <c r="J28" s="54" t="s">
        <v>31</v>
      </c>
      <c r="K28" s="24" t="s">
        <v>43</v>
      </c>
      <c r="L28" s="54" t="s">
        <v>44</v>
      </c>
      <c r="M28" s="54" t="s">
        <v>45</v>
      </c>
      <c r="N28" s="54" t="s">
        <v>46</v>
      </c>
      <c r="O28" s="54" t="s">
        <v>47</v>
      </c>
      <c r="P28" s="54" t="s">
        <v>48</v>
      </c>
      <c r="Q28" s="24" t="s">
        <v>49</v>
      </c>
      <c r="R28" s="54" t="s">
        <v>50</v>
      </c>
      <c r="S28" s="54" t="s">
        <v>51</v>
      </c>
      <c r="T28" s="54" t="s">
        <v>52</v>
      </c>
      <c r="U28" s="54" t="s">
        <v>53</v>
      </c>
      <c r="V28" s="54" t="s">
        <v>54</v>
      </c>
      <c r="W28" s="32" t="s">
        <v>55</v>
      </c>
      <c r="X28" s="33" t="s">
        <v>56</v>
      </c>
      <c r="Y28" s="33" t="s">
        <v>57</v>
      </c>
      <c r="Z28" s="32" t="s">
        <v>58</v>
      </c>
      <c r="AA28" s="33" t="s">
        <v>59</v>
      </c>
      <c r="AB28" s="33" t="s">
        <v>60</v>
      </c>
      <c r="AC28" s="32" t="s">
        <v>61</v>
      </c>
      <c r="AD28" s="33" t="s">
        <v>62</v>
      </c>
      <c r="AE28" s="33" t="s">
        <v>63</v>
      </c>
      <c r="AF28" s="32" t="s">
        <v>40</v>
      </c>
      <c r="AG28" s="33" t="s">
        <v>41</v>
      </c>
      <c r="AH28" s="33" t="s">
        <v>42</v>
      </c>
      <c r="AI28" s="45" t="s">
        <v>70</v>
      </c>
      <c r="AJ28" s="45" t="s">
        <v>71</v>
      </c>
      <c r="AK28" s="45" t="s">
        <v>72</v>
      </c>
      <c r="AL28" s="45" t="s">
        <v>18</v>
      </c>
    </row>
    <row r="29" spans="1:38" x14ac:dyDescent="0.25">
      <c r="C29">
        <v>45</v>
      </c>
      <c r="D29">
        <f>C29+273.15</f>
        <v>318.14999999999998</v>
      </c>
      <c r="E29">
        <f>EXP(C3+D3/(D29+E3))/1000</f>
        <v>72.510769026390932</v>
      </c>
      <c r="F29">
        <f>EXP(C4+D4/(D29+E4))/1000</f>
        <v>44.55814639452187</v>
      </c>
      <c r="G29">
        <v>0</v>
      </c>
      <c r="H29" s="44">
        <f>C22</f>
        <v>2.3429567059790474E-7</v>
      </c>
      <c r="I29" s="44">
        <f>D22</f>
        <v>1.9999770315372596E-2</v>
      </c>
      <c r="J29" s="44">
        <f t="shared" ref="J29" si="5">E22</f>
        <v>0.98</v>
      </c>
      <c r="K29" s="29">
        <f>I4/$O$1/$D$29</f>
        <v>2.1071800296631609</v>
      </c>
      <c r="L29" s="29">
        <f>J4/$O$1/$D$29</f>
        <v>2.8350922655412045</v>
      </c>
      <c r="M29" s="29">
        <f>I5/$O$1/$D$29</f>
        <v>7.2849444468829168</v>
      </c>
      <c r="N29" s="29">
        <f>J5/$O$1/$D$29</f>
        <v>6.1290709297054313</v>
      </c>
      <c r="O29" s="29">
        <f>I6/$O$1/$D$29</f>
        <v>4.0246507210259157</v>
      </c>
      <c r="P29" s="29">
        <f>J6/$O$1/$D$29</f>
        <v>0.21292207917654202</v>
      </c>
      <c r="Q29" s="29">
        <f>EXP(-$L$4*K29)</f>
        <v>0.43047242445194145</v>
      </c>
      <c r="R29" s="29">
        <f t="shared" ref="R29:V29" si="6">EXP(-$L$4*L29)</f>
        <v>0.32173183009668638</v>
      </c>
      <c r="S29" s="29">
        <f t="shared" si="6"/>
        <v>5.425946787469077E-2</v>
      </c>
      <c r="T29" s="29">
        <f t="shared" si="6"/>
        <v>8.6153182795249569E-2</v>
      </c>
      <c r="U29" s="29">
        <f t="shared" si="6"/>
        <v>0.19991554264238187</v>
      </c>
      <c r="V29" s="29">
        <f t="shared" si="6"/>
        <v>0.91835722352796123</v>
      </c>
      <c r="W29" s="46">
        <f>I29*L29*R29+J29*N29*T29</f>
        <v>0.53572076776583</v>
      </c>
      <c r="X29" s="46">
        <f>H29*K29*Q29+J29*P29*V29</f>
        <v>0.19162797139675788</v>
      </c>
      <c r="Y29" s="46">
        <f>H29*M29*S29+I29*O29*U29</f>
        <v>1.6091712466529944E-2</v>
      </c>
      <c r="Z29" s="46">
        <f>H29+R29*I29+J29*T29</f>
        <v>9.0864916140093385E-2</v>
      </c>
      <c r="AA29" s="46">
        <f>H29*Q29+I29+J29*V29</f>
        <v>0.91998995023059993</v>
      </c>
      <c r="AB29" s="46">
        <f>H29*S29+I29*U29+J29</f>
        <v>0.98399827764807912</v>
      </c>
      <c r="AC29">
        <f>W29/Z29-H29*W29/Z29^2+I29*Q29/AA29*(K29-X29/AA29)+J29*S29/AB29*(M29-Y29/AB29)</f>
        <v>6.306335453148991</v>
      </c>
      <c r="AD29">
        <f>X29/AA29-I29*X29/AA29^2+H29*R29/Z29*(L29-W29/Z29)+J29*U29/AB29*(O29-Y29/AB29)</f>
        <v>1.0018278211223723</v>
      </c>
      <c r="AE29">
        <f>Y29/AB29-J29*Y29/AB29^2+H29*T29/Z29*(N29-W29/Z29)+I29*V29/AA29*(P29-X29/AA29)</f>
        <v>1.5890579252584024E-4</v>
      </c>
      <c r="AF29" s="26">
        <f>EXP(AC29)</f>
        <v>548.03297207002674</v>
      </c>
      <c r="AG29" s="26">
        <f t="shared" ref="AG29:AH29" si="7">EXP(AD29)</f>
        <v>2.7232549049642452</v>
      </c>
      <c r="AH29" s="26">
        <f t="shared" si="7"/>
        <v>1.0001589184187201</v>
      </c>
      <c r="AI29" s="44">
        <f>AF29*E29*H29</f>
        <v>9.3105098326794321E-3</v>
      </c>
      <c r="AJ29" s="44">
        <f>AG29*F29*I29</f>
        <v>2.4268359438343818</v>
      </c>
      <c r="AK29" s="44">
        <f>AH29*G29*J29</f>
        <v>0</v>
      </c>
      <c r="AL29">
        <f>SUM(AI29:AK29)</f>
        <v>2.4361464536670612</v>
      </c>
    </row>
    <row r="31" spans="1:38" x14ac:dyDescent="0.25">
      <c r="A31" t="s">
        <v>74</v>
      </c>
      <c r="C31" t="s">
        <v>75</v>
      </c>
    </row>
    <row r="32" spans="1:38" x14ac:dyDescent="0.25">
      <c r="A32">
        <v>23.642682326303682</v>
      </c>
      <c r="C32">
        <f>B22</f>
        <v>12.136389446263168</v>
      </c>
    </row>
    <row r="33" spans="1:3" x14ac:dyDescent="0.25">
      <c r="A33">
        <v>1.8542191593732282E-3</v>
      </c>
      <c r="C33" s="43">
        <f>C22</f>
        <v>2.3429567059790474E-7</v>
      </c>
    </row>
    <row r="34" spans="1:3" x14ac:dyDescent="0.25">
      <c r="A34">
        <v>0.49508688535711376</v>
      </c>
      <c r="C34" s="44">
        <f>D22</f>
        <v>1.9999770315372596E-2</v>
      </c>
    </row>
    <row r="35" spans="1:3" x14ac:dyDescent="0.25">
      <c r="A35">
        <v>0.50305889548351301</v>
      </c>
      <c r="C35">
        <f>E22</f>
        <v>0.98</v>
      </c>
    </row>
  </sheetData>
  <mergeCells count="9">
    <mergeCell ref="O8:Q8"/>
    <mergeCell ref="C12:E12"/>
    <mergeCell ref="AA12:AC12"/>
    <mergeCell ref="C1:E1"/>
    <mergeCell ref="H1:H2"/>
    <mergeCell ref="K1:K2"/>
    <mergeCell ref="L1:L2"/>
    <mergeCell ref="I2:J2"/>
    <mergeCell ref="H3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e1.Solver">
                <anchor moveWithCells="1" sizeWithCells="1">
                  <from>
                    <xdr:col>20</xdr:col>
                    <xdr:colOff>171450</xdr:colOff>
                    <xdr:row>3</xdr:row>
                    <xdr:rowOff>0</xdr:rowOff>
                  </from>
                  <to>
                    <xdr:col>21</xdr:col>
                    <xdr:colOff>590550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1"/>
  <dimension ref="A1:AO34"/>
  <sheetViews>
    <sheetView zoomScale="55" zoomScaleNormal="55" workbookViewId="0">
      <selection activeCell="C31" sqref="C31:C34"/>
    </sheetView>
  </sheetViews>
  <sheetFormatPr defaultRowHeight="15" x14ac:dyDescent="0.25"/>
  <cols>
    <col min="19" max="19" width="14.42578125" bestFit="1" customWidth="1"/>
    <col min="20" max="20" width="14.28515625" bestFit="1" customWidth="1"/>
    <col min="23" max="23" width="12" bestFit="1" customWidth="1"/>
    <col min="25" max="25" width="10.28515625" bestFit="1" customWidth="1"/>
  </cols>
  <sheetData>
    <row r="1" spans="1:37" ht="15.75" thickBot="1" x14ac:dyDescent="0.3">
      <c r="C1" s="60" t="s">
        <v>0</v>
      </c>
      <c r="D1" s="61"/>
      <c r="E1" s="61"/>
      <c r="H1" s="62" t="s">
        <v>1</v>
      </c>
      <c r="I1" s="1" t="s">
        <v>2</v>
      </c>
      <c r="J1" s="1" t="s">
        <v>3</v>
      </c>
      <c r="K1" s="62" t="s">
        <v>4</v>
      </c>
      <c r="L1" s="62" t="s">
        <v>5</v>
      </c>
      <c r="N1" s="47" t="s">
        <v>6</v>
      </c>
      <c r="O1" s="36">
        <f>8.314/1000</f>
        <v>8.3140000000000002E-3</v>
      </c>
    </row>
    <row r="2" spans="1:37" ht="15.75" thickBot="1" x14ac:dyDescent="0.3">
      <c r="C2" s="47" t="s">
        <v>7</v>
      </c>
      <c r="D2" s="35" t="s">
        <v>8</v>
      </c>
      <c r="E2" s="36" t="s">
        <v>9</v>
      </c>
      <c r="H2" s="63"/>
      <c r="I2" s="64" t="s">
        <v>10</v>
      </c>
      <c r="J2" s="64"/>
      <c r="K2" s="63"/>
      <c r="L2" s="63"/>
    </row>
    <row r="3" spans="1:37" ht="15.75" thickBot="1" x14ac:dyDescent="0.3">
      <c r="A3" s="37" t="s">
        <v>7</v>
      </c>
      <c r="B3" t="s">
        <v>11</v>
      </c>
      <c r="C3">
        <v>20.840540000000001</v>
      </c>
      <c r="D3">
        <v>-2624.5250000000001</v>
      </c>
      <c r="E3">
        <v>-46.151710000000001</v>
      </c>
      <c r="H3" s="64" t="s">
        <v>12</v>
      </c>
      <c r="I3" s="64"/>
      <c r="J3" s="64"/>
      <c r="K3" s="64"/>
      <c r="L3" s="64"/>
    </row>
    <row r="4" spans="1:37" x14ac:dyDescent="0.25">
      <c r="A4" s="40" t="s">
        <v>8</v>
      </c>
      <c r="B4" t="s">
        <v>13</v>
      </c>
      <c r="C4">
        <v>23.534700000000001</v>
      </c>
      <c r="D4">
        <v>-3661.4679999999998</v>
      </c>
      <c r="E4">
        <v>-32.770009999999999</v>
      </c>
      <c r="H4" s="11" t="s">
        <v>14</v>
      </c>
      <c r="I4" s="12">
        <v>5.5736999999999997</v>
      </c>
      <c r="J4" s="12">
        <v>7.4991000000000003</v>
      </c>
      <c r="K4" s="11">
        <v>6.4999999999999997E-3</v>
      </c>
      <c r="L4" s="11">
        <v>0.4</v>
      </c>
    </row>
    <row r="5" spans="1:37" ht="15.75" thickBot="1" x14ac:dyDescent="0.3">
      <c r="A5" s="40" t="s">
        <v>9</v>
      </c>
      <c r="B5" t="s">
        <v>15</v>
      </c>
      <c r="C5" t="s">
        <v>16</v>
      </c>
      <c r="D5" t="s">
        <v>16</v>
      </c>
      <c r="E5" t="s">
        <v>16</v>
      </c>
      <c r="H5" s="16" t="s">
        <v>17</v>
      </c>
      <c r="I5" s="17">
        <v>19.269400000000001</v>
      </c>
      <c r="J5" s="17">
        <v>16.212</v>
      </c>
      <c r="K5" s="16"/>
      <c r="L5" s="16"/>
    </row>
    <row r="6" spans="1:37" ht="15.75" thickBot="1" x14ac:dyDescent="0.3">
      <c r="A6" s="47" t="s">
        <v>18</v>
      </c>
      <c r="B6" s="36">
        <v>73.5</v>
      </c>
      <c r="H6" s="19" t="s">
        <v>19</v>
      </c>
      <c r="I6" s="20">
        <v>10.6456</v>
      </c>
      <c r="J6" s="20">
        <v>0.56320000000000003</v>
      </c>
      <c r="K6" s="21"/>
      <c r="L6" s="21"/>
    </row>
    <row r="7" spans="1:37" ht="15.75" thickBot="1" x14ac:dyDescent="0.3">
      <c r="AI7" s="22"/>
      <c r="AJ7" s="22"/>
      <c r="AK7" s="22"/>
    </row>
    <row r="8" spans="1:37" ht="15.75" thickBot="1" x14ac:dyDescent="0.3">
      <c r="O8" s="57" t="s">
        <v>20</v>
      </c>
      <c r="P8" s="58"/>
      <c r="Q8" s="59"/>
      <c r="AG8" s="23"/>
      <c r="AH8" s="23"/>
      <c r="AI8" s="23"/>
      <c r="AJ8" s="10"/>
    </row>
    <row r="9" spans="1:37" ht="15.75" thickBot="1" x14ac:dyDescent="0.3">
      <c r="B9" s="24"/>
      <c r="C9" s="24" t="s">
        <v>21</v>
      </c>
      <c r="D9" s="54" t="s">
        <v>22</v>
      </c>
      <c r="E9" s="26" t="s">
        <v>23</v>
      </c>
      <c r="F9" s="54" t="s">
        <v>24</v>
      </c>
      <c r="G9" s="54" t="s">
        <v>25</v>
      </c>
      <c r="H9" s="24" t="s">
        <v>26</v>
      </c>
      <c r="I9" s="54" t="s">
        <v>27</v>
      </c>
      <c r="J9" s="54" t="s">
        <v>28</v>
      </c>
      <c r="K9" s="24" t="s">
        <v>29</v>
      </c>
      <c r="L9" s="24" t="s">
        <v>30</v>
      </c>
      <c r="M9" s="54" t="s">
        <v>31</v>
      </c>
      <c r="N9" s="24" t="s">
        <v>32</v>
      </c>
      <c r="O9" s="24" t="s">
        <v>29</v>
      </c>
      <c r="P9" s="54" t="s">
        <v>30</v>
      </c>
      <c r="Q9" s="54" t="s">
        <v>31</v>
      </c>
      <c r="S9" s="24"/>
      <c r="T9" s="24" t="s">
        <v>21</v>
      </c>
      <c r="U9" s="54" t="s">
        <v>22</v>
      </c>
      <c r="V9" s="26" t="s">
        <v>23</v>
      </c>
      <c r="W9" s="27" t="s">
        <v>24</v>
      </c>
      <c r="X9" s="54" t="s">
        <v>25</v>
      </c>
      <c r="Y9" s="24" t="s">
        <v>26</v>
      </c>
      <c r="Z9" s="54" t="s">
        <v>27</v>
      </c>
      <c r="AA9" s="54" t="s">
        <v>28</v>
      </c>
      <c r="AB9" s="24" t="s">
        <v>33</v>
      </c>
      <c r="AC9" s="54" t="s">
        <v>34</v>
      </c>
      <c r="AD9" s="54" t="s">
        <v>35</v>
      </c>
      <c r="AE9" s="24" t="s">
        <v>36</v>
      </c>
      <c r="AF9" s="28" t="s">
        <v>37</v>
      </c>
      <c r="AG9" s="10"/>
      <c r="AH9" s="10"/>
      <c r="AI9" s="10"/>
      <c r="AJ9" s="10"/>
    </row>
    <row r="10" spans="1:37" x14ac:dyDescent="0.25">
      <c r="B10" s="29">
        <v>0</v>
      </c>
      <c r="C10" s="29">
        <v>45.043752878237385</v>
      </c>
      <c r="D10" s="30">
        <v>318.19375287823738</v>
      </c>
      <c r="E10" s="29">
        <v>72.623383621461031</v>
      </c>
      <c r="F10" s="31">
        <v>44.645867180630916</v>
      </c>
      <c r="G10" s="29">
        <v>0</v>
      </c>
      <c r="H10" s="29">
        <v>1.3302236511894459</v>
      </c>
      <c r="I10" s="29">
        <v>8.7490286106875459</v>
      </c>
      <c r="J10" s="29">
        <v>0</v>
      </c>
      <c r="K10" s="29">
        <f>MMULT(L20,I20)</f>
        <v>0.74968562481499179</v>
      </c>
      <c r="L10" s="29">
        <f>MMULT(L22,I22)</f>
        <v>3.143721483193943E-4</v>
      </c>
      <c r="M10" s="29">
        <f>MMULT(L24,I24)</f>
        <v>0.25</v>
      </c>
      <c r="N10" s="26">
        <f>SUM(K10:M10)</f>
        <v>0.99999999696331121</v>
      </c>
      <c r="O10" s="29">
        <f>K10/(K10+L10+M10)</f>
        <v>0.74968562709155373</v>
      </c>
      <c r="P10" s="29">
        <f>L10/(K10+L10+M10)</f>
        <v>3.1437214927404467E-4</v>
      </c>
      <c r="Q10" s="29">
        <f>M10/(K10+L10+M10)</f>
        <v>0.25000000075917223</v>
      </c>
      <c r="S10" s="29"/>
      <c r="T10" s="29">
        <v>45.043752878237385</v>
      </c>
      <c r="U10" s="30">
        <f>T10+273.15</f>
        <v>318.19375287823738</v>
      </c>
      <c r="V10" s="29">
        <f>EXP(C3+D3/(U10+E3))/1000</f>
        <v>72.623383621461031</v>
      </c>
      <c r="W10" s="29">
        <f>EXP(C4+D4/(U10+E4))/1000</f>
        <v>44.645867180630916</v>
      </c>
      <c r="X10" s="29">
        <v>0</v>
      </c>
      <c r="Y10" s="29">
        <f>V10*AA14/$B$6</f>
        <v>1.3302236511894459</v>
      </c>
      <c r="Z10" s="29">
        <f t="shared" ref="Z10:AA10" si="0">W10*AB14/$B$6</f>
        <v>8.749028610687553</v>
      </c>
      <c r="AA10" s="29">
        <f t="shared" si="0"/>
        <v>0</v>
      </c>
      <c r="AB10" s="29">
        <f>(O10*AA14*V10)/$B$6</f>
        <v>0.99724955211397581</v>
      </c>
      <c r="AC10" s="29">
        <f t="shared" ref="AC10:AD10" si="1">(P10*AB14*W10)/$B$6</f>
        <v>2.7504509284019549E-3</v>
      </c>
      <c r="AD10" s="29">
        <f t="shared" si="1"/>
        <v>0</v>
      </c>
      <c r="AE10" s="29">
        <f>SUM(AB10:AD10)</f>
        <v>1.0000000030423777</v>
      </c>
      <c r="AF10">
        <f>V10*AA14*O10+W10*AB14*P10</f>
        <v>73.500000223614762</v>
      </c>
    </row>
    <row r="11" spans="1:37" ht="15.75" thickBot="1" x14ac:dyDescent="0.3"/>
    <row r="12" spans="1:37" ht="15.75" thickBot="1" x14ac:dyDescent="0.3">
      <c r="C12" s="57" t="s">
        <v>38</v>
      </c>
      <c r="D12" s="58"/>
      <c r="E12" s="59"/>
      <c r="AA12" s="57" t="s">
        <v>39</v>
      </c>
      <c r="AB12" s="58"/>
      <c r="AC12" s="59"/>
    </row>
    <row r="13" spans="1:37" ht="15.75" thickBot="1" x14ac:dyDescent="0.3">
      <c r="B13" s="24"/>
      <c r="C13" s="24" t="s">
        <v>40</v>
      </c>
      <c r="D13" s="54" t="s">
        <v>41</v>
      </c>
      <c r="E13" s="54" t="s">
        <v>42</v>
      </c>
      <c r="F13" s="24" t="s">
        <v>43</v>
      </c>
      <c r="G13" s="54" t="s">
        <v>44</v>
      </c>
      <c r="H13" s="54" t="s">
        <v>45</v>
      </c>
      <c r="I13" s="54" t="s">
        <v>46</v>
      </c>
      <c r="J13" s="54" t="s">
        <v>47</v>
      </c>
      <c r="K13" s="54" t="s">
        <v>48</v>
      </c>
      <c r="L13" s="24" t="s">
        <v>49</v>
      </c>
      <c r="M13" s="54" t="s">
        <v>50</v>
      </c>
      <c r="N13" s="54" t="s">
        <v>51</v>
      </c>
      <c r="O13" s="54" t="s">
        <v>52</v>
      </c>
      <c r="P13" s="54" t="s">
        <v>53</v>
      </c>
      <c r="Q13" s="54" t="s">
        <v>54</v>
      </c>
      <c r="R13" s="32" t="s">
        <v>55</v>
      </c>
      <c r="S13" s="33" t="s">
        <v>56</v>
      </c>
      <c r="T13" s="33" t="s">
        <v>57</v>
      </c>
      <c r="U13" s="32" t="s">
        <v>58</v>
      </c>
      <c r="V13" s="33" t="s">
        <v>59</v>
      </c>
      <c r="W13" s="33" t="s">
        <v>60</v>
      </c>
      <c r="X13" s="32" t="s">
        <v>61</v>
      </c>
      <c r="Y13" s="33" t="s">
        <v>62</v>
      </c>
      <c r="Z13" s="33" t="s">
        <v>63</v>
      </c>
      <c r="AA13" s="32" t="s">
        <v>40</v>
      </c>
      <c r="AB13" s="33" t="s">
        <v>41</v>
      </c>
      <c r="AC13" s="33" t="s">
        <v>42</v>
      </c>
    </row>
    <row r="14" spans="1:37" ht="15.75" thickBot="1" x14ac:dyDescent="0.3">
      <c r="B14" s="29"/>
      <c r="C14" s="29">
        <v>1</v>
      </c>
      <c r="D14" s="29">
        <v>1</v>
      </c>
      <c r="E14" s="29">
        <v>1</v>
      </c>
      <c r="F14" s="29">
        <f>I4/$O$1/$D$10</f>
        <v>2.106890284215841</v>
      </c>
      <c r="G14" s="29">
        <f>J4/$O$1/$D$10</f>
        <v>2.8347024293311471</v>
      </c>
      <c r="H14" s="29">
        <f>I5/$O$1/$D$10</f>
        <v>7.2839427386957896</v>
      </c>
      <c r="I14" s="29">
        <f>J5/$O$1/$D$10</f>
        <v>6.1282281586212415</v>
      </c>
      <c r="J14" s="29">
        <f>I6/$O$1/$D$10</f>
        <v>4.0240973159029299</v>
      </c>
      <c r="K14" s="29">
        <f>J6/$O$1/$D$10</f>
        <v>0.21289280156276114</v>
      </c>
      <c r="L14" s="29">
        <f>EXP(-$L$4*F14)</f>
        <v>0.43052231831326215</v>
      </c>
      <c r="M14" s="29">
        <f t="shared" ref="M14:Q14" si="2">EXP(-$L$4*G14)</f>
        <v>0.32178200309535493</v>
      </c>
      <c r="N14" s="29">
        <f t="shared" si="2"/>
        <v>5.428121309215201E-2</v>
      </c>
      <c r="O14" s="29">
        <f t="shared" si="2"/>
        <v>8.6182230655622125E-2</v>
      </c>
      <c r="P14" s="29">
        <f t="shared" si="2"/>
        <v>0.19995980125497481</v>
      </c>
      <c r="Q14" s="29">
        <f t="shared" si="2"/>
        <v>0.91836797851417851</v>
      </c>
      <c r="R14" s="29">
        <f>P10*G14*M14+Q10*I14*O14</f>
        <v>0.13232285008330269</v>
      </c>
      <c r="S14" s="29">
        <f>O10*F14*L14+Q10*K14*Q14</f>
        <v>0.72889079417100688</v>
      </c>
      <c r="T14" s="29">
        <f>O10*H14*N14+P10*J14*P14</f>
        <v>0.29666460078019896</v>
      </c>
      <c r="U14" s="29">
        <f>O10+M14*P10+Q10*O14</f>
        <v>0.77133234412079721</v>
      </c>
      <c r="V14" s="29">
        <f>O10*L14+P10+Q10*Q14</f>
        <v>0.55266276165660555</v>
      </c>
      <c r="W14" s="29">
        <f>O10*N14+P10*P14+Q10</f>
        <v>0.29075670782794139</v>
      </c>
      <c r="X14">
        <f>R14/U14-O10*R14/U14^2+P10*L14/V14*(F14-S14/V14)+Q10*N14/W14*(H14-T14/W14)</f>
        <v>0.29734553468312863</v>
      </c>
      <c r="Y14">
        <f>S14/V14-P10*S14/V14^2+O10*M14/U14*(G14-R14/U14)+Q10*P14/W14*(J14-T14/W14)</f>
        <v>2.6674663418098454</v>
      </c>
      <c r="Z14">
        <f>T14/W14-Q10*T14/W14^2+O10*O14/U14*(I14-R14/U14)+P10*Q14/V14*(K14-S14/V14)</f>
        <v>0.64139782343802754</v>
      </c>
      <c r="AA14" s="26">
        <f>EXP(X14)</f>
        <v>1.3462804056616786</v>
      </c>
      <c r="AB14" s="26">
        <f t="shared" ref="AB14:AC14" si="3">EXP(Y14)</f>
        <v>14.403429555614419</v>
      </c>
      <c r="AC14" s="26">
        <f t="shared" si="3"/>
        <v>1.8991336783682242</v>
      </c>
    </row>
    <row r="15" spans="1:37" ht="15.75" thickBot="1" x14ac:dyDescent="0.3">
      <c r="G15" s="34"/>
    </row>
    <row r="18" spans="1:41" ht="15.75" thickBot="1" x14ac:dyDescent="0.3"/>
    <row r="19" spans="1:41" ht="15.75" thickBot="1" x14ac:dyDescent="0.3">
      <c r="B19" s="34" t="s">
        <v>73</v>
      </c>
      <c r="C19" s="35" t="s">
        <v>29</v>
      </c>
      <c r="D19" s="35" t="s">
        <v>30</v>
      </c>
      <c r="E19" s="36" t="s">
        <v>31</v>
      </c>
      <c r="G19" s="34" t="s">
        <v>7</v>
      </c>
      <c r="I19" s="34" t="s">
        <v>65</v>
      </c>
      <c r="K19" s="34" t="s">
        <v>66</v>
      </c>
    </row>
    <row r="20" spans="1:41" ht="15.75" thickBot="1" x14ac:dyDescent="0.3">
      <c r="A20" s="37" t="s">
        <v>67</v>
      </c>
      <c r="B20">
        <f>A31</f>
        <v>13.518366991852101</v>
      </c>
      <c r="C20">
        <f>A32</f>
        <v>0.99678660739594183</v>
      </c>
      <c r="D20">
        <f>A33</f>
        <v>2.7458954807782201E-3</v>
      </c>
      <c r="E20">
        <f>A34</f>
        <v>4.6749712328002235E-4</v>
      </c>
      <c r="H20" s="48">
        <f>$B$22+$B$21*H10</f>
        <v>17.97410371136154</v>
      </c>
      <c r="I20" s="49">
        <f>$B$20*C20</f>
        <v>13.474927171341539</v>
      </c>
      <c r="L20" s="50">
        <f>MINVERSE(H20)</f>
        <v>5.563559752734118E-2</v>
      </c>
    </row>
    <row r="21" spans="1:41" ht="15.75" thickBot="1" x14ac:dyDescent="0.3">
      <c r="A21" s="40" t="s">
        <v>68</v>
      </c>
      <c r="B21" s="51">
        <f>B20-B22</f>
        <v>13.493087801131564</v>
      </c>
      <c r="C21">
        <f>AB10</f>
        <v>0.99724955211397581</v>
      </c>
      <c r="D21">
        <f t="shared" ref="D21:E21" si="4">AC10</f>
        <v>2.7504509284019549E-3</v>
      </c>
      <c r="E21">
        <f t="shared" si="4"/>
        <v>0</v>
      </c>
      <c r="G21" s="34" t="s">
        <v>8</v>
      </c>
      <c r="I21" s="34" t="s">
        <v>65</v>
      </c>
      <c r="K21" s="34" t="s">
        <v>66</v>
      </c>
    </row>
    <row r="22" spans="1:41" ht="15.75" thickBot="1" x14ac:dyDescent="0.3">
      <c r="A22" s="41" t="s">
        <v>69</v>
      </c>
      <c r="B22" s="52">
        <f>B20*E20/E22</f>
        <v>2.5279190720537865E-2</v>
      </c>
      <c r="C22" s="44">
        <f>O10</f>
        <v>0.74968562709155373</v>
      </c>
      <c r="D22" s="44">
        <f>P10</f>
        <v>3.1437214927404467E-4</v>
      </c>
      <c r="E22">
        <v>0.25</v>
      </c>
      <c r="H22" s="48">
        <f>$B$22+$B$21*I10</f>
        <v>118.0766904093397</v>
      </c>
      <c r="I22" s="49">
        <f>$B$20*D20</f>
        <v>3.7120022830428145E-2</v>
      </c>
      <c r="L22" s="50">
        <f>MINVERSE(H22)</f>
        <v>8.4690720626846207E-3</v>
      </c>
    </row>
    <row r="23" spans="1:41" ht="15.75" thickBot="1" x14ac:dyDescent="0.3">
      <c r="G23" s="34" t="s">
        <v>9</v>
      </c>
      <c r="I23" s="34" t="s">
        <v>65</v>
      </c>
      <c r="K23" s="34" t="s">
        <v>66</v>
      </c>
    </row>
    <row r="24" spans="1:41" ht="15.75" thickBot="1" x14ac:dyDescent="0.3">
      <c r="A24" s="53"/>
      <c r="H24" s="48">
        <f>$B$22+$B$21*J10</f>
        <v>2.5279190720537865E-2</v>
      </c>
      <c r="I24" s="49">
        <f>$B$20*E20</f>
        <v>6.3197976801344664E-3</v>
      </c>
      <c r="L24" s="50">
        <f>MINVERSE(H24)</f>
        <v>39.558228388520305</v>
      </c>
    </row>
    <row r="27" spans="1:41" ht="15.75" thickBot="1" x14ac:dyDescent="0.3"/>
    <row r="28" spans="1:41" ht="15.75" thickBot="1" x14ac:dyDescent="0.3">
      <c r="C28" s="24" t="s">
        <v>21</v>
      </c>
      <c r="D28" s="54" t="s">
        <v>22</v>
      </c>
      <c r="E28" s="26" t="s">
        <v>23</v>
      </c>
      <c r="F28" s="54" t="s">
        <v>24</v>
      </c>
      <c r="G28" s="54" t="s">
        <v>25</v>
      </c>
      <c r="H28" s="24" t="s">
        <v>29</v>
      </c>
      <c r="I28" s="24" t="s">
        <v>30</v>
      </c>
      <c r="J28" s="54" t="s">
        <v>31</v>
      </c>
      <c r="K28" s="24" t="s">
        <v>43</v>
      </c>
      <c r="L28" s="54" t="s">
        <v>44</v>
      </c>
      <c r="M28" s="54" t="s">
        <v>45</v>
      </c>
      <c r="N28" s="54" t="s">
        <v>46</v>
      </c>
      <c r="O28" s="54" t="s">
        <v>47</v>
      </c>
      <c r="P28" s="54" t="s">
        <v>48</v>
      </c>
      <c r="Q28" s="24" t="s">
        <v>49</v>
      </c>
      <c r="R28" s="54" t="s">
        <v>50</v>
      </c>
      <c r="S28" s="54" t="s">
        <v>51</v>
      </c>
      <c r="T28" s="54" t="s">
        <v>52</v>
      </c>
      <c r="U28" s="54" t="s">
        <v>53</v>
      </c>
      <c r="V28" s="54" t="s">
        <v>54</v>
      </c>
      <c r="W28" s="32" t="s">
        <v>55</v>
      </c>
      <c r="X28" s="33" t="s">
        <v>56</v>
      </c>
      <c r="Y28" s="33" t="s">
        <v>57</v>
      </c>
      <c r="Z28" s="32" t="s">
        <v>58</v>
      </c>
      <c r="AA28" s="33" t="s">
        <v>59</v>
      </c>
      <c r="AB28" s="33" t="s">
        <v>60</v>
      </c>
      <c r="AC28" s="32" t="s">
        <v>61</v>
      </c>
      <c r="AD28" s="33" t="s">
        <v>62</v>
      </c>
      <c r="AE28" s="33" t="s">
        <v>63</v>
      </c>
      <c r="AF28" s="32" t="s">
        <v>40</v>
      </c>
      <c r="AG28" s="33" t="s">
        <v>41</v>
      </c>
      <c r="AH28" s="33" t="s">
        <v>42</v>
      </c>
      <c r="AI28" s="45" t="s">
        <v>70</v>
      </c>
      <c r="AJ28" s="45" t="s">
        <v>71</v>
      </c>
      <c r="AK28" s="45" t="s">
        <v>72</v>
      </c>
      <c r="AL28" s="45" t="s">
        <v>18</v>
      </c>
      <c r="AM28" s="45" t="s">
        <v>33</v>
      </c>
      <c r="AN28" s="45" t="s">
        <v>34</v>
      </c>
      <c r="AO28" s="45" t="s">
        <v>35</v>
      </c>
    </row>
    <row r="29" spans="1:41" x14ac:dyDescent="0.25">
      <c r="C29">
        <v>45</v>
      </c>
      <c r="D29">
        <f>273.15+C29</f>
        <v>318.14999999999998</v>
      </c>
      <c r="E29">
        <f>EXP(C3+D3/(D29+E3))/1000</f>
        <v>72.510769026390932</v>
      </c>
      <c r="F29">
        <f>EXP(C4+D4/(D29+E4))/1000</f>
        <v>44.55814639452187</v>
      </c>
      <c r="G29">
        <v>0</v>
      </c>
      <c r="H29" s="44">
        <f>C22</f>
        <v>0.74968562709155373</v>
      </c>
      <c r="I29" s="44">
        <f>D22</f>
        <v>3.1437214927404467E-4</v>
      </c>
      <c r="J29" s="44">
        <f>E22</f>
        <v>0.25</v>
      </c>
      <c r="K29" s="29">
        <f>I4/$O$1/$D$29</f>
        <v>2.1071800296631609</v>
      </c>
      <c r="L29" s="29">
        <f>J4/$O$1/$D$29</f>
        <v>2.8350922655412045</v>
      </c>
      <c r="M29" s="29">
        <f>I5/$O$1/$D$29</f>
        <v>7.2849444468829168</v>
      </c>
      <c r="N29" s="29">
        <f>J5/$O$1/$D$29</f>
        <v>6.1290709297054313</v>
      </c>
      <c r="O29" s="29">
        <f>I6/$O$1/$D$29</f>
        <v>4.0246507210259157</v>
      </c>
      <c r="P29" s="29">
        <f>J6/$O$1/$D$29</f>
        <v>0.21292207917654202</v>
      </c>
      <c r="Q29" s="29">
        <f>EXP(-$L$4*K29)</f>
        <v>0.43047242445194145</v>
      </c>
      <c r="R29" s="29">
        <f t="shared" ref="R29:V29" si="5">EXP(-$L$4*L29)</f>
        <v>0.32173183009668638</v>
      </c>
      <c r="S29" s="29">
        <f t="shared" si="5"/>
        <v>5.425946787469077E-2</v>
      </c>
      <c r="T29" s="29">
        <f t="shared" si="5"/>
        <v>8.6153182795249569E-2</v>
      </c>
      <c r="U29" s="29">
        <f t="shared" si="5"/>
        <v>0.19991554264238187</v>
      </c>
      <c r="V29" s="29">
        <f t="shared" si="5"/>
        <v>0.91835722352796123</v>
      </c>
      <c r="W29" s="46">
        <f>I29*L29*R29+J29*N29*T29</f>
        <v>0.13229649327386356</v>
      </c>
      <c r="X29" s="46">
        <f>H29*K29*Q29+J29*P29*V29</f>
        <v>0.72891164217119653</v>
      </c>
      <c r="Y29" s="46">
        <f>H29*M29*S29+I29*O29*U29</f>
        <v>0.29658658320330183</v>
      </c>
      <c r="Z29" s="46">
        <f>H29+R29*I29+J29*T29</f>
        <v>0.77132506631728348</v>
      </c>
      <c r="AA29" s="46">
        <f>H29*Q29+I29+J29*V29</f>
        <v>0.55262266750213962</v>
      </c>
      <c r="AB29" s="46">
        <f>H29*S29+I29*U29+J29</f>
        <v>0.29074039107810534</v>
      </c>
      <c r="AC29">
        <f>W29/Z29-H29*W29/Z29^2+I29*Q29/AA29*(K29-X29/AA29)+J29*S29/AB29*(M29-Y29/AB29)</f>
        <v>0.29729894970018761</v>
      </c>
      <c r="AD29">
        <f>X29/AA29-I29*X29/AA29^2+H29*R29/Z29*(L29-W29/Z29)+J29*U29/AB29*(O29-Y29/AB29)</f>
        <v>2.66765578091962</v>
      </c>
      <c r="AE29">
        <f>Y29/AB29-J29*Y29/AB29^2+H29*T29/Z29*(N29-W29/Z29)+I29*V29/AA29*(P29-X29/AA29)</f>
        <v>0.64122875333728169</v>
      </c>
      <c r="AF29" s="26">
        <f>EXP(AC29)</f>
        <v>1.3462176906727465</v>
      </c>
      <c r="AG29" s="26">
        <f t="shared" ref="AG29:AH29" si="6">EXP(AD29)</f>
        <v>14.406158386952665</v>
      </c>
      <c r="AH29" s="26">
        <f t="shared" si="6"/>
        <v>1.8988126187874452</v>
      </c>
      <c r="AI29" s="44">
        <f>AF29*E29*H29</f>
        <v>73.18077242121862</v>
      </c>
      <c r="AJ29" s="44">
        <f>AG29*F29*I29</f>
        <v>0.2017991652965013</v>
      </c>
      <c r="AK29" s="44">
        <f>AH29*G29*J29</f>
        <v>0</v>
      </c>
      <c r="AL29" s="44">
        <f>SUM(AI29:AK29)</f>
        <v>73.382571586515127</v>
      </c>
      <c r="AM29">
        <f>AI29/AL29</f>
        <v>0.99725003960840219</v>
      </c>
      <c r="AN29">
        <f t="shared" ref="AN29:AO29" si="7">AJ29/AM29</f>
        <v>0.20235563527853387</v>
      </c>
      <c r="AO29">
        <f t="shared" si="7"/>
        <v>0</v>
      </c>
    </row>
    <row r="30" spans="1:41" x14ac:dyDescent="0.25">
      <c r="A30" t="s">
        <v>74</v>
      </c>
      <c r="C30" t="s">
        <v>75</v>
      </c>
    </row>
    <row r="31" spans="1:41" x14ac:dyDescent="0.25">
      <c r="A31">
        <v>13.518366991852101</v>
      </c>
      <c r="C31" s="56">
        <f>B22</f>
        <v>2.5279190720537865E-2</v>
      </c>
    </row>
    <row r="32" spans="1:41" x14ac:dyDescent="0.25">
      <c r="A32">
        <v>0.99678660739594183</v>
      </c>
      <c r="C32" s="44">
        <f>C22</f>
        <v>0.74968562709155373</v>
      </c>
    </row>
    <row r="33" spans="1:3" x14ac:dyDescent="0.25">
      <c r="A33">
        <v>2.7458954807782201E-3</v>
      </c>
      <c r="C33" s="44">
        <f>D22</f>
        <v>3.1437214927404467E-4</v>
      </c>
    </row>
    <row r="34" spans="1:3" x14ac:dyDescent="0.25">
      <c r="A34">
        <v>4.6749712328002235E-4</v>
      </c>
      <c r="C34">
        <v>0.25</v>
      </c>
    </row>
  </sheetData>
  <mergeCells count="9">
    <mergeCell ref="O8:Q8"/>
    <mergeCell ref="C12:E12"/>
    <mergeCell ref="AA12:AC12"/>
    <mergeCell ref="C1:E1"/>
    <mergeCell ref="H1:H2"/>
    <mergeCell ref="K1:K2"/>
    <mergeCell ref="L1:L2"/>
    <mergeCell ref="I2:J2"/>
    <mergeCell ref="H3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1.Solver">
                <anchor moveWithCells="1" sizeWithCells="1">
                  <from>
                    <xdr:col>20</xdr:col>
                    <xdr:colOff>171450</xdr:colOff>
                    <xdr:row>3</xdr:row>
                    <xdr:rowOff>0</xdr:rowOff>
                  </from>
                  <to>
                    <xdr:col>21</xdr:col>
                    <xdr:colOff>590550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L35"/>
  <sheetViews>
    <sheetView tabSelected="1" zoomScale="55" zoomScaleNormal="55" workbookViewId="0">
      <selection activeCell="O32" sqref="O32"/>
    </sheetView>
  </sheetViews>
  <sheetFormatPr defaultRowHeight="15" x14ac:dyDescent="0.25"/>
  <cols>
    <col min="2" max="2" width="16.5703125" bestFit="1" customWidth="1"/>
    <col min="3" max="3" width="11.42578125" customWidth="1"/>
    <col min="19" max="19" width="14.42578125" bestFit="1" customWidth="1"/>
    <col min="20" max="20" width="14.28515625" bestFit="1" customWidth="1"/>
    <col min="23" max="23" width="12" bestFit="1" customWidth="1"/>
    <col min="25" max="25" width="10.28515625" bestFit="1" customWidth="1"/>
  </cols>
  <sheetData>
    <row r="1" spans="1:37" ht="15.75" thickBot="1" x14ac:dyDescent="0.3">
      <c r="C1" s="60" t="s">
        <v>0</v>
      </c>
      <c r="D1" s="61"/>
      <c r="E1" s="61"/>
      <c r="H1" s="62" t="s">
        <v>1</v>
      </c>
      <c r="I1" s="1" t="s">
        <v>2</v>
      </c>
      <c r="J1" s="1" t="s">
        <v>3</v>
      </c>
      <c r="K1" s="62" t="s">
        <v>4</v>
      </c>
      <c r="L1" s="62" t="s">
        <v>5</v>
      </c>
      <c r="N1" s="2" t="s">
        <v>6</v>
      </c>
      <c r="O1" s="3">
        <f>8.314/1000</f>
        <v>8.3140000000000002E-3</v>
      </c>
    </row>
    <row r="2" spans="1:37" ht="15.75" thickBot="1" x14ac:dyDescent="0.3">
      <c r="C2" s="2" t="s">
        <v>7</v>
      </c>
      <c r="D2" s="4" t="s">
        <v>8</v>
      </c>
      <c r="E2" s="3" t="s">
        <v>9</v>
      </c>
      <c r="H2" s="63"/>
      <c r="I2" s="64" t="s">
        <v>10</v>
      </c>
      <c r="J2" s="64"/>
      <c r="K2" s="63"/>
      <c r="L2" s="63"/>
    </row>
    <row r="3" spans="1:37" ht="15.75" thickBot="1" x14ac:dyDescent="0.3">
      <c r="A3" s="5" t="s">
        <v>7</v>
      </c>
      <c r="B3" s="6" t="s">
        <v>11</v>
      </c>
      <c r="C3" s="5">
        <v>20.840540000000001</v>
      </c>
      <c r="D3" s="7">
        <v>-2624.5250000000001</v>
      </c>
      <c r="E3" s="6">
        <v>-46.151710000000001</v>
      </c>
      <c r="H3" s="64" t="s">
        <v>12</v>
      </c>
      <c r="I3" s="64"/>
      <c r="J3" s="64"/>
      <c r="K3" s="64"/>
      <c r="L3" s="64"/>
    </row>
    <row r="4" spans="1:37" x14ac:dyDescent="0.25">
      <c r="A4" s="8" t="s">
        <v>8</v>
      </c>
      <c r="B4" s="9" t="s">
        <v>13</v>
      </c>
      <c r="C4" s="8">
        <v>23.534700000000001</v>
      </c>
      <c r="D4" s="10">
        <v>-3661.4679999999998</v>
      </c>
      <c r="E4" s="9">
        <v>-32.770009999999999</v>
      </c>
      <c r="H4" s="11" t="s">
        <v>14</v>
      </c>
      <c r="I4" s="12">
        <v>5.5736999999999997</v>
      </c>
      <c r="J4" s="12">
        <v>7.4991000000000003</v>
      </c>
      <c r="K4" s="11">
        <v>6.4999999999999997E-3</v>
      </c>
      <c r="L4" s="11">
        <v>0.4</v>
      </c>
    </row>
    <row r="5" spans="1:37" ht="15.75" thickBot="1" x14ac:dyDescent="0.3">
      <c r="A5" s="13" t="s">
        <v>9</v>
      </c>
      <c r="B5" s="14" t="s">
        <v>15</v>
      </c>
      <c r="C5" s="13" t="s">
        <v>16</v>
      </c>
      <c r="D5" s="15" t="s">
        <v>16</v>
      </c>
      <c r="E5" s="14" t="s">
        <v>16</v>
      </c>
      <c r="H5" s="16" t="s">
        <v>17</v>
      </c>
      <c r="I5" s="17">
        <v>19.269400000000001</v>
      </c>
      <c r="J5" s="17">
        <v>16.212</v>
      </c>
      <c r="K5" s="16"/>
      <c r="L5" s="16"/>
    </row>
    <row r="6" spans="1:37" ht="15.75" thickBot="1" x14ac:dyDescent="0.3">
      <c r="A6" s="18" t="s">
        <v>18</v>
      </c>
      <c r="B6">
        <v>10</v>
      </c>
      <c r="H6" s="19" t="s">
        <v>19</v>
      </c>
      <c r="I6" s="20">
        <v>10.6456</v>
      </c>
      <c r="J6" s="20">
        <v>0.56320000000000003</v>
      </c>
      <c r="K6" s="21"/>
      <c r="L6" s="21"/>
    </row>
    <row r="7" spans="1:37" ht="15.75" thickBot="1" x14ac:dyDescent="0.3">
      <c r="AI7" s="22"/>
      <c r="AJ7" s="22"/>
      <c r="AK7" s="22"/>
    </row>
    <row r="8" spans="1:37" ht="15.75" thickBot="1" x14ac:dyDescent="0.3">
      <c r="O8" s="57" t="s">
        <v>20</v>
      </c>
      <c r="P8" s="58"/>
      <c r="Q8" s="59"/>
      <c r="AG8" s="23"/>
      <c r="AH8" s="23"/>
      <c r="AI8" s="23"/>
      <c r="AJ8" s="10"/>
    </row>
    <row r="9" spans="1:37" ht="15.75" thickBot="1" x14ac:dyDescent="0.3">
      <c r="B9" s="24"/>
      <c r="C9" s="24" t="s">
        <v>21</v>
      </c>
      <c r="D9" s="55" t="s">
        <v>22</v>
      </c>
      <c r="E9" s="26" t="s">
        <v>23</v>
      </c>
      <c r="F9" s="55" t="s">
        <v>24</v>
      </c>
      <c r="G9" s="55" t="s">
        <v>25</v>
      </c>
      <c r="H9" s="24" t="s">
        <v>26</v>
      </c>
      <c r="I9" s="55" t="s">
        <v>27</v>
      </c>
      <c r="J9" s="55" t="s">
        <v>28</v>
      </c>
      <c r="K9" s="24" t="s">
        <v>29</v>
      </c>
      <c r="L9" s="24" t="s">
        <v>30</v>
      </c>
      <c r="M9" s="55" t="s">
        <v>31</v>
      </c>
      <c r="N9" s="24" t="s">
        <v>32</v>
      </c>
      <c r="O9" s="24" t="s">
        <v>29</v>
      </c>
      <c r="P9" s="55" t="s">
        <v>30</v>
      </c>
      <c r="Q9" s="55" t="s">
        <v>31</v>
      </c>
      <c r="S9" s="24"/>
      <c r="T9" s="24" t="s">
        <v>21</v>
      </c>
      <c r="U9" s="55" t="s">
        <v>22</v>
      </c>
      <c r="V9" s="26" t="s">
        <v>23</v>
      </c>
      <c r="W9" s="27" t="s">
        <v>24</v>
      </c>
      <c r="X9" s="55" t="s">
        <v>25</v>
      </c>
      <c r="Y9" s="24" t="s">
        <v>26</v>
      </c>
      <c r="Z9" s="55" t="s">
        <v>27</v>
      </c>
      <c r="AA9" s="55" t="s">
        <v>28</v>
      </c>
      <c r="AB9" s="24" t="s">
        <v>33</v>
      </c>
      <c r="AC9" s="55" t="s">
        <v>34</v>
      </c>
      <c r="AD9" s="55" t="s">
        <v>35</v>
      </c>
      <c r="AE9" s="24" t="s">
        <v>36</v>
      </c>
      <c r="AF9" s="28" t="s">
        <v>37</v>
      </c>
      <c r="AG9" s="10"/>
      <c r="AH9" s="10"/>
      <c r="AI9" s="10"/>
      <c r="AJ9" s="10"/>
    </row>
    <row r="10" spans="1:37" x14ac:dyDescent="0.25">
      <c r="B10" s="29"/>
      <c r="C10" s="29">
        <v>13.151448864984975</v>
      </c>
      <c r="D10" s="30">
        <v>286.30144886498493</v>
      </c>
      <c r="E10" s="29">
        <v>20.167702435769442</v>
      </c>
      <c r="F10" s="31">
        <v>8.8913157371971909</v>
      </c>
      <c r="G10" s="29">
        <v>0</v>
      </c>
      <c r="H10" s="29">
        <v>181.90603627664376</v>
      </c>
      <c r="I10" s="29">
        <v>1.6247909212200562</v>
      </c>
      <c r="J10" s="29">
        <v>0</v>
      </c>
      <c r="K10" s="29">
        <f>MMULT(L20,I20)</f>
        <v>1.0488248688271932E-3</v>
      </c>
      <c r="L10" s="29">
        <f>MMULT(L22,I22)</f>
        <v>0.49804096018682109</v>
      </c>
      <c r="M10" s="29">
        <f>MMULT(L24,I24)</f>
        <v>0.50091021377494649</v>
      </c>
      <c r="N10" s="26">
        <f>SUM(K10:M10)</f>
        <v>0.99999999883059476</v>
      </c>
      <c r="O10" s="29">
        <f>K10/(K10+L10+M10)</f>
        <v>1.0488248700536945E-3</v>
      </c>
      <c r="P10" s="29">
        <f>L10/(K10+L10+M10)</f>
        <v>0.49804096076923282</v>
      </c>
      <c r="Q10" s="29">
        <f>M10/(K10+L10+M10)</f>
        <v>0.50091021436071348</v>
      </c>
      <c r="S10" s="29"/>
      <c r="T10" s="29">
        <v>13.151448864984975</v>
      </c>
      <c r="U10" s="30">
        <f>T10+273.15</f>
        <v>286.30144886498493</v>
      </c>
      <c r="V10" s="29">
        <f>EXP(C3+D3/(U10+E3))/1000</f>
        <v>20.167702435769442</v>
      </c>
      <c r="W10" s="29">
        <f>EXP(C4+D4/(U10+E4))/1000</f>
        <v>8.8913157371971909</v>
      </c>
      <c r="X10" s="29">
        <v>0</v>
      </c>
      <c r="Y10" s="29">
        <f>V10*AA14/$B$6</f>
        <v>181.90603627664376</v>
      </c>
      <c r="Z10" s="29">
        <f t="shared" ref="Z10:AA10" si="0">W10*AB14/$B$6</f>
        <v>1.6247909212200562</v>
      </c>
      <c r="AA10" s="29">
        <f t="shared" si="0"/>
        <v>0</v>
      </c>
      <c r="AB10" s="29">
        <f>(O10*AA14*V10)/$B$6</f>
        <v>0.19078757485983353</v>
      </c>
      <c r="AC10" s="29">
        <f t="shared" ref="AC10:AD10" si="1">(P10*AB14*W10)/$B$6</f>
        <v>0.8092124314535637</v>
      </c>
      <c r="AD10" s="29">
        <f t="shared" si="1"/>
        <v>0</v>
      </c>
      <c r="AE10" s="29">
        <f>SUM(AB10:AD10)</f>
        <v>1.0000000063133971</v>
      </c>
      <c r="AF10">
        <f>V10*O10*AA14+W10*P10*AB14+Q10*X10*AC14</f>
        <v>10.000000063133971</v>
      </c>
    </row>
    <row r="11" spans="1:37" ht="15.75" thickBot="1" x14ac:dyDescent="0.3"/>
    <row r="12" spans="1:37" ht="15.75" thickBot="1" x14ac:dyDescent="0.3">
      <c r="C12" s="57" t="s">
        <v>38</v>
      </c>
      <c r="D12" s="58"/>
      <c r="E12" s="59"/>
      <c r="AA12" s="57" t="s">
        <v>39</v>
      </c>
      <c r="AB12" s="58"/>
      <c r="AC12" s="59"/>
    </row>
    <row r="13" spans="1:37" ht="15.75" thickBot="1" x14ac:dyDescent="0.3">
      <c r="B13" s="24"/>
      <c r="C13" s="24" t="s">
        <v>40</v>
      </c>
      <c r="D13" s="55" t="s">
        <v>41</v>
      </c>
      <c r="E13" s="55" t="s">
        <v>42</v>
      </c>
      <c r="F13" s="24" t="s">
        <v>43</v>
      </c>
      <c r="G13" s="55" t="s">
        <v>44</v>
      </c>
      <c r="H13" s="55" t="s">
        <v>45</v>
      </c>
      <c r="I13" s="55" t="s">
        <v>46</v>
      </c>
      <c r="J13" s="55" t="s">
        <v>47</v>
      </c>
      <c r="K13" s="55" t="s">
        <v>48</v>
      </c>
      <c r="L13" s="24" t="s">
        <v>49</v>
      </c>
      <c r="M13" s="55" t="s">
        <v>50</v>
      </c>
      <c r="N13" s="55" t="s">
        <v>51</v>
      </c>
      <c r="O13" s="55" t="s">
        <v>52</v>
      </c>
      <c r="P13" s="55" t="s">
        <v>53</v>
      </c>
      <c r="Q13" s="55" t="s">
        <v>54</v>
      </c>
      <c r="R13" s="32" t="s">
        <v>55</v>
      </c>
      <c r="S13" s="33" t="s">
        <v>56</v>
      </c>
      <c r="T13" s="33" t="s">
        <v>57</v>
      </c>
      <c r="U13" s="32" t="s">
        <v>58</v>
      </c>
      <c r="V13" s="33" t="s">
        <v>59</v>
      </c>
      <c r="W13" s="33" t="s">
        <v>60</v>
      </c>
      <c r="X13" s="32" t="s">
        <v>61</v>
      </c>
      <c r="Y13" s="33" t="s">
        <v>62</v>
      </c>
      <c r="Z13" s="33" t="s">
        <v>63</v>
      </c>
      <c r="AA13" s="32" t="s">
        <v>40</v>
      </c>
      <c r="AB13" s="33" t="s">
        <v>41</v>
      </c>
      <c r="AC13" s="33" t="s">
        <v>42</v>
      </c>
    </row>
    <row r="14" spans="1:37" x14ac:dyDescent="0.25">
      <c r="B14" s="29"/>
      <c r="C14" s="29">
        <v>1</v>
      </c>
      <c r="D14" s="29">
        <v>1</v>
      </c>
      <c r="E14" s="29">
        <v>1</v>
      </c>
      <c r="F14" s="29">
        <f>I4/$O$1/$D$10</f>
        <v>2.3415855179743916</v>
      </c>
      <c r="G14" s="29">
        <f>J4/$O$1/$D$10</f>
        <v>3.1504716719309909</v>
      </c>
      <c r="H14" s="29">
        <f>I5/$O$1/$D$10</f>
        <v>8.0953312844350691</v>
      </c>
      <c r="I14" s="29">
        <f>J5/$O$1/$D$10</f>
        <v>6.8108768712705814</v>
      </c>
      <c r="J14" s="29">
        <f>I6/$O$1/$D$10</f>
        <v>4.4723581804094561</v>
      </c>
      <c r="K14" s="29">
        <f>J6/$O$1/$D$10</f>
        <v>0.23660781235502046</v>
      </c>
      <c r="L14" s="29">
        <f>EXP(-$L$4*F14)</f>
        <v>0.3919448228284329</v>
      </c>
      <c r="M14" s="29">
        <f t="shared" ref="M14:Q14" si="2">EXP(-$L$4*G14)</f>
        <v>0.28360051489094884</v>
      </c>
      <c r="N14" s="29">
        <f t="shared" si="2"/>
        <v>3.9237101468307396E-2</v>
      </c>
      <c r="O14" s="29">
        <f t="shared" si="2"/>
        <v>6.558877250567241E-2</v>
      </c>
      <c r="P14" s="29">
        <f t="shared" si="2"/>
        <v>0.16713669437872905</v>
      </c>
      <c r="Q14" s="29">
        <f t="shared" si="2"/>
        <v>0.90969752490262601</v>
      </c>
      <c r="R14" s="29">
        <f>P10*G14*M14+Q10*I14*O14</f>
        <v>0.66875247593145215</v>
      </c>
      <c r="S14" s="29">
        <f>O10*F14*L14+Q10*K14*Q14</f>
        <v>0.10877926901317224</v>
      </c>
      <c r="T14" s="29">
        <f>O10*H14*N14+P10*J14*P14</f>
        <v>0.372616354764431</v>
      </c>
      <c r="U14" s="29">
        <f>O10+M14*P10+Q10*O14</f>
        <v>0.17514758387646343</v>
      </c>
      <c r="V14" s="29">
        <f>O10*L14+P10+Q10*Q14</f>
        <v>0.95412882444948899</v>
      </c>
      <c r="W14" s="29">
        <f>O10*N14+P10*P14+Q10</f>
        <v>0.58419228705673809</v>
      </c>
      <c r="X14">
        <f>R14/U14-O10*R14/U14^2+P10*L14/V14*(F14-S14/V14)+Q10*N14/W14*(H14-T14/W14)</f>
        <v>4.5019929270548413</v>
      </c>
      <c r="Y14">
        <f>S14/V14-P10*S14/V14^2+O10*M14/U14*(G14-R14/U14)+Q10*P14/W14*(J14-T14/W14)</f>
        <v>0.60288919612421099</v>
      </c>
      <c r="Z14">
        <f>T14/W14-Q10*T14/W14^2+O10*O14/U14*(I14-R14/U14)+P10*Q14/V14*(K14-S14/V14)</f>
        <v>0.15032013183427501</v>
      </c>
      <c r="AA14" s="26">
        <f>EXP(X14)</f>
        <v>90.196707758844738</v>
      </c>
      <c r="AB14" s="26">
        <f t="shared" ref="AB14:AC14" si="3">EXP(Y14)</f>
        <v>1.8273908713225371</v>
      </c>
      <c r="AC14" s="26">
        <f t="shared" si="3"/>
        <v>1.1622062423968222</v>
      </c>
    </row>
    <row r="18" spans="1:38" ht="15.75" thickBot="1" x14ac:dyDescent="0.3"/>
    <row r="19" spans="1:38" ht="15.75" thickBot="1" x14ac:dyDescent="0.3">
      <c r="B19" s="34" t="s">
        <v>64</v>
      </c>
      <c r="C19" s="35" t="s">
        <v>29</v>
      </c>
      <c r="D19" s="35" t="s">
        <v>30</v>
      </c>
      <c r="E19" s="36" t="s">
        <v>31</v>
      </c>
      <c r="G19" s="34" t="s">
        <v>7</v>
      </c>
      <c r="I19" s="37" t="s">
        <v>65</v>
      </c>
      <c r="K19" s="34" t="s">
        <v>66</v>
      </c>
    </row>
    <row r="20" spans="1:38" ht="15.75" thickBot="1" x14ac:dyDescent="0.3">
      <c r="A20" s="37" t="s">
        <v>67</v>
      </c>
      <c r="B20">
        <f>A32</f>
        <v>29.141976027033792</v>
      </c>
      <c r="C20">
        <f>A33</f>
        <v>3.619337502365353E-2</v>
      </c>
      <c r="D20">
        <f>A34</f>
        <v>0.55567800775251652</v>
      </c>
      <c r="E20">
        <f>A35</f>
        <v>0.40812861722382998</v>
      </c>
      <c r="H20" s="2">
        <f>$B$22+$B$21*H10</f>
        <v>1005.6459363479654</v>
      </c>
      <c r="I20" s="39">
        <f>$B$20*C20</f>
        <v>1.0547464672767548</v>
      </c>
      <c r="L20" s="18">
        <f>MINVERSE(H20)</f>
        <v>9.9438576128645356E-4</v>
      </c>
    </row>
    <row r="21" spans="1:38" ht="15.75" thickBot="1" x14ac:dyDescent="0.3">
      <c r="A21" s="40" t="s">
        <v>68</v>
      </c>
      <c r="B21" s="38">
        <f>B20*D20/3</f>
        <v>5.3978517268912443</v>
      </c>
      <c r="C21">
        <f>AB10</f>
        <v>0.19078757485983353</v>
      </c>
      <c r="D21">
        <f>AC10</f>
        <v>0.8092124314535637</v>
      </c>
      <c r="E21">
        <f t="shared" ref="D21:E21" si="4">AD10</f>
        <v>0</v>
      </c>
      <c r="G21" s="34" t="s">
        <v>8</v>
      </c>
      <c r="I21" s="40" t="s">
        <v>65</v>
      </c>
      <c r="K21" s="34" t="s">
        <v>66</v>
      </c>
    </row>
    <row r="22" spans="1:38" ht="15.75" thickBot="1" x14ac:dyDescent="0.3">
      <c r="A22" s="41" t="s">
        <v>69</v>
      </c>
      <c r="B22" s="42">
        <f>B20-B21</f>
        <v>23.744124300142548</v>
      </c>
      <c r="C22" s="43">
        <f>O10</f>
        <v>1.0488248700536945E-3</v>
      </c>
      <c r="D22" s="44">
        <f>P10</f>
        <v>0.49804096076923282</v>
      </c>
      <c r="E22">
        <f>Q10</f>
        <v>0.50091021436071348</v>
      </c>
      <c r="H22" s="2">
        <f>$B$22+$B$21*I10</f>
        <v>32.514504780087442</v>
      </c>
      <c r="I22" s="39">
        <f>$B$20*D20</f>
        <v>16.193555180673734</v>
      </c>
      <c r="L22" s="18">
        <f>MINVERSE(H22)</f>
        <v>3.075550455907361E-2</v>
      </c>
    </row>
    <row r="23" spans="1:38" ht="15.75" thickBot="1" x14ac:dyDescent="0.3">
      <c r="G23" s="34" t="s">
        <v>9</v>
      </c>
      <c r="I23" s="40" t="s">
        <v>65</v>
      </c>
      <c r="K23" s="34" t="s">
        <v>66</v>
      </c>
    </row>
    <row r="24" spans="1:38" ht="15.75" thickBot="1" x14ac:dyDescent="0.3">
      <c r="B24" s="65">
        <f>B20*D20-B21*D21-B22*D22</f>
        <v>-1.8936830770144297E-8</v>
      </c>
      <c r="H24" s="2">
        <f>$B$22+$B$21*J10</f>
        <v>23.744124300142548</v>
      </c>
      <c r="I24" s="39">
        <f>$B$20*E20</f>
        <v>11.893674379083304</v>
      </c>
      <c r="L24" s="18">
        <f>MINVERSE(H24)</f>
        <v>4.21156824888251E-2</v>
      </c>
    </row>
    <row r="27" spans="1:38" ht="15.75" thickBot="1" x14ac:dyDescent="0.3"/>
    <row r="28" spans="1:38" ht="15.75" thickBot="1" x14ac:dyDescent="0.3">
      <c r="C28" s="24" t="s">
        <v>21</v>
      </c>
      <c r="D28" s="55" t="s">
        <v>22</v>
      </c>
      <c r="E28" s="26" t="s">
        <v>23</v>
      </c>
      <c r="F28" s="55" t="s">
        <v>24</v>
      </c>
      <c r="G28" s="55" t="s">
        <v>25</v>
      </c>
      <c r="H28" s="24" t="s">
        <v>29</v>
      </c>
      <c r="I28" s="24" t="s">
        <v>30</v>
      </c>
      <c r="J28" s="55" t="s">
        <v>31</v>
      </c>
      <c r="K28" s="24" t="s">
        <v>43</v>
      </c>
      <c r="L28" s="55" t="s">
        <v>44</v>
      </c>
      <c r="M28" s="55" t="s">
        <v>45</v>
      </c>
      <c r="N28" s="55" t="s">
        <v>46</v>
      </c>
      <c r="O28" s="55" t="s">
        <v>47</v>
      </c>
      <c r="P28" s="55" t="s">
        <v>48</v>
      </c>
      <c r="Q28" s="24" t="s">
        <v>49</v>
      </c>
      <c r="R28" s="55" t="s">
        <v>50</v>
      </c>
      <c r="S28" s="55" t="s">
        <v>51</v>
      </c>
      <c r="T28" s="55" t="s">
        <v>52</v>
      </c>
      <c r="U28" s="55" t="s">
        <v>53</v>
      </c>
      <c r="V28" s="55" t="s">
        <v>54</v>
      </c>
      <c r="W28" s="32" t="s">
        <v>55</v>
      </c>
      <c r="X28" s="33" t="s">
        <v>56</v>
      </c>
      <c r="Y28" s="33" t="s">
        <v>57</v>
      </c>
      <c r="Z28" s="32" t="s">
        <v>58</v>
      </c>
      <c r="AA28" s="33" t="s">
        <v>59</v>
      </c>
      <c r="AB28" s="33" t="s">
        <v>60</v>
      </c>
      <c r="AC28" s="32" t="s">
        <v>61</v>
      </c>
      <c r="AD28" s="33" t="s">
        <v>62</v>
      </c>
      <c r="AE28" s="33" t="s">
        <v>63</v>
      </c>
      <c r="AF28" s="32" t="s">
        <v>40</v>
      </c>
      <c r="AG28" s="33" t="s">
        <v>41</v>
      </c>
      <c r="AH28" s="33" t="s">
        <v>42</v>
      </c>
      <c r="AI28" s="45" t="s">
        <v>70</v>
      </c>
      <c r="AJ28" s="45" t="s">
        <v>71</v>
      </c>
      <c r="AK28" s="45" t="s">
        <v>72</v>
      </c>
      <c r="AL28" s="45" t="s">
        <v>18</v>
      </c>
    </row>
    <row r="29" spans="1:38" x14ac:dyDescent="0.25">
      <c r="C29">
        <v>45</v>
      </c>
      <c r="D29">
        <f>C29+273.15</f>
        <v>318.14999999999998</v>
      </c>
      <c r="E29">
        <f>EXP(C3+D3/(D29+E3))/1000</f>
        <v>72.510769026390932</v>
      </c>
      <c r="F29">
        <f>EXP(C4+D4/(D29+E4))/1000</f>
        <v>44.55814639452187</v>
      </c>
      <c r="G29">
        <v>0</v>
      </c>
      <c r="H29" s="44">
        <f>C22</f>
        <v>1.0488248700536945E-3</v>
      </c>
      <c r="I29" s="44">
        <f>D22</f>
        <v>0.49804096076923282</v>
      </c>
      <c r="J29" s="44">
        <f t="shared" ref="J29" si="5">E22</f>
        <v>0.50091021436071348</v>
      </c>
      <c r="K29" s="29">
        <f>I4/$O$1/$D$29</f>
        <v>2.1071800296631609</v>
      </c>
      <c r="L29" s="29">
        <f>J4/$O$1/$D$29</f>
        <v>2.8350922655412045</v>
      </c>
      <c r="M29" s="29">
        <f>I5/$O$1/$D$29</f>
        <v>7.2849444468829168</v>
      </c>
      <c r="N29" s="29">
        <f>J5/$O$1/$D$29</f>
        <v>6.1290709297054313</v>
      </c>
      <c r="O29" s="29">
        <f>I6/$O$1/$D$29</f>
        <v>4.0246507210259157</v>
      </c>
      <c r="P29" s="29">
        <f>J6/$O$1/$D$29</f>
        <v>0.21292207917654202</v>
      </c>
      <c r="Q29" s="29">
        <f>EXP(-$L$4*K29)</f>
        <v>0.43047242445194145</v>
      </c>
      <c r="R29" s="29">
        <f t="shared" ref="R29:V29" si="6">EXP(-$L$4*L29)</f>
        <v>0.32173183009668638</v>
      </c>
      <c r="S29" s="29">
        <f t="shared" si="6"/>
        <v>5.425946787469077E-2</v>
      </c>
      <c r="T29" s="29">
        <f t="shared" si="6"/>
        <v>8.6153182795249569E-2</v>
      </c>
      <c r="U29" s="29">
        <f t="shared" si="6"/>
        <v>0.19991554264238187</v>
      </c>
      <c r="V29" s="29">
        <f t="shared" si="6"/>
        <v>0.91835722352796123</v>
      </c>
      <c r="W29" s="46">
        <f>I29*L29*R29+J29*N29*T29</f>
        <v>0.71878290736683992</v>
      </c>
      <c r="X29" s="46">
        <f>H29*K29*Q29+J29*P29*V29</f>
        <v>9.8898617808429637E-2</v>
      </c>
      <c r="Y29" s="46">
        <f>H29*M29*S29+I29*O29*U29</f>
        <v>0.40113346915670733</v>
      </c>
      <c r="Z29" s="46">
        <f>H29+R29*I29+J29*T29</f>
        <v>0.20443946390327716</v>
      </c>
      <c r="AA29" s="46">
        <f>H29*Q29+I29+J29*V29</f>
        <v>0.95850696465097107</v>
      </c>
      <c r="AB29" s="46">
        <f>H29*S29+I29*U29+J29</f>
        <v>0.60053325197037077</v>
      </c>
      <c r="AC29">
        <f>W29/Z29-H29*W29/Z29^2+I29*Q29/AA29*(K29-X29/AA29)+J29*S29/AB29*(M29-Y29/AB29)</f>
        <v>4.2455501197910657</v>
      </c>
      <c r="AD29">
        <f>X29/AA29-I29*X29/AA29^2+H29*R29/Z29*(L29-W29/Z29)+J29*U29/AB29*(O29-Y29/AB29)</f>
        <v>0.60817624948709825</v>
      </c>
      <c r="AE29">
        <f>Y29/AB29-J29*Y29/AB29^2+H29*T29/Z29*(N29-W29/Z29)+I29*V29/AA29*(P29-X29/AA29)</f>
        <v>0.16433057331604661</v>
      </c>
      <c r="AF29" s="26">
        <f>EXP(AC29)</f>
        <v>69.794144725190037</v>
      </c>
      <c r="AG29" s="26">
        <f t="shared" ref="AG29:AH29" si="7">EXP(AD29)</f>
        <v>1.8370779699124362</v>
      </c>
      <c r="AH29" s="26">
        <f t="shared" si="7"/>
        <v>1.1786038656898448</v>
      </c>
      <c r="AI29" s="44">
        <f>AF29*E29*H29</f>
        <v>5.3079213334537219</v>
      </c>
      <c r="AJ29" s="44">
        <f>AG29*F29*I29</f>
        <v>40.768033899561019</v>
      </c>
      <c r="AK29" s="44">
        <f>AH29*G29*J29</f>
        <v>0</v>
      </c>
      <c r="AL29">
        <f>SUM(AI29:AK29)</f>
        <v>46.075955233014739</v>
      </c>
    </row>
    <row r="31" spans="1:38" x14ac:dyDescent="0.25">
      <c r="A31" t="s">
        <v>74</v>
      </c>
      <c r="C31" t="s">
        <v>75</v>
      </c>
    </row>
    <row r="32" spans="1:38" x14ac:dyDescent="0.25">
      <c r="A32">
        <v>29.141976027033792</v>
      </c>
      <c r="C32">
        <f>B22</f>
        <v>23.744124300142548</v>
      </c>
    </row>
    <row r="33" spans="1:3" x14ac:dyDescent="0.25">
      <c r="A33">
        <v>3.619337502365353E-2</v>
      </c>
      <c r="C33" s="43">
        <f>C22</f>
        <v>1.0488248700536945E-3</v>
      </c>
    </row>
    <row r="34" spans="1:3" x14ac:dyDescent="0.25">
      <c r="A34">
        <v>0.55567800775251652</v>
      </c>
      <c r="C34" s="44">
        <f>D22</f>
        <v>0.49804096076923282</v>
      </c>
    </row>
    <row r="35" spans="1:3" x14ac:dyDescent="0.25">
      <c r="A35">
        <v>0.40812861722382998</v>
      </c>
      <c r="C35">
        <f>E22</f>
        <v>0.50091021436071348</v>
      </c>
    </row>
  </sheetData>
  <mergeCells count="9">
    <mergeCell ref="O8:Q8"/>
    <mergeCell ref="C12:E12"/>
    <mergeCell ref="AA12:AC12"/>
    <mergeCell ref="C1:E1"/>
    <mergeCell ref="H1:H2"/>
    <mergeCell ref="K1:K2"/>
    <mergeCell ref="L1:L2"/>
    <mergeCell ref="I2:J2"/>
    <mergeCell ref="H3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odule1.Solver">
                <anchor moveWithCells="1" sizeWithCells="1">
                  <from>
                    <xdr:col>20</xdr:col>
                    <xdr:colOff>171450</xdr:colOff>
                    <xdr:row>3</xdr:row>
                    <xdr:rowOff>0</xdr:rowOff>
                  </from>
                  <to>
                    <xdr:col>21</xdr:col>
                    <xdr:colOff>590550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Extrakt-cistaIL</vt:lpstr>
      <vt:lpstr>Rafinat-cistaIL</vt:lpstr>
      <vt:lpstr>Extrakt-RegIL</vt:lpstr>
      <vt:lpstr>Rafinat-RegIL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2025-04-16T09:50:16Z</dcterms:modified>
</cp:coreProperties>
</file>