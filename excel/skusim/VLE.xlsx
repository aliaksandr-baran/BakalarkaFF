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AE17" i="1" l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G16" i="1"/>
  <c r="AF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16" i="1"/>
  <c r="B24" i="1"/>
  <c r="AH16" i="1" l="1"/>
  <c r="N67" i="1" l="1"/>
  <c r="T67" i="1" s="1"/>
  <c r="L67" i="1"/>
  <c r="R67" i="1" s="1"/>
  <c r="J67" i="1"/>
  <c r="F67" i="1"/>
  <c r="O67" i="1" s="1"/>
  <c r="U67" i="1" s="1"/>
  <c r="N66" i="1"/>
  <c r="T66" i="1" s="1"/>
  <c r="L66" i="1"/>
  <c r="R66" i="1" s="1"/>
  <c r="J66" i="1"/>
  <c r="F66" i="1"/>
  <c r="O66" i="1" s="1"/>
  <c r="U66" i="1" s="1"/>
  <c r="N65" i="1"/>
  <c r="T65" i="1" s="1"/>
  <c r="L65" i="1"/>
  <c r="R65" i="1" s="1"/>
  <c r="J65" i="1"/>
  <c r="F65" i="1"/>
  <c r="O65" i="1" s="1"/>
  <c r="U65" i="1" s="1"/>
  <c r="N64" i="1"/>
  <c r="T64" i="1" s="1"/>
  <c r="L64" i="1"/>
  <c r="R64" i="1" s="1"/>
  <c r="J64" i="1"/>
  <c r="F64" i="1"/>
  <c r="O64" i="1" s="1"/>
  <c r="U64" i="1" s="1"/>
  <c r="N63" i="1"/>
  <c r="T63" i="1" s="1"/>
  <c r="L63" i="1"/>
  <c r="J63" i="1"/>
  <c r="P63" i="1" s="1"/>
  <c r="F63" i="1"/>
  <c r="O63" i="1" s="1"/>
  <c r="U63" i="1" s="1"/>
  <c r="N62" i="1"/>
  <c r="T62" i="1" s="1"/>
  <c r="L62" i="1"/>
  <c r="J62" i="1"/>
  <c r="P62" i="1" s="1"/>
  <c r="F62" i="1"/>
  <c r="O62" i="1" s="1"/>
  <c r="U62" i="1" s="1"/>
  <c r="N61" i="1"/>
  <c r="T61" i="1" s="1"/>
  <c r="L61" i="1"/>
  <c r="J61" i="1"/>
  <c r="F61" i="1"/>
  <c r="O61" i="1" s="1"/>
  <c r="U61" i="1" s="1"/>
  <c r="N60" i="1"/>
  <c r="T60" i="1" s="1"/>
  <c r="L60" i="1"/>
  <c r="J60" i="1"/>
  <c r="F60" i="1"/>
  <c r="O60" i="1" s="1"/>
  <c r="U60" i="1" s="1"/>
  <c r="N59" i="1"/>
  <c r="T59" i="1" s="1"/>
  <c r="L59" i="1"/>
  <c r="J59" i="1"/>
  <c r="F59" i="1"/>
  <c r="O59" i="1" s="1"/>
  <c r="U59" i="1" s="1"/>
  <c r="T58" i="1"/>
  <c r="N58" i="1"/>
  <c r="L58" i="1"/>
  <c r="R58" i="1" s="1"/>
  <c r="X58" i="1" s="1"/>
  <c r="J58" i="1"/>
  <c r="P58" i="1" s="1"/>
  <c r="F58" i="1"/>
  <c r="O58" i="1" s="1"/>
  <c r="U58" i="1" s="1"/>
  <c r="N57" i="1"/>
  <c r="T57" i="1" s="1"/>
  <c r="L57" i="1"/>
  <c r="R57" i="1" s="1"/>
  <c r="J57" i="1"/>
  <c r="P57" i="1" s="1"/>
  <c r="F57" i="1"/>
  <c r="O57" i="1" s="1"/>
  <c r="U57" i="1" s="1"/>
  <c r="F56" i="1"/>
  <c r="O56" i="1" s="1"/>
  <c r="U56" i="1" s="1"/>
  <c r="F55" i="1"/>
  <c r="O55" i="1" s="1"/>
  <c r="U55" i="1" s="1"/>
  <c r="F54" i="1"/>
  <c r="O54" i="1" s="1"/>
  <c r="U54" i="1" s="1"/>
  <c r="F53" i="1"/>
  <c r="O53" i="1" s="1"/>
  <c r="U53" i="1" s="1"/>
  <c r="F52" i="1"/>
  <c r="O52" i="1" s="1"/>
  <c r="U52" i="1" s="1"/>
  <c r="F51" i="1"/>
  <c r="O51" i="1" s="1"/>
  <c r="U51" i="1" s="1"/>
  <c r="F50" i="1"/>
  <c r="O50" i="1" s="1"/>
  <c r="U50" i="1" s="1"/>
  <c r="F49" i="1"/>
  <c r="O49" i="1" s="1"/>
  <c r="U49" i="1" s="1"/>
  <c r="F48" i="1"/>
  <c r="O48" i="1" s="1"/>
  <c r="U48" i="1" s="1"/>
  <c r="N47" i="1"/>
  <c r="T47" i="1" s="1"/>
  <c r="L47" i="1"/>
  <c r="R47" i="1" s="1"/>
  <c r="J47" i="1"/>
  <c r="P47" i="1" s="1"/>
  <c r="W47" i="1" s="1"/>
  <c r="F47" i="1"/>
  <c r="O47" i="1" s="1"/>
  <c r="U47" i="1" s="1"/>
  <c r="N46" i="1"/>
  <c r="T46" i="1" s="1"/>
  <c r="L46" i="1"/>
  <c r="R46" i="1" s="1"/>
  <c r="J46" i="1"/>
  <c r="F46" i="1"/>
  <c r="O46" i="1" s="1"/>
  <c r="U46" i="1" s="1"/>
  <c r="N45" i="1"/>
  <c r="T45" i="1" s="1"/>
  <c r="L45" i="1"/>
  <c r="R45" i="1" s="1"/>
  <c r="J45" i="1"/>
  <c r="F45" i="1"/>
  <c r="O45" i="1" s="1"/>
  <c r="U45" i="1" s="1"/>
  <c r="N44" i="1"/>
  <c r="T44" i="1" s="1"/>
  <c r="J44" i="1"/>
  <c r="F44" i="1"/>
  <c r="O44" i="1" s="1"/>
  <c r="U44" i="1" s="1"/>
  <c r="N43" i="1"/>
  <c r="T43" i="1" s="1"/>
  <c r="J43" i="1"/>
  <c r="F43" i="1"/>
  <c r="O43" i="1" s="1"/>
  <c r="U43" i="1" s="1"/>
  <c r="N42" i="1"/>
  <c r="T42" i="1" s="1"/>
  <c r="J42" i="1"/>
  <c r="F42" i="1"/>
  <c r="O42" i="1" s="1"/>
  <c r="U42" i="1" s="1"/>
  <c r="N41" i="1"/>
  <c r="T41" i="1" s="1"/>
  <c r="J41" i="1"/>
  <c r="F41" i="1"/>
  <c r="O41" i="1" s="1"/>
  <c r="U41" i="1" s="1"/>
  <c r="N40" i="1"/>
  <c r="T40" i="1" s="1"/>
  <c r="J40" i="1"/>
  <c r="F40" i="1"/>
  <c r="O40" i="1" s="1"/>
  <c r="U40" i="1" s="1"/>
  <c r="N39" i="1"/>
  <c r="T39" i="1" s="1"/>
  <c r="J39" i="1"/>
  <c r="F39" i="1"/>
  <c r="O39" i="1" s="1"/>
  <c r="U39" i="1" s="1"/>
  <c r="N38" i="1"/>
  <c r="T38" i="1" s="1"/>
  <c r="J38" i="1"/>
  <c r="F38" i="1"/>
  <c r="O38" i="1" s="1"/>
  <c r="U38" i="1" s="1"/>
  <c r="N37" i="1"/>
  <c r="T37" i="1" s="1"/>
  <c r="J37" i="1"/>
  <c r="F37" i="1"/>
  <c r="O37" i="1" s="1"/>
  <c r="U37" i="1" s="1"/>
  <c r="N36" i="1"/>
  <c r="T36" i="1" s="1"/>
  <c r="J36" i="1"/>
  <c r="F36" i="1"/>
  <c r="O36" i="1" s="1"/>
  <c r="U36" i="1" s="1"/>
  <c r="F35" i="1"/>
  <c r="O35" i="1" s="1"/>
  <c r="U35" i="1" s="1"/>
  <c r="F34" i="1"/>
  <c r="O34" i="1" s="1"/>
  <c r="U34" i="1" s="1"/>
  <c r="F33" i="1"/>
  <c r="O33" i="1" s="1"/>
  <c r="U33" i="1" s="1"/>
  <c r="F32" i="1"/>
  <c r="O32" i="1" s="1"/>
  <c r="U32" i="1" s="1"/>
  <c r="F31" i="1"/>
  <c r="O31" i="1" s="1"/>
  <c r="U31" i="1" s="1"/>
  <c r="F30" i="1"/>
  <c r="O30" i="1" s="1"/>
  <c r="U30" i="1" s="1"/>
  <c r="F29" i="1"/>
  <c r="O29" i="1" s="1"/>
  <c r="U29" i="1" s="1"/>
  <c r="F28" i="1"/>
  <c r="O28" i="1" s="1"/>
  <c r="U28" i="1" s="1"/>
  <c r="F27" i="1"/>
  <c r="O27" i="1" s="1"/>
  <c r="U27" i="1" s="1"/>
  <c r="F26" i="1"/>
  <c r="O26" i="1" s="1"/>
  <c r="U26" i="1" s="1"/>
  <c r="F25" i="1"/>
  <c r="O25" i="1" s="1"/>
  <c r="U25" i="1" s="1"/>
  <c r="F24" i="1"/>
  <c r="O24" i="1" s="1"/>
  <c r="U24" i="1" s="1"/>
  <c r="F23" i="1"/>
  <c r="O23" i="1" s="1"/>
  <c r="U23" i="1" s="1"/>
  <c r="F22" i="1"/>
  <c r="O22" i="1" s="1"/>
  <c r="U22" i="1" s="1"/>
  <c r="F21" i="1"/>
  <c r="O21" i="1" s="1"/>
  <c r="U21" i="1" s="1"/>
  <c r="F20" i="1"/>
  <c r="O20" i="1" s="1"/>
  <c r="U20" i="1" s="1"/>
  <c r="F19" i="1"/>
  <c r="M19" i="1" s="1"/>
  <c r="S19" i="1" s="1"/>
  <c r="F18" i="1"/>
  <c r="O18" i="1" s="1"/>
  <c r="U18" i="1" s="1"/>
  <c r="F17" i="1"/>
  <c r="M17" i="1" s="1"/>
  <c r="S17" i="1" s="1"/>
  <c r="F16" i="1"/>
  <c r="J16" i="1" s="1"/>
  <c r="L36" i="1" l="1"/>
  <c r="R36" i="1" s="1"/>
  <c r="L37" i="1"/>
  <c r="R37" i="1" s="1"/>
  <c r="X37" i="1" s="1"/>
  <c r="L38" i="1"/>
  <c r="R38" i="1" s="1"/>
  <c r="L39" i="1"/>
  <c r="R39" i="1" s="1"/>
  <c r="L40" i="1"/>
  <c r="R40" i="1" s="1"/>
  <c r="L41" i="1"/>
  <c r="R41" i="1" s="1"/>
  <c r="L42" i="1"/>
  <c r="R42" i="1" s="1"/>
  <c r="L43" i="1"/>
  <c r="R43" i="1" s="1"/>
  <c r="L44" i="1"/>
  <c r="R44" i="1" s="1"/>
  <c r="J35" i="1"/>
  <c r="P35" i="1" s="1"/>
  <c r="Z35" i="1" s="1"/>
  <c r="N35" i="1"/>
  <c r="T35" i="1" s="1"/>
  <c r="L35" i="1"/>
  <c r="R35" i="1" s="1"/>
  <c r="X39" i="1"/>
  <c r="X40" i="1"/>
  <c r="X41" i="1"/>
  <c r="X42" i="1"/>
  <c r="X43" i="1"/>
  <c r="X44" i="1"/>
  <c r="X57" i="1"/>
  <c r="X64" i="1"/>
  <c r="X35" i="1"/>
  <c r="X36" i="1"/>
  <c r="X38" i="1"/>
  <c r="Z57" i="1"/>
  <c r="Z58" i="1"/>
  <c r="Z62" i="1"/>
  <c r="N16" i="1"/>
  <c r="T16" i="1" s="1"/>
  <c r="L16" i="1"/>
  <c r="M16" i="1"/>
  <c r="S16" i="1" s="1"/>
  <c r="K16" i="1"/>
  <c r="O16" i="1"/>
  <c r="U16" i="1" s="1"/>
  <c r="K17" i="1"/>
  <c r="O17" i="1"/>
  <c r="U17" i="1" s="1"/>
  <c r="M18" i="1"/>
  <c r="S18" i="1" s="1"/>
  <c r="K19" i="1"/>
  <c r="O19" i="1"/>
  <c r="U19" i="1" s="1"/>
  <c r="M20" i="1"/>
  <c r="S20" i="1" s="1"/>
  <c r="M21" i="1"/>
  <c r="S21" i="1" s="1"/>
  <c r="K22" i="1"/>
  <c r="J17" i="1"/>
  <c r="L17" i="1"/>
  <c r="N17" i="1"/>
  <c r="T17" i="1" s="1"/>
  <c r="J18" i="1"/>
  <c r="L18" i="1"/>
  <c r="N18" i="1"/>
  <c r="T18" i="1" s="1"/>
  <c r="J19" i="1"/>
  <c r="L19" i="1"/>
  <c r="N19" i="1"/>
  <c r="T19" i="1" s="1"/>
  <c r="J20" i="1"/>
  <c r="L20" i="1"/>
  <c r="N20" i="1"/>
  <c r="T20" i="1" s="1"/>
  <c r="J21" i="1"/>
  <c r="L21" i="1"/>
  <c r="N21" i="1"/>
  <c r="T21" i="1" s="1"/>
  <c r="J22" i="1"/>
  <c r="L22" i="1"/>
  <c r="N22" i="1"/>
  <c r="T22" i="1" s="1"/>
  <c r="J23" i="1"/>
  <c r="L23" i="1"/>
  <c r="N23" i="1"/>
  <c r="T23" i="1" s="1"/>
  <c r="J24" i="1"/>
  <c r="L24" i="1"/>
  <c r="N24" i="1"/>
  <c r="T24" i="1" s="1"/>
  <c r="J25" i="1"/>
  <c r="L25" i="1"/>
  <c r="N25" i="1"/>
  <c r="T25" i="1" s="1"/>
  <c r="J26" i="1"/>
  <c r="L26" i="1"/>
  <c r="N26" i="1"/>
  <c r="T26" i="1" s="1"/>
  <c r="J27" i="1"/>
  <c r="L27" i="1"/>
  <c r="N27" i="1"/>
  <c r="T27" i="1" s="1"/>
  <c r="J28" i="1"/>
  <c r="L28" i="1"/>
  <c r="N28" i="1"/>
  <c r="T28" i="1" s="1"/>
  <c r="J29" i="1"/>
  <c r="L29" i="1"/>
  <c r="N29" i="1"/>
  <c r="T29" i="1" s="1"/>
  <c r="J30" i="1"/>
  <c r="L30" i="1"/>
  <c r="N30" i="1"/>
  <c r="T30" i="1" s="1"/>
  <c r="J31" i="1"/>
  <c r="L31" i="1"/>
  <c r="N31" i="1"/>
  <c r="T31" i="1" s="1"/>
  <c r="J32" i="1"/>
  <c r="L32" i="1"/>
  <c r="N32" i="1"/>
  <c r="T32" i="1" s="1"/>
  <c r="J33" i="1"/>
  <c r="L33" i="1"/>
  <c r="N33" i="1"/>
  <c r="T33" i="1" s="1"/>
  <c r="J34" i="1"/>
  <c r="L34" i="1"/>
  <c r="N34" i="1"/>
  <c r="T34" i="1" s="1"/>
  <c r="X47" i="1"/>
  <c r="K18" i="1"/>
  <c r="K20" i="1"/>
  <c r="K21" i="1"/>
  <c r="M22" i="1"/>
  <c r="S22" i="1" s="1"/>
  <c r="K23" i="1"/>
  <c r="M23" i="1"/>
  <c r="S23" i="1" s="1"/>
  <c r="K24" i="1"/>
  <c r="M24" i="1"/>
  <c r="S24" i="1" s="1"/>
  <c r="K25" i="1"/>
  <c r="M25" i="1"/>
  <c r="S25" i="1" s="1"/>
  <c r="K26" i="1"/>
  <c r="M26" i="1"/>
  <c r="S26" i="1" s="1"/>
  <c r="K27" i="1"/>
  <c r="M27" i="1"/>
  <c r="S27" i="1" s="1"/>
  <c r="K28" i="1"/>
  <c r="M28" i="1"/>
  <c r="S28" i="1" s="1"/>
  <c r="K29" i="1"/>
  <c r="M29" i="1"/>
  <c r="S29" i="1" s="1"/>
  <c r="K30" i="1"/>
  <c r="M30" i="1"/>
  <c r="S30" i="1" s="1"/>
  <c r="K31" i="1"/>
  <c r="M31" i="1"/>
  <c r="S31" i="1" s="1"/>
  <c r="K32" i="1"/>
  <c r="M32" i="1"/>
  <c r="S32" i="1" s="1"/>
  <c r="K33" i="1"/>
  <c r="M33" i="1"/>
  <c r="S33" i="1" s="1"/>
  <c r="K34" i="1"/>
  <c r="M34" i="1"/>
  <c r="S34" i="1" s="1"/>
  <c r="AA35" i="1"/>
  <c r="X45" i="1"/>
  <c r="X46" i="1"/>
  <c r="K35" i="1"/>
  <c r="M35" i="1"/>
  <c r="S35" i="1" s="1"/>
  <c r="K36" i="1"/>
  <c r="M36" i="1"/>
  <c r="S36" i="1" s="1"/>
  <c r="AA36" i="1"/>
  <c r="K37" i="1"/>
  <c r="M37" i="1"/>
  <c r="S37" i="1" s="1"/>
  <c r="K38" i="1"/>
  <c r="M38" i="1"/>
  <c r="S38" i="1" s="1"/>
  <c r="AA38" i="1"/>
  <c r="K39" i="1"/>
  <c r="M39" i="1"/>
  <c r="S39" i="1" s="1"/>
  <c r="K40" i="1"/>
  <c r="M40" i="1"/>
  <c r="S40" i="1" s="1"/>
  <c r="AA40" i="1"/>
  <c r="K41" i="1"/>
  <c r="M41" i="1"/>
  <c r="S41" i="1" s="1"/>
  <c r="K42" i="1"/>
  <c r="M42" i="1"/>
  <c r="S42" i="1" s="1"/>
  <c r="AA42" i="1"/>
  <c r="K43" i="1"/>
  <c r="M43" i="1"/>
  <c r="S43" i="1" s="1"/>
  <c r="K44" i="1"/>
  <c r="M44" i="1"/>
  <c r="S44" i="1" s="1"/>
  <c r="AA44" i="1"/>
  <c r="K45" i="1"/>
  <c r="M45" i="1"/>
  <c r="S45" i="1" s="1"/>
  <c r="AA45" i="1"/>
  <c r="AA46" i="1"/>
  <c r="P46" i="1"/>
  <c r="W46" i="1" s="1"/>
  <c r="AA47" i="1"/>
  <c r="P36" i="1"/>
  <c r="W36" i="1" s="1"/>
  <c r="P37" i="1"/>
  <c r="W37" i="1" s="1"/>
  <c r="P38" i="1"/>
  <c r="W38" i="1" s="1"/>
  <c r="P39" i="1"/>
  <c r="W39" i="1" s="1"/>
  <c r="P40" i="1"/>
  <c r="W40" i="1" s="1"/>
  <c r="P41" i="1"/>
  <c r="W41" i="1" s="1"/>
  <c r="P42" i="1"/>
  <c r="W42" i="1" s="1"/>
  <c r="P43" i="1"/>
  <c r="W43" i="1" s="1"/>
  <c r="P44" i="1"/>
  <c r="W44" i="1" s="1"/>
  <c r="P45" i="1"/>
  <c r="W45" i="1" s="1"/>
  <c r="Z47" i="1"/>
  <c r="J48" i="1"/>
  <c r="L48" i="1"/>
  <c r="N48" i="1"/>
  <c r="T48" i="1" s="1"/>
  <c r="J49" i="1"/>
  <c r="L49" i="1"/>
  <c r="N49" i="1"/>
  <c r="T49" i="1" s="1"/>
  <c r="J50" i="1"/>
  <c r="L50" i="1"/>
  <c r="N50" i="1"/>
  <c r="T50" i="1" s="1"/>
  <c r="J51" i="1"/>
  <c r="L51" i="1"/>
  <c r="N51" i="1"/>
  <c r="T51" i="1" s="1"/>
  <c r="J52" i="1"/>
  <c r="L52" i="1"/>
  <c r="N52" i="1"/>
  <c r="T52" i="1" s="1"/>
  <c r="J53" i="1"/>
  <c r="L53" i="1"/>
  <c r="N53" i="1"/>
  <c r="T53" i="1" s="1"/>
  <c r="J54" i="1"/>
  <c r="L54" i="1"/>
  <c r="N54" i="1"/>
  <c r="T54" i="1" s="1"/>
  <c r="J55" i="1"/>
  <c r="L55" i="1"/>
  <c r="N55" i="1"/>
  <c r="T55" i="1" s="1"/>
  <c r="J56" i="1"/>
  <c r="L56" i="1"/>
  <c r="N56" i="1"/>
  <c r="T56" i="1" s="1"/>
  <c r="K46" i="1"/>
  <c r="M46" i="1"/>
  <c r="S46" i="1" s="1"/>
  <c r="K47" i="1"/>
  <c r="M47" i="1"/>
  <c r="S47" i="1" s="1"/>
  <c r="K48" i="1"/>
  <c r="M48" i="1"/>
  <c r="S48" i="1" s="1"/>
  <c r="K49" i="1"/>
  <c r="M49" i="1"/>
  <c r="S49" i="1" s="1"/>
  <c r="K50" i="1"/>
  <c r="M50" i="1"/>
  <c r="S50" i="1" s="1"/>
  <c r="K51" i="1"/>
  <c r="M51" i="1"/>
  <c r="S51" i="1" s="1"/>
  <c r="K52" i="1"/>
  <c r="M52" i="1"/>
  <c r="S52" i="1" s="1"/>
  <c r="K53" i="1"/>
  <c r="M53" i="1"/>
  <c r="S53" i="1" s="1"/>
  <c r="K54" i="1"/>
  <c r="M54" i="1"/>
  <c r="S54" i="1" s="1"/>
  <c r="K55" i="1"/>
  <c r="M55" i="1"/>
  <c r="S55" i="1" s="1"/>
  <c r="K56" i="1"/>
  <c r="M56" i="1"/>
  <c r="S56" i="1" s="1"/>
  <c r="AA57" i="1"/>
  <c r="W57" i="1"/>
  <c r="AA58" i="1"/>
  <c r="W58" i="1"/>
  <c r="P59" i="1"/>
  <c r="W59" i="1" s="1"/>
  <c r="R59" i="1"/>
  <c r="X59" i="1" s="1"/>
  <c r="P60" i="1"/>
  <c r="W60" i="1" s="1"/>
  <c r="R60" i="1"/>
  <c r="X60" i="1" s="1"/>
  <c r="P61" i="1"/>
  <c r="W61" i="1" s="1"/>
  <c r="R61" i="1"/>
  <c r="X61" i="1" s="1"/>
  <c r="W62" i="1"/>
  <c r="W63" i="1"/>
  <c r="X65" i="1"/>
  <c r="X66" i="1"/>
  <c r="X67" i="1"/>
  <c r="K57" i="1"/>
  <c r="M57" i="1"/>
  <c r="S57" i="1" s="1"/>
  <c r="K58" i="1"/>
  <c r="M58" i="1"/>
  <c r="S58" i="1" s="1"/>
  <c r="K59" i="1"/>
  <c r="M59" i="1"/>
  <c r="S59" i="1" s="1"/>
  <c r="K60" i="1"/>
  <c r="M60" i="1"/>
  <c r="S60" i="1" s="1"/>
  <c r="K61" i="1"/>
  <c r="M61" i="1"/>
  <c r="S61" i="1" s="1"/>
  <c r="R62" i="1"/>
  <c r="X62" i="1" s="1"/>
  <c r="Z63" i="1"/>
  <c r="R63" i="1"/>
  <c r="X63" i="1" s="1"/>
  <c r="K62" i="1"/>
  <c r="M62" i="1"/>
  <c r="S62" i="1" s="1"/>
  <c r="K63" i="1"/>
  <c r="M63" i="1"/>
  <c r="S63" i="1" s="1"/>
  <c r="K64" i="1"/>
  <c r="M64" i="1"/>
  <c r="S64" i="1" s="1"/>
  <c r="AA64" i="1"/>
  <c r="K65" i="1"/>
  <c r="M65" i="1"/>
  <c r="S65" i="1" s="1"/>
  <c r="AA65" i="1"/>
  <c r="K66" i="1"/>
  <c r="M66" i="1"/>
  <c r="S66" i="1" s="1"/>
  <c r="AA66" i="1"/>
  <c r="K67" i="1"/>
  <c r="M67" i="1"/>
  <c r="S67" i="1" s="1"/>
  <c r="AA67" i="1"/>
  <c r="P64" i="1"/>
  <c r="W64" i="1" s="1"/>
  <c r="P65" i="1"/>
  <c r="W65" i="1" s="1"/>
  <c r="P66" i="1"/>
  <c r="W66" i="1" s="1"/>
  <c r="P67" i="1"/>
  <c r="W67" i="1" s="1"/>
  <c r="AA43" i="1" l="1"/>
  <c r="AA41" i="1"/>
  <c r="AA39" i="1"/>
  <c r="AA37" i="1"/>
  <c r="W35" i="1"/>
  <c r="Z60" i="1"/>
  <c r="Q66" i="1"/>
  <c r="V66" i="1" s="1"/>
  <c r="Q64" i="1"/>
  <c r="V64" i="1" s="1"/>
  <c r="Q63" i="1"/>
  <c r="V63" i="1" s="1"/>
  <c r="Q62" i="1"/>
  <c r="V62" i="1" s="1"/>
  <c r="Z66" i="1"/>
  <c r="Z64" i="1"/>
  <c r="AA63" i="1"/>
  <c r="AA62" i="1"/>
  <c r="Z61" i="1"/>
  <c r="Z59" i="1"/>
  <c r="Q56" i="1"/>
  <c r="V56" i="1" s="1"/>
  <c r="Q55" i="1"/>
  <c r="V55" i="1" s="1"/>
  <c r="Q54" i="1"/>
  <c r="V54" i="1" s="1"/>
  <c r="Q53" i="1"/>
  <c r="V53" i="1" s="1"/>
  <c r="Q52" i="1"/>
  <c r="V52" i="1" s="1"/>
  <c r="Q51" i="1"/>
  <c r="V51" i="1" s="1"/>
  <c r="Q50" i="1"/>
  <c r="V50" i="1" s="1"/>
  <c r="Q49" i="1"/>
  <c r="V49" i="1" s="1"/>
  <c r="Q48" i="1"/>
  <c r="V48" i="1" s="1"/>
  <c r="Q47" i="1"/>
  <c r="V47" i="1" s="1"/>
  <c r="Q46" i="1"/>
  <c r="V46" i="1" s="1"/>
  <c r="AA60" i="1"/>
  <c r="P56" i="1"/>
  <c r="W56" i="1" s="1"/>
  <c r="R55" i="1"/>
  <c r="X55" i="1" s="1"/>
  <c r="P54" i="1"/>
  <c r="W54" i="1" s="1"/>
  <c r="R53" i="1"/>
  <c r="X53" i="1" s="1"/>
  <c r="P52" i="1"/>
  <c r="W52" i="1" s="1"/>
  <c r="R51" i="1"/>
  <c r="X51" i="1" s="1"/>
  <c r="P50" i="1"/>
  <c r="W50" i="1" s="1"/>
  <c r="R49" i="1"/>
  <c r="X49" i="1" s="1"/>
  <c r="P48" i="1"/>
  <c r="W48" i="1" s="1"/>
  <c r="Q44" i="1"/>
  <c r="V44" i="1" s="1"/>
  <c r="Q42" i="1"/>
  <c r="V42" i="1" s="1"/>
  <c r="Q40" i="1"/>
  <c r="V40" i="1" s="1"/>
  <c r="Q38" i="1"/>
  <c r="V38" i="1" s="1"/>
  <c r="Q36" i="1"/>
  <c r="V36" i="1" s="1"/>
  <c r="Q35" i="1"/>
  <c r="V35" i="1" s="1"/>
  <c r="Q34" i="1"/>
  <c r="V34" i="1" s="1"/>
  <c r="Q33" i="1"/>
  <c r="V33" i="1" s="1"/>
  <c r="Q32" i="1"/>
  <c r="V32" i="1" s="1"/>
  <c r="Q31" i="1"/>
  <c r="V31" i="1" s="1"/>
  <c r="Q30" i="1"/>
  <c r="V30" i="1" s="1"/>
  <c r="Q29" i="1"/>
  <c r="V29" i="1" s="1"/>
  <c r="Q28" i="1"/>
  <c r="V28" i="1" s="1"/>
  <c r="Q27" i="1"/>
  <c r="V27" i="1" s="1"/>
  <c r="Q26" i="1"/>
  <c r="V26" i="1" s="1"/>
  <c r="Q25" i="1"/>
  <c r="V25" i="1" s="1"/>
  <c r="Q24" i="1"/>
  <c r="V24" i="1" s="1"/>
  <c r="Q23" i="1"/>
  <c r="V23" i="1" s="1"/>
  <c r="Q21" i="1"/>
  <c r="V21" i="1" s="1"/>
  <c r="Q18" i="1"/>
  <c r="V18" i="1" s="1"/>
  <c r="Z46" i="1"/>
  <c r="Z44" i="1"/>
  <c r="Z42" i="1"/>
  <c r="Z40" i="1"/>
  <c r="Z38" i="1"/>
  <c r="Z36" i="1"/>
  <c r="R34" i="1"/>
  <c r="X34" i="1" s="1"/>
  <c r="P33" i="1"/>
  <c r="W33" i="1" s="1"/>
  <c r="R32" i="1"/>
  <c r="X32" i="1" s="1"/>
  <c r="P31" i="1"/>
  <c r="W31" i="1" s="1"/>
  <c r="R30" i="1"/>
  <c r="X30" i="1" s="1"/>
  <c r="P29" i="1"/>
  <c r="W29" i="1" s="1"/>
  <c r="R28" i="1"/>
  <c r="X28" i="1" s="1"/>
  <c r="P27" i="1"/>
  <c r="W27" i="1" s="1"/>
  <c r="R26" i="1"/>
  <c r="X26" i="1" s="1"/>
  <c r="P25" i="1"/>
  <c r="W25" i="1" s="1"/>
  <c r="R24" i="1"/>
  <c r="X24" i="1" s="1"/>
  <c r="P23" i="1"/>
  <c r="W23" i="1" s="1"/>
  <c r="R22" i="1"/>
  <c r="X22" i="1" s="1"/>
  <c r="P21" i="1"/>
  <c r="W21" i="1" s="1"/>
  <c r="R20" i="1"/>
  <c r="X20" i="1" s="1"/>
  <c r="P19" i="1"/>
  <c r="W19" i="1" s="1"/>
  <c r="R18" i="1"/>
  <c r="X18" i="1" s="1"/>
  <c r="P17" i="1"/>
  <c r="W17" i="1" s="1"/>
  <c r="Q17" i="1"/>
  <c r="V17" i="1" s="1"/>
  <c r="Q16" i="1"/>
  <c r="V16" i="1" s="1"/>
  <c r="R16" i="1"/>
  <c r="X16" i="1" s="1"/>
  <c r="Q67" i="1"/>
  <c r="V67" i="1" s="1"/>
  <c r="Q65" i="1"/>
  <c r="V65" i="1" s="1"/>
  <c r="Z67" i="1"/>
  <c r="Z65" i="1"/>
  <c r="Q61" i="1"/>
  <c r="V61" i="1" s="1"/>
  <c r="Q60" i="1"/>
  <c r="V60" i="1" s="1"/>
  <c r="Q59" i="1"/>
  <c r="V59" i="1" s="1"/>
  <c r="Q58" i="1"/>
  <c r="V58" i="1" s="1"/>
  <c r="Q57" i="1"/>
  <c r="V57" i="1" s="1"/>
  <c r="AA61" i="1"/>
  <c r="AA59" i="1"/>
  <c r="R56" i="1"/>
  <c r="X56" i="1" s="1"/>
  <c r="P55" i="1"/>
  <c r="W55" i="1" s="1"/>
  <c r="R54" i="1"/>
  <c r="X54" i="1" s="1"/>
  <c r="P53" i="1"/>
  <c r="W53" i="1" s="1"/>
  <c r="R52" i="1"/>
  <c r="X52" i="1" s="1"/>
  <c r="P51" i="1"/>
  <c r="W51" i="1" s="1"/>
  <c r="R50" i="1"/>
  <c r="X50" i="1" s="1"/>
  <c r="P49" i="1"/>
  <c r="W49" i="1" s="1"/>
  <c r="R48" i="1"/>
  <c r="X48" i="1" s="1"/>
  <c r="Q45" i="1"/>
  <c r="V45" i="1" s="1"/>
  <c r="Q43" i="1"/>
  <c r="V43" i="1" s="1"/>
  <c r="Q41" i="1"/>
  <c r="V41" i="1" s="1"/>
  <c r="Q39" i="1"/>
  <c r="V39" i="1" s="1"/>
  <c r="Q37" i="1"/>
  <c r="V37" i="1" s="1"/>
  <c r="Q20" i="1"/>
  <c r="V20" i="1" s="1"/>
  <c r="Z45" i="1"/>
  <c r="Z43" i="1"/>
  <c r="Z41" i="1"/>
  <c r="Z39" i="1"/>
  <c r="Z37" i="1"/>
  <c r="P34" i="1"/>
  <c r="W34" i="1" s="1"/>
  <c r="R33" i="1"/>
  <c r="X33" i="1" s="1"/>
  <c r="P32" i="1"/>
  <c r="W32" i="1" s="1"/>
  <c r="R31" i="1"/>
  <c r="X31" i="1" s="1"/>
  <c r="P30" i="1"/>
  <c r="W30" i="1" s="1"/>
  <c r="R29" i="1"/>
  <c r="X29" i="1" s="1"/>
  <c r="P28" i="1"/>
  <c r="W28" i="1" s="1"/>
  <c r="R27" i="1"/>
  <c r="X27" i="1" s="1"/>
  <c r="P26" i="1"/>
  <c r="W26" i="1" s="1"/>
  <c r="R25" i="1"/>
  <c r="X25" i="1" s="1"/>
  <c r="P24" i="1"/>
  <c r="W24" i="1" s="1"/>
  <c r="R23" i="1"/>
  <c r="X23" i="1" s="1"/>
  <c r="P22" i="1"/>
  <c r="W22" i="1" s="1"/>
  <c r="R21" i="1"/>
  <c r="X21" i="1" s="1"/>
  <c r="P20" i="1"/>
  <c r="W20" i="1" s="1"/>
  <c r="R19" i="1"/>
  <c r="X19" i="1" s="1"/>
  <c r="P18" i="1"/>
  <c r="W18" i="1" s="1"/>
  <c r="R17" i="1"/>
  <c r="X17" i="1" s="1"/>
  <c r="Q22" i="1"/>
  <c r="V22" i="1" s="1"/>
  <c r="Q19" i="1"/>
  <c r="V19" i="1" s="1"/>
  <c r="P16" i="1"/>
  <c r="W16" i="1" s="1"/>
  <c r="AA31" i="1" l="1"/>
  <c r="AA34" i="1"/>
  <c r="AA18" i="1"/>
  <c r="AA23" i="1"/>
  <c r="AA26" i="1"/>
  <c r="Y42" i="1"/>
  <c r="AC42" i="1" s="1"/>
  <c r="AA49" i="1"/>
  <c r="AA19" i="1"/>
  <c r="AA27" i="1"/>
  <c r="AA22" i="1"/>
  <c r="AA30" i="1"/>
  <c r="AA53" i="1"/>
  <c r="Y39" i="1"/>
  <c r="Y57" i="1"/>
  <c r="Y58" i="1"/>
  <c r="Y59" i="1"/>
  <c r="Y60" i="1"/>
  <c r="AC60" i="1" s="1"/>
  <c r="Y61" i="1"/>
  <c r="Y65" i="1"/>
  <c r="Y16" i="1"/>
  <c r="Y17" i="1"/>
  <c r="AD39" i="1"/>
  <c r="AD59" i="1"/>
  <c r="AB57" i="1"/>
  <c r="AB58" i="1"/>
  <c r="AB60" i="1"/>
  <c r="AA21" i="1"/>
  <c r="AA25" i="1"/>
  <c r="AA29" i="1"/>
  <c r="AA33" i="1"/>
  <c r="AB61" i="1"/>
  <c r="AA20" i="1"/>
  <c r="AA24" i="1"/>
  <c r="AA28" i="1"/>
  <c r="AA32" i="1"/>
  <c r="AA51" i="1"/>
  <c r="AA55" i="1"/>
  <c r="Y22" i="1"/>
  <c r="AC39" i="1"/>
  <c r="Y43" i="1"/>
  <c r="AC43" i="1" s="1"/>
  <c r="Y18" i="1"/>
  <c r="Y21" i="1"/>
  <c r="Y23" i="1"/>
  <c r="Y24" i="1"/>
  <c r="Y25" i="1"/>
  <c r="Y26" i="1"/>
  <c r="Y27" i="1"/>
  <c r="Y28" i="1"/>
  <c r="Y29" i="1"/>
  <c r="Y30" i="1"/>
  <c r="Y31" i="1"/>
  <c r="Y32" i="1"/>
  <c r="Y33" i="1"/>
  <c r="Y34" i="1"/>
  <c r="Y38" i="1"/>
  <c r="AC38" i="1" s="1"/>
  <c r="Y62" i="1"/>
  <c r="AD62" i="1" s="1"/>
  <c r="Y63" i="1"/>
  <c r="AB63" i="1" s="1"/>
  <c r="Y64" i="1"/>
  <c r="AB65" i="1"/>
  <c r="Z17" i="1"/>
  <c r="Z19" i="1"/>
  <c r="Z21" i="1"/>
  <c r="Z23" i="1"/>
  <c r="Z25" i="1"/>
  <c r="Z27" i="1"/>
  <c r="Z29" i="1"/>
  <c r="Z31" i="1"/>
  <c r="Z33" i="1"/>
  <c r="Z48" i="1"/>
  <c r="Z50" i="1"/>
  <c r="Z52" i="1"/>
  <c r="Z54" i="1"/>
  <c r="Z56" i="1"/>
  <c r="Z16" i="1"/>
  <c r="Z18" i="1"/>
  <c r="AC18" i="1" s="1"/>
  <c r="Z20" i="1"/>
  <c r="AD21" i="1"/>
  <c r="Z22" i="1"/>
  <c r="AB22" i="1" s="1"/>
  <c r="AD23" i="1"/>
  <c r="Z24" i="1"/>
  <c r="AC24" i="1" s="1"/>
  <c r="AD25" i="1"/>
  <c r="Z26" i="1"/>
  <c r="AC26" i="1" s="1"/>
  <c r="AD27" i="1"/>
  <c r="Z28" i="1"/>
  <c r="AC28" i="1" s="1"/>
  <c r="AD29" i="1"/>
  <c r="Z30" i="1"/>
  <c r="AC30" i="1" s="1"/>
  <c r="AD31" i="1"/>
  <c r="Z32" i="1"/>
  <c r="AC32" i="1" s="1"/>
  <c r="AD33" i="1"/>
  <c r="Z34" i="1"/>
  <c r="AC34" i="1" s="1"/>
  <c r="AB64" i="1"/>
  <c r="AC22" i="1"/>
  <c r="AC21" i="1"/>
  <c r="AD22" i="1"/>
  <c r="AC25" i="1"/>
  <c r="AC27" i="1"/>
  <c r="AC29" i="1"/>
  <c r="AD30" i="1"/>
  <c r="AD32" i="1"/>
  <c r="AD34" i="1"/>
  <c r="AB18" i="1"/>
  <c r="AB23" i="1"/>
  <c r="AB24" i="1"/>
  <c r="AB28" i="1"/>
  <c r="AB29" i="1"/>
  <c r="AB31" i="1"/>
  <c r="AB32" i="1"/>
  <c r="AB34" i="1"/>
  <c r="AB38" i="1"/>
  <c r="AB42" i="1"/>
  <c r="AD57" i="1"/>
  <c r="Y19" i="1"/>
  <c r="AB19" i="1" s="1"/>
  <c r="AA17" i="1"/>
  <c r="AD17" i="1" s="1"/>
  <c r="Y20" i="1"/>
  <c r="AB20" i="1" s="1"/>
  <c r="Y37" i="1"/>
  <c r="Y41" i="1"/>
  <c r="AD43" i="1"/>
  <c r="Y45" i="1"/>
  <c r="AC45" i="1" s="1"/>
  <c r="AA48" i="1"/>
  <c r="Z49" i="1"/>
  <c r="AA50" i="1"/>
  <c r="Z51" i="1"/>
  <c r="AA52" i="1"/>
  <c r="Z53" i="1"/>
  <c r="AA54" i="1"/>
  <c r="Z55" i="1"/>
  <c r="AA56" i="1"/>
  <c r="AD61" i="1"/>
  <c r="AC65" i="1"/>
  <c r="AD65" i="1"/>
  <c r="Y67" i="1"/>
  <c r="AA16" i="1"/>
  <c r="AD16" i="1" s="1"/>
  <c r="Y35" i="1"/>
  <c r="Y36" i="1"/>
  <c r="AD38" i="1"/>
  <c r="Y40" i="1"/>
  <c r="AC40" i="1" s="1"/>
  <c r="AD42" i="1"/>
  <c r="Y44" i="1"/>
  <c r="AD60" i="1"/>
  <c r="Y46" i="1"/>
  <c r="Y47" i="1"/>
  <c r="Y48" i="1"/>
  <c r="Y49" i="1"/>
  <c r="AB49" i="1" s="1"/>
  <c r="Y50" i="1"/>
  <c r="AB50" i="1" s="1"/>
  <c r="Y51" i="1"/>
  <c r="AB51" i="1" s="1"/>
  <c r="Y52" i="1"/>
  <c r="AB52" i="1" s="1"/>
  <c r="Y53" i="1"/>
  <c r="AB53" i="1" s="1"/>
  <c r="Y54" i="1"/>
  <c r="AB54" i="1" s="1"/>
  <c r="Y55" i="1"/>
  <c r="AB55" i="1" s="1"/>
  <c r="Y56" i="1"/>
  <c r="AB56" i="1" s="1"/>
  <c r="AD58" i="1"/>
  <c r="AC61" i="1"/>
  <c r="AD63" i="1"/>
  <c r="AC64" i="1"/>
  <c r="AD64" i="1"/>
  <c r="Y66" i="1"/>
  <c r="AC35" i="1"/>
  <c r="AC58" i="1"/>
  <c r="AC16" i="1"/>
  <c r="AB39" i="1"/>
  <c r="AB59" i="1"/>
  <c r="AH61" i="1"/>
  <c r="AI61" i="1" s="1"/>
  <c r="AC67" i="1"/>
  <c r="AB17" i="1"/>
  <c r="AD18" i="1"/>
  <c r="AD20" i="1"/>
  <c r="AC23" i="1"/>
  <c r="AD24" i="1"/>
  <c r="AD26" i="1"/>
  <c r="AD28" i="1"/>
  <c r="AC31" i="1"/>
  <c r="AC33" i="1"/>
  <c r="AC46" i="1"/>
  <c r="AB21" i="1"/>
  <c r="AB25" i="1"/>
  <c r="AB27" i="1"/>
  <c r="AB30" i="1"/>
  <c r="AB33" i="1"/>
  <c r="AD49" i="1"/>
  <c r="AD51" i="1"/>
  <c r="AC54" i="1"/>
  <c r="AC56" i="1"/>
  <c r="AC59" i="1"/>
  <c r="AB62" i="1"/>
  <c r="AC57" i="1"/>
  <c r="AC62" i="1"/>
  <c r="AB43" i="1" l="1"/>
  <c r="AB26" i="1"/>
  <c r="AH64" i="1"/>
  <c r="AB48" i="1"/>
  <c r="AC63" i="1"/>
  <c r="AH22" i="1"/>
  <c r="AI22" i="1" s="1"/>
  <c r="AH58" i="1"/>
  <c r="AI58" i="1" s="1"/>
  <c r="AH33" i="1"/>
  <c r="AK33" i="1" s="1"/>
  <c r="AH27" i="1"/>
  <c r="AK27" i="1" s="1"/>
  <c r="AH21" i="1"/>
  <c r="AK21" i="1" s="1"/>
  <c r="AH57" i="1"/>
  <c r="AI57" i="1" s="1"/>
  <c r="AK58" i="1"/>
  <c r="AB47" i="1"/>
  <c r="AD47" i="1"/>
  <c r="AB35" i="1"/>
  <c r="AD35" i="1"/>
  <c r="AK61" i="1"/>
  <c r="AC55" i="1"/>
  <c r="AC53" i="1"/>
  <c r="AC51" i="1"/>
  <c r="AC49" i="1"/>
  <c r="AC47" i="1"/>
  <c r="AB37" i="1"/>
  <c r="AD37" i="1"/>
  <c r="AC37" i="1"/>
  <c r="AH63" i="1"/>
  <c r="AK63" i="1" s="1"/>
  <c r="AD55" i="1"/>
  <c r="AC52" i="1"/>
  <c r="AC48" i="1"/>
  <c r="AH38" i="1"/>
  <c r="AJ38" i="1" s="1"/>
  <c r="AH32" i="1"/>
  <c r="AJ32" i="1" s="1"/>
  <c r="AH29" i="1"/>
  <c r="AK29" i="1" s="1"/>
  <c r="AH26" i="1"/>
  <c r="AJ26" i="1" s="1"/>
  <c r="AH23" i="1"/>
  <c r="AK23" i="1" s="1"/>
  <c r="AC17" i="1"/>
  <c r="AH60" i="1"/>
  <c r="AC20" i="1"/>
  <c r="AH20" i="1" s="1"/>
  <c r="AK20" i="1" s="1"/>
  <c r="AH62" i="1"/>
  <c r="AK62" i="1" s="1"/>
  <c r="AH30" i="1"/>
  <c r="AJ30" i="1" s="1"/>
  <c r="AH25" i="1"/>
  <c r="AK25" i="1" s="1"/>
  <c r="AJ33" i="1"/>
  <c r="AH59" i="1"/>
  <c r="AK59" i="1" s="1"/>
  <c r="AH39" i="1"/>
  <c r="AJ58" i="1"/>
  <c r="AL58" i="1" s="1"/>
  <c r="AB66" i="1"/>
  <c r="AD66" i="1"/>
  <c r="AJ61" i="1"/>
  <c r="AL61" i="1" s="1"/>
  <c r="AB46" i="1"/>
  <c r="AD46" i="1"/>
  <c r="AB44" i="1"/>
  <c r="AD44" i="1"/>
  <c r="AB40" i="1"/>
  <c r="AD40" i="1"/>
  <c r="AB36" i="1"/>
  <c r="AD36" i="1"/>
  <c r="AC44" i="1"/>
  <c r="AC36" i="1"/>
  <c r="AB67" i="1"/>
  <c r="AD67" i="1"/>
  <c r="AD56" i="1"/>
  <c r="AD54" i="1"/>
  <c r="AH54" i="1" s="1"/>
  <c r="AD52" i="1"/>
  <c r="AD50" i="1"/>
  <c r="AD48" i="1"/>
  <c r="AB45" i="1"/>
  <c r="AD45" i="1"/>
  <c r="AB41" i="1"/>
  <c r="AD41" i="1"/>
  <c r="AC41" i="1"/>
  <c r="AC66" i="1"/>
  <c r="AK57" i="1"/>
  <c r="AD53" i="1"/>
  <c r="AC50" i="1"/>
  <c r="AH42" i="1"/>
  <c r="AJ42" i="1" s="1"/>
  <c r="AH34" i="1"/>
  <c r="AJ34" i="1" s="1"/>
  <c r="AH31" i="1"/>
  <c r="AK31" i="1" s="1"/>
  <c r="AH28" i="1"/>
  <c r="AJ28" i="1" s="1"/>
  <c r="AH24" i="1"/>
  <c r="AJ24" i="1" s="1"/>
  <c r="AH18" i="1"/>
  <c r="AJ18" i="1" s="1"/>
  <c r="AK30" i="1"/>
  <c r="AJ27" i="1"/>
  <c r="AK22" i="1"/>
  <c r="AC19" i="1"/>
  <c r="AB16" i="1"/>
  <c r="AH65" i="1"/>
  <c r="AI65" i="1" s="1"/>
  <c r="AH43" i="1"/>
  <c r="AJ43" i="1" s="1"/>
  <c r="AJ22" i="1"/>
  <c r="AD19" i="1"/>
  <c r="AJ21" i="1" l="1"/>
  <c r="AI64" i="1"/>
  <c r="AK64" i="1"/>
  <c r="AJ64" i="1"/>
  <c r="AL64" i="1" s="1"/>
  <c r="AH17" i="1"/>
  <c r="AJ29" i="1"/>
  <c r="AI42" i="1"/>
  <c r="AL22" i="1"/>
  <c r="AH19" i="1"/>
  <c r="AI19" i="1" s="1"/>
  <c r="AI59" i="1"/>
  <c r="AI62" i="1"/>
  <c r="AI38" i="1"/>
  <c r="AJ54" i="1"/>
  <c r="AI54" i="1"/>
  <c r="AI16" i="1"/>
  <c r="AH48" i="1"/>
  <c r="AI48" i="1" s="1"/>
  <c r="AH50" i="1"/>
  <c r="AI50" i="1" s="1"/>
  <c r="AH52" i="1"/>
  <c r="AI52" i="1" s="1"/>
  <c r="AH56" i="1"/>
  <c r="AK39" i="1"/>
  <c r="AJ39" i="1"/>
  <c r="AK24" i="1"/>
  <c r="AJ59" i="1"/>
  <c r="AJ62" i="1"/>
  <c r="AI60" i="1"/>
  <c r="AJ60" i="1"/>
  <c r="AH37" i="1"/>
  <c r="AJ37" i="1" s="1"/>
  <c r="AK65" i="1"/>
  <c r="AK38" i="1"/>
  <c r="AL38" i="1" s="1"/>
  <c r="AK60" i="1"/>
  <c r="AH47" i="1"/>
  <c r="AI47" i="1" s="1"/>
  <c r="AJ23" i="1"/>
  <c r="AJ31" i="1"/>
  <c r="AI21" i="1"/>
  <c r="AL21" i="1" s="1"/>
  <c r="AI27" i="1"/>
  <c r="AL27" i="1" s="1"/>
  <c r="AI33" i="1"/>
  <c r="AL33" i="1" s="1"/>
  <c r="AI43" i="1"/>
  <c r="AJ19" i="1"/>
  <c r="AK34" i="1"/>
  <c r="AI18" i="1"/>
  <c r="AI24" i="1"/>
  <c r="AL24" i="1" s="1"/>
  <c r="AI28" i="1"/>
  <c r="AI31" i="1"/>
  <c r="AL31" i="1" s="1"/>
  <c r="AI34" i="1"/>
  <c r="AI20" i="1"/>
  <c r="AH41" i="1"/>
  <c r="AK41" i="1" s="1"/>
  <c r="AH45" i="1"/>
  <c r="AJ45" i="1" s="1"/>
  <c r="AK50" i="1"/>
  <c r="AK54" i="1"/>
  <c r="AJ65" i="1"/>
  <c r="AH67" i="1"/>
  <c r="AJ67" i="1" s="1"/>
  <c r="AH36" i="1"/>
  <c r="AJ36" i="1" s="1"/>
  <c r="AH40" i="1"/>
  <c r="AJ40" i="1" s="1"/>
  <c r="AH44" i="1"/>
  <c r="AK44" i="1" s="1"/>
  <c r="AH46" i="1"/>
  <c r="AJ46" i="1" s="1"/>
  <c r="AH66" i="1"/>
  <c r="AK66" i="1" s="1"/>
  <c r="AI39" i="1"/>
  <c r="AL39" i="1" s="1"/>
  <c r="AK28" i="1"/>
  <c r="AI25" i="1"/>
  <c r="AI30" i="1"/>
  <c r="AL30" i="1" s="1"/>
  <c r="AJ20" i="1"/>
  <c r="AJ25" i="1"/>
  <c r="AK32" i="1"/>
  <c r="AI23" i="1"/>
  <c r="AL23" i="1" s="1"/>
  <c r="AI26" i="1"/>
  <c r="AI29" i="1"/>
  <c r="AL29" i="1" s="1"/>
  <c r="AI32" i="1"/>
  <c r="AL32" i="1" s="1"/>
  <c r="AJ52" i="1"/>
  <c r="AI63" i="1"/>
  <c r="AJ63" i="1"/>
  <c r="AK37" i="1"/>
  <c r="AK43" i="1"/>
  <c r="AH35" i="1"/>
  <c r="AJ35" i="1" s="1"/>
  <c r="AK42" i="1"/>
  <c r="AL42" i="1" s="1"/>
  <c r="AK47" i="1"/>
  <c r="AH49" i="1"/>
  <c r="AH51" i="1"/>
  <c r="AH53" i="1"/>
  <c r="AI53" i="1" s="1"/>
  <c r="AH55" i="1"/>
  <c r="AI55" i="1" s="1"/>
  <c r="AK18" i="1"/>
  <c r="AK26" i="1"/>
  <c r="AJ57" i="1"/>
  <c r="AL57" i="1" s="1"/>
  <c r="AL59" i="1" l="1"/>
  <c r="AJ48" i="1"/>
  <c r="AK19" i="1"/>
  <c r="AL19" i="1" s="1"/>
  <c r="AI17" i="1"/>
  <c r="AK17" i="1"/>
  <c r="AJ17" i="1"/>
  <c r="AL62" i="1"/>
  <c r="AI35" i="1"/>
  <c r="AL63" i="1"/>
  <c r="AI66" i="1"/>
  <c r="AL65" i="1"/>
  <c r="AL34" i="1"/>
  <c r="AI44" i="1"/>
  <c r="AI40" i="1"/>
  <c r="AI36" i="1"/>
  <c r="AJ44" i="1"/>
  <c r="AI41" i="1"/>
  <c r="AI49" i="1"/>
  <c r="AK49" i="1"/>
  <c r="AJ49" i="1"/>
  <c r="AL26" i="1"/>
  <c r="AL20" i="1"/>
  <c r="AJ66" i="1"/>
  <c r="AL28" i="1"/>
  <c r="AL18" i="1"/>
  <c r="AL43" i="1"/>
  <c r="AK35" i="1"/>
  <c r="AJ55" i="1"/>
  <c r="AJ47" i="1"/>
  <c r="AL47" i="1" s="1"/>
  <c r="AK55" i="1"/>
  <c r="AL60" i="1"/>
  <c r="AK36" i="1"/>
  <c r="AK67" i="1"/>
  <c r="AK52" i="1"/>
  <c r="AL52" i="1" s="1"/>
  <c r="AK45" i="1"/>
  <c r="AJ50" i="1"/>
  <c r="AJ16" i="1"/>
  <c r="AK16" i="1"/>
  <c r="AK51" i="1"/>
  <c r="AI51" i="1"/>
  <c r="AJ53" i="1"/>
  <c r="AL25" i="1"/>
  <c r="AI46" i="1"/>
  <c r="AI67" i="1"/>
  <c r="AI45" i="1"/>
  <c r="AJ41" i="1"/>
  <c r="AL41" i="1" s="1"/>
  <c r="AK53" i="1"/>
  <c r="AJ51" i="1"/>
  <c r="AI37" i="1"/>
  <c r="AL37" i="1" s="1"/>
  <c r="AI56" i="1"/>
  <c r="AJ56" i="1"/>
  <c r="AL50" i="1"/>
  <c r="AK46" i="1"/>
  <c r="AK40" i="1"/>
  <c r="AL40" i="1" s="1"/>
  <c r="AK56" i="1"/>
  <c r="AK48" i="1"/>
  <c r="AL48" i="1" s="1"/>
  <c r="AL54" i="1"/>
  <c r="AL35" i="1" l="1"/>
  <c r="AL66" i="1"/>
  <c r="AL67" i="1"/>
  <c r="AL17" i="1"/>
  <c r="AL55" i="1"/>
  <c r="AL36" i="1"/>
  <c r="AL16" i="1"/>
  <c r="AL44" i="1"/>
  <c r="AL45" i="1"/>
  <c r="AL53" i="1"/>
  <c r="AL56" i="1"/>
  <c r="AL51" i="1"/>
  <c r="AL46" i="1"/>
  <c r="AL49" i="1"/>
</calcChain>
</file>

<file path=xl/sharedStrings.xml><?xml version="1.0" encoding="utf-8"?>
<sst xmlns="http://schemas.openxmlformats.org/spreadsheetml/2006/main" count="84" uniqueCount="82">
  <si>
    <t>VLE Calculation - NRTL</t>
  </si>
  <si>
    <t>Nomenclature</t>
  </si>
  <si>
    <t>Uses the NRTL activity model to calculate ternary VLE data.</t>
  </si>
  <si>
    <t>T</t>
  </si>
  <si>
    <t>Temperature of the system in °C</t>
  </si>
  <si>
    <t>Components</t>
  </si>
  <si>
    <t>Antoine Constants</t>
  </si>
  <si>
    <t>Liquid mole fraction of component i</t>
  </si>
  <si>
    <t>Partial pressure of component i in mmHg</t>
  </si>
  <si>
    <t>Comp</t>
  </si>
  <si>
    <t>CAS No.</t>
  </si>
  <si>
    <t>Name</t>
  </si>
  <si>
    <t>A</t>
  </si>
  <si>
    <t>B</t>
  </si>
  <si>
    <t>C</t>
  </si>
  <si>
    <t>Tmin</t>
  </si>
  <si>
    <t>Tmax</t>
  </si>
  <si>
    <t>P</t>
  </si>
  <si>
    <t>Pressure of the system in mmHg</t>
  </si>
  <si>
    <t>Vapour pressure of component i in mmHg</t>
  </si>
  <si>
    <t>Vapour mole fraction of component i</t>
  </si>
  <si>
    <t>Activity coefficient of component i</t>
  </si>
  <si>
    <t>NRTL Parameters</t>
  </si>
  <si>
    <t>Calculate VLE</t>
  </si>
  <si>
    <t>P =</t>
  </si>
  <si>
    <t>T /°C</t>
  </si>
  <si>
    <t>T /K</t>
  </si>
  <si>
    <t>R =</t>
  </si>
  <si>
    <t>kPa</t>
  </si>
  <si>
    <r>
      <t>x</t>
    </r>
    <r>
      <rPr>
        <vertAlign val="subscript"/>
        <sz val="11"/>
        <color rgb="FF000000"/>
        <rFont val="Calibri"/>
        <family val="2"/>
      </rPr>
      <t>i</t>
    </r>
  </si>
  <si>
    <r>
      <t>P</t>
    </r>
    <r>
      <rPr>
        <vertAlign val="subscript"/>
        <sz val="11"/>
        <color rgb="FF000000"/>
        <rFont val="Calibri"/>
        <family val="2"/>
      </rPr>
      <t>i</t>
    </r>
  </si>
  <si>
    <r>
      <t>P</t>
    </r>
    <r>
      <rPr>
        <vertAlign val="subscript"/>
        <sz val="11"/>
        <color rgb="FF000000"/>
        <rFont val="Calibri"/>
        <family val="2"/>
      </rPr>
      <t>i</t>
    </r>
    <r>
      <rPr>
        <sz val="11"/>
        <color rgb="FF000000"/>
        <rFont val="Calibri"/>
        <family val="2"/>
      </rPr>
      <t>⁰</t>
    </r>
  </si>
  <si>
    <r>
      <t>y</t>
    </r>
    <r>
      <rPr>
        <vertAlign val="subscript"/>
        <sz val="11"/>
        <color rgb="FF000000"/>
        <rFont val="Calibri"/>
        <family val="2"/>
      </rPr>
      <t>i</t>
    </r>
  </si>
  <si>
    <r>
      <rPr>
        <sz val="11"/>
        <color rgb="FF000000"/>
        <rFont val="Times New Roman"/>
        <family val="1"/>
      </rPr>
      <t>γ</t>
    </r>
    <r>
      <rPr>
        <vertAlign val="subscript"/>
        <sz val="11"/>
        <color rgb="FF000000"/>
        <rFont val="Calibri"/>
        <family val="2"/>
      </rPr>
      <t>i</t>
    </r>
  </si>
  <si>
    <r>
      <t>g</t>
    </r>
    <r>
      <rPr>
        <vertAlign val="subscript"/>
        <sz val="11"/>
        <color rgb="FF000000"/>
        <rFont val="Calibri"/>
        <family val="2"/>
      </rPr>
      <t>12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22</t>
    </r>
    <r>
      <rPr>
        <sz val="11"/>
        <color rgb="FF000000"/>
        <rFont val="Calibri"/>
        <family val="2"/>
      </rPr>
      <t xml:space="preserve"> =</t>
    </r>
  </si>
  <si>
    <r>
      <t>x</t>
    </r>
    <r>
      <rPr>
        <vertAlign val="subscript"/>
        <sz val="11"/>
        <color rgb="FF000000"/>
        <rFont val="Calibri"/>
        <family val="2"/>
      </rPr>
      <t>1</t>
    </r>
  </si>
  <si>
    <r>
      <t>x</t>
    </r>
    <r>
      <rPr>
        <vertAlign val="subscript"/>
        <sz val="11"/>
        <color rgb="FF000000"/>
        <rFont val="Calibri"/>
        <family val="2"/>
      </rPr>
      <t>2</t>
    </r>
  </si>
  <si>
    <r>
      <t>x</t>
    </r>
    <r>
      <rPr>
        <vertAlign val="subscript"/>
        <sz val="11"/>
        <color rgb="FF000000"/>
        <rFont val="Calibri"/>
        <family val="2"/>
      </rPr>
      <t>3</t>
    </r>
  </si>
  <si>
    <r>
      <t>τ</t>
    </r>
    <r>
      <rPr>
        <vertAlign val="subscript"/>
        <sz val="11"/>
        <color rgb="FF000000"/>
        <rFont val="Calibri"/>
        <family val="2"/>
      </rPr>
      <t>12</t>
    </r>
  </si>
  <si>
    <r>
      <t>τ</t>
    </r>
    <r>
      <rPr>
        <vertAlign val="subscript"/>
        <sz val="11"/>
        <color rgb="FF000000"/>
        <rFont val="Calibri"/>
        <family val="2"/>
      </rPr>
      <t>21</t>
    </r>
  </si>
  <si>
    <r>
      <t>τ</t>
    </r>
    <r>
      <rPr>
        <vertAlign val="subscript"/>
        <sz val="11"/>
        <color rgb="FF000000"/>
        <rFont val="Calibri"/>
        <family val="2"/>
      </rPr>
      <t>13</t>
    </r>
  </si>
  <si>
    <r>
      <t>τ</t>
    </r>
    <r>
      <rPr>
        <vertAlign val="subscript"/>
        <sz val="11"/>
        <color rgb="FF000000"/>
        <rFont val="Calibri"/>
        <family val="2"/>
      </rPr>
      <t>31</t>
    </r>
  </si>
  <si>
    <r>
      <t>τ</t>
    </r>
    <r>
      <rPr>
        <vertAlign val="subscript"/>
        <sz val="11"/>
        <color rgb="FF000000"/>
        <rFont val="Calibri"/>
        <family val="2"/>
      </rPr>
      <t>23</t>
    </r>
  </si>
  <si>
    <r>
      <t>τ</t>
    </r>
    <r>
      <rPr>
        <vertAlign val="subscript"/>
        <sz val="11"/>
        <color rgb="FF000000"/>
        <rFont val="Calibri"/>
        <family val="2"/>
      </rPr>
      <t>32</t>
    </r>
  </si>
  <si>
    <r>
      <t>G</t>
    </r>
    <r>
      <rPr>
        <vertAlign val="subscript"/>
        <sz val="11"/>
        <color rgb="FF000000"/>
        <rFont val="Calibri"/>
        <family val="2"/>
      </rPr>
      <t>12</t>
    </r>
  </si>
  <si>
    <r>
      <t>G</t>
    </r>
    <r>
      <rPr>
        <vertAlign val="subscript"/>
        <sz val="11"/>
        <color rgb="FF000000"/>
        <rFont val="Calibri"/>
        <family val="2"/>
      </rPr>
      <t>21</t>
    </r>
  </si>
  <si>
    <r>
      <t>G</t>
    </r>
    <r>
      <rPr>
        <vertAlign val="subscript"/>
        <sz val="11"/>
        <color rgb="FF000000"/>
        <rFont val="Calibri"/>
        <family val="2"/>
      </rPr>
      <t>13</t>
    </r>
  </si>
  <si>
    <r>
      <t>G</t>
    </r>
    <r>
      <rPr>
        <vertAlign val="subscript"/>
        <sz val="11"/>
        <color rgb="FF000000"/>
        <rFont val="Calibri"/>
        <family val="2"/>
      </rPr>
      <t>31</t>
    </r>
  </si>
  <si>
    <r>
      <t>G</t>
    </r>
    <r>
      <rPr>
        <vertAlign val="subscript"/>
        <sz val="11"/>
        <color rgb="FF000000"/>
        <rFont val="Calibri"/>
        <family val="2"/>
      </rPr>
      <t>23</t>
    </r>
  </si>
  <si>
    <r>
      <t>G</t>
    </r>
    <r>
      <rPr>
        <vertAlign val="subscript"/>
        <sz val="11"/>
        <color rgb="FF000000"/>
        <rFont val="Calibri"/>
        <family val="2"/>
      </rPr>
      <t>32</t>
    </r>
  </si>
  <si>
    <r>
      <t>φ</t>
    </r>
    <r>
      <rPr>
        <vertAlign val="subscript"/>
        <sz val="11"/>
        <color rgb="FF000000"/>
        <rFont val="Calibri"/>
        <family val="2"/>
      </rPr>
      <t>1</t>
    </r>
  </si>
  <si>
    <r>
      <t>φ</t>
    </r>
    <r>
      <rPr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</si>
  <si>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φ</t>
    </r>
    <r>
      <rPr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</si>
  <si>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vertAlign val="subscript"/>
        <sz val="11"/>
        <color rgb="FF000000"/>
        <rFont val="Calibri"/>
        <family val="2"/>
      </rPr>
      <t>1</t>
    </r>
  </si>
  <si>
    <r>
      <t>θ</t>
    </r>
    <r>
      <rPr>
        <vertAlign val="subscript"/>
        <sz val="11"/>
        <color rgb="FF000000"/>
        <rFont val="Calibri"/>
        <family val="2"/>
      </rPr>
      <t>2</t>
    </r>
    <r>
      <rPr>
        <sz val="11"/>
        <color theme="1"/>
        <rFont val="Calibri"/>
        <family val="2"/>
        <scheme val="minor"/>
      </rPr>
      <t/>
    </r>
  </si>
  <si>
    <r>
      <t>θ</t>
    </r>
    <r>
      <rPr>
        <vertAlign val="subscript"/>
        <sz val="11"/>
        <color rgb="FF000000"/>
        <rFont val="Calibri"/>
        <family val="2"/>
      </rPr>
      <t>3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</si>
  <si>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000000"/>
        <rFont val="Times New Roman"/>
        <family val="1"/>
      </rPr>
      <t>γ</t>
    </r>
    <r>
      <rPr>
        <vertAlign val="subscript"/>
        <sz val="11"/>
        <color rgb="FF000000"/>
        <rFont val="Calibri"/>
        <family val="2"/>
      </rPr>
      <t>1</t>
    </r>
  </si>
  <si>
    <r>
      <rPr>
        <sz val="11"/>
        <color rgb="FF000000"/>
        <rFont val="Times New Roman"/>
        <family val="1"/>
      </rPr>
      <t>γ</t>
    </r>
    <r>
      <rPr>
        <vertAlign val="subscript"/>
        <sz val="11"/>
        <color rgb="FF000000"/>
        <rFont val="Calibri"/>
        <family val="2"/>
      </rPr>
      <t>2</t>
    </r>
  </si>
  <si>
    <r>
      <rPr>
        <sz val="11"/>
        <color rgb="FF000000"/>
        <rFont val="Times New Roman"/>
        <family val="1"/>
      </rPr>
      <t>γ</t>
    </r>
    <r>
      <rPr>
        <vertAlign val="subscript"/>
        <sz val="11"/>
        <color rgb="FF000000"/>
        <rFont val="Calibri"/>
        <family val="2"/>
      </rPr>
      <t>3</t>
    </r>
  </si>
  <si>
    <r>
      <t>y</t>
    </r>
    <r>
      <rPr>
        <vertAlign val="subscript"/>
        <sz val="11"/>
        <color rgb="FF000000"/>
        <rFont val="Calibri"/>
        <family val="2"/>
      </rPr>
      <t>1</t>
    </r>
  </si>
  <si>
    <r>
      <t>y</t>
    </r>
    <r>
      <rPr>
        <vertAlign val="subscript"/>
        <sz val="11"/>
        <color rgb="FF000000"/>
        <rFont val="Calibri"/>
        <family val="2"/>
      </rPr>
      <t>2</t>
    </r>
  </si>
  <si>
    <r>
      <t>y</t>
    </r>
    <r>
      <rPr>
        <vertAlign val="subscript"/>
        <sz val="11"/>
        <color rgb="FF000000"/>
        <rFont val="Calibri"/>
        <family val="2"/>
      </rPr>
      <t>3</t>
    </r>
  </si>
  <si>
    <r>
      <t>Σy</t>
    </r>
    <r>
      <rPr>
        <vertAlign val="subscript"/>
        <sz val="11"/>
        <color rgb="FF000000"/>
        <rFont val="Calibri"/>
        <family val="2"/>
      </rPr>
      <t>i</t>
    </r>
  </si>
  <si>
    <r>
      <t>g</t>
    </r>
    <r>
      <rPr>
        <vertAlign val="subscript"/>
        <sz val="11"/>
        <color rgb="FF000000"/>
        <rFont val="Calibri"/>
        <family val="2"/>
      </rPr>
      <t>21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11</t>
    </r>
    <r>
      <rPr>
        <sz val="11"/>
        <color rgb="FF000000"/>
        <rFont val="Calibri"/>
        <family val="2"/>
      </rPr>
      <t xml:space="preserve"> =</t>
    </r>
  </si>
  <si>
    <r>
      <t>g</t>
    </r>
    <r>
      <rPr>
        <vertAlign val="subscript"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33</t>
    </r>
    <r>
      <rPr>
        <sz val="11"/>
        <color rgb="FF000000"/>
        <rFont val="Calibri"/>
        <family val="2"/>
      </rPr>
      <t xml:space="preserve"> =</t>
    </r>
  </si>
  <si>
    <r>
      <t>g</t>
    </r>
    <r>
      <rPr>
        <vertAlign val="subscript"/>
        <sz val="11"/>
        <color rgb="FF000000"/>
        <rFont val="Calibri"/>
        <family val="2"/>
      </rPr>
      <t>31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11</t>
    </r>
    <r>
      <rPr>
        <sz val="11"/>
        <color rgb="FF000000"/>
        <rFont val="Calibri"/>
        <family val="2"/>
      </rPr>
      <t xml:space="preserve"> =</t>
    </r>
  </si>
  <si>
    <r>
      <t>g</t>
    </r>
    <r>
      <rPr>
        <vertAlign val="subscript"/>
        <sz val="11"/>
        <color rgb="FF000000"/>
        <rFont val="Calibri"/>
        <family val="2"/>
      </rPr>
      <t>23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33</t>
    </r>
    <r>
      <rPr>
        <sz val="11"/>
        <color rgb="FF000000"/>
        <rFont val="Calibri"/>
        <family val="2"/>
      </rPr>
      <t xml:space="preserve"> =</t>
    </r>
  </si>
  <si>
    <r>
      <t>g</t>
    </r>
    <r>
      <rPr>
        <vertAlign val="subscript"/>
        <sz val="11"/>
        <color rgb="FF000000"/>
        <rFont val="Calibri"/>
        <family val="2"/>
      </rPr>
      <t>32</t>
    </r>
    <r>
      <rPr>
        <sz val="11"/>
        <color rgb="FF000000"/>
        <rFont val="Calibri"/>
        <family val="2"/>
      </rPr>
      <t xml:space="preserve"> − g</t>
    </r>
    <r>
      <rPr>
        <vertAlign val="subscript"/>
        <sz val="11"/>
        <color rgb="FF000000"/>
        <rFont val="Calibri"/>
        <family val="2"/>
      </rPr>
      <t>22</t>
    </r>
    <r>
      <rPr>
        <sz val="11"/>
        <color rgb="FF000000"/>
        <rFont val="Calibri"/>
        <family val="2"/>
      </rPr>
      <t xml:space="preserve"> =</t>
    </r>
  </si>
  <si>
    <r>
      <t>α</t>
    </r>
    <r>
      <rPr>
        <vertAlign val="subscript"/>
        <sz val="11"/>
        <color rgb="FF000000"/>
        <rFont val="Calibri"/>
        <family val="2"/>
      </rPr>
      <t>12</t>
    </r>
    <r>
      <rPr>
        <sz val="11"/>
        <color rgb="FF000000"/>
        <rFont val="Calibri"/>
        <family val="2"/>
      </rPr>
      <t xml:space="preserve"> = α</t>
    </r>
    <r>
      <rPr>
        <vertAlign val="subscript"/>
        <sz val="11"/>
        <color rgb="FF000000"/>
        <rFont val="Calibri"/>
        <family val="2"/>
      </rPr>
      <t>21</t>
    </r>
    <r>
      <rPr>
        <sz val="11"/>
        <color rgb="FF000000"/>
        <rFont val="Calibri"/>
        <family val="2"/>
      </rPr>
      <t xml:space="preserve"> =</t>
    </r>
  </si>
  <si>
    <r>
      <t>α</t>
    </r>
    <r>
      <rPr>
        <vertAlign val="subscript"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 xml:space="preserve"> = α</t>
    </r>
    <r>
      <rPr>
        <vertAlign val="subscript"/>
        <sz val="11"/>
        <color rgb="FF000000"/>
        <rFont val="Calibri"/>
        <family val="2"/>
      </rPr>
      <t>31</t>
    </r>
    <r>
      <rPr>
        <sz val="11"/>
        <color rgb="FF000000"/>
        <rFont val="Calibri"/>
        <family val="2"/>
      </rPr>
      <t xml:space="preserve"> =</t>
    </r>
  </si>
  <si>
    <r>
      <t>α</t>
    </r>
    <r>
      <rPr>
        <vertAlign val="subscript"/>
        <sz val="11"/>
        <color rgb="FF000000"/>
        <rFont val="Calibri"/>
        <family val="2"/>
      </rPr>
      <t>23</t>
    </r>
    <r>
      <rPr>
        <sz val="11"/>
        <color rgb="FF000000"/>
        <rFont val="Calibri"/>
        <family val="2"/>
      </rPr>
      <t xml:space="preserve"> = α</t>
    </r>
    <r>
      <rPr>
        <vertAlign val="subscript"/>
        <sz val="11"/>
        <color rgb="FF000000"/>
        <rFont val="Calibri"/>
        <family val="2"/>
      </rPr>
      <t>32</t>
    </r>
    <r>
      <rPr>
        <sz val="11"/>
        <color rgb="FF000000"/>
        <rFont val="Calibri"/>
        <family val="2"/>
      </rPr>
      <t xml:space="preserve"> =</t>
    </r>
  </si>
  <si>
    <t>MTBE</t>
  </si>
  <si>
    <t>Metanol</t>
  </si>
  <si>
    <t>BMIM</t>
  </si>
  <si>
    <t>1–2</t>
  </si>
  <si>
    <t>1–3</t>
  </si>
  <si>
    <t>2–3</t>
  </si>
  <si>
    <r>
      <t>kJ mol</t>
    </r>
    <r>
      <rPr>
        <vertAlign val="superscript"/>
        <sz val="11"/>
        <color rgb="FF000000"/>
        <rFont val="Calibri"/>
        <family val="2"/>
      </rPr>
      <t>−1</t>
    </r>
    <r>
      <rPr>
        <sz val="11"/>
        <color rgb="FF000000"/>
        <rFont val="Calibri"/>
        <family val="2"/>
      </rPr>
      <t xml:space="preserve"> K</t>
    </r>
    <r>
      <rPr>
        <vertAlign val="superscript"/>
        <sz val="11"/>
        <color rgb="FF000000"/>
        <rFont val="Calibri"/>
        <family val="2"/>
      </rPr>
      <t>−1</t>
    </r>
  </si>
  <si>
    <r>
      <t>P</t>
    </r>
    <r>
      <rPr>
        <vertAlign val="subscript"/>
        <sz val="11"/>
        <color rgb="FF000000"/>
        <rFont val="Calibri"/>
        <family val="2"/>
      </rPr>
      <t>1</t>
    </r>
    <r>
      <rPr>
        <sz val="11"/>
        <color rgb="FF000000"/>
        <rFont val="Calibri"/>
        <family val="2"/>
      </rPr>
      <t xml:space="preserve"> </t>
    </r>
  </si>
  <si>
    <r>
      <t>P</t>
    </r>
    <r>
      <rPr>
        <vertAlign val="sub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 xml:space="preserve"> </t>
    </r>
  </si>
  <si>
    <r>
      <t>P</t>
    </r>
    <r>
      <rPr>
        <vertAlign val="sub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 xml:space="preserve"> </t>
    </r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</si>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</sst>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00"/>
    <numFmt numFmtId="167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sz val="11"/>
      <color rgb="FF000000"/>
      <name val="Times New Roman"/>
      <family val="1"/>
    </font>
    <font>
      <vertAlign val="superscript"/>
      <sz val="11"/>
      <color rgb="FF000000"/>
      <name val="Calibri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sz val="11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1" fillId="0" borderId="0"/>
  </cellStyleXfs>
  <cellXfs count="25">
    <xf numFmtId="0" fontId="0" fillId="0" borderId="0" xfId="0"/>
    <xf numFmtId="0" fontId="4" fillId="0" borderId="0" xfId="2" applyFont="1"/>
    <xf numFmtId="0" fontId="3" fillId="0" borderId="0" xfId="2"/>
    <xf numFmtId="0" fontId="3" fillId="0" borderId="0" xfId="2" applyFont="1"/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Alignment="1">
      <alignment horizontal="left"/>
    </xf>
    <xf numFmtId="0" fontId="3" fillId="0" borderId="0" xfId="2" applyFont="1" applyAlignment="1">
      <alignment horizontal="right"/>
    </xf>
    <xf numFmtId="2" fontId="3" fillId="0" borderId="0" xfId="2" applyNumberFormat="1" applyAlignment="1">
      <alignment horizontal="center"/>
    </xf>
    <xf numFmtId="164" fontId="3" fillId="0" borderId="0" xfId="2" applyNumberFormat="1"/>
    <xf numFmtId="0" fontId="3" fillId="0" borderId="0" xfId="2" applyAlignment="1">
      <alignment horizontal="center"/>
    </xf>
    <xf numFmtId="165" fontId="3" fillId="0" borderId="0" xfId="2" applyNumberFormat="1" applyAlignment="1">
      <alignment horizontal="center"/>
    </xf>
    <xf numFmtId="166" fontId="3" fillId="0" borderId="0" xfId="2" applyNumberFormat="1" applyAlignment="1">
      <alignment horizontal="center"/>
    </xf>
    <xf numFmtId="166" fontId="3" fillId="0" borderId="0" xfId="2" applyNumberFormat="1" applyBorder="1" applyAlignment="1">
      <alignment horizontal="center"/>
    </xf>
    <xf numFmtId="167" fontId="8" fillId="0" borderId="0" xfId="0" applyNumberFormat="1" applyFont="1" applyAlignment="1">
      <alignment horizontal="center"/>
    </xf>
    <xf numFmtId="165" fontId="10" fillId="0" borderId="1" xfId="0" applyNumberFormat="1" applyFont="1" applyBorder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5" fontId="10" fillId="0" borderId="2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3" fillId="0" borderId="0" xfId="2" applyAlignment="1">
      <alignment shrinkToFit="1"/>
    </xf>
    <xf numFmtId="0" fontId="3" fillId="0" borderId="0" xfId="2" applyFont="1" applyAlignment="1">
      <alignment horizontal="center" shrinkToFit="1"/>
    </xf>
    <xf numFmtId="2" fontId="3" fillId="0" borderId="0" xfId="2" applyNumberFormat="1" applyAlignment="1">
      <alignment horizontal="center" shrinkToFit="1"/>
    </xf>
    <xf numFmtId="0" fontId="3" fillId="0" borderId="0" xfId="2" applyAlignment="1">
      <alignment horizontal="center"/>
    </xf>
  </cellXfs>
  <cellStyles count="6">
    <cellStyle name="Normal 2" xfId="2"/>
    <cellStyle name="Normal 3" xfId="4"/>
    <cellStyle name="Normal 3 2" xfId="5"/>
    <cellStyle name="Normal_triangular" xfId="3"/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94295</xdr:colOff>
      <xdr:row>30</xdr:row>
      <xdr:rowOff>94631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799895" cy="5809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6"/>
  <sheetViews>
    <sheetView tabSelected="1" topLeftCell="B1" workbookViewId="0">
      <selection activeCell="B18" sqref="B18"/>
    </sheetView>
  </sheetViews>
  <sheetFormatPr defaultColWidth="8.85546875" defaultRowHeight="15" x14ac:dyDescent="0.25"/>
  <cols>
    <col min="1" max="1" width="10.28515625" style="2" customWidth="1"/>
    <col min="2" max="2" width="8.85546875" style="2" customWidth="1"/>
    <col min="3" max="3" width="10.140625" style="2" customWidth="1"/>
    <col min="4" max="4" width="10" style="2" customWidth="1"/>
    <col min="5" max="14" width="8.85546875" style="2" customWidth="1"/>
    <col min="15" max="15" width="9.5703125" style="2" bestFit="1" customWidth="1"/>
    <col min="16" max="30" width="8.85546875" style="2" customWidth="1"/>
    <col min="31" max="31" width="7.28515625" style="2" bestFit="1" customWidth="1"/>
    <col min="32" max="32" width="10.7109375" style="21" customWidth="1"/>
    <col min="33" max="50" width="8.85546875" style="2" customWidth="1"/>
    <col min="51" max="16384" width="8.85546875" style="2"/>
  </cols>
  <sheetData>
    <row r="1" spans="1:38" x14ac:dyDescent="0.25">
      <c r="A1" s="1" t="s">
        <v>0</v>
      </c>
      <c r="M1" s="1" t="s">
        <v>1</v>
      </c>
    </row>
    <row r="2" spans="1:38" x14ac:dyDescent="0.25">
      <c r="A2" s="3" t="s">
        <v>2</v>
      </c>
      <c r="D2" s="3"/>
    </row>
    <row r="3" spans="1:38" x14ac:dyDescent="0.25">
      <c r="M3" s="3" t="s">
        <v>3</v>
      </c>
      <c r="N3" s="3" t="s">
        <v>4</v>
      </c>
    </row>
    <row r="4" spans="1:38" ht="18" x14ac:dyDescent="0.35">
      <c r="B4" s="1" t="s">
        <v>5</v>
      </c>
      <c r="F4" s="1" t="s">
        <v>6</v>
      </c>
      <c r="M4" s="3" t="s">
        <v>29</v>
      </c>
      <c r="N4" s="3" t="s">
        <v>7</v>
      </c>
    </row>
    <row r="5" spans="1:38" ht="18" x14ac:dyDescent="0.35">
      <c r="M5" s="3" t="s">
        <v>30</v>
      </c>
      <c r="N5" s="3" t="s">
        <v>8</v>
      </c>
    </row>
    <row r="6" spans="1:38" x14ac:dyDescent="0.25">
      <c r="B6" s="3" t="s">
        <v>9</v>
      </c>
      <c r="C6" s="3" t="s">
        <v>10</v>
      </c>
      <c r="D6" s="3" t="s">
        <v>11</v>
      </c>
      <c r="F6" s="3" t="s">
        <v>9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M6" s="3" t="s">
        <v>17</v>
      </c>
      <c r="N6" s="3" t="s">
        <v>18</v>
      </c>
    </row>
    <row r="7" spans="1:38" ht="18" x14ac:dyDescent="0.35">
      <c r="B7" s="5">
        <v>1</v>
      </c>
      <c r="C7" s="5"/>
      <c r="D7" s="5" t="s">
        <v>71</v>
      </c>
      <c r="E7" s="5"/>
      <c r="F7" s="5">
        <v>1</v>
      </c>
      <c r="G7" s="4">
        <v>6.7359</v>
      </c>
      <c r="H7" s="4">
        <v>1032.99</v>
      </c>
      <c r="I7" s="4">
        <v>213.27</v>
      </c>
      <c r="J7" s="4">
        <v>-108.6</v>
      </c>
      <c r="K7" s="4">
        <v>55.5</v>
      </c>
      <c r="M7" s="3" t="s">
        <v>31</v>
      </c>
      <c r="N7" s="3" t="s">
        <v>19</v>
      </c>
    </row>
    <row r="8" spans="1:38" ht="18" x14ac:dyDescent="0.35">
      <c r="B8" s="5">
        <v>2</v>
      </c>
      <c r="C8" s="5"/>
      <c r="D8" s="5" t="s">
        <v>72</v>
      </c>
      <c r="E8" s="5"/>
      <c r="F8" s="5">
        <v>2</v>
      </c>
      <c r="G8" s="4">
        <v>7.8975</v>
      </c>
      <c r="H8" s="4">
        <v>1474.08</v>
      </c>
      <c r="I8" s="4">
        <v>229.27</v>
      </c>
      <c r="J8" s="4">
        <v>-97.6</v>
      </c>
      <c r="K8" s="4">
        <v>64.7</v>
      </c>
      <c r="M8" s="3" t="s">
        <v>32</v>
      </c>
      <c r="N8" s="3" t="s">
        <v>20</v>
      </c>
    </row>
    <row r="9" spans="1:38" ht="18" x14ac:dyDescent="0.35">
      <c r="B9" s="6">
        <v>3</v>
      </c>
      <c r="D9" s="2" t="s">
        <v>73</v>
      </c>
      <c r="F9" s="5">
        <v>3</v>
      </c>
      <c r="G9" s="4"/>
      <c r="H9" s="4"/>
      <c r="I9" s="4"/>
      <c r="J9" s="4"/>
      <c r="K9" s="4"/>
      <c r="M9" s="3" t="s">
        <v>33</v>
      </c>
      <c r="N9" s="3" t="s">
        <v>21</v>
      </c>
    </row>
    <row r="11" spans="1:38" x14ac:dyDescent="0.25">
      <c r="A11" s="3"/>
      <c r="M11" s="3"/>
      <c r="N11" s="3"/>
    </row>
    <row r="13" spans="1:38" x14ac:dyDescent="0.25">
      <c r="A13" s="1" t="s">
        <v>22</v>
      </c>
      <c r="D13" s="7"/>
      <c r="E13" s="1" t="s">
        <v>23</v>
      </c>
      <c r="F13" s="3"/>
      <c r="N13" s="7" t="s">
        <v>24</v>
      </c>
      <c r="O13" s="8">
        <v>101.325</v>
      </c>
      <c r="P13" s="3" t="s">
        <v>28</v>
      </c>
      <c r="U13" s="9"/>
    </row>
    <row r="14" spans="1:38" x14ac:dyDescent="0.25">
      <c r="AE14" s="24" t="s">
        <v>28</v>
      </c>
      <c r="AF14" s="24"/>
      <c r="AG14" s="24"/>
    </row>
    <row r="15" spans="1:38" ht="18" x14ac:dyDescent="0.35">
      <c r="A15" s="7" t="s">
        <v>34</v>
      </c>
      <c r="B15" s="8">
        <v>5.5736999999999997</v>
      </c>
      <c r="C15" s="3"/>
      <c r="E15" s="4" t="s">
        <v>25</v>
      </c>
      <c r="F15" s="4" t="s">
        <v>26</v>
      </c>
      <c r="G15" s="4" t="s">
        <v>35</v>
      </c>
      <c r="H15" s="4" t="s">
        <v>36</v>
      </c>
      <c r="I15" s="4" t="s">
        <v>37</v>
      </c>
      <c r="J15" s="4" t="s">
        <v>38</v>
      </c>
      <c r="K15" s="4" t="s">
        <v>39</v>
      </c>
      <c r="L15" s="4" t="s">
        <v>40</v>
      </c>
      <c r="M15" s="4" t="s">
        <v>41</v>
      </c>
      <c r="N15" s="4" t="s">
        <v>42</v>
      </c>
      <c r="O15" s="4" t="s">
        <v>43</v>
      </c>
      <c r="P15" s="4" t="s">
        <v>44</v>
      </c>
      <c r="Q15" s="4" t="s">
        <v>45</v>
      </c>
      <c r="R15" s="4" t="s">
        <v>46</v>
      </c>
      <c r="S15" s="4" t="s">
        <v>47</v>
      </c>
      <c r="T15" s="4" t="s">
        <v>48</v>
      </c>
      <c r="U15" s="4" t="s">
        <v>49</v>
      </c>
      <c r="V15" s="10" t="s">
        <v>50</v>
      </c>
      <c r="W15" s="10" t="s">
        <v>51</v>
      </c>
      <c r="X15" s="10" t="s">
        <v>52</v>
      </c>
      <c r="Y15" s="10" t="s">
        <v>53</v>
      </c>
      <c r="Z15" s="10" t="s">
        <v>54</v>
      </c>
      <c r="AA15" s="10" t="s">
        <v>55</v>
      </c>
      <c r="AB15" s="4" t="s">
        <v>56</v>
      </c>
      <c r="AC15" s="4" t="s">
        <v>57</v>
      </c>
      <c r="AD15" s="4" t="s">
        <v>58</v>
      </c>
      <c r="AE15" s="4" t="s">
        <v>78</v>
      </c>
      <c r="AF15" s="22" t="s">
        <v>79</v>
      </c>
      <c r="AG15" s="4" t="s">
        <v>80</v>
      </c>
      <c r="AH15" s="4" t="s">
        <v>81</v>
      </c>
      <c r="AI15" s="4" t="s">
        <v>59</v>
      </c>
      <c r="AJ15" s="4" t="s">
        <v>60</v>
      </c>
      <c r="AK15" s="4" t="s">
        <v>61</v>
      </c>
      <c r="AL15" s="4" t="s">
        <v>62</v>
      </c>
    </row>
    <row r="16" spans="1:38" ht="18" x14ac:dyDescent="0.35">
      <c r="A16" s="7" t="s">
        <v>63</v>
      </c>
      <c r="B16" s="8">
        <v>7.4991000000000003</v>
      </c>
      <c r="C16" s="3"/>
      <c r="E16" s="8">
        <v>55.5</v>
      </c>
      <c r="F16" s="8">
        <f>E16+273.15</f>
        <v>328.65</v>
      </c>
      <c r="G16" s="8">
        <v>0.1</v>
      </c>
      <c r="H16" s="8">
        <v>0</v>
      </c>
      <c r="I16" s="8">
        <f>1-G16-H16</f>
        <v>0.9</v>
      </c>
      <c r="J16" s="11">
        <f>B$15/(B$24*F16)</f>
        <v>2.0398579839870217</v>
      </c>
      <c r="K16" s="11">
        <f t="shared" ref="K16:K67" si="0">B$16/(B$24*F16)</f>
        <v>2.7445142378881306</v>
      </c>
      <c r="L16" s="11">
        <f>B$17/(B$24*F16)</f>
        <v>7.0521986179090224</v>
      </c>
      <c r="M16" s="11">
        <f>B$18/(B$24*F16)</f>
        <v>5.9332539670950348</v>
      </c>
      <c r="N16" s="11">
        <f>B$19/(B$24*F16)</f>
        <v>3.8960676308972921</v>
      </c>
      <c r="O16" s="11">
        <f>B$20/(B$24*F16)</f>
        <v>0.20611945683863334</v>
      </c>
      <c r="P16" s="11">
        <f>EXP(-B$21*J16)</f>
        <v>0.44222202961019264</v>
      </c>
      <c r="Q16" s="11">
        <f>EXP(-B$21*K16)</f>
        <v>0.33360230629896104</v>
      </c>
      <c r="R16" s="11">
        <f>EXP(-B$22*L16)</f>
        <v>5.9553545475366086E-2</v>
      </c>
      <c r="S16" s="11">
        <f>EXP(-B$22*M16)</f>
        <v>9.3172600474512673E-2</v>
      </c>
      <c r="T16" s="11">
        <f>EXP(-B$23*N16)</f>
        <v>0.2104668643301997</v>
      </c>
      <c r="U16" s="11">
        <f>EXP(-B$23*O16)</f>
        <v>0.92085952136663651</v>
      </c>
      <c r="V16" s="2">
        <f>G16+Q16*H16+S16*I16</f>
        <v>0.18385534042706142</v>
      </c>
      <c r="W16" s="2">
        <f>P16*G16+H16+U16*I16</f>
        <v>0.87299577219099223</v>
      </c>
      <c r="X16" s="2">
        <f>R16*G16+T16*H16+I16</f>
        <v>0.90595535454753662</v>
      </c>
      <c r="Y16" s="2">
        <f>H16*K16*Q16+I16*M16*S16</f>
        <v>0.49753503125096671</v>
      </c>
      <c r="Z16" s="2">
        <f>G16*J16*P16+I16*O16*U16</f>
        <v>0.26103337171142715</v>
      </c>
      <c r="AA16" s="2">
        <f>G16*L16*R16+H16*N16*T16</f>
        <v>4.1998343109295885E-2</v>
      </c>
      <c r="AB16" s="11">
        <f>EXP((Y16/V16)-(G16*Y16/V16^2)+(H16*P16*(J16-(Z16/W16))/W16)+(I16*R16*(L16-(AA16/X16))/X16))</f>
        <v>5.2003528054023667</v>
      </c>
      <c r="AC16" s="11">
        <f>EXP((Z16/W16)-(H16*Z16/W16^2)+(G16*Q16*(K16-(Y16/V16))/V16)+(I16*T16*(N16-(AA16/X16))/X16))</f>
        <v>3.0370451798594083</v>
      </c>
      <c r="AD16" s="11">
        <f>EXP((AA16/X16)-(I16*AA16/X16^2)+(G16*S16*(M16-(Y16/V16))/V16)+(H16*U16*(O16-(Z16/W16))/W16))</f>
        <v>1.1780334656715972</v>
      </c>
      <c r="AE16" s="8">
        <f>AB16*G16*10^(G$7-(H$7/(I$7+E16)))</f>
        <v>406.00848299125931</v>
      </c>
      <c r="AF16" s="23">
        <f>AC16*H16*10^(G$8-(H$8/(I$8+E16)))</f>
        <v>0</v>
      </c>
      <c r="AG16" s="8">
        <f>AD16*I16*10^(G$9-(H$9/(I$9+E16)))</f>
        <v>1.0602301191044374</v>
      </c>
      <c r="AH16" s="8">
        <f>SUM(AE16:AG16)</f>
        <v>407.06871311036377</v>
      </c>
      <c r="AI16" s="11">
        <f>AE16/AH16</f>
        <v>0.9973954517137823</v>
      </c>
      <c r="AJ16" s="11">
        <f>AF16/AH16</f>
        <v>0</v>
      </c>
      <c r="AK16" s="11">
        <f>AG16/AH16</f>
        <v>2.6045482862176875E-3</v>
      </c>
      <c r="AL16" s="11">
        <f>SUM(AI16:AK16)</f>
        <v>1</v>
      </c>
    </row>
    <row r="17" spans="1:38" ht="18" x14ac:dyDescent="0.35">
      <c r="A17" s="7" t="s">
        <v>64</v>
      </c>
      <c r="B17" s="8">
        <v>19.269400000000001</v>
      </c>
      <c r="C17" s="3"/>
      <c r="E17" s="8">
        <v>56.522222222222219</v>
      </c>
      <c r="F17" s="8">
        <f t="shared" ref="F17:F67" si="1">E17+273.15</f>
        <v>329.67222222222222</v>
      </c>
      <c r="G17" s="8">
        <v>0.1</v>
      </c>
      <c r="H17" s="8">
        <v>0.1</v>
      </c>
      <c r="I17" s="8">
        <f t="shared" ref="I17:I67" si="2">1-G17-H17</f>
        <v>0.8</v>
      </c>
      <c r="J17" s="11">
        <f t="shared" ref="J16:J67" si="3">B$15/(B$24*F17)</f>
        <v>2.0335329495411303</v>
      </c>
      <c r="K17" s="11">
        <f t="shared" si="0"/>
        <v>2.7360042596307466</v>
      </c>
      <c r="L17" s="11">
        <f t="shared" ref="L17:L67" si="4">B$17/(B$24*F17)</f>
        <v>7.0303317038749595</v>
      </c>
      <c r="M17" s="11">
        <f t="shared" ref="M17:M67" si="5">B$18/(B$24*F17)</f>
        <v>5.9148565904086707</v>
      </c>
      <c r="N17" s="11">
        <f t="shared" ref="N17:N67" si="6">B$19/(B$24*F17)</f>
        <v>3.8839870046172309</v>
      </c>
      <c r="O17" s="11">
        <f t="shared" ref="O17:O67" si="7">B$20/(B$24*F17)</f>
        <v>0.20548033751037278</v>
      </c>
      <c r="P17" s="11">
        <f t="shared" ref="P17:P67" si="8">EXP(-B$21*J17)</f>
        <v>0.44334227395746195</v>
      </c>
      <c r="Q17" s="11">
        <f t="shared" ref="Q17:Q67" si="9">EXP(-B$21*K17)</f>
        <v>0.33473982059425261</v>
      </c>
      <c r="R17" s="11">
        <f t="shared" ref="R17:R67" si="10">EXP(-B$22*L17)</f>
        <v>6.0076731134704846E-2</v>
      </c>
      <c r="S17" s="11">
        <f t="shared" ref="S17:S67" si="11">EXP(-B$22*M17)</f>
        <v>9.3860782087240316E-2</v>
      </c>
      <c r="T17" s="11">
        <f t="shared" ref="T17:T67" si="12">EXP(-B$23*N17)</f>
        <v>0.21148635417447317</v>
      </c>
      <c r="U17" s="11">
        <f t="shared" ref="U17:U67" si="13">EXP(-B$23*O17)</f>
        <v>0.92109496710842631</v>
      </c>
      <c r="V17" s="2">
        <f t="shared" ref="V17:V67" si="14">G17+Q17*H17+S17*I17</f>
        <v>0.20856260772921753</v>
      </c>
      <c r="W17" s="2">
        <f t="shared" ref="W17:W67" si="15">P17*G17+H17+U17*I17</f>
        <v>0.88121020108248727</v>
      </c>
      <c r="X17" s="2">
        <f t="shared" ref="X17:X67" si="16">R17*G17+T17*H17+I17</f>
        <v>0.82715630853091782</v>
      </c>
      <c r="Y17" s="2">
        <f t="shared" ref="Y17:Y67" si="17">H17*K17*Q17+I17*M17*S17</f>
        <v>0.53572340990909117</v>
      </c>
      <c r="Z17" s="2">
        <f t="shared" ref="Z17:Z67" si="18">G17*J17*P17+I17*O17*U17</f>
        <v>0.2415686359781351</v>
      </c>
      <c r="AA17" s="2">
        <f t="shared" ref="AA17:AA67" si="19">G17*L17*R17+H17*N17*T17</f>
        <v>0.12437695988290182</v>
      </c>
      <c r="AB17" s="11">
        <f t="shared" ref="AB17:AB67" si="20">EXP((Y17/V17)-(G17*Y17/V17^2)+(H17*P17*(J17-(Z17/W17))/W17)+(I17*R17*(L17-(AA17/X17))/X17))</f>
        <v>6.2048019082070276</v>
      </c>
      <c r="AC17" s="11">
        <f t="shared" ref="AC17:AC67" si="21">EXP((Z17/W17)-(H17*Z17/W17^2)+(G17*Q17*(K17-(Y17/V17))/V17)+(I17*T17*(N17-(AA17/X17))/X17))</f>
        <v>2.8110864432500651</v>
      </c>
      <c r="AD17" s="11">
        <f t="shared" ref="AD17:AD67" si="22">EXP((AA17/X17)-(I17*AA17/X17^2)+(G17*S17*(M17-(Y17/V17))/V17)+(H17*U17*(O17-(Z17/W17))/W17))</f>
        <v>1.1599215952777682</v>
      </c>
      <c r="AE17" s="8">
        <f t="shared" ref="AE17:AE67" si="23">AB17*G17*10^(G$7-(H$7/(I$7+E17)))</f>
        <v>500.94790196395871</v>
      </c>
      <c r="AF17" s="23">
        <f t="shared" ref="AF17:AF67" si="24">AC17*H17*10^(G$8-(H$8/(I$8+E17)))</f>
        <v>154.34805241949294</v>
      </c>
      <c r="AG17" s="8">
        <f t="shared" ref="AG17:AG67" si="25">AD17*I17*10^(G$9-(H$9/(I$9+E17)))</f>
        <v>0.92793727622221456</v>
      </c>
      <c r="AH17" s="8">
        <f t="shared" ref="AH17:AH67" si="26">SUM(AE17:AG17)</f>
        <v>656.22389165967388</v>
      </c>
      <c r="AI17" s="11">
        <f t="shared" ref="AI17:AI67" si="27">AE17/AH17</f>
        <v>0.76337955434234128</v>
      </c>
      <c r="AJ17" s="11">
        <f t="shared" ref="AJ17:AJ67" si="28">AF17/AH17</f>
        <v>0.2352063897416582</v>
      </c>
      <c r="AK17" s="11">
        <f t="shared" ref="AK17:AK67" si="29">AG17/AH17</f>
        <v>1.4140559160004719E-3</v>
      </c>
      <c r="AL17" s="11">
        <f t="shared" ref="AL17:AL67" si="30">SUM(AI17:AK17)</f>
        <v>1</v>
      </c>
    </row>
    <row r="18" spans="1:38" ht="18" x14ac:dyDescent="0.35">
      <c r="A18" s="7" t="s">
        <v>65</v>
      </c>
      <c r="B18" s="8">
        <v>16.212</v>
      </c>
      <c r="C18" s="3"/>
      <c r="E18" s="8">
        <v>57.544444444444437</v>
      </c>
      <c r="F18" s="8">
        <f t="shared" si="1"/>
        <v>330.6944444444444</v>
      </c>
      <c r="G18" s="8">
        <v>0.1</v>
      </c>
      <c r="H18" s="8">
        <v>0.2</v>
      </c>
      <c r="I18" s="8">
        <f t="shared" si="2"/>
        <v>0.7</v>
      </c>
      <c r="J18" s="11">
        <f t="shared" si="3"/>
        <v>2.0272470182061357</v>
      </c>
      <c r="K18" s="11">
        <f t="shared" si="0"/>
        <v>2.7275468924107207</v>
      </c>
      <c r="L18" s="11">
        <f t="shared" si="4"/>
        <v>7.008599977146476</v>
      </c>
      <c r="M18" s="11">
        <f t="shared" si="5"/>
        <v>5.8965729513891798</v>
      </c>
      <c r="N18" s="11">
        <f t="shared" si="6"/>
        <v>3.8719810641073686</v>
      </c>
      <c r="O18" s="11">
        <f t="shared" si="7"/>
        <v>0.20484516939442304</v>
      </c>
      <c r="P18" s="11">
        <f t="shared" si="8"/>
        <v>0.44445840418984006</v>
      </c>
      <c r="Q18" s="11">
        <f t="shared" si="9"/>
        <v>0.33587414522681935</v>
      </c>
      <c r="R18" s="11">
        <f t="shared" si="10"/>
        <v>6.0601235952529232E-2</v>
      </c>
      <c r="S18" s="11">
        <f t="shared" si="11"/>
        <v>9.4549745029438761E-2</v>
      </c>
      <c r="T18" s="11">
        <f t="shared" si="12"/>
        <v>0.21250443385338355</v>
      </c>
      <c r="U18" s="11">
        <f t="shared" si="13"/>
        <v>0.92132901690130808</v>
      </c>
      <c r="V18" s="2">
        <f t="shared" si="14"/>
        <v>0.23335965056597102</v>
      </c>
      <c r="W18" s="2">
        <f t="shared" si="15"/>
        <v>0.88937615224989963</v>
      </c>
      <c r="X18" s="2">
        <f t="shared" si="16"/>
        <v>0.74856101036592959</v>
      </c>
      <c r="Y18" s="2">
        <f t="shared" si="17"/>
        <v>0.57348612458183623</v>
      </c>
      <c r="Z18" s="2">
        <f t="shared" si="18"/>
        <v>0.22221355643565305</v>
      </c>
      <c r="AA18" s="2">
        <f t="shared" si="19"/>
        <v>0.20703561087502606</v>
      </c>
      <c r="AB18" s="11">
        <f t="shared" si="20"/>
        <v>7.1246932443090216</v>
      </c>
      <c r="AC18" s="11">
        <f t="shared" si="21"/>
        <v>2.5779793751410165</v>
      </c>
      <c r="AD18" s="11">
        <f t="shared" si="22"/>
        <v>1.1594624693977682</v>
      </c>
      <c r="AE18" s="8">
        <f t="shared" si="23"/>
        <v>594.67984365109578</v>
      </c>
      <c r="AF18" s="23">
        <f t="shared" si="24"/>
        <v>295.33799782391918</v>
      </c>
      <c r="AG18" s="8">
        <f t="shared" si="25"/>
        <v>0.81162372857843768</v>
      </c>
      <c r="AH18" s="8">
        <f t="shared" si="26"/>
        <v>890.82946520359337</v>
      </c>
      <c r="AI18" s="11">
        <f t="shared" si="27"/>
        <v>0.6675574471654746</v>
      </c>
      <c r="AJ18" s="11">
        <f t="shared" si="28"/>
        <v>0.33153146517938936</v>
      </c>
      <c r="AK18" s="11">
        <f t="shared" si="29"/>
        <v>9.110876551360436E-4</v>
      </c>
      <c r="AL18" s="11">
        <f t="shared" si="30"/>
        <v>1</v>
      </c>
    </row>
    <row r="19" spans="1:38" ht="18" x14ac:dyDescent="0.35">
      <c r="A19" s="7" t="s">
        <v>66</v>
      </c>
      <c r="B19" s="8">
        <v>10.6456</v>
      </c>
      <c r="C19" s="3"/>
      <c r="E19" s="8">
        <v>58.566666666666663</v>
      </c>
      <c r="F19" s="8">
        <f t="shared" si="1"/>
        <v>331.71666666666664</v>
      </c>
      <c r="G19" s="8">
        <v>0.1</v>
      </c>
      <c r="H19" s="8">
        <v>0.3</v>
      </c>
      <c r="I19" s="8">
        <f t="shared" si="2"/>
        <v>0.60000000000000009</v>
      </c>
      <c r="J19" s="11">
        <f t="shared" si="3"/>
        <v>2.0209998284801327</v>
      </c>
      <c r="K19" s="11">
        <f t="shared" si="0"/>
        <v>2.7191416498475633</v>
      </c>
      <c r="L19" s="11">
        <f t="shared" si="4"/>
        <v>6.9870021879389039</v>
      </c>
      <c r="M19" s="11">
        <f t="shared" si="5"/>
        <v>5.8784019985503182</v>
      </c>
      <c r="N19" s="11">
        <f t="shared" si="6"/>
        <v>3.8600491189098984</v>
      </c>
      <c r="O19" s="11">
        <f t="shared" si="7"/>
        <v>0.20421391596246852</v>
      </c>
      <c r="P19" s="11">
        <f t="shared" si="8"/>
        <v>0.4455704394207059</v>
      </c>
      <c r="Q19" s="11">
        <f t="shared" si="9"/>
        <v>0.33700528713025668</v>
      </c>
      <c r="R19" s="11">
        <f t="shared" si="10"/>
        <v>6.1127045032914468E-2</v>
      </c>
      <c r="S19" s="11">
        <f t="shared" si="11"/>
        <v>9.5239472175987036E-2</v>
      </c>
      <c r="T19" s="11">
        <f t="shared" si="12"/>
        <v>0.21352109457505958</v>
      </c>
      <c r="U19" s="11">
        <f t="shared" si="13"/>
        <v>0.92156168311589248</v>
      </c>
      <c r="V19" s="2">
        <f t="shared" si="14"/>
        <v>0.25824526944466925</v>
      </c>
      <c r="W19" s="2">
        <f t="shared" si="15"/>
        <v>0.89749405381160607</v>
      </c>
      <c r="X19" s="2">
        <f t="shared" si="16"/>
        <v>0.67016903287580942</v>
      </c>
      <c r="Y19" s="2">
        <f t="shared" si="17"/>
        <v>0.61082307588453522</v>
      </c>
      <c r="Z19" s="2">
        <f t="shared" si="18"/>
        <v>0.20296721023054237</v>
      </c>
      <c r="AA19" s="2">
        <f t="shared" si="19"/>
        <v>0.28997005363366207</v>
      </c>
      <c r="AB19" s="11">
        <f t="shared" si="20"/>
        <v>7.9677026964036521</v>
      </c>
      <c r="AC19" s="11">
        <f t="shared" si="21"/>
        <v>2.3441547985210378</v>
      </c>
      <c r="AD19" s="11">
        <f t="shared" si="22"/>
        <v>1.1830647695715519</v>
      </c>
      <c r="AE19" s="8">
        <f t="shared" si="23"/>
        <v>687.37523534149659</v>
      </c>
      <c r="AF19" s="23">
        <f t="shared" si="24"/>
        <v>420.11656226002987</v>
      </c>
      <c r="AG19" s="8">
        <f t="shared" si="25"/>
        <v>0.70983886174293132</v>
      </c>
      <c r="AH19" s="8">
        <f t="shared" si="26"/>
        <v>1108.2016364632696</v>
      </c>
      <c r="AI19" s="11">
        <f t="shared" si="27"/>
        <v>0.62026188441229491</v>
      </c>
      <c r="AJ19" s="11">
        <f t="shared" si="28"/>
        <v>0.37909758336108929</v>
      </c>
      <c r="AK19" s="11">
        <f t="shared" si="29"/>
        <v>6.4053222661565557E-4</v>
      </c>
      <c r="AL19" s="11">
        <f t="shared" si="30"/>
        <v>0.99999999999999978</v>
      </c>
    </row>
    <row r="20" spans="1:38" ht="18" x14ac:dyDescent="0.35">
      <c r="A20" s="7" t="s">
        <v>67</v>
      </c>
      <c r="B20" s="8">
        <v>0.56320000000000003</v>
      </c>
      <c r="C20" s="3"/>
      <c r="E20" s="8">
        <v>59.588888888888881</v>
      </c>
      <c r="F20" s="8">
        <f t="shared" si="1"/>
        <v>332.73888888888888</v>
      </c>
      <c r="G20" s="8">
        <v>0.1</v>
      </c>
      <c r="H20" s="8">
        <v>0.4</v>
      </c>
      <c r="I20" s="8">
        <f t="shared" si="2"/>
        <v>0.5</v>
      </c>
      <c r="J20" s="11">
        <f t="shared" si="3"/>
        <v>2.014791023303562</v>
      </c>
      <c r="K20" s="11">
        <f t="shared" si="0"/>
        <v>2.7107880515377114</v>
      </c>
      <c r="L20" s="11">
        <f t="shared" si="4"/>
        <v>6.9655371018256558</v>
      </c>
      <c r="M20" s="11">
        <f t="shared" si="5"/>
        <v>5.8603426933271159</v>
      </c>
      <c r="N20" s="11">
        <f t="shared" si="6"/>
        <v>3.8481904870517605</v>
      </c>
      <c r="O20" s="11">
        <f t="shared" si="7"/>
        <v>0.20358654113507474</v>
      </c>
      <c r="P20" s="11">
        <f t="shared" si="8"/>
        <v>0.44667839869219872</v>
      </c>
      <c r="Q20" s="11">
        <f t="shared" si="9"/>
        <v>0.33813325331483363</v>
      </c>
      <c r="R20" s="11">
        <f t="shared" si="10"/>
        <v>6.1654143551989476E-2</v>
      </c>
      <c r="S20" s="11">
        <f t="shared" si="11"/>
        <v>9.5929946549875078E-2</v>
      </c>
      <c r="T20" s="11">
        <f t="shared" si="12"/>
        <v>0.21453632774856482</v>
      </c>
      <c r="U20" s="11">
        <f t="shared" si="13"/>
        <v>0.92179297797714443</v>
      </c>
      <c r="V20" s="2">
        <f t="shared" si="14"/>
        <v>0.28321827460087101</v>
      </c>
      <c r="W20" s="2">
        <f t="shared" si="15"/>
        <v>0.90556432885779214</v>
      </c>
      <c r="X20" s="2">
        <f t="shared" si="16"/>
        <v>0.59197994545462485</v>
      </c>
      <c r="Y20" s="2">
        <f t="shared" si="17"/>
        <v>0.64773421383278063</v>
      </c>
      <c r="Z20" s="2">
        <f t="shared" si="18"/>
        <v>0.18382868481334863</v>
      </c>
      <c r="AA20" s="2">
        <f t="shared" si="19"/>
        <v>0.37317608466688512</v>
      </c>
      <c r="AB20" s="11">
        <f t="shared" si="20"/>
        <v>8.731185590685655</v>
      </c>
      <c r="AC20" s="11">
        <f t="shared" si="21"/>
        <v>2.1106486398117212</v>
      </c>
      <c r="AD20" s="11">
        <f t="shared" si="22"/>
        <v>1.2451039341677668</v>
      </c>
      <c r="AE20" s="8">
        <f t="shared" si="23"/>
        <v>778.34155950175727</v>
      </c>
      <c r="AF20" s="23">
        <f t="shared" si="24"/>
        <v>525.84939590882868</v>
      </c>
      <c r="AG20" s="8">
        <f t="shared" si="25"/>
        <v>0.62255196708388338</v>
      </c>
      <c r="AH20" s="8">
        <f t="shared" si="26"/>
        <v>1304.8135073776698</v>
      </c>
      <c r="AI20" s="11">
        <f t="shared" si="27"/>
        <v>0.59651555958063163</v>
      </c>
      <c r="AJ20" s="11">
        <f t="shared" si="28"/>
        <v>0.40300732092024932</v>
      </c>
      <c r="AK20" s="11">
        <f t="shared" si="29"/>
        <v>4.7711949911911032E-4</v>
      </c>
      <c r="AL20" s="11">
        <f t="shared" si="30"/>
        <v>1</v>
      </c>
    </row>
    <row r="21" spans="1:38" ht="18" x14ac:dyDescent="0.35">
      <c r="A21" s="7" t="s">
        <v>68</v>
      </c>
      <c r="B21" s="10">
        <v>0.4</v>
      </c>
      <c r="E21" s="8">
        <v>60.6111111111111</v>
      </c>
      <c r="F21" s="8">
        <f t="shared" si="1"/>
        <v>333.76111111111106</v>
      </c>
      <c r="G21" s="8">
        <v>0.1</v>
      </c>
      <c r="H21" s="8">
        <v>0.5</v>
      </c>
      <c r="I21" s="8">
        <f t="shared" si="2"/>
        <v>0.4</v>
      </c>
      <c r="J21" s="11">
        <f t="shared" si="3"/>
        <v>2.008620249991182</v>
      </c>
      <c r="K21" s="11">
        <f t="shared" si="0"/>
        <v>2.7024856229630001</v>
      </c>
      <c r="L21" s="11">
        <f t="shared" si="4"/>
        <v>6.9442034995030379</v>
      </c>
      <c r="M21" s="11">
        <f t="shared" si="5"/>
        <v>5.8423940098780065</v>
      </c>
      <c r="N21" s="11">
        <f t="shared" si="6"/>
        <v>3.8364044949147114</v>
      </c>
      <c r="O21" s="11">
        <f t="shared" si="7"/>
        <v>0.20296300927481453</v>
      </c>
      <c r="P21" s="11">
        <f t="shared" si="8"/>
        <v>0.44778230097462907</v>
      </c>
      <c r="Q21" s="11">
        <f t="shared" si="9"/>
        <v>0.33925805086508193</v>
      </c>
      <c r="R21" s="11">
        <f t="shared" si="10"/>
        <v>6.2182516758470502E-2</v>
      </c>
      <c r="S21" s="11">
        <f t="shared" si="11"/>
        <v>9.6621151321569079E-2</v>
      </c>
      <c r="T21" s="11">
        <f t="shared" si="12"/>
        <v>0.21555012498090736</v>
      </c>
      <c r="U21" s="11">
        <f t="shared" si="13"/>
        <v>0.92202291356651878</v>
      </c>
      <c r="V21" s="2">
        <f t="shared" si="14"/>
        <v>0.30827748596116861</v>
      </c>
      <c r="W21" s="2">
        <f t="shared" si="15"/>
        <v>0.91358739552407053</v>
      </c>
      <c r="X21" s="2">
        <f t="shared" si="16"/>
        <v>0.51399331416630079</v>
      </c>
      <c r="Y21" s="2">
        <f t="shared" si="17"/>
        <v>0.68421953675212777</v>
      </c>
      <c r="Z21" s="2">
        <f t="shared" si="18"/>
        <v>0.16479707779564579</v>
      </c>
      <c r="AA21" s="2">
        <f t="shared" si="19"/>
        <v>0.45664953922629814</v>
      </c>
      <c r="AB21" s="11">
        <f t="shared" si="20"/>
        <v>9.3991363834378454</v>
      </c>
      <c r="AC21" s="11">
        <f t="shared" si="21"/>
        <v>1.876340092931154</v>
      </c>
      <c r="AD21" s="11">
        <f t="shared" si="22"/>
        <v>1.3798575299251492</v>
      </c>
      <c r="AE21" s="8">
        <f t="shared" si="23"/>
        <v>865.5953646866858</v>
      </c>
      <c r="AF21" s="23">
        <f t="shared" si="24"/>
        <v>609.06322260148102</v>
      </c>
      <c r="AG21" s="8">
        <f t="shared" si="25"/>
        <v>0.55194301197005968</v>
      </c>
      <c r="AH21" s="8">
        <f t="shared" si="26"/>
        <v>1475.210530300137</v>
      </c>
      <c r="AI21" s="11">
        <f t="shared" si="27"/>
        <v>0.58676056529407861</v>
      </c>
      <c r="AJ21" s="11">
        <f t="shared" si="28"/>
        <v>0.41286528945639028</v>
      </c>
      <c r="AK21" s="11">
        <f t="shared" si="29"/>
        <v>3.7414524953110584E-4</v>
      </c>
      <c r="AL21" s="11">
        <f t="shared" si="30"/>
        <v>0.99999999999999989</v>
      </c>
    </row>
    <row r="22" spans="1:38" ht="18" x14ac:dyDescent="0.35">
      <c r="A22" s="7" t="s">
        <v>69</v>
      </c>
      <c r="B22" s="10">
        <v>0.4</v>
      </c>
      <c r="E22" s="8">
        <v>61.633333333333319</v>
      </c>
      <c r="F22" s="8">
        <f t="shared" si="1"/>
        <v>334.7833333333333</v>
      </c>
      <c r="G22" s="8">
        <v>0.1</v>
      </c>
      <c r="H22" s="8">
        <v>0.6</v>
      </c>
      <c r="I22" s="8">
        <f t="shared" si="2"/>
        <v>0.30000000000000004</v>
      </c>
      <c r="J22" s="11">
        <f t="shared" si="3"/>
        <v>2.0024871601652849</v>
      </c>
      <c r="K22" s="11">
        <f t="shared" si="0"/>
        <v>2.6942338954008087</v>
      </c>
      <c r="L22" s="11">
        <f t="shared" si="4"/>
        <v>6.9230001765593672</v>
      </c>
      <c r="M22" s="11">
        <f t="shared" si="5"/>
        <v>5.8245549348905747</v>
      </c>
      <c r="N22" s="11">
        <f t="shared" si="6"/>
        <v>3.8246904771077661</v>
      </c>
      <c r="O22" s="11">
        <f t="shared" si="7"/>
        <v>0.20234328517951963</v>
      </c>
      <c r="P22" s="11">
        <f t="shared" si="8"/>
        <v>0.44888216516591961</v>
      </c>
      <c r="Q22" s="11">
        <f t="shared" si="9"/>
        <v>0.34037968693743709</v>
      </c>
      <c r="R22" s="11">
        <f t="shared" si="10"/>
        <v>6.2712149974169448E-2</v>
      </c>
      <c r="S22" s="11">
        <f t="shared" si="11"/>
        <v>9.7313069808364586E-2</v>
      </c>
      <c r="T22" s="11">
        <f t="shared" si="12"/>
        <v>0.21656247807408927</v>
      </c>
      <c r="U22" s="11">
        <f t="shared" si="13"/>
        <v>0.92225150182405891</v>
      </c>
      <c r="V22" s="2">
        <f t="shared" si="14"/>
        <v>0.33342173310497164</v>
      </c>
      <c r="W22" s="2">
        <f t="shared" si="15"/>
        <v>0.92156366706380966</v>
      </c>
      <c r="X22" s="2">
        <f t="shared" si="16"/>
        <v>0.43620870184187055</v>
      </c>
      <c r="Y22" s="2">
        <f t="shared" si="17"/>
        <v>0.72027909020615366</v>
      </c>
      <c r="Z22" s="2">
        <f t="shared" si="18"/>
        <v>0.14587149680944245</v>
      </c>
      <c r="AA22" s="2">
        <f t="shared" si="19"/>
        <v>0.54038629108765646</v>
      </c>
      <c r="AB22" s="11">
        <f t="shared" si="20"/>
        <v>9.9392049420795345</v>
      </c>
      <c r="AC22" s="11">
        <f t="shared" si="21"/>
        <v>1.6403021467797989</v>
      </c>
      <c r="AD22" s="11">
        <f t="shared" si="22"/>
        <v>1.6824154332486725</v>
      </c>
      <c r="AE22" s="8">
        <f t="shared" si="23"/>
        <v>945.37367055858897</v>
      </c>
      <c r="AF22" s="23">
        <f t="shared" si="24"/>
        <v>665.77090853372295</v>
      </c>
      <c r="AG22" s="8">
        <f t="shared" si="25"/>
        <v>0.50472462997460177</v>
      </c>
      <c r="AH22" s="8">
        <f t="shared" si="26"/>
        <v>1611.6493037222865</v>
      </c>
      <c r="AI22" s="11">
        <f t="shared" si="27"/>
        <v>0.58658770762047396</v>
      </c>
      <c r="AJ22" s="11">
        <f t="shared" si="28"/>
        <v>0.41309911963852786</v>
      </c>
      <c r="AK22" s="11">
        <f t="shared" si="29"/>
        <v>3.1317274099823273E-4</v>
      </c>
      <c r="AL22" s="11">
        <f t="shared" si="30"/>
        <v>1</v>
      </c>
    </row>
    <row r="23" spans="1:38" ht="18" x14ac:dyDescent="0.35">
      <c r="A23" s="7" t="s">
        <v>70</v>
      </c>
      <c r="B23" s="10">
        <v>0.4</v>
      </c>
      <c r="C23" s="12"/>
      <c r="E23" s="8">
        <v>62.655555555555537</v>
      </c>
      <c r="F23" s="8">
        <f t="shared" si="1"/>
        <v>335.80555555555554</v>
      </c>
      <c r="G23" s="8">
        <v>0.1</v>
      </c>
      <c r="H23" s="8">
        <v>0.7</v>
      </c>
      <c r="I23" s="8">
        <f t="shared" si="2"/>
        <v>0.20000000000000007</v>
      </c>
      <c r="J23" s="11">
        <f t="shared" si="3"/>
        <v>1.9963914096901354</v>
      </c>
      <c r="K23" s="11">
        <f t="shared" si="0"/>
        <v>2.6860324058358533</v>
      </c>
      <c r="L23" s="11">
        <f t="shared" si="4"/>
        <v>6.9019259432483091</v>
      </c>
      <c r="M23" s="11">
        <f t="shared" si="5"/>
        <v>5.8068244673908671</v>
      </c>
      <c r="N23" s="11">
        <f t="shared" si="6"/>
        <v>3.8130477763419823</v>
      </c>
      <c r="O23" s="11">
        <f t="shared" si="7"/>
        <v>0.2017273340756561</v>
      </c>
      <c r="P23" s="11">
        <f t="shared" si="8"/>
        <v>0.44997801009107485</v>
      </c>
      <c r="Q23" s="11">
        <f t="shared" si="9"/>
        <v>0.3414981687579286</v>
      </c>
      <c r="R23" s="11">
        <f t="shared" si="10"/>
        <v>6.3243028594477238E-2</v>
      </c>
      <c r="S23" s="11">
        <f t="shared" si="11"/>
        <v>9.8005685473726484E-2</v>
      </c>
      <c r="T23" s="11">
        <f t="shared" si="12"/>
        <v>0.21757337902219534</v>
      </c>
      <c r="U23" s="11">
        <f t="shared" si="13"/>
        <v>0.92247875455045825</v>
      </c>
      <c r="V23" s="2">
        <f t="shared" si="14"/>
        <v>0.35864985522529536</v>
      </c>
      <c r="W23" s="2">
        <f t="shared" si="15"/>
        <v>0.92949355191919913</v>
      </c>
      <c r="X23" s="2">
        <f t="shared" si="16"/>
        <v>0.35862566817498454</v>
      </c>
      <c r="Y23" s="2">
        <f t="shared" si="17"/>
        <v>0.7559129659426278</v>
      </c>
      <c r="Z23" s="2">
        <f t="shared" si="18"/>
        <v>0.1270510593689074</v>
      </c>
      <c r="AA23" s="2">
        <f t="shared" si="19"/>
        <v>0.62438225232883693</v>
      </c>
      <c r="AB23" s="11">
        <f t="shared" si="20"/>
        <v>10.300901050716442</v>
      </c>
      <c r="AC23" s="11">
        <f t="shared" si="21"/>
        <v>1.4052725883012014</v>
      </c>
      <c r="AD23" s="11">
        <f t="shared" si="22"/>
        <v>2.5001671413744582</v>
      </c>
      <c r="AE23" s="8">
        <f t="shared" si="23"/>
        <v>1011.6913636147145</v>
      </c>
      <c r="AF23" s="23">
        <f t="shared" si="24"/>
        <v>693.18966910903782</v>
      </c>
      <c r="AG23" s="8">
        <f t="shared" si="25"/>
        <v>0.50003342827489183</v>
      </c>
      <c r="AH23" s="8">
        <f t="shared" si="26"/>
        <v>1705.3810661520274</v>
      </c>
      <c r="AI23" s="11">
        <f t="shared" si="27"/>
        <v>0.59323478118439865</v>
      </c>
      <c r="AJ23" s="11">
        <f t="shared" si="28"/>
        <v>0.40647200960963581</v>
      </c>
      <c r="AK23" s="11">
        <f t="shared" si="29"/>
        <v>2.9320920596541676E-4</v>
      </c>
      <c r="AL23" s="11">
        <f t="shared" si="30"/>
        <v>0.99999999999999989</v>
      </c>
    </row>
    <row r="24" spans="1:38" ht="17.25" x14ac:dyDescent="0.25">
      <c r="A24" s="7" t="s">
        <v>27</v>
      </c>
      <c r="B24" s="11">
        <f>8.314/1000</f>
        <v>8.3140000000000002E-3</v>
      </c>
      <c r="C24" s="3" t="s">
        <v>77</v>
      </c>
      <c r="E24" s="8">
        <v>63.677777777777763</v>
      </c>
      <c r="F24" s="8">
        <f t="shared" si="1"/>
        <v>336.82777777777773</v>
      </c>
      <c r="G24" s="8">
        <v>0.1</v>
      </c>
      <c r="H24" s="8">
        <v>0.8</v>
      </c>
      <c r="I24" s="8">
        <f t="shared" si="2"/>
        <v>9.9999999999999978E-2</v>
      </c>
      <c r="J24" s="11">
        <f t="shared" si="3"/>
        <v>1.9903326586076011</v>
      </c>
      <c r="K24" s="11">
        <f t="shared" si="0"/>
        <v>2.677880696873578</v>
      </c>
      <c r="L24" s="11">
        <f t="shared" si="4"/>
        <v>6.8809796242663426</v>
      </c>
      <c r="M24" s="11">
        <f t="shared" si="5"/>
        <v>5.7892016185561532</v>
      </c>
      <c r="N24" s="11">
        <f t="shared" si="6"/>
        <v>3.8014757433075119</v>
      </c>
      <c r="O24" s="11">
        <f t="shared" si="7"/>
        <v>0.20111512161181999</v>
      </c>
      <c r="P24" s="11">
        <f t="shared" si="8"/>
        <v>0.45106985450167919</v>
      </c>
      <c r="Q24" s="11">
        <f t="shared" si="9"/>
        <v>0.34261350361992071</v>
      </c>
      <c r="R24" s="11">
        <f t="shared" si="10"/>
        <v>6.3775138088823138E-2</v>
      </c>
      <c r="S24" s="11">
        <f t="shared" si="11"/>
        <v>9.8698981926618329E-2</v>
      </c>
      <c r="T24" s="11">
        <f t="shared" si="12"/>
        <v>0.218582820008521</v>
      </c>
      <c r="U24" s="11">
        <f t="shared" si="13"/>
        <v>0.92270468340908574</v>
      </c>
      <c r="V24" s="2">
        <f t="shared" si="14"/>
        <v>0.38396070108859837</v>
      </c>
      <c r="W24" s="2">
        <f t="shared" si="15"/>
        <v>0.93737745379107651</v>
      </c>
      <c r="X24" s="2">
        <f t="shared" si="16"/>
        <v>0.2812437698156991</v>
      </c>
      <c r="Y24" s="2">
        <f t="shared" si="17"/>
        <v>0.7911213008575515</v>
      </c>
      <c r="Z24" s="2">
        <f t="shared" si="18"/>
        <v>0.10833489273436851</v>
      </c>
      <c r="AA24" s="2">
        <f t="shared" si="19"/>
        <v>0.70863337310531205</v>
      </c>
      <c r="AB24" s="11">
        <f t="shared" si="20"/>
        <v>10.427132672663349</v>
      </c>
      <c r="AC24" s="11">
        <f t="shared" si="21"/>
        <v>1.1872724584524541</v>
      </c>
      <c r="AD24" s="11">
        <f t="shared" si="22"/>
        <v>5.9712842372766533</v>
      </c>
      <c r="AE24" s="8">
        <f t="shared" si="23"/>
        <v>1057.1970228456698</v>
      </c>
      <c r="AF24" s="23">
        <f t="shared" si="24"/>
        <v>697.03369381455832</v>
      </c>
      <c r="AG24" s="8">
        <f t="shared" si="25"/>
        <v>0.59712842372766517</v>
      </c>
      <c r="AH24" s="8">
        <f t="shared" si="26"/>
        <v>1754.8278450839557</v>
      </c>
      <c r="AI24" s="11">
        <f t="shared" si="27"/>
        <v>0.60245056277591191</v>
      </c>
      <c r="AJ24" s="11">
        <f t="shared" si="28"/>
        <v>0.39720915972883386</v>
      </c>
      <c r="AK24" s="11">
        <f t="shared" si="29"/>
        <v>3.4027749525429769E-4</v>
      </c>
      <c r="AL24" s="11">
        <f t="shared" si="30"/>
        <v>1</v>
      </c>
    </row>
    <row r="25" spans="1:38" ht="15.75" thickBot="1" x14ac:dyDescent="0.3">
      <c r="A25" s="7"/>
      <c r="B25" s="11"/>
      <c r="C25" s="13"/>
      <c r="E25" s="8">
        <v>64.699999999999974</v>
      </c>
      <c r="F25" s="8">
        <f t="shared" si="1"/>
        <v>337.84999999999997</v>
      </c>
      <c r="G25" s="8">
        <v>0.1</v>
      </c>
      <c r="H25" s="8">
        <v>0.9</v>
      </c>
      <c r="I25" s="8">
        <f t="shared" si="2"/>
        <v>0</v>
      </c>
      <c r="J25" s="11">
        <f t="shared" si="3"/>
        <v>1.9843105710739519</v>
      </c>
      <c r="K25" s="11">
        <f t="shared" si="0"/>
        <v>2.6697783166551257</v>
      </c>
      <c r="L25" s="11">
        <f t="shared" si="4"/>
        <v>6.8601600585342615</v>
      </c>
      <c r="M25" s="11">
        <f t="shared" si="5"/>
        <v>5.7716854115311031</v>
      </c>
      <c r="N25" s="11">
        <f t="shared" si="6"/>
        <v>3.7899737365528936</v>
      </c>
      <c r="O25" s="11">
        <f t="shared" si="7"/>
        <v>0.20050661385235119</v>
      </c>
      <c r="P25" s="11">
        <f t="shared" si="8"/>
        <v>0.45215771707542213</v>
      </c>
      <c r="Q25" s="11">
        <f t="shared" si="9"/>
        <v>0.34372569888190041</v>
      </c>
      <c r="R25" s="11">
        <f t="shared" si="10"/>
        <v>6.4308464001110413E-2</v>
      </c>
      <c r="S25" s="11">
        <f t="shared" si="11"/>
        <v>9.9392942920819211E-2</v>
      </c>
      <c r="T25" s="11">
        <f t="shared" si="12"/>
        <v>0.21959079340273852</v>
      </c>
      <c r="U25" s="11">
        <f t="shared" si="13"/>
        <v>0.92292929992797679</v>
      </c>
      <c r="V25" s="2">
        <f t="shared" si="14"/>
        <v>0.40935312899371035</v>
      </c>
      <c r="W25" s="2">
        <f t="shared" si="15"/>
        <v>0.94521577170754223</v>
      </c>
      <c r="X25" s="2">
        <f t="shared" si="16"/>
        <v>0.2040625604625757</v>
      </c>
      <c r="Y25" s="2">
        <f t="shared" si="17"/>
        <v>0.82590427597682392</v>
      </c>
      <c r="Z25" s="2">
        <f t="shared" si="18"/>
        <v>8.9722133778542532E-2</v>
      </c>
      <c r="AA25" s="2">
        <f t="shared" si="19"/>
        <v>0.79313564142328286</v>
      </c>
      <c r="AB25" s="11">
        <f t="shared" si="20"/>
        <v>10.362021371403028</v>
      </c>
      <c r="AC25" s="11">
        <f t="shared" si="21"/>
        <v>1.0610980015782447</v>
      </c>
      <c r="AD25" s="11">
        <f t="shared" si="22"/>
        <v>58.595890484679671</v>
      </c>
      <c r="AE25" s="8">
        <f t="shared" si="23"/>
        <v>1084.306568911667</v>
      </c>
      <c r="AF25" s="23">
        <f t="shared" si="24"/>
        <v>729.64024861926498</v>
      </c>
      <c r="AG25" s="8">
        <f t="shared" si="25"/>
        <v>0</v>
      </c>
      <c r="AH25" s="8">
        <f t="shared" si="26"/>
        <v>1813.9468175309321</v>
      </c>
      <c r="AI25" s="11">
        <f t="shared" si="27"/>
        <v>0.59776094780307798</v>
      </c>
      <c r="AJ25" s="11">
        <f t="shared" si="28"/>
        <v>0.40223905219692191</v>
      </c>
      <c r="AK25" s="11">
        <f t="shared" si="29"/>
        <v>0</v>
      </c>
      <c r="AL25" s="11">
        <f t="shared" si="30"/>
        <v>0.99999999999999989</v>
      </c>
    </row>
    <row r="26" spans="1:38" x14ac:dyDescent="0.25">
      <c r="A26" s="15">
        <v>5.5736999999999997</v>
      </c>
      <c r="B26" s="15">
        <v>7.4991000000000003</v>
      </c>
      <c r="C26" s="18" t="s">
        <v>74</v>
      </c>
      <c r="E26" s="8">
        <v>55.5</v>
      </c>
      <c r="F26" s="8">
        <f t="shared" si="1"/>
        <v>328.65</v>
      </c>
      <c r="G26" s="8">
        <v>0.2</v>
      </c>
      <c r="H26" s="8">
        <v>0</v>
      </c>
      <c r="I26" s="8">
        <f t="shared" si="2"/>
        <v>0.8</v>
      </c>
      <c r="J26" s="11">
        <f t="shared" si="3"/>
        <v>2.0398579839870217</v>
      </c>
      <c r="K26" s="11">
        <f t="shared" si="0"/>
        <v>2.7445142378881306</v>
      </c>
      <c r="L26" s="11">
        <f t="shared" si="4"/>
        <v>7.0521986179090224</v>
      </c>
      <c r="M26" s="11">
        <f t="shared" si="5"/>
        <v>5.9332539670950348</v>
      </c>
      <c r="N26" s="11">
        <f t="shared" si="6"/>
        <v>3.8960676308972921</v>
      </c>
      <c r="O26" s="11">
        <f t="shared" si="7"/>
        <v>0.20611945683863334</v>
      </c>
      <c r="P26" s="11">
        <f t="shared" si="8"/>
        <v>0.44222202961019264</v>
      </c>
      <c r="Q26" s="11">
        <f t="shared" si="9"/>
        <v>0.33360230629896104</v>
      </c>
      <c r="R26" s="11">
        <f t="shared" si="10"/>
        <v>5.9553545475366086E-2</v>
      </c>
      <c r="S26" s="11">
        <f t="shared" si="11"/>
        <v>9.3172600474512673E-2</v>
      </c>
      <c r="T26" s="11">
        <f t="shared" si="12"/>
        <v>0.2104668643301997</v>
      </c>
      <c r="U26" s="11">
        <f t="shared" si="13"/>
        <v>0.92085952136663651</v>
      </c>
      <c r="V26" s="2">
        <f t="shared" si="14"/>
        <v>0.27453808037961014</v>
      </c>
      <c r="W26" s="2">
        <f t="shared" si="15"/>
        <v>0.82513202301534772</v>
      </c>
      <c r="X26" s="2">
        <f t="shared" si="16"/>
        <v>0.81191070909507324</v>
      </c>
      <c r="Y26" s="2">
        <f t="shared" si="17"/>
        <v>0.44225336111197044</v>
      </c>
      <c r="Z26" s="2">
        <f t="shared" si="18"/>
        <v>0.33225967905407933</v>
      </c>
      <c r="AA26" s="2">
        <f t="shared" si="19"/>
        <v>8.3996686218591771E-2</v>
      </c>
      <c r="AB26" s="11">
        <f t="shared" si="20"/>
        <v>2.3282494093484876</v>
      </c>
      <c r="AC26" s="11">
        <f t="shared" si="21"/>
        <v>4.3261759274899401</v>
      </c>
      <c r="AD26" s="11">
        <f t="shared" si="22"/>
        <v>1.3429939019508588</v>
      </c>
      <c r="AE26" s="8">
        <f t="shared" si="23"/>
        <v>363.54803071547951</v>
      </c>
      <c r="AF26" s="23">
        <f t="shared" si="24"/>
        <v>0</v>
      </c>
      <c r="AG26" s="8">
        <f t="shared" si="25"/>
        <v>1.0743951215606871</v>
      </c>
      <c r="AH26" s="8">
        <f t="shared" si="26"/>
        <v>364.62242583704023</v>
      </c>
      <c r="AI26" s="11">
        <f t="shared" si="27"/>
        <v>0.99705340361582451</v>
      </c>
      <c r="AJ26" s="11">
        <f t="shared" si="28"/>
        <v>0</v>
      </c>
      <c r="AK26" s="11">
        <f t="shared" si="29"/>
        <v>2.9465963841754038E-3</v>
      </c>
      <c r="AL26" s="11">
        <f t="shared" si="30"/>
        <v>0.99999999999999989</v>
      </c>
    </row>
    <row r="27" spans="1:38" x14ac:dyDescent="0.25">
      <c r="A27" s="16">
        <v>19.269400000000001</v>
      </c>
      <c r="B27" s="16">
        <v>16.212</v>
      </c>
      <c r="C27" s="19" t="s">
        <v>75</v>
      </c>
      <c r="E27" s="8">
        <v>56.522222222222219</v>
      </c>
      <c r="F27" s="8">
        <f t="shared" si="1"/>
        <v>329.67222222222222</v>
      </c>
      <c r="G27" s="8">
        <v>0.2</v>
      </c>
      <c r="H27" s="8">
        <v>0.1</v>
      </c>
      <c r="I27" s="8">
        <f t="shared" si="2"/>
        <v>0.70000000000000007</v>
      </c>
      <c r="J27" s="11">
        <f t="shared" si="3"/>
        <v>2.0335329495411303</v>
      </c>
      <c r="K27" s="11">
        <f t="shared" si="0"/>
        <v>2.7360042596307466</v>
      </c>
      <c r="L27" s="11">
        <f t="shared" si="4"/>
        <v>7.0303317038749595</v>
      </c>
      <c r="M27" s="11">
        <f t="shared" si="5"/>
        <v>5.9148565904086707</v>
      </c>
      <c r="N27" s="11">
        <f t="shared" si="6"/>
        <v>3.8839870046172309</v>
      </c>
      <c r="O27" s="11">
        <f t="shared" si="7"/>
        <v>0.20548033751037278</v>
      </c>
      <c r="P27" s="11">
        <f t="shared" si="8"/>
        <v>0.44334227395746195</v>
      </c>
      <c r="Q27" s="11">
        <f t="shared" si="9"/>
        <v>0.33473982059425261</v>
      </c>
      <c r="R27" s="11">
        <f t="shared" si="10"/>
        <v>6.0076731134704846E-2</v>
      </c>
      <c r="S27" s="11">
        <f t="shared" si="11"/>
        <v>9.3860782087240316E-2</v>
      </c>
      <c r="T27" s="11">
        <f t="shared" si="12"/>
        <v>0.21148635417447317</v>
      </c>
      <c r="U27" s="11">
        <f t="shared" si="13"/>
        <v>0.92109496710842631</v>
      </c>
      <c r="V27" s="2">
        <f t="shared" si="14"/>
        <v>0.29917652952049351</v>
      </c>
      <c r="W27" s="2">
        <f t="shared" si="15"/>
        <v>0.83343493176739092</v>
      </c>
      <c r="X27" s="2">
        <f t="shared" si="16"/>
        <v>0.73316398164438834</v>
      </c>
      <c r="Y27" s="2">
        <f t="shared" si="17"/>
        <v>0.48020610335812863</v>
      </c>
      <c r="Z27" s="2">
        <f t="shared" si="18"/>
        <v>0.31279705770777955</v>
      </c>
      <c r="AA27" s="2">
        <f t="shared" si="19"/>
        <v>0.16661289463905055</v>
      </c>
      <c r="AB27" s="11">
        <f t="shared" si="20"/>
        <v>2.7470110336185134</v>
      </c>
      <c r="AC27" s="11">
        <f t="shared" si="21"/>
        <v>3.7498485938511754</v>
      </c>
      <c r="AD27" s="11">
        <f t="shared" si="22"/>
        <v>1.2994369228489462</v>
      </c>
      <c r="AE27" s="8">
        <f t="shared" si="23"/>
        <v>443.5627226528776</v>
      </c>
      <c r="AF27" s="23">
        <f t="shared" si="24"/>
        <v>205.89257534881739</v>
      </c>
      <c r="AG27" s="8">
        <f t="shared" si="25"/>
        <v>0.90960584599426242</v>
      </c>
      <c r="AH27" s="8">
        <f t="shared" si="26"/>
        <v>650.36490384768922</v>
      </c>
      <c r="AI27" s="11">
        <f t="shared" si="27"/>
        <v>0.68202130838960029</v>
      </c>
      <c r="AJ27" s="11">
        <f t="shared" si="28"/>
        <v>0.31658008316672009</v>
      </c>
      <c r="AK27" s="11">
        <f t="shared" si="29"/>
        <v>1.3986084436796201E-3</v>
      </c>
      <c r="AL27" s="11">
        <f t="shared" si="30"/>
        <v>1</v>
      </c>
    </row>
    <row r="28" spans="1:38" ht="15.75" thickBot="1" x14ac:dyDescent="0.3">
      <c r="A28" s="17">
        <v>10.6456</v>
      </c>
      <c r="B28" s="17">
        <v>0.56320000000000003</v>
      </c>
      <c r="C28" s="20" t="s">
        <v>76</v>
      </c>
      <c r="E28" s="8">
        <v>57.544444444444437</v>
      </c>
      <c r="F28" s="8">
        <f t="shared" si="1"/>
        <v>330.6944444444444</v>
      </c>
      <c r="G28" s="8">
        <v>0.2</v>
      </c>
      <c r="H28" s="8">
        <v>0.2</v>
      </c>
      <c r="I28" s="8">
        <f t="shared" si="2"/>
        <v>0.60000000000000009</v>
      </c>
      <c r="J28" s="11">
        <f t="shared" si="3"/>
        <v>2.0272470182061357</v>
      </c>
      <c r="K28" s="11">
        <f t="shared" si="0"/>
        <v>2.7275468924107207</v>
      </c>
      <c r="L28" s="11">
        <f t="shared" si="4"/>
        <v>7.008599977146476</v>
      </c>
      <c r="M28" s="11">
        <f t="shared" si="5"/>
        <v>5.8965729513891798</v>
      </c>
      <c r="N28" s="11">
        <f t="shared" si="6"/>
        <v>3.8719810641073686</v>
      </c>
      <c r="O28" s="11">
        <f t="shared" si="7"/>
        <v>0.20484516939442304</v>
      </c>
      <c r="P28" s="11">
        <f t="shared" si="8"/>
        <v>0.44445840418984006</v>
      </c>
      <c r="Q28" s="11">
        <f t="shared" si="9"/>
        <v>0.33587414522681935</v>
      </c>
      <c r="R28" s="11">
        <f t="shared" si="10"/>
        <v>6.0601235952529232E-2</v>
      </c>
      <c r="S28" s="11">
        <f t="shared" si="11"/>
        <v>9.4549745029438761E-2</v>
      </c>
      <c r="T28" s="11">
        <f t="shared" si="12"/>
        <v>0.21250443385338355</v>
      </c>
      <c r="U28" s="11">
        <f t="shared" si="13"/>
        <v>0.92132901690130808</v>
      </c>
      <c r="V28" s="2">
        <f t="shared" si="14"/>
        <v>0.32390467606302714</v>
      </c>
      <c r="W28" s="2">
        <f t="shared" si="15"/>
        <v>0.841689090978753</v>
      </c>
      <c r="X28" s="2">
        <f t="shared" si="16"/>
        <v>0.6546211339611826</v>
      </c>
      <c r="Y28" s="2">
        <f t="shared" si="17"/>
        <v>0.51773417767170304</v>
      </c>
      <c r="Z28" s="2">
        <f t="shared" si="18"/>
        <v>0.29344327404318959</v>
      </c>
      <c r="AA28" s="2">
        <f t="shared" si="19"/>
        <v>0.24950859296622052</v>
      </c>
      <c r="AB28" s="11">
        <f t="shared" si="20"/>
        <v>3.1798959937007978</v>
      </c>
      <c r="AC28" s="11">
        <f t="shared" si="21"/>
        <v>3.2540033580625778</v>
      </c>
      <c r="AD28" s="11">
        <f t="shared" si="22"/>
        <v>1.2856382062817244</v>
      </c>
      <c r="AE28" s="8">
        <f t="shared" si="23"/>
        <v>530.83550056592901</v>
      </c>
      <c r="AF28" s="23">
        <f t="shared" si="24"/>
        <v>372.78453270400684</v>
      </c>
      <c r="AG28" s="8">
        <f t="shared" si="25"/>
        <v>0.77138292376903472</v>
      </c>
      <c r="AH28" s="8">
        <f t="shared" si="26"/>
        <v>904.39141619370491</v>
      </c>
      <c r="AI28" s="11">
        <f t="shared" si="27"/>
        <v>0.58695327162662203</v>
      </c>
      <c r="AJ28" s="11">
        <f t="shared" si="28"/>
        <v>0.41219379798288897</v>
      </c>
      <c r="AK28" s="11">
        <f t="shared" si="29"/>
        <v>8.5293039048904237E-4</v>
      </c>
      <c r="AL28" s="11">
        <f t="shared" si="30"/>
        <v>1</v>
      </c>
    </row>
    <row r="29" spans="1:38" x14ac:dyDescent="0.25">
      <c r="E29" s="8">
        <v>58.566666666666663</v>
      </c>
      <c r="F29" s="8">
        <f t="shared" si="1"/>
        <v>331.71666666666664</v>
      </c>
      <c r="G29" s="8">
        <v>0.2</v>
      </c>
      <c r="H29" s="8">
        <v>0.3</v>
      </c>
      <c r="I29" s="8">
        <f t="shared" si="2"/>
        <v>0.5</v>
      </c>
      <c r="J29" s="11">
        <f t="shared" si="3"/>
        <v>2.0209998284801327</v>
      </c>
      <c r="K29" s="11">
        <f t="shared" si="0"/>
        <v>2.7191416498475633</v>
      </c>
      <c r="L29" s="11">
        <f t="shared" si="4"/>
        <v>6.9870021879389039</v>
      </c>
      <c r="M29" s="11">
        <f t="shared" si="5"/>
        <v>5.8784019985503182</v>
      </c>
      <c r="N29" s="11">
        <f t="shared" si="6"/>
        <v>3.8600491189098984</v>
      </c>
      <c r="O29" s="11">
        <f t="shared" si="7"/>
        <v>0.20421391596246852</v>
      </c>
      <c r="P29" s="11">
        <f t="shared" si="8"/>
        <v>0.4455704394207059</v>
      </c>
      <c r="Q29" s="11">
        <f t="shared" si="9"/>
        <v>0.33700528713025668</v>
      </c>
      <c r="R29" s="11">
        <f t="shared" si="10"/>
        <v>6.1127045032914468E-2</v>
      </c>
      <c r="S29" s="11">
        <f t="shared" si="11"/>
        <v>9.5239472175987036E-2</v>
      </c>
      <c r="T29" s="11">
        <f t="shared" si="12"/>
        <v>0.21352109457505958</v>
      </c>
      <c r="U29" s="11">
        <f t="shared" si="13"/>
        <v>0.92156168311589248</v>
      </c>
      <c r="V29" s="2">
        <f t="shared" si="14"/>
        <v>0.34872132222707053</v>
      </c>
      <c r="W29" s="2">
        <f t="shared" si="15"/>
        <v>0.84989492944208744</v>
      </c>
      <c r="X29" s="2">
        <f t="shared" si="16"/>
        <v>0.57628173737910071</v>
      </c>
      <c r="Y29" s="2">
        <f t="shared" si="17"/>
        <v>0.55483748552651524</v>
      </c>
      <c r="Z29" s="2">
        <f t="shared" si="18"/>
        <v>0.27419741638404277</v>
      </c>
      <c r="AA29" s="2">
        <f t="shared" si="19"/>
        <v>0.33267953337238343</v>
      </c>
      <c r="AB29" s="11">
        <f t="shared" si="20"/>
        <v>3.6168877828881816</v>
      </c>
      <c r="AC29" s="11">
        <f t="shared" si="21"/>
        <v>2.8149252376854377</v>
      </c>
      <c r="AD29" s="11">
        <f t="shared" si="22"/>
        <v>1.3126912215526254</v>
      </c>
      <c r="AE29" s="8">
        <f t="shared" si="23"/>
        <v>624.05920142796367</v>
      </c>
      <c r="AF29" s="23">
        <f t="shared" si="24"/>
        <v>504.48746585401335</v>
      </c>
      <c r="AG29" s="8">
        <f t="shared" si="25"/>
        <v>0.6563456107763127</v>
      </c>
      <c r="AH29" s="8">
        <f t="shared" si="26"/>
        <v>1129.2030128927533</v>
      </c>
      <c r="AI29" s="11">
        <f t="shared" si="27"/>
        <v>0.55265456636470556</v>
      </c>
      <c r="AJ29" s="11">
        <f t="shared" si="28"/>
        <v>0.44676418685922098</v>
      </c>
      <c r="AK29" s="11">
        <f t="shared" si="29"/>
        <v>5.8124677607342644E-4</v>
      </c>
      <c r="AL29" s="11">
        <f t="shared" si="30"/>
        <v>0.99999999999999989</v>
      </c>
    </row>
    <row r="30" spans="1:38" x14ac:dyDescent="0.25">
      <c r="E30" s="8">
        <v>59.588888888888881</v>
      </c>
      <c r="F30" s="8">
        <f t="shared" si="1"/>
        <v>332.73888888888888</v>
      </c>
      <c r="G30" s="8">
        <v>0.2</v>
      </c>
      <c r="H30" s="8">
        <v>0.4</v>
      </c>
      <c r="I30" s="8">
        <f t="shared" si="2"/>
        <v>0.4</v>
      </c>
      <c r="J30" s="11">
        <f t="shared" si="3"/>
        <v>2.014791023303562</v>
      </c>
      <c r="K30" s="11">
        <f t="shared" si="0"/>
        <v>2.7107880515377114</v>
      </c>
      <c r="L30" s="11">
        <f t="shared" si="4"/>
        <v>6.9655371018256558</v>
      </c>
      <c r="M30" s="11">
        <f t="shared" si="5"/>
        <v>5.8603426933271159</v>
      </c>
      <c r="N30" s="11">
        <f t="shared" si="6"/>
        <v>3.8481904870517605</v>
      </c>
      <c r="O30" s="11">
        <f t="shared" si="7"/>
        <v>0.20358654113507474</v>
      </c>
      <c r="P30" s="11">
        <f t="shared" si="8"/>
        <v>0.44667839869219872</v>
      </c>
      <c r="Q30" s="11">
        <f t="shared" si="9"/>
        <v>0.33813325331483363</v>
      </c>
      <c r="R30" s="11">
        <f t="shared" si="10"/>
        <v>6.1654143551989476E-2</v>
      </c>
      <c r="S30" s="11">
        <f t="shared" si="11"/>
        <v>9.5929946549875078E-2</v>
      </c>
      <c r="T30" s="11">
        <f t="shared" si="12"/>
        <v>0.21453632774856482</v>
      </c>
      <c r="U30" s="11">
        <f t="shared" si="13"/>
        <v>0.92179297797714443</v>
      </c>
      <c r="V30" s="2">
        <f t="shared" si="14"/>
        <v>0.37362527994588346</v>
      </c>
      <c r="W30" s="2">
        <f t="shared" si="15"/>
        <v>0.85805287092929761</v>
      </c>
      <c r="X30" s="2">
        <f t="shared" si="16"/>
        <v>0.49814535980982388</v>
      </c>
      <c r="Y30" s="2">
        <f t="shared" si="17"/>
        <v>0.59151597769929865</v>
      </c>
      <c r="Z30" s="2">
        <f t="shared" si="18"/>
        <v>0.25505858320931707</v>
      </c>
      <c r="AA30" s="2">
        <f t="shared" si="19"/>
        <v>0.41612150710615187</v>
      </c>
      <c r="AB30" s="11">
        <f t="shared" si="20"/>
        <v>4.0424007460299558</v>
      </c>
      <c r="AC30" s="11">
        <f t="shared" si="21"/>
        <v>2.4152386011327023</v>
      </c>
      <c r="AD30" s="11">
        <f t="shared" si="22"/>
        <v>1.4105316682666067</v>
      </c>
      <c r="AE30" s="8">
        <f t="shared" si="23"/>
        <v>720.71964754764554</v>
      </c>
      <c r="AF30" s="23">
        <f t="shared" si="24"/>
        <v>601.73528432217392</v>
      </c>
      <c r="AG30" s="8">
        <f t="shared" si="25"/>
        <v>0.56421266730664266</v>
      </c>
      <c r="AH30" s="8">
        <f t="shared" si="26"/>
        <v>1323.0191445371263</v>
      </c>
      <c r="AI30" s="11">
        <f t="shared" si="27"/>
        <v>0.54475375547176808</v>
      </c>
      <c r="AJ30" s="11">
        <f t="shared" si="28"/>
        <v>0.4548197860981808</v>
      </c>
      <c r="AK30" s="11">
        <f t="shared" si="29"/>
        <v>4.2645843005094158E-4</v>
      </c>
      <c r="AL30" s="11">
        <f t="shared" si="30"/>
        <v>0.99999999999999989</v>
      </c>
    </row>
    <row r="31" spans="1:38" x14ac:dyDescent="0.25">
      <c r="E31" s="8">
        <v>60.6111111111111</v>
      </c>
      <c r="F31" s="8">
        <f t="shared" si="1"/>
        <v>333.76111111111106</v>
      </c>
      <c r="G31" s="8">
        <v>0.2</v>
      </c>
      <c r="H31" s="8">
        <v>0.5</v>
      </c>
      <c r="I31" s="8">
        <f t="shared" si="2"/>
        <v>0.30000000000000004</v>
      </c>
      <c r="J31" s="11">
        <f t="shared" si="3"/>
        <v>2.008620249991182</v>
      </c>
      <c r="K31" s="11">
        <f t="shared" si="0"/>
        <v>2.7024856229630001</v>
      </c>
      <c r="L31" s="11">
        <f t="shared" si="4"/>
        <v>6.9442034995030379</v>
      </c>
      <c r="M31" s="11">
        <f t="shared" si="5"/>
        <v>5.8423940098780065</v>
      </c>
      <c r="N31" s="11">
        <f t="shared" si="6"/>
        <v>3.8364044949147114</v>
      </c>
      <c r="O31" s="11">
        <f t="shared" si="7"/>
        <v>0.20296300927481453</v>
      </c>
      <c r="P31" s="11">
        <f t="shared" si="8"/>
        <v>0.44778230097462907</v>
      </c>
      <c r="Q31" s="11">
        <f t="shared" si="9"/>
        <v>0.33925805086508193</v>
      </c>
      <c r="R31" s="11">
        <f t="shared" si="10"/>
        <v>6.2182516758470502E-2</v>
      </c>
      <c r="S31" s="11">
        <f t="shared" si="11"/>
        <v>9.6621151321569079E-2</v>
      </c>
      <c r="T31" s="11">
        <f t="shared" si="12"/>
        <v>0.21555012498090736</v>
      </c>
      <c r="U31" s="11">
        <f t="shared" si="13"/>
        <v>0.92202291356651878</v>
      </c>
      <c r="V31" s="2">
        <f t="shared" si="14"/>
        <v>0.39861537082901166</v>
      </c>
      <c r="W31" s="2">
        <f t="shared" si="15"/>
        <v>0.86616333426488146</v>
      </c>
      <c r="X31" s="2">
        <f t="shared" si="16"/>
        <v>0.42021156584214781</v>
      </c>
      <c r="Y31" s="2">
        <f t="shared" si="17"/>
        <v>0.62776965318126254</v>
      </c>
      <c r="Z31" s="2">
        <f t="shared" si="18"/>
        <v>0.23602588301239508</v>
      </c>
      <c r="AA31" s="2">
        <f t="shared" si="19"/>
        <v>0.4998303442745059</v>
      </c>
      <c r="AB31" s="11">
        <f t="shared" si="20"/>
        <v>4.4323967555300801</v>
      </c>
      <c r="AC31" s="11">
        <f t="shared" si="21"/>
        <v>2.0430894194726599</v>
      </c>
      <c r="AD31" s="11">
        <f t="shared" si="22"/>
        <v>1.6655428463035347</v>
      </c>
      <c r="AE31" s="8">
        <f t="shared" si="23"/>
        <v>816.38608687489614</v>
      </c>
      <c r="AF31" s="23">
        <f t="shared" si="24"/>
        <v>663.1903409062129</v>
      </c>
      <c r="AG31" s="8">
        <f t="shared" si="25"/>
        <v>0.49966285389106047</v>
      </c>
      <c r="AH31" s="8">
        <f t="shared" si="26"/>
        <v>1480.0760906350001</v>
      </c>
      <c r="AI31" s="11">
        <f t="shared" si="27"/>
        <v>0.55158386250577174</v>
      </c>
      <c r="AJ31" s="11">
        <f t="shared" si="28"/>
        <v>0.44807854481432974</v>
      </c>
      <c r="AK31" s="11">
        <f t="shared" si="29"/>
        <v>3.3759267989842944E-4</v>
      </c>
      <c r="AL31" s="11">
        <f t="shared" si="30"/>
        <v>0.99999999999999989</v>
      </c>
    </row>
    <row r="32" spans="1:38" x14ac:dyDescent="0.25">
      <c r="E32" s="8">
        <v>61.633333333333319</v>
      </c>
      <c r="F32" s="8">
        <f t="shared" si="1"/>
        <v>334.7833333333333</v>
      </c>
      <c r="G32" s="8">
        <v>0.2</v>
      </c>
      <c r="H32" s="8">
        <v>0.6</v>
      </c>
      <c r="I32" s="8">
        <f t="shared" si="2"/>
        <v>0.20000000000000007</v>
      </c>
      <c r="J32" s="11">
        <f t="shared" si="3"/>
        <v>2.0024871601652849</v>
      </c>
      <c r="K32" s="11">
        <f t="shared" si="0"/>
        <v>2.6942338954008087</v>
      </c>
      <c r="L32" s="11">
        <f t="shared" si="4"/>
        <v>6.9230001765593672</v>
      </c>
      <c r="M32" s="11">
        <f t="shared" si="5"/>
        <v>5.8245549348905747</v>
      </c>
      <c r="N32" s="11">
        <f t="shared" si="6"/>
        <v>3.8246904771077661</v>
      </c>
      <c r="O32" s="11">
        <f t="shared" si="7"/>
        <v>0.20234328517951963</v>
      </c>
      <c r="P32" s="11">
        <f t="shared" si="8"/>
        <v>0.44888216516591961</v>
      </c>
      <c r="Q32" s="11">
        <f t="shared" si="9"/>
        <v>0.34037968693743709</v>
      </c>
      <c r="R32" s="11">
        <f t="shared" si="10"/>
        <v>6.2712149974169448E-2</v>
      </c>
      <c r="S32" s="11">
        <f t="shared" si="11"/>
        <v>9.7313069808364586E-2</v>
      </c>
      <c r="T32" s="11">
        <f t="shared" si="12"/>
        <v>0.21656247807408927</v>
      </c>
      <c r="U32" s="11">
        <f t="shared" si="13"/>
        <v>0.92225150182405891</v>
      </c>
      <c r="V32" s="2">
        <f t="shared" si="14"/>
        <v>0.42369042612413521</v>
      </c>
      <c r="W32" s="2">
        <f t="shared" si="15"/>
        <v>0.87422673339799573</v>
      </c>
      <c r="X32" s="2">
        <f t="shared" si="16"/>
        <v>0.34247991683928752</v>
      </c>
      <c r="Y32" s="2">
        <f t="shared" si="17"/>
        <v>0.66359855810798751</v>
      </c>
      <c r="Z32" s="2">
        <f t="shared" si="18"/>
        <v>0.21709843416255453</v>
      </c>
      <c r="AA32" s="2">
        <f t="shared" si="19"/>
        <v>0.58380191362201572</v>
      </c>
      <c r="AB32" s="11">
        <f t="shared" si="20"/>
        <v>4.7513515077772572</v>
      </c>
      <c r="AC32" s="11">
        <f t="shared" si="21"/>
        <v>1.6942744177962559</v>
      </c>
      <c r="AD32" s="11">
        <f t="shared" si="22"/>
        <v>2.4004797364735007</v>
      </c>
      <c r="AE32" s="8">
        <f t="shared" si="23"/>
        <v>903.8555178602993</v>
      </c>
      <c r="AF32" s="23">
        <f t="shared" si="24"/>
        <v>687.67734082169989</v>
      </c>
      <c r="AG32" s="8">
        <f t="shared" si="25"/>
        <v>0.48009594729470029</v>
      </c>
      <c r="AH32" s="8">
        <f t="shared" si="26"/>
        <v>1592.012954629294</v>
      </c>
      <c r="AI32" s="11">
        <f t="shared" si="27"/>
        <v>0.56774382094821918</v>
      </c>
      <c r="AJ32" s="11">
        <f t="shared" si="28"/>
        <v>0.4319546136996279</v>
      </c>
      <c r="AK32" s="11">
        <f t="shared" si="29"/>
        <v>3.0156535215286135E-4</v>
      </c>
      <c r="AL32" s="11">
        <f t="shared" si="30"/>
        <v>0.99999999999999989</v>
      </c>
    </row>
    <row r="33" spans="2:38" x14ac:dyDescent="0.25">
      <c r="E33" s="8">
        <v>62.655555555555537</v>
      </c>
      <c r="F33" s="8">
        <f t="shared" si="1"/>
        <v>335.80555555555554</v>
      </c>
      <c r="G33" s="8">
        <v>0.2</v>
      </c>
      <c r="H33" s="8">
        <v>0.7</v>
      </c>
      <c r="I33" s="8">
        <f t="shared" si="2"/>
        <v>0.10000000000000009</v>
      </c>
      <c r="J33" s="11">
        <f t="shared" si="3"/>
        <v>1.9963914096901354</v>
      </c>
      <c r="K33" s="11">
        <f t="shared" si="0"/>
        <v>2.6860324058358533</v>
      </c>
      <c r="L33" s="11">
        <f t="shared" si="4"/>
        <v>6.9019259432483091</v>
      </c>
      <c r="M33" s="11">
        <f t="shared" si="5"/>
        <v>5.8068244673908671</v>
      </c>
      <c r="N33" s="11">
        <f t="shared" si="6"/>
        <v>3.8130477763419823</v>
      </c>
      <c r="O33" s="11">
        <f t="shared" si="7"/>
        <v>0.2017273340756561</v>
      </c>
      <c r="P33" s="11">
        <f t="shared" si="8"/>
        <v>0.44997801009107485</v>
      </c>
      <c r="Q33" s="11">
        <f t="shared" si="9"/>
        <v>0.3414981687579286</v>
      </c>
      <c r="R33" s="11">
        <f t="shared" si="10"/>
        <v>6.3243028594477238E-2</v>
      </c>
      <c r="S33" s="11">
        <f t="shared" si="11"/>
        <v>9.8005685473726484E-2</v>
      </c>
      <c r="T33" s="11">
        <f t="shared" si="12"/>
        <v>0.21757337902219534</v>
      </c>
      <c r="U33" s="11">
        <f t="shared" si="13"/>
        <v>0.92247875455045825</v>
      </c>
      <c r="V33" s="2">
        <f t="shared" si="14"/>
        <v>0.44884928667792268</v>
      </c>
      <c r="W33" s="2">
        <f t="shared" si="15"/>
        <v>0.88224347747326082</v>
      </c>
      <c r="X33" s="2">
        <f t="shared" si="16"/>
        <v>0.2649499710344323</v>
      </c>
      <c r="Y33" s="2">
        <f t="shared" si="17"/>
        <v>0.69900278470740296</v>
      </c>
      <c r="Z33" s="2">
        <f t="shared" si="18"/>
        <v>0.19827536476874616</v>
      </c>
      <c r="AA33" s="2">
        <f t="shared" si="19"/>
        <v>0.66803212230741871</v>
      </c>
      <c r="AB33" s="11">
        <f t="shared" si="20"/>
        <v>4.9554842718918772</v>
      </c>
      <c r="AC33" s="11">
        <f t="shared" si="21"/>
        <v>1.3829901556442334</v>
      </c>
      <c r="AD33" s="11">
        <f t="shared" si="22"/>
        <v>5.6885191100345365</v>
      </c>
      <c r="AE33" s="8">
        <f t="shared" si="23"/>
        <v>973.3945828074668</v>
      </c>
      <c r="AF33" s="23">
        <f t="shared" si="24"/>
        <v>682.19824136113004</v>
      </c>
      <c r="AG33" s="8">
        <f t="shared" si="25"/>
        <v>0.56885191100345411</v>
      </c>
      <c r="AH33" s="8">
        <f t="shared" si="26"/>
        <v>1656.1616760796005</v>
      </c>
      <c r="AI33" s="11">
        <f t="shared" si="27"/>
        <v>0.58774127965069656</v>
      </c>
      <c r="AJ33" s="11">
        <f t="shared" si="28"/>
        <v>0.41191524427494441</v>
      </c>
      <c r="AK33" s="11">
        <f t="shared" si="29"/>
        <v>3.4347607435888597E-4</v>
      </c>
      <c r="AL33" s="11">
        <f t="shared" si="30"/>
        <v>0.99999999999999989</v>
      </c>
    </row>
    <row r="34" spans="2:38" x14ac:dyDescent="0.25">
      <c r="E34" s="8">
        <v>63.677777777777763</v>
      </c>
      <c r="F34" s="8">
        <f t="shared" si="1"/>
        <v>336.82777777777773</v>
      </c>
      <c r="G34" s="8">
        <v>0.2</v>
      </c>
      <c r="H34" s="8">
        <v>0.8</v>
      </c>
      <c r="I34" s="8">
        <f t="shared" si="2"/>
        <v>0</v>
      </c>
      <c r="J34" s="11">
        <f t="shared" si="3"/>
        <v>1.9903326586076011</v>
      </c>
      <c r="K34" s="11">
        <f t="shared" si="0"/>
        <v>2.677880696873578</v>
      </c>
      <c r="L34" s="11">
        <f t="shared" si="4"/>
        <v>6.8809796242663426</v>
      </c>
      <c r="M34" s="11">
        <f t="shared" si="5"/>
        <v>5.7892016185561532</v>
      </c>
      <c r="N34" s="11">
        <f t="shared" si="6"/>
        <v>3.8014757433075119</v>
      </c>
      <c r="O34" s="11">
        <f t="shared" si="7"/>
        <v>0.20111512161181999</v>
      </c>
      <c r="P34" s="11">
        <f t="shared" si="8"/>
        <v>0.45106985450167919</v>
      </c>
      <c r="Q34" s="11">
        <f t="shared" si="9"/>
        <v>0.34261350361992071</v>
      </c>
      <c r="R34" s="11">
        <f t="shared" si="10"/>
        <v>6.3775138088823138E-2</v>
      </c>
      <c r="S34" s="11">
        <f t="shared" si="11"/>
        <v>9.8698981926618329E-2</v>
      </c>
      <c r="T34" s="11">
        <f t="shared" si="12"/>
        <v>0.218582820008521</v>
      </c>
      <c r="U34" s="11">
        <f t="shared" si="13"/>
        <v>0.92270468340908574</v>
      </c>
      <c r="V34" s="2">
        <f t="shared" si="14"/>
        <v>0.47409080289593658</v>
      </c>
      <c r="W34" s="2">
        <f t="shared" si="15"/>
        <v>0.89021397090033583</v>
      </c>
      <c r="X34" s="2">
        <f t="shared" si="16"/>
        <v>0.18762128362458144</v>
      </c>
      <c r="Y34" s="2">
        <f t="shared" si="17"/>
        <v>0.73398247026560914</v>
      </c>
      <c r="Z34" s="2">
        <f t="shared" si="18"/>
        <v>0.1795558125456142</v>
      </c>
      <c r="AA34" s="2">
        <f t="shared" si="19"/>
        <v>0.75251691567770851</v>
      </c>
      <c r="AB34" s="11">
        <f t="shared" si="20"/>
        <v>5.0536358797009839</v>
      </c>
      <c r="AC34" s="11">
        <f t="shared" si="21"/>
        <v>1.201679344644961</v>
      </c>
      <c r="AD34" s="11">
        <f t="shared" si="22"/>
        <v>65.820294197089297</v>
      </c>
      <c r="AE34" s="8">
        <f t="shared" si="23"/>
        <v>1024.7666303456137</v>
      </c>
      <c r="AF34" s="23">
        <f t="shared" si="24"/>
        <v>705.49180722200515</v>
      </c>
      <c r="AG34" s="8">
        <f t="shared" si="25"/>
        <v>0</v>
      </c>
      <c r="AH34" s="8">
        <f t="shared" si="26"/>
        <v>1730.2584375676188</v>
      </c>
      <c r="AI34" s="11">
        <f t="shared" si="27"/>
        <v>0.59226217777398682</v>
      </c>
      <c r="AJ34" s="11">
        <f t="shared" si="28"/>
        <v>0.40773782222601324</v>
      </c>
      <c r="AK34" s="11">
        <f t="shared" si="29"/>
        <v>0</v>
      </c>
      <c r="AL34" s="11">
        <f t="shared" si="30"/>
        <v>1</v>
      </c>
    </row>
    <row r="35" spans="2:38" x14ac:dyDescent="0.25">
      <c r="E35" s="8">
        <v>55.5</v>
      </c>
      <c r="F35" s="8">
        <f t="shared" si="1"/>
        <v>328.65</v>
      </c>
      <c r="G35" s="8">
        <v>0.3</v>
      </c>
      <c r="H35" s="8">
        <v>0</v>
      </c>
      <c r="I35" s="8">
        <f t="shared" si="2"/>
        <v>0.7</v>
      </c>
      <c r="J35" s="11">
        <f t="shared" si="3"/>
        <v>2.0398579839870217</v>
      </c>
      <c r="K35" s="11">
        <f t="shared" si="0"/>
        <v>2.7445142378881306</v>
      </c>
      <c r="L35" s="11">
        <f t="shared" si="4"/>
        <v>7.0521986179090224</v>
      </c>
      <c r="M35" s="11">
        <f t="shared" si="5"/>
        <v>5.9332539670950348</v>
      </c>
      <c r="N35" s="11">
        <f t="shared" si="6"/>
        <v>3.8960676308972921</v>
      </c>
      <c r="O35" s="11">
        <f t="shared" si="7"/>
        <v>0.20611945683863334</v>
      </c>
      <c r="P35" s="11">
        <f t="shared" si="8"/>
        <v>0.44222202961019264</v>
      </c>
      <c r="Q35" s="11">
        <f t="shared" si="9"/>
        <v>0.33360230629896104</v>
      </c>
      <c r="R35" s="11">
        <f t="shared" si="10"/>
        <v>5.9553545475366086E-2</v>
      </c>
      <c r="S35" s="11">
        <f t="shared" si="11"/>
        <v>9.3172600474512673E-2</v>
      </c>
      <c r="T35" s="11">
        <f t="shared" si="12"/>
        <v>0.2104668643301997</v>
      </c>
      <c r="U35" s="11">
        <f t="shared" si="13"/>
        <v>0.92085952136663651</v>
      </c>
      <c r="V35" s="2">
        <f t="shared" si="14"/>
        <v>0.36522082033215886</v>
      </c>
      <c r="W35" s="2">
        <f t="shared" si="15"/>
        <v>0.77726827383970332</v>
      </c>
      <c r="X35" s="2">
        <f t="shared" si="16"/>
        <v>0.71786606364260974</v>
      </c>
      <c r="Y35" s="2">
        <f t="shared" si="17"/>
        <v>0.38697169097297412</v>
      </c>
      <c r="Z35" s="2">
        <f t="shared" si="18"/>
        <v>0.40348598639673139</v>
      </c>
      <c r="AA35" s="2">
        <f t="shared" si="19"/>
        <v>0.12599502932788764</v>
      </c>
      <c r="AB35" s="11">
        <f t="shared" si="20"/>
        <v>1.801380264232199</v>
      </c>
      <c r="AC35" s="11">
        <f t="shared" si="21"/>
        <v>5.7224581026759935</v>
      </c>
      <c r="AD35" s="11">
        <f t="shared" si="22"/>
        <v>1.4584458367249824</v>
      </c>
      <c r="AE35" s="8">
        <f t="shared" si="23"/>
        <v>421.91887497220688</v>
      </c>
      <c r="AF35" s="23">
        <f t="shared" si="24"/>
        <v>0</v>
      </c>
      <c r="AG35" s="8">
        <f t="shared" si="25"/>
        <v>1.0209120857074876</v>
      </c>
      <c r="AH35" s="8">
        <f t="shared" si="26"/>
        <v>422.93978705791437</v>
      </c>
      <c r="AI35" s="11">
        <f t="shared" si="27"/>
        <v>0.99758615264643402</v>
      </c>
      <c r="AJ35" s="11">
        <f t="shared" si="28"/>
        <v>0</v>
      </c>
      <c r="AK35" s="11">
        <f t="shared" si="29"/>
        <v>2.4138473535659372E-3</v>
      </c>
      <c r="AL35" s="11">
        <f t="shared" si="30"/>
        <v>1</v>
      </c>
    </row>
    <row r="36" spans="2:38" x14ac:dyDescent="0.25">
      <c r="E36" s="8">
        <v>56.522222222222219</v>
      </c>
      <c r="F36" s="8">
        <f t="shared" si="1"/>
        <v>329.67222222222222</v>
      </c>
      <c r="G36" s="8">
        <v>0.3</v>
      </c>
      <c r="H36" s="8">
        <v>0.1</v>
      </c>
      <c r="I36" s="8">
        <f t="shared" si="2"/>
        <v>0.6</v>
      </c>
      <c r="J36" s="11">
        <f t="shared" si="3"/>
        <v>2.0335329495411303</v>
      </c>
      <c r="K36" s="11">
        <f t="shared" si="0"/>
        <v>2.7360042596307466</v>
      </c>
      <c r="L36" s="11">
        <f t="shared" si="4"/>
        <v>7.0303317038749595</v>
      </c>
      <c r="M36" s="11">
        <f t="shared" si="5"/>
        <v>5.9148565904086707</v>
      </c>
      <c r="N36" s="11">
        <f t="shared" si="6"/>
        <v>3.8839870046172309</v>
      </c>
      <c r="O36" s="11">
        <f t="shared" si="7"/>
        <v>0.20548033751037278</v>
      </c>
      <c r="P36" s="11">
        <f t="shared" si="8"/>
        <v>0.44334227395746195</v>
      </c>
      <c r="Q36" s="11">
        <f t="shared" si="9"/>
        <v>0.33473982059425261</v>
      </c>
      <c r="R36" s="11">
        <f t="shared" si="10"/>
        <v>6.0076731134704846E-2</v>
      </c>
      <c r="S36" s="11">
        <f t="shared" si="11"/>
        <v>9.3860782087240316E-2</v>
      </c>
      <c r="T36" s="11">
        <f t="shared" si="12"/>
        <v>0.21148635417447317</v>
      </c>
      <c r="U36" s="11">
        <f t="shared" si="13"/>
        <v>0.92109496710842631</v>
      </c>
      <c r="V36" s="2">
        <f t="shared" si="14"/>
        <v>0.38979045131176943</v>
      </c>
      <c r="W36" s="2">
        <f t="shared" si="15"/>
        <v>0.78565966245229424</v>
      </c>
      <c r="X36" s="2">
        <f t="shared" si="16"/>
        <v>0.63917165475785875</v>
      </c>
      <c r="Y36" s="2">
        <f t="shared" si="17"/>
        <v>0.42468879680716598</v>
      </c>
      <c r="Z36" s="2">
        <f t="shared" si="18"/>
        <v>0.38402547943742388</v>
      </c>
      <c r="AA36" s="2">
        <f t="shared" si="19"/>
        <v>0.2088488293951993</v>
      </c>
      <c r="AB36" s="11">
        <f t="shared" si="20"/>
        <v>2.0466335822524027</v>
      </c>
      <c r="AC36" s="11">
        <f t="shared" si="21"/>
        <v>4.7443916148304632</v>
      </c>
      <c r="AD36" s="11">
        <f t="shared" si="22"/>
        <v>1.3984833484234547</v>
      </c>
      <c r="AE36" s="8">
        <f t="shared" si="23"/>
        <v>495.70807301465601</v>
      </c>
      <c r="AF36" s="23">
        <f t="shared" si="24"/>
        <v>260.49985315208363</v>
      </c>
      <c r="AG36" s="8">
        <f t="shared" si="25"/>
        <v>0.83909000905407283</v>
      </c>
      <c r="AH36" s="8">
        <f t="shared" si="26"/>
        <v>757.04701617579371</v>
      </c>
      <c r="AI36" s="11">
        <f t="shared" si="27"/>
        <v>0.65479166078576523</v>
      </c>
      <c r="AJ36" s="11">
        <f t="shared" si="28"/>
        <v>0.34409996682635763</v>
      </c>
      <c r="AK36" s="11">
        <f t="shared" si="29"/>
        <v>1.1083723878771987E-3</v>
      </c>
      <c r="AL36" s="11">
        <f t="shared" si="30"/>
        <v>1</v>
      </c>
    </row>
    <row r="37" spans="2:38" x14ac:dyDescent="0.25">
      <c r="E37" s="8">
        <v>57.544444444444437</v>
      </c>
      <c r="F37" s="8">
        <f t="shared" si="1"/>
        <v>330.6944444444444</v>
      </c>
      <c r="G37" s="8">
        <v>0.3</v>
      </c>
      <c r="H37" s="8">
        <v>0.2</v>
      </c>
      <c r="I37" s="8">
        <f t="shared" si="2"/>
        <v>0.49999999999999994</v>
      </c>
      <c r="J37" s="11">
        <f t="shared" si="3"/>
        <v>2.0272470182061357</v>
      </c>
      <c r="K37" s="11">
        <f t="shared" si="0"/>
        <v>2.7275468924107207</v>
      </c>
      <c r="L37" s="11">
        <f t="shared" si="4"/>
        <v>7.008599977146476</v>
      </c>
      <c r="M37" s="11">
        <f t="shared" si="5"/>
        <v>5.8965729513891798</v>
      </c>
      <c r="N37" s="11">
        <f t="shared" si="6"/>
        <v>3.8719810641073686</v>
      </c>
      <c r="O37" s="11">
        <f t="shared" si="7"/>
        <v>0.20484516939442304</v>
      </c>
      <c r="P37" s="11">
        <f t="shared" si="8"/>
        <v>0.44445840418984006</v>
      </c>
      <c r="Q37" s="11">
        <f t="shared" si="9"/>
        <v>0.33587414522681935</v>
      </c>
      <c r="R37" s="11">
        <f t="shared" si="10"/>
        <v>6.0601235952529232E-2</v>
      </c>
      <c r="S37" s="11">
        <f t="shared" si="11"/>
        <v>9.4549745029438761E-2</v>
      </c>
      <c r="T37" s="11">
        <f t="shared" si="12"/>
        <v>0.21250443385338355</v>
      </c>
      <c r="U37" s="11">
        <f t="shared" si="13"/>
        <v>0.92132901690130808</v>
      </c>
      <c r="V37" s="2">
        <f t="shared" si="14"/>
        <v>0.41444970156008321</v>
      </c>
      <c r="W37" s="2">
        <f t="shared" si="15"/>
        <v>0.79400202970760603</v>
      </c>
      <c r="X37" s="2">
        <f t="shared" si="16"/>
        <v>0.56068125755643539</v>
      </c>
      <c r="Y37" s="2">
        <f t="shared" si="17"/>
        <v>0.46198223076156975</v>
      </c>
      <c r="Z37" s="2">
        <f t="shared" si="18"/>
        <v>0.36467299165072609</v>
      </c>
      <c r="AA37" s="2">
        <f t="shared" si="19"/>
        <v>0.29198157505741495</v>
      </c>
      <c r="AB37" s="11">
        <f t="shared" si="20"/>
        <v>2.3024601918295917</v>
      </c>
      <c r="AC37" s="11">
        <f t="shared" si="21"/>
        <v>3.938475675440726</v>
      </c>
      <c r="AD37" s="11">
        <f t="shared" si="22"/>
        <v>1.3834558126713323</v>
      </c>
      <c r="AE37" s="8">
        <f t="shared" si="23"/>
        <v>576.54131340340371</v>
      </c>
      <c r="AF37" s="23">
        <f t="shared" si="24"/>
        <v>451.19892411833018</v>
      </c>
      <c r="AG37" s="8">
        <f t="shared" si="25"/>
        <v>0.69172790633566605</v>
      </c>
      <c r="AH37" s="8">
        <f t="shared" si="26"/>
        <v>1028.4319654280696</v>
      </c>
      <c r="AI37" s="11">
        <f t="shared" si="27"/>
        <v>0.56060228851738081</v>
      </c>
      <c r="AJ37" s="11">
        <f t="shared" si="28"/>
        <v>0.43872510704247247</v>
      </c>
      <c r="AK37" s="11">
        <f t="shared" si="29"/>
        <v>6.726044401466504E-4</v>
      </c>
      <c r="AL37" s="11">
        <f t="shared" si="30"/>
        <v>0.99999999999999989</v>
      </c>
    </row>
    <row r="38" spans="2:38" x14ac:dyDescent="0.25">
      <c r="E38" s="8">
        <v>58.566666666666663</v>
      </c>
      <c r="F38" s="8">
        <f t="shared" si="1"/>
        <v>331.71666666666664</v>
      </c>
      <c r="G38" s="8">
        <v>0.3</v>
      </c>
      <c r="H38" s="8">
        <v>0.3</v>
      </c>
      <c r="I38" s="8">
        <f t="shared" si="2"/>
        <v>0.39999999999999997</v>
      </c>
      <c r="J38" s="11">
        <f t="shared" si="3"/>
        <v>2.0209998284801327</v>
      </c>
      <c r="K38" s="11">
        <f t="shared" si="0"/>
        <v>2.7191416498475633</v>
      </c>
      <c r="L38" s="11">
        <f t="shared" si="4"/>
        <v>6.9870021879389039</v>
      </c>
      <c r="M38" s="11">
        <f t="shared" si="5"/>
        <v>5.8784019985503182</v>
      </c>
      <c r="N38" s="11">
        <f t="shared" si="6"/>
        <v>3.8600491189098984</v>
      </c>
      <c r="O38" s="11">
        <f t="shared" si="7"/>
        <v>0.20421391596246852</v>
      </c>
      <c r="P38" s="11">
        <f t="shared" si="8"/>
        <v>0.4455704394207059</v>
      </c>
      <c r="Q38" s="11">
        <f t="shared" si="9"/>
        <v>0.33700528713025668</v>
      </c>
      <c r="R38" s="11">
        <f t="shared" si="10"/>
        <v>6.1127045032914468E-2</v>
      </c>
      <c r="S38" s="11">
        <f t="shared" si="11"/>
        <v>9.5239472175987036E-2</v>
      </c>
      <c r="T38" s="11">
        <f t="shared" si="12"/>
        <v>0.21352109457505958</v>
      </c>
      <c r="U38" s="11">
        <f t="shared" si="13"/>
        <v>0.92156168311589248</v>
      </c>
      <c r="V38" s="2">
        <f t="shared" si="14"/>
        <v>0.43919737500947181</v>
      </c>
      <c r="W38" s="2">
        <f t="shared" si="15"/>
        <v>0.8022958050725687</v>
      </c>
      <c r="X38" s="2">
        <f t="shared" si="16"/>
        <v>0.48239444188239217</v>
      </c>
      <c r="Y38" s="2">
        <f t="shared" si="17"/>
        <v>0.49885189516849515</v>
      </c>
      <c r="Z38" s="2">
        <f t="shared" si="18"/>
        <v>0.34542762253754317</v>
      </c>
      <c r="AA38" s="2">
        <f t="shared" si="19"/>
        <v>0.37538901311110473</v>
      </c>
      <c r="AB38" s="11">
        <f t="shared" si="20"/>
        <v>2.5591442644297633</v>
      </c>
      <c r="AC38" s="11">
        <f t="shared" si="21"/>
        <v>3.2533224446949736</v>
      </c>
      <c r="AD38" s="11">
        <f t="shared" si="22"/>
        <v>1.4382795968059976</v>
      </c>
      <c r="AE38" s="8">
        <f t="shared" si="23"/>
        <v>662.33359528935875</v>
      </c>
      <c r="AF38" s="23">
        <f t="shared" si="24"/>
        <v>583.05647828845053</v>
      </c>
      <c r="AG38" s="8">
        <f t="shared" si="25"/>
        <v>0.57531183872239899</v>
      </c>
      <c r="AH38" s="8">
        <f t="shared" si="26"/>
        <v>1245.9653854165317</v>
      </c>
      <c r="AI38" s="11">
        <f t="shared" si="27"/>
        <v>0.53158266115710562</v>
      </c>
      <c r="AJ38" s="11">
        <f t="shared" si="28"/>
        <v>0.46795559901813177</v>
      </c>
      <c r="AK38" s="11">
        <f t="shared" si="29"/>
        <v>4.6173982476252316E-4</v>
      </c>
      <c r="AL38" s="11">
        <f t="shared" si="30"/>
        <v>0.99999999999999989</v>
      </c>
    </row>
    <row r="39" spans="2:38" x14ac:dyDescent="0.25">
      <c r="E39" s="8">
        <v>59.588888888888881</v>
      </c>
      <c r="F39" s="8">
        <f t="shared" si="1"/>
        <v>332.73888888888888</v>
      </c>
      <c r="G39" s="8">
        <v>0.3</v>
      </c>
      <c r="H39" s="8">
        <v>0.4</v>
      </c>
      <c r="I39" s="8">
        <f t="shared" si="2"/>
        <v>0.29999999999999993</v>
      </c>
      <c r="J39" s="11">
        <f t="shared" si="3"/>
        <v>2.014791023303562</v>
      </c>
      <c r="K39" s="11">
        <f t="shared" si="0"/>
        <v>2.7107880515377114</v>
      </c>
      <c r="L39" s="11">
        <f t="shared" si="4"/>
        <v>6.9655371018256558</v>
      </c>
      <c r="M39" s="11">
        <f t="shared" si="5"/>
        <v>5.8603426933271159</v>
      </c>
      <c r="N39" s="11">
        <f t="shared" si="6"/>
        <v>3.8481904870517605</v>
      </c>
      <c r="O39" s="11">
        <f t="shared" si="7"/>
        <v>0.20358654113507474</v>
      </c>
      <c r="P39" s="11">
        <f t="shared" si="8"/>
        <v>0.44667839869219872</v>
      </c>
      <c r="Q39" s="11">
        <f t="shared" si="9"/>
        <v>0.33813325331483363</v>
      </c>
      <c r="R39" s="11">
        <f t="shared" si="10"/>
        <v>6.1654143551989476E-2</v>
      </c>
      <c r="S39" s="11">
        <f t="shared" si="11"/>
        <v>9.5929946549875078E-2</v>
      </c>
      <c r="T39" s="11">
        <f t="shared" si="12"/>
        <v>0.21453632774856482</v>
      </c>
      <c r="U39" s="11">
        <f t="shared" si="13"/>
        <v>0.92179297797714443</v>
      </c>
      <c r="V39" s="2">
        <f t="shared" si="14"/>
        <v>0.46403228529089596</v>
      </c>
      <c r="W39" s="2">
        <f t="shared" si="15"/>
        <v>0.81054141300080285</v>
      </c>
      <c r="X39" s="2">
        <f t="shared" si="16"/>
        <v>0.4043107741650227</v>
      </c>
      <c r="Y39" s="2">
        <f t="shared" si="17"/>
        <v>0.53529774156581644</v>
      </c>
      <c r="Z39" s="2">
        <f t="shared" si="18"/>
        <v>0.32628848160528551</v>
      </c>
      <c r="AA39" s="2">
        <f t="shared" si="19"/>
        <v>0.45906692954541861</v>
      </c>
      <c r="AB39" s="11">
        <f t="shared" si="20"/>
        <v>2.8007518379807248</v>
      </c>
      <c r="AC39" s="11">
        <f t="shared" si="21"/>
        <v>2.6542058327030422</v>
      </c>
      <c r="AD39" s="11">
        <f t="shared" si="22"/>
        <v>1.6394091828976396</v>
      </c>
      <c r="AE39" s="8">
        <f t="shared" si="23"/>
        <v>749.01908705624271</v>
      </c>
      <c r="AF39" s="23">
        <f t="shared" si="24"/>
        <v>661.27185141961263</v>
      </c>
      <c r="AG39" s="8">
        <f t="shared" si="25"/>
        <v>0.49182275486929178</v>
      </c>
      <c r="AH39" s="8">
        <f t="shared" si="26"/>
        <v>1410.7827612307246</v>
      </c>
      <c r="AI39" s="11">
        <f t="shared" si="27"/>
        <v>0.53092446806113569</v>
      </c>
      <c r="AJ39" s="11">
        <f t="shared" si="28"/>
        <v>0.46872691500904001</v>
      </c>
      <c r="AK39" s="11">
        <f t="shared" si="29"/>
        <v>3.4861692982429156E-4</v>
      </c>
      <c r="AL39" s="11">
        <f t="shared" si="30"/>
        <v>0.99999999999999989</v>
      </c>
    </row>
    <row r="40" spans="2:38" x14ac:dyDescent="0.25">
      <c r="E40" s="8">
        <v>60.6111111111111</v>
      </c>
      <c r="F40" s="8">
        <f t="shared" si="1"/>
        <v>333.76111111111106</v>
      </c>
      <c r="G40" s="8">
        <v>0.3</v>
      </c>
      <c r="H40" s="8">
        <v>0.5</v>
      </c>
      <c r="I40" s="8">
        <f t="shared" si="2"/>
        <v>0.19999999999999996</v>
      </c>
      <c r="J40" s="11">
        <f t="shared" si="3"/>
        <v>2.008620249991182</v>
      </c>
      <c r="K40" s="11">
        <f t="shared" si="0"/>
        <v>2.7024856229630001</v>
      </c>
      <c r="L40" s="11">
        <f t="shared" si="4"/>
        <v>6.9442034995030379</v>
      </c>
      <c r="M40" s="11">
        <f t="shared" si="5"/>
        <v>5.8423940098780065</v>
      </c>
      <c r="N40" s="11">
        <f t="shared" si="6"/>
        <v>3.8364044949147114</v>
      </c>
      <c r="O40" s="11">
        <f t="shared" si="7"/>
        <v>0.20296300927481453</v>
      </c>
      <c r="P40" s="11">
        <f t="shared" si="8"/>
        <v>0.44778230097462907</v>
      </c>
      <c r="Q40" s="11">
        <f t="shared" si="9"/>
        <v>0.33925805086508193</v>
      </c>
      <c r="R40" s="11">
        <f t="shared" si="10"/>
        <v>6.2182516758470502E-2</v>
      </c>
      <c r="S40" s="11">
        <f t="shared" si="11"/>
        <v>9.6621151321569079E-2</v>
      </c>
      <c r="T40" s="11">
        <f t="shared" si="12"/>
        <v>0.21555012498090736</v>
      </c>
      <c r="U40" s="11">
        <f t="shared" si="13"/>
        <v>0.92202291356651878</v>
      </c>
      <c r="V40" s="2">
        <f t="shared" si="14"/>
        <v>0.48895325569685472</v>
      </c>
      <c r="W40" s="2">
        <f t="shared" si="15"/>
        <v>0.81873927300569249</v>
      </c>
      <c r="X40" s="2">
        <f t="shared" si="16"/>
        <v>0.32642981751799482</v>
      </c>
      <c r="Y40" s="2">
        <f t="shared" si="17"/>
        <v>0.57131976961039732</v>
      </c>
      <c r="Z40" s="2">
        <f t="shared" si="18"/>
        <v>0.30725468822914442</v>
      </c>
      <c r="AA40" s="2">
        <f t="shared" si="19"/>
        <v>0.54301114932271355</v>
      </c>
      <c r="AB40" s="11">
        <f t="shared" si="20"/>
        <v>3.0023094072755936</v>
      </c>
      <c r="AC40" s="11">
        <f t="shared" si="21"/>
        <v>2.1220418083323089</v>
      </c>
      <c r="AD40" s="11">
        <f t="shared" si="22"/>
        <v>2.2803804796043972</v>
      </c>
      <c r="AE40" s="8">
        <f t="shared" si="23"/>
        <v>829.47570934462226</v>
      </c>
      <c r="AF40" s="23">
        <f t="shared" si="24"/>
        <v>688.81842217575684</v>
      </c>
      <c r="AG40" s="8">
        <f t="shared" si="25"/>
        <v>0.45607609592087933</v>
      </c>
      <c r="AH40" s="8">
        <f t="shared" si="26"/>
        <v>1518.7502076163</v>
      </c>
      <c r="AI40" s="11">
        <f t="shared" si="27"/>
        <v>0.54615677099823823</v>
      </c>
      <c r="AJ40" s="11">
        <f t="shared" si="28"/>
        <v>0.45354293202492274</v>
      </c>
      <c r="AK40" s="11">
        <f t="shared" si="29"/>
        <v>3.0029697683906642E-4</v>
      </c>
      <c r="AL40" s="11">
        <f t="shared" si="30"/>
        <v>1</v>
      </c>
    </row>
    <row r="41" spans="2:38" x14ac:dyDescent="0.25">
      <c r="E41" s="8">
        <v>61.633333333333319</v>
      </c>
      <c r="F41" s="8">
        <f t="shared" si="1"/>
        <v>334.7833333333333</v>
      </c>
      <c r="G41" s="8">
        <v>0.3</v>
      </c>
      <c r="H41" s="8">
        <v>0.6</v>
      </c>
      <c r="I41" s="8">
        <f t="shared" si="2"/>
        <v>9.9999999999999978E-2</v>
      </c>
      <c r="J41" s="11">
        <f t="shared" si="3"/>
        <v>2.0024871601652849</v>
      </c>
      <c r="K41" s="11">
        <f t="shared" si="0"/>
        <v>2.6942338954008087</v>
      </c>
      <c r="L41" s="11">
        <f t="shared" si="4"/>
        <v>6.9230001765593672</v>
      </c>
      <c r="M41" s="11">
        <f t="shared" si="5"/>
        <v>5.8245549348905747</v>
      </c>
      <c r="N41" s="11">
        <f t="shared" si="6"/>
        <v>3.8246904771077661</v>
      </c>
      <c r="O41" s="11">
        <f t="shared" si="7"/>
        <v>0.20234328517951963</v>
      </c>
      <c r="P41" s="11">
        <f t="shared" si="8"/>
        <v>0.44888216516591961</v>
      </c>
      <c r="Q41" s="11">
        <f t="shared" si="9"/>
        <v>0.34037968693743709</v>
      </c>
      <c r="R41" s="11">
        <f t="shared" si="10"/>
        <v>6.2712149974169448E-2</v>
      </c>
      <c r="S41" s="11">
        <f t="shared" si="11"/>
        <v>9.7313069808364586E-2</v>
      </c>
      <c r="T41" s="11">
        <f t="shared" si="12"/>
        <v>0.21656247807408927</v>
      </c>
      <c r="U41" s="11">
        <f t="shared" si="13"/>
        <v>0.92225150182405891</v>
      </c>
      <c r="V41" s="2">
        <f t="shared" si="14"/>
        <v>0.51395911914329873</v>
      </c>
      <c r="W41" s="2">
        <f t="shared" si="15"/>
        <v>0.82688979973218169</v>
      </c>
      <c r="X41" s="2">
        <f t="shared" si="16"/>
        <v>0.24875113183670436</v>
      </c>
      <c r="Y41" s="2">
        <f t="shared" si="17"/>
        <v>0.60691802600982137</v>
      </c>
      <c r="Z41" s="2">
        <f t="shared" si="18"/>
        <v>0.28832537151566662</v>
      </c>
      <c r="AA41" s="2">
        <f t="shared" si="19"/>
        <v>0.62721753615637499</v>
      </c>
      <c r="AB41" s="11">
        <f t="shared" si="20"/>
        <v>3.1305927401415454</v>
      </c>
      <c r="AC41" s="11">
        <f t="shared" si="21"/>
        <v>1.6649772499849289</v>
      </c>
      <c r="AD41" s="11">
        <f t="shared" si="22"/>
        <v>5.3316168138949971</v>
      </c>
      <c r="AE41" s="8">
        <f t="shared" si="23"/>
        <v>893.30483686126627</v>
      </c>
      <c r="AF41" s="23">
        <f t="shared" si="24"/>
        <v>675.78611573886724</v>
      </c>
      <c r="AG41" s="8">
        <f t="shared" si="25"/>
        <v>0.5331616813894996</v>
      </c>
      <c r="AH41" s="8">
        <f t="shared" si="26"/>
        <v>1569.6241142815229</v>
      </c>
      <c r="AI41" s="11">
        <f t="shared" si="27"/>
        <v>0.56912022995401423</v>
      </c>
      <c r="AJ41" s="11">
        <f t="shared" si="28"/>
        <v>0.43054009529421661</v>
      </c>
      <c r="AK41" s="11">
        <f t="shared" si="29"/>
        <v>3.3967475176918275E-4</v>
      </c>
      <c r="AL41" s="11">
        <f t="shared" si="30"/>
        <v>1</v>
      </c>
    </row>
    <row r="42" spans="2:38" x14ac:dyDescent="0.25">
      <c r="B42" s="8"/>
      <c r="E42" s="8">
        <v>62.655555555555537</v>
      </c>
      <c r="F42" s="8">
        <f t="shared" si="1"/>
        <v>335.80555555555554</v>
      </c>
      <c r="G42" s="8">
        <v>0.3</v>
      </c>
      <c r="H42" s="8">
        <v>0.7</v>
      </c>
      <c r="I42" s="8">
        <f t="shared" si="2"/>
        <v>0</v>
      </c>
      <c r="J42" s="11">
        <f t="shared" si="3"/>
        <v>1.9963914096901354</v>
      </c>
      <c r="K42" s="11">
        <f t="shared" si="0"/>
        <v>2.6860324058358533</v>
      </c>
      <c r="L42" s="11">
        <f t="shared" si="4"/>
        <v>6.9019259432483091</v>
      </c>
      <c r="M42" s="11">
        <f t="shared" si="5"/>
        <v>5.8068244673908671</v>
      </c>
      <c r="N42" s="11">
        <f t="shared" si="6"/>
        <v>3.8130477763419823</v>
      </c>
      <c r="O42" s="11">
        <f t="shared" si="7"/>
        <v>0.2017273340756561</v>
      </c>
      <c r="P42" s="11">
        <f t="shared" si="8"/>
        <v>0.44997801009107485</v>
      </c>
      <c r="Q42" s="11">
        <f t="shared" si="9"/>
        <v>0.3414981687579286</v>
      </c>
      <c r="R42" s="11">
        <f t="shared" si="10"/>
        <v>6.3243028594477238E-2</v>
      </c>
      <c r="S42" s="11">
        <f t="shared" si="11"/>
        <v>9.8005685473726484E-2</v>
      </c>
      <c r="T42" s="11">
        <f t="shared" si="12"/>
        <v>0.21757337902219534</v>
      </c>
      <c r="U42" s="11">
        <f t="shared" si="13"/>
        <v>0.92247875455045825</v>
      </c>
      <c r="V42" s="2">
        <f t="shared" si="14"/>
        <v>0.53904871813055</v>
      </c>
      <c r="W42" s="2">
        <f t="shared" si="15"/>
        <v>0.83499340302732239</v>
      </c>
      <c r="X42" s="2">
        <f t="shared" si="16"/>
        <v>0.17127427389387989</v>
      </c>
      <c r="Y42" s="2">
        <f t="shared" si="17"/>
        <v>0.642092603472178</v>
      </c>
      <c r="Z42" s="2">
        <f t="shared" si="18"/>
        <v>0.26949967016858489</v>
      </c>
      <c r="AA42" s="2">
        <f t="shared" si="19"/>
        <v>0.71168199228600038</v>
      </c>
      <c r="AB42" s="11">
        <f t="shared" si="20"/>
        <v>3.188598252160268</v>
      </c>
      <c r="AC42" s="11">
        <f t="shared" si="21"/>
        <v>1.3997446127777948</v>
      </c>
      <c r="AD42" s="11">
        <f t="shared" si="22"/>
        <v>74.692277402174653</v>
      </c>
      <c r="AE42" s="8">
        <f t="shared" si="23"/>
        <v>939.49372910144177</v>
      </c>
      <c r="AF42" s="23">
        <f t="shared" si="24"/>
        <v>690.46284190425661</v>
      </c>
      <c r="AG42" s="8">
        <f t="shared" si="25"/>
        <v>0</v>
      </c>
      <c r="AH42" s="8">
        <f t="shared" si="26"/>
        <v>1629.9565710056984</v>
      </c>
      <c r="AI42" s="11">
        <f t="shared" si="27"/>
        <v>0.57639187804971115</v>
      </c>
      <c r="AJ42" s="11">
        <f t="shared" si="28"/>
        <v>0.42360812195028891</v>
      </c>
      <c r="AK42" s="11">
        <f t="shared" si="29"/>
        <v>0</v>
      </c>
      <c r="AL42" s="11">
        <f t="shared" si="30"/>
        <v>1</v>
      </c>
    </row>
    <row r="43" spans="2:38" x14ac:dyDescent="0.25">
      <c r="B43" s="8"/>
      <c r="E43" s="8">
        <v>63.677777777777763</v>
      </c>
      <c r="F43" s="8">
        <f t="shared" si="1"/>
        <v>336.82777777777773</v>
      </c>
      <c r="G43" s="14">
        <v>0.4</v>
      </c>
      <c r="H43" s="14">
        <v>0</v>
      </c>
      <c r="I43" s="8">
        <f t="shared" si="2"/>
        <v>0.6</v>
      </c>
      <c r="J43" s="11">
        <f t="shared" si="3"/>
        <v>1.9903326586076011</v>
      </c>
      <c r="K43" s="11">
        <f t="shared" si="0"/>
        <v>2.677880696873578</v>
      </c>
      <c r="L43" s="11">
        <f t="shared" si="4"/>
        <v>6.8809796242663426</v>
      </c>
      <c r="M43" s="11">
        <f t="shared" si="5"/>
        <v>5.7892016185561532</v>
      </c>
      <c r="N43" s="11">
        <f t="shared" si="6"/>
        <v>3.8014757433075119</v>
      </c>
      <c r="O43" s="11">
        <f t="shared" si="7"/>
        <v>0.20111512161181999</v>
      </c>
      <c r="P43" s="11">
        <f t="shared" si="8"/>
        <v>0.45106985450167919</v>
      </c>
      <c r="Q43" s="11">
        <f t="shared" si="9"/>
        <v>0.34261350361992071</v>
      </c>
      <c r="R43" s="11">
        <f t="shared" si="10"/>
        <v>6.3775138088823138E-2</v>
      </c>
      <c r="S43" s="11">
        <f t="shared" si="11"/>
        <v>9.8698981926618329E-2</v>
      </c>
      <c r="T43" s="11">
        <f t="shared" si="12"/>
        <v>0.218582820008521</v>
      </c>
      <c r="U43" s="11">
        <f t="shared" si="13"/>
        <v>0.92270468340908574</v>
      </c>
      <c r="V43" s="2">
        <f t="shared" si="14"/>
        <v>0.45921938915597105</v>
      </c>
      <c r="W43" s="2">
        <f t="shared" si="15"/>
        <v>0.73405075184612312</v>
      </c>
      <c r="X43" s="2">
        <f t="shared" si="16"/>
        <v>0.62551005523552927</v>
      </c>
      <c r="Y43" s="2">
        <f t="shared" si="17"/>
        <v>0.34283298355165398</v>
      </c>
      <c r="Z43" s="2">
        <f t="shared" si="18"/>
        <v>0.4704535438605969</v>
      </c>
      <c r="AA43" s="2">
        <f t="shared" si="19"/>
        <v>0.17553417028958576</v>
      </c>
      <c r="AB43" s="11">
        <f t="shared" si="20"/>
        <v>1.6487951087733157</v>
      </c>
      <c r="AC43" s="11">
        <f t="shared" si="21"/>
        <v>7.0673045464145874</v>
      </c>
      <c r="AD43" s="11">
        <f t="shared" si="22"/>
        <v>1.5604378547087911</v>
      </c>
      <c r="AE43" s="8">
        <f t="shared" si="23"/>
        <v>668.67904533238095</v>
      </c>
      <c r="AF43" s="23">
        <f t="shared" si="24"/>
        <v>0</v>
      </c>
      <c r="AG43" s="8">
        <f t="shared" si="25"/>
        <v>0.93626271282527462</v>
      </c>
      <c r="AH43" s="8">
        <f t="shared" si="26"/>
        <v>669.61530804520623</v>
      </c>
      <c r="AI43" s="11">
        <f t="shared" si="27"/>
        <v>0.99860179015984796</v>
      </c>
      <c r="AJ43" s="11">
        <f t="shared" si="28"/>
        <v>0</v>
      </c>
      <c r="AK43" s="11">
        <f t="shared" si="29"/>
        <v>1.3982098401520815E-3</v>
      </c>
      <c r="AL43" s="11">
        <f t="shared" si="30"/>
        <v>1</v>
      </c>
    </row>
    <row r="44" spans="2:38" x14ac:dyDescent="0.25">
      <c r="B44" s="8"/>
      <c r="E44" s="8">
        <v>64.699999999999974</v>
      </c>
      <c r="F44" s="8">
        <f t="shared" si="1"/>
        <v>337.84999999999997</v>
      </c>
      <c r="G44" s="14">
        <v>0.4</v>
      </c>
      <c r="H44" s="14">
        <v>0.1</v>
      </c>
      <c r="I44" s="8">
        <f t="shared" si="2"/>
        <v>0.5</v>
      </c>
      <c r="J44" s="11">
        <f t="shared" si="3"/>
        <v>1.9843105710739519</v>
      </c>
      <c r="K44" s="11">
        <f t="shared" si="0"/>
        <v>2.6697783166551257</v>
      </c>
      <c r="L44" s="11">
        <f t="shared" si="4"/>
        <v>6.8601600585342615</v>
      </c>
      <c r="M44" s="11">
        <f t="shared" si="5"/>
        <v>5.7716854115311031</v>
      </c>
      <c r="N44" s="11">
        <f t="shared" si="6"/>
        <v>3.7899737365528936</v>
      </c>
      <c r="O44" s="11">
        <f t="shared" si="7"/>
        <v>0.20050661385235119</v>
      </c>
      <c r="P44" s="11">
        <f t="shared" si="8"/>
        <v>0.45215771707542213</v>
      </c>
      <c r="Q44" s="11">
        <f t="shared" si="9"/>
        <v>0.34372569888190041</v>
      </c>
      <c r="R44" s="11">
        <f t="shared" si="10"/>
        <v>6.4308464001110413E-2</v>
      </c>
      <c r="S44" s="11">
        <f t="shared" si="11"/>
        <v>9.9392942920819211E-2</v>
      </c>
      <c r="T44" s="11">
        <f t="shared" si="12"/>
        <v>0.21959079340273852</v>
      </c>
      <c r="U44" s="11">
        <f t="shared" si="13"/>
        <v>0.92292929992797679</v>
      </c>
      <c r="V44" s="2">
        <f t="shared" si="14"/>
        <v>0.48406904134859968</v>
      </c>
      <c r="W44" s="2">
        <f t="shared" si="15"/>
        <v>0.7423277367941572</v>
      </c>
      <c r="X44" s="2">
        <f t="shared" si="16"/>
        <v>0.54768246494071804</v>
      </c>
      <c r="Y44" s="2">
        <f t="shared" si="17"/>
        <v>0.37859954110782063</v>
      </c>
      <c r="Z44" s="2">
        <f t="shared" si="18"/>
        <v>0.45141524949100997</v>
      </c>
      <c r="AA44" s="2">
        <f t="shared" si="19"/>
        <v>0.25969087644496158</v>
      </c>
      <c r="AB44" s="11">
        <f t="shared" si="20"/>
        <v>1.8122640464878763</v>
      </c>
      <c r="AC44" s="11">
        <f t="shared" si="21"/>
        <v>5.6241553459422446</v>
      </c>
      <c r="AD44" s="11">
        <f t="shared" si="22"/>
        <v>1.4924277903445451</v>
      </c>
      <c r="AE44" s="8">
        <f t="shared" si="23"/>
        <v>758.55848575350842</v>
      </c>
      <c r="AF44" s="23">
        <f t="shared" si="24"/>
        <v>429.70270195831557</v>
      </c>
      <c r="AG44" s="8">
        <f t="shared" si="25"/>
        <v>0.74621389517227255</v>
      </c>
      <c r="AH44" s="8">
        <f t="shared" si="26"/>
        <v>1189.0074016069964</v>
      </c>
      <c r="AI44" s="11">
        <f t="shared" si="27"/>
        <v>0.63797625206393405</v>
      </c>
      <c r="AJ44" s="11">
        <f t="shared" si="28"/>
        <v>0.36139615394954921</v>
      </c>
      <c r="AK44" s="11">
        <f t="shared" si="29"/>
        <v>6.2759398651659462E-4</v>
      </c>
      <c r="AL44" s="11">
        <f t="shared" si="30"/>
        <v>0.99999999999999978</v>
      </c>
    </row>
    <row r="45" spans="2:38" x14ac:dyDescent="0.25">
      <c r="B45" s="8"/>
      <c r="E45" s="8">
        <v>61.138365544710432</v>
      </c>
      <c r="F45" s="8">
        <f t="shared" si="1"/>
        <v>334.28836554471042</v>
      </c>
      <c r="G45" s="14">
        <v>0.4</v>
      </c>
      <c r="H45" s="14">
        <v>0.2</v>
      </c>
      <c r="I45" s="8">
        <f t="shared" si="2"/>
        <v>0.39999999999999997</v>
      </c>
      <c r="J45" s="11">
        <f t="shared" si="3"/>
        <v>2.0054521650639674</v>
      </c>
      <c r="K45" s="11">
        <f t="shared" si="0"/>
        <v>2.6982231428012273</v>
      </c>
      <c r="L45" s="11">
        <f t="shared" si="4"/>
        <v>6.9332507938144534</v>
      </c>
      <c r="M45" s="11">
        <f t="shared" si="5"/>
        <v>5.83317912697437</v>
      </c>
      <c r="N45" s="11">
        <f t="shared" si="6"/>
        <v>3.8303535476263479</v>
      </c>
      <c r="O45" s="11">
        <f t="shared" si="7"/>
        <v>0.20264288701652883</v>
      </c>
      <c r="P45" s="11">
        <f t="shared" si="8"/>
        <v>0.44835010561266297</v>
      </c>
      <c r="Q45" s="11">
        <f t="shared" si="9"/>
        <v>0.33983697654129286</v>
      </c>
      <c r="R45" s="11">
        <f t="shared" si="10"/>
        <v>6.245554111486757E-2</v>
      </c>
      <c r="S45" s="11">
        <f t="shared" si="11"/>
        <v>9.6977949526519572E-2</v>
      </c>
      <c r="T45" s="11">
        <f t="shared" si="12"/>
        <v>0.21607246983985121</v>
      </c>
      <c r="U45" s="11">
        <f t="shared" si="13"/>
        <v>0.92214098514873855</v>
      </c>
      <c r="V45" s="2">
        <f t="shared" si="14"/>
        <v>0.50675857511886646</v>
      </c>
      <c r="W45" s="2">
        <f t="shared" si="15"/>
        <v>0.74819643630456056</v>
      </c>
      <c r="X45" s="2">
        <f t="shared" si="16"/>
        <v>0.46819671041391725</v>
      </c>
      <c r="Y45" s="2">
        <f t="shared" si="17"/>
        <v>0.40966709935861001</v>
      </c>
      <c r="Z45" s="2">
        <f t="shared" si="18"/>
        <v>0.43440400058975193</v>
      </c>
      <c r="AA45" s="2">
        <f t="shared" si="19"/>
        <v>0.33873476228419896</v>
      </c>
      <c r="AB45" s="11">
        <f t="shared" si="20"/>
        <v>1.9589631937856522</v>
      </c>
      <c r="AC45" s="11">
        <f t="shared" si="21"/>
        <v>4.5080246749999704</v>
      </c>
      <c r="AD45" s="11">
        <f t="shared" si="22"/>
        <v>1.4871341140537351</v>
      </c>
      <c r="AE45" s="8">
        <f t="shared" si="23"/>
        <v>733.77044666136737</v>
      </c>
      <c r="AF45" s="23">
        <f t="shared" si="24"/>
        <v>597.901225066454</v>
      </c>
      <c r="AG45" s="8">
        <f t="shared" si="25"/>
        <v>0.59485364562149401</v>
      </c>
      <c r="AH45" s="8">
        <f t="shared" si="26"/>
        <v>1332.2665253734428</v>
      </c>
      <c r="AI45" s="11">
        <f t="shared" si="27"/>
        <v>0.55076850816745304</v>
      </c>
      <c r="AJ45" s="11">
        <f t="shared" si="28"/>
        <v>0.44878499435303193</v>
      </c>
      <c r="AK45" s="11">
        <f t="shared" si="29"/>
        <v>4.4649747951503376E-4</v>
      </c>
      <c r="AL45" s="11">
        <f t="shared" si="30"/>
        <v>1</v>
      </c>
    </row>
    <row r="46" spans="2:38" x14ac:dyDescent="0.25">
      <c r="B46" s="8"/>
      <c r="E46" s="8">
        <v>60.435501684276787</v>
      </c>
      <c r="F46" s="8">
        <f t="shared" si="1"/>
        <v>333.58550168427678</v>
      </c>
      <c r="G46" s="14">
        <v>0.4</v>
      </c>
      <c r="H46" s="14">
        <v>0.3</v>
      </c>
      <c r="I46" s="8">
        <f t="shared" si="2"/>
        <v>0.3</v>
      </c>
      <c r="J46" s="11">
        <f t="shared" si="3"/>
        <v>2.0096776480167189</v>
      </c>
      <c r="K46" s="11">
        <f t="shared" si="0"/>
        <v>2.7039082925600906</v>
      </c>
      <c r="L46" s="11">
        <f t="shared" si="4"/>
        <v>6.9478591367840687</v>
      </c>
      <c r="M46" s="11">
        <f t="shared" si="5"/>
        <v>5.8454696215524775</v>
      </c>
      <c r="N46" s="11">
        <f t="shared" si="6"/>
        <v>3.8384240934615752</v>
      </c>
      <c r="O46" s="11">
        <f t="shared" si="7"/>
        <v>0.20306985509859091</v>
      </c>
      <c r="P46" s="11">
        <f t="shared" si="8"/>
        <v>0.44759294737350835</v>
      </c>
      <c r="Q46" s="11">
        <f t="shared" si="9"/>
        <v>0.33906504494120893</v>
      </c>
      <c r="R46" s="11">
        <f t="shared" si="10"/>
        <v>6.2091656514483035E-2</v>
      </c>
      <c r="S46" s="11">
        <f t="shared" si="11"/>
        <v>9.6502356753342053E-2</v>
      </c>
      <c r="T46" s="11">
        <f t="shared" si="12"/>
        <v>0.21537606540879001</v>
      </c>
      <c r="U46" s="11">
        <f t="shared" si="13"/>
        <v>0.92198350868947776</v>
      </c>
      <c r="V46" s="2">
        <f t="shared" si="14"/>
        <v>0.53067022050836532</v>
      </c>
      <c r="W46" s="2">
        <f t="shared" si="15"/>
        <v>0.7556322315562467</v>
      </c>
      <c r="X46" s="2">
        <f t="shared" si="16"/>
        <v>0.38944948222843023</v>
      </c>
      <c r="Y46" s="2">
        <f t="shared" si="17"/>
        <v>0.44427071446310251</v>
      </c>
      <c r="Z46" s="2">
        <f t="shared" si="18"/>
        <v>0.41597513395244412</v>
      </c>
      <c r="AA46" s="2">
        <f t="shared" si="19"/>
        <v>0.42057303679890035</v>
      </c>
      <c r="AB46" s="11">
        <f t="shared" si="20"/>
        <v>2.1087840340410504</v>
      </c>
      <c r="AC46" s="11">
        <f t="shared" si="21"/>
        <v>3.5490736126552735</v>
      </c>
      <c r="AD46" s="11">
        <f t="shared" si="22"/>
        <v>1.6244428795454382</v>
      </c>
      <c r="AE46" s="8">
        <f t="shared" si="23"/>
        <v>772.50119832221742</v>
      </c>
      <c r="AF46" s="23">
        <f t="shared" si="24"/>
        <v>686.33263870476549</v>
      </c>
      <c r="AG46" s="8">
        <f t="shared" si="25"/>
        <v>0.48733286386363145</v>
      </c>
      <c r="AH46" s="8">
        <f t="shared" si="26"/>
        <v>1459.3211698908467</v>
      </c>
      <c r="AI46" s="11">
        <f t="shared" si="27"/>
        <v>0.52935653525810111</v>
      </c>
      <c r="AJ46" s="11">
        <f t="shared" si="28"/>
        <v>0.47030951984072245</v>
      </c>
      <c r="AK46" s="11">
        <f t="shared" si="29"/>
        <v>3.3394490117626585E-4</v>
      </c>
      <c r="AL46" s="11">
        <f t="shared" si="30"/>
        <v>0.99999999999999978</v>
      </c>
    </row>
    <row r="47" spans="2:38" x14ac:dyDescent="0.25">
      <c r="B47" s="8"/>
      <c r="E47" s="8">
        <v>59.506888859383999</v>
      </c>
      <c r="F47" s="8">
        <f t="shared" si="1"/>
        <v>332.65688885938397</v>
      </c>
      <c r="G47" s="14">
        <v>0.4</v>
      </c>
      <c r="H47" s="14">
        <v>0.4</v>
      </c>
      <c r="I47" s="8">
        <f t="shared" si="2"/>
        <v>0.19999999999999996</v>
      </c>
      <c r="J47" s="11">
        <f t="shared" si="3"/>
        <v>2.0152876699352413</v>
      </c>
      <c r="K47" s="11">
        <f t="shared" si="0"/>
        <v>2.7114562616594671</v>
      </c>
      <c r="L47" s="11">
        <f t="shared" si="4"/>
        <v>6.9672541089491986</v>
      </c>
      <c r="M47" s="11">
        <f t="shared" si="5"/>
        <v>5.8617872696754647</v>
      </c>
      <c r="N47" s="11">
        <f t="shared" si="6"/>
        <v>3.8491390672376711</v>
      </c>
      <c r="O47" s="11">
        <f t="shared" si="7"/>
        <v>0.20363672528258217</v>
      </c>
      <c r="P47" s="11">
        <f t="shared" si="8"/>
        <v>0.44658967097689295</v>
      </c>
      <c r="Q47" s="11">
        <f t="shared" si="9"/>
        <v>0.33804288776705943</v>
      </c>
      <c r="R47" s="11">
        <f t="shared" si="10"/>
        <v>6.1611813848264065E-2</v>
      </c>
      <c r="S47" s="11">
        <f t="shared" si="11"/>
        <v>9.5874531308972513E-2</v>
      </c>
      <c r="T47" s="11">
        <f t="shared" si="12"/>
        <v>0.2144549412260057</v>
      </c>
      <c r="U47" s="11">
        <f t="shared" si="13"/>
        <v>0.92177447440495097</v>
      </c>
      <c r="V47" s="2">
        <f t="shared" si="14"/>
        <v>0.55439206136861829</v>
      </c>
      <c r="W47" s="2">
        <f t="shared" si="15"/>
        <v>0.76299076327174742</v>
      </c>
      <c r="X47" s="2">
        <f t="shared" si="16"/>
        <v>0.3104267020297079</v>
      </c>
      <c r="Y47" s="2">
        <f t="shared" si="17"/>
        <v>0.47903462332078406</v>
      </c>
      <c r="Z47" s="2">
        <f t="shared" si="18"/>
        <v>0.39754409005944696</v>
      </c>
      <c r="AA47" s="2">
        <f t="shared" si="19"/>
        <v>0.50189282225172327</v>
      </c>
      <c r="AB47" s="11">
        <f t="shared" si="20"/>
        <v>2.2319249330164559</v>
      </c>
      <c r="AC47" s="11">
        <f t="shared" si="21"/>
        <v>2.737103775619067</v>
      </c>
      <c r="AD47" s="11">
        <f t="shared" si="22"/>
        <v>2.1543001827817982</v>
      </c>
      <c r="AE47" s="8">
        <f t="shared" si="23"/>
        <v>793.77701194263943</v>
      </c>
      <c r="AF47" s="23">
        <f t="shared" si="24"/>
        <v>679.6536273673795</v>
      </c>
      <c r="AG47" s="8">
        <f t="shared" si="25"/>
        <v>0.43086003655635957</v>
      </c>
      <c r="AH47" s="8">
        <f t="shared" si="26"/>
        <v>1473.8614993465753</v>
      </c>
      <c r="AI47" s="11">
        <f t="shared" si="27"/>
        <v>0.53856960935240805</v>
      </c>
      <c r="AJ47" s="11">
        <f t="shared" si="28"/>
        <v>0.46113805650578327</v>
      </c>
      <c r="AK47" s="11">
        <f t="shared" si="29"/>
        <v>2.9233414180869635E-4</v>
      </c>
      <c r="AL47" s="11">
        <f t="shared" si="30"/>
        <v>1</v>
      </c>
    </row>
    <row r="48" spans="2:38" x14ac:dyDescent="0.25">
      <c r="E48" s="8">
        <v>58.448466383989562</v>
      </c>
      <c r="F48" s="8">
        <f t="shared" si="1"/>
        <v>331.59846638398955</v>
      </c>
      <c r="G48" s="14">
        <v>0.4</v>
      </c>
      <c r="H48" s="14">
        <v>0.5</v>
      </c>
      <c r="I48" s="8">
        <f t="shared" si="2"/>
        <v>9.9999999999999978E-2</v>
      </c>
      <c r="J48" s="11">
        <f t="shared" si="3"/>
        <v>2.0217202261153258</v>
      </c>
      <c r="K48" s="11">
        <f t="shared" si="0"/>
        <v>2.7201109043654017</v>
      </c>
      <c r="L48" s="11">
        <f t="shared" si="4"/>
        <v>6.9894927472068211</v>
      </c>
      <c r="M48" s="11">
        <f t="shared" si="5"/>
        <v>5.8804973905631197</v>
      </c>
      <c r="N48" s="11">
        <f t="shared" si="6"/>
        <v>3.8614250568084594</v>
      </c>
      <c r="O48" s="11">
        <f t="shared" si="7"/>
        <v>0.20428670925025594</v>
      </c>
      <c r="P48" s="11">
        <f t="shared" si="8"/>
        <v>0.44544206276169429</v>
      </c>
      <c r="Q48" s="11">
        <f t="shared" si="9"/>
        <v>0.33687465489623503</v>
      </c>
      <c r="R48" s="11">
        <f t="shared" si="10"/>
        <v>6.1066179144558017E-2</v>
      </c>
      <c r="S48" s="11">
        <f t="shared" si="11"/>
        <v>9.5159680008112119E-2</v>
      </c>
      <c r="T48" s="11">
        <f t="shared" si="12"/>
        <v>0.21340361020179829</v>
      </c>
      <c r="U48" s="11">
        <f t="shared" si="13"/>
        <v>0.92153485010462188</v>
      </c>
      <c r="V48" s="2">
        <f t="shared" si="14"/>
        <v>0.57795329544892882</v>
      </c>
      <c r="W48" s="2">
        <f t="shared" si="15"/>
        <v>0.77033031011513986</v>
      </c>
      <c r="X48" s="2">
        <f t="shared" si="16"/>
        <v>0.23112827675872233</v>
      </c>
      <c r="Y48" s="2">
        <f t="shared" si="17"/>
        <v>0.51412683609124277</v>
      </c>
      <c r="Z48" s="2">
        <f t="shared" si="18"/>
        <v>0.37904942333787001</v>
      </c>
      <c r="AA48" s="2">
        <f t="shared" si="19"/>
        <v>0.58274967031551295</v>
      </c>
      <c r="AB48" s="11">
        <f t="shared" si="20"/>
        <v>2.303002186005275</v>
      </c>
      <c r="AC48" s="11">
        <f t="shared" si="21"/>
        <v>2.061023888643954</v>
      </c>
      <c r="AD48" s="11">
        <f t="shared" si="22"/>
        <v>4.8891583515579384</v>
      </c>
      <c r="AE48" s="8">
        <f t="shared" si="23"/>
        <v>791.70255544205077</v>
      </c>
      <c r="AF48" s="23">
        <f t="shared" si="24"/>
        <v>612.64851886138581</v>
      </c>
      <c r="AG48" s="8">
        <f t="shared" si="25"/>
        <v>0.48891583515579373</v>
      </c>
      <c r="AH48" s="8">
        <f t="shared" si="26"/>
        <v>1404.8399901385924</v>
      </c>
      <c r="AI48" s="11">
        <f t="shared" si="27"/>
        <v>0.56355354417548043</v>
      </c>
      <c r="AJ48" s="11">
        <f t="shared" si="28"/>
        <v>0.43609843338880599</v>
      </c>
      <c r="AK48" s="11">
        <f t="shared" si="29"/>
        <v>3.4802243571352241E-4</v>
      </c>
      <c r="AL48" s="11">
        <f t="shared" si="30"/>
        <v>1</v>
      </c>
    </row>
    <row r="49" spans="5:38" x14ac:dyDescent="0.25">
      <c r="E49" s="8">
        <v>57.320721913117104</v>
      </c>
      <c r="F49" s="8">
        <f t="shared" si="1"/>
        <v>330.47072191311707</v>
      </c>
      <c r="G49" s="14">
        <v>0.4</v>
      </c>
      <c r="H49" s="14">
        <v>0.6</v>
      </c>
      <c r="I49" s="8">
        <f t="shared" si="2"/>
        <v>0</v>
      </c>
      <c r="J49" s="11">
        <f t="shared" si="3"/>
        <v>2.0286194267266646</v>
      </c>
      <c r="K49" s="11">
        <f t="shared" si="0"/>
        <v>2.7293933909191259</v>
      </c>
      <c r="L49" s="11">
        <f t="shared" si="4"/>
        <v>7.0133446689572088</v>
      </c>
      <c r="M49" s="11">
        <f t="shared" si="5"/>
        <v>5.9005648215893727</v>
      </c>
      <c r="N49" s="11">
        <f t="shared" si="6"/>
        <v>3.8746023232612772</v>
      </c>
      <c r="O49" s="11">
        <f t="shared" si="7"/>
        <v>0.20498384576357853</v>
      </c>
      <c r="P49" s="11">
        <f t="shared" si="8"/>
        <v>0.4442144797483899</v>
      </c>
      <c r="Q49" s="11">
        <f t="shared" si="9"/>
        <v>0.33562616037555532</v>
      </c>
      <c r="R49" s="11">
        <f t="shared" si="10"/>
        <v>6.0486331349227533E-2</v>
      </c>
      <c r="S49" s="11">
        <f t="shared" si="11"/>
        <v>9.4398893373688078E-2</v>
      </c>
      <c r="T49" s="11">
        <f t="shared" si="12"/>
        <v>0.21228173894500504</v>
      </c>
      <c r="U49" s="11">
        <f t="shared" si="13"/>
        <v>0.92127791169359352</v>
      </c>
      <c r="V49" s="2">
        <f t="shared" si="14"/>
        <v>0.60137569622533316</v>
      </c>
      <c r="W49" s="2">
        <f t="shared" si="15"/>
        <v>0.77768579189935594</v>
      </c>
      <c r="X49" s="2">
        <f t="shared" si="16"/>
        <v>0.15156357590669403</v>
      </c>
      <c r="Y49" s="2">
        <f t="shared" si="17"/>
        <v>0.54963349436916198</v>
      </c>
      <c r="Z49" s="2">
        <f t="shared" si="18"/>
        <v>0.36045684930034494</v>
      </c>
      <c r="AA49" s="2">
        <f t="shared" si="19"/>
        <v>0.66318898714650998</v>
      </c>
      <c r="AB49" s="11">
        <f t="shared" si="20"/>
        <v>2.322038930932242</v>
      </c>
      <c r="AC49" s="11">
        <f t="shared" si="21"/>
        <v>1.6672503159637608</v>
      </c>
      <c r="AD49" s="11">
        <f t="shared" si="22"/>
        <v>90.468544337724538</v>
      </c>
      <c r="AE49" s="8">
        <f t="shared" si="23"/>
        <v>769.64921527312947</v>
      </c>
      <c r="AF49" s="23">
        <f t="shared" si="24"/>
        <v>567.74051711246398</v>
      </c>
      <c r="AG49" s="8">
        <f t="shared" si="25"/>
        <v>0</v>
      </c>
      <c r="AH49" s="8">
        <f t="shared" si="26"/>
        <v>1337.3897323855936</v>
      </c>
      <c r="AI49" s="11">
        <f t="shared" si="27"/>
        <v>0.57548611047002241</v>
      </c>
      <c r="AJ49" s="11">
        <f t="shared" si="28"/>
        <v>0.42451388952997743</v>
      </c>
      <c r="AK49" s="11">
        <f t="shared" si="29"/>
        <v>0</v>
      </c>
      <c r="AL49" s="11">
        <f t="shared" si="30"/>
        <v>0.99999999999999978</v>
      </c>
    </row>
    <row r="50" spans="5:38" x14ac:dyDescent="0.25">
      <c r="E50" s="8">
        <v>61.015923132220323</v>
      </c>
      <c r="F50" s="8">
        <f t="shared" si="1"/>
        <v>334.16592313222031</v>
      </c>
      <c r="G50" s="8">
        <v>0.5</v>
      </c>
      <c r="H50" s="8">
        <v>0</v>
      </c>
      <c r="I50" s="8">
        <f t="shared" si="2"/>
        <v>0.5</v>
      </c>
      <c r="J50" s="11">
        <f t="shared" si="3"/>
        <v>2.0061869868522648</v>
      </c>
      <c r="K50" s="11">
        <f t="shared" si="0"/>
        <v>2.6992118042061501</v>
      </c>
      <c r="L50" s="11">
        <f t="shared" si="4"/>
        <v>6.9357912202757657</v>
      </c>
      <c r="M50" s="11">
        <f t="shared" si="5"/>
        <v>5.8353164739488879</v>
      </c>
      <c r="N50" s="11">
        <f t="shared" si="6"/>
        <v>3.8317570352251593</v>
      </c>
      <c r="O50" s="11">
        <f t="shared" si="7"/>
        <v>0.20271713780705736</v>
      </c>
      <c r="P50" s="11">
        <f t="shared" si="8"/>
        <v>0.44821834200760935</v>
      </c>
      <c r="Q50" s="11">
        <f t="shared" si="9"/>
        <v>0.33970260963065096</v>
      </c>
      <c r="R50" s="11">
        <f t="shared" si="10"/>
        <v>6.2392107866105224E-2</v>
      </c>
      <c r="S50" s="11">
        <f t="shared" si="11"/>
        <v>9.6895074747193069E-2</v>
      </c>
      <c r="T50" s="11">
        <f t="shared" si="12"/>
        <v>0.21595120186990865</v>
      </c>
      <c r="U50" s="11">
        <f t="shared" si="13"/>
        <v>0.92211359767659851</v>
      </c>
      <c r="V50" s="2">
        <f t="shared" si="14"/>
        <v>0.54844753737359653</v>
      </c>
      <c r="W50" s="2">
        <f t="shared" si="15"/>
        <v>0.68516596984210398</v>
      </c>
      <c r="X50" s="2">
        <f t="shared" si="16"/>
        <v>0.53119605393305258</v>
      </c>
      <c r="Y50" s="2">
        <f t="shared" si="17"/>
        <v>0.28270671295840227</v>
      </c>
      <c r="Z50" s="2">
        <f t="shared" si="18"/>
        <v>0.54306901712906608</v>
      </c>
      <c r="AA50" s="2">
        <f t="shared" si="19"/>
        <v>0.21636931697611558</v>
      </c>
      <c r="AB50" s="11">
        <f t="shared" si="20"/>
        <v>1.5356252498736187</v>
      </c>
      <c r="AC50" s="11">
        <f t="shared" si="21"/>
        <v>8.7144620669181716</v>
      </c>
      <c r="AD50" s="11">
        <f t="shared" si="22"/>
        <v>1.6386198765438462</v>
      </c>
      <c r="AE50" s="8">
        <f t="shared" si="23"/>
        <v>716.22378839702799</v>
      </c>
      <c r="AF50" s="23">
        <f t="shared" si="24"/>
        <v>0</v>
      </c>
      <c r="AG50" s="8">
        <f t="shared" si="25"/>
        <v>0.81930993827192311</v>
      </c>
      <c r="AH50" s="8">
        <f t="shared" si="26"/>
        <v>717.04309833529987</v>
      </c>
      <c r="AI50" s="11">
        <f t="shared" si="27"/>
        <v>0.99885737699703958</v>
      </c>
      <c r="AJ50" s="11">
        <f t="shared" si="28"/>
        <v>0</v>
      </c>
      <c r="AK50" s="11">
        <f t="shared" si="29"/>
        <v>1.1426230029604187E-3</v>
      </c>
      <c r="AL50" s="11">
        <f t="shared" si="30"/>
        <v>1</v>
      </c>
    </row>
    <row r="51" spans="5:38" x14ac:dyDescent="0.25">
      <c r="E51" s="8">
        <v>60.32762323419508</v>
      </c>
      <c r="F51" s="8">
        <f t="shared" si="1"/>
        <v>333.47762323419505</v>
      </c>
      <c r="G51" s="8">
        <v>0.5</v>
      </c>
      <c r="H51" s="8">
        <v>0.1</v>
      </c>
      <c r="I51" s="8">
        <f t="shared" si="2"/>
        <v>0.4</v>
      </c>
      <c r="J51" s="11">
        <f t="shared" si="3"/>
        <v>2.0103277693283959</v>
      </c>
      <c r="K51" s="11">
        <f t="shared" si="0"/>
        <v>2.7047829942355306</v>
      </c>
      <c r="L51" s="11">
        <f t="shared" si="4"/>
        <v>6.950106736691354</v>
      </c>
      <c r="M51" s="11">
        <f t="shared" si="5"/>
        <v>5.8473606036119552</v>
      </c>
      <c r="N51" s="11">
        <f t="shared" si="6"/>
        <v>3.8396658056878508</v>
      </c>
      <c r="O51" s="11">
        <f t="shared" si="7"/>
        <v>0.20313554724612964</v>
      </c>
      <c r="P51" s="11">
        <f t="shared" si="8"/>
        <v>0.44747656662086815</v>
      </c>
      <c r="Q51" s="11">
        <f t="shared" si="9"/>
        <v>0.33894643338720659</v>
      </c>
      <c r="R51" s="11">
        <f t="shared" si="10"/>
        <v>6.2035858719894872E-2</v>
      </c>
      <c r="S51" s="11">
        <f t="shared" si="11"/>
        <v>9.6429390662207626E-2</v>
      </c>
      <c r="T51" s="11">
        <f t="shared" si="12"/>
        <v>0.2152691179331202</v>
      </c>
      <c r="U51" s="11">
        <f t="shared" si="13"/>
        <v>0.9219592821771051</v>
      </c>
      <c r="V51" s="2">
        <f t="shared" si="14"/>
        <v>0.57246639960360368</v>
      </c>
      <c r="W51" s="2">
        <f t="shared" si="15"/>
        <v>0.69252199618127608</v>
      </c>
      <c r="X51" s="2">
        <f t="shared" si="16"/>
        <v>0.45254484115325949</v>
      </c>
      <c r="Y51" s="2">
        <f t="shared" si="17"/>
        <v>0.31722062289365005</v>
      </c>
      <c r="Z51" s="2">
        <f t="shared" si="18"/>
        <v>0.52470036533030773</v>
      </c>
      <c r="AA51" s="2">
        <f t="shared" si="19"/>
        <v>0.29823406691762588</v>
      </c>
      <c r="AB51" s="11">
        <f t="shared" si="20"/>
        <v>1.6422140033520412</v>
      </c>
      <c r="AC51" s="11">
        <f t="shared" si="21"/>
        <v>6.6202662172950397</v>
      </c>
      <c r="AD51" s="11">
        <f t="shared" si="22"/>
        <v>1.5659670247185917</v>
      </c>
      <c r="AE51" s="8">
        <f t="shared" si="23"/>
        <v>749.40866673989558</v>
      </c>
      <c r="AF51" s="23">
        <f t="shared" si="24"/>
        <v>424.89187901874254</v>
      </c>
      <c r="AG51" s="8">
        <f t="shared" si="25"/>
        <v>0.62638680988743678</v>
      </c>
      <c r="AH51" s="8">
        <f t="shared" si="26"/>
        <v>1174.9269325685257</v>
      </c>
      <c r="AI51" s="11">
        <f t="shared" si="27"/>
        <v>0.63783427374636981</v>
      </c>
      <c r="AJ51" s="11">
        <f t="shared" si="28"/>
        <v>0.36163259794366953</v>
      </c>
      <c r="AK51" s="11">
        <f t="shared" si="29"/>
        <v>5.3312830996058878E-4</v>
      </c>
      <c r="AL51" s="11">
        <f t="shared" si="30"/>
        <v>0.99999999999999989</v>
      </c>
    </row>
    <row r="52" spans="5:38" x14ac:dyDescent="0.25">
      <c r="E52" s="8">
        <v>59.455990013983673</v>
      </c>
      <c r="F52" s="8">
        <f t="shared" si="1"/>
        <v>332.60599001398367</v>
      </c>
      <c r="G52" s="8">
        <v>0.5</v>
      </c>
      <c r="H52" s="8">
        <v>0.2</v>
      </c>
      <c r="I52" s="8">
        <f t="shared" si="2"/>
        <v>0.3</v>
      </c>
      <c r="J52" s="11">
        <f t="shared" si="3"/>
        <v>2.0155960703207696</v>
      </c>
      <c r="K52" s="11">
        <f t="shared" si="0"/>
        <v>2.7118711970401139</v>
      </c>
      <c r="L52" s="11">
        <f t="shared" si="4"/>
        <v>6.9683203110032901</v>
      </c>
      <c r="M52" s="11">
        <f t="shared" si="5"/>
        <v>5.8626843016381072</v>
      </c>
      <c r="N52" s="11">
        <f t="shared" si="6"/>
        <v>3.8497281027336929</v>
      </c>
      <c r="O52" s="11">
        <f t="shared" si="7"/>
        <v>0.20366788790294732</v>
      </c>
      <c r="P52" s="11">
        <f t="shared" si="8"/>
        <v>0.44653458300411231</v>
      </c>
      <c r="Q52" s="11">
        <f t="shared" si="9"/>
        <v>0.33798678604118221</v>
      </c>
      <c r="R52" s="11">
        <f t="shared" si="10"/>
        <v>6.1585543193634899E-2</v>
      </c>
      <c r="S52" s="11">
        <f t="shared" si="11"/>
        <v>9.5840136472400084E-2</v>
      </c>
      <c r="T52" s="11">
        <f t="shared" si="12"/>
        <v>0.21440441854909764</v>
      </c>
      <c r="U52" s="11">
        <f t="shared" si="13"/>
        <v>0.92176298451335892</v>
      </c>
      <c r="V52" s="2">
        <f t="shared" si="14"/>
        <v>0.59634939814995647</v>
      </c>
      <c r="W52" s="2">
        <f t="shared" si="15"/>
        <v>0.69979618685606382</v>
      </c>
      <c r="X52" s="2">
        <f t="shared" si="16"/>
        <v>0.37367365530663699</v>
      </c>
      <c r="Y52" s="2">
        <f t="shared" si="17"/>
        <v>0.35187946507812645</v>
      </c>
      <c r="Z52" s="2">
        <f t="shared" si="18"/>
        <v>0.50633673144359204</v>
      </c>
      <c r="AA52" s="2">
        <f t="shared" si="19"/>
        <v>0.3796536388379359</v>
      </c>
      <c r="AB52" s="11">
        <f t="shared" si="20"/>
        <v>1.7411119057778734</v>
      </c>
      <c r="AC52" s="11">
        <f t="shared" si="21"/>
        <v>4.9819222341437204</v>
      </c>
      <c r="AD52" s="11">
        <f t="shared" si="22"/>
        <v>1.6275000977000884</v>
      </c>
      <c r="AE52" s="8">
        <f t="shared" si="23"/>
        <v>772.76754693913233</v>
      </c>
      <c r="AF52" s="23">
        <f t="shared" si="24"/>
        <v>617.25334472826319</v>
      </c>
      <c r="AG52" s="8">
        <f t="shared" si="25"/>
        <v>0.48825002931002648</v>
      </c>
      <c r="AH52" s="8">
        <f t="shared" si="26"/>
        <v>1390.5091416967055</v>
      </c>
      <c r="AI52" s="11">
        <f t="shared" si="27"/>
        <v>0.55574431247262279</v>
      </c>
      <c r="AJ52" s="11">
        <f t="shared" si="28"/>
        <v>0.44390455712868448</v>
      </c>
      <c r="AK52" s="11">
        <f t="shared" si="29"/>
        <v>3.5113039869285695E-4</v>
      </c>
      <c r="AL52" s="11">
        <f t="shared" si="30"/>
        <v>1.0000000000000002</v>
      </c>
    </row>
    <row r="53" spans="5:38" x14ac:dyDescent="0.25">
      <c r="E53" s="8">
        <v>58.428815249837506</v>
      </c>
      <c r="F53" s="8">
        <f t="shared" si="1"/>
        <v>331.57881524983748</v>
      </c>
      <c r="G53" s="8">
        <v>0.5</v>
      </c>
      <c r="H53" s="8">
        <v>0.3</v>
      </c>
      <c r="I53" s="8">
        <f t="shared" si="2"/>
        <v>0.2</v>
      </c>
      <c r="J53" s="11">
        <f t="shared" si="3"/>
        <v>2.0218400440697732</v>
      </c>
      <c r="K53" s="11">
        <f t="shared" si="0"/>
        <v>2.7202721126870189</v>
      </c>
      <c r="L53" s="11">
        <f t="shared" si="4"/>
        <v>6.9899069819326645</v>
      </c>
      <c r="M53" s="11">
        <f t="shared" si="5"/>
        <v>5.8808459002922948</v>
      </c>
      <c r="N53" s="11">
        <f t="shared" si="6"/>
        <v>3.8616539055114516</v>
      </c>
      <c r="O53" s="11">
        <f t="shared" si="7"/>
        <v>0.20429881637334202</v>
      </c>
      <c r="P53" s="11">
        <f t="shared" si="8"/>
        <v>0.44542071449056558</v>
      </c>
      <c r="Q53" s="11">
        <f t="shared" si="9"/>
        <v>0.33685293279751471</v>
      </c>
      <c r="R53" s="11">
        <f t="shared" si="10"/>
        <v>6.1056061689990851E-2</v>
      </c>
      <c r="S53" s="11">
        <f t="shared" si="11"/>
        <v>9.5146415302986134E-2</v>
      </c>
      <c r="T53" s="11">
        <f t="shared" si="12"/>
        <v>0.21338407624011288</v>
      </c>
      <c r="U53" s="11">
        <f t="shared" si="13"/>
        <v>0.92153038726108494</v>
      </c>
      <c r="V53" s="2">
        <f t="shared" si="14"/>
        <v>0.62008516289985172</v>
      </c>
      <c r="W53" s="2">
        <f t="shared" si="15"/>
        <v>0.70701643469749986</v>
      </c>
      <c r="X53" s="2">
        <f t="shared" si="16"/>
        <v>0.29454325371702927</v>
      </c>
      <c r="Y53" s="2">
        <f t="shared" si="17"/>
        <v>0.38680777302218894</v>
      </c>
      <c r="Z53" s="2">
        <f t="shared" si="18"/>
        <v>0.48793823198149894</v>
      </c>
      <c r="AA53" s="2">
        <f t="shared" si="19"/>
        <v>0.46059273136406487</v>
      </c>
      <c r="AB53" s="11">
        <f t="shared" si="20"/>
        <v>1.8174863884595092</v>
      </c>
      <c r="AC53" s="11">
        <f t="shared" si="21"/>
        <v>3.6681462440779486</v>
      </c>
      <c r="AD53" s="11">
        <f t="shared" si="22"/>
        <v>2.0447730720408415</v>
      </c>
      <c r="AE53" s="8">
        <f t="shared" si="23"/>
        <v>780.50180534478102</v>
      </c>
      <c r="AF53" s="23">
        <f t="shared" si="24"/>
        <v>653.69672221361157</v>
      </c>
      <c r="AG53" s="8">
        <f t="shared" si="25"/>
        <v>0.40895461440816833</v>
      </c>
      <c r="AH53" s="8">
        <f t="shared" si="26"/>
        <v>1434.6074821728007</v>
      </c>
      <c r="AI53" s="11">
        <f t="shared" si="27"/>
        <v>0.54405251265151866</v>
      </c>
      <c r="AJ53" s="11">
        <f t="shared" si="28"/>
        <v>0.45566242358052389</v>
      </c>
      <c r="AK53" s="11">
        <f t="shared" si="29"/>
        <v>2.8506376795747751E-4</v>
      </c>
      <c r="AL53" s="11">
        <f t="shared" si="30"/>
        <v>1</v>
      </c>
    </row>
    <row r="54" spans="5:38" x14ac:dyDescent="0.25">
      <c r="E54" s="8">
        <v>57.31382847371146</v>
      </c>
      <c r="F54" s="8">
        <f t="shared" si="1"/>
        <v>330.46382847371143</v>
      </c>
      <c r="G54" s="8">
        <v>0.5</v>
      </c>
      <c r="H54" s="8">
        <v>0.4</v>
      </c>
      <c r="I54" s="8">
        <f t="shared" si="2"/>
        <v>9.9999999999999978E-2</v>
      </c>
      <c r="J54" s="11">
        <f t="shared" si="3"/>
        <v>2.028661743506567</v>
      </c>
      <c r="K54" s="11">
        <f t="shared" si="0"/>
        <v>2.7294503257674614</v>
      </c>
      <c r="L54" s="11">
        <f t="shared" si="4"/>
        <v>7.0134909665617897</v>
      </c>
      <c r="M54" s="11">
        <f t="shared" si="5"/>
        <v>5.9006879067277511</v>
      </c>
      <c r="N54" s="11">
        <f t="shared" si="6"/>
        <v>3.8746831470429899</v>
      </c>
      <c r="O54" s="11">
        <f t="shared" si="7"/>
        <v>0.20498812170423572</v>
      </c>
      <c r="P54" s="11">
        <f t="shared" si="8"/>
        <v>0.44420696072147869</v>
      </c>
      <c r="Q54" s="11">
        <f t="shared" si="9"/>
        <v>0.33561851693277595</v>
      </c>
      <c r="R54" s="11">
        <f t="shared" si="10"/>
        <v>6.048279185063804E-2</v>
      </c>
      <c r="S54" s="11">
        <f t="shared" si="11"/>
        <v>9.4394245847755784E-2</v>
      </c>
      <c r="T54" s="11">
        <f t="shared" si="12"/>
        <v>0.21227487609077</v>
      </c>
      <c r="U54" s="11">
        <f t="shared" si="13"/>
        <v>0.92127633596306946</v>
      </c>
      <c r="V54" s="2">
        <f t="shared" si="14"/>
        <v>0.64368683135788596</v>
      </c>
      <c r="W54" s="2">
        <f t="shared" si="15"/>
        <v>0.7142311139570463</v>
      </c>
      <c r="X54" s="2">
        <f t="shared" si="16"/>
        <v>0.215151346361627</v>
      </c>
      <c r="Y54" s="2">
        <f t="shared" si="17"/>
        <v>0.42212072664415684</v>
      </c>
      <c r="Z54" s="2">
        <f t="shared" si="18"/>
        <v>0.46945790427545708</v>
      </c>
      <c r="AA54" s="2">
        <f t="shared" si="19"/>
        <v>0.5410969111102617</v>
      </c>
      <c r="AB54" s="11">
        <f t="shared" si="20"/>
        <v>1.8478295909874749</v>
      </c>
      <c r="AC54" s="11">
        <f t="shared" si="21"/>
        <v>2.6220046894072935</v>
      </c>
      <c r="AD54" s="11">
        <f t="shared" si="22"/>
        <v>4.4693301504430307</v>
      </c>
      <c r="AE54" s="8">
        <f t="shared" si="23"/>
        <v>765.41683219783465</v>
      </c>
      <c r="AF54" s="23">
        <f t="shared" si="24"/>
        <v>595.06932654104685</v>
      </c>
      <c r="AG54" s="8">
        <f t="shared" si="25"/>
        <v>0.44693301504430299</v>
      </c>
      <c r="AH54" s="8">
        <f t="shared" si="26"/>
        <v>1360.9330917539257</v>
      </c>
      <c r="AI54" s="11">
        <f t="shared" si="27"/>
        <v>0.56242061923219944</v>
      </c>
      <c r="AJ54" s="11">
        <f t="shared" si="28"/>
        <v>0.43725097886637548</v>
      </c>
      <c r="AK54" s="11">
        <f t="shared" si="29"/>
        <v>3.2840190142508066E-4</v>
      </c>
      <c r="AL54" s="11">
        <f t="shared" si="30"/>
        <v>1</v>
      </c>
    </row>
    <row r="55" spans="5:38" x14ac:dyDescent="0.25">
      <c r="E55" s="8">
        <v>56.160580442704315</v>
      </c>
      <c r="F55" s="8">
        <f t="shared" si="1"/>
        <v>329.31058044270429</v>
      </c>
      <c r="G55" s="8">
        <v>0.5</v>
      </c>
      <c r="H55" s="8">
        <v>0.5</v>
      </c>
      <c r="I55" s="8">
        <f t="shared" si="2"/>
        <v>0</v>
      </c>
      <c r="J55" s="11">
        <f t="shared" si="3"/>
        <v>2.035766131583419</v>
      </c>
      <c r="K55" s="11">
        <f t="shared" si="0"/>
        <v>2.7390088805205197</v>
      </c>
      <c r="L55" s="11">
        <f t="shared" si="4"/>
        <v>7.0380522625784563</v>
      </c>
      <c r="M55" s="11">
        <f t="shared" si="5"/>
        <v>5.9213521583921622</v>
      </c>
      <c r="N55" s="11">
        <f t="shared" si="6"/>
        <v>3.8882523154070814</v>
      </c>
      <c r="O55" s="11">
        <f t="shared" si="7"/>
        <v>0.205705991586878</v>
      </c>
      <c r="P55" s="11">
        <f t="shared" si="8"/>
        <v>0.44294642518234328</v>
      </c>
      <c r="Q55" s="11">
        <f t="shared" si="9"/>
        <v>0.3343377557500965</v>
      </c>
      <c r="R55" s="11">
        <f t="shared" si="10"/>
        <v>5.9891486947877465E-2</v>
      </c>
      <c r="S55" s="11">
        <f t="shared" si="11"/>
        <v>9.3617226993577163E-2</v>
      </c>
      <c r="T55" s="11">
        <f t="shared" si="12"/>
        <v>0.21112583979175445</v>
      </c>
      <c r="U55" s="11">
        <f t="shared" si="13"/>
        <v>0.92101183132679776</v>
      </c>
      <c r="V55" s="2">
        <f t="shared" si="14"/>
        <v>0.66716887787504819</v>
      </c>
      <c r="W55" s="2">
        <f t="shared" si="15"/>
        <v>0.72147321259117159</v>
      </c>
      <c r="X55" s="2">
        <f t="shared" si="16"/>
        <v>0.13550866336981596</v>
      </c>
      <c r="Y55" s="2">
        <f t="shared" si="17"/>
        <v>0.45787704104640736</v>
      </c>
      <c r="Z55" s="2">
        <f t="shared" si="18"/>
        <v>0.45086766524608168</v>
      </c>
      <c r="AA55" s="2">
        <f t="shared" si="19"/>
        <v>0.62121497531762548</v>
      </c>
      <c r="AB55" s="11">
        <f t="shared" si="20"/>
        <v>1.8313485607886411</v>
      </c>
      <c r="AC55" s="11">
        <f t="shared" si="21"/>
        <v>2.0262207495688518</v>
      </c>
      <c r="AD55" s="11">
        <f t="shared" si="22"/>
        <v>108.20511550281715</v>
      </c>
      <c r="AE55" s="8">
        <f t="shared" si="23"/>
        <v>730.57771857208206</v>
      </c>
      <c r="AF55" s="23">
        <f t="shared" si="24"/>
        <v>547.95976213820916</v>
      </c>
      <c r="AG55" s="8">
        <f t="shared" si="25"/>
        <v>0</v>
      </c>
      <c r="AH55" s="8">
        <f t="shared" si="26"/>
        <v>1278.5374807102912</v>
      </c>
      <c r="AI55" s="11">
        <f t="shared" si="27"/>
        <v>0.57141673951256378</v>
      </c>
      <c r="AJ55" s="11">
        <f t="shared" si="28"/>
        <v>0.42858326048743617</v>
      </c>
      <c r="AK55" s="11">
        <f t="shared" si="29"/>
        <v>0</v>
      </c>
      <c r="AL55" s="11">
        <f t="shared" si="30"/>
        <v>1</v>
      </c>
    </row>
    <row r="56" spans="5:38" x14ac:dyDescent="0.25">
      <c r="E56" s="8">
        <v>60.254083469494496</v>
      </c>
      <c r="F56" s="8">
        <f t="shared" si="1"/>
        <v>333.40408346949448</v>
      </c>
      <c r="G56" s="8">
        <v>0.6</v>
      </c>
      <c r="H56" s="8">
        <v>0</v>
      </c>
      <c r="I56" s="8">
        <f t="shared" si="2"/>
        <v>0.4</v>
      </c>
      <c r="J56" s="11">
        <f t="shared" si="3"/>
        <v>2.0107711923050702</v>
      </c>
      <c r="K56" s="11">
        <f t="shared" si="0"/>
        <v>2.7053795949216775</v>
      </c>
      <c r="L56" s="11">
        <f t="shared" si="4"/>
        <v>6.951639738953177</v>
      </c>
      <c r="M56" s="11">
        <f t="shared" si="5"/>
        <v>5.8486503704271486</v>
      </c>
      <c r="N56" s="11">
        <f t="shared" si="6"/>
        <v>3.8405127302873958</v>
      </c>
      <c r="O56" s="11">
        <f t="shared" si="7"/>
        <v>0.2031803533570547</v>
      </c>
      <c r="P56" s="11">
        <f t="shared" si="8"/>
        <v>0.4473972051027551</v>
      </c>
      <c r="Q56" s="11">
        <f t="shared" si="9"/>
        <v>0.33886555676790941</v>
      </c>
      <c r="R56" s="11">
        <f t="shared" si="10"/>
        <v>6.1997829936036156E-2</v>
      </c>
      <c r="S56" s="11">
        <f t="shared" si="11"/>
        <v>9.6379654921578142E-2</v>
      </c>
      <c r="T56" s="11">
        <f t="shared" si="12"/>
        <v>0.21519620359980607</v>
      </c>
      <c r="U56" s="11">
        <f t="shared" si="13"/>
        <v>0.92194275856123109</v>
      </c>
      <c r="V56" s="2">
        <f t="shared" si="14"/>
        <v>0.63855186196863123</v>
      </c>
      <c r="W56" s="2">
        <f t="shared" si="15"/>
        <v>0.63721542648614549</v>
      </c>
      <c r="X56" s="2">
        <f t="shared" si="16"/>
        <v>0.4371986979616217</v>
      </c>
      <c r="Y56" s="2">
        <f t="shared" si="17"/>
        <v>0.22547636178349151</v>
      </c>
      <c r="Z56" s="2">
        <f t="shared" si="18"/>
        <v>0.61469630910683315</v>
      </c>
      <c r="AA56" s="2">
        <f t="shared" si="19"/>
        <v>0.2585919469873259</v>
      </c>
      <c r="AB56" s="11">
        <f t="shared" si="20"/>
        <v>1.4653362083179882</v>
      </c>
      <c r="AC56" s="11">
        <f t="shared" si="21"/>
        <v>10.520564049024497</v>
      </c>
      <c r="AD56" s="11">
        <f t="shared" si="22"/>
        <v>1.7298008312540725</v>
      </c>
      <c r="AE56" s="8">
        <f t="shared" si="23"/>
        <v>800.55722903798323</v>
      </c>
      <c r="AF56" s="23">
        <f t="shared" si="24"/>
        <v>0</v>
      </c>
      <c r="AG56" s="8">
        <f t="shared" si="25"/>
        <v>0.69192033250162899</v>
      </c>
      <c r="AH56" s="8">
        <f t="shared" si="26"/>
        <v>801.24914937048482</v>
      </c>
      <c r="AI56" s="11">
        <f t="shared" si="27"/>
        <v>0.99913644796622225</v>
      </c>
      <c r="AJ56" s="11">
        <f t="shared" si="28"/>
        <v>0</v>
      </c>
      <c r="AK56" s="11">
        <f t="shared" si="29"/>
        <v>8.6355203377781818E-4</v>
      </c>
      <c r="AL56" s="11">
        <f t="shared" si="30"/>
        <v>1</v>
      </c>
    </row>
    <row r="57" spans="5:38" x14ac:dyDescent="0.25">
      <c r="E57" s="8">
        <v>59.089573311794624</v>
      </c>
      <c r="F57" s="8">
        <f t="shared" si="1"/>
        <v>332.23957331179463</v>
      </c>
      <c r="G57" s="8">
        <v>0.6</v>
      </c>
      <c r="H57" s="8">
        <v>0.1</v>
      </c>
      <c r="I57" s="8">
        <f t="shared" si="2"/>
        <v>0.30000000000000004</v>
      </c>
      <c r="J57" s="11">
        <f t="shared" si="3"/>
        <v>2.0178190085989227</v>
      </c>
      <c r="K57" s="11">
        <f t="shared" si="0"/>
        <v>2.7148620355211412</v>
      </c>
      <c r="L57" s="11">
        <f t="shared" si="4"/>
        <v>6.9760054549574049</v>
      </c>
      <c r="M57" s="11">
        <f t="shared" si="5"/>
        <v>5.8691500739913769</v>
      </c>
      <c r="N57" s="11">
        <f t="shared" si="6"/>
        <v>3.8539738482409702</v>
      </c>
      <c r="O57" s="11">
        <f t="shared" si="7"/>
        <v>0.20389250688822749</v>
      </c>
      <c r="P57" s="11">
        <f t="shared" si="8"/>
        <v>0.44613771194740171</v>
      </c>
      <c r="Q57" s="11">
        <f t="shared" si="9"/>
        <v>0.33758268225690036</v>
      </c>
      <c r="R57" s="11">
        <f t="shared" si="10"/>
        <v>6.1396516376177317E-2</v>
      </c>
      <c r="S57" s="11">
        <f t="shared" si="11"/>
        <v>9.5592584531394006E-2</v>
      </c>
      <c r="T57" s="11">
        <f t="shared" si="12"/>
        <v>0.2140406049298306</v>
      </c>
      <c r="U57" s="11">
        <f t="shared" si="13"/>
        <v>0.92168017004725478</v>
      </c>
      <c r="V57" s="2">
        <f t="shared" si="14"/>
        <v>0.66243604358510821</v>
      </c>
      <c r="W57" s="2">
        <f t="shared" si="15"/>
        <v>0.64418667818261754</v>
      </c>
      <c r="X57" s="2">
        <f t="shared" si="16"/>
        <v>0.35824197031868948</v>
      </c>
      <c r="Y57" s="2">
        <f t="shared" si="17"/>
        <v>0.25996320816350293</v>
      </c>
      <c r="Z57" s="2">
        <f t="shared" si="18"/>
        <v>0.5965121974982095</v>
      </c>
      <c r="AA57" s="2">
        <f t="shared" si="19"/>
        <v>0.33947214927948122</v>
      </c>
      <c r="AB57" s="11">
        <f t="shared" si="20"/>
        <v>1.5258514531968135</v>
      </c>
      <c r="AC57" s="11">
        <f t="shared" si="21"/>
        <v>7.4880446672543712</v>
      </c>
      <c r="AD57" s="11">
        <f t="shared" si="22"/>
        <v>1.6903449511771014</v>
      </c>
      <c r="AE57" s="8">
        <f t="shared" si="23"/>
        <v>803.19317772783916</v>
      </c>
      <c r="AF57" s="23">
        <f t="shared" si="24"/>
        <v>457.00132380394047</v>
      </c>
      <c r="AG57" s="8">
        <f t="shared" si="25"/>
        <v>0.50710348535313043</v>
      </c>
      <c r="AH57" s="8">
        <f t="shared" si="26"/>
        <v>1260.7016050171328</v>
      </c>
      <c r="AI57" s="11">
        <f t="shared" si="27"/>
        <v>0.63710014687966054</v>
      </c>
      <c r="AJ57" s="11">
        <f t="shared" si="28"/>
        <v>0.36249761401527675</v>
      </c>
      <c r="AK57" s="11">
        <f t="shared" si="29"/>
        <v>4.0223910506264401E-4</v>
      </c>
      <c r="AL57" s="11">
        <f t="shared" si="30"/>
        <v>1</v>
      </c>
    </row>
    <row r="58" spans="5:38" x14ac:dyDescent="0.25">
      <c r="E58" s="8">
        <v>57.84544386397021</v>
      </c>
      <c r="F58" s="8">
        <f t="shared" si="1"/>
        <v>330.99544386397019</v>
      </c>
      <c r="G58" s="8">
        <v>0.6</v>
      </c>
      <c r="H58" s="8">
        <v>0.2</v>
      </c>
      <c r="I58" s="8">
        <f t="shared" si="2"/>
        <v>0.2</v>
      </c>
      <c r="J58" s="11">
        <f t="shared" si="3"/>
        <v>2.0254034877677944</v>
      </c>
      <c r="K58" s="11">
        <f t="shared" si="0"/>
        <v>2.7250665258480846</v>
      </c>
      <c r="L58" s="11">
        <f t="shared" si="4"/>
        <v>7.0022265222729505</v>
      </c>
      <c r="M58" s="11">
        <f t="shared" si="5"/>
        <v>5.8912107475629272</v>
      </c>
      <c r="N58" s="11">
        <f t="shared" si="6"/>
        <v>3.8684599762062608</v>
      </c>
      <c r="O58" s="11">
        <f t="shared" si="7"/>
        <v>0.20465888804758456</v>
      </c>
      <c r="P58" s="11">
        <f t="shared" si="8"/>
        <v>0.44478627410129529</v>
      </c>
      <c r="Q58" s="11">
        <f t="shared" si="9"/>
        <v>0.33620754699081784</v>
      </c>
      <c r="R58" s="11">
        <f t="shared" si="10"/>
        <v>6.0755928751309508E-2</v>
      </c>
      <c r="S58" s="11">
        <f t="shared" si="11"/>
        <v>9.4752760675689607E-2</v>
      </c>
      <c r="T58" s="11">
        <f t="shared" si="12"/>
        <v>0.212803943440178</v>
      </c>
      <c r="U58" s="11">
        <f t="shared" si="13"/>
        <v>0.92139767002309547</v>
      </c>
      <c r="V58" s="2">
        <f t="shared" si="14"/>
        <v>0.68619206153330148</v>
      </c>
      <c r="W58" s="2">
        <f t="shared" si="15"/>
        <v>0.65115129846539621</v>
      </c>
      <c r="X58" s="2">
        <f t="shared" si="16"/>
        <v>0.27901434593882135</v>
      </c>
      <c r="Y58" s="2">
        <f t="shared" si="17"/>
        <v>0.29487928281921105</v>
      </c>
      <c r="Z58" s="2">
        <f t="shared" si="18"/>
        <v>0.57823744704491575</v>
      </c>
      <c r="AA58" s="2">
        <f t="shared" si="19"/>
        <v>0.41990077300808493</v>
      </c>
      <c r="AB58" s="11">
        <f t="shared" si="20"/>
        <v>1.5663857316574021</v>
      </c>
      <c r="AC58" s="11">
        <f t="shared" si="21"/>
        <v>5.2099668845106759</v>
      </c>
      <c r="AD58" s="11">
        <f t="shared" si="22"/>
        <v>1.9843252729651712</v>
      </c>
      <c r="AE58" s="8">
        <f t="shared" si="23"/>
        <v>792.13981789553316</v>
      </c>
      <c r="AF58" s="23">
        <f t="shared" si="24"/>
        <v>604.31429832703668</v>
      </c>
      <c r="AG58" s="8">
        <f t="shared" si="25"/>
        <v>0.39686505459303428</v>
      </c>
      <c r="AH58" s="8">
        <f t="shared" si="26"/>
        <v>1396.8509812771629</v>
      </c>
      <c r="AI58" s="11">
        <f t="shared" si="27"/>
        <v>0.56708971000705255</v>
      </c>
      <c r="AJ58" s="11">
        <f t="shared" si="28"/>
        <v>0.43262617589637414</v>
      </c>
      <c r="AK58" s="11">
        <f t="shared" si="29"/>
        <v>2.8411409657326102E-4</v>
      </c>
      <c r="AL58" s="11">
        <f t="shared" si="30"/>
        <v>1</v>
      </c>
    </row>
    <row r="59" spans="5:38" x14ac:dyDescent="0.25">
      <c r="E59" s="8">
        <v>56.572899775440447</v>
      </c>
      <c r="F59" s="8">
        <f t="shared" si="1"/>
        <v>329.7228997754404</v>
      </c>
      <c r="G59" s="8">
        <v>0.6</v>
      </c>
      <c r="H59" s="8">
        <v>0.3</v>
      </c>
      <c r="I59" s="8">
        <f t="shared" si="2"/>
        <v>0.10000000000000003</v>
      </c>
      <c r="J59" s="11">
        <f t="shared" si="3"/>
        <v>2.0332204008090242</v>
      </c>
      <c r="K59" s="11">
        <f t="shared" si="0"/>
        <v>2.7355837428829961</v>
      </c>
      <c r="L59" s="11">
        <f t="shared" si="4"/>
        <v>7.0292511601538319</v>
      </c>
      <c r="M59" s="11">
        <f t="shared" si="5"/>
        <v>5.9139474923149615</v>
      </c>
      <c r="N59" s="11">
        <f t="shared" si="6"/>
        <v>3.8833900459035378</v>
      </c>
      <c r="O59" s="11">
        <f t="shared" si="7"/>
        <v>0.20544875571624641</v>
      </c>
      <c r="P59" s="11">
        <f t="shared" si="8"/>
        <v>0.44339770384854393</v>
      </c>
      <c r="Q59" s="11">
        <f t="shared" si="9"/>
        <v>0.3347961308102772</v>
      </c>
      <c r="R59" s="11">
        <f t="shared" si="10"/>
        <v>6.0102702960884671E-2</v>
      </c>
      <c r="S59" s="11">
        <f t="shared" si="11"/>
        <v>9.3894919756990089E-2</v>
      </c>
      <c r="T59" s="11">
        <f t="shared" si="12"/>
        <v>0.21153685965295094</v>
      </c>
      <c r="U59" s="11">
        <f t="shared" si="13"/>
        <v>0.92110660311457215</v>
      </c>
      <c r="V59" s="2">
        <f t="shared" si="14"/>
        <v>0.70982833121878219</v>
      </c>
      <c r="W59" s="2">
        <f t="shared" si="15"/>
        <v>0.65814928262058348</v>
      </c>
      <c r="X59" s="2">
        <f t="shared" si="16"/>
        <v>0.1995226796724161</v>
      </c>
      <c r="Y59" s="2">
        <f t="shared" si="17"/>
        <v>0.33028781831121362</v>
      </c>
      <c r="Z59" s="2">
        <f t="shared" si="18"/>
        <v>0.55983917483123324</v>
      </c>
      <c r="AA59" s="2">
        <f t="shared" si="19"/>
        <v>0.49993023724509678</v>
      </c>
      <c r="AB59" s="11">
        <f t="shared" si="20"/>
        <v>1.564046229781666</v>
      </c>
      <c r="AC59" s="11">
        <f t="shared" si="21"/>
        <v>3.4953701457555431</v>
      </c>
      <c r="AD59" s="11">
        <f t="shared" si="22"/>
        <v>4.1015915384588899</v>
      </c>
      <c r="AE59" s="8">
        <f t="shared" si="23"/>
        <v>758.89999063421999</v>
      </c>
      <c r="AF59" s="23">
        <f t="shared" si="24"/>
        <v>576.97344870035136</v>
      </c>
      <c r="AG59" s="8">
        <f t="shared" si="25"/>
        <v>0.41015915384588914</v>
      </c>
      <c r="AH59" s="8">
        <f t="shared" si="26"/>
        <v>1336.2835984884171</v>
      </c>
      <c r="AI59" s="11">
        <f t="shared" si="27"/>
        <v>0.56791836066286805</v>
      </c>
      <c r="AJ59" s="11">
        <f t="shared" si="28"/>
        <v>0.43177469913797839</v>
      </c>
      <c r="AK59" s="11">
        <f t="shared" si="29"/>
        <v>3.0694019915372358E-4</v>
      </c>
      <c r="AL59" s="11">
        <f t="shared" si="30"/>
        <v>1.0000000000000002</v>
      </c>
    </row>
    <row r="60" spans="5:38" x14ac:dyDescent="0.25">
      <c r="E60" s="8">
        <v>55.316266710013615</v>
      </c>
      <c r="F60" s="8">
        <f t="shared" si="1"/>
        <v>328.4662667100136</v>
      </c>
      <c r="G60" s="8">
        <v>0.6</v>
      </c>
      <c r="H60" s="8">
        <v>0.4</v>
      </c>
      <c r="I60" s="8">
        <f t="shared" si="2"/>
        <v>0</v>
      </c>
      <c r="J60" s="11">
        <f t="shared" si="3"/>
        <v>2.040999013847582</v>
      </c>
      <c r="K60" s="11">
        <f t="shared" si="0"/>
        <v>2.7460494294175151</v>
      </c>
      <c r="L60" s="11">
        <f t="shared" si="4"/>
        <v>7.056143387235517</v>
      </c>
      <c r="M60" s="11">
        <f t="shared" si="5"/>
        <v>5.9365728353691445</v>
      </c>
      <c r="N60" s="11">
        <f t="shared" si="6"/>
        <v>3.898246963743262</v>
      </c>
      <c r="O60" s="11">
        <f t="shared" si="7"/>
        <v>0.20623475332345809</v>
      </c>
      <c r="P60" s="11">
        <f t="shared" si="8"/>
        <v>0.44202024024692027</v>
      </c>
      <c r="Q60" s="11">
        <f t="shared" si="9"/>
        <v>0.33339751181122379</v>
      </c>
      <c r="R60" s="11">
        <f t="shared" si="10"/>
        <v>5.9459649574591614E-2</v>
      </c>
      <c r="S60" s="11">
        <f t="shared" si="11"/>
        <v>9.3048991505950876E-2</v>
      </c>
      <c r="T60" s="11">
        <f t="shared" si="12"/>
        <v>0.21028347333564762</v>
      </c>
      <c r="U60" s="11">
        <f t="shared" si="13"/>
        <v>0.92081705359958843</v>
      </c>
      <c r="V60" s="2">
        <f t="shared" si="14"/>
        <v>0.73335900472448956</v>
      </c>
      <c r="W60" s="2">
        <f t="shared" si="15"/>
        <v>0.66521214414815222</v>
      </c>
      <c r="X60" s="2">
        <f t="shared" si="16"/>
        <v>0.11978917907901401</v>
      </c>
      <c r="Y60" s="2">
        <f t="shared" si="17"/>
        <v>0.36621041883137218</v>
      </c>
      <c r="Z60" s="2">
        <f t="shared" si="18"/>
        <v>0.54129772466678128</v>
      </c>
      <c r="AA60" s="2">
        <f t="shared" si="19"/>
        <v>0.57962825247428762</v>
      </c>
      <c r="AB60" s="11">
        <f t="shared" si="20"/>
        <v>1.5174140075033902</v>
      </c>
      <c r="AC60" s="11">
        <f t="shared" si="21"/>
        <v>2.5529540360597225</v>
      </c>
      <c r="AD60" s="11">
        <f t="shared" si="22"/>
        <v>136.49631310910542</v>
      </c>
      <c r="AE60" s="8">
        <f t="shared" si="23"/>
        <v>706.52651382096883</v>
      </c>
      <c r="AF60" s="23">
        <f t="shared" si="24"/>
        <v>533.17904056271936</v>
      </c>
      <c r="AG60" s="8">
        <f t="shared" si="25"/>
        <v>0</v>
      </c>
      <c r="AH60" s="8">
        <f t="shared" si="26"/>
        <v>1239.7055543836882</v>
      </c>
      <c r="AI60" s="11">
        <f t="shared" si="27"/>
        <v>0.56991477639399146</v>
      </c>
      <c r="AJ60" s="11">
        <f t="shared" si="28"/>
        <v>0.43008522360600859</v>
      </c>
      <c r="AK60" s="11">
        <f t="shared" si="29"/>
        <v>0</v>
      </c>
      <c r="AL60" s="11">
        <f t="shared" si="30"/>
        <v>1</v>
      </c>
    </row>
    <row r="61" spans="5:38" x14ac:dyDescent="0.25">
      <c r="E61" s="8">
        <v>59.296142679867536</v>
      </c>
      <c r="F61" s="8">
        <f t="shared" si="1"/>
        <v>332.44614267986753</v>
      </c>
      <c r="G61" s="8">
        <v>0.7</v>
      </c>
      <c r="H61" s="8">
        <v>0</v>
      </c>
      <c r="I61" s="8">
        <f t="shared" si="2"/>
        <v>0.30000000000000004</v>
      </c>
      <c r="J61" s="11">
        <f t="shared" si="3"/>
        <v>2.0165652127385414</v>
      </c>
      <c r="K61" s="11">
        <f t="shared" si="0"/>
        <v>2.7131751236786332</v>
      </c>
      <c r="L61" s="11">
        <f t="shared" si="4"/>
        <v>6.9716708309281188</v>
      </c>
      <c r="M61" s="11">
        <f t="shared" si="5"/>
        <v>5.8655032077286604</v>
      </c>
      <c r="N61" s="11">
        <f t="shared" si="6"/>
        <v>3.851579135714053</v>
      </c>
      <c r="O61" s="11">
        <f t="shared" si="7"/>
        <v>0.20376581585200973</v>
      </c>
      <c r="P61" s="11">
        <f t="shared" si="8"/>
        <v>0.44636151430976573</v>
      </c>
      <c r="Q61" s="11">
        <f t="shared" si="9"/>
        <v>0.33781054801595395</v>
      </c>
      <c r="R61" s="11">
        <f t="shared" si="10"/>
        <v>6.1503061041778793E-2</v>
      </c>
      <c r="S61" s="11">
        <f t="shared" si="11"/>
        <v>9.5732131637172119E-2</v>
      </c>
      <c r="T61" s="11">
        <f t="shared" si="12"/>
        <v>0.2142457294441529</v>
      </c>
      <c r="U61" s="11">
        <f t="shared" si="13"/>
        <v>0.92172687867707959</v>
      </c>
      <c r="V61" s="2">
        <f t="shared" si="14"/>
        <v>0.72871963949115159</v>
      </c>
      <c r="W61" s="2">
        <f t="shared" si="15"/>
        <v>0.58897112361995996</v>
      </c>
      <c r="X61" s="2">
        <f t="shared" si="16"/>
        <v>0.34305214272924522</v>
      </c>
      <c r="Y61" s="2">
        <f t="shared" si="17"/>
        <v>0.16845513756016064</v>
      </c>
      <c r="Z61" s="2">
        <f t="shared" si="18"/>
        <v>0.68642690027156761</v>
      </c>
      <c r="AA61" s="2">
        <f t="shared" si="19"/>
        <v>0.30014536767443251</v>
      </c>
      <c r="AB61" s="11">
        <f t="shared" si="20"/>
        <v>1.4007690303312197</v>
      </c>
      <c r="AC61" s="11">
        <f t="shared" si="21"/>
        <v>12.535612522993365</v>
      </c>
      <c r="AD61" s="11">
        <f t="shared" si="22"/>
        <v>1.8737284029228982</v>
      </c>
      <c r="AE61" s="8">
        <f t="shared" si="23"/>
        <v>865.95530701631253</v>
      </c>
      <c r="AF61" s="23">
        <f t="shared" si="24"/>
        <v>0</v>
      </c>
      <c r="AG61" s="8">
        <f t="shared" si="25"/>
        <v>0.56211852087686953</v>
      </c>
      <c r="AH61" s="8">
        <f t="shared" si="26"/>
        <v>866.51742553718941</v>
      </c>
      <c r="AI61" s="11">
        <f t="shared" si="27"/>
        <v>0.99935128999797274</v>
      </c>
      <c r="AJ61" s="11">
        <f t="shared" si="28"/>
        <v>0</v>
      </c>
      <c r="AK61" s="11">
        <f t="shared" si="29"/>
        <v>6.4871000202724072E-4</v>
      </c>
      <c r="AL61" s="11">
        <f t="shared" si="30"/>
        <v>1</v>
      </c>
    </row>
    <row r="62" spans="5:38" x14ac:dyDescent="0.25">
      <c r="E62" s="8">
        <v>57.761223680177245</v>
      </c>
      <c r="F62" s="8">
        <f t="shared" si="1"/>
        <v>330.91122368017722</v>
      </c>
      <c r="G62" s="8">
        <v>0.7</v>
      </c>
      <c r="H62" s="8">
        <v>0.1</v>
      </c>
      <c r="I62" s="8">
        <f t="shared" si="2"/>
        <v>0.20000000000000004</v>
      </c>
      <c r="J62" s="11">
        <f t="shared" si="3"/>
        <v>2.0259189730151603</v>
      </c>
      <c r="K62" s="11">
        <f t="shared" si="0"/>
        <v>2.7257600822681503</v>
      </c>
      <c r="L62" s="11">
        <f t="shared" si="4"/>
        <v>7.0040086582733796</v>
      </c>
      <c r="M62" s="11">
        <f t="shared" si="5"/>
        <v>5.8927101190451188</v>
      </c>
      <c r="N62" s="11">
        <f t="shared" si="6"/>
        <v>3.8694445375836861</v>
      </c>
      <c r="O62" s="11">
        <f t="shared" si="7"/>
        <v>0.2047109757615477</v>
      </c>
      <c r="P62" s="11">
        <f t="shared" si="8"/>
        <v>0.44469457125090145</v>
      </c>
      <c r="Q62" s="11">
        <f t="shared" si="9"/>
        <v>0.33611428836636353</v>
      </c>
      <c r="R62" s="11">
        <f t="shared" si="10"/>
        <v>6.071263405340397E-2</v>
      </c>
      <c r="S62" s="11">
        <f t="shared" si="11"/>
        <v>9.4695949878603872E-2</v>
      </c>
      <c r="T62" s="11">
        <f t="shared" si="12"/>
        <v>0.2127201525232511</v>
      </c>
      <c r="U62" s="11">
        <f t="shared" si="13"/>
        <v>0.92137847282377083</v>
      </c>
      <c r="V62" s="2">
        <f t="shared" si="14"/>
        <v>0.75255061881235707</v>
      </c>
      <c r="W62" s="2">
        <f t="shared" si="15"/>
        <v>0.59556189444038521</v>
      </c>
      <c r="X62" s="2">
        <f t="shared" si="16"/>
        <v>0.26377085908970793</v>
      </c>
      <c r="Y62" s="2">
        <f t="shared" si="17"/>
        <v>0.20321984744734772</v>
      </c>
      <c r="Z62" s="2">
        <f t="shared" si="18"/>
        <v>0.66836387560931798</v>
      </c>
      <c r="AA62" s="2">
        <f t="shared" si="19"/>
        <v>0.37997315342514348</v>
      </c>
      <c r="AB62" s="11">
        <f t="shared" si="20"/>
        <v>1.408384899505837</v>
      </c>
      <c r="AC62" s="11">
        <f t="shared" si="21"/>
        <v>8.1119047628559144</v>
      </c>
      <c r="AD62" s="11">
        <f t="shared" si="22"/>
        <v>2.0169553123040762</v>
      </c>
      <c r="AE62" s="8">
        <f t="shared" si="23"/>
        <v>828.68086509084469</v>
      </c>
      <c r="AF62" s="23">
        <f t="shared" si="24"/>
        <v>468.828835938032</v>
      </c>
      <c r="AG62" s="8">
        <f t="shared" si="25"/>
        <v>0.4033910624608153</v>
      </c>
      <c r="AH62" s="8">
        <f t="shared" si="26"/>
        <v>1297.9130920913374</v>
      </c>
      <c r="AI62" s="11">
        <f t="shared" si="27"/>
        <v>0.63847176682345108</v>
      </c>
      <c r="AJ62" s="11">
        <f t="shared" si="28"/>
        <v>0.36121743342815388</v>
      </c>
      <c r="AK62" s="11">
        <f t="shared" si="29"/>
        <v>3.1079974839519353E-4</v>
      </c>
      <c r="AL62" s="11">
        <f t="shared" si="30"/>
        <v>1</v>
      </c>
    </row>
    <row r="63" spans="5:38" x14ac:dyDescent="0.25">
      <c r="E63" s="8">
        <v>56.230848955824698</v>
      </c>
      <c r="F63" s="8">
        <f t="shared" si="1"/>
        <v>329.38084895582466</v>
      </c>
      <c r="G63" s="8">
        <v>0.7</v>
      </c>
      <c r="H63" s="8">
        <v>0.2</v>
      </c>
      <c r="I63" s="8">
        <f t="shared" si="2"/>
        <v>0.10000000000000003</v>
      </c>
      <c r="J63" s="11">
        <f t="shared" si="3"/>
        <v>2.0353318311085111</v>
      </c>
      <c r="K63" s="11">
        <f t="shared" si="0"/>
        <v>2.7384245536476377</v>
      </c>
      <c r="L63" s="11">
        <f t="shared" si="4"/>
        <v>7.0365507986368749</v>
      </c>
      <c r="M63" s="11">
        <f t="shared" si="5"/>
        <v>5.9200889258358336</v>
      </c>
      <c r="N63" s="11">
        <f t="shared" si="6"/>
        <v>3.88742281451258</v>
      </c>
      <c r="O63" s="11">
        <f t="shared" si="7"/>
        <v>0.20566210726811879</v>
      </c>
      <c r="P63" s="11">
        <f t="shared" si="8"/>
        <v>0.44302338060363117</v>
      </c>
      <c r="Q63" s="11">
        <f t="shared" si="9"/>
        <v>0.33441590989737596</v>
      </c>
      <c r="R63" s="11">
        <f t="shared" si="10"/>
        <v>5.9927467714784723E-2</v>
      </c>
      <c r="S63" s="11">
        <f t="shared" si="11"/>
        <v>9.3664543078402801E-2</v>
      </c>
      <c r="T63" s="11">
        <f t="shared" si="12"/>
        <v>0.21119590304380156</v>
      </c>
      <c r="U63" s="11">
        <f t="shared" si="13"/>
        <v>0.92102799865941065</v>
      </c>
      <c r="V63" s="2">
        <f t="shared" si="14"/>
        <v>0.77624963628731547</v>
      </c>
      <c r="W63" s="2">
        <f t="shared" si="15"/>
        <v>0.60221916628848293</v>
      </c>
      <c r="X63" s="2">
        <f t="shared" si="16"/>
        <v>0.18418840800910966</v>
      </c>
      <c r="Y63" s="2">
        <f t="shared" si="17"/>
        <v>0.23860479018087066</v>
      </c>
      <c r="Z63" s="2">
        <f t="shared" si="18"/>
        <v>0.65013176783323334</v>
      </c>
      <c r="AA63" s="2">
        <f t="shared" si="19"/>
        <v>0.45937942393094</v>
      </c>
      <c r="AB63" s="11">
        <f t="shared" si="20"/>
        <v>1.3752154049569099</v>
      </c>
      <c r="AC63" s="11">
        <f t="shared" si="21"/>
        <v>5.0224620968847002</v>
      </c>
      <c r="AD63" s="11">
        <f t="shared" si="22"/>
        <v>3.8449133311726036</v>
      </c>
      <c r="AE63" s="8">
        <f t="shared" si="23"/>
        <v>769.82822484253825</v>
      </c>
      <c r="AF63" s="23">
        <f t="shared" si="24"/>
        <v>544.89102209380303</v>
      </c>
      <c r="AG63" s="8">
        <f t="shared" si="25"/>
        <v>0.38449133311726047</v>
      </c>
      <c r="AH63" s="8">
        <f t="shared" si="26"/>
        <v>1315.1037382694585</v>
      </c>
      <c r="AI63" s="11">
        <f t="shared" si="27"/>
        <v>0.5853745240322662</v>
      </c>
      <c r="AJ63" s="11">
        <f t="shared" si="28"/>
        <v>0.41433311018553082</v>
      </c>
      <c r="AK63" s="11">
        <f t="shared" si="29"/>
        <v>2.9236578220301584E-4</v>
      </c>
      <c r="AL63" s="11">
        <f t="shared" si="30"/>
        <v>1</v>
      </c>
    </row>
    <row r="64" spans="5:38" x14ac:dyDescent="0.25">
      <c r="E64" s="8">
        <v>54.783569478785246</v>
      </c>
      <c r="F64" s="8">
        <f t="shared" si="1"/>
        <v>327.93356947878522</v>
      </c>
      <c r="G64" s="8">
        <v>0.7</v>
      </c>
      <c r="H64" s="8">
        <v>0.3</v>
      </c>
      <c r="I64" s="8">
        <f t="shared" si="2"/>
        <v>0</v>
      </c>
      <c r="J64" s="11">
        <f t="shared" si="3"/>
        <v>2.0443144247259024</v>
      </c>
      <c r="K64" s="11">
        <f t="shared" si="0"/>
        <v>2.7505101283639264</v>
      </c>
      <c r="L64" s="11">
        <f t="shared" si="4"/>
        <v>7.0676054283175107</v>
      </c>
      <c r="M64" s="11">
        <f t="shared" si="5"/>
        <v>5.9462162394201936</v>
      </c>
      <c r="N64" s="11">
        <f t="shared" si="6"/>
        <v>3.9045792991840371</v>
      </c>
      <c r="O64" s="11">
        <f t="shared" si="7"/>
        <v>0.20656976227741505</v>
      </c>
      <c r="P64" s="11">
        <f t="shared" si="8"/>
        <v>0.44143443728309789</v>
      </c>
      <c r="Q64" s="11">
        <f t="shared" si="9"/>
        <v>0.33280316783494668</v>
      </c>
      <c r="R64" s="11">
        <f t="shared" si="10"/>
        <v>5.918766197917584E-2</v>
      </c>
      <c r="S64" s="11">
        <f t="shared" si="11"/>
        <v>9.2690759257146108E-2</v>
      </c>
      <c r="T64" s="11">
        <f t="shared" si="12"/>
        <v>0.20975151313382093</v>
      </c>
      <c r="U64" s="11">
        <f t="shared" si="13"/>
        <v>0.92069366908359174</v>
      </c>
      <c r="V64" s="2">
        <f t="shared" si="14"/>
        <v>0.79984095035048397</v>
      </c>
      <c r="W64" s="2">
        <f t="shared" si="15"/>
        <v>0.60900410609816857</v>
      </c>
      <c r="X64" s="2">
        <f t="shared" si="16"/>
        <v>0.10435681732556937</v>
      </c>
      <c r="Y64" s="2">
        <f t="shared" si="17"/>
        <v>0.27461354516448616</v>
      </c>
      <c r="Z64" s="2">
        <f t="shared" si="18"/>
        <v>0.63170155139601902</v>
      </c>
      <c r="AA64" s="2">
        <f t="shared" si="19"/>
        <v>0.53851795361186527</v>
      </c>
      <c r="AB64" s="11">
        <f t="shared" si="20"/>
        <v>1.2993224922475419</v>
      </c>
      <c r="AC64" s="11">
        <f t="shared" si="21"/>
        <v>3.4124083104823106</v>
      </c>
      <c r="AD64" s="11">
        <f t="shared" si="22"/>
        <v>188.31290297892386</v>
      </c>
      <c r="AE64" s="8">
        <f t="shared" si="23"/>
        <v>693.49764897314583</v>
      </c>
      <c r="AF64" s="23">
        <f t="shared" si="24"/>
        <v>522.68323320516424</v>
      </c>
      <c r="AG64" s="8">
        <f t="shared" si="25"/>
        <v>0</v>
      </c>
      <c r="AH64" s="8">
        <f t="shared" si="26"/>
        <v>1216.1808821783102</v>
      </c>
      <c r="AI64" s="11">
        <f t="shared" si="27"/>
        <v>0.57022574448877805</v>
      </c>
      <c r="AJ64" s="11">
        <f t="shared" si="28"/>
        <v>0.42977425551122184</v>
      </c>
      <c r="AK64" s="11">
        <f t="shared" si="29"/>
        <v>0</v>
      </c>
      <c r="AL64" s="11">
        <f t="shared" si="30"/>
        <v>0.99999999999999989</v>
      </c>
    </row>
    <row r="65" spans="5:38" x14ac:dyDescent="0.25">
      <c r="E65" s="8">
        <v>58.252061026167148</v>
      </c>
      <c r="F65" s="8">
        <f t="shared" si="1"/>
        <v>331.40206102616713</v>
      </c>
      <c r="G65" s="8">
        <v>0.8</v>
      </c>
      <c r="H65" s="8">
        <v>0</v>
      </c>
      <c r="I65" s="8">
        <f t="shared" si="2"/>
        <v>0.19999999999999996</v>
      </c>
      <c r="J65" s="11">
        <f t="shared" si="3"/>
        <v>2.0229183981580627</v>
      </c>
      <c r="K65" s="11">
        <f t="shared" si="0"/>
        <v>2.721722977488406</v>
      </c>
      <c r="L65" s="11">
        <f t="shared" si="4"/>
        <v>6.993635068530236</v>
      </c>
      <c r="M65" s="11">
        <f t="shared" si="5"/>
        <v>5.8839824660348627</v>
      </c>
      <c r="N65" s="11">
        <f t="shared" si="6"/>
        <v>3.8637135295102847</v>
      </c>
      <c r="O65" s="11">
        <f t="shared" si="7"/>
        <v>0.20440777972309615</v>
      </c>
      <c r="P65" s="11">
        <f t="shared" si="8"/>
        <v>0.44522862742172714</v>
      </c>
      <c r="Q65" s="11">
        <f t="shared" si="9"/>
        <v>0.3366574982874343</v>
      </c>
      <c r="R65" s="11">
        <f t="shared" si="10"/>
        <v>6.0965080629790482E-2</v>
      </c>
      <c r="S65" s="11">
        <f t="shared" si="11"/>
        <v>9.5027116961346289E-2</v>
      </c>
      <c r="T65" s="11">
        <f t="shared" si="12"/>
        <v>0.21320835224936449</v>
      </c>
      <c r="U65" s="11">
        <f t="shared" si="13"/>
        <v>0.92149022292122107</v>
      </c>
      <c r="V65" s="2">
        <f t="shared" si="14"/>
        <v>0.81900542339226934</v>
      </c>
      <c r="W65" s="2">
        <f t="shared" si="15"/>
        <v>0.54048094652162593</v>
      </c>
      <c r="X65" s="2">
        <f t="shared" si="16"/>
        <v>0.24877206450383235</v>
      </c>
      <c r="Y65" s="2">
        <f t="shared" si="17"/>
        <v>0.11182757799968111</v>
      </c>
      <c r="Z65" s="2">
        <f t="shared" si="18"/>
        <v>0.75820089953923209</v>
      </c>
      <c r="AA65" s="2">
        <f t="shared" si="19"/>
        <v>0.34109402067862088</v>
      </c>
      <c r="AB65" s="11">
        <f t="shared" si="20"/>
        <v>1.3214692366592951</v>
      </c>
      <c r="AC65" s="11">
        <f t="shared" si="21"/>
        <v>14.588078587457504</v>
      </c>
      <c r="AD65" s="11">
        <f t="shared" si="22"/>
        <v>2.2306582962986186</v>
      </c>
      <c r="AE65" s="8">
        <f t="shared" si="23"/>
        <v>902.82753752660324</v>
      </c>
      <c r="AF65" s="23">
        <f t="shared" si="24"/>
        <v>0</v>
      </c>
      <c r="AG65" s="8">
        <f t="shared" si="25"/>
        <v>0.44613165925972359</v>
      </c>
      <c r="AH65" s="8">
        <f t="shared" si="26"/>
        <v>903.27366918586301</v>
      </c>
      <c r="AI65" s="11">
        <f t="shared" si="27"/>
        <v>0.99950609469258422</v>
      </c>
      <c r="AJ65" s="11">
        <f t="shared" si="28"/>
        <v>0</v>
      </c>
      <c r="AK65" s="11">
        <f t="shared" si="29"/>
        <v>4.9390530741566963E-4</v>
      </c>
      <c r="AL65" s="11">
        <f t="shared" si="30"/>
        <v>0.99999999999999989</v>
      </c>
    </row>
    <row r="66" spans="5:38" x14ac:dyDescent="0.25">
      <c r="E66" s="8">
        <v>56.33826622952359</v>
      </c>
      <c r="F66" s="8">
        <f t="shared" si="1"/>
        <v>329.48826622952356</v>
      </c>
      <c r="G66" s="8">
        <v>0.8</v>
      </c>
      <c r="H66" s="8">
        <v>0.1</v>
      </c>
      <c r="I66" s="8">
        <f t="shared" si="2"/>
        <v>9.999999999999995E-2</v>
      </c>
      <c r="J66" s="11">
        <f t="shared" si="3"/>
        <v>2.0346682876115847</v>
      </c>
      <c r="K66" s="11">
        <f t="shared" si="0"/>
        <v>2.7375317931765317</v>
      </c>
      <c r="L66" s="11">
        <f t="shared" si="4"/>
        <v>7.0342567955402462</v>
      </c>
      <c r="M66" s="11">
        <f t="shared" si="5"/>
        <v>5.9181589031987745</v>
      </c>
      <c r="N66" s="11">
        <f t="shared" si="6"/>
        <v>3.8861554663146358</v>
      </c>
      <c r="O66" s="11">
        <f t="shared" si="7"/>
        <v>0.20559505886266655</v>
      </c>
      <c r="P66" s="11">
        <f t="shared" si="8"/>
        <v>0.44314098232298632</v>
      </c>
      <c r="Q66" s="11">
        <f t="shared" si="9"/>
        <v>0.3345353525449476</v>
      </c>
      <c r="R66" s="11">
        <f t="shared" si="10"/>
        <v>5.9982482470332811E-2</v>
      </c>
      <c r="S66" s="11">
        <f t="shared" si="11"/>
        <v>9.3736880872898651E-2</v>
      </c>
      <c r="T66" s="11">
        <f t="shared" si="12"/>
        <v>0.21130299368458857</v>
      </c>
      <c r="U66" s="11">
        <f t="shared" si="13"/>
        <v>0.92105270037412601</v>
      </c>
      <c r="V66" s="2">
        <f t="shared" si="14"/>
        <v>0.84282722334178473</v>
      </c>
      <c r="W66" s="2">
        <f t="shared" si="15"/>
        <v>0.54661805589580159</v>
      </c>
      <c r="X66" s="2">
        <f t="shared" si="16"/>
        <v>0.16911628534472506</v>
      </c>
      <c r="Y66" s="2">
        <f t="shared" si="17"/>
        <v>0.14705509196293415</v>
      </c>
      <c r="Z66" s="2">
        <f t="shared" si="18"/>
        <v>0.74025231135380454</v>
      </c>
      <c r="AA66" s="2">
        <f t="shared" si="19"/>
        <v>0.41966137633985096</v>
      </c>
      <c r="AB66" s="11">
        <f t="shared" si="20"/>
        <v>1.2529566484337584</v>
      </c>
      <c r="AC66" s="11">
        <f t="shared" si="21"/>
        <v>8.1324312174112823</v>
      </c>
      <c r="AD66" s="11">
        <f t="shared" si="22"/>
        <v>3.7873046926593772</v>
      </c>
      <c r="AE66" s="8">
        <f t="shared" si="23"/>
        <v>804.41141786943263</v>
      </c>
      <c r="AF66" s="23">
        <f t="shared" si="24"/>
        <v>443.12397036425023</v>
      </c>
      <c r="AG66" s="8">
        <f t="shared" si="25"/>
        <v>0.37873046926593751</v>
      </c>
      <c r="AH66" s="8">
        <f t="shared" si="26"/>
        <v>1247.9141187029488</v>
      </c>
      <c r="AI66" s="11">
        <f t="shared" si="27"/>
        <v>0.64460478955516431</v>
      </c>
      <c r="AJ66" s="11">
        <f t="shared" si="28"/>
        <v>0.35509171963277597</v>
      </c>
      <c r="AK66" s="11">
        <f t="shared" si="29"/>
        <v>3.034908120597118E-4</v>
      </c>
      <c r="AL66" s="11">
        <f t="shared" si="30"/>
        <v>1</v>
      </c>
    </row>
    <row r="67" spans="5:38" x14ac:dyDescent="0.25">
      <c r="E67" s="8">
        <v>54.569258364710251</v>
      </c>
      <c r="F67" s="8">
        <f t="shared" si="1"/>
        <v>327.71925836471024</v>
      </c>
      <c r="G67" s="8">
        <v>0.8</v>
      </c>
      <c r="H67" s="8">
        <v>0.2</v>
      </c>
      <c r="I67" s="8">
        <f t="shared" si="2"/>
        <v>0</v>
      </c>
      <c r="J67" s="11">
        <f t="shared" si="3"/>
        <v>2.0456512985613577</v>
      </c>
      <c r="K67" s="11">
        <f t="shared" si="0"/>
        <v>2.7523088169513032</v>
      </c>
      <c r="L67" s="11">
        <f t="shared" si="4"/>
        <v>7.0722272695872093</v>
      </c>
      <c r="M67" s="11">
        <f t="shared" si="5"/>
        <v>5.9501047512920922</v>
      </c>
      <c r="N67" s="11">
        <f t="shared" si="6"/>
        <v>3.9071326881541508</v>
      </c>
      <c r="O67" s="11">
        <f t="shared" si="7"/>
        <v>0.20670484800935765</v>
      </c>
      <c r="P67" s="11">
        <f t="shared" si="8"/>
        <v>0.44119844352778786</v>
      </c>
      <c r="Q67" s="11">
        <f t="shared" si="9"/>
        <v>0.33256381024729309</v>
      </c>
      <c r="R67" s="11">
        <f t="shared" si="10"/>
        <v>5.9078340671941572E-2</v>
      </c>
      <c r="S67" s="11">
        <f t="shared" si="11"/>
        <v>9.254669967455427E-2</v>
      </c>
      <c r="T67" s="11">
        <f t="shared" si="12"/>
        <v>0.20953739161949697</v>
      </c>
      <c r="U67" s="11">
        <f t="shared" si="13"/>
        <v>0.92064392139637119</v>
      </c>
      <c r="V67" s="2">
        <f t="shared" si="14"/>
        <v>0.86651276204945871</v>
      </c>
      <c r="W67" s="2">
        <f t="shared" si="15"/>
        <v>0.55295875482223034</v>
      </c>
      <c r="X67" s="2">
        <f t="shared" si="16"/>
        <v>8.9170150861452663E-2</v>
      </c>
      <c r="Y67" s="2">
        <f t="shared" si="17"/>
        <v>0.18306366142850899</v>
      </c>
      <c r="Z67" s="2">
        <f t="shared" si="18"/>
        <v>0.72203053514069537</v>
      </c>
      <c r="AA67" s="2">
        <f t="shared" si="19"/>
        <v>0.49799043999107351</v>
      </c>
      <c r="AB67" s="11">
        <f t="shared" si="20"/>
        <v>1.14372061616219</v>
      </c>
      <c r="AC67" s="11">
        <f t="shared" si="21"/>
        <v>5.0212107066431582</v>
      </c>
      <c r="AD67" s="11">
        <f t="shared" si="22"/>
        <v>301.59722788703795</v>
      </c>
      <c r="AE67" s="8">
        <f t="shared" si="23"/>
        <v>692.71792520755014</v>
      </c>
      <c r="AF67" s="23">
        <f t="shared" si="24"/>
        <v>508.1319546441552</v>
      </c>
      <c r="AG67" s="8">
        <f t="shared" si="25"/>
        <v>0</v>
      </c>
      <c r="AH67" s="8">
        <f t="shared" si="26"/>
        <v>1200.8498798517053</v>
      </c>
      <c r="AI67" s="11">
        <f t="shared" si="27"/>
        <v>0.57685638882113632</v>
      </c>
      <c r="AJ67" s="11">
        <f t="shared" si="28"/>
        <v>0.42314361117886373</v>
      </c>
      <c r="AK67" s="11">
        <f t="shared" si="29"/>
        <v>0</v>
      </c>
      <c r="AL67" s="11">
        <f t="shared" si="30"/>
        <v>1</v>
      </c>
    </row>
    <row r="68" spans="5:38" x14ac:dyDescent="0.25">
      <c r="E68" s="8"/>
      <c r="F68" s="8"/>
      <c r="G68" s="8"/>
      <c r="H68" s="8"/>
      <c r="I68" s="8"/>
      <c r="J68" s="11"/>
      <c r="K68" s="11"/>
      <c r="P68" s="11"/>
      <c r="Q68" s="11"/>
      <c r="AB68" s="11"/>
      <c r="AC68" s="11"/>
      <c r="AE68" s="8"/>
      <c r="AF68" s="23"/>
      <c r="AH68" s="8"/>
      <c r="AI68" s="11"/>
      <c r="AJ68" s="11"/>
      <c r="AL68" s="11"/>
    </row>
    <row r="69" spans="5:38" x14ac:dyDescent="0.25">
      <c r="E69" s="8"/>
      <c r="F69" s="8"/>
      <c r="G69" s="8"/>
      <c r="H69" s="8"/>
      <c r="I69" s="8"/>
      <c r="J69" s="11"/>
      <c r="K69" s="11"/>
      <c r="P69" s="11"/>
      <c r="Q69" s="11"/>
      <c r="AB69" s="11"/>
      <c r="AC69" s="11"/>
      <c r="AE69" s="8"/>
      <c r="AF69" s="23"/>
      <c r="AH69" s="8"/>
      <c r="AI69" s="11"/>
      <c r="AJ69" s="11"/>
      <c r="AL69" s="11"/>
    </row>
    <row r="70" spans="5:38" x14ac:dyDescent="0.25">
      <c r="E70" s="8"/>
      <c r="F70" s="8"/>
      <c r="G70" s="8"/>
      <c r="H70" s="8"/>
      <c r="I70" s="8"/>
      <c r="J70" s="11"/>
      <c r="K70" s="11"/>
      <c r="P70" s="11"/>
      <c r="Q70" s="11"/>
      <c r="AB70" s="11"/>
      <c r="AC70" s="11"/>
      <c r="AE70" s="8"/>
      <c r="AF70" s="23"/>
      <c r="AH70" s="8"/>
      <c r="AI70" s="11"/>
      <c r="AJ70" s="11"/>
      <c r="AL70" s="11"/>
    </row>
    <row r="71" spans="5:38" x14ac:dyDescent="0.25">
      <c r="E71" s="8"/>
      <c r="F71" s="8"/>
      <c r="G71" s="8"/>
      <c r="H71" s="8"/>
      <c r="I71" s="8"/>
      <c r="J71" s="11"/>
      <c r="K71" s="11"/>
      <c r="P71" s="11"/>
      <c r="Q71" s="11"/>
      <c r="AB71" s="11"/>
      <c r="AC71" s="11"/>
      <c r="AE71" s="8"/>
      <c r="AF71" s="23"/>
      <c r="AH71" s="8"/>
      <c r="AI71" s="11"/>
      <c r="AJ71" s="11"/>
      <c r="AL71" s="11"/>
    </row>
    <row r="72" spans="5:38" x14ac:dyDescent="0.25">
      <c r="E72" s="8"/>
      <c r="F72" s="8"/>
      <c r="G72" s="8"/>
      <c r="H72" s="8"/>
      <c r="I72" s="8"/>
      <c r="J72" s="11"/>
      <c r="K72" s="11"/>
      <c r="P72" s="11"/>
      <c r="Q72" s="11"/>
      <c r="AB72" s="11"/>
      <c r="AC72" s="11"/>
      <c r="AE72" s="8"/>
      <c r="AF72" s="23"/>
      <c r="AH72" s="8"/>
      <c r="AI72" s="11"/>
      <c r="AJ72" s="11"/>
      <c r="AL72" s="11"/>
    </row>
    <row r="73" spans="5:38" x14ac:dyDescent="0.25">
      <c r="E73" s="8"/>
      <c r="F73" s="8"/>
      <c r="G73" s="8"/>
      <c r="H73" s="8"/>
      <c r="I73" s="8"/>
      <c r="J73" s="11"/>
      <c r="K73" s="11"/>
      <c r="P73" s="11"/>
      <c r="Q73" s="11"/>
      <c r="AB73" s="11"/>
      <c r="AC73" s="11"/>
      <c r="AE73" s="8"/>
      <c r="AF73" s="23"/>
      <c r="AH73" s="8"/>
      <c r="AI73" s="11"/>
      <c r="AJ73" s="11"/>
      <c r="AL73" s="11"/>
    </row>
    <row r="74" spans="5:38" x14ac:dyDescent="0.25">
      <c r="E74" s="8"/>
      <c r="F74" s="8"/>
      <c r="G74" s="8"/>
      <c r="H74" s="8"/>
      <c r="I74" s="8"/>
      <c r="J74" s="11"/>
      <c r="K74" s="11"/>
      <c r="P74" s="11"/>
      <c r="Q74" s="11"/>
      <c r="AB74" s="11"/>
      <c r="AC74" s="11"/>
      <c r="AE74" s="8"/>
      <c r="AF74" s="23"/>
      <c r="AH74" s="8"/>
      <c r="AI74" s="11"/>
      <c r="AJ74" s="11"/>
      <c r="AL74" s="11"/>
    </row>
    <row r="75" spans="5:38" x14ac:dyDescent="0.25">
      <c r="E75" s="8"/>
      <c r="F75" s="8"/>
      <c r="G75" s="8"/>
      <c r="H75" s="8"/>
      <c r="I75" s="8"/>
      <c r="J75" s="11"/>
      <c r="K75" s="11"/>
      <c r="P75" s="11"/>
      <c r="Q75" s="11"/>
      <c r="AB75" s="11"/>
      <c r="AC75" s="11"/>
      <c r="AE75" s="8"/>
      <c r="AF75" s="23"/>
      <c r="AH75" s="8"/>
      <c r="AI75" s="11"/>
      <c r="AJ75" s="11"/>
      <c r="AL75" s="11"/>
    </row>
    <row r="76" spans="5:38" x14ac:dyDescent="0.25">
      <c r="E76" s="8"/>
      <c r="F76" s="8"/>
      <c r="G76" s="8"/>
      <c r="H76" s="8"/>
      <c r="I76" s="8"/>
      <c r="J76" s="11"/>
      <c r="K76" s="11"/>
      <c r="P76" s="11"/>
      <c r="Q76" s="11"/>
      <c r="AB76" s="11"/>
      <c r="AC76" s="11"/>
      <c r="AE76" s="8"/>
      <c r="AF76" s="23"/>
      <c r="AH76" s="8"/>
      <c r="AI76" s="11"/>
      <c r="AJ76" s="11"/>
      <c r="AL76" s="11"/>
    </row>
    <row r="77" spans="5:38" x14ac:dyDescent="0.25">
      <c r="E77" s="8"/>
      <c r="F77" s="8"/>
      <c r="G77" s="8"/>
      <c r="H77" s="8"/>
      <c r="I77" s="8"/>
      <c r="J77" s="11"/>
      <c r="K77" s="11"/>
      <c r="P77" s="11"/>
      <c r="Q77" s="11"/>
      <c r="AB77" s="11"/>
      <c r="AC77" s="11"/>
      <c r="AE77" s="8"/>
      <c r="AF77" s="23"/>
      <c r="AH77" s="8"/>
      <c r="AI77" s="11"/>
      <c r="AJ77" s="11"/>
      <c r="AL77" s="11"/>
    </row>
    <row r="78" spans="5:38" x14ac:dyDescent="0.25">
      <c r="E78" s="8"/>
      <c r="F78" s="8"/>
      <c r="G78" s="8"/>
      <c r="H78" s="8"/>
      <c r="I78" s="8"/>
      <c r="J78" s="11"/>
      <c r="K78" s="11"/>
      <c r="P78" s="11"/>
      <c r="Q78" s="11"/>
      <c r="AB78" s="11"/>
      <c r="AC78" s="11"/>
      <c r="AE78" s="8"/>
      <c r="AF78" s="23"/>
      <c r="AH78" s="8"/>
      <c r="AI78" s="11"/>
      <c r="AJ78" s="11"/>
      <c r="AL78" s="11"/>
    </row>
    <row r="79" spans="5:38" x14ac:dyDescent="0.25">
      <c r="E79" s="8"/>
      <c r="F79" s="8"/>
      <c r="G79" s="8"/>
      <c r="H79" s="8"/>
      <c r="I79" s="8"/>
      <c r="J79" s="11"/>
      <c r="K79" s="11"/>
      <c r="P79" s="11"/>
      <c r="Q79" s="11"/>
      <c r="AB79" s="11"/>
      <c r="AC79" s="11"/>
      <c r="AE79" s="8"/>
      <c r="AF79" s="23"/>
      <c r="AH79" s="8"/>
      <c r="AI79" s="11"/>
      <c r="AJ79" s="11"/>
      <c r="AL79" s="11"/>
    </row>
    <row r="80" spans="5:38" x14ac:dyDescent="0.25">
      <c r="E80" s="8"/>
      <c r="F80" s="8"/>
      <c r="G80" s="8"/>
      <c r="H80" s="8"/>
      <c r="I80" s="8"/>
      <c r="J80" s="11"/>
      <c r="K80" s="11"/>
      <c r="P80" s="11"/>
      <c r="Q80" s="11"/>
      <c r="AB80" s="11"/>
      <c r="AC80" s="11"/>
      <c r="AE80" s="8"/>
      <c r="AF80" s="23"/>
      <c r="AH80" s="8"/>
      <c r="AI80" s="11"/>
      <c r="AJ80" s="11"/>
      <c r="AL80" s="11"/>
    </row>
    <row r="81" spans="5:38" x14ac:dyDescent="0.25">
      <c r="E81" s="8"/>
      <c r="F81" s="8"/>
      <c r="G81" s="8"/>
      <c r="H81" s="8"/>
      <c r="I81" s="8"/>
      <c r="J81" s="11"/>
      <c r="K81" s="11"/>
      <c r="P81" s="11"/>
      <c r="Q81" s="11"/>
      <c r="AB81" s="11"/>
      <c r="AC81" s="11"/>
      <c r="AE81" s="8"/>
      <c r="AF81" s="23"/>
      <c r="AH81" s="8"/>
      <c r="AI81" s="11"/>
      <c r="AJ81" s="11"/>
      <c r="AL81" s="11"/>
    </row>
    <row r="82" spans="5:38" x14ac:dyDescent="0.25">
      <c r="E82" s="8"/>
      <c r="F82" s="8"/>
      <c r="G82" s="8"/>
      <c r="H82" s="8"/>
      <c r="I82" s="8"/>
      <c r="J82" s="11"/>
      <c r="K82" s="11"/>
      <c r="P82" s="11"/>
      <c r="Q82" s="11"/>
      <c r="AB82" s="11"/>
      <c r="AC82" s="11"/>
      <c r="AE82" s="8"/>
      <c r="AF82" s="23"/>
      <c r="AH82" s="8"/>
      <c r="AI82" s="11"/>
      <c r="AJ82" s="11"/>
      <c r="AL82" s="11"/>
    </row>
    <row r="83" spans="5:38" x14ac:dyDescent="0.25">
      <c r="E83" s="8"/>
      <c r="F83" s="8"/>
      <c r="G83" s="8"/>
      <c r="H83" s="8"/>
      <c r="I83" s="8"/>
      <c r="J83" s="11"/>
      <c r="K83" s="11"/>
      <c r="P83" s="11"/>
      <c r="Q83" s="11"/>
      <c r="AB83" s="11"/>
      <c r="AC83" s="11"/>
      <c r="AE83" s="8"/>
      <c r="AF83" s="23"/>
      <c r="AH83" s="8"/>
      <c r="AI83" s="11"/>
      <c r="AJ83" s="11"/>
      <c r="AL83" s="11"/>
    </row>
    <row r="84" spans="5:38" x14ac:dyDescent="0.25">
      <c r="E84" s="8"/>
      <c r="F84" s="8"/>
      <c r="G84" s="8"/>
      <c r="H84" s="8"/>
      <c r="I84" s="8"/>
      <c r="J84" s="11"/>
      <c r="K84" s="11"/>
      <c r="P84" s="11"/>
      <c r="Q84" s="11"/>
      <c r="AB84" s="11"/>
      <c r="AC84" s="11"/>
      <c r="AE84" s="8"/>
      <c r="AF84" s="23"/>
      <c r="AH84" s="8"/>
      <c r="AI84" s="11"/>
      <c r="AJ84" s="11"/>
      <c r="AL84" s="11"/>
    </row>
    <row r="85" spans="5:38" x14ac:dyDescent="0.25">
      <c r="E85" s="8"/>
      <c r="F85" s="8"/>
      <c r="G85" s="8"/>
      <c r="H85" s="8"/>
      <c r="I85" s="8"/>
      <c r="J85" s="11"/>
      <c r="K85" s="11"/>
      <c r="P85" s="11"/>
      <c r="Q85" s="11"/>
      <c r="AB85" s="11"/>
      <c r="AC85" s="11"/>
      <c r="AE85" s="8"/>
      <c r="AF85" s="23"/>
      <c r="AH85" s="8"/>
      <c r="AI85" s="11"/>
      <c r="AJ85" s="11"/>
      <c r="AL85" s="11"/>
    </row>
    <row r="86" spans="5:38" x14ac:dyDescent="0.25">
      <c r="E86" s="8"/>
      <c r="F86" s="8"/>
      <c r="G86" s="8"/>
      <c r="H86" s="8"/>
      <c r="I86" s="8"/>
      <c r="J86" s="11"/>
      <c r="K86" s="11"/>
      <c r="P86" s="11"/>
      <c r="Q86" s="11"/>
      <c r="AB86" s="11"/>
      <c r="AC86" s="11"/>
      <c r="AE86" s="8"/>
      <c r="AF86" s="23"/>
      <c r="AH86" s="8"/>
      <c r="AI86" s="11"/>
      <c r="AJ86" s="11"/>
      <c r="AL86" s="11"/>
    </row>
    <row r="87" spans="5:38" x14ac:dyDescent="0.25">
      <c r="E87" s="8"/>
      <c r="F87" s="8"/>
      <c r="G87" s="8"/>
      <c r="H87" s="8"/>
      <c r="I87" s="8"/>
      <c r="J87" s="11"/>
      <c r="K87" s="11"/>
      <c r="P87" s="11"/>
      <c r="Q87" s="11"/>
      <c r="AB87" s="11"/>
      <c r="AC87" s="11"/>
      <c r="AE87" s="8"/>
      <c r="AF87" s="23"/>
      <c r="AH87" s="8"/>
      <c r="AI87" s="11"/>
      <c r="AJ87" s="11"/>
      <c r="AL87" s="11"/>
    </row>
    <row r="88" spans="5:38" x14ac:dyDescent="0.25">
      <c r="E88" s="8"/>
      <c r="F88" s="8"/>
      <c r="G88" s="8"/>
      <c r="H88" s="8"/>
      <c r="I88" s="8"/>
      <c r="J88" s="11"/>
      <c r="K88" s="11"/>
      <c r="P88" s="11"/>
      <c r="Q88" s="11"/>
      <c r="AB88" s="11"/>
      <c r="AC88" s="11"/>
      <c r="AE88" s="8"/>
      <c r="AF88" s="23"/>
      <c r="AH88" s="8"/>
      <c r="AI88" s="11"/>
      <c r="AJ88" s="11"/>
      <c r="AL88" s="11"/>
    </row>
    <row r="89" spans="5:38" x14ac:dyDescent="0.25">
      <c r="E89" s="8"/>
      <c r="F89" s="8"/>
      <c r="G89" s="8"/>
      <c r="H89" s="8"/>
      <c r="I89" s="8"/>
      <c r="J89" s="11"/>
      <c r="K89" s="11"/>
      <c r="P89" s="11"/>
      <c r="Q89" s="11"/>
      <c r="AB89" s="11"/>
      <c r="AC89" s="11"/>
      <c r="AE89" s="8"/>
      <c r="AF89" s="23"/>
      <c r="AH89" s="8"/>
      <c r="AI89" s="11"/>
      <c r="AJ89" s="11"/>
      <c r="AL89" s="11"/>
    </row>
    <row r="90" spans="5:38" x14ac:dyDescent="0.25">
      <c r="E90" s="8"/>
      <c r="F90" s="8"/>
      <c r="G90" s="8"/>
      <c r="H90" s="8"/>
      <c r="I90" s="8"/>
      <c r="J90" s="11"/>
      <c r="K90" s="11"/>
      <c r="P90" s="11"/>
      <c r="Q90" s="11"/>
      <c r="AB90" s="11"/>
      <c r="AC90" s="11"/>
      <c r="AE90" s="8"/>
      <c r="AF90" s="23"/>
      <c r="AH90" s="8"/>
      <c r="AI90" s="11"/>
      <c r="AJ90" s="11"/>
      <c r="AL90" s="11"/>
    </row>
    <row r="91" spans="5:38" x14ac:dyDescent="0.25">
      <c r="E91" s="8"/>
      <c r="F91" s="8"/>
      <c r="G91" s="8"/>
      <c r="H91" s="8"/>
      <c r="I91" s="8"/>
      <c r="J91" s="11"/>
      <c r="K91" s="11"/>
      <c r="P91" s="11"/>
      <c r="Q91" s="11"/>
      <c r="AB91" s="11"/>
      <c r="AC91" s="11"/>
      <c r="AE91" s="8"/>
      <c r="AF91" s="23"/>
      <c r="AH91" s="8"/>
      <c r="AI91" s="11"/>
      <c r="AJ91" s="11"/>
      <c r="AL91" s="11"/>
    </row>
    <row r="92" spans="5:38" x14ac:dyDescent="0.25">
      <c r="E92" s="8"/>
      <c r="F92" s="8"/>
      <c r="G92" s="8"/>
      <c r="H92" s="8"/>
      <c r="I92" s="8"/>
      <c r="J92" s="11"/>
      <c r="K92" s="11"/>
      <c r="P92" s="11"/>
      <c r="Q92" s="11"/>
      <c r="AB92" s="11"/>
      <c r="AC92" s="11"/>
      <c r="AE92" s="8"/>
      <c r="AF92" s="23"/>
      <c r="AH92" s="8"/>
      <c r="AI92" s="11"/>
      <c r="AJ92" s="11"/>
      <c r="AL92" s="11"/>
    </row>
    <row r="93" spans="5:38" x14ac:dyDescent="0.25">
      <c r="E93" s="8"/>
      <c r="F93" s="8"/>
      <c r="G93" s="8"/>
      <c r="H93" s="8"/>
      <c r="I93" s="8"/>
      <c r="J93" s="11"/>
      <c r="K93" s="11"/>
      <c r="P93" s="11"/>
      <c r="Q93" s="11"/>
      <c r="AB93" s="11"/>
      <c r="AC93" s="11"/>
      <c r="AE93" s="8"/>
      <c r="AF93" s="23"/>
      <c r="AH93" s="8"/>
      <c r="AI93" s="11"/>
      <c r="AJ93" s="11"/>
      <c r="AL93" s="11"/>
    </row>
    <row r="94" spans="5:38" x14ac:dyDescent="0.25">
      <c r="E94" s="8"/>
      <c r="F94" s="8"/>
      <c r="G94" s="8"/>
      <c r="H94" s="8"/>
      <c r="I94" s="8"/>
      <c r="J94" s="11"/>
      <c r="K94" s="11"/>
      <c r="P94" s="11"/>
      <c r="Q94" s="11"/>
      <c r="AB94" s="11"/>
      <c r="AC94" s="11"/>
      <c r="AE94" s="8"/>
      <c r="AF94" s="23"/>
      <c r="AH94" s="8"/>
      <c r="AI94" s="11"/>
      <c r="AJ94" s="11"/>
      <c r="AL94" s="11"/>
    </row>
    <row r="95" spans="5:38" x14ac:dyDescent="0.25">
      <c r="E95" s="8"/>
      <c r="F95" s="8"/>
      <c r="G95" s="8"/>
      <c r="H95" s="8"/>
      <c r="I95" s="8"/>
      <c r="J95" s="11"/>
      <c r="K95" s="11"/>
      <c r="P95" s="11"/>
      <c r="Q95" s="11"/>
      <c r="AB95" s="11"/>
      <c r="AC95" s="11"/>
      <c r="AE95" s="8"/>
      <c r="AF95" s="23"/>
      <c r="AH95" s="8"/>
      <c r="AI95" s="11"/>
      <c r="AJ95" s="11"/>
      <c r="AL95" s="11"/>
    </row>
    <row r="96" spans="5:38" x14ac:dyDescent="0.25">
      <c r="E96" s="8"/>
      <c r="F96" s="8"/>
      <c r="G96" s="8"/>
      <c r="H96" s="8"/>
      <c r="I96" s="8"/>
      <c r="J96" s="11"/>
      <c r="K96" s="11"/>
      <c r="P96" s="11"/>
      <c r="Q96" s="11"/>
      <c r="AB96" s="11"/>
      <c r="AC96" s="11"/>
      <c r="AE96" s="8"/>
      <c r="AF96" s="23"/>
      <c r="AH96" s="8"/>
      <c r="AI96" s="11"/>
      <c r="AJ96" s="11"/>
      <c r="AL96" s="11"/>
    </row>
    <row r="97" spans="5:38" x14ac:dyDescent="0.25">
      <c r="E97" s="8"/>
      <c r="F97" s="8"/>
      <c r="G97" s="8"/>
      <c r="H97" s="8"/>
      <c r="J97" s="11"/>
      <c r="K97" s="11"/>
      <c r="P97" s="11"/>
      <c r="Q97" s="11"/>
      <c r="AB97" s="11"/>
      <c r="AC97" s="11"/>
      <c r="AE97" s="8"/>
      <c r="AF97" s="23"/>
      <c r="AH97" s="8"/>
      <c r="AI97" s="11"/>
      <c r="AJ97" s="11"/>
      <c r="AL97" s="11"/>
    </row>
    <row r="98" spans="5:38" x14ac:dyDescent="0.25">
      <c r="E98" s="8"/>
      <c r="F98" s="8"/>
      <c r="G98" s="8"/>
      <c r="H98" s="8"/>
      <c r="J98" s="11"/>
      <c r="K98" s="11"/>
      <c r="P98" s="11"/>
      <c r="Q98" s="11"/>
      <c r="AB98" s="11"/>
      <c r="AC98" s="11"/>
      <c r="AE98" s="8"/>
      <c r="AF98" s="23"/>
      <c r="AH98" s="8"/>
      <c r="AI98" s="11"/>
      <c r="AJ98" s="11"/>
      <c r="AL98" s="11"/>
    </row>
    <row r="99" spans="5:38" x14ac:dyDescent="0.25">
      <c r="E99" s="8"/>
      <c r="F99" s="8"/>
      <c r="G99" s="8"/>
      <c r="H99" s="8"/>
      <c r="J99" s="11"/>
      <c r="K99" s="11"/>
      <c r="P99" s="11"/>
      <c r="Q99" s="11"/>
      <c r="AB99" s="11"/>
      <c r="AC99" s="11"/>
      <c r="AE99" s="8"/>
      <c r="AF99" s="23"/>
      <c r="AH99" s="8"/>
      <c r="AI99" s="11"/>
      <c r="AJ99" s="11"/>
      <c r="AL99" s="11"/>
    </row>
    <row r="100" spans="5:38" x14ac:dyDescent="0.25">
      <c r="E100" s="8"/>
      <c r="F100" s="8"/>
      <c r="G100" s="8"/>
      <c r="H100" s="8"/>
      <c r="J100" s="11"/>
      <c r="K100" s="11"/>
      <c r="P100" s="11"/>
      <c r="Q100" s="11"/>
      <c r="AB100" s="11"/>
      <c r="AC100" s="11"/>
      <c r="AE100" s="8"/>
      <c r="AF100" s="23"/>
      <c r="AH100" s="8"/>
      <c r="AI100" s="11"/>
      <c r="AJ100" s="11"/>
      <c r="AL100" s="11"/>
    </row>
    <row r="101" spans="5:38" x14ac:dyDescent="0.25">
      <c r="E101" s="8"/>
      <c r="F101" s="8"/>
      <c r="G101" s="8"/>
      <c r="H101" s="8"/>
      <c r="J101" s="11"/>
      <c r="K101" s="11"/>
      <c r="P101" s="11"/>
      <c r="Q101" s="11"/>
      <c r="AB101" s="11"/>
      <c r="AC101" s="11"/>
      <c r="AE101" s="8"/>
      <c r="AF101" s="23"/>
      <c r="AH101" s="8"/>
      <c r="AI101" s="11"/>
      <c r="AJ101" s="11"/>
      <c r="AL101" s="11"/>
    </row>
    <row r="102" spans="5:38" x14ac:dyDescent="0.25">
      <c r="E102" s="8"/>
      <c r="F102" s="8"/>
      <c r="G102" s="8"/>
      <c r="H102" s="8"/>
      <c r="J102" s="11"/>
      <c r="K102" s="11"/>
      <c r="P102" s="11"/>
      <c r="Q102" s="11"/>
      <c r="AB102" s="11"/>
      <c r="AC102" s="11"/>
      <c r="AE102" s="8"/>
      <c r="AF102" s="23"/>
      <c r="AH102" s="8"/>
      <c r="AI102" s="11"/>
      <c r="AJ102" s="11"/>
      <c r="AL102" s="11"/>
    </row>
    <row r="103" spans="5:38" x14ac:dyDescent="0.25">
      <c r="E103" s="8"/>
      <c r="F103" s="8"/>
      <c r="G103" s="8"/>
      <c r="H103" s="8"/>
      <c r="J103" s="11"/>
      <c r="K103" s="11"/>
      <c r="P103" s="11"/>
      <c r="Q103" s="11"/>
      <c r="AB103" s="11"/>
      <c r="AC103" s="11"/>
      <c r="AE103" s="8"/>
      <c r="AF103" s="23"/>
      <c r="AH103" s="8"/>
      <c r="AI103" s="11"/>
      <c r="AJ103" s="11"/>
      <c r="AL103" s="11"/>
    </row>
    <row r="104" spans="5:38" x14ac:dyDescent="0.25">
      <c r="E104" s="8"/>
      <c r="F104" s="8"/>
      <c r="G104" s="8"/>
      <c r="H104" s="8"/>
      <c r="J104" s="11"/>
      <c r="K104" s="11"/>
      <c r="P104" s="11"/>
      <c r="Q104" s="11"/>
      <c r="AB104" s="11"/>
      <c r="AC104" s="11"/>
      <c r="AE104" s="8"/>
      <c r="AF104" s="23"/>
      <c r="AH104" s="8"/>
      <c r="AI104" s="11"/>
      <c r="AJ104" s="11"/>
      <c r="AL104" s="11"/>
    </row>
    <row r="105" spans="5:38" x14ac:dyDescent="0.25">
      <c r="E105" s="8"/>
      <c r="F105" s="8"/>
      <c r="G105" s="8"/>
      <c r="H105" s="8"/>
      <c r="J105" s="11"/>
      <c r="K105" s="11"/>
      <c r="P105" s="11"/>
      <c r="Q105" s="11"/>
      <c r="AB105" s="11"/>
      <c r="AC105" s="11"/>
      <c r="AE105" s="8"/>
      <c r="AF105" s="23"/>
      <c r="AH105" s="8"/>
      <c r="AI105" s="11"/>
      <c r="AJ105" s="11"/>
      <c r="AL105" s="11"/>
    </row>
    <row r="106" spans="5:38" x14ac:dyDescent="0.25">
      <c r="E106" s="8"/>
      <c r="F106" s="8"/>
      <c r="G106" s="8"/>
      <c r="H106" s="8"/>
      <c r="J106" s="11"/>
      <c r="K106" s="11"/>
      <c r="P106" s="11"/>
      <c r="Q106" s="11"/>
      <c r="AB106" s="11"/>
      <c r="AC106" s="11"/>
      <c r="AE106" s="8"/>
      <c r="AF106" s="23"/>
      <c r="AH106" s="8"/>
      <c r="AI106" s="11"/>
      <c r="AJ106" s="11"/>
      <c r="AL106" s="11"/>
    </row>
    <row r="107" spans="5:38" x14ac:dyDescent="0.25">
      <c r="E107" s="8"/>
      <c r="F107" s="8"/>
      <c r="G107" s="8"/>
      <c r="H107" s="8"/>
      <c r="J107" s="11"/>
      <c r="K107" s="11"/>
      <c r="P107" s="11"/>
      <c r="Q107" s="11"/>
      <c r="AB107" s="11"/>
      <c r="AC107" s="11"/>
      <c r="AE107" s="8"/>
      <c r="AF107" s="23"/>
      <c r="AH107" s="8"/>
      <c r="AI107" s="11"/>
      <c r="AJ107" s="11"/>
      <c r="AL107" s="11"/>
    </row>
    <row r="108" spans="5:38" x14ac:dyDescent="0.25">
      <c r="E108" s="8"/>
      <c r="F108" s="8"/>
      <c r="G108" s="8"/>
      <c r="H108" s="8"/>
      <c r="J108" s="11"/>
      <c r="K108" s="11"/>
      <c r="P108" s="11"/>
      <c r="Q108" s="11"/>
      <c r="AB108" s="11"/>
      <c r="AC108" s="11"/>
      <c r="AE108" s="8"/>
      <c r="AF108" s="23"/>
      <c r="AH108" s="8"/>
      <c r="AI108" s="11"/>
      <c r="AJ108" s="11"/>
      <c r="AL108" s="11"/>
    </row>
    <row r="109" spans="5:38" x14ac:dyDescent="0.25">
      <c r="E109" s="8"/>
      <c r="F109" s="8"/>
      <c r="G109" s="8"/>
      <c r="H109" s="8"/>
      <c r="J109" s="11"/>
      <c r="K109" s="11"/>
      <c r="P109" s="11"/>
      <c r="Q109" s="11"/>
      <c r="AB109" s="11"/>
      <c r="AC109" s="11"/>
      <c r="AE109" s="8"/>
      <c r="AF109" s="23"/>
      <c r="AH109" s="8"/>
      <c r="AI109" s="11"/>
      <c r="AJ109" s="11"/>
      <c r="AL109" s="11"/>
    </row>
    <row r="110" spans="5:38" x14ac:dyDescent="0.25">
      <c r="E110" s="8"/>
      <c r="F110" s="8"/>
      <c r="G110" s="8"/>
      <c r="H110" s="8"/>
      <c r="J110" s="11"/>
      <c r="K110" s="11"/>
      <c r="P110" s="11"/>
      <c r="Q110" s="11"/>
      <c r="AB110" s="11"/>
      <c r="AC110" s="11"/>
      <c r="AE110" s="8"/>
      <c r="AF110" s="23"/>
      <c r="AH110" s="8"/>
      <c r="AI110" s="11"/>
      <c r="AJ110" s="11"/>
      <c r="AL110" s="11"/>
    </row>
    <row r="111" spans="5:38" x14ac:dyDescent="0.25">
      <c r="E111" s="8"/>
      <c r="F111" s="8"/>
      <c r="G111" s="8"/>
      <c r="H111" s="8"/>
      <c r="J111" s="11"/>
      <c r="K111" s="11"/>
      <c r="P111" s="11"/>
      <c r="Q111" s="11"/>
      <c r="AB111" s="11"/>
      <c r="AC111" s="11"/>
      <c r="AE111" s="8"/>
      <c r="AF111" s="23"/>
      <c r="AH111" s="8"/>
      <c r="AI111" s="11"/>
      <c r="AJ111" s="11"/>
      <c r="AL111" s="11"/>
    </row>
    <row r="112" spans="5:38" x14ac:dyDescent="0.25">
      <c r="E112" s="8"/>
      <c r="F112" s="8"/>
      <c r="G112" s="8"/>
      <c r="H112" s="8"/>
      <c r="J112" s="11"/>
      <c r="K112" s="11"/>
      <c r="P112" s="11"/>
      <c r="Q112" s="11"/>
      <c r="AB112" s="11"/>
      <c r="AC112" s="11"/>
      <c r="AE112" s="8"/>
      <c r="AF112" s="23"/>
      <c r="AH112" s="8"/>
      <c r="AI112" s="11"/>
      <c r="AJ112" s="11"/>
      <c r="AL112" s="11"/>
    </row>
    <row r="113" spans="5:38" x14ac:dyDescent="0.25">
      <c r="E113" s="8"/>
      <c r="F113" s="8"/>
      <c r="G113" s="8"/>
      <c r="H113" s="8"/>
      <c r="J113" s="11"/>
      <c r="K113" s="11"/>
      <c r="P113" s="11"/>
      <c r="Q113" s="11"/>
      <c r="AB113" s="11"/>
      <c r="AC113" s="11"/>
      <c r="AE113" s="8"/>
      <c r="AF113" s="23"/>
      <c r="AH113" s="8"/>
      <c r="AI113" s="11"/>
      <c r="AJ113" s="11"/>
      <c r="AL113" s="11"/>
    </row>
    <row r="114" spans="5:38" x14ac:dyDescent="0.25">
      <c r="E114" s="8"/>
      <c r="F114" s="8"/>
      <c r="G114" s="8"/>
      <c r="H114" s="8"/>
      <c r="J114" s="11"/>
      <c r="K114" s="11"/>
      <c r="P114" s="11"/>
      <c r="Q114" s="11"/>
      <c r="AB114" s="11"/>
      <c r="AC114" s="11"/>
      <c r="AE114" s="8"/>
      <c r="AF114" s="23"/>
      <c r="AH114" s="8"/>
      <c r="AI114" s="11"/>
      <c r="AJ114" s="11"/>
      <c r="AL114" s="11"/>
    </row>
    <row r="115" spans="5:38" x14ac:dyDescent="0.25">
      <c r="E115" s="8"/>
      <c r="F115" s="8"/>
      <c r="G115" s="8"/>
      <c r="H115" s="8"/>
      <c r="J115" s="11"/>
      <c r="K115" s="11"/>
      <c r="P115" s="11"/>
      <c r="Q115" s="11"/>
      <c r="AB115" s="11"/>
      <c r="AC115" s="11"/>
      <c r="AE115" s="8"/>
      <c r="AF115" s="23"/>
      <c r="AH115" s="8"/>
      <c r="AI115" s="11"/>
      <c r="AJ115" s="11"/>
      <c r="AL115" s="11"/>
    </row>
    <row r="116" spans="5:38" x14ac:dyDescent="0.25">
      <c r="E116" s="8"/>
      <c r="F116" s="8"/>
      <c r="G116" s="8"/>
      <c r="H116" s="8"/>
      <c r="J116" s="11"/>
      <c r="K116" s="11"/>
      <c r="P116" s="11"/>
      <c r="Q116" s="11"/>
      <c r="AB116" s="11"/>
      <c r="AC116" s="11"/>
      <c r="AE116" s="8"/>
      <c r="AF116" s="23"/>
      <c r="AH116" s="8"/>
      <c r="AI116" s="11"/>
      <c r="AJ116" s="11"/>
      <c r="AL116" s="11"/>
    </row>
    <row r="117" spans="5:38" x14ac:dyDescent="0.25">
      <c r="G117" s="9"/>
      <c r="Q117" s="9"/>
      <c r="U117" s="9"/>
    </row>
    <row r="118" spans="5:38" x14ac:dyDescent="0.25">
      <c r="G118" s="9"/>
      <c r="Q118" s="9"/>
      <c r="U118" s="9"/>
    </row>
    <row r="119" spans="5:38" x14ac:dyDescent="0.25">
      <c r="G119" s="9"/>
      <c r="Q119" s="9"/>
      <c r="U119" s="9"/>
    </row>
    <row r="120" spans="5:38" x14ac:dyDescent="0.25">
      <c r="G120" s="9"/>
      <c r="Q120" s="9"/>
      <c r="U120" s="9"/>
    </row>
    <row r="121" spans="5:38" x14ac:dyDescent="0.25">
      <c r="G121" s="9"/>
      <c r="Q121" s="9"/>
      <c r="U121" s="9"/>
    </row>
    <row r="122" spans="5:38" x14ac:dyDescent="0.25">
      <c r="G122" s="9"/>
      <c r="Q122" s="9"/>
      <c r="U122" s="9"/>
    </row>
    <row r="123" spans="5:38" x14ac:dyDescent="0.25">
      <c r="G123" s="9"/>
      <c r="Q123" s="9"/>
      <c r="U123" s="9"/>
    </row>
    <row r="124" spans="5:38" x14ac:dyDescent="0.25">
      <c r="G124" s="9"/>
      <c r="Q124" s="9"/>
      <c r="U124" s="9"/>
    </row>
    <row r="125" spans="5:38" x14ac:dyDescent="0.25">
      <c r="G125" s="9"/>
      <c r="Q125" s="9"/>
      <c r="U125" s="9"/>
    </row>
    <row r="126" spans="5:38" x14ac:dyDescent="0.25">
      <c r="G126" s="9"/>
      <c r="Q126" s="9"/>
      <c r="U126" s="9"/>
    </row>
    <row r="127" spans="5:38" x14ac:dyDescent="0.25">
      <c r="G127" s="9"/>
      <c r="Q127" s="9"/>
      <c r="U127" s="9"/>
    </row>
    <row r="128" spans="5:38" x14ac:dyDescent="0.25">
      <c r="G128" s="9"/>
      <c r="Q128" s="9"/>
      <c r="U128" s="9"/>
    </row>
    <row r="129" spans="7:21" x14ac:dyDescent="0.25">
      <c r="G129" s="9"/>
      <c r="Q129" s="9"/>
      <c r="U129" s="9"/>
    </row>
    <row r="130" spans="7:21" x14ac:dyDescent="0.25">
      <c r="G130" s="9"/>
      <c r="Q130" s="9"/>
      <c r="U130" s="9"/>
    </row>
    <row r="131" spans="7:21" x14ac:dyDescent="0.25">
      <c r="G131" s="9"/>
      <c r="Q131" s="9"/>
      <c r="U131" s="9"/>
    </row>
    <row r="132" spans="7:21" x14ac:dyDescent="0.25">
      <c r="G132" s="9"/>
      <c r="Q132" s="9"/>
      <c r="U132" s="9"/>
    </row>
    <row r="133" spans="7:21" x14ac:dyDescent="0.25">
      <c r="G133" s="9"/>
      <c r="Q133" s="9"/>
      <c r="U133" s="9"/>
    </row>
    <row r="134" spans="7:21" x14ac:dyDescent="0.25">
      <c r="G134" s="9"/>
      <c r="Q134" s="9"/>
      <c r="U134" s="9"/>
    </row>
    <row r="135" spans="7:21" x14ac:dyDescent="0.25">
      <c r="G135" s="9"/>
      <c r="Q135" s="9"/>
      <c r="U135" s="9"/>
    </row>
    <row r="136" spans="7:21" x14ac:dyDescent="0.25">
      <c r="G136" s="9"/>
      <c r="Q136" s="9"/>
      <c r="U136" s="9"/>
    </row>
    <row r="137" spans="7:21" x14ac:dyDescent="0.25">
      <c r="G137" s="9"/>
      <c r="Q137" s="9"/>
      <c r="U137" s="9"/>
    </row>
    <row r="138" spans="7:21" x14ac:dyDescent="0.25">
      <c r="G138" s="9"/>
      <c r="Q138" s="9"/>
      <c r="U138" s="9"/>
    </row>
    <row r="139" spans="7:21" x14ac:dyDescent="0.25">
      <c r="G139" s="9"/>
      <c r="Q139" s="9"/>
      <c r="U139" s="9"/>
    </row>
    <row r="140" spans="7:21" x14ac:dyDescent="0.25">
      <c r="G140" s="9"/>
      <c r="Q140" s="9"/>
      <c r="U140" s="9"/>
    </row>
    <row r="141" spans="7:21" x14ac:dyDescent="0.25">
      <c r="G141" s="9"/>
      <c r="Q141" s="9"/>
      <c r="U141" s="9"/>
    </row>
    <row r="142" spans="7:21" x14ac:dyDescent="0.25">
      <c r="G142" s="9"/>
      <c r="Q142" s="9"/>
      <c r="U142" s="9"/>
    </row>
    <row r="143" spans="7:21" x14ac:dyDescent="0.25">
      <c r="G143" s="9"/>
      <c r="Q143" s="9"/>
      <c r="U143" s="9"/>
    </row>
    <row r="144" spans="7:21" x14ac:dyDescent="0.25">
      <c r="G144" s="9"/>
      <c r="Q144" s="9"/>
      <c r="U144" s="9"/>
    </row>
    <row r="145" spans="7:21" x14ac:dyDescent="0.25">
      <c r="G145" s="9"/>
      <c r="Q145" s="9"/>
      <c r="U145" s="9"/>
    </row>
    <row r="146" spans="7:21" x14ac:dyDescent="0.25">
      <c r="G146" s="9"/>
      <c r="Q146" s="9"/>
      <c r="U146" s="9"/>
    </row>
    <row r="147" spans="7:21" x14ac:dyDescent="0.25">
      <c r="G147" s="9"/>
      <c r="Q147" s="9"/>
      <c r="U147" s="9"/>
    </row>
    <row r="148" spans="7:21" x14ac:dyDescent="0.25">
      <c r="G148" s="9"/>
      <c r="Q148" s="9"/>
      <c r="U148" s="9"/>
    </row>
    <row r="149" spans="7:21" x14ac:dyDescent="0.25">
      <c r="G149" s="9"/>
      <c r="Q149" s="9"/>
      <c r="U149" s="9"/>
    </row>
    <row r="150" spans="7:21" x14ac:dyDescent="0.25">
      <c r="G150" s="9"/>
      <c r="Q150" s="9"/>
      <c r="U150" s="9"/>
    </row>
    <row r="151" spans="7:21" x14ac:dyDescent="0.25">
      <c r="G151" s="9"/>
      <c r="Q151" s="9"/>
      <c r="U151" s="9"/>
    </row>
    <row r="152" spans="7:21" x14ac:dyDescent="0.25">
      <c r="G152" s="9"/>
      <c r="Q152" s="9"/>
      <c r="U152" s="9"/>
    </row>
    <row r="153" spans="7:21" x14ac:dyDescent="0.25">
      <c r="G153" s="9"/>
      <c r="Q153" s="9"/>
      <c r="U153" s="9"/>
    </row>
    <row r="154" spans="7:21" x14ac:dyDescent="0.25">
      <c r="G154" s="9"/>
      <c r="Q154" s="9"/>
      <c r="U154" s="9"/>
    </row>
    <row r="155" spans="7:21" x14ac:dyDescent="0.25">
      <c r="G155" s="9"/>
      <c r="Q155" s="9"/>
      <c r="U155" s="9"/>
    </row>
    <row r="156" spans="7:21" x14ac:dyDescent="0.25">
      <c r="G156" s="9"/>
      <c r="Q156" s="9"/>
      <c r="U156" s="9"/>
    </row>
    <row r="157" spans="7:21" x14ac:dyDescent="0.25">
      <c r="G157" s="9"/>
      <c r="Q157" s="9"/>
      <c r="U157" s="9"/>
    </row>
    <row r="158" spans="7:21" x14ac:dyDescent="0.25">
      <c r="G158" s="9"/>
      <c r="Q158" s="9"/>
      <c r="U158" s="9"/>
    </row>
    <row r="159" spans="7:21" x14ac:dyDescent="0.25">
      <c r="G159" s="9"/>
      <c r="Q159" s="9"/>
      <c r="U159" s="9"/>
    </row>
    <row r="160" spans="7:21" x14ac:dyDescent="0.25">
      <c r="G160" s="9"/>
      <c r="Q160" s="9"/>
      <c r="U160" s="9"/>
    </row>
    <row r="161" spans="7:21" x14ac:dyDescent="0.25">
      <c r="G161" s="9"/>
      <c r="Q161" s="9"/>
      <c r="U161" s="9"/>
    </row>
    <row r="162" spans="7:21" x14ac:dyDescent="0.25">
      <c r="G162" s="9"/>
      <c r="Q162" s="9"/>
      <c r="U162" s="9"/>
    </row>
    <row r="163" spans="7:21" x14ac:dyDescent="0.25">
      <c r="G163" s="9"/>
      <c r="Q163" s="9"/>
      <c r="U163" s="9"/>
    </row>
    <row r="164" spans="7:21" x14ac:dyDescent="0.25">
      <c r="G164" s="9"/>
      <c r="Q164" s="9"/>
      <c r="U164" s="9"/>
    </row>
    <row r="165" spans="7:21" x14ac:dyDescent="0.25">
      <c r="G165" s="9"/>
      <c r="Q165" s="9"/>
      <c r="U165" s="9"/>
    </row>
    <row r="166" spans="7:21" x14ac:dyDescent="0.25">
      <c r="G166" s="9"/>
      <c r="Q166" s="9"/>
      <c r="U166" s="9"/>
    </row>
    <row r="167" spans="7:21" x14ac:dyDescent="0.25">
      <c r="G167" s="9"/>
      <c r="Q167" s="9"/>
      <c r="U167" s="9"/>
    </row>
    <row r="168" spans="7:21" x14ac:dyDescent="0.25">
      <c r="G168" s="9"/>
      <c r="Q168" s="9"/>
      <c r="U168" s="9"/>
    </row>
    <row r="169" spans="7:21" x14ac:dyDescent="0.25">
      <c r="G169" s="9"/>
      <c r="Q169" s="9"/>
      <c r="U169" s="9"/>
    </row>
    <row r="170" spans="7:21" x14ac:dyDescent="0.25">
      <c r="G170" s="9"/>
      <c r="Q170" s="9"/>
      <c r="U170" s="9"/>
    </row>
    <row r="171" spans="7:21" x14ac:dyDescent="0.25">
      <c r="G171" s="9"/>
      <c r="Q171" s="9"/>
      <c r="U171" s="9"/>
    </row>
    <row r="172" spans="7:21" x14ac:dyDescent="0.25">
      <c r="G172" s="9"/>
      <c r="Q172" s="9"/>
      <c r="U172" s="9"/>
    </row>
    <row r="173" spans="7:21" x14ac:dyDescent="0.25">
      <c r="G173" s="9"/>
      <c r="Q173" s="9"/>
      <c r="U173" s="9"/>
    </row>
    <row r="174" spans="7:21" x14ac:dyDescent="0.25">
      <c r="G174" s="9"/>
      <c r="Q174" s="9"/>
      <c r="U174" s="9"/>
    </row>
    <row r="175" spans="7:21" x14ac:dyDescent="0.25">
      <c r="G175" s="9"/>
      <c r="Q175" s="9"/>
      <c r="U175" s="9"/>
    </row>
    <row r="176" spans="7:21" x14ac:dyDescent="0.25">
      <c r="G176" s="9"/>
      <c r="Q176" s="9"/>
      <c r="U176" s="9"/>
    </row>
    <row r="177" spans="7:21" x14ac:dyDescent="0.25">
      <c r="G177" s="9"/>
      <c r="Q177" s="9"/>
      <c r="U177" s="9"/>
    </row>
    <row r="178" spans="7:21" x14ac:dyDescent="0.25">
      <c r="G178" s="9"/>
      <c r="Q178" s="9"/>
      <c r="U178" s="9"/>
    </row>
    <row r="179" spans="7:21" x14ac:dyDescent="0.25">
      <c r="G179" s="9"/>
      <c r="Q179" s="9"/>
      <c r="U179" s="9"/>
    </row>
    <row r="180" spans="7:21" x14ac:dyDescent="0.25">
      <c r="G180" s="9"/>
      <c r="Q180" s="9"/>
      <c r="U180" s="9"/>
    </row>
    <row r="181" spans="7:21" x14ac:dyDescent="0.25">
      <c r="G181" s="9"/>
      <c r="Q181" s="9"/>
      <c r="U181" s="9"/>
    </row>
    <row r="182" spans="7:21" x14ac:dyDescent="0.25">
      <c r="G182" s="9"/>
      <c r="Q182" s="9"/>
      <c r="U182" s="9"/>
    </row>
    <row r="183" spans="7:21" x14ac:dyDescent="0.25">
      <c r="G183" s="9"/>
      <c r="Q183" s="9"/>
      <c r="U183" s="9"/>
    </row>
    <row r="184" spans="7:21" x14ac:dyDescent="0.25">
      <c r="G184" s="9"/>
      <c r="Q184" s="9"/>
      <c r="U184" s="9"/>
    </row>
    <row r="185" spans="7:21" x14ac:dyDescent="0.25">
      <c r="G185" s="9"/>
      <c r="Q185" s="9"/>
      <c r="U185" s="9"/>
    </row>
    <row r="186" spans="7:21" x14ac:dyDescent="0.25">
      <c r="G186" s="9"/>
      <c r="Q186" s="9"/>
      <c r="U186" s="9"/>
    </row>
    <row r="187" spans="7:21" x14ac:dyDescent="0.25">
      <c r="G187" s="9"/>
      <c r="Q187" s="9"/>
      <c r="U187" s="9"/>
    </row>
    <row r="188" spans="7:21" x14ac:dyDescent="0.25">
      <c r="G188" s="9"/>
      <c r="Q188" s="9"/>
      <c r="U188" s="9"/>
    </row>
    <row r="189" spans="7:21" x14ac:dyDescent="0.25">
      <c r="G189" s="9"/>
      <c r="Q189" s="9"/>
      <c r="U189" s="9"/>
    </row>
    <row r="190" spans="7:21" x14ac:dyDescent="0.25">
      <c r="G190" s="9"/>
      <c r="Q190" s="9"/>
      <c r="U190" s="9"/>
    </row>
    <row r="191" spans="7:21" x14ac:dyDescent="0.25">
      <c r="G191" s="9"/>
      <c r="Q191" s="9"/>
      <c r="U191" s="9"/>
    </row>
    <row r="192" spans="7:21" x14ac:dyDescent="0.25">
      <c r="G192" s="9"/>
      <c r="Q192" s="9"/>
      <c r="U192" s="9"/>
    </row>
    <row r="193" spans="7:21" x14ac:dyDescent="0.25">
      <c r="G193" s="9"/>
      <c r="Q193" s="9"/>
      <c r="U193" s="9"/>
    </row>
    <row r="194" spans="7:21" x14ac:dyDescent="0.25">
      <c r="G194" s="9"/>
      <c r="Q194" s="9"/>
      <c r="U194" s="9"/>
    </row>
    <row r="195" spans="7:21" x14ac:dyDescent="0.25">
      <c r="G195" s="9"/>
      <c r="Q195" s="9"/>
      <c r="U195" s="9"/>
    </row>
    <row r="196" spans="7:21" x14ac:dyDescent="0.25">
      <c r="G196" s="9"/>
      <c r="Q196" s="9"/>
      <c r="U196" s="9"/>
    </row>
    <row r="197" spans="7:21" x14ac:dyDescent="0.25">
      <c r="G197" s="9"/>
      <c r="Q197" s="9"/>
      <c r="U197" s="9"/>
    </row>
    <row r="198" spans="7:21" x14ac:dyDescent="0.25">
      <c r="G198" s="9"/>
      <c r="Q198" s="9"/>
      <c r="U198" s="9"/>
    </row>
    <row r="199" spans="7:21" x14ac:dyDescent="0.25">
      <c r="G199" s="9"/>
      <c r="Q199" s="9"/>
      <c r="U199" s="9"/>
    </row>
    <row r="200" spans="7:21" x14ac:dyDescent="0.25">
      <c r="G200" s="9"/>
      <c r="Q200" s="9"/>
      <c r="U200" s="9"/>
    </row>
    <row r="201" spans="7:21" x14ac:dyDescent="0.25">
      <c r="G201" s="9"/>
      <c r="Q201" s="9"/>
      <c r="U201" s="9"/>
    </row>
    <row r="202" spans="7:21" x14ac:dyDescent="0.25">
      <c r="G202" s="9"/>
      <c r="Q202" s="9"/>
      <c r="U202" s="9"/>
    </row>
    <row r="203" spans="7:21" x14ac:dyDescent="0.25">
      <c r="G203" s="9"/>
      <c r="Q203" s="9"/>
      <c r="U203" s="9"/>
    </row>
    <row r="204" spans="7:21" x14ac:dyDescent="0.25">
      <c r="G204" s="9"/>
      <c r="Q204" s="9"/>
      <c r="U204" s="9"/>
    </row>
    <row r="205" spans="7:21" x14ac:dyDescent="0.25">
      <c r="G205" s="9"/>
      <c r="Q205" s="9"/>
      <c r="U205" s="9"/>
    </row>
    <row r="206" spans="7:21" x14ac:dyDescent="0.25">
      <c r="G206" s="9"/>
      <c r="Q206" s="9"/>
      <c r="U206" s="9"/>
    </row>
    <row r="207" spans="7:21" x14ac:dyDescent="0.25">
      <c r="G207" s="9"/>
      <c r="Q207" s="9"/>
      <c r="U207" s="9"/>
    </row>
    <row r="208" spans="7:21" x14ac:dyDescent="0.25">
      <c r="G208" s="9"/>
      <c r="Q208" s="9"/>
      <c r="U208" s="9"/>
    </row>
    <row r="209" spans="7:21" x14ac:dyDescent="0.25">
      <c r="G209" s="9"/>
      <c r="Q209" s="9"/>
      <c r="U209" s="9"/>
    </row>
    <row r="210" spans="7:21" x14ac:dyDescent="0.25">
      <c r="G210" s="9"/>
      <c r="Q210" s="9"/>
      <c r="U210" s="9"/>
    </row>
    <row r="211" spans="7:21" x14ac:dyDescent="0.25">
      <c r="G211" s="9"/>
      <c r="Q211" s="9"/>
      <c r="U211" s="9"/>
    </row>
    <row r="212" spans="7:21" x14ac:dyDescent="0.25">
      <c r="G212" s="9"/>
      <c r="Q212" s="9"/>
      <c r="U212" s="9"/>
    </row>
    <row r="213" spans="7:21" x14ac:dyDescent="0.25">
      <c r="G213" s="9"/>
      <c r="Q213" s="9"/>
      <c r="U213" s="9"/>
    </row>
    <row r="214" spans="7:21" x14ac:dyDescent="0.25">
      <c r="G214" s="9"/>
      <c r="Q214" s="9"/>
      <c r="U214" s="9"/>
    </row>
    <row r="215" spans="7:21" x14ac:dyDescent="0.25">
      <c r="G215" s="9"/>
      <c r="Q215" s="9"/>
      <c r="U215" s="9"/>
    </row>
    <row r="216" spans="7:21" x14ac:dyDescent="0.25">
      <c r="G216" s="9"/>
      <c r="Q216" s="9"/>
      <c r="U216" s="9"/>
    </row>
    <row r="217" spans="7:21" x14ac:dyDescent="0.25">
      <c r="G217" s="9"/>
      <c r="Q217" s="9"/>
      <c r="U217" s="9"/>
    </row>
    <row r="218" spans="7:21" x14ac:dyDescent="0.25">
      <c r="G218" s="9"/>
      <c r="Q218" s="9"/>
      <c r="U218" s="9"/>
    </row>
    <row r="219" spans="7:21" x14ac:dyDescent="0.25">
      <c r="G219" s="9"/>
      <c r="Q219" s="9"/>
      <c r="U219" s="9"/>
    </row>
    <row r="220" spans="7:21" x14ac:dyDescent="0.25">
      <c r="G220" s="9"/>
      <c r="Q220" s="9"/>
      <c r="U220" s="9"/>
    </row>
    <row r="221" spans="7:21" x14ac:dyDescent="0.25">
      <c r="G221" s="9"/>
      <c r="Q221" s="9"/>
      <c r="U221" s="9"/>
    </row>
    <row r="222" spans="7:21" x14ac:dyDescent="0.25">
      <c r="G222" s="9"/>
      <c r="Q222" s="9"/>
      <c r="U222" s="9"/>
    </row>
    <row r="223" spans="7:21" x14ac:dyDescent="0.25">
      <c r="G223" s="9"/>
      <c r="Q223" s="9"/>
      <c r="U223" s="9"/>
    </row>
    <row r="224" spans="7:21" x14ac:dyDescent="0.25">
      <c r="G224" s="9"/>
      <c r="Q224" s="9"/>
      <c r="U224" s="9"/>
    </row>
    <row r="225" spans="7:21" x14ac:dyDescent="0.25">
      <c r="G225" s="9"/>
      <c r="Q225" s="9"/>
      <c r="U225" s="9"/>
    </row>
    <row r="226" spans="7:21" x14ac:dyDescent="0.25">
      <c r="G226" s="9"/>
      <c r="Q226" s="9"/>
      <c r="U226" s="9"/>
    </row>
    <row r="227" spans="7:21" x14ac:dyDescent="0.25">
      <c r="G227" s="9"/>
      <c r="Q227" s="9"/>
      <c r="U227" s="9"/>
    </row>
    <row r="228" spans="7:21" x14ac:dyDescent="0.25">
      <c r="G228" s="9"/>
      <c r="Q228" s="9"/>
      <c r="U228" s="9"/>
    </row>
    <row r="229" spans="7:21" x14ac:dyDescent="0.25">
      <c r="G229" s="9"/>
      <c r="Q229" s="9"/>
      <c r="U229" s="9"/>
    </row>
    <row r="230" spans="7:21" x14ac:dyDescent="0.25">
      <c r="G230" s="9"/>
      <c r="Q230" s="9"/>
      <c r="U230" s="9"/>
    </row>
    <row r="231" spans="7:21" x14ac:dyDescent="0.25">
      <c r="G231" s="9"/>
      <c r="Q231" s="9"/>
      <c r="U231" s="9"/>
    </row>
    <row r="232" spans="7:21" x14ac:dyDescent="0.25">
      <c r="G232" s="9"/>
      <c r="Q232" s="9"/>
      <c r="U232" s="9"/>
    </row>
    <row r="233" spans="7:21" x14ac:dyDescent="0.25">
      <c r="G233" s="9"/>
      <c r="Q233" s="9"/>
      <c r="U233" s="9"/>
    </row>
    <row r="234" spans="7:21" x14ac:dyDescent="0.25">
      <c r="G234" s="9"/>
      <c r="Q234" s="9"/>
      <c r="U234" s="9"/>
    </row>
    <row r="235" spans="7:21" x14ac:dyDescent="0.25">
      <c r="G235" s="9"/>
      <c r="Q235" s="9"/>
      <c r="U235" s="9"/>
    </row>
    <row r="236" spans="7:21" x14ac:dyDescent="0.25">
      <c r="G236" s="9"/>
      <c r="Q236" s="9"/>
      <c r="U236" s="9"/>
    </row>
    <row r="237" spans="7:21" x14ac:dyDescent="0.25">
      <c r="G237" s="9"/>
      <c r="Q237" s="9"/>
      <c r="U237" s="9"/>
    </row>
    <row r="238" spans="7:21" x14ac:dyDescent="0.25">
      <c r="G238" s="9"/>
      <c r="Q238" s="9"/>
      <c r="U238" s="9"/>
    </row>
    <row r="239" spans="7:21" x14ac:dyDescent="0.25">
      <c r="G239" s="9"/>
      <c r="Q239" s="9"/>
      <c r="U239" s="9"/>
    </row>
    <row r="240" spans="7:21" x14ac:dyDescent="0.25">
      <c r="G240" s="9"/>
      <c r="Q240" s="9"/>
      <c r="U240" s="9"/>
    </row>
    <row r="241" spans="7:21" x14ac:dyDescent="0.25">
      <c r="G241" s="9"/>
      <c r="Q241" s="9"/>
      <c r="U241" s="9"/>
    </row>
    <row r="242" spans="7:21" x14ac:dyDescent="0.25">
      <c r="G242" s="9"/>
      <c r="Q242" s="9"/>
      <c r="U242" s="9"/>
    </row>
    <row r="243" spans="7:21" x14ac:dyDescent="0.25">
      <c r="G243" s="9"/>
      <c r="Q243" s="9"/>
      <c r="U243" s="9"/>
    </row>
    <row r="244" spans="7:21" x14ac:dyDescent="0.25">
      <c r="G244" s="9"/>
      <c r="Q244" s="9"/>
      <c r="U244" s="9"/>
    </row>
    <row r="245" spans="7:21" x14ac:dyDescent="0.25">
      <c r="G245" s="9"/>
      <c r="Q245" s="9"/>
      <c r="U245" s="9"/>
    </row>
    <row r="246" spans="7:21" x14ac:dyDescent="0.25">
      <c r="G246" s="9"/>
      <c r="Q246" s="9"/>
      <c r="U246" s="9"/>
    </row>
    <row r="247" spans="7:21" x14ac:dyDescent="0.25">
      <c r="G247" s="9"/>
      <c r="Q247" s="9"/>
      <c r="U247" s="9"/>
    </row>
    <row r="248" spans="7:21" x14ac:dyDescent="0.25">
      <c r="G248" s="9"/>
      <c r="Q248" s="9"/>
      <c r="U248" s="9"/>
    </row>
    <row r="249" spans="7:21" x14ac:dyDescent="0.25">
      <c r="G249" s="9"/>
      <c r="Q249" s="9"/>
      <c r="U249" s="9"/>
    </row>
    <row r="250" spans="7:21" x14ac:dyDescent="0.25">
      <c r="G250" s="9"/>
      <c r="Q250" s="9"/>
      <c r="U250" s="9"/>
    </row>
    <row r="251" spans="7:21" x14ac:dyDescent="0.25">
      <c r="G251" s="9"/>
      <c r="Q251" s="9"/>
      <c r="U251" s="9"/>
    </row>
    <row r="252" spans="7:21" x14ac:dyDescent="0.25">
      <c r="G252" s="9"/>
      <c r="Q252" s="9"/>
      <c r="U252" s="9"/>
    </row>
    <row r="253" spans="7:21" x14ac:dyDescent="0.25">
      <c r="G253" s="9"/>
      <c r="Q253" s="9"/>
      <c r="U253" s="9"/>
    </row>
    <row r="254" spans="7:21" x14ac:dyDescent="0.25">
      <c r="G254" s="9"/>
      <c r="Q254" s="9"/>
      <c r="U254" s="9"/>
    </row>
    <row r="255" spans="7:21" x14ac:dyDescent="0.25">
      <c r="G255" s="9"/>
      <c r="Q255" s="9"/>
      <c r="U255" s="9"/>
    </row>
    <row r="256" spans="7:21" x14ac:dyDescent="0.25">
      <c r="G256" s="9"/>
      <c r="Q256" s="9"/>
      <c r="U256" s="9"/>
    </row>
    <row r="257" spans="7:21" x14ac:dyDescent="0.25">
      <c r="G257" s="9"/>
      <c r="Q257" s="9"/>
      <c r="U257" s="9"/>
    </row>
    <row r="258" spans="7:21" x14ac:dyDescent="0.25">
      <c r="G258" s="9"/>
      <c r="Q258" s="9"/>
      <c r="U258" s="9"/>
    </row>
    <row r="259" spans="7:21" x14ac:dyDescent="0.25">
      <c r="G259" s="9"/>
      <c r="Q259" s="9"/>
      <c r="U259" s="9"/>
    </row>
    <row r="260" spans="7:21" x14ac:dyDescent="0.25">
      <c r="G260" s="9"/>
      <c r="Q260" s="9"/>
      <c r="U260" s="9"/>
    </row>
    <row r="261" spans="7:21" x14ac:dyDescent="0.25">
      <c r="G261" s="9"/>
      <c r="Q261" s="9"/>
      <c r="U261" s="9"/>
    </row>
    <row r="262" spans="7:21" x14ac:dyDescent="0.25">
      <c r="G262" s="9"/>
      <c r="Q262" s="9"/>
      <c r="U262" s="9"/>
    </row>
    <row r="263" spans="7:21" x14ac:dyDescent="0.25">
      <c r="G263" s="9"/>
      <c r="Q263" s="9"/>
      <c r="U263" s="9"/>
    </row>
    <row r="264" spans="7:21" x14ac:dyDescent="0.25">
      <c r="G264" s="9"/>
      <c r="Q264" s="9"/>
      <c r="U264" s="9"/>
    </row>
    <row r="265" spans="7:21" x14ac:dyDescent="0.25">
      <c r="G265" s="9"/>
      <c r="Q265" s="9"/>
      <c r="U265" s="9"/>
    </row>
    <row r="266" spans="7:21" x14ac:dyDescent="0.25">
      <c r="G266" s="9"/>
      <c r="Q266" s="9"/>
      <c r="U266" s="9"/>
    </row>
    <row r="267" spans="7:21" x14ac:dyDescent="0.25">
      <c r="G267" s="9"/>
      <c r="Q267" s="9"/>
      <c r="U267" s="9"/>
    </row>
    <row r="268" spans="7:21" x14ac:dyDescent="0.25">
      <c r="G268" s="9"/>
      <c r="Q268" s="9"/>
      <c r="U268" s="9"/>
    </row>
    <row r="269" spans="7:21" x14ac:dyDescent="0.25">
      <c r="G269" s="9"/>
      <c r="Q269" s="9"/>
      <c r="U269" s="9"/>
    </row>
    <row r="270" spans="7:21" x14ac:dyDescent="0.25">
      <c r="G270" s="9"/>
      <c r="Q270" s="9"/>
      <c r="U270" s="9"/>
    </row>
    <row r="271" spans="7:21" x14ac:dyDescent="0.25">
      <c r="G271" s="9"/>
      <c r="Q271" s="9"/>
      <c r="U271" s="9"/>
    </row>
    <row r="272" spans="7:21" x14ac:dyDescent="0.25">
      <c r="G272" s="9"/>
      <c r="Q272" s="9"/>
      <c r="U272" s="9"/>
    </row>
    <row r="273" spans="7:21" x14ac:dyDescent="0.25">
      <c r="G273" s="9"/>
      <c r="Q273" s="9"/>
      <c r="U273" s="9"/>
    </row>
    <row r="274" spans="7:21" x14ac:dyDescent="0.25">
      <c r="G274" s="9"/>
      <c r="Q274" s="9"/>
      <c r="U274" s="9"/>
    </row>
    <row r="275" spans="7:21" x14ac:dyDescent="0.25">
      <c r="G275" s="9"/>
      <c r="Q275" s="9"/>
      <c r="U275" s="9"/>
    </row>
    <row r="276" spans="7:21" x14ac:dyDescent="0.25">
      <c r="G276" s="9"/>
      <c r="Q276" s="9"/>
      <c r="U276" s="9"/>
    </row>
    <row r="277" spans="7:21" x14ac:dyDescent="0.25">
      <c r="G277" s="9"/>
      <c r="Q277" s="9"/>
      <c r="U277" s="9"/>
    </row>
    <row r="278" spans="7:21" x14ac:dyDescent="0.25">
      <c r="G278" s="9"/>
      <c r="Q278" s="9"/>
      <c r="U278" s="9"/>
    </row>
    <row r="279" spans="7:21" x14ac:dyDescent="0.25">
      <c r="G279" s="9"/>
      <c r="Q279" s="9"/>
      <c r="U279" s="9"/>
    </row>
    <row r="280" spans="7:21" x14ac:dyDescent="0.25">
      <c r="G280" s="9"/>
      <c r="Q280" s="9"/>
      <c r="U280" s="9"/>
    </row>
    <row r="281" spans="7:21" x14ac:dyDescent="0.25">
      <c r="G281" s="9"/>
      <c r="Q281" s="9"/>
      <c r="U281" s="9"/>
    </row>
    <row r="282" spans="7:21" x14ac:dyDescent="0.25">
      <c r="G282" s="9"/>
      <c r="Q282" s="9"/>
      <c r="U282" s="9"/>
    </row>
    <row r="283" spans="7:21" x14ac:dyDescent="0.25">
      <c r="G283" s="9"/>
      <c r="Q283" s="9"/>
      <c r="U283" s="9"/>
    </row>
    <row r="284" spans="7:21" x14ac:dyDescent="0.25">
      <c r="G284" s="9"/>
      <c r="Q284" s="9"/>
      <c r="U284" s="9"/>
    </row>
    <row r="285" spans="7:21" x14ac:dyDescent="0.25">
      <c r="G285" s="9"/>
      <c r="Q285" s="9"/>
      <c r="U285" s="9"/>
    </row>
    <row r="286" spans="7:21" x14ac:dyDescent="0.25">
      <c r="G286" s="9"/>
      <c r="Q286" s="9"/>
      <c r="U286" s="9"/>
    </row>
    <row r="287" spans="7:21" x14ac:dyDescent="0.25">
      <c r="G287" s="9"/>
      <c r="Q287" s="9"/>
      <c r="U287" s="9"/>
    </row>
    <row r="288" spans="7:21" x14ac:dyDescent="0.25">
      <c r="G288" s="9"/>
      <c r="Q288" s="9"/>
      <c r="U288" s="9"/>
    </row>
    <row r="289" spans="7:21" x14ac:dyDescent="0.25">
      <c r="G289" s="9"/>
      <c r="Q289" s="9"/>
      <c r="U289" s="9"/>
    </row>
    <row r="290" spans="7:21" x14ac:dyDescent="0.25">
      <c r="G290" s="9"/>
      <c r="Q290" s="9"/>
      <c r="U290" s="9"/>
    </row>
    <row r="291" spans="7:21" x14ac:dyDescent="0.25">
      <c r="G291" s="9"/>
      <c r="Q291" s="9"/>
      <c r="U291" s="9"/>
    </row>
    <row r="292" spans="7:21" x14ac:dyDescent="0.25">
      <c r="G292" s="9"/>
      <c r="Q292" s="9"/>
      <c r="U292" s="9"/>
    </row>
    <row r="293" spans="7:21" x14ac:dyDescent="0.25">
      <c r="G293" s="9"/>
      <c r="Q293" s="9"/>
      <c r="U293" s="9"/>
    </row>
    <row r="294" spans="7:21" x14ac:dyDescent="0.25">
      <c r="G294" s="9"/>
      <c r="Q294" s="9"/>
      <c r="U294" s="9"/>
    </row>
    <row r="295" spans="7:21" x14ac:dyDescent="0.25">
      <c r="G295" s="9"/>
      <c r="Q295" s="9"/>
      <c r="U295" s="9"/>
    </row>
    <row r="296" spans="7:21" x14ac:dyDescent="0.25">
      <c r="G296" s="9"/>
      <c r="Q296" s="9"/>
      <c r="U296" s="9"/>
    </row>
    <row r="297" spans="7:21" x14ac:dyDescent="0.25">
      <c r="G297" s="9"/>
      <c r="Q297" s="9"/>
      <c r="U297" s="9"/>
    </row>
    <row r="298" spans="7:21" x14ac:dyDescent="0.25">
      <c r="G298" s="9"/>
      <c r="Q298" s="9"/>
      <c r="U298" s="9"/>
    </row>
    <row r="299" spans="7:21" x14ac:dyDescent="0.25">
      <c r="G299" s="9"/>
      <c r="Q299" s="9"/>
      <c r="U299" s="9"/>
    </row>
    <row r="300" spans="7:21" x14ac:dyDescent="0.25">
      <c r="G300" s="9"/>
      <c r="Q300" s="9"/>
      <c r="U300" s="9"/>
    </row>
    <row r="301" spans="7:21" x14ac:dyDescent="0.25">
      <c r="G301" s="9"/>
      <c r="Q301" s="9"/>
      <c r="U301" s="9"/>
    </row>
    <row r="302" spans="7:21" x14ac:dyDescent="0.25">
      <c r="G302" s="9"/>
      <c r="Q302" s="9"/>
      <c r="U302" s="9"/>
    </row>
    <row r="303" spans="7:21" x14ac:dyDescent="0.25">
      <c r="G303" s="9"/>
      <c r="Q303" s="9"/>
      <c r="U303" s="9"/>
    </row>
    <row r="304" spans="7:21" x14ac:dyDescent="0.25">
      <c r="G304" s="9"/>
      <c r="Q304" s="9"/>
      <c r="U304" s="9"/>
    </row>
    <row r="305" spans="7:21" x14ac:dyDescent="0.25">
      <c r="G305" s="9"/>
      <c r="Q305" s="9"/>
      <c r="U305" s="9"/>
    </row>
    <row r="306" spans="7:21" x14ac:dyDescent="0.25">
      <c r="G306" s="9"/>
      <c r="Q306" s="9"/>
      <c r="U306" s="9"/>
    </row>
    <row r="307" spans="7:21" x14ac:dyDescent="0.25">
      <c r="G307" s="9"/>
      <c r="Q307" s="9"/>
      <c r="U307" s="9"/>
    </row>
    <row r="308" spans="7:21" x14ac:dyDescent="0.25">
      <c r="G308" s="9"/>
      <c r="Q308" s="9"/>
      <c r="U308" s="9"/>
    </row>
    <row r="309" spans="7:21" x14ac:dyDescent="0.25">
      <c r="G309" s="9"/>
      <c r="Q309" s="9"/>
      <c r="U309" s="9"/>
    </row>
    <row r="310" spans="7:21" x14ac:dyDescent="0.25">
      <c r="G310" s="9"/>
      <c r="Q310" s="9"/>
      <c r="U310" s="9"/>
    </row>
    <row r="311" spans="7:21" x14ac:dyDescent="0.25">
      <c r="G311" s="9"/>
      <c r="Q311" s="9"/>
      <c r="U311" s="9"/>
    </row>
    <row r="312" spans="7:21" x14ac:dyDescent="0.25">
      <c r="G312" s="9"/>
      <c r="Q312" s="9"/>
      <c r="U312" s="9"/>
    </row>
    <row r="313" spans="7:21" x14ac:dyDescent="0.25">
      <c r="G313" s="9"/>
      <c r="Q313" s="9"/>
      <c r="U313" s="9"/>
    </row>
    <row r="314" spans="7:21" x14ac:dyDescent="0.25">
      <c r="G314" s="9"/>
      <c r="Q314" s="9"/>
      <c r="U314" s="9"/>
    </row>
    <row r="315" spans="7:21" x14ac:dyDescent="0.25">
      <c r="G315" s="9"/>
      <c r="Q315" s="9"/>
      <c r="U315" s="9"/>
    </row>
    <row r="316" spans="7:21" x14ac:dyDescent="0.25">
      <c r="G316" s="9"/>
      <c r="Q316" s="9"/>
      <c r="U316" s="9"/>
    </row>
    <row r="317" spans="7:21" x14ac:dyDescent="0.25">
      <c r="G317" s="9"/>
      <c r="Q317" s="9"/>
      <c r="U317" s="9"/>
    </row>
    <row r="318" spans="7:21" x14ac:dyDescent="0.25">
      <c r="G318" s="9"/>
      <c r="Q318" s="9"/>
      <c r="U318" s="9"/>
    </row>
    <row r="319" spans="7:21" x14ac:dyDescent="0.25">
      <c r="G319" s="9"/>
      <c r="Q319" s="9"/>
      <c r="U319" s="9"/>
    </row>
    <row r="320" spans="7:21" x14ac:dyDescent="0.25">
      <c r="G320" s="9"/>
      <c r="Q320" s="9"/>
      <c r="U320" s="9"/>
    </row>
    <row r="321" spans="7:21" x14ac:dyDescent="0.25">
      <c r="G321" s="9"/>
      <c r="Q321" s="9"/>
      <c r="U321" s="9"/>
    </row>
    <row r="322" spans="7:21" x14ac:dyDescent="0.25">
      <c r="G322" s="9"/>
      <c r="Q322" s="9"/>
      <c r="U322" s="9"/>
    </row>
    <row r="323" spans="7:21" x14ac:dyDescent="0.25">
      <c r="G323" s="9"/>
      <c r="Q323" s="9"/>
      <c r="U323" s="9"/>
    </row>
    <row r="324" spans="7:21" x14ac:dyDescent="0.25">
      <c r="G324" s="9"/>
      <c r="Q324" s="9"/>
      <c r="U324" s="9"/>
    </row>
    <row r="325" spans="7:21" x14ac:dyDescent="0.25">
      <c r="G325" s="9"/>
      <c r="Q325" s="9"/>
      <c r="U325" s="9"/>
    </row>
    <row r="326" spans="7:21" x14ac:dyDescent="0.25">
      <c r="G326" s="9"/>
      <c r="Q326" s="9"/>
      <c r="U326" s="9"/>
    </row>
    <row r="327" spans="7:21" x14ac:dyDescent="0.25">
      <c r="G327" s="9"/>
      <c r="Q327" s="9"/>
      <c r="U327" s="9"/>
    </row>
    <row r="328" spans="7:21" x14ac:dyDescent="0.25">
      <c r="G328" s="9"/>
      <c r="Q328" s="9"/>
      <c r="U328" s="9"/>
    </row>
    <row r="329" spans="7:21" x14ac:dyDescent="0.25">
      <c r="G329" s="9"/>
      <c r="Q329" s="9"/>
      <c r="U329" s="9"/>
    </row>
    <row r="330" spans="7:21" x14ac:dyDescent="0.25">
      <c r="G330" s="9"/>
      <c r="Q330" s="9"/>
      <c r="U330" s="9"/>
    </row>
    <row r="331" spans="7:21" x14ac:dyDescent="0.25">
      <c r="G331" s="9"/>
      <c r="Q331" s="9"/>
      <c r="U331" s="9"/>
    </row>
    <row r="332" spans="7:21" x14ac:dyDescent="0.25">
      <c r="G332" s="9"/>
      <c r="Q332" s="9"/>
      <c r="U332" s="9"/>
    </row>
    <row r="333" spans="7:21" x14ac:dyDescent="0.25">
      <c r="G333" s="9"/>
      <c r="Q333" s="9"/>
      <c r="U333" s="9"/>
    </row>
    <row r="334" spans="7:21" x14ac:dyDescent="0.25">
      <c r="G334" s="9"/>
      <c r="Q334" s="9"/>
      <c r="U334" s="9"/>
    </row>
    <row r="335" spans="7:21" x14ac:dyDescent="0.25">
      <c r="G335" s="9"/>
      <c r="Q335" s="9"/>
      <c r="U335" s="9"/>
    </row>
    <row r="336" spans="7:21" x14ac:dyDescent="0.25">
      <c r="G336" s="9"/>
      <c r="Q336" s="9"/>
      <c r="U336" s="9"/>
    </row>
    <row r="337" spans="7:21" x14ac:dyDescent="0.25">
      <c r="G337" s="9"/>
      <c r="Q337" s="9"/>
      <c r="U337" s="9"/>
    </row>
    <row r="338" spans="7:21" x14ac:dyDescent="0.25">
      <c r="G338" s="9"/>
      <c r="Q338" s="9"/>
      <c r="U338" s="9"/>
    </row>
    <row r="339" spans="7:21" x14ac:dyDescent="0.25">
      <c r="G339" s="9"/>
      <c r="Q339" s="9"/>
      <c r="U339" s="9"/>
    </row>
    <row r="340" spans="7:21" x14ac:dyDescent="0.25">
      <c r="G340" s="9"/>
      <c r="Q340" s="9"/>
      <c r="U340" s="9"/>
    </row>
    <row r="341" spans="7:21" x14ac:dyDescent="0.25">
      <c r="G341" s="9"/>
      <c r="Q341" s="9"/>
      <c r="U341" s="9"/>
    </row>
    <row r="342" spans="7:21" x14ac:dyDescent="0.25">
      <c r="G342" s="9"/>
      <c r="Q342" s="9"/>
      <c r="U342" s="9"/>
    </row>
    <row r="343" spans="7:21" x14ac:dyDescent="0.25">
      <c r="G343" s="9"/>
      <c r="Q343" s="9"/>
      <c r="U343" s="9"/>
    </row>
    <row r="344" spans="7:21" x14ac:dyDescent="0.25">
      <c r="G344" s="9"/>
      <c r="Q344" s="9"/>
      <c r="U344" s="9"/>
    </row>
    <row r="345" spans="7:21" x14ac:dyDescent="0.25">
      <c r="G345" s="9"/>
      <c r="Q345" s="9"/>
      <c r="U345" s="9"/>
    </row>
    <row r="346" spans="7:21" x14ac:dyDescent="0.25">
      <c r="G346" s="9"/>
      <c r="Q346" s="9"/>
      <c r="U346" s="9"/>
    </row>
    <row r="347" spans="7:21" x14ac:dyDescent="0.25">
      <c r="G347" s="9"/>
      <c r="Q347" s="9"/>
      <c r="U347" s="9"/>
    </row>
    <row r="348" spans="7:21" x14ac:dyDescent="0.25">
      <c r="G348" s="9"/>
      <c r="Q348" s="9"/>
      <c r="U348" s="9"/>
    </row>
    <row r="349" spans="7:21" x14ac:dyDescent="0.25">
      <c r="G349" s="9"/>
      <c r="Q349" s="9"/>
      <c r="U349" s="9"/>
    </row>
    <row r="350" spans="7:21" x14ac:dyDescent="0.25">
      <c r="G350" s="9"/>
      <c r="Q350" s="9"/>
      <c r="U350" s="9"/>
    </row>
    <row r="351" spans="7:21" x14ac:dyDescent="0.25">
      <c r="G351" s="9"/>
      <c r="Q351" s="9"/>
      <c r="U351" s="9"/>
    </row>
    <row r="352" spans="7:21" x14ac:dyDescent="0.25">
      <c r="G352" s="9"/>
      <c r="Q352" s="9"/>
      <c r="U352" s="9"/>
    </row>
    <row r="353" spans="7:21" x14ac:dyDescent="0.25">
      <c r="G353" s="9"/>
      <c r="Q353" s="9"/>
      <c r="U353" s="9"/>
    </row>
    <row r="354" spans="7:21" x14ac:dyDescent="0.25">
      <c r="G354" s="9"/>
      <c r="Q354" s="9"/>
      <c r="U354" s="9"/>
    </row>
    <row r="355" spans="7:21" x14ac:dyDescent="0.25">
      <c r="G355" s="9"/>
      <c r="Q355" s="9"/>
      <c r="U355" s="9"/>
    </row>
    <row r="356" spans="7:21" x14ac:dyDescent="0.25">
      <c r="G356" s="9"/>
      <c r="Q356" s="9"/>
      <c r="U356" s="9"/>
    </row>
    <row r="357" spans="7:21" x14ac:dyDescent="0.25">
      <c r="G357" s="9"/>
      <c r="Q357" s="9"/>
      <c r="U357" s="9"/>
    </row>
    <row r="358" spans="7:21" x14ac:dyDescent="0.25">
      <c r="G358" s="9"/>
      <c r="Q358" s="9"/>
      <c r="U358" s="9"/>
    </row>
    <row r="359" spans="7:21" x14ac:dyDescent="0.25">
      <c r="G359" s="9"/>
      <c r="Q359" s="9"/>
      <c r="U359" s="9"/>
    </row>
    <row r="360" spans="7:21" x14ac:dyDescent="0.25">
      <c r="G360" s="9"/>
      <c r="Q360" s="9"/>
      <c r="U360" s="9"/>
    </row>
    <row r="361" spans="7:21" x14ac:dyDescent="0.25">
      <c r="G361" s="9"/>
      <c r="Q361" s="9"/>
      <c r="U361" s="9"/>
    </row>
    <row r="362" spans="7:21" x14ac:dyDescent="0.25">
      <c r="G362" s="9"/>
      <c r="Q362" s="9"/>
      <c r="U362" s="9"/>
    </row>
    <row r="363" spans="7:21" x14ac:dyDescent="0.25">
      <c r="G363" s="9"/>
      <c r="Q363" s="9"/>
      <c r="U363" s="9"/>
    </row>
    <row r="364" spans="7:21" x14ac:dyDescent="0.25">
      <c r="G364" s="9"/>
      <c r="Q364" s="9"/>
      <c r="U364" s="9"/>
    </row>
    <row r="365" spans="7:21" x14ac:dyDescent="0.25">
      <c r="G365" s="9"/>
      <c r="Q365" s="9"/>
      <c r="U365" s="9"/>
    </row>
    <row r="366" spans="7:21" x14ac:dyDescent="0.25">
      <c r="G366" s="9"/>
      <c r="Q366" s="9"/>
      <c r="U366" s="9"/>
    </row>
    <row r="367" spans="7:21" x14ac:dyDescent="0.25">
      <c r="G367" s="9"/>
      <c r="Q367" s="9"/>
      <c r="U367" s="9"/>
    </row>
    <row r="368" spans="7:21" x14ac:dyDescent="0.25">
      <c r="G368" s="9"/>
      <c r="Q368" s="9"/>
      <c r="U368" s="9"/>
    </row>
    <row r="369" spans="7:21" x14ac:dyDescent="0.25">
      <c r="G369" s="9"/>
      <c r="Q369" s="9"/>
      <c r="U369" s="9"/>
    </row>
    <row r="370" spans="7:21" x14ac:dyDescent="0.25">
      <c r="G370" s="9"/>
      <c r="Q370" s="9"/>
      <c r="U370" s="9"/>
    </row>
    <row r="371" spans="7:21" x14ac:dyDescent="0.25">
      <c r="G371" s="9"/>
      <c r="Q371" s="9"/>
      <c r="U371" s="9"/>
    </row>
    <row r="372" spans="7:21" x14ac:dyDescent="0.25">
      <c r="G372" s="9"/>
      <c r="Q372" s="9"/>
      <c r="U372" s="9"/>
    </row>
    <row r="373" spans="7:21" x14ac:dyDescent="0.25">
      <c r="G373" s="9"/>
      <c r="Q373" s="9"/>
      <c r="U373" s="9"/>
    </row>
    <row r="374" spans="7:21" x14ac:dyDescent="0.25">
      <c r="G374" s="9"/>
      <c r="Q374" s="9"/>
      <c r="U374" s="9"/>
    </row>
    <row r="375" spans="7:21" x14ac:dyDescent="0.25">
      <c r="G375" s="9"/>
      <c r="Q375" s="9"/>
      <c r="U375" s="9"/>
    </row>
    <row r="376" spans="7:21" x14ac:dyDescent="0.25">
      <c r="G376" s="9"/>
      <c r="Q376" s="9"/>
      <c r="U376" s="9"/>
    </row>
    <row r="377" spans="7:21" x14ac:dyDescent="0.25">
      <c r="G377" s="9"/>
      <c r="Q377" s="9"/>
      <c r="U377" s="9"/>
    </row>
    <row r="378" spans="7:21" x14ac:dyDescent="0.25">
      <c r="G378" s="9"/>
      <c r="Q378" s="9"/>
      <c r="U378" s="9"/>
    </row>
    <row r="379" spans="7:21" x14ac:dyDescent="0.25">
      <c r="G379" s="9"/>
      <c r="Q379" s="9"/>
      <c r="U379" s="9"/>
    </row>
    <row r="380" spans="7:21" x14ac:dyDescent="0.25">
      <c r="G380" s="9"/>
      <c r="Q380" s="9"/>
      <c r="U380" s="9"/>
    </row>
    <row r="381" spans="7:21" x14ac:dyDescent="0.25">
      <c r="G381" s="9"/>
      <c r="Q381" s="9"/>
      <c r="U381" s="9"/>
    </row>
    <row r="382" spans="7:21" x14ac:dyDescent="0.25">
      <c r="G382" s="9"/>
      <c r="Q382" s="9"/>
      <c r="U382" s="9"/>
    </row>
    <row r="383" spans="7:21" x14ac:dyDescent="0.25">
      <c r="G383" s="9"/>
      <c r="Q383" s="9"/>
      <c r="U383" s="9"/>
    </row>
    <row r="384" spans="7:21" x14ac:dyDescent="0.25">
      <c r="G384" s="9"/>
      <c r="Q384" s="9"/>
      <c r="U384" s="9"/>
    </row>
    <row r="385" spans="7:21" x14ac:dyDescent="0.25">
      <c r="G385" s="9"/>
      <c r="Q385" s="9"/>
      <c r="U385" s="9"/>
    </row>
    <row r="386" spans="7:21" x14ac:dyDescent="0.25">
      <c r="G386" s="9"/>
      <c r="Q386" s="9"/>
      <c r="U386" s="9"/>
    </row>
    <row r="387" spans="7:21" x14ac:dyDescent="0.25">
      <c r="G387" s="9"/>
      <c r="Q387" s="9"/>
      <c r="U387" s="9"/>
    </row>
    <row r="388" spans="7:21" x14ac:dyDescent="0.25">
      <c r="G388" s="9"/>
      <c r="Q388" s="9"/>
      <c r="U388" s="9"/>
    </row>
    <row r="389" spans="7:21" x14ac:dyDescent="0.25">
      <c r="G389" s="9"/>
      <c r="Q389" s="9"/>
      <c r="U389" s="9"/>
    </row>
    <row r="390" spans="7:21" x14ac:dyDescent="0.25">
      <c r="G390" s="9"/>
      <c r="Q390" s="9"/>
      <c r="U390" s="9"/>
    </row>
    <row r="391" spans="7:21" x14ac:dyDescent="0.25">
      <c r="G391" s="9"/>
      <c r="Q391" s="9"/>
      <c r="U391" s="9"/>
    </row>
    <row r="392" spans="7:21" x14ac:dyDescent="0.25">
      <c r="G392" s="9"/>
      <c r="Q392" s="9"/>
      <c r="U392" s="9"/>
    </row>
    <row r="393" spans="7:21" x14ac:dyDescent="0.25">
      <c r="G393" s="9"/>
      <c r="Q393" s="9"/>
      <c r="U393" s="9"/>
    </row>
    <row r="394" spans="7:21" x14ac:dyDescent="0.25">
      <c r="G394" s="9"/>
      <c r="Q394" s="9"/>
      <c r="U394" s="9"/>
    </row>
    <row r="395" spans="7:21" x14ac:dyDescent="0.25">
      <c r="G395" s="9"/>
      <c r="Q395" s="9"/>
      <c r="U395" s="9"/>
    </row>
    <row r="396" spans="7:21" x14ac:dyDescent="0.25">
      <c r="G396" s="9"/>
      <c r="Q396" s="9"/>
      <c r="U396" s="9"/>
    </row>
    <row r="397" spans="7:21" x14ac:dyDescent="0.25">
      <c r="G397" s="9"/>
      <c r="Q397" s="9"/>
      <c r="U397" s="9"/>
    </row>
    <row r="398" spans="7:21" x14ac:dyDescent="0.25">
      <c r="G398" s="9"/>
      <c r="Q398" s="9"/>
      <c r="U398" s="9"/>
    </row>
    <row r="399" spans="7:21" x14ac:dyDescent="0.25">
      <c r="G399" s="9"/>
      <c r="Q399" s="9"/>
      <c r="U399" s="9"/>
    </row>
    <row r="400" spans="7:21" x14ac:dyDescent="0.25">
      <c r="G400" s="9"/>
      <c r="Q400" s="9"/>
      <c r="U400" s="9"/>
    </row>
    <row r="401" spans="7:21" x14ac:dyDescent="0.25">
      <c r="G401" s="9"/>
      <c r="Q401" s="9"/>
      <c r="U401" s="9"/>
    </row>
    <row r="402" spans="7:21" x14ac:dyDescent="0.25">
      <c r="G402" s="9"/>
      <c r="Q402" s="9"/>
      <c r="U402" s="9"/>
    </row>
    <row r="403" spans="7:21" x14ac:dyDescent="0.25">
      <c r="G403" s="9"/>
      <c r="Q403" s="9"/>
      <c r="U403" s="9"/>
    </row>
    <row r="404" spans="7:21" x14ac:dyDescent="0.25">
      <c r="G404" s="9"/>
      <c r="Q404" s="9"/>
      <c r="U404" s="9"/>
    </row>
    <row r="405" spans="7:21" x14ac:dyDescent="0.25">
      <c r="G405" s="9"/>
      <c r="Q405" s="9"/>
      <c r="U405" s="9"/>
    </row>
    <row r="406" spans="7:21" x14ac:dyDescent="0.25">
      <c r="G406" s="9"/>
      <c r="Q406" s="9"/>
      <c r="U406" s="9"/>
    </row>
    <row r="407" spans="7:21" x14ac:dyDescent="0.25">
      <c r="G407" s="9"/>
      <c r="Q407" s="9"/>
      <c r="U407" s="9"/>
    </row>
    <row r="408" spans="7:21" x14ac:dyDescent="0.25">
      <c r="G408" s="9"/>
      <c r="Q408" s="9"/>
      <c r="U408" s="9"/>
    </row>
    <row r="409" spans="7:21" x14ac:dyDescent="0.25">
      <c r="G409" s="9"/>
      <c r="Q409" s="9"/>
      <c r="U409" s="9"/>
    </row>
    <row r="410" spans="7:21" x14ac:dyDescent="0.25">
      <c r="G410" s="9"/>
      <c r="Q410" s="9"/>
      <c r="U410" s="9"/>
    </row>
    <row r="411" spans="7:21" x14ac:dyDescent="0.25">
      <c r="G411" s="9"/>
      <c r="Q411" s="9"/>
      <c r="U411" s="9"/>
    </row>
    <row r="412" spans="7:21" x14ac:dyDescent="0.25">
      <c r="G412" s="9"/>
      <c r="Q412" s="9"/>
      <c r="U412" s="9"/>
    </row>
    <row r="413" spans="7:21" x14ac:dyDescent="0.25">
      <c r="G413" s="9"/>
      <c r="Q413" s="9"/>
      <c r="U413" s="9"/>
    </row>
    <row r="414" spans="7:21" x14ac:dyDescent="0.25">
      <c r="G414" s="9"/>
      <c r="Q414" s="9"/>
      <c r="U414" s="9"/>
    </row>
    <row r="415" spans="7:21" x14ac:dyDescent="0.25">
      <c r="G415" s="9"/>
      <c r="Q415" s="9"/>
      <c r="U415" s="9"/>
    </row>
    <row r="416" spans="7:21" x14ac:dyDescent="0.25">
      <c r="G416" s="9"/>
      <c r="Q416" s="9"/>
      <c r="U416" s="9"/>
    </row>
    <row r="417" spans="7:21" x14ac:dyDescent="0.25">
      <c r="G417" s="9"/>
      <c r="Q417" s="9"/>
      <c r="U417" s="9"/>
    </row>
    <row r="418" spans="7:21" x14ac:dyDescent="0.25">
      <c r="G418" s="9"/>
      <c r="Q418" s="9"/>
      <c r="U418" s="9"/>
    </row>
    <row r="419" spans="7:21" x14ac:dyDescent="0.25">
      <c r="G419" s="9"/>
      <c r="Q419" s="9"/>
      <c r="U419" s="9"/>
    </row>
    <row r="420" spans="7:21" x14ac:dyDescent="0.25">
      <c r="G420" s="9"/>
      <c r="Q420" s="9"/>
      <c r="U420" s="9"/>
    </row>
    <row r="421" spans="7:21" x14ac:dyDescent="0.25">
      <c r="G421" s="9"/>
      <c r="Q421" s="9"/>
      <c r="U421" s="9"/>
    </row>
    <row r="422" spans="7:21" x14ac:dyDescent="0.25">
      <c r="G422" s="9"/>
      <c r="Q422" s="9"/>
      <c r="U422" s="9"/>
    </row>
    <row r="423" spans="7:21" x14ac:dyDescent="0.25">
      <c r="G423" s="9"/>
      <c r="Q423" s="9"/>
      <c r="U423" s="9"/>
    </row>
    <row r="424" spans="7:21" x14ac:dyDescent="0.25">
      <c r="G424" s="9"/>
      <c r="Q424" s="9"/>
      <c r="U424" s="9"/>
    </row>
    <row r="425" spans="7:21" x14ac:dyDescent="0.25">
      <c r="G425" s="9"/>
      <c r="Q425" s="9"/>
      <c r="U425" s="9"/>
    </row>
    <row r="426" spans="7:21" x14ac:dyDescent="0.25">
      <c r="G426" s="9"/>
      <c r="Q426" s="9"/>
      <c r="U426" s="9"/>
    </row>
    <row r="427" spans="7:21" x14ac:dyDescent="0.25">
      <c r="G427" s="9"/>
      <c r="Q427" s="9"/>
      <c r="U427" s="9"/>
    </row>
    <row r="428" spans="7:21" x14ac:dyDescent="0.25">
      <c r="G428" s="9"/>
      <c r="Q428" s="9"/>
      <c r="U428" s="9"/>
    </row>
    <row r="429" spans="7:21" x14ac:dyDescent="0.25">
      <c r="G429" s="9"/>
      <c r="Q429" s="9"/>
      <c r="U429" s="9"/>
    </row>
    <row r="430" spans="7:21" x14ac:dyDescent="0.25">
      <c r="G430" s="9"/>
      <c r="Q430" s="9"/>
      <c r="U430" s="9"/>
    </row>
    <row r="431" spans="7:21" x14ac:dyDescent="0.25">
      <c r="G431" s="9"/>
      <c r="Q431" s="9"/>
      <c r="U431" s="9"/>
    </row>
    <row r="432" spans="7:21" x14ac:dyDescent="0.25">
      <c r="G432" s="9"/>
      <c r="Q432" s="9"/>
      <c r="U432" s="9"/>
    </row>
    <row r="433" spans="7:21" x14ac:dyDescent="0.25">
      <c r="G433" s="9"/>
      <c r="Q433" s="9"/>
      <c r="U433" s="9"/>
    </row>
    <row r="434" spans="7:21" x14ac:dyDescent="0.25">
      <c r="G434" s="9"/>
      <c r="Q434" s="9"/>
      <c r="U434" s="9"/>
    </row>
    <row r="435" spans="7:21" x14ac:dyDescent="0.25">
      <c r="G435" s="9"/>
      <c r="Q435" s="9"/>
      <c r="U435" s="9"/>
    </row>
    <row r="436" spans="7:21" x14ac:dyDescent="0.25">
      <c r="G436" s="9"/>
      <c r="Q436" s="9"/>
      <c r="U436" s="9"/>
    </row>
    <row r="437" spans="7:21" x14ac:dyDescent="0.25">
      <c r="G437" s="9"/>
      <c r="Q437" s="9"/>
      <c r="U437" s="9"/>
    </row>
    <row r="438" spans="7:21" x14ac:dyDescent="0.25">
      <c r="G438" s="9"/>
      <c r="Q438" s="9"/>
      <c r="U438" s="9"/>
    </row>
    <row r="439" spans="7:21" x14ac:dyDescent="0.25">
      <c r="G439" s="9"/>
      <c r="Q439" s="9"/>
      <c r="U439" s="9"/>
    </row>
    <row r="440" spans="7:21" x14ac:dyDescent="0.25">
      <c r="G440" s="9"/>
      <c r="Q440" s="9"/>
      <c r="U440" s="9"/>
    </row>
    <row r="441" spans="7:21" x14ac:dyDescent="0.25">
      <c r="G441" s="9"/>
      <c r="Q441" s="9"/>
      <c r="U441" s="9"/>
    </row>
    <row r="442" spans="7:21" x14ac:dyDescent="0.25">
      <c r="G442" s="9"/>
      <c r="Q442" s="9"/>
      <c r="U442" s="9"/>
    </row>
    <row r="443" spans="7:21" x14ac:dyDescent="0.25">
      <c r="G443" s="9"/>
      <c r="Q443" s="9"/>
      <c r="U443" s="9"/>
    </row>
    <row r="444" spans="7:21" x14ac:dyDescent="0.25">
      <c r="G444" s="9"/>
      <c r="Q444" s="9"/>
      <c r="U444" s="9"/>
    </row>
    <row r="445" spans="7:21" x14ac:dyDescent="0.25">
      <c r="G445" s="9"/>
      <c r="Q445" s="9"/>
      <c r="U445" s="9"/>
    </row>
    <row r="446" spans="7:21" x14ac:dyDescent="0.25">
      <c r="G446" s="9"/>
      <c r="Q446" s="9"/>
      <c r="U446" s="9"/>
    </row>
    <row r="447" spans="7:21" x14ac:dyDescent="0.25">
      <c r="G447" s="9"/>
      <c r="Q447" s="9"/>
      <c r="U447" s="9"/>
    </row>
    <row r="448" spans="7:21" x14ac:dyDescent="0.25">
      <c r="G448" s="9"/>
      <c r="Q448" s="9"/>
      <c r="U448" s="9"/>
    </row>
    <row r="449" spans="7:21" x14ac:dyDescent="0.25">
      <c r="G449" s="9"/>
      <c r="Q449" s="9"/>
      <c r="U449" s="9"/>
    </row>
    <row r="450" spans="7:21" x14ac:dyDescent="0.25">
      <c r="G450" s="9"/>
      <c r="Q450" s="9"/>
      <c r="U450" s="9"/>
    </row>
    <row r="451" spans="7:21" x14ac:dyDescent="0.25">
      <c r="G451" s="9"/>
      <c r="Q451" s="9"/>
      <c r="U451" s="9"/>
    </row>
    <row r="452" spans="7:21" x14ac:dyDescent="0.25">
      <c r="G452" s="9"/>
      <c r="Q452" s="9"/>
      <c r="U452" s="9"/>
    </row>
    <row r="453" spans="7:21" x14ac:dyDescent="0.25">
      <c r="G453" s="9"/>
      <c r="Q453" s="9"/>
      <c r="U453" s="9"/>
    </row>
    <row r="454" spans="7:21" x14ac:dyDescent="0.25">
      <c r="G454" s="9"/>
      <c r="Q454" s="9"/>
      <c r="U454" s="9"/>
    </row>
    <row r="455" spans="7:21" x14ac:dyDescent="0.25">
      <c r="G455" s="9"/>
      <c r="Q455" s="9"/>
      <c r="U455" s="9"/>
    </row>
    <row r="456" spans="7:21" x14ac:dyDescent="0.25">
      <c r="G456" s="9"/>
      <c r="Q456" s="9"/>
      <c r="U456" s="9"/>
    </row>
    <row r="457" spans="7:21" x14ac:dyDescent="0.25">
      <c r="G457" s="9"/>
      <c r="Q457" s="9"/>
      <c r="U457" s="9"/>
    </row>
    <row r="458" spans="7:21" x14ac:dyDescent="0.25">
      <c r="G458" s="9"/>
      <c r="Q458" s="9"/>
      <c r="U458" s="9"/>
    </row>
    <row r="459" spans="7:21" x14ac:dyDescent="0.25">
      <c r="G459" s="9"/>
      <c r="Q459" s="9"/>
      <c r="U459" s="9"/>
    </row>
    <row r="460" spans="7:21" x14ac:dyDescent="0.25">
      <c r="G460" s="9"/>
      <c r="Q460" s="9"/>
      <c r="U460" s="9"/>
    </row>
    <row r="461" spans="7:21" x14ac:dyDescent="0.25">
      <c r="G461" s="9"/>
      <c r="Q461" s="9"/>
      <c r="U461" s="9"/>
    </row>
    <row r="462" spans="7:21" x14ac:dyDescent="0.25">
      <c r="G462" s="9"/>
      <c r="Q462" s="9"/>
      <c r="U462" s="9"/>
    </row>
    <row r="463" spans="7:21" x14ac:dyDescent="0.25">
      <c r="G463" s="9"/>
      <c r="Q463" s="9"/>
      <c r="U463" s="9"/>
    </row>
    <row r="464" spans="7:21" x14ac:dyDescent="0.25">
      <c r="G464" s="9"/>
      <c r="Q464" s="9"/>
      <c r="U464" s="9"/>
    </row>
    <row r="465" spans="7:21" x14ac:dyDescent="0.25">
      <c r="G465" s="9"/>
      <c r="Q465" s="9"/>
      <c r="U465" s="9"/>
    </row>
    <row r="466" spans="7:21" x14ac:dyDescent="0.25">
      <c r="G466" s="9"/>
      <c r="Q466" s="9"/>
      <c r="U466" s="9"/>
    </row>
    <row r="467" spans="7:21" x14ac:dyDescent="0.25">
      <c r="G467" s="9"/>
      <c r="Q467" s="9"/>
      <c r="U467" s="9"/>
    </row>
    <row r="468" spans="7:21" x14ac:dyDescent="0.25">
      <c r="G468" s="9"/>
      <c r="Q468" s="9"/>
      <c r="U468" s="9"/>
    </row>
    <row r="469" spans="7:21" x14ac:dyDescent="0.25">
      <c r="G469" s="9"/>
      <c r="Q469" s="9"/>
      <c r="U469" s="9"/>
    </row>
    <row r="470" spans="7:21" x14ac:dyDescent="0.25">
      <c r="G470" s="9"/>
      <c r="Q470" s="9"/>
      <c r="U470" s="9"/>
    </row>
    <row r="471" spans="7:21" x14ac:dyDescent="0.25">
      <c r="G471" s="9"/>
      <c r="Q471" s="9"/>
      <c r="U471" s="9"/>
    </row>
    <row r="472" spans="7:21" x14ac:dyDescent="0.25">
      <c r="G472" s="9"/>
      <c r="Q472" s="9"/>
      <c r="U472" s="9"/>
    </row>
    <row r="473" spans="7:21" x14ac:dyDescent="0.25">
      <c r="G473" s="9"/>
      <c r="Q473" s="9"/>
      <c r="U473" s="9"/>
    </row>
    <row r="474" spans="7:21" x14ac:dyDescent="0.25">
      <c r="G474" s="9"/>
      <c r="Q474" s="9"/>
      <c r="U474" s="9"/>
    </row>
    <row r="475" spans="7:21" x14ac:dyDescent="0.25">
      <c r="G475" s="9"/>
      <c r="Q475" s="9"/>
      <c r="U475" s="9"/>
    </row>
    <row r="476" spans="7:21" x14ac:dyDescent="0.25">
      <c r="G476" s="9"/>
      <c r="Q476" s="9"/>
      <c r="U476" s="9"/>
    </row>
    <row r="477" spans="7:21" x14ac:dyDescent="0.25">
      <c r="G477" s="9"/>
      <c r="Q477" s="9"/>
      <c r="U477" s="9"/>
    </row>
    <row r="478" spans="7:21" x14ac:dyDescent="0.25">
      <c r="G478" s="9"/>
      <c r="Q478" s="9"/>
      <c r="U478" s="9"/>
    </row>
    <row r="479" spans="7:21" x14ac:dyDescent="0.25">
      <c r="G479" s="9"/>
      <c r="Q479" s="9"/>
      <c r="U479" s="9"/>
    </row>
    <row r="480" spans="7:21" x14ac:dyDescent="0.25">
      <c r="G480" s="9"/>
      <c r="Q480" s="9"/>
      <c r="U480" s="9"/>
    </row>
    <row r="481" spans="7:21" x14ac:dyDescent="0.25">
      <c r="G481" s="9"/>
      <c r="Q481" s="9"/>
      <c r="U481" s="9"/>
    </row>
    <row r="482" spans="7:21" x14ac:dyDescent="0.25">
      <c r="G482" s="9"/>
      <c r="Q482" s="9"/>
      <c r="U482" s="9"/>
    </row>
    <row r="483" spans="7:21" x14ac:dyDescent="0.25">
      <c r="G483" s="9"/>
      <c r="Q483" s="9"/>
      <c r="U483" s="9"/>
    </row>
    <row r="484" spans="7:21" x14ac:dyDescent="0.25">
      <c r="G484" s="9"/>
      <c r="Q484" s="9"/>
      <c r="U484" s="9"/>
    </row>
    <row r="485" spans="7:21" x14ac:dyDescent="0.25">
      <c r="G485" s="9"/>
      <c r="Q485" s="9"/>
      <c r="U485" s="9"/>
    </row>
    <row r="486" spans="7:21" x14ac:dyDescent="0.25">
      <c r="G486" s="9"/>
      <c r="Q486" s="9"/>
      <c r="U486" s="9"/>
    </row>
    <row r="487" spans="7:21" x14ac:dyDescent="0.25">
      <c r="G487" s="9"/>
      <c r="Q487" s="9"/>
      <c r="U487" s="9"/>
    </row>
    <row r="488" spans="7:21" x14ac:dyDescent="0.25">
      <c r="G488" s="9"/>
      <c r="Q488" s="9"/>
      <c r="U488" s="9"/>
    </row>
    <row r="489" spans="7:21" x14ac:dyDescent="0.25">
      <c r="G489" s="9"/>
      <c r="Q489" s="9"/>
      <c r="U489" s="9"/>
    </row>
    <row r="490" spans="7:21" x14ac:dyDescent="0.25">
      <c r="G490" s="9"/>
      <c r="Q490" s="9"/>
      <c r="U490" s="9"/>
    </row>
    <row r="491" spans="7:21" x14ac:dyDescent="0.25">
      <c r="G491" s="9"/>
      <c r="Q491" s="9"/>
      <c r="U491" s="9"/>
    </row>
    <row r="492" spans="7:21" x14ac:dyDescent="0.25">
      <c r="G492" s="9"/>
      <c r="Q492" s="9"/>
      <c r="U492" s="9"/>
    </row>
    <row r="493" spans="7:21" x14ac:dyDescent="0.25">
      <c r="G493" s="9"/>
      <c r="Q493" s="9"/>
      <c r="U493" s="9"/>
    </row>
    <row r="494" spans="7:21" x14ac:dyDescent="0.25">
      <c r="G494" s="9"/>
      <c r="Q494" s="9"/>
      <c r="U494" s="9"/>
    </row>
    <row r="495" spans="7:21" x14ac:dyDescent="0.25">
      <c r="G495" s="9"/>
      <c r="Q495" s="9"/>
      <c r="U495" s="9"/>
    </row>
    <row r="496" spans="7:21" x14ac:dyDescent="0.25">
      <c r="G496" s="9"/>
      <c r="Q496" s="9"/>
      <c r="U496" s="9"/>
    </row>
    <row r="497" spans="7:21" x14ac:dyDescent="0.25">
      <c r="G497" s="9"/>
      <c r="Q497" s="9"/>
      <c r="U497" s="9"/>
    </row>
    <row r="498" spans="7:21" x14ac:dyDescent="0.25">
      <c r="G498" s="9"/>
      <c r="Q498" s="9"/>
      <c r="U498" s="9"/>
    </row>
    <row r="499" spans="7:21" x14ac:dyDescent="0.25">
      <c r="G499" s="9"/>
      <c r="Q499" s="9"/>
      <c r="U499" s="9"/>
    </row>
    <row r="500" spans="7:21" x14ac:dyDescent="0.25">
      <c r="G500" s="9"/>
      <c r="Q500" s="9"/>
      <c r="U500" s="9"/>
    </row>
    <row r="501" spans="7:21" x14ac:dyDescent="0.25">
      <c r="G501" s="9"/>
      <c r="Q501" s="9"/>
      <c r="U501" s="9"/>
    </row>
    <row r="502" spans="7:21" x14ac:dyDescent="0.25">
      <c r="G502" s="9"/>
      <c r="Q502" s="9"/>
      <c r="U502" s="9"/>
    </row>
    <row r="503" spans="7:21" x14ac:dyDescent="0.25">
      <c r="G503" s="9"/>
      <c r="Q503" s="9"/>
      <c r="U503" s="9"/>
    </row>
    <row r="504" spans="7:21" x14ac:dyDescent="0.25">
      <c r="G504" s="9"/>
      <c r="Q504" s="9"/>
      <c r="U504" s="9"/>
    </row>
    <row r="505" spans="7:21" x14ac:dyDescent="0.25">
      <c r="G505" s="9"/>
      <c r="Q505" s="9"/>
      <c r="U505" s="9"/>
    </row>
    <row r="506" spans="7:21" x14ac:dyDescent="0.25">
      <c r="G506" s="9"/>
      <c r="Q506" s="9"/>
      <c r="U506" s="9"/>
    </row>
    <row r="507" spans="7:21" x14ac:dyDescent="0.25">
      <c r="G507" s="9"/>
      <c r="Q507" s="9"/>
      <c r="U507" s="9"/>
    </row>
    <row r="508" spans="7:21" x14ac:dyDescent="0.25">
      <c r="G508" s="9"/>
      <c r="Q508" s="9"/>
      <c r="U508" s="9"/>
    </row>
    <row r="509" spans="7:21" x14ac:dyDescent="0.25">
      <c r="G509" s="9"/>
      <c r="Q509" s="9"/>
      <c r="U509" s="9"/>
    </row>
    <row r="510" spans="7:21" x14ac:dyDescent="0.25">
      <c r="G510" s="9"/>
      <c r="Q510" s="9"/>
      <c r="U510" s="9"/>
    </row>
    <row r="511" spans="7:21" x14ac:dyDescent="0.25">
      <c r="G511" s="9"/>
      <c r="Q511" s="9"/>
      <c r="U511" s="9"/>
    </row>
    <row r="512" spans="7:21" x14ac:dyDescent="0.25">
      <c r="G512" s="9"/>
      <c r="Q512" s="9"/>
      <c r="U512" s="9"/>
    </row>
    <row r="513" spans="7:21" x14ac:dyDescent="0.25">
      <c r="G513" s="9"/>
      <c r="Q513" s="9"/>
      <c r="U513" s="9"/>
    </row>
    <row r="514" spans="7:21" x14ac:dyDescent="0.25">
      <c r="G514" s="9"/>
      <c r="Q514" s="9"/>
      <c r="U514" s="9"/>
    </row>
    <row r="515" spans="7:21" x14ac:dyDescent="0.25">
      <c r="G515" s="9"/>
      <c r="Q515" s="9"/>
      <c r="U515" s="9"/>
    </row>
    <row r="516" spans="7:21" x14ac:dyDescent="0.25">
      <c r="G516" s="9"/>
      <c r="Q516" s="9"/>
      <c r="U516" s="9"/>
    </row>
    <row r="517" spans="7:21" x14ac:dyDescent="0.25">
      <c r="G517" s="9"/>
      <c r="Q517" s="9"/>
      <c r="U517" s="9"/>
    </row>
    <row r="518" spans="7:21" x14ac:dyDescent="0.25">
      <c r="G518" s="9"/>
      <c r="Q518" s="9"/>
      <c r="U518" s="9"/>
    </row>
    <row r="519" spans="7:21" x14ac:dyDescent="0.25">
      <c r="G519" s="9"/>
      <c r="Q519" s="9"/>
      <c r="U519" s="9"/>
    </row>
    <row r="520" spans="7:21" x14ac:dyDescent="0.25">
      <c r="G520" s="9"/>
      <c r="Q520" s="9"/>
      <c r="U520" s="9"/>
    </row>
    <row r="521" spans="7:21" x14ac:dyDescent="0.25">
      <c r="G521" s="9"/>
      <c r="Q521" s="9"/>
      <c r="U521" s="9"/>
    </row>
    <row r="522" spans="7:21" x14ac:dyDescent="0.25">
      <c r="G522" s="9"/>
      <c r="Q522" s="9"/>
      <c r="U522" s="9"/>
    </row>
    <row r="523" spans="7:21" x14ac:dyDescent="0.25">
      <c r="G523" s="9"/>
      <c r="Q523" s="9"/>
      <c r="U523" s="9"/>
    </row>
    <row r="524" spans="7:21" x14ac:dyDescent="0.25">
      <c r="G524" s="9"/>
      <c r="Q524" s="9"/>
      <c r="U524" s="9"/>
    </row>
    <row r="525" spans="7:21" x14ac:dyDescent="0.25">
      <c r="G525" s="9"/>
      <c r="Q525" s="9"/>
      <c r="U525" s="9"/>
    </row>
    <row r="526" spans="7:21" x14ac:dyDescent="0.25">
      <c r="G526" s="9"/>
      <c r="Q526" s="9"/>
      <c r="U526" s="9"/>
    </row>
    <row r="527" spans="7:21" x14ac:dyDescent="0.25">
      <c r="G527" s="9"/>
      <c r="Q527" s="9"/>
      <c r="U527" s="9"/>
    </row>
    <row r="528" spans="7:21" x14ac:dyDescent="0.25">
      <c r="G528" s="9"/>
      <c r="Q528" s="9"/>
      <c r="U528" s="9"/>
    </row>
    <row r="529" spans="7:21" x14ac:dyDescent="0.25">
      <c r="G529" s="9"/>
      <c r="Q529" s="9"/>
      <c r="U529" s="9"/>
    </row>
    <row r="530" spans="7:21" x14ac:dyDescent="0.25">
      <c r="G530" s="9"/>
      <c r="Q530" s="9"/>
      <c r="U530" s="9"/>
    </row>
    <row r="531" spans="7:21" x14ac:dyDescent="0.25">
      <c r="G531" s="9"/>
      <c r="Q531" s="9"/>
      <c r="U531" s="9"/>
    </row>
    <row r="532" spans="7:21" x14ac:dyDescent="0.25">
      <c r="G532" s="9"/>
      <c r="Q532" s="9"/>
      <c r="U532" s="9"/>
    </row>
    <row r="533" spans="7:21" x14ac:dyDescent="0.25">
      <c r="G533" s="9"/>
      <c r="Q533" s="9"/>
      <c r="U533" s="9"/>
    </row>
    <row r="534" spans="7:21" x14ac:dyDescent="0.25">
      <c r="G534" s="9"/>
      <c r="Q534" s="9"/>
      <c r="U534" s="9"/>
    </row>
    <row r="535" spans="7:21" x14ac:dyDescent="0.25">
      <c r="G535" s="9"/>
      <c r="Q535" s="9"/>
      <c r="U535" s="9"/>
    </row>
    <row r="536" spans="7:21" x14ac:dyDescent="0.25">
      <c r="G536" s="9"/>
      <c r="Q536" s="9"/>
      <c r="U536" s="9"/>
    </row>
    <row r="537" spans="7:21" x14ac:dyDescent="0.25">
      <c r="G537" s="9"/>
      <c r="Q537" s="9"/>
      <c r="U537" s="9"/>
    </row>
    <row r="538" spans="7:21" x14ac:dyDescent="0.25">
      <c r="G538" s="9"/>
      <c r="Q538" s="9"/>
      <c r="U538" s="9"/>
    </row>
    <row r="539" spans="7:21" x14ac:dyDescent="0.25">
      <c r="G539" s="9"/>
      <c r="Q539" s="9"/>
      <c r="U539" s="9"/>
    </row>
    <row r="540" spans="7:21" x14ac:dyDescent="0.25">
      <c r="G540" s="9"/>
      <c r="Q540" s="9"/>
      <c r="U540" s="9"/>
    </row>
    <row r="541" spans="7:21" x14ac:dyDescent="0.25">
      <c r="G541" s="9"/>
      <c r="Q541" s="9"/>
      <c r="U541" s="9"/>
    </row>
    <row r="542" spans="7:21" x14ac:dyDescent="0.25">
      <c r="G542" s="9"/>
      <c r="Q542" s="9"/>
      <c r="U542" s="9"/>
    </row>
    <row r="543" spans="7:21" x14ac:dyDescent="0.25">
      <c r="G543" s="9"/>
      <c r="Q543" s="9"/>
      <c r="U543" s="9"/>
    </row>
    <row r="544" spans="7:21" x14ac:dyDescent="0.25">
      <c r="G544" s="9"/>
      <c r="Q544" s="9"/>
      <c r="U544" s="9"/>
    </row>
    <row r="545" spans="7:21" x14ac:dyDescent="0.25">
      <c r="G545" s="9"/>
      <c r="Q545" s="9"/>
      <c r="U545" s="9"/>
    </row>
    <row r="546" spans="7:21" x14ac:dyDescent="0.25">
      <c r="G546" s="9"/>
      <c r="Q546" s="9"/>
      <c r="U546" s="9"/>
    </row>
    <row r="547" spans="7:21" x14ac:dyDescent="0.25">
      <c r="G547" s="9"/>
      <c r="Q547" s="9"/>
      <c r="U547" s="9"/>
    </row>
    <row r="548" spans="7:21" x14ac:dyDescent="0.25">
      <c r="G548" s="9"/>
      <c r="Q548" s="9"/>
      <c r="U548" s="9"/>
    </row>
    <row r="549" spans="7:21" x14ac:dyDescent="0.25">
      <c r="G549" s="9"/>
      <c r="Q549" s="9"/>
      <c r="U549" s="9"/>
    </row>
    <row r="550" spans="7:21" x14ac:dyDescent="0.25">
      <c r="G550" s="9"/>
      <c r="Q550" s="9"/>
      <c r="U550" s="9"/>
    </row>
    <row r="551" spans="7:21" x14ac:dyDescent="0.25">
      <c r="G551" s="9"/>
      <c r="Q551" s="9"/>
      <c r="U551" s="9"/>
    </row>
    <row r="552" spans="7:21" x14ac:dyDescent="0.25">
      <c r="G552" s="9"/>
      <c r="Q552" s="9"/>
      <c r="U552" s="9"/>
    </row>
    <row r="553" spans="7:21" x14ac:dyDescent="0.25">
      <c r="G553" s="9"/>
      <c r="Q553" s="9"/>
      <c r="U553" s="9"/>
    </row>
    <row r="554" spans="7:21" x14ac:dyDescent="0.25">
      <c r="G554" s="9"/>
      <c r="Q554" s="9"/>
      <c r="U554" s="9"/>
    </row>
    <row r="555" spans="7:21" x14ac:dyDescent="0.25">
      <c r="G555" s="9"/>
      <c r="Q555" s="9"/>
      <c r="U555" s="9"/>
    </row>
    <row r="556" spans="7:21" x14ac:dyDescent="0.25">
      <c r="G556" s="9"/>
      <c r="Q556" s="9"/>
      <c r="U556" s="9"/>
    </row>
    <row r="557" spans="7:21" x14ac:dyDescent="0.25">
      <c r="G557" s="9"/>
      <c r="Q557" s="9"/>
      <c r="U557" s="9"/>
    </row>
    <row r="558" spans="7:21" x14ac:dyDescent="0.25">
      <c r="G558" s="9"/>
      <c r="Q558" s="9"/>
      <c r="U558" s="9"/>
    </row>
    <row r="559" spans="7:21" x14ac:dyDescent="0.25">
      <c r="G559" s="9"/>
      <c r="Q559" s="9"/>
      <c r="U559" s="9"/>
    </row>
    <row r="560" spans="7:21" x14ac:dyDescent="0.25">
      <c r="G560" s="9"/>
      <c r="Q560" s="9"/>
      <c r="U560" s="9"/>
    </row>
    <row r="561" spans="7:21" x14ac:dyDescent="0.25">
      <c r="G561" s="9"/>
      <c r="Q561" s="9"/>
      <c r="U561" s="9"/>
    </row>
    <row r="562" spans="7:21" x14ac:dyDescent="0.25">
      <c r="G562" s="9"/>
      <c r="Q562" s="9"/>
      <c r="U562" s="9"/>
    </row>
    <row r="563" spans="7:21" x14ac:dyDescent="0.25">
      <c r="G563" s="9"/>
      <c r="Q563" s="9"/>
      <c r="U563" s="9"/>
    </row>
    <row r="564" spans="7:21" x14ac:dyDescent="0.25">
      <c r="G564" s="9"/>
      <c r="Q564" s="9"/>
      <c r="U564" s="9"/>
    </row>
    <row r="565" spans="7:21" x14ac:dyDescent="0.25">
      <c r="G565" s="9"/>
      <c r="Q565" s="9"/>
      <c r="U565" s="9"/>
    </row>
    <row r="566" spans="7:21" x14ac:dyDescent="0.25">
      <c r="G566" s="9"/>
      <c r="Q566" s="9"/>
      <c r="U566" s="9"/>
    </row>
    <row r="567" spans="7:21" x14ac:dyDescent="0.25">
      <c r="G567" s="9"/>
      <c r="Q567" s="9"/>
      <c r="U567" s="9"/>
    </row>
    <row r="568" spans="7:21" x14ac:dyDescent="0.25">
      <c r="G568" s="9"/>
      <c r="Q568" s="9"/>
      <c r="U568" s="9"/>
    </row>
    <row r="569" spans="7:21" x14ac:dyDescent="0.25">
      <c r="G569" s="9"/>
      <c r="Q569" s="9"/>
      <c r="U569" s="9"/>
    </row>
    <row r="570" spans="7:21" x14ac:dyDescent="0.25">
      <c r="G570" s="9"/>
      <c r="Q570" s="9"/>
      <c r="U570" s="9"/>
    </row>
    <row r="571" spans="7:21" x14ac:dyDescent="0.25">
      <c r="G571" s="9"/>
      <c r="Q571" s="9"/>
      <c r="U571" s="9"/>
    </row>
    <row r="572" spans="7:21" x14ac:dyDescent="0.25">
      <c r="G572" s="9"/>
      <c r="Q572" s="9"/>
      <c r="U572" s="9"/>
    </row>
    <row r="573" spans="7:21" x14ac:dyDescent="0.25">
      <c r="G573" s="9"/>
      <c r="Q573" s="9"/>
      <c r="U573" s="9"/>
    </row>
    <row r="574" spans="7:21" x14ac:dyDescent="0.25">
      <c r="G574" s="9"/>
      <c r="Q574" s="9"/>
      <c r="U574" s="9"/>
    </row>
    <row r="575" spans="7:21" x14ac:dyDescent="0.25">
      <c r="G575" s="9"/>
      <c r="Q575" s="9"/>
      <c r="U575" s="9"/>
    </row>
    <row r="576" spans="7:21" x14ac:dyDescent="0.25">
      <c r="G576" s="9"/>
      <c r="Q576" s="9"/>
      <c r="U576" s="9"/>
    </row>
    <row r="577" spans="7:21" x14ac:dyDescent="0.25">
      <c r="G577" s="9"/>
      <c r="Q577" s="9"/>
      <c r="U577" s="9"/>
    </row>
    <row r="578" spans="7:21" x14ac:dyDescent="0.25">
      <c r="G578" s="9"/>
      <c r="Q578" s="9"/>
      <c r="U578" s="9"/>
    </row>
    <row r="579" spans="7:21" x14ac:dyDescent="0.25">
      <c r="G579" s="9"/>
      <c r="Q579" s="9"/>
      <c r="U579" s="9"/>
    </row>
    <row r="580" spans="7:21" x14ac:dyDescent="0.25">
      <c r="G580" s="9"/>
      <c r="Q580" s="9"/>
      <c r="U580" s="9"/>
    </row>
    <row r="581" spans="7:21" x14ac:dyDescent="0.25">
      <c r="G581" s="9"/>
      <c r="Q581" s="9"/>
      <c r="U581" s="9"/>
    </row>
    <row r="582" spans="7:21" x14ac:dyDescent="0.25">
      <c r="G582" s="9"/>
      <c r="Q582" s="9"/>
      <c r="U582" s="9"/>
    </row>
    <row r="583" spans="7:21" x14ac:dyDescent="0.25">
      <c r="G583" s="9"/>
      <c r="Q583" s="9"/>
      <c r="U583" s="9"/>
    </row>
    <row r="584" spans="7:21" x14ac:dyDescent="0.25">
      <c r="G584" s="9"/>
      <c r="Q584" s="9"/>
      <c r="U584" s="9"/>
    </row>
    <row r="585" spans="7:21" x14ac:dyDescent="0.25">
      <c r="G585" s="9"/>
      <c r="Q585" s="9"/>
      <c r="U585" s="9"/>
    </row>
    <row r="586" spans="7:21" x14ac:dyDescent="0.25">
      <c r="G586" s="9"/>
      <c r="Q586" s="9"/>
      <c r="U586" s="9"/>
    </row>
    <row r="587" spans="7:21" x14ac:dyDescent="0.25">
      <c r="G587" s="9"/>
      <c r="Q587" s="9"/>
      <c r="U587" s="9"/>
    </row>
    <row r="588" spans="7:21" x14ac:dyDescent="0.25">
      <c r="G588" s="9"/>
      <c r="Q588" s="9"/>
      <c r="U588" s="9"/>
    </row>
    <row r="589" spans="7:21" x14ac:dyDescent="0.25">
      <c r="G589" s="9"/>
      <c r="Q589" s="9"/>
      <c r="U589" s="9"/>
    </row>
    <row r="590" spans="7:21" x14ac:dyDescent="0.25">
      <c r="G590" s="9"/>
      <c r="Q590" s="9"/>
      <c r="U590" s="9"/>
    </row>
    <row r="591" spans="7:21" x14ac:dyDescent="0.25">
      <c r="G591" s="9"/>
      <c r="Q591" s="9"/>
      <c r="U591" s="9"/>
    </row>
    <row r="592" spans="7:21" x14ac:dyDescent="0.25">
      <c r="G592" s="9"/>
      <c r="Q592" s="9"/>
      <c r="U592" s="9"/>
    </row>
    <row r="593" spans="7:21" x14ac:dyDescent="0.25">
      <c r="G593" s="9"/>
      <c r="Q593" s="9"/>
      <c r="U593" s="9"/>
    </row>
    <row r="594" spans="7:21" x14ac:dyDescent="0.25">
      <c r="G594" s="9"/>
      <c r="Q594" s="9"/>
      <c r="U594" s="9"/>
    </row>
    <row r="595" spans="7:21" x14ac:dyDescent="0.25">
      <c r="G595" s="9"/>
      <c r="Q595" s="9"/>
      <c r="U595" s="9"/>
    </row>
    <row r="596" spans="7:21" x14ac:dyDescent="0.25">
      <c r="G596" s="9"/>
      <c r="Q596" s="9"/>
      <c r="U596" s="9"/>
    </row>
    <row r="597" spans="7:21" x14ac:dyDescent="0.25">
      <c r="G597" s="9"/>
      <c r="Q597" s="9"/>
      <c r="U597" s="9"/>
    </row>
    <row r="598" spans="7:21" x14ac:dyDescent="0.25">
      <c r="G598" s="9"/>
      <c r="Q598" s="9"/>
      <c r="U598" s="9"/>
    </row>
    <row r="599" spans="7:21" x14ac:dyDescent="0.25">
      <c r="G599" s="9"/>
      <c r="Q599" s="9"/>
      <c r="U599" s="9"/>
    </row>
    <row r="600" spans="7:21" x14ac:dyDescent="0.25">
      <c r="G600" s="9"/>
      <c r="Q600" s="9"/>
      <c r="U600" s="9"/>
    </row>
    <row r="601" spans="7:21" x14ac:dyDescent="0.25">
      <c r="G601" s="9"/>
      <c r="Q601" s="9"/>
      <c r="U601" s="9"/>
    </row>
    <row r="602" spans="7:21" x14ac:dyDescent="0.25">
      <c r="G602" s="9"/>
      <c r="Q602" s="9"/>
      <c r="U602" s="9"/>
    </row>
    <row r="603" spans="7:21" x14ac:dyDescent="0.25">
      <c r="G603" s="9"/>
      <c r="Q603" s="9"/>
      <c r="U603" s="9"/>
    </row>
    <row r="604" spans="7:21" x14ac:dyDescent="0.25">
      <c r="G604" s="9"/>
      <c r="Q604" s="9"/>
      <c r="U604" s="9"/>
    </row>
    <row r="605" spans="7:21" x14ac:dyDescent="0.25">
      <c r="G605" s="9"/>
      <c r="Q605" s="9"/>
      <c r="U605" s="9"/>
    </row>
    <row r="606" spans="7:21" x14ac:dyDescent="0.25">
      <c r="G606" s="9"/>
      <c r="Q606" s="9"/>
      <c r="U606" s="9"/>
    </row>
    <row r="607" spans="7:21" x14ac:dyDescent="0.25">
      <c r="G607" s="9"/>
      <c r="Q607" s="9"/>
      <c r="U607" s="9"/>
    </row>
    <row r="608" spans="7:21" x14ac:dyDescent="0.25">
      <c r="G608" s="9"/>
      <c r="Q608" s="9"/>
      <c r="U608" s="9"/>
    </row>
    <row r="609" spans="7:21" x14ac:dyDescent="0.25">
      <c r="G609" s="9"/>
      <c r="Q609" s="9"/>
      <c r="U609" s="9"/>
    </row>
    <row r="610" spans="7:21" x14ac:dyDescent="0.25">
      <c r="G610" s="9"/>
      <c r="Q610" s="9"/>
      <c r="U610" s="9"/>
    </row>
    <row r="611" spans="7:21" x14ac:dyDescent="0.25">
      <c r="G611" s="9"/>
      <c r="Q611" s="9"/>
      <c r="U611" s="9"/>
    </row>
    <row r="612" spans="7:21" x14ac:dyDescent="0.25">
      <c r="G612" s="9"/>
      <c r="Q612" s="9"/>
      <c r="U612" s="9"/>
    </row>
    <row r="613" spans="7:21" x14ac:dyDescent="0.25">
      <c r="G613" s="9"/>
      <c r="Q613" s="9"/>
      <c r="U613" s="9"/>
    </row>
    <row r="614" spans="7:21" x14ac:dyDescent="0.25">
      <c r="G614" s="9"/>
      <c r="Q614" s="9"/>
      <c r="U614" s="9"/>
    </row>
    <row r="615" spans="7:21" x14ac:dyDescent="0.25">
      <c r="G615" s="9"/>
      <c r="Q615" s="9"/>
      <c r="U615" s="9"/>
    </row>
    <row r="616" spans="7:21" x14ac:dyDescent="0.25">
      <c r="G616" s="9"/>
      <c r="Q616" s="9"/>
      <c r="U616" s="9"/>
    </row>
    <row r="617" spans="7:21" x14ac:dyDescent="0.25">
      <c r="G617" s="9"/>
      <c r="Q617" s="9"/>
      <c r="U617" s="9"/>
    </row>
    <row r="618" spans="7:21" x14ac:dyDescent="0.25">
      <c r="G618" s="9"/>
      <c r="Q618" s="9"/>
      <c r="U618" s="9"/>
    </row>
    <row r="619" spans="7:21" x14ac:dyDescent="0.25">
      <c r="G619" s="9"/>
      <c r="Q619" s="9"/>
      <c r="U619" s="9"/>
    </row>
    <row r="620" spans="7:21" x14ac:dyDescent="0.25">
      <c r="G620" s="9"/>
      <c r="Q620" s="9"/>
      <c r="U620" s="9"/>
    </row>
    <row r="621" spans="7:21" x14ac:dyDescent="0.25">
      <c r="G621" s="9"/>
      <c r="Q621" s="9"/>
      <c r="U621" s="9"/>
    </row>
    <row r="622" spans="7:21" x14ac:dyDescent="0.25">
      <c r="G622" s="9"/>
      <c r="Q622" s="9"/>
      <c r="U622" s="9"/>
    </row>
    <row r="623" spans="7:21" x14ac:dyDescent="0.25">
      <c r="G623" s="9"/>
      <c r="Q623" s="9"/>
      <c r="U623" s="9"/>
    </row>
    <row r="624" spans="7:21" x14ac:dyDescent="0.25">
      <c r="G624" s="9"/>
      <c r="Q624" s="9"/>
      <c r="U624" s="9"/>
    </row>
    <row r="625" spans="7:21" x14ac:dyDescent="0.25">
      <c r="G625" s="9"/>
      <c r="Q625" s="9"/>
      <c r="U625" s="9"/>
    </row>
    <row r="626" spans="7:21" x14ac:dyDescent="0.25">
      <c r="G626" s="9"/>
      <c r="Q626" s="9"/>
      <c r="U626" s="9"/>
    </row>
    <row r="627" spans="7:21" x14ac:dyDescent="0.25">
      <c r="G627" s="9"/>
      <c r="Q627" s="9"/>
      <c r="U627" s="9"/>
    </row>
    <row r="628" spans="7:21" x14ac:dyDescent="0.25">
      <c r="G628" s="9"/>
      <c r="Q628" s="9"/>
      <c r="U628" s="9"/>
    </row>
    <row r="629" spans="7:21" x14ac:dyDescent="0.25">
      <c r="G629" s="9"/>
      <c r="Q629" s="9"/>
      <c r="U629" s="9"/>
    </row>
    <row r="630" spans="7:21" x14ac:dyDescent="0.25">
      <c r="G630" s="9"/>
      <c r="Q630" s="9"/>
      <c r="U630" s="9"/>
    </row>
    <row r="631" spans="7:21" x14ac:dyDescent="0.25">
      <c r="G631" s="9"/>
      <c r="Q631" s="9"/>
      <c r="U631" s="9"/>
    </row>
    <row r="632" spans="7:21" x14ac:dyDescent="0.25">
      <c r="G632" s="9"/>
      <c r="Q632" s="9"/>
      <c r="U632" s="9"/>
    </row>
    <row r="633" spans="7:21" x14ac:dyDescent="0.25">
      <c r="G633" s="9"/>
      <c r="Q633" s="9"/>
      <c r="U633" s="9"/>
    </row>
    <row r="634" spans="7:21" x14ac:dyDescent="0.25">
      <c r="G634" s="9"/>
      <c r="Q634" s="9"/>
      <c r="U634" s="9"/>
    </row>
    <row r="635" spans="7:21" x14ac:dyDescent="0.25">
      <c r="G635" s="9"/>
      <c r="Q635" s="9"/>
      <c r="U635" s="9"/>
    </row>
    <row r="636" spans="7:21" x14ac:dyDescent="0.25">
      <c r="G636" s="9"/>
      <c r="Q636" s="9"/>
      <c r="U636" s="9"/>
    </row>
    <row r="637" spans="7:21" x14ac:dyDescent="0.25">
      <c r="G637" s="9"/>
      <c r="Q637" s="9"/>
      <c r="U637" s="9"/>
    </row>
    <row r="638" spans="7:21" x14ac:dyDescent="0.25">
      <c r="G638" s="9"/>
      <c r="Q638" s="9"/>
      <c r="U638" s="9"/>
    </row>
    <row r="639" spans="7:21" x14ac:dyDescent="0.25">
      <c r="G639" s="9"/>
      <c r="Q639" s="9"/>
      <c r="U639" s="9"/>
    </row>
    <row r="640" spans="7:21" x14ac:dyDescent="0.25">
      <c r="G640" s="9"/>
      <c r="Q640" s="9"/>
      <c r="U640" s="9"/>
    </row>
    <row r="641" spans="7:21" x14ac:dyDescent="0.25">
      <c r="G641" s="9"/>
      <c r="Q641" s="9"/>
      <c r="U641" s="9"/>
    </row>
    <row r="642" spans="7:21" x14ac:dyDescent="0.25">
      <c r="G642" s="9"/>
      <c r="Q642" s="9"/>
      <c r="U642" s="9"/>
    </row>
    <row r="643" spans="7:21" x14ac:dyDescent="0.25">
      <c r="G643" s="9"/>
      <c r="Q643" s="9"/>
      <c r="U643" s="9"/>
    </row>
    <row r="644" spans="7:21" x14ac:dyDescent="0.25">
      <c r="G644" s="9"/>
      <c r="Q644" s="9"/>
      <c r="U644" s="9"/>
    </row>
    <row r="645" spans="7:21" x14ac:dyDescent="0.25">
      <c r="G645" s="9"/>
      <c r="Q645" s="9"/>
      <c r="U645" s="9"/>
    </row>
    <row r="646" spans="7:21" x14ac:dyDescent="0.25">
      <c r="G646" s="9"/>
      <c r="Q646" s="9"/>
      <c r="U646" s="9"/>
    </row>
    <row r="647" spans="7:21" x14ac:dyDescent="0.25">
      <c r="G647" s="9"/>
      <c r="Q647" s="9"/>
      <c r="U647" s="9"/>
    </row>
    <row r="648" spans="7:21" x14ac:dyDescent="0.25">
      <c r="G648" s="9"/>
      <c r="Q648" s="9"/>
      <c r="U648" s="9"/>
    </row>
    <row r="649" spans="7:21" x14ac:dyDescent="0.25">
      <c r="G649" s="9"/>
      <c r="Q649" s="9"/>
      <c r="U649" s="9"/>
    </row>
    <row r="650" spans="7:21" x14ac:dyDescent="0.25">
      <c r="G650" s="9"/>
      <c r="Q650" s="9"/>
      <c r="U650" s="9"/>
    </row>
    <row r="651" spans="7:21" x14ac:dyDescent="0.25">
      <c r="G651" s="9"/>
      <c r="Q651" s="9"/>
      <c r="U651" s="9"/>
    </row>
    <row r="652" spans="7:21" x14ac:dyDescent="0.25">
      <c r="G652" s="9"/>
      <c r="Q652" s="9"/>
      <c r="U652" s="9"/>
    </row>
    <row r="653" spans="7:21" x14ac:dyDescent="0.25">
      <c r="G653" s="9"/>
      <c r="Q653" s="9"/>
      <c r="U653" s="9"/>
    </row>
    <row r="654" spans="7:21" x14ac:dyDescent="0.25">
      <c r="G654" s="9"/>
      <c r="Q654" s="9"/>
      <c r="U654" s="9"/>
    </row>
    <row r="655" spans="7:21" x14ac:dyDescent="0.25">
      <c r="G655" s="9"/>
      <c r="Q655" s="9"/>
      <c r="U655" s="9"/>
    </row>
    <row r="656" spans="7:21" x14ac:dyDescent="0.25">
      <c r="G656" s="9"/>
      <c r="Q656" s="9"/>
      <c r="U656" s="9"/>
    </row>
    <row r="657" spans="7:21" x14ac:dyDescent="0.25">
      <c r="G657" s="9"/>
      <c r="Q657" s="9"/>
      <c r="U657" s="9"/>
    </row>
    <row r="658" spans="7:21" x14ac:dyDescent="0.25">
      <c r="G658" s="9"/>
      <c r="Q658" s="9"/>
      <c r="U658" s="9"/>
    </row>
    <row r="659" spans="7:21" x14ac:dyDescent="0.25">
      <c r="G659" s="9"/>
      <c r="Q659" s="9"/>
      <c r="U659" s="9"/>
    </row>
    <row r="660" spans="7:21" x14ac:dyDescent="0.25">
      <c r="G660" s="9"/>
      <c r="Q660" s="9"/>
      <c r="U660" s="9"/>
    </row>
    <row r="661" spans="7:21" x14ac:dyDescent="0.25">
      <c r="G661" s="9"/>
      <c r="Q661" s="9"/>
      <c r="U661" s="9"/>
    </row>
    <row r="662" spans="7:21" x14ac:dyDescent="0.25">
      <c r="G662" s="9"/>
      <c r="Q662" s="9"/>
      <c r="U662" s="9"/>
    </row>
    <row r="663" spans="7:21" x14ac:dyDescent="0.25">
      <c r="G663" s="9"/>
      <c r="Q663" s="9"/>
      <c r="U663" s="9"/>
    </row>
    <row r="664" spans="7:21" x14ac:dyDescent="0.25">
      <c r="G664" s="9"/>
      <c r="Q664" s="9"/>
      <c r="U664" s="9"/>
    </row>
    <row r="665" spans="7:21" x14ac:dyDescent="0.25">
      <c r="G665" s="9"/>
      <c r="Q665" s="9"/>
      <c r="U665" s="9"/>
    </row>
    <row r="666" spans="7:21" x14ac:dyDescent="0.25">
      <c r="G666" s="9"/>
      <c r="Q666" s="9"/>
      <c r="U666" s="9"/>
    </row>
    <row r="667" spans="7:21" x14ac:dyDescent="0.25">
      <c r="G667" s="9"/>
      <c r="Q667" s="9"/>
      <c r="U667" s="9"/>
    </row>
    <row r="668" spans="7:21" x14ac:dyDescent="0.25">
      <c r="G668" s="9"/>
      <c r="Q668" s="9"/>
      <c r="U668" s="9"/>
    </row>
    <row r="669" spans="7:21" x14ac:dyDescent="0.25">
      <c r="G669" s="9"/>
      <c r="Q669" s="9"/>
      <c r="U669" s="9"/>
    </row>
    <row r="670" spans="7:21" x14ac:dyDescent="0.25">
      <c r="G670" s="9"/>
      <c r="Q670" s="9"/>
      <c r="U670" s="9"/>
    </row>
    <row r="671" spans="7:21" x14ac:dyDescent="0.25">
      <c r="G671" s="9"/>
      <c r="Q671" s="9"/>
      <c r="U671" s="9"/>
    </row>
    <row r="672" spans="7:21" x14ac:dyDescent="0.25">
      <c r="G672" s="9"/>
      <c r="Q672" s="9"/>
      <c r="U672" s="9"/>
    </row>
    <row r="673" spans="7:21" x14ac:dyDescent="0.25">
      <c r="G673" s="9"/>
      <c r="Q673" s="9"/>
      <c r="U673" s="9"/>
    </row>
    <row r="674" spans="7:21" x14ac:dyDescent="0.25">
      <c r="G674" s="9"/>
      <c r="Q674" s="9"/>
      <c r="U674" s="9"/>
    </row>
    <row r="675" spans="7:21" x14ac:dyDescent="0.25">
      <c r="G675" s="9"/>
      <c r="Q675" s="9"/>
      <c r="U675" s="9"/>
    </row>
    <row r="676" spans="7:21" x14ac:dyDescent="0.25">
      <c r="G676" s="9"/>
      <c r="Q676" s="9"/>
      <c r="U676" s="9"/>
    </row>
    <row r="677" spans="7:21" x14ac:dyDescent="0.25">
      <c r="G677" s="9"/>
      <c r="Q677" s="9"/>
      <c r="U677" s="9"/>
    </row>
    <row r="678" spans="7:21" x14ac:dyDescent="0.25">
      <c r="G678" s="9"/>
      <c r="Q678" s="9"/>
      <c r="U678" s="9"/>
    </row>
    <row r="679" spans="7:21" x14ac:dyDescent="0.25">
      <c r="G679" s="9"/>
      <c r="Q679" s="9"/>
      <c r="U679" s="9"/>
    </row>
    <row r="680" spans="7:21" x14ac:dyDescent="0.25">
      <c r="G680" s="9"/>
      <c r="Q680" s="9"/>
      <c r="U680" s="9"/>
    </row>
    <row r="681" spans="7:21" x14ac:dyDescent="0.25">
      <c r="G681" s="9"/>
      <c r="Q681" s="9"/>
      <c r="U681" s="9"/>
    </row>
    <row r="682" spans="7:21" x14ac:dyDescent="0.25">
      <c r="G682" s="9"/>
      <c r="Q682" s="9"/>
      <c r="U682" s="9"/>
    </row>
    <row r="683" spans="7:21" x14ac:dyDescent="0.25">
      <c r="G683" s="9"/>
      <c r="Q683" s="9"/>
      <c r="U683" s="9"/>
    </row>
    <row r="684" spans="7:21" x14ac:dyDescent="0.25">
      <c r="G684" s="9"/>
      <c r="Q684" s="9"/>
      <c r="U684" s="9"/>
    </row>
    <row r="685" spans="7:21" x14ac:dyDescent="0.25">
      <c r="G685" s="9"/>
      <c r="Q685" s="9"/>
      <c r="U685" s="9"/>
    </row>
    <row r="686" spans="7:21" x14ac:dyDescent="0.25">
      <c r="G686" s="9"/>
      <c r="Q686" s="9"/>
      <c r="U686" s="9"/>
    </row>
    <row r="687" spans="7:21" x14ac:dyDescent="0.25">
      <c r="G687" s="9"/>
      <c r="Q687" s="9"/>
      <c r="U687" s="9"/>
    </row>
    <row r="688" spans="7:21" x14ac:dyDescent="0.25">
      <c r="G688" s="9"/>
      <c r="Q688" s="9"/>
      <c r="U688" s="9"/>
    </row>
    <row r="689" spans="7:21" x14ac:dyDescent="0.25">
      <c r="G689" s="9"/>
      <c r="Q689" s="9"/>
      <c r="U689" s="9"/>
    </row>
    <row r="690" spans="7:21" x14ac:dyDescent="0.25">
      <c r="G690" s="9"/>
      <c r="Q690" s="9"/>
      <c r="U690" s="9"/>
    </row>
    <row r="691" spans="7:21" x14ac:dyDescent="0.25">
      <c r="G691" s="9"/>
      <c r="Q691" s="9"/>
      <c r="U691" s="9"/>
    </row>
    <row r="692" spans="7:21" x14ac:dyDescent="0.25">
      <c r="G692" s="9"/>
      <c r="Q692" s="9"/>
      <c r="U692" s="9"/>
    </row>
    <row r="693" spans="7:21" x14ac:dyDescent="0.25">
      <c r="G693" s="9"/>
      <c r="Q693" s="9"/>
      <c r="U693" s="9"/>
    </row>
    <row r="694" spans="7:21" x14ac:dyDescent="0.25">
      <c r="G694" s="9"/>
      <c r="Q694" s="9"/>
      <c r="U694" s="9"/>
    </row>
    <row r="695" spans="7:21" x14ac:dyDescent="0.25">
      <c r="G695" s="9"/>
      <c r="Q695" s="9"/>
      <c r="U695" s="9"/>
    </row>
    <row r="696" spans="7:21" x14ac:dyDescent="0.25">
      <c r="G696" s="9"/>
      <c r="Q696" s="9"/>
      <c r="U696" s="9"/>
    </row>
    <row r="697" spans="7:21" x14ac:dyDescent="0.25">
      <c r="G697" s="9"/>
      <c r="Q697" s="9"/>
      <c r="U697" s="9"/>
    </row>
    <row r="698" spans="7:21" x14ac:dyDescent="0.25">
      <c r="G698" s="9"/>
      <c r="Q698" s="9"/>
      <c r="U698" s="9"/>
    </row>
    <row r="699" spans="7:21" x14ac:dyDescent="0.25">
      <c r="G699" s="9"/>
      <c r="Q699" s="9"/>
      <c r="U699" s="9"/>
    </row>
    <row r="700" spans="7:21" x14ac:dyDescent="0.25">
      <c r="G700" s="9"/>
      <c r="Q700" s="9"/>
      <c r="U700" s="9"/>
    </row>
    <row r="701" spans="7:21" x14ac:dyDescent="0.25">
      <c r="G701" s="9"/>
      <c r="Q701" s="9"/>
      <c r="U701" s="9"/>
    </row>
    <row r="702" spans="7:21" x14ac:dyDescent="0.25">
      <c r="G702" s="9"/>
      <c r="Q702" s="9"/>
      <c r="U702" s="9"/>
    </row>
    <row r="703" spans="7:21" x14ac:dyDescent="0.25">
      <c r="G703" s="9"/>
      <c r="Q703" s="9"/>
      <c r="U703" s="9"/>
    </row>
    <row r="704" spans="7:21" x14ac:dyDescent="0.25">
      <c r="G704" s="9"/>
      <c r="Q704" s="9"/>
      <c r="U704" s="9"/>
    </row>
    <row r="705" spans="7:21" x14ac:dyDescent="0.25">
      <c r="G705" s="9"/>
      <c r="Q705" s="9"/>
      <c r="U705" s="9"/>
    </row>
    <row r="706" spans="7:21" x14ac:dyDescent="0.25">
      <c r="G706" s="9"/>
      <c r="Q706" s="9"/>
      <c r="U706" s="9"/>
    </row>
    <row r="707" spans="7:21" x14ac:dyDescent="0.25">
      <c r="G707" s="9"/>
      <c r="Q707" s="9"/>
      <c r="U707" s="9"/>
    </row>
    <row r="708" spans="7:21" x14ac:dyDescent="0.25">
      <c r="G708" s="9"/>
      <c r="Q708" s="9"/>
      <c r="U708" s="9"/>
    </row>
    <row r="709" spans="7:21" x14ac:dyDescent="0.25">
      <c r="G709" s="9"/>
      <c r="Q709" s="9"/>
      <c r="U709" s="9"/>
    </row>
    <row r="710" spans="7:21" x14ac:dyDescent="0.25">
      <c r="G710" s="9"/>
      <c r="Q710" s="9"/>
      <c r="U710" s="9"/>
    </row>
    <row r="711" spans="7:21" x14ac:dyDescent="0.25">
      <c r="G711" s="9"/>
      <c r="Q711" s="9"/>
      <c r="U711" s="9"/>
    </row>
    <row r="712" spans="7:21" x14ac:dyDescent="0.25">
      <c r="G712" s="9"/>
      <c r="Q712" s="9"/>
      <c r="U712" s="9"/>
    </row>
    <row r="713" spans="7:21" x14ac:dyDescent="0.25">
      <c r="G713" s="9"/>
      <c r="Q713" s="9"/>
      <c r="U713" s="9"/>
    </row>
    <row r="714" spans="7:21" x14ac:dyDescent="0.25">
      <c r="G714" s="9"/>
      <c r="Q714" s="9"/>
      <c r="U714" s="9"/>
    </row>
    <row r="715" spans="7:21" x14ac:dyDescent="0.25">
      <c r="G715" s="9"/>
      <c r="Q715" s="9"/>
      <c r="U715" s="9"/>
    </row>
    <row r="716" spans="7:21" x14ac:dyDescent="0.25">
      <c r="G716" s="9"/>
      <c r="Q716" s="9"/>
      <c r="U716" s="9"/>
    </row>
    <row r="717" spans="7:21" x14ac:dyDescent="0.25">
      <c r="G717" s="9"/>
      <c r="Q717" s="9"/>
      <c r="U717" s="9"/>
    </row>
    <row r="718" spans="7:21" x14ac:dyDescent="0.25">
      <c r="G718" s="9"/>
      <c r="Q718" s="9"/>
      <c r="U718" s="9"/>
    </row>
    <row r="719" spans="7:21" x14ac:dyDescent="0.25">
      <c r="G719" s="9"/>
      <c r="Q719" s="9"/>
      <c r="U719" s="9"/>
    </row>
    <row r="720" spans="7:21" x14ac:dyDescent="0.25">
      <c r="G720" s="9"/>
      <c r="Q720" s="9"/>
      <c r="U720" s="9"/>
    </row>
    <row r="721" spans="7:21" x14ac:dyDescent="0.25">
      <c r="G721" s="9"/>
      <c r="Q721" s="9"/>
      <c r="U721" s="9"/>
    </row>
    <row r="722" spans="7:21" x14ac:dyDescent="0.25">
      <c r="G722" s="9"/>
      <c r="Q722" s="9"/>
      <c r="U722" s="9"/>
    </row>
    <row r="723" spans="7:21" x14ac:dyDescent="0.25">
      <c r="G723" s="9"/>
      <c r="Q723" s="9"/>
      <c r="U723" s="9"/>
    </row>
    <row r="724" spans="7:21" x14ac:dyDescent="0.25">
      <c r="G724" s="9"/>
      <c r="Q724" s="9"/>
      <c r="U724" s="9"/>
    </row>
    <row r="725" spans="7:21" x14ac:dyDescent="0.25">
      <c r="G725" s="9"/>
      <c r="Q725" s="9"/>
      <c r="U725" s="9"/>
    </row>
    <row r="726" spans="7:21" x14ac:dyDescent="0.25">
      <c r="G726" s="9"/>
      <c r="Q726" s="9"/>
      <c r="U726" s="9"/>
    </row>
    <row r="727" spans="7:21" x14ac:dyDescent="0.25">
      <c r="G727" s="9"/>
      <c r="Q727" s="9"/>
      <c r="U727" s="9"/>
    </row>
    <row r="728" spans="7:21" x14ac:dyDescent="0.25">
      <c r="G728" s="9"/>
      <c r="Q728" s="9"/>
      <c r="U728" s="9"/>
    </row>
    <row r="729" spans="7:21" x14ac:dyDescent="0.25">
      <c r="G729" s="9"/>
      <c r="Q729" s="9"/>
      <c r="U729" s="9"/>
    </row>
    <row r="730" spans="7:21" x14ac:dyDescent="0.25">
      <c r="G730" s="9"/>
      <c r="Q730" s="9"/>
      <c r="U730" s="9"/>
    </row>
    <row r="731" spans="7:21" x14ac:dyDescent="0.25">
      <c r="G731" s="9"/>
      <c r="Q731" s="9"/>
      <c r="U731" s="9"/>
    </row>
    <row r="732" spans="7:21" x14ac:dyDescent="0.25">
      <c r="G732" s="9"/>
      <c r="Q732" s="9"/>
      <c r="U732" s="9"/>
    </row>
    <row r="733" spans="7:21" x14ac:dyDescent="0.25">
      <c r="G733" s="9"/>
      <c r="Q733" s="9"/>
      <c r="U733" s="9"/>
    </row>
    <row r="734" spans="7:21" x14ac:dyDescent="0.25">
      <c r="G734" s="9"/>
      <c r="Q734" s="9"/>
      <c r="U734" s="9"/>
    </row>
    <row r="735" spans="7:21" x14ac:dyDescent="0.25">
      <c r="G735" s="9"/>
      <c r="Q735" s="9"/>
      <c r="U735" s="9"/>
    </row>
    <row r="736" spans="7:21" x14ac:dyDescent="0.25">
      <c r="G736" s="9"/>
      <c r="Q736" s="9"/>
      <c r="U736" s="9"/>
    </row>
    <row r="737" spans="7:21" x14ac:dyDescent="0.25">
      <c r="G737" s="9"/>
      <c r="Q737" s="9"/>
      <c r="U737" s="9"/>
    </row>
    <row r="738" spans="7:21" x14ac:dyDescent="0.25">
      <c r="G738" s="9"/>
      <c r="Q738" s="9"/>
      <c r="U738" s="9"/>
    </row>
    <row r="739" spans="7:21" x14ac:dyDescent="0.25">
      <c r="G739" s="9"/>
      <c r="Q739" s="9"/>
      <c r="U739" s="9"/>
    </row>
    <row r="740" spans="7:21" x14ac:dyDescent="0.25">
      <c r="G740" s="9"/>
      <c r="Q740" s="9"/>
      <c r="U740" s="9"/>
    </row>
    <row r="741" spans="7:21" x14ac:dyDescent="0.25">
      <c r="G741" s="9"/>
      <c r="Q741" s="9"/>
      <c r="U741" s="9"/>
    </row>
    <row r="742" spans="7:21" x14ac:dyDescent="0.25">
      <c r="G742" s="9"/>
      <c r="Q742" s="9"/>
      <c r="U742" s="9"/>
    </row>
    <row r="743" spans="7:21" x14ac:dyDescent="0.25">
      <c r="G743" s="9"/>
      <c r="Q743" s="9"/>
      <c r="U743" s="9"/>
    </row>
    <row r="744" spans="7:21" x14ac:dyDescent="0.25">
      <c r="G744" s="9"/>
      <c r="Q744" s="9"/>
      <c r="U744" s="9"/>
    </row>
    <row r="745" spans="7:21" x14ac:dyDescent="0.25">
      <c r="G745" s="9"/>
      <c r="Q745" s="9"/>
      <c r="U745" s="9"/>
    </row>
    <row r="746" spans="7:21" x14ac:dyDescent="0.25">
      <c r="G746" s="9"/>
      <c r="Q746" s="9"/>
      <c r="U746" s="9"/>
    </row>
    <row r="747" spans="7:21" x14ac:dyDescent="0.25">
      <c r="G747" s="9"/>
      <c r="Q747" s="9"/>
      <c r="U747" s="9"/>
    </row>
    <row r="748" spans="7:21" x14ac:dyDescent="0.25">
      <c r="G748" s="9"/>
      <c r="Q748" s="9"/>
      <c r="U748" s="9"/>
    </row>
    <row r="749" spans="7:21" x14ac:dyDescent="0.25">
      <c r="G749" s="9"/>
      <c r="Q749" s="9"/>
      <c r="U749" s="9"/>
    </row>
    <row r="750" spans="7:21" x14ac:dyDescent="0.25">
      <c r="G750" s="9"/>
      <c r="Q750" s="9"/>
      <c r="U750" s="9"/>
    </row>
    <row r="751" spans="7:21" x14ac:dyDescent="0.25">
      <c r="G751" s="9"/>
      <c r="Q751" s="9"/>
      <c r="U751" s="9"/>
    </row>
    <row r="752" spans="7:21" x14ac:dyDescent="0.25">
      <c r="G752" s="9"/>
      <c r="Q752" s="9"/>
      <c r="U752" s="9"/>
    </row>
    <row r="753" spans="7:21" x14ac:dyDescent="0.25">
      <c r="G753" s="9"/>
      <c r="Q753" s="9"/>
      <c r="U753" s="9"/>
    </row>
    <row r="754" spans="7:21" x14ac:dyDescent="0.25">
      <c r="G754" s="9"/>
      <c r="Q754" s="9"/>
      <c r="U754" s="9"/>
    </row>
    <row r="755" spans="7:21" x14ac:dyDescent="0.25">
      <c r="G755" s="9"/>
      <c r="Q755" s="9"/>
      <c r="U755" s="9"/>
    </row>
    <row r="756" spans="7:21" x14ac:dyDescent="0.25">
      <c r="G756" s="9"/>
      <c r="Q756" s="9"/>
      <c r="U756" s="9"/>
    </row>
    <row r="757" spans="7:21" x14ac:dyDescent="0.25">
      <c r="G757" s="9"/>
      <c r="Q757" s="9"/>
      <c r="U757" s="9"/>
    </row>
    <row r="758" spans="7:21" x14ac:dyDescent="0.25">
      <c r="G758" s="9"/>
      <c r="Q758" s="9"/>
      <c r="U758" s="9"/>
    </row>
    <row r="759" spans="7:21" x14ac:dyDescent="0.25">
      <c r="G759" s="9"/>
      <c r="Q759" s="9"/>
      <c r="U759" s="9"/>
    </row>
    <row r="760" spans="7:21" x14ac:dyDescent="0.25">
      <c r="G760" s="9"/>
      <c r="Q760" s="9"/>
      <c r="U760" s="9"/>
    </row>
    <row r="761" spans="7:21" x14ac:dyDescent="0.25">
      <c r="G761" s="9"/>
      <c r="Q761" s="9"/>
      <c r="U761" s="9"/>
    </row>
    <row r="762" spans="7:21" x14ac:dyDescent="0.25">
      <c r="G762" s="9"/>
      <c r="Q762" s="9"/>
      <c r="U762" s="9"/>
    </row>
    <row r="763" spans="7:21" x14ac:dyDescent="0.25">
      <c r="G763" s="9"/>
      <c r="Q763" s="9"/>
      <c r="U763" s="9"/>
    </row>
    <row r="764" spans="7:21" x14ac:dyDescent="0.25">
      <c r="G764" s="9"/>
      <c r="Q764" s="9"/>
      <c r="U764" s="9"/>
    </row>
    <row r="765" spans="7:21" x14ac:dyDescent="0.25">
      <c r="G765" s="9"/>
      <c r="Q765" s="9"/>
      <c r="U765" s="9"/>
    </row>
    <row r="766" spans="7:21" x14ac:dyDescent="0.25">
      <c r="G766" s="9"/>
      <c r="Q766" s="9"/>
      <c r="U766" s="9"/>
    </row>
    <row r="767" spans="7:21" x14ac:dyDescent="0.25">
      <c r="G767" s="9"/>
      <c r="Q767" s="9"/>
      <c r="U767" s="9"/>
    </row>
    <row r="768" spans="7:21" x14ac:dyDescent="0.25">
      <c r="G768" s="9"/>
      <c r="Q768" s="9"/>
      <c r="U768" s="9"/>
    </row>
    <row r="769" spans="7:21" x14ac:dyDescent="0.25">
      <c r="G769" s="9"/>
      <c r="Q769" s="9"/>
      <c r="U769" s="9"/>
    </row>
    <row r="770" spans="7:21" x14ac:dyDescent="0.25">
      <c r="G770" s="9"/>
      <c r="Q770" s="9"/>
      <c r="U770" s="9"/>
    </row>
    <row r="771" spans="7:21" x14ac:dyDescent="0.25">
      <c r="G771" s="9"/>
      <c r="Q771" s="9"/>
      <c r="U771" s="9"/>
    </row>
    <row r="772" spans="7:21" x14ac:dyDescent="0.25">
      <c r="G772" s="9"/>
      <c r="Q772" s="9"/>
      <c r="U772" s="9"/>
    </row>
    <row r="773" spans="7:21" x14ac:dyDescent="0.25">
      <c r="G773" s="9"/>
      <c r="Q773" s="9"/>
      <c r="U773" s="9"/>
    </row>
    <row r="774" spans="7:21" x14ac:dyDescent="0.25">
      <c r="G774" s="9"/>
      <c r="Q774" s="9"/>
      <c r="U774" s="9"/>
    </row>
    <row r="775" spans="7:21" x14ac:dyDescent="0.25">
      <c r="G775" s="9"/>
      <c r="Q775" s="9"/>
      <c r="U775" s="9"/>
    </row>
    <row r="776" spans="7:21" x14ac:dyDescent="0.25">
      <c r="G776" s="9"/>
      <c r="Q776" s="9"/>
      <c r="U776" s="9"/>
    </row>
    <row r="777" spans="7:21" x14ac:dyDescent="0.25">
      <c r="G777" s="9"/>
      <c r="Q777" s="9"/>
      <c r="U777" s="9"/>
    </row>
    <row r="778" spans="7:21" x14ac:dyDescent="0.25">
      <c r="G778" s="9"/>
      <c r="Q778" s="9"/>
      <c r="U778" s="9"/>
    </row>
    <row r="779" spans="7:21" x14ac:dyDescent="0.25">
      <c r="G779" s="9"/>
      <c r="Q779" s="9"/>
      <c r="U779" s="9"/>
    </row>
    <row r="780" spans="7:21" x14ac:dyDescent="0.25">
      <c r="G780" s="9"/>
      <c r="Q780" s="9"/>
      <c r="U780" s="9"/>
    </row>
    <row r="781" spans="7:21" x14ac:dyDescent="0.25">
      <c r="G781" s="9"/>
      <c r="Q781" s="9"/>
      <c r="U781" s="9"/>
    </row>
    <row r="782" spans="7:21" x14ac:dyDescent="0.25">
      <c r="G782" s="9"/>
      <c r="Q782" s="9"/>
      <c r="U782" s="9"/>
    </row>
    <row r="783" spans="7:21" x14ac:dyDescent="0.25">
      <c r="G783" s="9"/>
      <c r="Q783" s="9"/>
      <c r="U783" s="9"/>
    </row>
    <row r="784" spans="7:21" x14ac:dyDescent="0.25">
      <c r="G784" s="9"/>
      <c r="Q784" s="9"/>
      <c r="U784" s="9"/>
    </row>
    <row r="785" spans="7:21" x14ac:dyDescent="0.25">
      <c r="G785" s="9"/>
      <c r="Q785" s="9"/>
      <c r="U785" s="9"/>
    </row>
    <row r="786" spans="7:21" x14ac:dyDescent="0.25">
      <c r="G786" s="9"/>
      <c r="Q786" s="9"/>
      <c r="U786" s="9"/>
    </row>
    <row r="787" spans="7:21" x14ac:dyDescent="0.25">
      <c r="G787" s="9"/>
      <c r="Q787" s="9"/>
      <c r="U787" s="9"/>
    </row>
    <row r="788" spans="7:21" x14ac:dyDescent="0.25">
      <c r="G788" s="9"/>
      <c r="Q788" s="9"/>
      <c r="U788" s="9"/>
    </row>
    <row r="789" spans="7:21" x14ac:dyDescent="0.25">
      <c r="G789" s="9"/>
      <c r="Q789" s="9"/>
      <c r="U789" s="9"/>
    </row>
    <row r="790" spans="7:21" x14ac:dyDescent="0.25">
      <c r="G790" s="9"/>
      <c r="Q790" s="9"/>
      <c r="U790" s="9"/>
    </row>
    <row r="791" spans="7:21" x14ac:dyDescent="0.25">
      <c r="G791" s="9"/>
      <c r="Q791" s="9"/>
      <c r="U791" s="9"/>
    </row>
    <row r="792" spans="7:21" x14ac:dyDescent="0.25">
      <c r="G792" s="9"/>
      <c r="Q792" s="9"/>
      <c r="U792" s="9"/>
    </row>
    <row r="793" spans="7:21" x14ac:dyDescent="0.25">
      <c r="G793" s="9"/>
      <c r="Q793" s="9"/>
      <c r="U793" s="9"/>
    </row>
    <row r="794" spans="7:21" x14ac:dyDescent="0.25">
      <c r="G794" s="9"/>
      <c r="Q794" s="9"/>
      <c r="U794" s="9"/>
    </row>
    <row r="795" spans="7:21" x14ac:dyDescent="0.25">
      <c r="G795" s="9"/>
      <c r="Q795" s="9"/>
      <c r="U795" s="9"/>
    </row>
    <row r="796" spans="7:21" x14ac:dyDescent="0.25">
      <c r="G796" s="9"/>
      <c r="Q796" s="9"/>
      <c r="U796" s="9"/>
    </row>
    <row r="797" spans="7:21" x14ac:dyDescent="0.25">
      <c r="G797" s="9"/>
      <c r="Q797" s="9"/>
      <c r="U797" s="9"/>
    </row>
    <row r="798" spans="7:21" x14ac:dyDescent="0.25">
      <c r="G798" s="9"/>
      <c r="Q798" s="9"/>
      <c r="U798" s="9"/>
    </row>
    <row r="799" spans="7:21" x14ac:dyDescent="0.25">
      <c r="G799" s="9"/>
      <c r="Q799" s="9"/>
      <c r="U799" s="9"/>
    </row>
    <row r="800" spans="7:21" x14ac:dyDescent="0.25">
      <c r="G800" s="9"/>
      <c r="Q800" s="9"/>
      <c r="U800" s="9"/>
    </row>
    <row r="801" spans="7:21" x14ac:dyDescent="0.25">
      <c r="G801" s="9"/>
      <c r="Q801" s="9"/>
      <c r="U801" s="9"/>
    </row>
    <row r="802" spans="7:21" x14ac:dyDescent="0.25">
      <c r="G802" s="9"/>
      <c r="Q802" s="9"/>
      <c r="U802" s="9"/>
    </row>
    <row r="803" spans="7:21" x14ac:dyDescent="0.25">
      <c r="G803" s="9"/>
      <c r="Q803" s="9"/>
      <c r="U803" s="9"/>
    </row>
    <row r="804" spans="7:21" x14ac:dyDescent="0.25">
      <c r="G804" s="9"/>
      <c r="Q804" s="9"/>
      <c r="U804" s="9"/>
    </row>
    <row r="805" spans="7:21" x14ac:dyDescent="0.25">
      <c r="G805" s="9"/>
      <c r="Q805" s="9"/>
      <c r="U805" s="9"/>
    </row>
    <row r="806" spans="7:21" x14ac:dyDescent="0.25">
      <c r="G806" s="9"/>
      <c r="Q806" s="9"/>
      <c r="U806" s="9"/>
    </row>
    <row r="807" spans="7:21" x14ac:dyDescent="0.25">
      <c r="G807" s="9"/>
      <c r="Q807" s="9"/>
      <c r="U807" s="9"/>
    </row>
    <row r="808" spans="7:21" x14ac:dyDescent="0.25">
      <c r="G808" s="9"/>
      <c r="Q808" s="9"/>
      <c r="U808" s="9"/>
    </row>
    <row r="809" spans="7:21" x14ac:dyDescent="0.25">
      <c r="G809" s="9"/>
      <c r="Q809" s="9"/>
      <c r="U809" s="9"/>
    </row>
    <row r="810" spans="7:21" x14ac:dyDescent="0.25">
      <c r="G810" s="9"/>
      <c r="Q810" s="9"/>
      <c r="U810" s="9"/>
    </row>
    <row r="811" spans="7:21" x14ac:dyDescent="0.25">
      <c r="G811" s="9"/>
      <c r="Q811" s="9"/>
      <c r="U811" s="9"/>
    </row>
    <row r="812" spans="7:21" x14ac:dyDescent="0.25">
      <c r="G812" s="9"/>
      <c r="Q812" s="9"/>
      <c r="U812" s="9"/>
    </row>
    <row r="813" spans="7:21" x14ac:dyDescent="0.25">
      <c r="G813" s="9"/>
      <c r="Q813" s="9"/>
      <c r="U813" s="9"/>
    </row>
    <row r="814" spans="7:21" x14ac:dyDescent="0.25">
      <c r="G814" s="9"/>
      <c r="Q814" s="9"/>
      <c r="U814" s="9"/>
    </row>
    <row r="815" spans="7:21" x14ac:dyDescent="0.25">
      <c r="G815" s="9"/>
      <c r="Q815" s="9"/>
      <c r="U815" s="9"/>
    </row>
    <row r="816" spans="7:21" x14ac:dyDescent="0.25">
      <c r="G816" s="9"/>
      <c r="Q816" s="9"/>
      <c r="U816" s="9"/>
    </row>
    <row r="817" spans="7:21" x14ac:dyDescent="0.25">
      <c r="G817" s="9"/>
      <c r="Q817" s="9"/>
      <c r="U817" s="9"/>
    </row>
    <row r="818" spans="7:21" x14ac:dyDescent="0.25">
      <c r="G818" s="9"/>
      <c r="Q818" s="9"/>
      <c r="U818" s="9"/>
    </row>
    <row r="819" spans="7:21" x14ac:dyDescent="0.25">
      <c r="G819" s="9"/>
      <c r="Q819" s="9"/>
      <c r="U819" s="9"/>
    </row>
    <row r="820" spans="7:21" x14ac:dyDescent="0.25">
      <c r="G820" s="9"/>
      <c r="Q820" s="9"/>
      <c r="U820" s="9"/>
    </row>
    <row r="821" spans="7:21" x14ac:dyDescent="0.25">
      <c r="G821" s="9"/>
      <c r="Q821" s="9"/>
      <c r="U821" s="9"/>
    </row>
    <row r="822" spans="7:21" x14ac:dyDescent="0.25">
      <c r="G822" s="9"/>
      <c r="Q822" s="9"/>
      <c r="U822" s="9"/>
    </row>
    <row r="823" spans="7:21" x14ac:dyDescent="0.25">
      <c r="G823" s="9"/>
      <c r="Q823" s="9"/>
      <c r="U823" s="9"/>
    </row>
    <row r="824" spans="7:21" x14ac:dyDescent="0.25">
      <c r="G824" s="9"/>
      <c r="Q824" s="9"/>
      <c r="U824" s="9"/>
    </row>
    <row r="825" spans="7:21" x14ac:dyDescent="0.25">
      <c r="G825" s="9"/>
      <c r="Q825" s="9"/>
      <c r="U825" s="9"/>
    </row>
    <row r="826" spans="7:21" x14ac:dyDescent="0.25">
      <c r="G826" s="9"/>
      <c r="Q826" s="9"/>
      <c r="U826" s="9"/>
    </row>
    <row r="827" spans="7:21" x14ac:dyDescent="0.25">
      <c r="G827" s="9"/>
      <c r="Q827" s="9"/>
      <c r="U827" s="9"/>
    </row>
    <row r="828" spans="7:21" x14ac:dyDescent="0.25">
      <c r="G828" s="9"/>
      <c r="Q828" s="9"/>
      <c r="U828" s="9"/>
    </row>
    <row r="829" spans="7:21" x14ac:dyDescent="0.25">
      <c r="G829" s="9"/>
      <c r="Q829" s="9"/>
      <c r="U829" s="9"/>
    </row>
    <row r="830" spans="7:21" x14ac:dyDescent="0.25">
      <c r="G830" s="9"/>
      <c r="Q830" s="9"/>
      <c r="U830" s="9"/>
    </row>
    <row r="831" spans="7:21" x14ac:dyDescent="0.25">
      <c r="G831" s="9"/>
      <c r="Q831" s="9"/>
      <c r="U831" s="9"/>
    </row>
    <row r="832" spans="7:21" x14ac:dyDescent="0.25">
      <c r="G832" s="9"/>
      <c r="Q832" s="9"/>
      <c r="U832" s="9"/>
    </row>
    <row r="833" spans="7:21" x14ac:dyDescent="0.25">
      <c r="G833" s="9"/>
      <c r="Q833" s="9"/>
      <c r="U833" s="9"/>
    </row>
    <row r="834" spans="7:21" x14ac:dyDescent="0.25">
      <c r="G834" s="9"/>
      <c r="Q834" s="9"/>
      <c r="U834" s="9"/>
    </row>
    <row r="835" spans="7:21" x14ac:dyDescent="0.25">
      <c r="G835" s="9"/>
      <c r="Q835" s="9"/>
      <c r="U835" s="9"/>
    </row>
    <row r="836" spans="7:21" x14ac:dyDescent="0.25">
      <c r="G836" s="9"/>
      <c r="Q836" s="9"/>
      <c r="U836" s="9"/>
    </row>
    <row r="837" spans="7:21" x14ac:dyDescent="0.25">
      <c r="G837" s="9"/>
      <c r="Q837" s="9"/>
      <c r="U837" s="9"/>
    </row>
    <row r="838" spans="7:21" x14ac:dyDescent="0.25">
      <c r="G838" s="9"/>
      <c r="Q838" s="9"/>
      <c r="U838" s="9"/>
    </row>
    <row r="839" spans="7:21" x14ac:dyDescent="0.25">
      <c r="G839" s="9"/>
      <c r="Q839" s="9"/>
      <c r="U839" s="9"/>
    </row>
    <row r="840" spans="7:21" x14ac:dyDescent="0.25">
      <c r="G840" s="9"/>
      <c r="Q840" s="9"/>
      <c r="U840" s="9"/>
    </row>
    <row r="841" spans="7:21" x14ac:dyDescent="0.25">
      <c r="G841" s="9"/>
      <c r="Q841" s="9"/>
      <c r="U841" s="9"/>
    </row>
    <row r="842" spans="7:21" x14ac:dyDescent="0.25">
      <c r="G842" s="9"/>
      <c r="Q842" s="9"/>
      <c r="U842" s="9"/>
    </row>
    <row r="843" spans="7:21" x14ac:dyDescent="0.25">
      <c r="G843" s="9"/>
      <c r="Q843" s="9"/>
      <c r="U843" s="9"/>
    </row>
    <row r="844" spans="7:21" x14ac:dyDescent="0.25">
      <c r="G844" s="9"/>
      <c r="Q844" s="9"/>
      <c r="U844" s="9"/>
    </row>
    <row r="845" spans="7:21" x14ac:dyDescent="0.25">
      <c r="G845" s="9"/>
      <c r="Q845" s="9"/>
      <c r="U845" s="9"/>
    </row>
    <row r="846" spans="7:21" x14ac:dyDescent="0.25">
      <c r="G846" s="9"/>
      <c r="Q846" s="9"/>
      <c r="U846" s="9"/>
    </row>
    <row r="847" spans="7:21" x14ac:dyDescent="0.25">
      <c r="G847" s="9"/>
      <c r="Q847" s="9"/>
      <c r="U847" s="9"/>
    </row>
    <row r="848" spans="7:21" x14ac:dyDescent="0.25">
      <c r="G848" s="9"/>
      <c r="Q848" s="9"/>
      <c r="U848" s="9"/>
    </row>
    <row r="849" spans="7:21" x14ac:dyDescent="0.25">
      <c r="G849" s="9"/>
      <c r="Q849" s="9"/>
      <c r="U849" s="9"/>
    </row>
    <row r="850" spans="7:21" x14ac:dyDescent="0.25">
      <c r="G850" s="9"/>
      <c r="Q850" s="9"/>
      <c r="U850" s="9"/>
    </row>
    <row r="851" spans="7:21" x14ac:dyDescent="0.25">
      <c r="G851" s="9"/>
      <c r="Q851" s="9"/>
      <c r="U851" s="9"/>
    </row>
    <row r="852" spans="7:21" x14ac:dyDescent="0.25">
      <c r="G852" s="9"/>
      <c r="Q852" s="9"/>
      <c r="U852" s="9"/>
    </row>
    <row r="853" spans="7:21" x14ac:dyDescent="0.25">
      <c r="G853" s="9"/>
      <c r="Q853" s="9"/>
      <c r="U853" s="9"/>
    </row>
    <row r="854" spans="7:21" x14ac:dyDescent="0.25">
      <c r="G854" s="9"/>
      <c r="Q854" s="9"/>
      <c r="U854" s="9"/>
    </row>
    <row r="855" spans="7:21" x14ac:dyDescent="0.25">
      <c r="G855" s="9"/>
      <c r="Q855" s="9"/>
      <c r="U855" s="9"/>
    </row>
    <row r="856" spans="7:21" x14ac:dyDescent="0.25">
      <c r="G856" s="9"/>
      <c r="Q856" s="9"/>
      <c r="U856" s="9"/>
    </row>
    <row r="857" spans="7:21" x14ac:dyDescent="0.25">
      <c r="G857" s="9"/>
      <c r="Q857" s="9"/>
      <c r="U857" s="9"/>
    </row>
    <row r="858" spans="7:21" x14ac:dyDescent="0.25">
      <c r="G858" s="9"/>
      <c r="Q858" s="9"/>
      <c r="U858" s="9"/>
    </row>
    <row r="859" spans="7:21" x14ac:dyDescent="0.25">
      <c r="G859" s="9"/>
      <c r="Q859" s="9"/>
      <c r="U859" s="9"/>
    </row>
    <row r="860" spans="7:21" x14ac:dyDescent="0.25">
      <c r="G860" s="9"/>
      <c r="Q860" s="9"/>
      <c r="U860" s="9"/>
    </row>
    <row r="861" spans="7:21" x14ac:dyDescent="0.25">
      <c r="G861" s="9"/>
      <c r="Q861" s="9"/>
      <c r="U861" s="9"/>
    </row>
    <row r="862" spans="7:21" x14ac:dyDescent="0.25">
      <c r="G862" s="9"/>
      <c r="Q862" s="9"/>
      <c r="U862" s="9"/>
    </row>
    <row r="863" spans="7:21" x14ac:dyDescent="0.25">
      <c r="G863" s="9"/>
      <c r="Q863" s="9"/>
      <c r="U863" s="9"/>
    </row>
    <row r="864" spans="7:21" x14ac:dyDescent="0.25">
      <c r="G864" s="9"/>
      <c r="Q864" s="9"/>
      <c r="U864" s="9"/>
    </row>
    <row r="865" spans="7:21" x14ac:dyDescent="0.25">
      <c r="G865" s="9"/>
      <c r="Q865" s="9"/>
      <c r="U865" s="9"/>
    </row>
    <row r="866" spans="7:21" x14ac:dyDescent="0.25">
      <c r="G866" s="9"/>
      <c r="Q866" s="9"/>
      <c r="U866" s="9"/>
    </row>
    <row r="867" spans="7:21" x14ac:dyDescent="0.25">
      <c r="G867" s="9"/>
      <c r="Q867" s="9"/>
      <c r="U867" s="9"/>
    </row>
    <row r="868" spans="7:21" x14ac:dyDescent="0.25">
      <c r="G868" s="9"/>
      <c r="Q868" s="9"/>
      <c r="U868" s="9"/>
    </row>
    <row r="869" spans="7:21" x14ac:dyDescent="0.25">
      <c r="G869" s="9"/>
      <c r="Q869" s="9"/>
      <c r="U869" s="9"/>
    </row>
    <row r="870" spans="7:21" x14ac:dyDescent="0.25">
      <c r="G870" s="9"/>
      <c r="Q870" s="9"/>
      <c r="U870" s="9"/>
    </row>
    <row r="871" spans="7:21" x14ac:dyDescent="0.25">
      <c r="G871" s="9"/>
      <c r="Q871" s="9"/>
      <c r="U871" s="9"/>
    </row>
    <row r="872" spans="7:21" x14ac:dyDescent="0.25">
      <c r="G872" s="9"/>
      <c r="Q872" s="9"/>
      <c r="U872" s="9"/>
    </row>
    <row r="873" spans="7:21" x14ac:dyDescent="0.25">
      <c r="G873" s="9"/>
      <c r="Q873" s="9"/>
      <c r="U873" s="9"/>
    </row>
    <row r="874" spans="7:21" x14ac:dyDescent="0.25">
      <c r="G874" s="9"/>
      <c r="Q874" s="9"/>
      <c r="U874" s="9"/>
    </row>
    <row r="875" spans="7:21" x14ac:dyDescent="0.25">
      <c r="G875" s="9"/>
      <c r="Q875" s="9"/>
      <c r="U875" s="9"/>
    </row>
    <row r="876" spans="7:21" x14ac:dyDescent="0.25">
      <c r="G876" s="9"/>
      <c r="Q876" s="9"/>
      <c r="U876" s="9"/>
    </row>
    <row r="877" spans="7:21" x14ac:dyDescent="0.25">
      <c r="G877" s="9"/>
      <c r="Q877" s="9"/>
      <c r="U877" s="9"/>
    </row>
    <row r="878" spans="7:21" x14ac:dyDescent="0.25">
      <c r="G878" s="9"/>
      <c r="Q878" s="9"/>
      <c r="U878" s="9"/>
    </row>
    <row r="879" spans="7:21" x14ac:dyDescent="0.25">
      <c r="G879" s="9"/>
      <c r="Q879" s="9"/>
      <c r="U879" s="9"/>
    </row>
    <row r="880" spans="7:21" x14ac:dyDescent="0.25">
      <c r="G880" s="9"/>
      <c r="Q880" s="9"/>
      <c r="U880" s="9"/>
    </row>
    <row r="881" spans="7:21" x14ac:dyDescent="0.25">
      <c r="G881" s="9"/>
      <c r="Q881" s="9"/>
      <c r="U881" s="9"/>
    </row>
    <row r="882" spans="7:21" x14ac:dyDescent="0.25">
      <c r="G882" s="9"/>
      <c r="Q882" s="9"/>
      <c r="U882" s="9"/>
    </row>
    <row r="883" spans="7:21" x14ac:dyDescent="0.25">
      <c r="G883" s="9"/>
      <c r="Q883" s="9"/>
      <c r="U883" s="9"/>
    </row>
    <row r="884" spans="7:21" x14ac:dyDescent="0.25">
      <c r="G884" s="9"/>
      <c r="Q884" s="9"/>
      <c r="U884" s="9"/>
    </row>
    <row r="885" spans="7:21" x14ac:dyDescent="0.25">
      <c r="G885" s="9"/>
      <c r="Q885" s="9"/>
      <c r="U885" s="9"/>
    </row>
    <row r="886" spans="7:21" x14ac:dyDescent="0.25">
      <c r="G886" s="9"/>
      <c r="Q886" s="9"/>
      <c r="U886" s="9"/>
    </row>
    <row r="887" spans="7:21" x14ac:dyDescent="0.25">
      <c r="G887" s="9"/>
      <c r="Q887" s="9"/>
      <c r="U887" s="9"/>
    </row>
    <row r="888" spans="7:21" x14ac:dyDescent="0.25">
      <c r="G888" s="9"/>
      <c r="Q888" s="9"/>
      <c r="U888" s="9"/>
    </row>
    <row r="889" spans="7:21" x14ac:dyDescent="0.25">
      <c r="G889" s="9"/>
      <c r="Q889" s="9"/>
      <c r="U889" s="9"/>
    </row>
    <row r="890" spans="7:21" x14ac:dyDescent="0.25">
      <c r="G890" s="9"/>
      <c r="Q890" s="9"/>
      <c r="U890" s="9"/>
    </row>
    <row r="891" spans="7:21" x14ac:dyDescent="0.25">
      <c r="G891" s="9"/>
      <c r="Q891" s="9"/>
      <c r="U891" s="9"/>
    </row>
    <row r="892" spans="7:21" x14ac:dyDescent="0.25">
      <c r="G892" s="9"/>
      <c r="Q892" s="9"/>
      <c r="U892" s="9"/>
    </row>
    <row r="893" spans="7:21" x14ac:dyDescent="0.25">
      <c r="G893" s="9"/>
      <c r="Q893" s="9"/>
      <c r="U893" s="9"/>
    </row>
    <row r="894" spans="7:21" x14ac:dyDescent="0.25">
      <c r="G894" s="9"/>
      <c r="Q894" s="9"/>
      <c r="U894" s="9"/>
    </row>
    <row r="895" spans="7:21" x14ac:dyDescent="0.25">
      <c r="G895" s="9"/>
      <c r="Q895" s="9"/>
      <c r="U895" s="9"/>
    </row>
    <row r="896" spans="7:21" x14ac:dyDescent="0.25">
      <c r="G896" s="9"/>
      <c r="Q896" s="9"/>
      <c r="U896" s="9"/>
    </row>
    <row r="897" spans="7:21" x14ac:dyDescent="0.25">
      <c r="G897" s="9"/>
      <c r="Q897" s="9"/>
      <c r="U897" s="9"/>
    </row>
    <row r="898" spans="7:21" x14ac:dyDescent="0.25">
      <c r="G898" s="9"/>
      <c r="Q898" s="9"/>
      <c r="U898" s="9"/>
    </row>
    <row r="899" spans="7:21" x14ac:dyDescent="0.25">
      <c r="G899" s="9"/>
      <c r="Q899" s="9"/>
      <c r="U899" s="9"/>
    </row>
    <row r="900" spans="7:21" x14ac:dyDescent="0.25">
      <c r="G900" s="9"/>
      <c r="Q900" s="9"/>
      <c r="U900" s="9"/>
    </row>
    <row r="901" spans="7:21" x14ac:dyDescent="0.25">
      <c r="G901" s="9"/>
      <c r="Q901" s="9"/>
      <c r="U901" s="9"/>
    </row>
    <row r="902" spans="7:21" x14ac:dyDescent="0.25">
      <c r="G902" s="9"/>
      <c r="Q902" s="9"/>
      <c r="U902" s="9"/>
    </row>
    <row r="903" spans="7:21" x14ac:dyDescent="0.25">
      <c r="G903" s="9"/>
      <c r="Q903" s="9"/>
      <c r="U903" s="9"/>
    </row>
    <row r="904" spans="7:21" x14ac:dyDescent="0.25">
      <c r="G904" s="9"/>
      <c r="Q904" s="9"/>
      <c r="U904" s="9"/>
    </row>
    <row r="905" spans="7:21" x14ac:dyDescent="0.25">
      <c r="G905" s="9"/>
      <c r="Q905" s="9"/>
      <c r="U905" s="9"/>
    </row>
    <row r="906" spans="7:21" x14ac:dyDescent="0.25">
      <c r="G906" s="9"/>
      <c r="Q906" s="9"/>
      <c r="U906" s="9"/>
    </row>
    <row r="907" spans="7:21" x14ac:dyDescent="0.25">
      <c r="G907" s="9"/>
      <c r="Q907" s="9"/>
      <c r="U907" s="9"/>
    </row>
    <row r="908" spans="7:21" x14ac:dyDescent="0.25">
      <c r="G908" s="9"/>
      <c r="Q908" s="9"/>
      <c r="U908" s="9"/>
    </row>
    <row r="909" spans="7:21" x14ac:dyDescent="0.25">
      <c r="G909" s="9"/>
      <c r="Q909" s="9"/>
      <c r="U909" s="9"/>
    </row>
    <row r="910" spans="7:21" x14ac:dyDescent="0.25">
      <c r="G910" s="9"/>
      <c r="Q910" s="9"/>
      <c r="U910" s="9"/>
    </row>
    <row r="911" spans="7:21" x14ac:dyDescent="0.25">
      <c r="G911" s="9"/>
      <c r="Q911" s="9"/>
      <c r="U911" s="9"/>
    </row>
    <row r="912" spans="7:21" x14ac:dyDescent="0.25">
      <c r="G912" s="9"/>
      <c r="Q912" s="9"/>
      <c r="U912" s="9"/>
    </row>
    <row r="913" spans="7:21" x14ac:dyDescent="0.25">
      <c r="G913" s="9"/>
      <c r="Q913" s="9"/>
      <c r="U913" s="9"/>
    </row>
    <row r="914" spans="7:21" x14ac:dyDescent="0.25">
      <c r="G914" s="9"/>
      <c r="Q914" s="9"/>
      <c r="U914" s="9"/>
    </row>
    <row r="915" spans="7:21" x14ac:dyDescent="0.25">
      <c r="G915" s="9"/>
      <c r="Q915" s="9"/>
      <c r="U915" s="9"/>
    </row>
    <row r="916" spans="7:21" x14ac:dyDescent="0.25">
      <c r="G916" s="9"/>
      <c r="Q916" s="9"/>
      <c r="U916" s="9"/>
    </row>
    <row r="917" spans="7:21" x14ac:dyDescent="0.25">
      <c r="G917" s="9"/>
      <c r="Q917" s="9"/>
      <c r="U917" s="9"/>
    </row>
    <row r="918" spans="7:21" x14ac:dyDescent="0.25">
      <c r="G918" s="9"/>
      <c r="Q918" s="9"/>
      <c r="U918" s="9"/>
    </row>
    <row r="919" spans="7:21" x14ac:dyDescent="0.25">
      <c r="G919" s="9"/>
      <c r="Q919" s="9"/>
      <c r="U919" s="9"/>
    </row>
    <row r="920" spans="7:21" x14ac:dyDescent="0.25">
      <c r="G920" s="9"/>
      <c r="Q920" s="9"/>
      <c r="U920" s="9"/>
    </row>
    <row r="921" spans="7:21" x14ac:dyDescent="0.25">
      <c r="G921" s="9"/>
      <c r="Q921" s="9"/>
      <c r="U921" s="9"/>
    </row>
    <row r="922" spans="7:21" x14ac:dyDescent="0.25">
      <c r="G922" s="9"/>
      <c r="Q922" s="9"/>
      <c r="U922" s="9"/>
    </row>
    <row r="923" spans="7:21" x14ac:dyDescent="0.25">
      <c r="G923" s="9"/>
      <c r="Q923" s="9"/>
      <c r="U923" s="9"/>
    </row>
    <row r="924" spans="7:21" x14ac:dyDescent="0.25">
      <c r="G924" s="9"/>
      <c r="Q924" s="9"/>
      <c r="U924" s="9"/>
    </row>
    <row r="925" spans="7:21" x14ac:dyDescent="0.25">
      <c r="G925" s="9"/>
      <c r="Q925" s="9"/>
      <c r="U925" s="9"/>
    </row>
    <row r="926" spans="7:21" x14ac:dyDescent="0.25">
      <c r="G926" s="9"/>
      <c r="Q926" s="9"/>
      <c r="U926" s="9"/>
    </row>
    <row r="927" spans="7:21" x14ac:dyDescent="0.25">
      <c r="G927" s="9"/>
      <c r="Q927" s="9"/>
      <c r="U927" s="9"/>
    </row>
    <row r="928" spans="7:21" x14ac:dyDescent="0.25">
      <c r="G928" s="9"/>
      <c r="Q928" s="9"/>
      <c r="U928" s="9"/>
    </row>
    <row r="929" spans="7:21" x14ac:dyDescent="0.25">
      <c r="G929" s="9"/>
      <c r="Q929" s="9"/>
      <c r="U929" s="9"/>
    </row>
    <row r="930" spans="7:21" x14ac:dyDescent="0.25">
      <c r="G930" s="9"/>
      <c r="Q930" s="9"/>
      <c r="U930" s="9"/>
    </row>
    <row r="931" spans="7:21" x14ac:dyDescent="0.25">
      <c r="G931" s="9"/>
      <c r="Q931" s="9"/>
      <c r="U931" s="9"/>
    </row>
    <row r="932" spans="7:21" x14ac:dyDescent="0.25">
      <c r="G932" s="9"/>
      <c r="Q932" s="9"/>
      <c r="U932" s="9"/>
    </row>
    <row r="933" spans="7:21" x14ac:dyDescent="0.25">
      <c r="G933" s="9"/>
      <c r="Q933" s="9"/>
      <c r="U933" s="9"/>
    </row>
    <row r="934" spans="7:21" x14ac:dyDescent="0.25">
      <c r="G934" s="9"/>
      <c r="Q934" s="9"/>
      <c r="U934" s="9"/>
    </row>
    <row r="935" spans="7:21" x14ac:dyDescent="0.25">
      <c r="G935" s="9"/>
      <c r="Q935" s="9"/>
      <c r="U935" s="9"/>
    </row>
    <row r="936" spans="7:21" x14ac:dyDescent="0.25">
      <c r="G936" s="9"/>
      <c r="Q936" s="9"/>
      <c r="U936" s="9"/>
    </row>
    <row r="937" spans="7:21" x14ac:dyDescent="0.25">
      <c r="G937" s="9"/>
      <c r="Q937" s="9"/>
      <c r="U937" s="9"/>
    </row>
    <row r="938" spans="7:21" x14ac:dyDescent="0.25">
      <c r="G938" s="9"/>
      <c r="Q938" s="9"/>
      <c r="U938" s="9"/>
    </row>
    <row r="939" spans="7:21" x14ac:dyDescent="0.25">
      <c r="G939" s="9"/>
      <c r="Q939" s="9"/>
      <c r="U939" s="9"/>
    </row>
    <row r="940" spans="7:21" x14ac:dyDescent="0.25">
      <c r="G940" s="9"/>
      <c r="Q940" s="9"/>
      <c r="U940" s="9"/>
    </row>
    <row r="941" spans="7:21" x14ac:dyDescent="0.25">
      <c r="G941" s="9"/>
      <c r="Q941" s="9"/>
      <c r="U941" s="9"/>
    </row>
    <row r="942" spans="7:21" x14ac:dyDescent="0.25">
      <c r="G942" s="9"/>
      <c r="Q942" s="9"/>
      <c r="U942" s="9"/>
    </row>
    <row r="943" spans="7:21" x14ac:dyDescent="0.25">
      <c r="G943" s="9"/>
      <c r="Q943" s="9"/>
      <c r="U943" s="9"/>
    </row>
    <row r="944" spans="7:21" x14ac:dyDescent="0.25">
      <c r="G944" s="9"/>
      <c r="Q944" s="9"/>
      <c r="U944" s="9"/>
    </row>
    <row r="945" spans="7:21" x14ac:dyDescent="0.25">
      <c r="G945" s="9"/>
      <c r="Q945" s="9"/>
      <c r="U945" s="9"/>
    </row>
    <row r="946" spans="7:21" x14ac:dyDescent="0.25">
      <c r="G946" s="9"/>
      <c r="Q946" s="9"/>
      <c r="U946" s="9"/>
    </row>
    <row r="947" spans="7:21" x14ac:dyDescent="0.25">
      <c r="G947" s="9"/>
      <c r="Q947" s="9"/>
      <c r="U947" s="9"/>
    </row>
    <row r="948" spans="7:21" x14ac:dyDescent="0.25">
      <c r="G948" s="9"/>
      <c r="Q948" s="9"/>
      <c r="U948" s="9"/>
    </row>
    <row r="949" spans="7:21" x14ac:dyDescent="0.25">
      <c r="G949" s="9"/>
      <c r="Q949" s="9"/>
      <c r="U949" s="9"/>
    </row>
    <row r="950" spans="7:21" x14ac:dyDescent="0.25">
      <c r="G950" s="9"/>
      <c r="Q950" s="9"/>
      <c r="U950" s="9"/>
    </row>
    <row r="951" spans="7:21" x14ac:dyDescent="0.25">
      <c r="G951" s="9"/>
      <c r="Q951" s="9"/>
      <c r="U951" s="9"/>
    </row>
    <row r="952" spans="7:21" x14ac:dyDescent="0.25">
      <c r="G952" s="9"/>
      <c r="Q952" s="9"/>
      <c r="U952" s="9"/>
    </row>
    <row r="953" spans="7:21" x14ac:dyDescent="0.25">
      <c r="G953" s="9"/>
      <c r="Q953" s="9"/>
      <c r="U953" s="9"/>
    </row>
    <row r="954" spans="7:21" x14ac:dyDescent="0.25">
      <c r="G954" s="9"/>
      <c r="Q954" s="9"/>
      <c r="U954" s="9"/>
    </row>
    <row r="955" spans="7:21" x14ac:dyDescent="0.25">
      <c r="G955" s="9"/>
      <c r="Q955" s="9"/>
      <c r="U955" s="9"/>
    </row>
    <row r="956" spans="7:21" x14ac:dyDescent="0.25">
      <c r="G956" s="9"/>
      <c r="Q956" s="9"/>
      <c r="U956" s="9"/>
    </row>
    <row r="957" spans="7:21" x14ac:dyDescent="0.25">
      <c r="G957" s="9"/>
      <c r="Q957" s="9"/>
      <c r="U957" s="9"/>
    </row>
    <row r="958" spans="7:21" x14ac:dyDescent="0.25">
      <c r="G958" s="9"/>
      <c r="Q958" s="9"/>
      <c r="U958" s="9"/>
    </row>
    <row r="959" spans="7:21" x14ac:dyDescent="0.25">
      <c r="G959" s="9"/>
      <c r="Q959" s="9"/>
      <c r="U959" s="9"/>
    </row>
    <row r="960" spans="7:21" x14ac:dyDescent="0.25">
      <c r="G960" s="9"/>
      <c r="Q960" s="9"/>
      <c r="U960" s="9"/>
    </row>
    <row r="961" spans="7:21" x14ac:dyDescent="0.25">
      <c r="G961" s="9"/>
      <c r="Q961" s="9"/>
      <c r="U961" s="9"/>
    </row>
    <row r="962" spans="7:21" x14ac:dyDescent="0.25">
      <c r="G962" s="9"/>
      <c r="Q962" s="9"/>
      <c r="U962" s="9"/>
    </row>
    <row r="963" spans="7:21" x14ac:dyDescent="0.25">
      <c r="G963" s="9"/>
      <c r="Q963" s="9"/>
      <c r="U963" s="9"/>
    </row>
    <row r="964" spans="7:21" x14ac:dyDescent="0.25">
      <c r="G964" s="9"/>
      <c r="Q964" s="9"/>
      <c r="U964" s="9"/>
    </row>
    <row r="965" spans="7:21" x14ac:dyDescent="0.25">
      <c r="G965" s="9"/>
      <c r="Q965" s="9"/>
      <c r="U965" s="9"/>
    </row>
    <row r="966" spans="7:21" x14ac:dyDescent="0.25">
      <c r="G966" s="9"/>
      <c r="Q966" s="9"/>
      <c r="U966" s="9"/>
    </row>
    <row r="967" spans="7:21" x14ac:dyDescent="0.25">
      <c r="G967" s="9"/>
      <c r="Q967" s="9"/>
      <c r="U967" s="9"/>
    </row>
    <row r="968" spans="7:21" x14ac:dyDescent="0.25">
      <c r="G968" s="9"/>
      <c r="Q968" s="9"/>
      <c r="U968" s="9"/>
    </row>
    <row r="969" spans="7:21" x14ac:dyDescent="0.25">
      <c r="G969" s="9"/>
      <c r="Q969" s="9"/>
      <c r="U969" s="9"/>
    </row>
    <row r="970" spans="7:21" x14ac:dyDescent="0.25">
      <c r="G970" s="9"/>
      <c r="Q970" s="9"/>
      <c r="U970" s="9"/>
    </row>
    <row r="971" spans="7:21" x14ac:dyDescent="0.25">
      <c r="G971" s="9"/>
      <c r="Q971" s="9"/>
      <c r="U971" s="9"/>
    </row>
    <row r="972" spans="7:21" x14ac:dyDescent="0.25">
      <c r="G972" s="9"/>
      <c r="Q972" s="9"/>
      <c r="U972" s="9"/>
    </row>
    <row r="973" spans="7:21" x14ac:dyDescent="0.25">
      <c r="G973" s="9"/>
      <c r="Q973" s="9"/>
      <c r="U973" s="9"/>
    </row>
    <row r="974" spans="7:21" x14ac:dyDescent="0.25">
      <c r="G974" s="9"/>
      <c r="Q974" s="9"/>
      <c r="U974" s="9"/>
    </row>
    <row r="975" spans="7:21" x14ac:dyDescent="0.25">
      <c r="G975" s="9"/>
      <c r="Q975" s="9"/>
      <c r="U975" s="9"/>
    </row>
    <row r="976" spans="7:21" x14ac:dyDescent="0.25">
      <c r="G976" s="9"/>
      <c r="Q976" s="9"/>
      <c r="U976" s="9"/>
    </row>
    <row r="977" spans="7:21" x14ac:dyDescent="0.25">
      <c r="G977" s="9"/>
      <c r="Q977" s="9"/>
      <c r="U977" s="9"/>
    </row>
    <row r="978" spans="7:21" x14ac:dyDescent="0.25">
      <c r="G978" s="9"/>
      <c r="Q978" s="9"/>
      <c r="U978" s="9"/>
    </row>
    <row r="979" spans="7:21" x14ac:dyDescent="0.25">
      <c r="G979" s="9"/>
      <c r="Q979" s="9"/>
      <c r="U979" s="9"/>
    </row>
    <row r="980" spans="7:21" x14ac:dyDescent="0.25">
      <c r="G980" s="9"/>
      <c r="Q980" s="9"/>
      <c r="U980" s="9"/>
    </row>
    <row r="981" spans="7:21" x14ac:dyDescent="0.25">
      <c r="G981" s="9"/>
      <c r="Q981" s="9"/>
      <c r="U981" s="9"/>
    </row>
    <row r="982" spans="7:21" x14ac:dyDescent="0.25">
      <c r="G982" s="9"/>
      <c r="Q982" s="9"/>
      <c r="U982" s="9"/>
    </row>
    <row r="983" spans="7:21" x14ac:dyDescent="0.25">
      <c r="G983" s="9"/>
      <c r="Q983" s="9"/>
      <c r="U983" s="9"/>
    </row>
    <row r="984" spans="7:21" x14ac:dyDescent="0.25">
      <c r="G984" s="9"/>
      <c r="Q984" s="9"/>
      <c r="U984" s="9"/>
    </row>
    <row r="985" spans="7:21" x14ac:dyDescent="0.25">
      <c r="G985" s="9"/>
      <c r="Q985" s="9"/>
      <c r="U985" s="9"/>
    </row>
    <row r="986" spans="7:21" x14ac:dyDescent="0.25">
      <c r="G986" s="9"/>
      <c r="Q986" s="9"/>
      <c r="U986" s="9"/>
    </row>
    <row r="987" spans="7:21" x14ac:dyDescent="0.25">
      <c r="G987" s="9"/>
      <c r="Q987" s="9"/>
      <c r="U987" s="9"/>
    </row>
    <row r="988" spans="7:21" x14ac:dyDescent="0.25">
      <c r="G988" s="9"/>
      <c r="Q988" s="9"/>
      <c r="U988" s="9"/>
    </row>
    <row r="989" spans="7:21" x14ac:dyDescent="0.25">
      <c r="G989" s="9"/>
      <c r="Q989" s="9"/>
      <c r="U989" s="9"/>
    </row>
    <row r="990" spans="7:21" x14ac:dyDescent="0.25">
      <c r="G990" s="9"/>
      <c r="Q990" s="9"/>
      <c r="U990" s="9"/>
    </row>
    <row r="991" spans="7:21" x14ac:dyDescent="0.25">
      <c r="G991" s="9"/>
      <c r="Q991" s="9"/>
      <c r="U991" s="9"/>
    </row>
    <row r="992" spans="7:21" x14ac:dyDescent="0.25">
      <c r="G992" s="9"/>
      <c r="Q992" s="9"/>
      <c r="U992" s="9"/>
    </row>
    <row r="993" spans="7:21" x14ac:dyDescent="0.25">
      <c r="G993" s="9"/>
      <c r="Q993" s="9"/>
      <c r="U993" s="9"/>
    </row>
    <row r="994" spans="7:21" x14ac:dyDescent="0.25">
      <c r="G994" s="9"/>
      <c r="Q994" s="9"/>
      <c r="U994" s="9"/>
    </row>
    <row r="995" spans="7:21" x14ac:dyDescent="0.25">
      <c r="G995" s="9"/>
      <c r="Q995" s="9"/>
      <c r="U995" s="9"/>
    </row>
    <row r="996" spans="7:21" x14ac:dyDescent="0.25">
      <c r="G996" s="9"/>
      <c r="Q996" s="9"/>
      <c r="U996" s="9"/>
    </row>
    <row r="997" spans="7:21" x14ac:dyDescent="0.25">
      <c r="G997" s="9"/>
      <c r="Q997" s="9"/>
      <c r="U997" s="9"/>
    </row>
    <row r="998" spans="7:21" x14ac:dyDescent="0.25">
      <c r="G998" s="9"/>
      <c r="Q998" s="9"/>
      <c r="U998" s="9"/>
    </row>
    <row r="999" spans="7:21" x14ac:dyDescent="0.25">
      <c r="G999" s="9"/>
      <c r="Q999" s="9"/>
      <c r="U999" s="9"/>
    </row>
    <row r="1000" spans="7:21" x14ac:dyDescent="0.25">
      <c r="G1000" s="9"/>
      <c r="Q1000" s="9"/>
      <c r="U1000" s="9"/>
    </row>
    <row r="1001" spans="7:21" x14ac:dyDescent="0.25">
      <c r="G1001" s="9"/>
      <c r="Q1001" s="9"/>
      <c r="U1001" s="9"/>
    </row>
    <row r="1002" spans="7:21" x14ac:dyDescent="0.25">
      <c r="G1002" s="9"/>
      <c r="Q1002" s="9"/>
      <c r="U1002" s="9"/>
    </row>
    <row r="1003" spans="7:21" x14ac:dyDescent="0.25">
      <c r="G1003" s="9"/>
      <c r="Q1003" s="9"/>
      <c r="U1003" s="9"/>
    </row>
    <row r="1004" spans="7:21" x14ac:dyDescent="0.25">
      <c r="G1004" s="9"/>
      <c r="Q1004" s="9"/>
      <c r="U1004" s="9"/>
    </row>
    <row r="1005" spans="7:21" x14ac:dyDescent="0.25">
      <c r="G1005" s="9"/>
      <c r="Q1005" s="9"/>
      <c r="U1005" s="9"/>
    </row>
    <row r="1006" spans="7:21" x14ac:dyDescent="0.25">
      <c r="G1006" s="9"/>
      <c r="Q1006" s="9"/>
      <c r="U1006" s="9"/>
    </row>
    <row r="1007" spans="7:21" x14ac:dyDescent="0.25">
      <c r="G1007" s="9"/>
      <c r="Q1007" s="9"/>
      <c r="U1007" s="9"/>
    </row>
    <row r="1008" spans="7:21" x14ac:dyDescent="0.25">
      <c r="G1008" s="9"/>
      <c r="Q1008" s="9"/>
      <c r="U1008" s="9"/>
    </row>
    <row r="1009" spans="7:21" x14ac:dyDescent="0.25">
      <c r="G1009" s="9"/>
      <c r="Q1009" s="9"/>
      <c r="U1009" s="9"/>
    </row>
    <row r="1010" spans="7:21" x14ac:dyDescent="0.25">
      <c r="G1010" s="9"/>
      <c r="Q1010" s="9"/>
      <c r="U1010" s="9"/>
    </row>
    <row r="1011" spans="7:21" x14ac:dyDescent="0.25">
      <c r="G1011" s="9"/>
      <c r="Q1011" s="9"/>
      <c r="U1011" s="9"/>
    </row>
    <row r="1012" spans="7:21" x14ac:dyDescent="0.25">
      <c r="G1012" s="9"/>
      <c r="Q1012" s="9"/>
      <c r="U1012" s="9"/>
    </row>
    <row r="1013" spans="7:21" x14ac:dyDescent="0.25">
      <c r="G1013" s="9"/>
      <c r="Q1013" s="9"/>
      <c r="U1013" s="9"/>
    </row>
    <row r="1014" spans="7:21" x14ac:dyDescent="0.25">
      <c r="G1014" s="9"/>
      <c r="Q1014" s="9"/>
      <c r="U1014" s="9"/>
    </row>
    <row r="1015" spans="7:21" x14ac:dyDescent="0.25">
      <c r="G1015" s="9"/>
      <c r="Q1015" s="9"/>
      <c r="U1015" s="9"/>
    </row>
    <row r="1016" spans="7:21" x14ac:dyDescent="0.25">
      <c r="G1016" s="9"/>
      <c r="Q1016" s="9"/>
      <c r="U1016" s="9"/>
    </row>
  </sheetData>
  <mergeCells count="1">
    <mergeCell ref="AE14:AG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2024-04-28T21:35:16Z</dcterms:modified>
</cp:coreProperties>
</file>