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Workbook________" defaultThemeVersion="124226"/>
  <bookViews>
    <workbookView xWindow="240" yWindow="105" windowWidth="14805" windowHeight="8010"/>
  </bookViews>
  <sheets>
    <sheet name="Vypocet cez A" sheetId="3" r:id="rId1"/>
    <sheet name="Vypocet cez B" sheetId="1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L16" i="3" l="1"/>
  <c r="L17" i="3"/>
  <c r="L18" i="3"/>
  <c r="J16" i="3"/>
  <c r="J17" i="3"/>
  <c r="J18" i="3"/>
  <c r="H16" i="3"/>
  <c r="H17" i="3"/>
  <c r="H18" i="3"/>
  <c r="F16" i="3"/>
  <c r="F17" i="3"/>
  <c r="F18" i="3"/>
  <c r="D16" i="3"/>
  <c r="D17" i="3"/>
  <c r="B16" i="3"/>
  <c r="B17" i="3"/>
  <c r="D18" i="3"/>
  <c r="D19" i="3"/>
  <c r="B19" i="3"/>
  <c r="B18" i="3"/>
  <c r="AQ32" i="3"/>
  <c r="AR33" i="3"/>
  <c r="AQ33" i="3"/>
  <c r="C12" i="3" l="1"/>
  <c r="B10" i="3"/>
  <c r="B11" i="3"/>
  <c r="B9" i="3"/>
  <c r="J19" i="3"/>
  <c r="H19" i="3"/>
  <c r="F19" i="3"/>
  <c r="L9" i="3"/>
  <c r="L10" i="3"/>
  <c r="L11" i="3"/>
  <c r="J9" i="3"/>
  <c r="J10" i="3"/>
  <c r="J11" i="3"/>
  <c r="H9" i="3"/>
  <c r="H10" i="3"/>
  <c r="H11" i="3"/>
  <c r="F9" i="3"/>
  <c r="F10" i="3"/>
  <c r="F11" i="3"/>
  <c r="D9" i="3"/>
  <c r="D10" i="3"/>
  <c r="D11" i="3"/>
  <c r="L12" i="3"/>
  <c r="J12" i="3"/>
  <c r="H12" i="3"/>
  <c r="F12" i="3"/>
  <c r="D12" i="3"/>
  <c r="B12" i="3"/>
  <c r="P4" i="3"/>
  <c r="AL30" i="3"/>
  <c r="AL31" i="3"/>
  <c r="AL32" i="3"/>
  <c r="AL33" i="3"/>
  <c r="AL29" i="3"/>
  <c r="AR29" i="3" l="1"/>
  <c r="AN34" i="3"/>
  <c r="AT33" i="3" l="1"/>
  <c r="AD20" i="3"/>
  <c r="AD19" i="3"/>
  <c r="AC20" i="3"/>
  <c r="AC19" i="3"/>
  <c r="AC18" i="3"/>
  <c r="AB18" i="3"/>
  <c r="AB17" i="3"/>
  <c r="AA17" i="3"/>
  <c r="Z17" i="3"/>
  <c r="AA16" i="3"/>
  <c r="Z16" i="3"/>
  <c r="AD13" i="3"/>
  <c r="AD12" i="3"/>
  <c r="AC12" i="3"/>
  <c r="AC11" i="3"/>
  <c r="AB11" i="3"/>
  <c r="AB10" i="3"/>
  <c r="AA10" i="3"/>
  <c r="Z10" i="3"/>
  <c r="AA9" i="3"/>
  <c r="Z9" i="3"/>
  <c r="AB19" i="3"/>
  <c r="AA18" i="3"/>
  <c r="AC13" i="3"/>
  <c r="AB12" i="3"/>
  <c r="AA11" i="3"/>
  <c r="AD6" i="3"/>
  <c r="AC6" i="3"/>
  <c r="AD5" i="3"/>
  <c r="AC5" i="3"/>
  <c r="AB5" i="3"/>
  <c r="AC4" i="3"/>
  <c r="AB4" i="3"/>
  <c r="AA4" i="3"/>
  <c r="AB3" i="3"/>
  <c r="AA3" i="3"/>
  <c r="AA2" i="3"/>
  <c r="Z3" i="3"/>
  <c r="Z2" i="3"/>
  <c r="B39" i="3"/>
  <c r="O37" i="3"/>
  <c r="I37" i="3"/>
  <c r="AR34" i="3"/>
  <c r="AU33" i="3"/>
  <c r="AS33" i="3"/>
  <c r="AP33" i="3"/>
  <c r="AU32" i="3"/>
  <c r="AT32" i="3"/>
  <c r="AS32" i="3"/>
  <c r="AP32" i="3"/>
  <c r="L32" i="3"/>
  <c r="R32" i="3" s="1"/>
  <c r="K32" i="3"/>
  <c r="Q32" i="3" s="1"/>
  <c r="J32" i="3"/>
  <c r="P32" i="3" s="1"/>
  <c r="I32" i="3"/>
  <c r="H32" i="3"/>
  <c r="N32" i="3" s="1"/>
  <c r="G32" i="3"/>
  <c r="AU31" i="3"/>
  <c r="AT31" i="3"/>
  <c r="AS31" i="3"/>
  <c r="AP31" i="3"/>
  <c r="AU30" i="3"/>
  <c r="AT30" i="3"/>
  <c r="AS30" i="3"/>
  <c r="AP30" i="3"/>
  <c r="AU29" i="3"/>
  <c r="AT29" i="3"/>
  <c r="AS29" i="3"/>
  <c r="AP29" i="3"/>
  <c r="AQ28" i="3"/>
  <c r="M19" i="3"/>
  <c r="K19" i="3"/>
  <c r="I19" i="3"/>
  <c r="G19" i="3"/>
  <c r="E19" i="3"/>
  <c r="C19" i="3"/>
  <c r="R14" i="3"/>
  <c r="Q14" i="3"/>
  <c r="P14" i="3"/>
  <c r="R13" i="3"/>
  <c r="Q13" i="3"/>
  <c r="P13" i="3"/>
  <c r="R12" i="3"/>
  <c r="Q12" i="3"/>
  <c r="P12" i="3"/>
  <c r="M12" i="3"/>
  <c r="K12" i="3"/>
  <c r="I12" i="3"/>
  <c r="G12" i="3"/>
  <c r="E12" i="3"/>
  <c r="R11" i="3"/>
  <c r="Q11" i="3"/>
  <c r="P11" i="3"/>
  <c r="R10" i="3"/>
  <c r="Q10" i="3"/>
  <c r="P10" i="3"/>
  <c r="S14" i="3"/>
  <c r="L19" i="3" s="1"/>
  <c r="R9" i="3"/>
  <c r="Q9" i="3"/>
  <c r="P9" i="3"/>
  <c r="R8" i="3"/>
  <c r="Q8" i="3"/>
  <c r="P8" i="3"/>
  <c r="R7" i="3"/>
  <c r="Q7" i="3"/>
  <c r="P7" i="3"/>
  <c r="R6" i="3"/>
  <c r="Q6" i="3"/>
  <c r="P6" i="3"/>
  <c r="R5" i="3"/>
  <c r="Q5" i="3"/>
  <c r="P5" i="3"/>
  <c r="R4" i="3"/>
  <c r="Q4" i="3"/>
  <c r="S3" i="3"/>
  <c r="AE9" i="3" s="1"/>
  <c r="R3" i="3"/>
  <c r="AE16" i="3" s="1"/>
  <c r="Q3" i="3"/>
  <c r="P3" i="3"/>
  <c r="AE13" i="3" l="1"/>
  <c r="AE2" i="3"/>
  <c r="AH16" i="3" a="1"/>
  <c r="AK20" i="3" s="1"/>
  <c r="AQ31" i="3"/>
  <c r="AE6" i="3"/>
  <c r="AE20" i="3"/>
  <c r="P39" i="3"/>
  <c r="AH9" i="3" a="1"/>
  <c r="AJ13" i="3" s="1"/>
  <c r="AH2" i="3" a="1"/>
  <c r="AI6" i="3" s="1"/>
  <c r="AJ16" i="3"/>
  <c r="M32" i="3"/>
  <c r="O32" i="3"/>
  <c r="S37" i="3"/>
  <c r="U37" i="3"/>
  <c r="S39" i="3"/>
  <c r="P37" i="3"/>
  <c r="I37" i="1"/>
  <c r="O37" i="1"/>
  <c r="AE2" i="1"/>
  <c r="AE9" i="1"/>
  <c r="AE16" i="1"/>
  <c r="Q14" i="1"/>
  <c r="AA2" i="1"/>
  <c r="AD19" i="1"/>
  <c r="AA18" i="1"/>
  <c r="AA11" i="1"/>
  <c r="Z3" i="1"/>
  <c r="AA4" i="1"/>
  <c r="AB5" i="1"/>
  <c r="AC5" i="1"/>
  <c r="AD6" i="1"/>
  <c r="AD13" i="1"/>
  <c r="AD20" i="1"/>
  <c r="AC20" i="1"/>
  <c r="AC13" i="1"/>
  <c r="AC6" i="1"/>
  <c r="R14" i="1"/>
  <c r="P14" i="1"/>
  <c r="Q3" i="1"/>
  <c r="R3" i="1"/>
  <c r="P3" i="1"/>
  <c r="AI16" i="3" l="1"/>
  <c r="AK19" i="3"/>
  <c r="AL17" i="3"/>
  <c r="AH18" i="3"/>
  <c r="AJ19" i="3"/>
  <c r="AI17" i="3"/>
  <c r="AL18" i="3"/>
  <c r="AJ20" i="3"/>
  <c r="AH17" i="3"/>
  <c r="AK18" i="3"/>
  <c r="AI20" i="3"/>
  <c r="AH16" i="3"/>
  <c r="AL16" i="3"/>
  <c r="AK17" i="3"/>
  <c r="AJ18" i="3"/>
  <c r="AI19" i="3"/>
  <c r="AH20" i="3"/>
  <c r="AL20" i="3"/>
  <c r="AK16" i="3"/>
  <c r="AJ17" i="3"/>
  <c r="AI18" i="3"/>
  <c r="AH19" i="3"/>
  <c r="AL19" i="3"/>
  <c r="AI9" i="3"/>
  <c r="AL10" i="3"/>
  <c r="AJ12" i="3"/>
  <c r="AK9" i="3"/>
  <c r="AI11" i="3"/>
  <c r="AL12" i="3"/>
  <c r="AH9" i="3"/>
  <c r="AL9" i="3"/>
  <c r="AK10" i="3"/>
  <c r="AJ11" i="3"/>
  <c r="AI12" i="3"/>
  <c r="AH13" i="3"/>
  <c r="AL13" i="3"/>
  <c r="AH10" i="3"/>
  <c r="AK11" i="3"/>
  <c r="AI13" i="3"/>
  <c r="AJ10" i="3"/>
  <c r="AH12" i="3"/>
  <c r="AK13" i="3"/>
  <c r="AJ9" i="3"/>
  <c r="AI10" i="3"/>
  <c r="AH11" i="3"/>
  <c r="AL11" i="3"/>
  <c r="AK12" i="3"/>
  <c r="AH2" i="3"/>
  <c r="AL2" i="3"/>
  <c r="AI5" i="3"/>
  <c r="AL6" i="3"/>
  <c r="AJ3" i="3"/>
  <c r="AH5" i="3"/>
  <c r="AK6" i="3"/>
  <c r="AJ4" i="3"/>
  <c r="AH4" i="3"/>
  <c r="AH6" i="3"/>
  <c r="AK2" i="3"/>
  <c r="AI4" i="3"/>
  <c r="AL5" i="3"/>
  <c r="AI3" i="3"/>
  <c r="AJ2" i="3"/>
  <c r="AK3" i="3"/>
  <c r="AL4" i="3"/>
  <c r="AK5" i="3"/>
  <c r="AJ6" i="3"/>
  <c r="AI2" i="3"/>
  <c r="AH3" i="3"/>
  <c r="AL3" i="3"/>
  <c r="AK4" i="3"/>
  <c r="AJ5" i="3"/>
  <c r="Q39" i="3"/>
  <c r="Q37" i="3"/>
  <c r="T39" i="3"/>
  <c r="R39" i="3"/>
  <c r="R37" i="3"/>
  <c r="T37" i="3"/>
  <c r="U39" i="3"/>
  <c r="AR34" i="1"/>
  <c r="AQ28" i="1"/>
  <c r="S3" i="1"/>
  <c r="T9" i="1"/>
  <c r="AP29" i="1"/>
  <c r="AN16" i="3" l="1" a="1"/>
  <c r="AN17" i="3" s="1"/>
  <c r="AF30" i="3" s="1"/>
  <c r="W37" i="3"/>
  <c r="Z37" i="3" s="1"/>
  <c r="AN9" i="3" a="1"/>
  <c r="AN13" i="3" s="1"/>
  <c r="AE33" i="3" s="1"/>
  <c r="AN2" i="3" a="1"/>
  <c r="AN5" i="3" s="1"/>
  <c r="AD32" i="3" s="1"/>
  <c r="V37" i="3"/>
  <c r="Y37" i="3" s="1"/>
  <c r="X39" i="3"/>
  <c r="AA39" i="3" s="1"/>
  <c r="X37" i="3"/>
  <c r="AA37" i="3" s="1"/>
  <c r="V39" i="3"/>
  <c r="Y39" i="3" s="1"/>
  <c r="W39" i="3"/>
  <c r="Z39" i="3" s="1"/>
  <c r="AE6" i="1"/>
  <c r="AE20" i="1"/>
  <c r="AE13" i="1"/>
  <c r="Q9" i="1"/>
  <c r="R9" i="1"/>
  <c r="Q10" i="1"/>
  <c r="R10" i="1"/>
  <c r="Q11" i="1"/>
  <c r="R11" i="1"/>
  <c r="Q12" i="1"/>
  <c r="R12" i="1"/>
  <c r="Q13" i="1"/>
  <c r="R13" i="1"/>
  <c r="P10" i="1"/>
  <c r="P11" i="1"/>
  <c r="P12" i="1"/>
  <c r="P13" i="1"/>
  <c r="P9" i="1"/>
  <c r="P5" i="1"/>
  <c r="Q5" i="1"/>
  <c r="R5" i="1"/>
  <c r="P6" i="1"/>
  <c r="Q6" i="1"/>
  <c r="R6" i="1"/>
  <c r="P7" i="1"/>
  <c r="Q7" i="1"/>
  <c r="R7" i="1"/>
  <c r="P8" i="1"/>
  <c r="Q8" i="1"/>
  <c r="R8" i="1"/>
  <c r="Q4" i="1"/>
  <c r="R4" i="1"/>
  <c r="P4" i="1"/>
  <c r="AQ33" i="1"/>
  <c r="AN16" i="3" l="1"/>
  <c r="AF29" i="3" s="1"/>
  <c r="AN19" i="3"/>
  <c r="AF32" i="3" s="1"/>
  <c r="AN20" i="3"/>
  <c r="AF33" i="3" s="1"/>
  <c r="AN18" i="3"/>
  <c r="AF31" i="3" s="1"/>
  <c r="AC39" i="3"/>
  <c r="J42" i="3" s="1"/>
  <c r="J34" i="3" s="1"/>
  <c r="AB39" i="3"/>
  <c r="I42" i="3" s="1"/>
  <c r="AD39" i="3"/>
  <c r="K42" i="3" s="1"/>
  <c r="K34" i="3" s="1"/>
  <c r="AN10" i="3"/>
  <c r="AE30" i="3" s="1"/>
  <c r="AN11" i="3"/>
  <c r="AE31" i="3" s="1"/>
  <c r="AN12" i="3"/>
  <c r="AN9" i="3"/>
  <c r="AE29" i="3" s="1"/>
  <c r="AN4" i="3"/>
  <c r="AD31" i="3" s="1"/>
  <c r="AN6" i="3"/>
  <c r="AD33" i="3" s="1"/>
  <c r="AC33" i="3" s="1"/>
  <c r="AN2" i="3"/>
  <c r="AD29" i="3" s="1"/>
  <c r="AN3" i="3"/>
  <c r="AD30" i="3" s="1"/>
  <c r="AD37" i="3"/>
  <c r="O42" i="3" s="1"/>
  <c r="AB37" i="3"/>
  <c r="M42" i="3" s="1"/>
  <c r="M34" i="3" s="1"/>
  <c r="AC37" i="3"/>
  <c r="N42" i="3" s="1"/>
  <c r="AR32" i="3"/>
  <c r="AQ30" i="3" s="1"/>
  <c r="AR29" i="1"/>
  <c r="AX29" i="1" s="1"/>
  <c r="AW33" i="1"/>
  <c r="AQ32" i="1"/>
  <c r="AW32" i="1" s="1"/>
  <c r="AC29" i="3" l="1"/>
  <c r="AC31" i="3"/>
  <c r="AE32" i="3"/>
  <c r="AC32" i="3" s="1"/>
  <c r="AC30" i="3"/>
  <c r="H42" i="3"/>
  <c r="N34" i="3"/>
  <c r="P42" i="3"/>
  <c r="AS30" i="1"/>
  <c r="AY30" i="1" s="1"/>
  <c r="AT30" i="1"/>
  <c r="AZ30" i="1" s="1"/>
  <c r="AU30" i="1"/>
  <c r="BA30" i="1" s="1"/>
  <c r="AS31" i="1"/>
  <c r="AY31" i="1" s="1"/>
  <c r="AT31" i="1"/>
  <c r="AZ31" i="1" s="1"/>
  <c r="AU31" i="1"/>
  <c r="BA31" i="1" s="1"/>
  <c r="AS32" i="1"/>
  <c r="AY32" i="1" s="1"/>
  <c r="AT32" i="1"/>
  <c r="AZ32" i="1" s="1"/>
  <c r="AU32" i="1"/>
  <c r="BA32" i="1" s="1"/>
  <c r="AS33" i="1"/>
  <c r="AY33" i="1" s="1"/>
  <c r="AT33" i="1"/>
  <c r="AZ33" i="1" s="1"/>
  <c r="AU33" i="1"/>
  <c r="BA33" i="1" s="1"/>
  <c r="AT29" i="1"/>
  <c r="AZ29" i="1" s="1"/>
  <c r="AU29" i="1"/>
  <c r="BA29" i="1" s="1"/>
  <c r="AS29" i="1"/>
  <c r="AY29" i="1" s="1"/>
  <c r="AR31" i="3" l="1"/>
  <c r="AQ29" i="3" s="1"/>
  <c r="AP30" i="1"/>
  <c r="AP31" i="1"/>
  <c r="AP32" i="1"/>
  <c r="AP33" i="1"/>
  <c r="B39" i="1" l="1"/>
  <c r="G32" i="1" s="1"/>
  <c r="K32" i="1"/>
  <c r="Q32" i="1" s="1"/>
  <c r="I32" i="1"/>
  <c r="AR30" i="3" l="1"/>
  <c r="Q37" i="1"/>
  <c r="P37" i="1"/>
  <c r="R37" i="1"/>
  <c r="H32" i="1"/>
  <c r="J32" i="1"/>
  <c r="P32" i="1" s="1"/>
  <c r="L32" i="1"/>
  <c r="R32" i="1" s="1"/>
  <c r="O32" i="1"/>
  <c r="N32" i="1"/>
  <c r="U37" i="1"/>
  <c r="M32" i="1"/>
  <c r="P39" i="1" l="1"/>
  <c r="Q39" i="1"/>
  <c r="T37" i="1"/>
  <c r="S39" i="1"/>
  <c r="T39" i="1"/>
  <c r="S37" i="1"/>
  <c r="R39" i="1"/>
  <c r="U39" i="1"/>
  <c r="X39" i="1" l="1"/>
  <c r="AA39" i="1" s="1"/>
  <c r="X37" i="1"/>
  <c r="AA37" i="1" s="1"/>
  <c r="V39" i="1"/>
  <c r="Y39" i="1" s="1"/>
  <c r="V37" i="1"/>
  <c r="Y37" i="1" s="1"/>
  <c r="W39" i="1"/>
  <c r="Z39" i="1" s="1"/>
  <c r="W37" i="1"/>
  <c r="Z37" i="1" s="1"/>
  <c r="AD37" i="1" l="1"/>
  <c r="O42" i="1" s="1"/>
  <c r="AC37" i="1"/>
  <c r="N42" i="1" s="1"/>
  <c r="N34" i="1" s="1"/>
  <c r="AB37" i="1"/>
  <c r="M42" i="1" s="1"/>
  <c r="M34" i="1" s="1"/>
  <c r="AD39" i="1"/>
  <c r="K42" i="1" s="1"/>
  <c r="K34" i="1" s="1"/>
  <c r="AC39" i="1"/>
  <c r="J42" i="1" s="1"/>
  <c r="J34" i="1" s="1"/>
  <c r="AB39" i="1"/>
  <c r="I42" i="1" s="1"/>
  <c r="P42" i="1" l="1"/>
  <c r="H42" i="1"/>
  <c r="L18" i="1" l="1"/>
  <c r="L17" i="1"/>
  <c r="L16" i="1"/>
  <c r="J18" i="1"/>
  <c r="J17" i="1"/>
  <c r="J16" i="1"/>
  <c r="H18" i="1"/>
  <c r="H17" i="1"/>
  <c r="H16" i="1"/>
  <c r="F18" i="1"/>
  <c r="F17" i="1"/>
  <c r="F16" i="1"/>
  <c r="D18" i="1"/>
  <c r="D17" i="1"/>
  <c r="D16" i="1"/>
  <c r="L11" i="1"/>
  <c r="L10" i="1"/>
  <c r="L9" i="1"/>
  <c r="J11" i="1"/>
  <c r="J10" i="1"/>
  <c r="J9" i="1"/>
  <c r="H11" i="1"/>
  <c r="H10" i="1"/>
  <c r="H9" i="1"/>
  <c r="F9" i="1"/>
  <c r="F11" i="1"/>
  <c r="F10" i="1"/>
  <c r="D10" i="1"/>
  <c r="D11" i="1"/>
  <c r="D9" i="1"/>
  <c r="B19" i="1" l="1"/>
  <c r="L19" i="1"/>
  <c r="M19" i="1"/>
  <c r="C12" i="1"/>
  <c r="B12" i="1"/>
  <c r="M12" i="1" l="1"/>
  <c r="K12" i="1"/>
  <c r="I12" i="1"/>
  <c r="C19" i="1"/>
  <c r="I19" i="1"/>
  <c r="G19" i="1"/>
  <c r="E19" i="1"/>
  <c r="G12" i="1"/>
  <c r="E12" i="1"/>
  <c r="K19" i="1"/>
  <c r="AR33" i="1" l="1"/>
  <c r="AX33" i="1" s="1"/>
  <c r="AD5" i="1" l="1"/>
  <c r="AD12" i="1"/>
  <c r="AQ31" i="1"/>
  <c r="AW31" i="1" s="1"/>
  <c r="AR32" i="1" l="1"/>
  <c r="AX32" i="1" s="1"/>
  <c r="AB19" i="1" l="1"/>
  <c r="AB12" i="1"/>
  <c r="AQ30" i="1"/>
  <c r="AW30" i="1" s="1"/>
  <c r="AR31" i="1" l="1"/>
  <c r="AC11" i="1"/>
  <c r="AC18" i="1"/>
  <c r="AC4" i="1"/>
  <c r="AC12" i="1"/>
  <c r="AC19" i="1"/>
  <c r="AQ29" i="1" l="1"/>
  <c r="AW29" i="1" s="1"/>
  <c r="AX31" i="1"/>
  <c r="AB17" i="1"/>
  <c r="AB10" i="1"/>
  <c r="AB3" i="1"/>
  <c r="AB11" i="1"/>
  <c r="AB18" i="1"/>
  <c r="AB4" i="1"/>
  <c r="AA10" i="1"/>
  <c r="AA9" i="1"/>
  <c r="Z9" i="1"/>
  <c r="Z16" i="1"/>
  <c r="Z10" i="1"/>
  <c r="Z17" i="1"/>
  <c r="Z2" i="1"/>
  <c r="AR30" i="1" l="1"/>
  <c r="AX30" i="1" s="1"/>
  <c r="AA3" i="1"/>
  <c r="AA16" i="1"/>
  <c r="AA17" i="1"/>
  <c r="AH2" i="1" a="1"/>
  <c r="AI5" i="1" s="1"/>
  <c r="AH9" i="1" a="1"/>
  <c r="AH16" i="1" a="1"/>
  <c r="AJ6" i="1" l="1"/>
  <c r="AJ3" i="1"/>
  <c r="AL5" i="1"/>
  <c r="AL2" i="1"/>
  <c r="AI2" i="1"/>
  <c r="AJ5" i="1"/>
  <c r="AI4" i="1"/>
  <c r="AH2" i="1"/>
  <c r="AK2" i="1"/>
  <c r="AH3" i="1"/>
  <c r="AI3" i="1"/>
  <c r="AJ4" i="1"/>
  <c r="AH5" i="1"/>
  <c r="AL6" i="1"/>
  <c r="AI6" i="1"/>
  <c r="AK3" i="1"/>
  <c r="AL3" i="1"/>
  <c r="AK4" i="1"/>
  <c r="AH4" i="1"/>
  <c r="AL4" i="1"/>
  <c r="AJ2" i="1"/>
  <c r="AK6" i="1"/>
  <c r="AK5" i="1"/>
  <c r="AH6" i="1"/>
  <c r="AL9" i="1"/>
  <c r="AI10" i="1"/>
  <c r="AI11" i="1"/>
  <c r="AK9" i="1"/>
  <c r="AJ12" i="1"/>
  <c r="AK13" i="1"/>
  <c r="AK10" i="1"/>
  <c r="AJ13" i="1"/>
  <c r="AK11" i="1"/>
  <c r="AH11" i="1"/>
  <c r="AL11" i="1"/>
  <c r="AI12" i="1"/>
  <c r="AJ9" i="1"/>
  <c r="AL13" i="1"/>
  <c r="AH10" i="1"/>
  <c r="AI9" i="1"/>
  <c r="AJ10" i="1"/>
  <c r="AL12" i="1"/>
  <c r="AH13" i="1"/>
  <c r="AJ11" i="1"/>
  <c r="AI13" i="1"/>
  <c r="AK12" i="1"/>
  <c r="AL10" i="1"/>
  <c r="AH9" i="1"/>
  <c r="AH12" i="1"/>
  <c r="AH16" i="1"/>
  <c r="AH17" i="1"/>
  <c r="AH20" i="1"/>
  <c r="AK16" i="1"/>
  <c r="AK20" i="1"/>
  <c r="AL19" i="1"/>
  <c r="AI19" i="1"/>
  <c r="AJ17" i="1"/>
  <c r="AI16" i="1"/>
  <c r="AK17" i="1"/>
  <c r="AH19" i="1"/>
  <c r="AJ18" i="1"/>
  <c r="AL17" i="1"/>
  <c r="AL16" i="1"/>
  <c r="AL18" i="1"/>
  <c r="AH18" i="1"/>
  <c r="AJ20" i="1"/>
  <c r="AL20" i="1"/>
  <c r="AK19" i="1"/>
  <c r="AI17" i="1"/>
  <c r="AI20" i="1"/>
  <c r="AK18" i="1"/>
  <c r="AJ19" i="1"/>
  <c r="AJ16" i="1"/>
  <c r="AI18" i="1"/>
  <c r="AN2" i="1" l="1" a="1"/>
  <c r="AN6" i="1" s="1"/>
  <c r="AD33" i="1" s="1"/>
  <c r="AN9" i="1" a="1"/>
  <c r="AN16" i="1" a="1"/>
  <c r="AN4" i="1" l="1"/>
  <c r="AD31" i="1" s="1"/>
  <c r="AN5" i="1"/>
  <c r="AD32" i="1" s="1"/>
  <c r="AN3" i="1"/>
  <c r="AD30" i="1" s="1"/>
  <c r="AN2" i="1"/>
  <c r="AD29" i="1" s="1"/>
  <c r="AN10" i="1"/>
  <c r="AE30" i="1" s="1"/>
  <c r="AN12" i="1"/>
  <c r="AE32" i="1" s="1"/>
  <c r="AN9" i="1"/>
  <c r="AE29" i="1" s="1"/>
  <c r="AN11" i="1"/>
  <c r="AE31" i="1" s="1"/>
  <c r="AN13" i="1"/>
  <c r="AE33" i="1" s="1"/>
  <c r="AN19" i="1"/>
  <c r="AF32" i="1" s="1"/>
  <c r="AN17" i="1"/>
  <c r="AF30" i="1" s="1"/>
  <c r="AN20" i="1"/>
  <c r="AF33" i="1" s="1"/>
  <c r="AN16" i="1"/>
  <c r="AF29" i="1" s="1"/>
  <c r="AN18" i="1"/>
  <c r="AF31" i="1" s="1"/>
</calcChain>
</file>

<file path=xl/sharedStrings.xml><?xml version="1.0" encoding="utf-8"?>
<sst xmlns="http://schemas.openxmlformats.org/spreadsheetml/2006/main" count="376" uniqueCount="153">
  <si>
    <t>A</t>
  </si>
  <si>
    <t>B</t>
  </si>
  <si>
    <t>C</t>
  </si>
  <si>
    <t>MTBE</t>
  </si>
  <si>
    <t>Methanol</t>
  </si>
  <si>
    <t>[BMIM][HSO4]</t>
  </si>
  <si>
    <t>Kontakt</t>
  </si>
  <si>
    <t>∑n</t>
  </si>
  <si>
    <t>F</t>
  </si>
  <si>
    <t>R1</t>
  </si>
  <si>
    <t>R2</t>
  </si>
  <si>
    <t>R3</t>
  </si>
  <si>
    <t>R4</t>
  </si>
  <si>
    <t>R5</t>
  </si>
  <si>
    <t>E1</t>
  </si>
  <si>
    <t>E2</t>
  </si>
  <si>
    <t>E3</t>
  </si>
  <si>
    <t>E4</t>
  </si>
  <si>
    <t>E5</t>
  </si>
  <si>
    <t>S</t>
  </si>
  <si>
    <t>A(zlozka A)</t>
  </si>
  <si>
    <t>A(zlozka B)</t>
  </si>
  <si>
    <t>A(zlozka C)</t>
  </si>
  <si>
    <t>psB</t>
  </si>
  <si>
    <t>psA</t>
  </si>
  <si>
    <t>psC</t>
  </si>
  <si>
    <t>n</t>
  </si>
  <si>
    <t>xi</t>
  </si>
  <si>
    <t>inverz</t>
  </si>
  <si>
    <t>xA</t>
  </si>
  <si>
    <t>xB</t>
  </si>
  <si>
    <t>xC</t>
  </si>
  <si>
    <t>'=xe/xr</t>
  </si>
  <si>
    <t>A+B+C</t>
  </si>
  <si>
    <r>
      <t>MTBE (1) + methanol (2) + [BMIM][HSO</t>
    </r>
    <r>
      <rPr>
        <b/>
        <sz val="8"/>
        <color rgb="FF1F1F1F"/>
        <rFont val="Georgia"/>
        <family val="1"/>
      </rPr>
      <t>4</t>
    </r>
    <r>
      <rPr>
        <b/>
        <sz val="11"/>
        <color rgb="FF1F1F1F"/>
        <rFont val="Georgia"/>
        <family val="1"/>
      </rPr>
      <t>] (3) at 318.15 K</t>
    </r>
  </si>
  <si>
    <t>1–2</t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</si>
  <si>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</si>
  <si>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</si>
  <si>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τ</t>
    </r>
    <r>
      <rPr>
        <b/>
        <vertAlign val="subscript"/>
        <sz val="11"/>
        <color rgb="FF000000"/>
        <rFont val="Calibri"/>
        <family val="2"/>
      </rPr>
      <t>13</t>
    </r>
  </si>
  <si>
    <r>
      <t>τ</t>
    </r>
    <r>
      <rPr>
        <b/>
        <vertAlign val="subscript"/>
        <sz val="11"/>
        <color rgb="FF000000"/>
        <rFont val="Calibri"/>
        <family val="2"/>
      </rPr>
      <t>31</t>
    </r>
  </si>
  <si>
    <r>
      <t>τ</t>
    </r>
    <r>
      <rPr>
        <b/>
        <vertAlign val="subscript"/>
        <sz val="11"/>
        <color rgb="FF000000"/>
        <rFont val="Calibri"/>
        <family val="2"/>
      </rPr>
      <t>23</t>
    </r>
  </si>
  <si>
    <r>
      <t>τ</t>
    </r>
    <r>
      <rPr>
        <b/>
        <vertAlign val="subscript"/>
        <sz val="11"/>
        <color rgb="FF000000"/>
        <rFont val="Calibri"/>
        <family val="2"/>
      </rPr>
      <t>32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</si>
  <si>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</si>
  <si>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</si>
  <si>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</si>
  <si>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</si>
  <si>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</si>
  <si>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</si>
  <si>
    <t>1–3</t>
  </si>
  <si>
    <t>2–3</t>
  </si>
  <si>
    <r>
      <t>i</t>
    </r>
    <r>
      <rPr>
        <b/>
        <sz val="11"/>
        <color rgb="FF1F1F1F"/>
        <rFont val="Georgia"/>
        <family val="1"/>
      </rPr>
      <t>–</t>
    </r>
    <r>
      <rPr>
        <b/>
        <i/>
        <sz val="11"/>
        <color rgb="FF1F1F1F"/>
        <rFont val="Georgia"/>
        <family val="1"/>
      </rPr>
      <t>j</t>
    </r>
  </si>
  <si>
    <r>
      <t>Δgij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</si>
  <si>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r>
      <t>Δgji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</si>
  <si>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t>rmsd</t>
  </si>
  <si>
    <t>α</t>
  </si>
  <si>
    <t>NRTL parameters</t>
  </si>
  <si>
    <t>x1.1</t>
  </si>
  <si>
    <t>x2.1</t>
  </si>
  <si>
    <t>x3.1</t>
  </si>
  <si>
    <t>x1.2</t>
  </si>
  <si>
    <t>x2.2</t>
  </si>
  <si>
    <t>x3.3</t>
  </si>
  <si>
    <r>
      <t>φ</t>
    </r>
    <r>
      <rPr>
        <b/>
        <vertAlign val="subscript"/>
        <sz val="11"/>
        <color rgb="FF000000"/>
        <rFont val="Calibri"/>
        <family val="2"/>
      </rPr>
      <t>1.1</t>
    </r>
  </si>
  <si>
    <r>
      <t>φ</t>
    </r>
    <r>
      <rPr>
        <b/>
        <vertAlign val="subscript"/>
        <sz val="11"/>
        <color rgb="FF000000"/>
        <rFont val="Calibri"/>
        <family val="2"/>
      </rPr>
      <t>2.1</t>
    </r>
  </si>
  <si>
    <r>
      <t>φ</t>
    </r>
    <r>
      <rPr>
        <b/>
        <vertAlign val="subscript"/>
        <sz val="11"/>
        <color rgb="FF000000"/>
        <rFont val="Calibri"/>
        <family val="2"/>
      </rPr>
      <t>3.1</t>
    </r>
  </si>
  <si>
    <r>
      <t>θ</t>
    </r>
    <r>
      <rPr>
        <b/>
        <vertAlign val="subscript"/>
        <sz val="11"/>
        <color rgb="FF000000"/>
        <rFont val="Calibri"/>
        <family val="2"/>
      </rPr>
      <t>1.1</t>
    </r>
  </si>
  <si>
    <r>
      <t>θ</t>
    </r>
    <r>
      <rPr>
        <b/>
        <vertAlign val="subscript"/>
        <sz val="11"/>
        <color rgb="FF000000"/>
        <rFont val="Calibri"/>
        <family val="2"/>
      </rPr>
      <t>2.1</t>
    </r>
  </si>
  <si>
    <r>
      <t>θ</t>
    </r>
    <r>
      <rPr>
        <b/>
        <vertAlign val="subscript"/>
        <sz val="11"/>
        <color rgb="FF000000"/>
        <rFont val="Calibri"/>
        <family val="2"/>
      </rPr>
      <t>3.1</t>
    </r>
  </si>
  <si>
    <t>lnγ1.1</t>
  </si>
  <si>
    <t>lnγ2.1</t>
  </si>
  <si>
    <t>lnγ3.1</t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</si>
  <si>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1.1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</si>
  <si>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2.1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</si>
  <si>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3.1</t>
    </r>
  </si>
  <si>
    <t>γ1.1/γ1.2</t>
  </si>
  <si>
    <t>γ2.1/γ2.2</t>
  </si>
  <si>
    <t>γ3.1/γ3.2</t>
  </si>
  <si>
    <r>
      <t>φ</t>
    </r>
    <r>
      <rPr>
        <b/>
        <vertAlign val="subscript"/>
        <sz val="11"/>
        <color rgb="FF000000"/>
        <rFont val="Calibri"/>
        <family val="2"/>
      </rPr>
      <t>1.2</t>
    </r>
  </si>
  <si>
    <r>
      <t>φ</t>
    </r>
    <r>
      <rPr>
        <b/>
        <vertAlign val="subscript"/>
        <sz val="11"/>
        <color rgb="FF000000"/>
        <rFont val="Calibri"/>
        <family val="2"/>
      </rPr>
      <t>2.2</t>
    </r>
  </si>
  <si>
    <r>
      <t>φ</t>
    </r>
    <r>
      <rPr>
        <b/>
        <vertAlign val="subscript"/>
        <sz val="11"/>
        <color rgb="FF000000"/>
        <rFont val="Calibri"/>
        <family val="2"/>
      </rPr>
      <t>3.2</t>
    </r>
  </si>
  <si>
    <r>
      <t>θ</t>
    </r>
    <r>
      <rPr>
        <b/>
        <vertAlign val="subscript"/>
        <sz val="11"/>
        <color rgb="FF000000"/>
        <rFont val="Calibri"/>
        <family val="2"/>
      </rPr>
      <t>1.2</t>
    </r>
  </si>
  <si>
    <r>
      <t>θ</t>
    </r>
    <r>
      <rPr>
        <b/>
        <vertAlign val="subscript"/>
        <sz val="11"/>
        <color rgb="FF000000"/>
        <rFont val="Calibri"/>
        <family val="2"/>
      </rPr>
      <t>2.2</t>
    </r>
  </si>
  <si>
    <r>
      <t>θ</t>
    </r>
    <r>
      <rPr>
        <b/>
        <vertAlign val="subscript"/>
        <sz val="11"/>
        <color rgb="FF000000"/>
        <rFont val="Calibri"/>
        <family val="2"/>
      </rPr>
      <t>3.2</t>
    </r>
  </si>
  <si>
    <t>lnγ1.2</t>
  </si>
  <si>
    <t>lnγ2.2</t>
  </si>
  <si>
    <t>lnγ3.2</t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</si>
  <si>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1.2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</si>
  <si>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2.2</t>
    </r>
  </si>
  <si>
    <r>
      <rPr>
        <b/>
        <sz val="11"/>
        <color rgb="FF000000"/>
        <rFont val="Times New Roman"/>
        <family val="1"/>
      </rPr>
      <t>γ</t>
    </r>
    <r>
      <rPr>
        <b/>
        <vertAlign val="subscript"/>
        <sz val="11"/>
        <color rgb="FF000000"/>
        <rFont val="Calibri"/>
        <family val="2"/>
      </rPr>
      <t>3.2</t>
    </r>
  </si>
  <si>
    <t>γ1.2/γ1.1</t>
  </si>
  <si>
    <t>γ2.2/γ2.1</t>
  </si>
  <si>
    <t>γ3.2/γ3.1</t>
  </si>
  <si>
    <t>R</t>
  </si>
  <si>
    <t>kJ.mol^-1.K^-1</t>
  </si>
  <si>
    <t>T</t>
  </si>
  <si>
    <t>K</t>
  </si>
  <si>
    <t>Σxi</t>
  </si>
  <si>
    <t>kA</t>
  </si>
  <si>
    <t>kB</t>
  </si>
  <si>
    <t>kC</t>
  </si>
  <si>
    <t>-</t>
  </si>
  <si>
    <t>Meth</t>
  </si>
  <si>
    <t>Ils</t>
  </si>
  <si>
    <t>xRA</t>
  </si>
  <si>
    <t>xRB</t>
  </si>
  <si>
    <t>xRC</t>
  </si>
  <si>
    <t>xEA</t>
  </si>
  <si>
    <t>xEB</t>
  </si>
  <si>
    <t>xEC</t>
  </si>
  <si>
    <t>nR</t>
  </si>
  <si>
    <t>nE</t>
  </si>
  <si>
    <t>∑xRi</t>
  </si>
  <si>
    <t>∑xEi</t>
  </si>
  <si>
    <t>nastrel</t>
  </si>
  <si>
    <t>step</t>
  </si>
  <si>
    <t>MTBE (1) + methanol (2) + [BMIM][HSO4] (3) at 318.15 K</t>
  </si>
  <si>
    <t>τ12</t>
  </si>
  <si>
    <t>τ21</t>
  </si>
  <si>
    <t>τ13</t>
  </si>
  <si>
    <t>τ31</t>
  </si>
  <si>
    <t>τ23</t>
  </si>
  <si>
    <t>τ32</t>
  </si>
  <si>
    <t>G12</t>
  </si>
  <si>
    <t>G21</t>
  </si>
  <si>
    <t>G13</t>
  </si>
  <si>
    <t>G31</t>
  </si>
  <si>
    <t>G23</t>
  </si>
  <si>
    <t>G32</t>
  </si>
  <si>
    <t>i–j</t>
  </si>
  <si>
    <t>Δgij(kJ·mol−1)</t>
  </si>
  <si>
    <t>Δgji(kJ·mol−1)</t>
  </si>
  <si>
    <t>φ1.1</t>
  </si>
  <si>
    <t>φ2.1</t>
  </si>
  <si>
    <t>φ3.1</t>
  </si>
  <si>
    <t>θ1.1</t>
  </si>
  <si>
    <t>θ2.1</t>
  </si>
  <si>
    <t>θ3.1</t>
  </si>
  <si>
    <t>γ1.1</t>
  </si>
  <si>
    <t>γ2.1</t>
  </si>
  <si>
    <t>γ3.1</t>
  </si>
  <si>
    <t>φ1.2</t>
  </si>
  <si>
    <t>φ2.2</t>
  </si>
  <si>
    <t>φ3.2</t>
  </si>
  <si>
    <t>θ1.2</t>
  </si>
  <si>
    <t>θ2.2</t>
  </si>
  <si>
    <t>θ3.2</t>
  </si>
  <si>
    <t>γ1.2</t>
  </si>
  <si>
    <t>γ2.2</t>
  </si>
  <si>
    <t>γ3.2</t>
  </si>
  <si>
    <t>Vysledne</t>
  </si>
  <si>
    <t>XA</t>
  </si>
  <si>
    <t>XB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</si>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</sst>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00"/>
    <numFmt numFmtId="166" formatCode="0.000000"/>
    <numFmt numFmtId="168" formatCode="0.0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1F1F1F"/>
      <name val="Georgia"/>
      <family val="1"/>
    </font>
    <font>
      <b/>
      <sz val="8"/>
      <color rgb="FF1F1F1F"/>
      <name val="Georgia"/>
      <family val="1"/>
    </font>
    <font>
      <sz val="11"/>
      <color rgb="FF1F1F1F"/>
      <name val="Georgia"/>
      <family val="1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i/>
      <sz val="11"/>
      <color rgb="FF1F1F1F"/>
      <name val="Georgia"/>
      <family val="1"/>
    </font>
    <font>
      <sz val="10"/>
      <color rgb="FF1F1F1F"/>
      <name val="Georgia"/>
      <family val="1"/>
    </font>
    <font>
      <b/>
      <sz val="11"/>
      <color rgb="FF000000"/>
      <name val="Times New Roman"/>
      <family val="1"/>
    </font>
    <font>
      <sz val="11"/>
      <color rgb="FF7030A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8E8E8E"/>
      </top>
      <bottom/>
      <diagonal/>
    </border>
    <border>
      <left/>
      <right/>
      <top/>
      <bottom style="medium">
        <color rgb="FF8E8E8E"/>
      </bottom>
      <diagonal/>
    </border>
    <border>
      <left/>
      <right/>
      <top style="medium">
        <color rgb="FF8E8E8E"/>
      </top>
      <bottom style="medium">
        <color rgb="FF8E8E8E"/>
      </bottom>
      <diagonal/>
    </border>
  </borders>
  <cellStyleXfs count="2">
    <xf numFmtId="0" fontId="0" fillId="0" borderId="0"/>
    <xf numFmtId="0" fontId="4" fillId="0" borderId="0"/>
  </cellStyleXfs>
  <cellXfs count="13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1" fillId="0" borderId="1" xfId="0" applyFont="1" applyBorder="1"/>
    <xf numFmtId="0" fontId="1" fillId="0" borderId="10" xfId="0" applyFont="1" applyBorder="1"/>
    <xf numFmtId="0" fontId="1" fillId="0" borderId="13" xfId="0" applyFont="1" applyBorder="1"/>
    <xf numFmtId="0" fontId="1" fillId="0" borderId="5" xfId="0" applyFont="1" applyBorder="1"/>
    <xf numFmtId="0" fontId="2" fillId="0" borderId="13" xfId="0" applyFont="1" applyBorder="1"/>
    <xf numFmtId="0" fontId="1" fillId="0" borderId="15" xfId="0" applyFont="1" applyBorder="1"/>
    <xf numFmtId="0" fontId="0" fillId="0" borderId="0" xfId="0" quotePrefix="1"/>
    <xf numFmtId="2" fontId="0" fillId="0" borderId="6" xfId="0" applyNumberFormat="1" applyBorder="1"/>
    <xf numFmtId="164" fontId="3" fillId="0" borderId="0" xfId="0" applyNumberFormat="1" applyFont="1"/>
    <xf numFmtId="0" fontId="7" fillId="0" borderId="16" xfId="0" applyFont="1" applyBorder="1" applyAlignment="1">
      <alignment horizontal="left" vertical="center" wrapText="1"/>
    </xf>
    <xf numFmtId="164" fontId="7" fillId="0" borderId="16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164" fontId="0" fillId="0" borderId="0" xfId="0" applyNumberFormat="1"/>
    <xf numFmtId="0" fontId="7" fillId="0" borderId="17" xfId="0" applyFont="1" applyBorder="1" applyAlignment="1">
      <alignment horizontal="left" vertical="center" wrapText="1"/>
    </xf>
    <xf numFmtId="164" fontId="7" fillId="0" borderId="17" xfId="0" applyNumberFormat="1" applyFont="1" applyBorder="1" applyAlignment="1">
      <alignment horizontal="left" vertical="center" wrapText="1"/>
    </xf>
    <xf numFmtId="0" fontId="0" fillId="0" borderId="17" xfId="0" applyBorder="1"/>
    <xf numFmtId="0" fontId="11" fillId="0" borderId="1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3" xfId="1" applyFont="1" applyFill="1" applyBorder="1" applyAlignment="1">
      <alignment horizontal="center" vertical="center"/>
    </xf>
    <xf numFmtId="0" fontId="8" fillId="0" borderId="14" xfId="1" applyFont="1" applyFill="1" applyBorder="1" applyAlignment="1">
      <alignment horizontal="center" vertical="center"/>
    </xf>
    <xf numFmtId="0" fontId="8" fillId="0" borderId="15" xfId="1" applyFont="1" applyFill="1" applyBorder="1" applyAlignment="1">
      <alignment horizontal="center" vertical="center"/>
    </xf>
    <xf numFmtId="164" fontId="13" fillId="0" borderId="0" xfId="0" applyNumberFormat="1" applyFont="1"/>
    <xf numFmtId="0" fontId="1" fillId="0" borderId="0" xfId="0" applyFont="1"/>
    <xf numFmtId="0" fontId="14" fillId="0" borderId="1" xfId="0" applyFont="1" applyBorder="1"/>
    <xf numFmtId="165" fontId="0" fillId="0" borderId="0" xfId="0" applyNumberFormat="1"/>
    <xf numFmtId="0" fontId="1" fillId="0" borderId="0" xfId="0" applyFont="1" applyBorder="1"/>
    <xf numFmtId="0" fontId="14" fillId="0" borderId="15" xfId="0" applyFont="1" applyBorder="1"/>
    <xf numFmtId="0" fontId="15" fillId="0" borderId="0" xfId="0" applyFont="1"/>
    <xf numFmtId="164" fontId="15" fillId="0" borderId="0" xfId="0" applyNumberFormat="1" applyFont="1"/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4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3" xfId="0" applyFont="1" applyBorder="1"/>
    <xf numFmtId="0" fontId="3" fillId="0" borderId="0" xfId="0" applyFont="1" applyBorder="1"/>
    <xf numFmtId="0" fontId="3" fillId="0" borderId="8" xfId="0" applyFont="1" applyBorder="1"/>
    <xf numFmtId="0" fontId="0" fillId="0" borderId="0" xfId="0" applyNumberFormat="1"/>
    <xf numFmtId="164" fontId="0" fillId="0" borderId="2" xfId="0" applyNumberFormat="1" applyFill="1" applyBorder="1"/>
    <xf numFmtId="164" fontId="0" fillId="0" borderId="3" xfId="0" applyNumberFormat="1" applyFill="1" applyBorder="1"/>
    <xf numFmtId="164" fontId="0" fillId="0" borderId="4" xfId="0" applyNumberFormat="1" applyFill="1" applyBorder="1"/>
    <xf numFmtId="164" fontId="0" fillId="0" borderId="5" xfId="0" applyNumberFormat="1" applyFill="1" applyBorder="1"/>
    <xf numFmtId="164" fontId="0" fillId="0" borderId="0" xfId="0" applyNumberFormat="1" applyFill="1" applyBorder="1"/>
    <xf numFmtId="164" fontId="0" fillId="0" borderId="6" xfId="0" applyNumberFormat="1" applyFill="1" applyBorder="1"/>
    <xf numFmtId="164" fontId="0" fillId="0" borderId="7" xfId="0" applyNumberFormat="1" applyFill="1" applyBorder="1"/>
    <xf numFmtId="164" fontId="0" fillId="0" borderId="8" xfId="0" applyNumberFormat="1" applyFill="1" applyBorder="1"/>
    <xf numFmtId="164" fontId="0" fillId="0" borderId="9" xfId="0" applyNumberFormat="1" applyFill="1" applyBorder="1"/>
    <xf numFmtId="2" fontId="0" fillId="0" borderId="0" xfId="0" applyNumberFormat="1"/>
    <xf numFmtId="2" fontId="0" fillId="0" borderId="9" xfId="0" applyNumberFormat="1" applyBorder="1"/>
    <xf numFmtId="2" fontId="0" fillId="0" borderId="5" xfId="0" applyNumberFormat="1" applyBorder="1"/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8" xfId="0" applyNumberFormat="1" applyBorder="1"/>
    <xf numFmtId="2" fontId="0" fillId="0" borderId="0" xfId="0" applyNumberFormat="1" applyBorder="1"/>
    <xf numFmtId="0" fontId="13" fillId="0" borderId="0" xfId="0" applyNumberFormat="1" applyFont="1"/>
    <xf numFmtId="0" fontId="0" fillId="0" borderId="5" xfId="0" applyFill="1" applyBorder="1"/>
    <xf numFmtId="0" fontId="0" fillId="0" borderId="6" xfId="0" applyFill="1" applyBorder="1"/>
    <xf numFmtId="166" fontId="0" fillId="0" borderId="2" xfId="0" applyNumberFormat="1" applyBorder="1"/>
    <xf numFmtId="166" fontId="0" fillId="0" borderId="3" xfId="0" applyNumberFormat="1" applyBorder="1"/>
    <xf numFmtId="166" fontId="0" fillId="0" borderId="4" xfId="0" applyNumberFormat="1" applyBorder="1"/>
    <xf numFmtId="166" fontId="0" fillId="0" borderId="5" xfId="0" applyNumberFormat="1" applyBorder="1"/>
    <xf numFmtId="166" fontId="0" fillId="0" borderId="0" xfId="0" applyNumberFormat="1" applyBorder="1"/>
    <xf numFmtId="166" fontId="0" fillId="0" borderId="6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2" fontId="0" fillId="0" borderId="13" xfId="0" applyNumberFormat="1" applyBorder="1"/>
    <xf numFmtId="0" fontId="3" fillId="0" borderId="10" xfId="0" applyNumberFormat="1" applyFont="1" applyBorder="1"/>
    <xf numFmtId="0" fontId="3" fillId="0" borderId="11" xfId="0" applyNumberFormat="1" applyFont="1" applyBorder="1"/>
    <xf numFmtId="0" fontId="3" fillId="0" borderId="12" xfId="0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11" xfId="0" applyNumberFormat="1" applyBorder="1"/>
    <xf numFmtId="2" fontId="0" fillId="0" borderId="7" xfId="0" applyNumberFormat="1" applyBorder="1"/>
    <xf numFmtId="2" fontId="0" fillId="0" borderId="12" xfId="0" applyNumberFormat="1" applyBorder="1"/>
    <xf numFmtId="2" fontId="0" fillId="0" borderId="10" xfId="0" applyNumberFormat="1" applyBorder="1"/>
    <xf numFmtId="0" fontId="1" fillId="0" borderId="11" xfId="0" applyFont="1" applyBorder="1"/>
    <xf numFmtId="0" fontId="1" fillId="0" borderId="12" xfId="0" applyFont="1" applyBorder="1"/>
    <xf numFmtId="0" fontId="1" fillId="0" borderId="14" xfId="0" applyFont="1" applyBorder="1"/>
    <xf numFmtId="0" fontId="1" fillId="0" borderId="0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14" xfId="0" applyFont="1" applyBorder="1"/>
    <xf numFmtId="0" fontId="0" fillId="0" borderId="5" xfId="0" applyNumberFormat="1" applyBorder="1"/>
    <xf numFmtId="0" fontId="1" fillId="0" borderId="9" xfId="0" applyFont="1" applyBorder="1"/>
    <xf numFmtId="168" fontId="0" fillId="0" borderId="0" xfId="0" applyNumberFormat="1"/>
    <xf numFmtId="168" fontId="0" fillId="0" borderId="6" xfId="0" applyNumberFormat="1" applyBorder="1"/>
    <xf numFmtId="0" fontId="0" fillId="0" borderId="6" xfId="0" applyNumberFormat="1" applyBorder="1"/>
    <xf numFmtId="164" fontId="0" fillId="0" borderId="5" xfId="0" applyNumberFormat="1" applyBorder="1"/>
  </cellXfs>
  <cellStyles count="2">
    <cellStyle name="Normal 2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123825</xdr:colOff>
          <xdr:row>38</xdr:row>
          <xdr:rowOff>9525</xdr:rowOff>
        </xdr:from>
        <xdr:to>
          <xdr:col>8</xdr:col>
          <xdr:colOff>76200</xdr:colOff>
          <xdr:row>39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NRTL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38</xdr:row>
          <xdr:rowOff>9525</xdr:rowOff>
        </xdr:from>
        <xdr:to>
          <xdr:col>7</xdr:col>
          <xdr:colOff>590550</xdr:colOff>
          <xdr:row>39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NRTL</a:t>
              </a:r>
              <a:endParaRPr lang="sk-SK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38</xdr:row>
          <xdr:rowOff>9525</xdr:rowOff>
        </xdr:from>
        <xdr:to>
          <xdr:col>7</xdr:col>
          <xdr:colOff>590550</xdr:colOff>
          <xdr:row>39</xdr:row>
          <xdr:rowOff>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NRTL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TBE-methano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BMIM+MTBE LLE"/>
      <sheetName val="BMIM wi=xi"/>
      <sheetName val="MIM"/>
      <sheetName val="MIM LLE"/>
    </sheetNames>
    <definedNames>
      <definedName name="NRT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Worksheet____1"/>
  <dimension ref="A1:AY42"/>
  <sheetViews>
    <sheetView tabSelected="1" zoomScale="85" zoomScaleNormal="85" workbookViewId="0">
      <selection activeCell="Q23" sqref="Q23"/>
    </sheetView>
  </sheetViews>
  <sheetFormatPr defaultRowHeight="15" x14ac:dyDescent="0.25"/>
  <cols>
    <col min="25" max="25" width="13.42578125" bestFit="1" customWidth="1"/>
    <col min="31" max="31" width="10" bestFit="1" customWidth="1"/>
    <col min="36" max="36" width="11" bestFit="1" customWidth="1"/>
    <col min="44" max="44" width="11" bestFit="1" customWidth="1"/>
  </cols>
  <sheetData>
    <row r="1" spans="1:51" ht="15.75" thickBot="1" x14ac:dyDescent="0.3">
      <c r="P1" s="101" t="s">
        <v>27</v>
      </c>
      <c r="Q1" s="102"/>
      <c r="R1" s="103"/>
      <c r="S1" s="10" t="s">
        <v>26</v>
      </c>
      <c r="V1" t="s">
        <v>32</v>
      </c>
      <c r="Z1">
        <v>1</v>
      </c>
      <c r="AA1">
        <v>2</v>
      </c>
      <c r="AB1">
        <v>3</v>
      </c>
      <c r="AC1">
        <v>4</v>
      </c>
      <c r="AD1">
        <v>5</v>
      </c>
      <c r="AE1" s="18" t="s">
        <v>24</v>
      </c>
      <c r="AG1" s="17" t="s">
        <v>28</v>
      </c>
      <c r="AN1" s="17" t="s">
        <v>29</v>
      </c>
    </row>
    <row r="2" spans="1:51" ht="15.75" thickBot="1" x14ac:dyDescent="0.3">
      <c r="A2" t="s">
        <v>0</v>
      </c>
      <c r="B2" t="s">
        <v>3</v>
      </c>
      <c r="D2" s="23"/>
      <c r="E2" s="23"/>
      <c r="F2" s="23"/>
      <c r="G2" s="23"/>
      <c r="H2" s="23"/>
      <c r="I2" s="23"/>
      <c r="J2" s="23"/>
      <c r="K2" s="23"/>
      <c r="L2" s="23"/>
      <c r="P2" s="16" t="s">
        <v>0</v>
      </c>
      <c r="Q2" s="14" t="s">
        <v>1</v>
      </c>
      <c r="R2" s="15" t="s">
        <v>2</v>
      </c>
      <c r="S2" s="13" t="s">
        <v>33</v>
      </c>
      <c r="U2" s="16" t="s">
        <v>97</v>
      </c>
      <c r="V2" s="14" t="s">
        <v>98</v>
      </c>
      <c r="W2" s="15" t="s">
        <v>99</v>
      </c>
      <c r="Y2" s="17" t="s">
        <v>20</v>
      </c>
      <c r="Z2" s="1">
        <f>S$9*$U$4+S$4</f>
        <v>10.498446542265782</v>
      </c>
      <c r="AA2" s="2">
        <f>-$S$10*$U$5</f>
        <v>-8.9830636337970754E-2</v>
      </c>
      <c r="AB2" s="2">
        <v>0</v>
      </c>
      <c r="AC2" s="2">
        <v>0</v>
      </c>
      <c r="AD2" s="2">
        <v>0</v>
      </c>
      <c r="AE2" s="11">
        <f>$S$3*$P$3</f>
        <v>8.75</v>
      </c>
      <c r="AH2" s="1">
        <f t="array" ref="AH2:AL6">MINVERSE(Z2:AD6)</f>
        <v>9.621184118066653E-2</v>
      </c>
      <c r="AI2" s="2">
        <v>1.0794588396057581E-3</v>
      </c>
      <c r="AJ2" s="2">
        <v>3.2434282005122973E-6</v>
      </c>
      <c r="AK2" s="2">
        <v>8.1351927627769204E-9</v>
      </c>
      <c r="AL2" s="3">
        <v>2.0014142833190158E-11</v>
      </c>
      <c r="AN2" s="54">
        <f t="array" ref="AN2:AN6">MMULT(AH2:AL6,AE2:AE6)</f>
        <v>0.84185361033083217</v>
      </c>
    </row>
    <row r="3" spans="1:51" x14ac:dyDescent="0.25">
      <c r="A3" t="s">
        <v>1</v>
      </c>
      <c r="B3" t="s">
        <v>4</v>
      </c>
      <c r="D3" s="23"/>
      <c r="E3" s="23"/>
      <c r="F3" s="23"/>
      <c r="G3" s="23"/>
      <c r="H3" s="23"/>
      <c r="I3" s="23"/>
      <c r="J3" s="23"/>
      <c r="K3" s="23"/>
      <c r="L3" s="23"/>
      <c r="O3" s="11" t="s">
        <v>8</v>
      </c>
      <c r="P3" s="66">
        <f>AQ24</f>
        <v>0.35</v>
      </c>
      <c r="Q3" s="66">
        <f t="shared" ref="Q3:R3" si="0">AR24</f>
        <v>0.65</v>
      </c>
      <c r="R3" s="66">
        <f t="shared" si="0"/>
        <v>0</v>
      </c>
      <c r="S3" s="116">
        <f>AP24</f>
        <v>25</v>
      </c>
      <c r="U3" s="110" t="s">
        <v>100</v>
      </c>
      <c r="V3" s="111" t="s">
        <v>100</v>
      </c>
      <c r="W3" s="112" t="s">
        <v>100</v>
      </c>
      <c r="Z3" s="77">
        <f>-$S$4</f>
        <v>-9.3332612588292125</v>
      </c>
      <c r="AA3" s="5">
        <f>$S$10*$U$5+$S$5</f>
        <v>8.030436533150132</v>
      </c>
      <c r="AB3" s="5">
        <f>-$S$11*$U$6</f>
        <v>-2.3469369354286139E-2</v>
      </c>
      <c r="AC3" s="5">
        <v>0</v>
      </c>
      <c r="AD3" s="5">
        <v>0</v>
      </c>
      <c r="AE3" s="12">
        <v>0</v>
      </c>
      <c r="AH3" s="4">
        <v>0.11215406879996223</v>
      </c>
      <c r="AI3" s="5">
        <v>0.12615563447129985</v>
      </c>
      <c r="AJ3" s="5">
        <v>3.7905729008358993E-4</v>
      </c>
      <c r="AK3" s="5">
        <v>9.5075455115016375E-7</v>
      </c>
      <c r="AL3" s="6">
        <v>2.3390395213609724E-9</v>
      </c>
      <c r="AN3" s="55">
        <v>0.98134810199966949</v>
      </c>
      <c r="AV3" s="25"/>
      <c r="AW3" s="25"/>
      <c r="AX3" s="25"/>
      <c r="AY3" s="25"/>
    </row>
    <row r="4" spans="1:51" x14ac:dyDescent="0.25">
      <c r="A4" t="s">
        <v>2</v>
      </c>
      <c r="B4" t="s">
        <v>5</v>
      </c>
      <c r="D4" s="23"/>
      <c r="E4" s="23"/>
      <c r="F4" s="23"/>
      <c r="G4" s="23"/>
      <c r="H4" s="23"/>
      <c r="I4" s="23"/>
      <c r="J4" s="23"/>
      <c r="K4" s="23"/>
      <c r="L4" s="23"/>
      <c r="O4" s="12" t="s">
        <v>9</v>
      </c>
      <c r="P4" s="69">
        <f>AI29</f>
        <v>0.84185361033083228</v>
      </c>
      <c r="Q4" s="70">
        <f t="shared" ref="Q4:R8" si="1">AJ29</f>
        <v>0.15668639269064766</v>
      </c>
      <c r="R4" s="70">
        <f t="shared" si="1"/>
        <v>1.4599969785200981E-3</v>
      </c>
      <c r="S4" s="113">
        <v>9.3332612588292125</v>
      </c>
      <c r="U4" s="77">
        <v>4.2794851413347108E-2</v>
      </c>
      <c r="V4" s="77">
        <v>3.8112463900477462</v>
      </c>
      <c r="W4" s="113">
        <v>251.23514412616879</v>
      </c>
      <c r="Z4" s="4">
        <v>0</v>
      </c>
      <c r="AA4" s="82">
        <f>-$S$5</f>
        <v>-7.940605896812162</v>
      </c>
      <c r="AB4" s="5">
        <f>$S$11*$U$6+$S$6</f>
        <v>7.8305202097399409</v>
      </c>
      <c r="AC4" s="5">
        <f>-$S$12*$U$7</f>
        <v>-1.9548215338133224E-2</v>
      </c>
      <c r="AD4" s="5">
        <v>0</v>
      </c>
      <c r="AE4" s="12">
        <v>0</v>
      </c>
      <c r="AH4" s="4">
        <v>0.11401590984878394</v>
      </c>
      <c r="AI4" s="5">
        <v>0.12824991193543492</v>
      </c>
      <c r="AJ4" s="5">
        <v>0.12841093862303229</v>
      </c>
      <c r="AK4" s="5">
        <v>3.2208135157192077E-4</v>
      </c>
      <c r="AL4" s="6">
        <v>7.9238222894511654E-7</v>
      </c>
      <c r="AN4" s="55">
        <v>0.9976392111768595</v>
      </c>
      <c r="AV4" s="25"/>
      <c r="AW4" s="25"/>
      <c r="AX4" s="25"/>
      <c r="AY4" s="25"/>
    </row>
    <row r="5" spans="1:51" x14ac:dyDescent="0.25">
      <c r="O5" s="12" t="s">
        <v>10</v>
      </c>
      <c r="P5" s="69">
        <f t="shared" ref="P5:P8" si="2">AI30</f>
        <v>0.9813481019996696</v>
      </c>
      <c r="Q5" s="70">
        <f t="shared" si="1"/>
        <v>1.8115800398152793E-2</v>
      </c>
      <c r="R5" s="70">
        <f t="shared" si="1"/>
        <v>5.3609760217765922E-4</v>
      </c>
      <c r="S5" s="113">
        <v>7.940605896812162</v>
      </c>
      <c r="U5" s="77">
        <v>7.7704857414140722E-3</v>
      </c>
      <c r="V5" s="77">
        <v>6.9917722082095715</v>
      </c>
      <c r="W5" s="113">
        <v>1614.8419528388035</v>
      </c>
      <c r="Z5" s="4">
        <v>0</v>
      </c>
      <c r="AA5" s="5">
        <v>0</v>
      </c>
      <c r="AB5" s="82">
        <f>-$S$6</f>
        <v>-7.8070508403856547</v>
      </c>
      <c r="AC5" s="5">
        <f>$S$12*$U$7+$S$7</f>
        <v>7.8128707482539728</v>
      </c>
      <c r="AD5" s="5">
        <f>-$S$13*$U$8</f>
        <v>-1.9169672827332656E-2</v>
      </c>
      <c r="AE5" s="12">
        <v>0</v>
      </c>
      <c r="AH5" s="4">
        <v>0.11421125661418571</v>
      </c>
      <c r="AI5" s="5">
        <v>0.12846964622947227</v>
      </c>
      <c r="AJ5" s="5">
        <v>0.12863094880876411</v>
      </c>
      <c r="AK5" s="5">
        <v>0.12863143371271676</v>
      </c>
      <c r="AL5" s="6">
        <v>3.1645812978690446E-4</v>
      </c>
      <c r="AN5" s="55">
        <v>0.99934849537412496</v>
      </c>
      <c r="AV5" s="33"/>
      <c r="AW5" s="33"/>
      <c r="AX5" s="33"/>
      <c r="AY5" s="33"/>
    </row>
    <row r="6" spans="1:51" ht="15.75" thickBot="1" x14ac:dyDescent="0.3">
      <c r="O6" s="12" t="s">
        <v>11</v>
      </c>
      <c r="P6" s="69">
        <f t="shared" si="2"/>
        <v>0.99763921117685961</v>
      </c>
      <c r="Q6" s="70">
        <f t="shared" si="1"/>
        <v>1.8969571248515801E-3</v>
      </c>
      <c r="R6" s="70">
        <f t="shared" si="1"/>
        <v>4.6383169828876757E-4</v>
      </c>
      <c r="S6" s="113">
        <v>7.8070508403856547</v>
      </c>
      <c r="U6" s="77">
        <v>2.3081969899571534E-3</v>
      </c>
      <c r="V6" s="77">
        <v>7.4508865840224088</v>
      </c>
      <c r="W6" s="113">
        <v>2120.5175140301412</v>
      </c>
      <c r="Z6" s="7">
        <v>0</v>
      </c>
      <c r="AA6" s="8">
        <v>0</v>
      </c>
      <c r="AB6" s="8">
        <v>0</v>
      </c>
      <c r="AC6" s="81">
        <f>-$S$7</f>
        <v>-7.7933225329158393</v>
      </c>
      <c r="AD6" s="8">
        <f>$S$13*$U$8+$S$8</f>
        <v>7.7919391776850091</v>
      </c>
      <c r="AE6" s="13">
        <f>$S$14*$P$14</f>
        <v>0</v>
      </c>
      <c r="AH6" s="7">
        <v>0.11423153330470574</v>
      </c>
      <c r="AI6" s="8">
        <v>0.12849245430754649</v>
      </c>
      <c r="AJ6" s="8">
        <v>0.12865378552396728</v>
      </c>
      <c r="AK6" s="8">
        <v>0.12865427051400818</v>
      </c>
      <c r="AL6" s="9">
        <v>0.12865427173052268</v>
      </c>
      <c r="AN6" s="55">
        <v>0.99952591641617528</v>
      </c>
      <c r="AO6" s="5"/>
      <c r="AP6" s="5"/>
      <c r="AQ6" s="5"/>
      <c r="AR6" s="5"/>
      <c r="AS6" s="5"/>
      <c r="AV6" s="33"/>
      <c r="AW6" s="33"/>
      <c r="AX6" s="33"/>
      <c r="AY6" s="33"/>
    </row>
    <row r="7" spans="1:51" ht="15.75" thickBot="1" x14ac:dyDescent="0.3">
      <c r="B7" s="99" t="s">
        <v>8</v>
      </c>
      <c r="C7" s="100"/>
      <c r="D7" s="104" t="s">
        <v>9</v>
      </c>
      <c r="E7" s="105"/>
      <c r="F7" s="104" t="s">
        <v>10</v>
      </c>
      <c r="G7" s="105"/>
      <c r="H7" s="104" t="s">
        <v>11</v>
      </c>
      <c r="I7" s="105"/>
      <c r="J7" s="104" t="s">
        <v>12</v>
      </c>
      <c r="K7" s="105"/>
      <c r="L7" s="99" t="s">
        <v>13</v>
      </c>
      <c r="M7" s="100"/>
      <c r="O7" s="12" t="s">
        <v>12</v>
      </c>
      <c r="P7" s="69">
        <f t="shared" si="2"/>
        <v>0.99934849537412496</v>
      </c>
      <c r="Q7" s="70">
        <f t="shared" si="1"/>
        <v>1.949855792944094E-4</v>
      </c>
      <c r="R7" s="70">
        <f t="shared" si="1"/>
        <v>4.5651904658057258E-4</v>
      </c>
      <c r="S7" s="113">
        <v>7.7933225329158393</v>
      </c>
      <c r="U7" s="77">
        <v>1.9481430392946672E-3</v>
      </c>
      <c r="V7" s="77">
        <v>7.4963495624620169</v>
      </c>
      <c r="W7" s="113">
        <v>2183.0227097589136</v>
      </c>
      <c r="AU7" s="33"/>
      <c r="AV7" s="33"/>
      <c r="AW7" s="33"/>
      <c r="AX7" s="33"/>
      <c r="AY7" s="33"/>
    </row>
    <row r="8" spans="1:51" ht="15.75" thickBot="1" x14ac:dyDescent="0.3">
      <c r="A8" s="19" t="s">
        <v>6</v>
      </c>
      <c r="B8" s="19" t="s">
        <v>26</v>
      </c>
      <c r="C8" s="22" t="s">
        <v>27</v>
      </c>
      <c r="D8" s="19" t="s">
        <v>26</v>
      </c>
      <c r="E8" s="22" t="s">
        <v>27</v>
      </c>
      <c r="F8" s="19" t="s">
        <v>26</v>
      </c>
      <c r="G8" s="22" t="s">
        <v>27</v>
      </c>
      <c r="H8" s="19" t="s">
        <v>26</v>
      </c>
      <c r="I8" s="22" t="s">
        <v>27</v>
      </c>
      <c r="J8" s="19" t="s">
        <v>26</v>
      </c>
      <c r="K8" s="22" t="s">
        <v>27</v>
      </c>
      <c r="L8" s="19" t="s">
        <v>26</v>
      </c>
      <c r="M8" s="22" t="s">
        <v>27</v>
      </c>
      <c r="O8" s="12" t="s">
        <v>13</v>
      </c>
      <c r="P8" s="72">
        <f t="shared" si="2"/>
        <v>0.99952591641617528</v>
      </c>
      <c r="Q8" s="73">
        <f t="shared" si="1"/>
        <v>1.8321623448254651E-5</v>
      </c>
      <c r="R8" s="73">
        <f t="shared" si="1"/>
        <v>4.557619603764523E-4</v>
      </c>
      <c r="S8" s="113">
        <v>7.7727695048576768</v>
      </c>
      <c r="U8" s="114">
        <v>1.9130354156758019E-3</v>
      </c>
      <c r="V8" s="114">
        <v>7.5013143112730392</v>
      </c>
      <c r="W8" s="115">
        <v>2189.6308205330265</v>
      </c>
      <c r="Z8">
        <v>1</v>
      </c>
      <c r="AA8">
        <v>2</v>
      </c>
      <c r="AB8">
        <v>3</v>
      </c>
      <c r="AC8">
        <v>4</v>
      </c>
      <c r="AD8">
        <v>5</v>
      </c>
      <c r="AE8" s="17" t="s">
        <v>23</v>
      </c>
      <c r="AG8" s="17" t="s">
        <v>28</v>
      </c>
      <c r="AN8" s="17" t="s">
        <v>30</v>
      </c>
    </row>
    <row r="9" spans="1:51" ht="15.75" thickBot="1" x14ac:dyDescent="0.3">
      <c r="A9" s="20" t="s">
        <v>0</v>
      </c>
      <c r="B9" s="128">
        <f>$B$12*C9</f>
        <v>8.75</v>
      </c>
      <c r="C9" s="130">
        <v>0.35</v>
      </c>
      <c r="D9" s="133">
        <f t="shared" ref="D9:D10" si="3">$D$12*E9</f>
        <v>7.8572396869062606</v>
      </c>
      <c r="E9" s="131">
        <v>0.84185361033083228</v>
      </c>
      <c r="F9" s="133">
        <f t="shared" ref="F9:F10" si="4">$F$12*G9</f>
        <v>7.7924985255639996</v>
      </c>
      <c r="G9" s="131">
        <v>0.9813481019996696</v>
      </c>
      <c r="H9" s="133">
        <f t="shared" ref="H9:H10" si="5">$H$12*I9</f>
        <v>7.7886200420199838</v>
      </c>
      <c r="I9" s="131">
        <v>0.99763921117685961</v>
      </c>
      <c r="J9" s="133">
        <f t="shared" ref="J9:J10" si="6">$J$12*K9</f>
        <v>7.7882451472347087</v>
      </c>
      <c r="K9" s="131">
        <v>0.99934849537412496</v>
      </c>
      <c r="L9" s="133">
        <f t="shared" ref="L9:L10" si="7">$L$12*M9</f>
        <v>7.7690845624345704</v>
      </c>
      <c r="M9" s="131">
        <v>0.99952591641617528</v>
      </c>
      <c r="O9" s="1" t="s">
        <v>14</v>
      </c>
      <c r="P9" s="66">
        <f>AM29</f>
        <v>3.6027000165897785E-2</v>
      </c>
      <c r="Q9" s="67">
        <f t="shared" ref="Q9:R13" si="8">AN29</f>
        <v>0.59717044851183443</v>
      </c>
      <c r="R9" s="67">
        <f t="shared" si="8"/>
        <v>0.3668025513222678</v>
      </c>
      <c r="S9" s="113">
        <v>27.227230495142322</v>
      </c>
      <c r="Y9" s="17" t="s">
        <v>21</v>
      </c>
      <c r="Z9" s="1">
        <f>S$9*$V$4+S$4</f>
        <v>113.10294519443829</v>
      </c>
      <c r="AA9" s="2">
        <f>-$S$10*$V$5</f>
        <v>-80.828324958654093</v>
      </c>
      <c r="AB9" s="2">
        <v>0</v>
      </c>
      <c r="AC9" s="2">
        <v>0</v>
      </c>
      <c r="AD9" s="2">
        <v>0</v>
      </c>
      <c r="AE9" s="11">
        <f>$S$3*$Q$3</f>
        <v>16.25</v>
      </c>
      <c r="AH9" s="1">
        <f t="array" ref="AH9:AL13">MINVERSE(Z9:AD13)</f>
        <v>9.6366416055881348E-3</v>
      </c>
      <c r="AI9" s="2">
        <v>9.6357044854179855E-3</v>
      </c>
      <c r="AJ9" s="2">
        <v>9.6261654332823743E-3</v>
      </c>
      <c r="AK9" s="2">
        <v>9.5335987470003374E-3</v>
      </c>
      <c r="AL9" s="3">
        <v>8.6401530322945102E-3</v>
      </c>
      <c r="AN9">
        <f t="array" ref="AN9:AN13">MMULT(AH9:AL13,AE9:AE13)</f>
        <v>0.15659542609080718</v>
      </c>
    </row>
    <row r="10" spans="1:51" x14ac:dyDescent="0.25">
      <c r="A10" s="20" t="s">
        <v>1</v>
      </c>
      <c r="B10" s="128">
        <f t="shared" ref="B10:B11" si="9">$B$12*C10</f>
        <v>16.25</v>
      </c>
      <c r="C10" s="130">
        <v>0.65</v>
      </c>
      <c r="D10" s="133">
        <f t="shared" si="3"/>
        <v>1.4623950386853224</v>
      </c>
      <c r="E10" s="131">
        <v>0.15668639269064766</v>
      </c>
      <c r="F10" s="133">
        <f t="shared" si="4"/>
        <v>0.14385043146704418</v>
      </c>
      <c r="G10" s="131">
        <v>1.8115800398152793E-2</v>
      </c>
      <c r="H10" s="133">
        <f t="shared" si="5"/>
        <v>1.4809640715748085E-2</v>
      </c>
      <c r="I10" s="131">
        <v>1.8969571248515801E-3</v>
      </c>
      <c r="J10" s="133">
        <f t="shared" si="6"/>
        <v>1.5195855087087688E-3</v>
      </c>
      <c r="K10" s="131">
        <v>1.949855792944094E-4</v>
      </c>
      <c r="L10" s="133">
        <f t="shared" si="7"/>
        <v>1.4240975601807911E-4</v>
      </c>
      <c r="M10" s="131">
        <v>1.8321623448254651E-5</v>
      </c>
      <c r="O10" s="4" t="s">
        <v>15</v>
      </c>
      <c r="P10" s="69">
        <f t="shared" ref="P10:P13" si="10">AM30</f>
        <v>7.6255514339521949E-3</v>
      </c>
      <c r="Q10" s="70">
        <f t="shared" si="8"/>
        <v>0.12666154975327659</v>
      </c>
      <c r="R10" s="70">
        <f t="shared" si="8"/>
        <v>0.86571289881277125</v>
      </c>
      <c r="S10" s="113">
        <v>11.560491753971533</v>
      </c>
      <c r="Z10" s="77">
        <f>-$S$4</f>
        <v>-9.3332612588292125</v>
      </c>
      <c r="AA10" s="5">
        <f>$S$10*$V$5+$S$5</f>
        <v>88.768930855466252</v>
      </c>
      <c r="AB10" s="5">
        <f>-$S$11*$V$6</f>
        <v>-75.759395761348472</v>
      </c>
      <c r="AC10" s="5">
        <v>0</v>
      </c>
      <c r="AD10" s="5">
        <v>0</v>
      </c>
      <c r="AE10" s="12">
        <v>0</v>
      </c>
      <c r="AH10" s="4">
        <v>1.1126365345475308E-3</v>
      </c>
      <c r="AI10" s="5">
        <v>1.3483225798400621E-2</v>
      </c>
      <c r="AJ10" s="5">
        <v>1.3469877818079947E-2</v>
      </c>
      <c r="AK10" s="5">
        <v>1.3340349402753473E-2</v>
      </c>
      <c r="AL10" s="6">
        <v>1.2090152250254402E-2</v>
      </c>
      <c r="AN10">
        <v>1.8080343686397375E-2</v>
      </c>
    </row>
    <row r="11" spans="1:51" ht="15.75" thickBot="1" x14ac:dyDescent="0.3">
      <c r="A11" s="20" t="s">
        <v>2</v>
      </c>
      <c r="B11" s="128">
        <f t="shared" si="9"/>
        <v>0</v>
      </c>
      <c r="C11" s="130">
        <v>0</v>
      </c>
      <c r="D11" s="133">
        <f>$D$12*E11</f>
        <v>1.3626533237629338E-2</v>
      </c>
      <c r="E11" s="131">
        <v>1.4599969785200981E-3</v>
      </c>
      <c r="F11" s="133">
        <f>$F$12*G11</f>
        <v>4.2569397811187812E-3</v>
      </c>
      <c r="G11" s="131">
        <v>5.3609760217765922E-4</v>
      </c>
      <c r="H11" s="133">
        <f>$H$12*I11</f>
        <v>3.6211576499228285E-3</v>
      </c>
      <c r="I11" s="131">
        <v>4.6383169828876757E-4</v>
      </c>
      <c r="J11" s="133">
        <f>$J$12*K11</f>
        <v>3.5578001724216319E-3</v>
      </c>
      <c r="K11" s="131">
        <v>4.5651904658057258E-4</v>
      </c>
      <c r="L11" s="133">
        <f>$L$12*M11</f>
        <v>3.5425326670882411E-3</v>
      </c>
      <c r="M11" s="131">
        <v>4.557619603764523E-4</v>
      </c>
      <c r="O11" s="4" t="s">
        <v>16</v>
      </c>
      <c r="P11" s="69">
        <f t="shared" si="10"/>
        <v>2.3027478243016564E-3</v>
      </c>
      <c r="Q11" s="70">
        <f t="shared" si="8"/>
        <v>1.413401239202236E-2</v>
      </c>
      <c r="R11" s="70">
        <f t="shared" si="8"/>
        <v>0.98356323978367599</v>
      </c>
      <c r="S11" s="113">
        <v>10.167836391954483</v>
      </c>
      <c r="Z11" s="4">
        <v>0</v>
      </c>
      <c r="AA11" s="82">
        <f>-$S$5</f>
        <v>-7.940605896812162</v>
      </c>
      <c r="AB11" s="5">
        <f>$S$11*$V$6+$S$6</f>
        <v>83.566446601734128</v>
      </c>
      <c r="AC11" s="5">
        <f>-$S$12*$V$7</f>
        <v>-75.220480499205934</v>
      </c>
      <c r="AD11" s="5">
        <v>0</v>
      </c>
      <c r="AE11" s="12">
        <v>0</v>
      </c>
      <c r="AH11" s="4">
        <v>1.1650385739165192E-4</v>
      </c>
      <c r="AI11" s="5">
        <v>1.4118247665084226E-3</v>
      </c>
      <c r="AJ11" s="5">
        <v>1.4597042711887366E-2</v>
      </c>
      <c r="AK11" s="5">
        <v>1.4456675305704526E-2</v>
      </c>
      <c r="AL11" s="6">
        <v>1.3101861143335961E-2</v>
      </c>
      <c r="AN11">
        <v>1.8931876826143437E-3</v>
      </c>
    </row>
    <row r="12" spans="1:51" ht="15.75" thickBot="1" x14ac:dyDescent="0.3">
      <c r="A12" s="21" t="s">
        <v>7</v>
      </c>
      <c r="B12" s="95">
        <f>S3</f>
        <v>25</v>
      </c>
      <c r="C12" s="15">
        <f>SUM(C9:C11)</f>
        <v>1</v>
      </c>
      <c r="D12" s="95">
        <f>S4</f>
        <v>9.3332612588292125</v>
      </c>
      <c r="E12" s="15">
        <f t="shared" ref="E12:M12" si="11">SUM(E9:E11)</f>
        <v>1</v>
      </c>
      <c r="F12" s="95">
        <f>S5</f>
        <v>7.940605896812162</v>
      </c>
      <c r="G12" s="15">
        <f t="shared" si="11"/>
        <v>1</v>
      </c>
      <c r="H12" s="95">
        <f>S6</f>
        <v>7.8070508403856547</v>
      </c>
      <c r="I12" s="15">
        <f t="shared" si="11"/>
        <v>1</v>
      </c>
      <c r="J12" s="95">
        <f>S7</f>
        <v>7.7933225329158393</v>
      </c>
      <c r="K12" s="15">
        <f t="shared" si="11"/>
        <v>1</v>
      </c>
      <c r="L12" s="95">
        <f>S8</f>
        <v>7.7727695048576768</v>
      </c>
      <c r="M12" s="15">
        <f t="shared" si="11"/>
        <v>1</v>
      </c>
      <c r="O12" s="4" t="s">
        <v>17</v>
      </c>
      <c r="P12" s="69">
        <f t="shared" si="10"/>
        <v>1.9468738150927004E-3</v>
      </c>
      <c r="Q12" s="70">
        <f t="shared" si="8"/>
        <v>1.4616800620300488E-3</v>
      </c>
      <c r="R12" s="70">
        <f t="shared" si="8"/>
        <v>0.9965914461228772</v>
      </c>
      <c r="S12" s="113">
        <v>10.034281335527977</v>
      </c>
      <c r="Z12" s="4">
        <v>0</v>
      </c>
      <c r="AA12" s="5">
        <v>0</v>
      </c>
      <c r="AB12" s="5">
        <f>-$S$6</f>
        <v>-7.8070508403856547</v>
      </c>
      <c r="AC12" s="5">
        <f>$S$12*$V$7+$S$7</f>
        <v>83.013803032121771</v>
      </c>
      <c r="AD12" s="5">
        <f>-$S$13*$V$8</f>
        <v>-75.167317836243058</v>
      </c>
      <c r="AE12" s="12">
        <v>0</v>
      </c>
      <c r="AH12" s="4">
        <v>1.1975530392793307E-5</v>
      </c>
      <c r="AI12" s="5">
        <v>1.4512266614299609E-4</v>
      </c>
      <c r="AJ12" s="5">
        <v>1.500442410704549E-3</v>
      </c>
      <c r="AK12" s="5">
        <v>1.4652426048399969E-2</v>
      </c>
      <c r="AL12" s="6">
        <v>1.3279267012615502E-2</v>
      </c>
      <c r="AN12">
        <v>1.9460236888289124E-4</v>
      </c>
    </row>
    <row r="13" spans="1:51" ht="15.75" thickBot="1" x14ac:dyDescent="0.3">
      <c r="O13" s="4" t="s">
        <v>18</v>
      </c>
      <c r="P13" s="69">
        <f t="shared" si="10"/>
        <v>1.9121284769899548E-3</v>
      </c>
      <c r="Q13" s="70">
        <f t="shared" si="8"/>
        <v>1.3743625617814831E-4</v>
      </c>
      <c r="R13" s="70">
        <f t="shared" si="8"/>
        <v>0.99795043526683191</v>
      </c>
      <c r="S13" s="113">
        <v>10.02055302805816</v>
      </c>
      <c r="V13" s="65"/>
      <c r="Z13" s="7">
        <v>0</v>
      </c>
      <c r="AA13" s="8">
        <v>0</v>
      </c>
      <c r="AB13" s="8">
        <v>0</v>
      </c>
      <c r="AC13" s="81">
        <f>-$S$7</f>
        <v>-7.7933225329158393</v>
      </c>
      <c r="AD13" s="8">
        <f>$S$13*$V$8+$S$8</f>
        <v>82.940087341100735</v>
      </c>
      <c r="AE13" s="13">
        <f>$S$14*$Q$14</f>
        <v>0</v>
      </c>
      <c r="AH13" s="7">
        <v>1.1252600985329025E-6</v>
      </c>
      <c r="AI13" s="8">
        <v>1.3636201508176806E-5</v>
      </c>
      <c r="AJ13" s="8">
        <v>1.4098648824175612E-4</v>
      </c>
      <c r="AK13" s="8">
        <v>1.3767899907707402E-3</v>
      </c>
      <c r="AL13" s="9">
        <v>1.3304659377699871E-2</v>
      </c>
      <c r="AN13">
        <v>1.8285476601159666E-5</v>
      </c>
      <c r="AO13" s="5"/>
      <c r="AP13" s="5"/>
      <c r="AQ13" s="5"/>
      <c r="AR13" s="5"/>
      <c r="AS13" s="5"/>
    </row>
    <row r="14" spans="1:51" ht="15.75" thickBot="1" x14ac:dyDescent="0.3">
      <c r="B14" s="99" t="s">
        <v>14</v>
      </c>
      <c r="C14" s="100"/>
      <c r="D14" s="104" t="s">
        <v>15</v>
      </c>
      <c r="E14" s="105"/>
      <c r="F14" s="104" t="s">
        <v>16</v>
      </c>
      <c r="G14" s="105"/>
      <c r="H14" s="104" t="s">
        <v>17</v>
      </c>
      <c r="I14" s="105"/>
      <c r="J14" s="104" t="s">
        <v>18</v>
      </c>
      <c r="K14" s="105"/>
      <c r="L14" s="99" t="s">
        <v>19</v>
      </c>
      <c r="M14" s="100"/>
      <c r="O14" s="7" t="s">
        <v>19</v>
      </c>
      <c r="P14" s="72">
        <f>AQ25</f>
        <v>0</v>
      </c>
      <c r="Q14" s="72">
        <f t="shared" ref="Q14:R14" si="12">AR25</f>
        <v>0</v>
      </c>
      <c r="R14" s="72">
        <f t="shared" si="12"/>
        <v>1</v>
      </c>
      <c r="S14" s="115">
        <f>AP25</f>
        <v>10</v>
      </c>
      <c r="T14" t="s">
        <v>100</v>
      </c>
      <c r="U14" t="s">
        <v>100</v>
      </c>
      <c r="V14" t="s">
        <v>100</v>
      </c>
    </row>
    <row r="15" spans="1:51" ht="15.75" thickBot="1" x14ac:dyDescent="0.3">
      <c r="A15" s="19" t="s">
        <v>6</v>
      </c>
      <c r="B15" s="19" t="s">
        <v>26</v>
      </c>
      <c r="C15" s="22" t="s">
        <v>27</v>
      </c>
      <c r="D15" s="19" t="s">
        <v>26</v>
      </c>
      <c r="E15" s="22" t="s">
        <v>27</v>
      </c>
      <c r="F15" s="19" t="s">
        <v>26</v>
      </c>
      <c r="G15" s="22" t="s">
        <v>27</v>
      </c>
      <c r="H15" s="19" t="s">
        <v>26</v>
      </c>
      <c r="I15" s="22" t="s">
        <v>27</v>
      </c>
      <c r="J15" s="19" t="s">
        <v>26</v>
      </c>
      <c r="K15" s="22" t="s">
        <v>27</v>
      </c>
      <c r="L15" s="19" t="s">
        <v>26</v>
      </c>
      <c r="M15" s="22" t="s">
        <v>27</v>
      </c>
      <c r="Z15">
        <v>1</v>
      </c>
      <c r="AA15">
        <v>2</v>
      </c>
      <c r="AB15">
        <v>3</v>
      </c>
      <c r="AC15">
        <v>4</v>
      </c>
      <c r="AD15">
        <v>5</v>
      </c>
      <c r="AE15" s="17" t="s">
        <v>25</v>
      </c>
      <c r="AG15" s="17" t="s">
        <v>28</v>
      </c>
      <c r="AN15" s="17" t="s">
        <v>31</v>
      </c>
    </row>
    <row r="16" spans="1:51" ht="15.75" thickBot="1" x14ac:dyDescent="0.3">
      <c r="A16" s="20" t="s">
        <v>0</v>
      </c>
      <c r="B16" s="133">
        <f t="shared" ref="B16:B17" si="13">$B$19*C16</f>
        <v>0.98091543756542965</v>
      </c>
      <c r="C16" s="131">
        <v>3.6027000165897785E-2</v>
      </c>
      <c r="D16" s="133">
        <f t="shared" ref="D16:D17" si="14">$D$19*E16</f>
        <v>8.8155124471690147E-2</v>
      </c>
      <c r="E16" s="131">
        <v>7.6255514339521949E-3</v>
      </c>
      <c r="F16" s="133">
        <f t="shared" ref="F16:F17" si="15">$F$19*G16</f>
        <v>2.3413963129428388E-2</v>
      </c>
      <c r="G16" s="131">
        <v>2.3027478243016564E-3</v>
      </c>
      <c r="H16" s="133">
        <f t="shared" ref="H16:H17" si="16">$H$19*I16</f>
        <v>1.9535479585412831E-2</v>
      </c>
      <c r="I16" s="131">
        <v>1.9468738150927004E-3</v>
      </c>
      <c r="J16" s="133">
        <f t="shared" ref="J16:J17" si="17">$J$19*K16</f>
        <v>1.9160584800137929E-2</v>
      </c>
      <c r="K16" s="131">
        <v>1.9121284769899548E-3</v>
      </c>
      <c r="L16" s="4">
        <f t="shared" ref="L16:L17" si="18">$L$19*M16</f>
        <v>0</v>
      </c>
      <c r="M16" s="132">
        <v>0</v>
      </c>
      <c r="P16" t="s">
        <v>3</v>
      </c>
      <c r="Q16" t="s">
        <v>101</v>
      </c>
      <c r="R16" t="s">
        <v>102</v>
      </c>
      <c r="Y16" s="17" t="s">
        <v>22</v>
      </c>
      <c r="Z16" s="1">
        <f>S$9*$W$4+S$4</f>
        <v>6849.7704388623288</v>
      </c>
      <c r="AA16" s="2">
        <f>-$S$10*$W$5</f>
        <v>-18668.367079760275</v>
      </c>
      <c r="AB16" s="2">
        <v>0</v>
      </c>
      <c r="AC16" s="2">
        <v>0</v>
      </c>
      <c r="AD16" s="2">
        <v>0</v>
      </c>
      <c r="AE16" s="11">
        <f>$S$3*$R$3</f>
        <v>0</v>
      </c>
      <c r="AH16" s="1">
        <f t="array" ref="AH16:AL20">MINVERSE(Z16:AD20)</f>
        <v>1.4618948672961033E-4</v>
      </c>
      <c r="AI16" s="2">
        <v>1.4618948672960748E-4</v>
      </c>
      <c r="AJ16" s="2">
        <v>1.4618948672293834E-4</v>
      </c>
      <c r="AK16" s="2">
        <v>1.4618946830446676E-4</v>
      </c>
      <c r="AL16" s="3">
        <v>1.4613769862631867E-4</v>
      </c>
      <c r="AN16">
        <f t="array" ref="AN16:AN20">MMULT(AH16:AL20,AE16:AE20)</f>
        <v>1.4613769862631867E-3</v>
      </c>
    </row>
    <row r="17" spans="1:47" x14ac:dyDescent="0.25">
      <c r="A17" s="20" t="s">
        <v>1</v>
      </c>
      <c r="B17" s="133">
        <f t="shared" si="13"/>
        <v>16.259297446519238</v>
      </c>
      <c r="C17" s="131">
        <v>0.59717044851183443</v>
      </c>
      <c r="D17" s="133">
        <f t="shared" si="14"/>
        <v>1.4642698014680091</v>
      </c>
      <c r="E17" s="131">
        <v>0.12666154975327659</v>
      </c>
      <c r="F17" s="133">
        <f t="shared" si="15"/>
        <v>0.14371232556394059</v>
      </c>
      <c r="G17" s="131">
        <v>1.413401239202236E-2</v>
      </c>
      <c r="H17" s="133">
        <f t="shared" si="16"/>
        <v>1.4666908964941494E-2</v>
      </c>
      <c r="I17" s="131">
        <v>1.4616800620300488E-3</v>
      </c>
      <c r="J17" s="133">
        <f t="shared" si="17"/>
        <v>1.3771872930109211E-3</v>
      </c>
      <c r="K17" s="131">
        <v>1.3743625617814831E-4</v>
      </c>
      <c r="L17" s="4">
        <f t="shared" si="18"/>
        <v>0</v>
      </c>
      <c r="M17" s="6">
        <v>0</v>
      </c>
      <c r="Z17" s="77">
        <f>-$S$4</f>
        <v>-9.3332612588292125</v>
      </c>
      <c r="AA17" s="5">
        <f>$S$10*$W$5+$S$5</f>
        <v>18676.307685657088</v>
      </c>
      <c r="AB17" s="5">
        <f>-$S$11*$W$6</f>
        <v>-21561.075148932519</v>
      </c>
      <c r="AC17" s="5">
        <v>0</v>
      </c>
      <c r="AD17" s="5">
        <v>0</v>
      </c>
      <c r="AE17" s="12">
        <v>0</v>
      </c>
      <c r="AH17" s="4">
        <v>7.3087521105198549E-8</v>
      </c>
      <c r="AI17" s="5">
        <v>5.3639636524962783E-5</v>
      </c>
      <c r="AJ17" s="5">
        <v>5.3639636522515752E-5</v>
      </c>
      <c r="AK17" s="5">
        <v>5.363962976443661E-5</v>
      </c>
      <c r="AL17" s="6">
        <v>5.3620634508478065E-5</v>
      </c>
      <c r="AN17">
        <v>5.3620634508478064E-4</v>
      </c>
    </row>
    <row r="18" spans="1:47" ht="15.75" thickBot="1" x14ac:dyDescent="0.3">
      <c r="A18" s="20" t="s">
        <v>2</v>
      </c>
      <c r="B18" s="133">
        <f>$B$19*C18</f>
        <v>9.9870176110576558</v>
      </c>
      <c r="C18" s="131">
        <v>0.3668025513222678</v>
      </c>
      <c r="D18" s="133">
        <f>$D$19*E18</f>
        <v>10.008066828031835</v>
      </c>
      <c r="E18" s="131">
        <v>0.86571289881277125</v>
      </c>
      <c r="F18" s="133">
        <f>$F$19*G18</f>
        <v>10.000710103261113</v>
      </c>
      <c r="G18" s="131">
        <v>0.98356323978367599</v>
      </c>
      <c r="H18" s="133">
        <f>$H$19*I18</f>
        <v>10.000078946977622</v>
      </c>
      <c r="I18" s="131">
        <v>0.9965914461228772</v>
      </c>
      <c r="J18" s="133">
        <f>$J$19*K18</f>
        <v>10.00001525596501</v>
      </c>
      <c r="K18" s="131">
        <v>0.99795043526683191</v>
      </c>
      <c r="L18" s="4">
        <f>$L$19*M18</f>
        <v>10</v>
      </c>
      <c r="M18" s="6">
        <v>1</v>
      </c>
      <c r="Z18" s="4">
        <v>0</v>
      </c>
      <c r="AA18" s="82">
        <f>-$S$5</f>
        <v>-7.940605896812162</v>
      </c>
      <c r="AB18" s="5">
        <f>$S$11*$W$6+$S$6</f>
        <v>21568.882199772906</v>
      </c>
      <c r="AC18" s="5">
        <f>-$S$12*$W$7</f>
        <v>-21905.064031567574</v>
      </c>
      <c r="AD18" s="5">
        <v>0</v>
      </c>
      <c r="AE18" s="12">
        <v>0</v>
      </c>
      <c r="AH18" s="4">
        <v>2.6916987999718576E-11</v>
      </c>
      <c r="AI18" s="5">
        <v>1.9754637054573655E-8</v>
      </c>
      <c r="AJ18" s="5">
        <v>4.6399631013667934E-5</v>
      </c>
      <c r="AK18" s="5">
        <v>4.6399625167759961E-5</v>
      </c>
      <c r="AL18" s="6">
        <v>4.6383193794905368E-5</v>
      </c>
      <c r="AN18">
        <v>4.6383193794905366E-4</v>
      </c>
    </row>
    <row r="19" spans="1:47" ht="15.75" thickBot="1" x14ac:dyDescent="0.3">
      <c r="A19" s="21" t="s">
        <v>7</v>
      </c>
      <c r="B19" s="95">
        <f>S9</f>
        <v>27.227230495142322</v>
      </c>
      <c r="C19" s="15">
        <f t="shared" ref="C19:M19" si="19">SUM(C16:C18)</f>
        <v>1</v>
      </c>
      <c r="D19" s="95">
        <f>S10</f>
        <v>11.560491753971533</v>
      </c>
      <c r="E19" s="15">
        <f t="shared" si="19"/>
        <v>1</v>
      </c>
      <c r="F19" s="95">
        <f>S11</f>
        <v>10.167836391954483</v>
      </c>
      <c r="G19" s="15">
        <f t="shared" si="19"/>
        <v>1</v>
      </c>
      <c r="H19" s="95">
        <f>S12</f>
        <v>10.034281335527977</v>
      </c>
      <c r="I19" s="15">
        <f t="shared" si="19"/>
        <v>1</v>
      </c>
      <c r="J19" s="95">
        <f>S13</f>
        <v>10.02055302805816</v>
      </c>
      <c r="K19" s="15">
        <f t="shared" si="19"/>
        <v>1</v>
      </c>
      <c r="L19" s="95">
        <f>S14</f>
        <v>10</v>
      </c>
      <c r="M19" s="15">
        <f t="shared" si="19"/>
        <v>1</v>
      </c>
      <c r="Z19" s="4">
        <v>0</v>
      </c>
      <c r="AA19" s="5">
        <v>0</v>
      </c>
      <c r="AB19" s="5">
        <f>-$S$6</f>
        <v>-7.8070508403856547</v>
      </c>
      <c r="AC19" s="5">
        <f>$S$12*$W$7+$S$7</f>
        <v>21912.857354100488</v>
      </c>
      <c r="AD19" s="5">
        <f>-$S$13*$W$8</f>
        <v>-21941.311749021694</v>
      </c>
      <c r="AE19" s="12">
        <v>0</v>
      </c>
      <c r="AH19" s="4">
        <v>9.5933190154160039E-15</v>
      </c>
      <c r="AI19" s="5">
        <v>7.0406293341686085E-12</v>
      </c>
      <c r="AJ19" s="5">
        <v>1.6537008617619497E-8</v>
      </c>
      <c r="AK19" s="5">
        <v>4.5668075507790901E-5</v>
      </c>
      <c r="AL19" s="6">
        <v>4.5651903196624439E-5</v>
      </c>
      <c r="AN19">
        <v>4.5651903196624439E-4</v>
      </c>
    </row>
    <row r="20" spans="1:47" ht="15.75" thickBot="1" x14ac:dyDescent="0.3">
      <c r="Z20" s="7">
        <v>0</v>
      </c>
      <c r="AA20" s="8">
        <v>0</v>
      </c>
      <c r="AB20" s="8">
        <v>0</v>
      </c>
      <c r="AC20" s="81">
        <f>-$S$7</f>
        <v>-7.7933225329158393</v>
      </c>
      <c r="AD20" s="8">
        <f>$S$13*$W$8+$S$8</f>
        <v>21949.08451852655</v>
      </c>
      <c r="AE20" s="13">
        <f>$S$14*$R$14</f>
        <v>10</v>
      </c>
      <c r="AH20" s="7">
        <v>3.4062390704808522E-18</v>
      </c>
      <c r="AI20" s="8">
        <v>2.4998717003240142E-15</v>
      </c>
      <c r="AJ20" s="8">
        <v>5.8716909936692469E-12</v>
      </c>
      <c r="AK20" s="8">
        <v>1.6215074555358307E-8</v>
      </c>
      <c r="AL20" s="9">
        <v>4.5576196089704016E-5</v>
      </c>
      <c r="AN20">
        <v>4.5576196089704016E-4</v>
      </c>
      <c r="AO20" s="5"/>
      <c r="AP20" s="5"/>
      <c r="AQ20" s="5"/>
      <c r="AR20" s="5"/>
      <c r="AS20" s="5"/>
    </row>
    <row r="22" spans="1:47" ht="15.75" thickBot="1" x14ac:dyDescent="0.3"/>
    <row r="23" spans="1:47" ht="15.75" thickBot="1" x14ac:dyDescent="0.3">
      <c r="Y23" s="5"/>
      <c r="Z23" s="5"/>
      <c r="AA23" s="5"/>
      <c r="AB23" s="5"/>
      <c r="AC23" s="5"/>
      <c r="AD23" s="5"/>
      <c r="AE23" s="52"/>
      <c r="AF23" s="5"/>
      <c r="AG23" s="5"/>
      <c r="AH23" s="5"/>
      <c r="AI23" s="5"/>
      <c r="AJ23" s="5"/>
      <c r="AK23" s="5"/>
      <c r="AL23" s="5"/>
      <c r="AO23" s="18"/>
      <c r="AP23" s="19" t="s">
        <v>26</v>
      </c>
      <c r="AQ23" s="119" t="s">
        <v>29</v>
      </c>
      <c r="AR23" s="119" t="s">
        <v>30</v>
      </c>
      <c r="AS23" s="22" t="s">
        <v>31</v>
      </c>
    </row>
    <row r="24" spans="1:47" x14ac:dyDescent="0.25">
      <c r="Y24" s="52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O24" s="117" t="s">
        <v>8</v>
      </c>
      <c r="AP24" s="1">
        <v>25</v>
      </c>
      <c r="AQ24" s="2">
        <v>0.35</v>
      </c>
      <c r="AR24" s="2">
        <v>0.65</v>
      </c>
      <c r="AS24" s="3">
        <v>0</v>
      </c>
    </row>
    <row r="25" spans="1:47" ht="15.75" thickBot="1" x14ac:dyDescent="0.3"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O25" s="118" t="s">
        <v>19</v>
      </c>
      <c r="AP25" s="7">
        <v>10</v>
      </c>
      <c r="AQ25" s="8">
        <v>0</v>
      </c>
      <c r="AR25" s="8">
        <v>0</v>
      </c>
      <c r="AS25" s="9">
        <v>1</v>
      </c>
    </row>
    <row r="26" spans="1:47" ht="15.75" thickBot="1" x14ac:dyDescent="0.3"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47" ht="15.75" thickBot="1" x14ac:dyDescent="0.3"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Q27" s="19" t="s">
        <v>109</v>
      </c>
      <c r="AR27" s="22" t="s">
        <v>110</v>
      </c>
    </row>
    <row r="28" spans="1:47" ht="15.75" thickBot="1" x14ac:dyDescent="0.3">
      <c r="Y28" s="5"/>
      <c r="Z28" s="5"/>
      <c r="AA28" s="5"/>
      <c r="AB28" s="5"/>
      <c r="AC28" s="52" t="s">
        <v>149</v>
      </c>
      <c r="AD28" s="52" t="s">
        <v>150</v>
      </c>
      <c r="AE28" s="52" t="s">
        <v>151</v>
      </c>
      <c r="AF28" s="120" t="s">
        <v>152</v>
      </c>
      <c r="AG28" s="5"/>
      <c r="AH28" s="17" t="s">
        <v>6</v>
      </c>
      <c r="AI28" s="121" t="s">
        <v>103</v>
      </c>
      <c r="AJ28" s="122" t="s">
        <v>104</v>
      </c>
      <c r="AK28" s="122" t="s">
        <v>105</v>
      </c>
      <c r="AL28" s="123" t="s">
        <v>111</v>
      </c>
      <c r="AM28" s="121" t="s">
        <v>106</v>
      </c>
      <c r="AN28" s="122" t="s">
        <v>107</v>
      </c>
      <c r="AO28" s="122" t="s">
        <v>108</v>
      </c>
      <c r="AP28" s="127" t="s">
        <v>112</v>
      </c>
      <c r="AQ28" s="121">
        <f>AP24</f>
        <v>25</v>
      </c>
      <c r="AR28" s="3"/>
      <c r="AS28" s="119" t="s">
        <v>97</v>
      </c>
      <c r="AT28" s="119" t="s">
        <v>98</v>
      </c>
      <c r="AU28" s="22" t="s">
        <v>99</v>
      </c>
    </row>
    <row r="29" spans="1:47" ht="15.75" thickBot="1" x14ac:dyDescent="0.3">
      <c r="AC29" s="51">
        <f>SUM(AD29:AF29)</f>
        <v>0.99991041340790254</v>
      </c>
      <c r="AD29" s="86">
        <f>AN2</f>
        <v>0.84185361033083217</v>
      </c>
      <c r="AE29" s="87">
        <f>AN9</f>
        <v>0.15659542609080718</v>
      </c>
      <c r="AF29" s="88">
        <f>AN16</f>
        <v>1.4613769862631867E-3</v>
      </c>
      <c r="AH29" s="124">
        <v>1</v>
      </c>
      <c r="AI29" s="86">
        <v>0.84185361033083228</v>
      </c>
      <c r="AJ29" s="87">
        <v>0.15668639269064766</v>
      </c>
      <c r="AK29" s="87">
        <v>1.4599969785200981E-3</v>
      </c>
      <c r="AL29" s="96">
        <f>SUM(AI29:AK29)</f>
        <v>1</v>
      </c>
      <c r="AM29" s="87">
        <v>3.6027000165897785E-2</v>
      </c>
      <c r="AN29" s="87">
        <v>0.59717044851183443</v>
      </c>
      <c r="AO29" s="88">
        <v>0.3668025513222678</v>
      </c>
      <c r="AP29" s="62">
        <f>SUM(AM29:AO29)</f>
        <v>1</v>
      </c>
      <c r="AQ29" s="128">
        <f t="shared" ref="AQ29:AQ31" si="20">(AR31*(AM30-AM31)+AQ30*(AI30-AM30))/(AI29-AM30)</f>
        <v>9.3332612588292125</v>
      </c>
      <c r="AR29" s="6">
        <f>AP24+AP25-AQ33</f>
        <v>27.227230495142322</v>
      </c>
      <c r="AS29" s="1">
        <f>AM29/AI29</f>
        <v>4.2794851413347108E-2</v>
      </c>
      <c r="AT29" s="2">
        <f t="shared" ref="AT29:AU33" si="21">AN29/AJ29</f>
        <v>3.8112463900477462</v>
      </c>
      <c r="AU29" s="3">
        <f t="shared" si="21"/>
        <v>251.23514412616879</v>
      </c>
    </row>
    <row r="30" spans="1:47" ht="15.75" thickBot="1" x14ac:dyDescent="0.3">
      <c r="A30" s="106" t="s">
        <v>115</v>
      </c>
      <c r="B30" s="106"/>
      <c r="C30" s="106"/>
      <c r="D30" s="106"/>
      <c r="E30" s="106"/>
      <c r="T30" s="25"/>
      <c r="U30" s="25"/>
      <c r="V30" s="25"/>
      <c r="W30" s="25"/>
      <c r="X30" s="25"/>
      <c r="Y30" s="25"/>
      <c r="Z30" s="25"/>
      <c r="AC30" s="51">
        <f t="shared" ref="AC30:AC33" si="22">SUM(AD30:AF30)</f>
        <v>0.99996465203115159</v>
      </c>
      <c r="AD30" s="86">
        <f t="shared" ref="AD30:AD33" si="23">AN3</f>
        <v>0.98134810199966949</v>
      </c>
      <c r="AE30" s="87">
        <f t="shared" ref="AE30:AE32" si="24">AN10</f>
        <v>1.8080343686397375E-2</v>
      </c>
      <c r="AF30" s="88">
        <f t="shared" ref="AF30:AF33" si="25">AN17</f>
        <v>5.3620634508478064E-4</v>
      </c>
      <c r="AH30" s="125">
        <v>2</v>
      </c>
      <c r="AI30" s="89">
        <v>0.9813481019996696</v>
      </c>
      <c r="AJ30" s="90">
        <v>1.8115800398152793E-2</v>
      </c>
      <c r="AK30" s="90">
        <v>5.3609760217765922E-4</v>
      </c>
      <c r="AL30" s="97">
        <f t="shared" ref="AL30:AL33" si="26">SUM(AI30:AK30)</f>
        <v>1</v>
      </c>
      <c r="AM30" s="90">
        <v>7.6255514339521949E-3</v>
      </c>
      <c r="AN30" s="90">
        <v>0.12666154975327659</v>
      </c>
      <c r="AO30" s="91">
        <v>0.86571289881277125</v>
      </c>
      <c r="AP30" s="63">
        <f t="shared" ref="AP30:AP33" si="27">SUM(AM30:AO30)</f>
        <v>1</v>
      </c>
      <c r="AQ30" s="128">
        <f t="shared" si="20"/>
        <v>7.940605896812162</v>
      </c>
      <c r="AR30" s="6">
        <f t="shared" ref="AR30:AR32" si="28">AR31+AQ29-AQ30</f>
        <v>11.560491753971533</v>
      </c>
      <c r="AS30" s="4">
        <f t="shared" ref="AS30:AS33" si="29">AM30/AI30</f>
        <v>7.7704857414140722E-3</v>
      </c>
      <c r="AT30" s="5">
        <f t="shared" si="21"/>
        <v>6.9917722082095715</v>
      </c>
      <c r="AU30" s="6">
        <f t="shared" si="21"/>
        <v>1614.8419528388035</v>
      </c>
    </row>
    <row r="31" spans="1:47" ht="15.75" thickBot="1" x14ac:dyDescent="0.3">
      <c r="A31" s="26" t="s">
        <v>35</v>
      </c>
      <c r="B31" s="27">
        <v>5.5736999999999997</v>
      </c>
      <c r="C31" s="27">
        <v>7.4991000000000003</v>
      </c>
      <c r="D31" s="26">
        <v>6.4999999999999997E-3</v>
      </c>
      <c r="E31" s="26">
        <v>0.4</v>
      </c>
      <c r="G31" s="28" t="s">
        <v>116</v>
      </c>
      <c r="H31" s="29" t="s">
        <v>117</v>
      </c>
      <c r="I31" s="29" t="s">
        <v>118</v>
      </c>
      <c r="J31" s="29" t="s">
        <v>119</v>
      </c>
      <c r="K31" s="29" t="s">
        <v>120</v>
      </c>
      <c r="L31" s="29" t="s">
        <v>121</v>
      </c>
      <c r="M31" s="29" t="s">
        <v>122</v>
      </c>
      <c r="N31" s="29" t="s">
        <v>123</v>
      </c>
      <c r="O31" s="29" t="s">
        <v>124</v>
      </c>
      <c r="P31" s="29" t="s">
        <v>125</v>
      </c>
      <c r="Q31" s="29" t="s">
        <v>126</v>
      </c>
      <c r="R31" s="30" t="s">
        <v>127</v>
      </c>
      <c r="T31" s="25"/>
      <c r="U31" s="25"/>
      <c r="V31" s="25"/>
      <c r="W31" s="25"/>
      <c r="X31" s="25"/>
      <c r="Y31" s="25"/>
      <c r="Z31" s="25"/>
      <c r="AC31" s="51">
        <f t="shared" si="22"/>
        <v>0.99999623079742295</v>
      </c>
      <c r="AD31" s="86">
        <f t="shared" si="23"/>
        <v>0.9976392111768595</v>
      </c>
      <c r="AE31" s="87">
        <f t="shared" si="24"/>
        <v>1.8931876826143437E-3</v>
      </c>
      <c r="AF31" s="88">
        <f t="shared" si="25"/>
        <v>4.6383193794905366E-4</v>
      </c>
      <c r="AH31" s="125">
        <v>3</v>
      </c>
      <c r="AI31" s="89">
        <v>0.99763921117685961</v>
      </c>
      <c r="AJ31" s="90">
        <v>1.8969571248515801E-3</v>
      </c>
      <c r="AK31" s="90">
        <v>4.6383169828876757E-4</v>
      </c>
      <c r="AL31" s="97">
        <f t="shared" si="26"/>
        <v>1</v>
      </c>
      <c r="AM31" s="90">
        <v>2.3027478243016564E-3</v>
      </c>
      <c r="AN31" s="90">
        <v>1.413401239202236E-2</v>
      </c>
      <c r="AO31" s="91">
        <v>0.98356323978367599</v>
      </c>
      <c r="AP31" s="63">
        <f t="shared" si="27"/>
        <v>1</v>
      </c>
      <c r="AQ31" s="128">
        <f t="shared" si="20"/>
        <v>7.8070508403856547</v>
      </c>
      <c r="AR31" s="6">
        <f t="shared" si="28"/>
        <v>10.167836391954483</v>
      </c>
      <c r="AS31" s="4">
        <f t="shared" si="29"/>
        <v>2.3081969899571534E-3</v>
      </c>
      <c r="AT31" s="5">
        <f t="shared" si="21"/>
        <v>7.4508865840224088</v>
      </c>
      <c r="AU31" s="6">
        <f t="shared" si="21"/>
        <v>2120.5175140301412</v>
      </c>
    </row>
    <row r="32" spans="1:47" ht="15.75" thickBot="1" x14ac:dyDescent="0.3">
      <c r="A32" s="31" t="s">
        <v>48</v>
      </c>
      <c r="B32" s="32">
        <v>19.269400000000001</v>
      </c>
      <c r="C32" s="32">
        <v>16.212</v>
      </c>
      <c r="D32" s="31"/>
      <c r="E32" s="31"/>
      <c r="G32">
        <f>B31/$B$39/$B$40</f>
        <v>2.1071800296631609</v>
      </c>
      <c r="H32">
        <f>C31/$B$39/$B$40</f>
        <v>2.8350922655412045</v>
      </c>
      <c r="I32">
        <f>B32/$B$39/$B$40</f>
        <v>7.2849444468829168</v>
      </c>
      <c r="J32">
        <f>C32/$B$39/$B$40</f>
        <v>6.1290709297054313</v>
      </c>
      <c r="K32">
        <f>B33/$B$39/$B$40</f>
        <v>4.0246507210259157</v>
      </c>
      <c r="L32">
        <f>C33/$B$39/$B$40</f>
        <v>0.21292207917654202</v>
      </c>
      <c r="M32">
        <f>EXP(-$E$31*G32)</f>
        <v>0.43047242445194145</v>
      </c>
      <c r="N32">
        <f t="shared" ref="N32:R32" si="30">EXP(-$E$31*H32)</f>
        <v>0.32173183009668638</v>
      </c>
      <c r="O32">
        <f t="shared" si="30"/>
        <v>5.425946787469077E-2</v>
      </c>
      <c r="P32">
        <f t="shared" si="30"/>
        <v>8.6153182795249569E-2</v>
      </c>
      <c r="Q32">
        <f t="shared" si="30"/>
        <v>0.19991554264238187</v>
      </c>
      <c r="R32">
        <f t="shared" si="30"/>
        <v>0.91835722352796123</v>
      </c>
      <c r="T32" s="33"/>
      <c r="U32" s="33"/>
      <c r="V32" s="33"/>
      <c r="W32" s="33"/>
      <c r="X32" s="33"/>
      <c r="Y32" s="33"/>
      <c r="Z32" s="33"/>
      <c r="AC32" s="51">
        <f t="shared" si="22"/>
        <v>0.99999961677497406</v>
      </c>
      <c r="AD32" s="86">
        <f t="shared" si="23"/>
        <v>0.99934849537412496</v>
      </c>
      <c r="AE32" s="87">
        <f t="shared" si="24"/>
        <v>1.9460236888289124E-4</v>
      </c>
      <c r="AF32" s="88">
        <f t="shared" si="25"/>
        <v>4.5651903196624439E-4</v>
      </c>
      <c r="AH32" s="125">
        <v>4</v>
      </c>
      <c r="AI32" s="89">
        <v>0.99934849537412496</v>
      </c>
      <c r="AJ32" s="90">
        <v>1.949855792944094E-4</v>
      </c>
      <c r="AK32" s="90">
        <v>4.5651904658057258E-4</v>
      </c>
      <c r="AL32" s="97">
        <f t="shared" si="26"/>
        <v>1</v>
      </c>
      <c r="AM32" s="90">
        <v>1.9468738150927004E-3</v>
      </c>
      <c r="AN32" s="90">
        <v>1.4616800620300488E-3</v>
      </c>
      <c r="AO32" s="91">
        <v>0.9965914461228772</v>
      </c>
      <c r="AP32" s="63">
        <f t="shared" si="27"/>
        <v>1</v>
      </c>
      <c r="AQ32" s="128">
        <f>(AR34*(AM33-AM34)+AQ33*(AI33-AM33))/(AI32-AM33)</f>
        <v>7.7933225329158393</v>
      </c>
      <c r="AR32" s="6">
        <f t="shared" si="28"/>
        <v>10.034281335527977</v>
      </c>
      <c r="AS32" s="4">
        <f t="shared" si="29"/>
        <v>1.9481430392946672E-3</v>
      </c>
      <c r="AT32" s="5">
        <f t="shared" si="21"/>
        <v>7.4963495624620169</v>
      </c>
      <c r="AU32" s="6">
        <f t="shared" si="21"/>
        <v>2183.0227097589136</v>
      </c>
    </row>
    <row r="33" spans="1:47" ht="15.75" thickBot="1" x14ac:dyDescent="0.3">
      <c r="A33" s="34" t="s">
        <v>49</v>
      </c>
      <c r="B33" s="35">
        <v>10.6456</v>
      </c>
      <c r="C33" s="35">
        <v>0.56320000000000003</v>
      </c>
      <c r="D33" s="36"/>
      <c r="E33" s="36"/>
      <c r="T33" s="33"/>
      <c r="U33" s="33"/>
      <c r="V33" s="33"/>
      <c r="W33" s="33"/>
      <c r="X33" s="33"/>
      <c r="Y33" s="33"/>
      <c r="Z33" s="33"/>
      <c r="AC33" s="51">
        <f t="shared" si="22"/>
        <v>0.99999996385367351</v>
      </c>
      <c r="AD33" s="86">
        <f t="shared" si="23"/>
        <v>0.99952591641617528</v>
      </c>
      <c r="AE33" s="87">
        <f>AN13</f>
        <v>1.8285476601159666E-5</v>
      </c>
      <c r="AF33" s="88">
        <f t="shared" si="25"/>
        <v>4.5576196089704016E-4</v>
      </c>
      <c r="AH33" s="126">
        <v>5</v>
      </c>
      <c r="AI33" s="92">
        <v>0.99952591641617528</v>
      </c>
      <c r="AJ33" s="93">
        <v>1.8321623448254651E-5</v>
      </c>
      <c r="AK33" s="93">
        <v>4.557619603764523E-4</v>
      </c>
      <c r="AL33" s="98">
        <f t="shared" si="26"/>
        <v>1</v>
      </c>
      <c r="AM33" s="93">
        <v>1.9121284769899548E-3</v>
      </c>
      <c r="AN33" s="93">
        <v>1.3743625617814831E-4</v>
      </c>
      <c r="AO33" s="94">
        <v>0.99795043526683191</v>
      </c>
      <c r="AP33" s="64">
        <f t="shared" si="27"/>
        <v>1</v>
      </c>
      <c r="AQ33" s="4">
        <f>(AP24*AQ24+AP25*AQ25-(AP24+AP25)*AM29)/(AI33-AM29)</f>
        <v>7.7727695048576768</v>
      </c>
      <c r="AR33" s="6">
        <f>AR34+AQ32-AQ33</f>
        <v>10.02055302805816</v>
      </c>
      <c r="AS33" s="7">
        <f t="shared" si="29"/>
        <v>1.9130354156758019E-3</v>
      </c>
      <c r="AT33" s="8">
        <f t="shared" si="21"/>
        <v>7.5013143112730392</v>
      </c>
      <c r="AU33" s="9">
        <f t="shared" si="21"/>
        <v>2189.6308205330265</v>
      </c>
    </row>
    <row r="34" spans="1:47" ht="15.75" thickBot="1" x14ac:dyDescent="0.3">
      <c r="J34" s="33">
        <f>(J37+J42)/2</f>
        <v>0.15668649756114689</v>
      </c>
      <c r="K34" s="33">
        <f>(K37+K42)/2</f>
        <v>1.4599994813667377E-3</v>
      </c>
      <c r="L34" s="33"/>
      <c r="M34" s="33">
        <f>(M37+M42)/2</f>
        <v>3.6027026897037844E-2</v>
      </c>
      <c r="N34" s="33">
        <f t="shared" ref="N34" si="31">(N37+N42)/2</f>
        <v>0.59717004882482527</v>
      </c>
      <c r="T34" s="33"/>
      <c r="U34" s="33"/>
      <c r="V34" s="33"/>
      <c r="W34" s="33"/>
      <c r="X34" s="33"/>
      <c r="Y34" s="33"/>
      <c r="Z34" s="33"/>
      <c r="AM34" s="84">
        <v>0</v>
      </c>
      <c r="AN34">
        <f>AR25</f>
        <v>0</v>
      </c>
      <c r="AO34" s="85">
        <v>1</v>
      </c>
      <c r="AQ34" s="7"/>
      <c r="AR34" s="129">
        <f>AP25</f>
        <v>10</v>
      </c>
    </row>
    <row r="35" spans="1:47" ht="26.25" thickBot="1" x14ac:dyDescent="0.3">
      <c r="A35" s="107" t="s">
        <v>128</v>
      </c>
      <c r="B35" s="37" t="s">
        <v>129</v>
      </c>
      <c r="C35" s="37" t="s">
        <v>130</v>
      </c>
      <c r="D35" s="107" t="s">
        <v>53</v>
      </c>
      <c r="E35" s="107" t="s">
        <v>54</v>
      </c>
    </row>
    <row r="36" spans="1:47" ht="15.75" thickBot="1" x14ac:dyDescent="0.3">
      <c r="A36" s="108"/>
      <c r="B36" s="109" t="s">
        <v>55</v>
      </c>
      <c r="C36" s="109"/>
      <c r="D36" s="108"/>
      <c r="E36" s="108"/>
      <c r="I36" s="38" t="s">
        <v>56</v>
      </c>
      <c r="J36" s="39" t="s">
        <v>57</v>
      </c>
      <c r="K36" s="40" t="s">
        <v>58</v>
      </c>
      <c r="L36" s="41"/>
      <c r="M36" s="38" t="s">
        <v>59</v>
      </c>
      <c r="N36" s="39" t="s">
        <v>60</v>
      </c>
      <c r="O36" s="40" t="s">
        <v>61</v>
      </c>
      <c r="P36" s="42" t="s">
        <v>131</v>
      </c>
      <c r="Q36" s="43" t="s">
        <v>132</v>
      </c>
      <c r="R36" s="44" t="s">
        <v>133</v>
      </c>
      <c r="S36" s="42" t="s">
        <v>134</v>
      </c>
      <c r="T36" s="43" t="s">
        <v>135</v>
      </c>
      <c r="U36" s="44" t="s">
        <v>136</v>
      </c>
      <c r="V36" s="45" t="s">
        <v>68</v>
      </c>
      <c r="W36" s="46" t="s">
        <v>69</v>
      </c>
      <c r="X36" s="47" t="s">
        <v>70</v>
      </c>
      <c r="Y36" s="42" t="s">
        <v>137</v>
      </c>
      <c r="Z36" s="43" t="s">
        <v>138</v>
      </c>
      <c r="AA36" s="43" t="s">
        <v>139</v>
      </c>
      <c r="AB36" s="19" t="s">
        <v>74</v>
      </c>
      <c r="AC36" s="119" t="s">
        <v>75</v>
      </c>
      <c r="AD36" s="22" t="s">
        <v>76</v>
      </c>
    </row>
    <row r="37" spans="1:47" ht="15.75" thickBot="1" x14ac:dyDescent="0.3">
      <c r="I37" s="33">
        <f>1-J37-K37</f>
        <v>0.84185350296915218</v>
      </c>
      <c r="J37" s="5">
        <v>0.15668649754989511</v>
      </c>
      <c r="K37" s="6">
        <v>1.4599994809526031E-3</v>
      </c>
      <c r="L37" s="48"/>
      <c r="M37" s="48">
        <v>3.6027026868459426E-2</v>
      </c>
      <c r="N37" s="83">
        <v>0.59717004886770853</v>
      </c>
      <c r="O37" s="33">
        <f>1-M37-N37</f>
        <v>0.3668029242638321</v>
      </c>
      <c r="P37">
        <f>I37+N32*J37+P32*K37</f>
        <v>0.89239032017948339</v>
      </c>
      <c r="Q37">
        <f>M32*I37+J37+R32*K37</f>
        <v>0.52042201707606572</v>
      </c>
      <c r="R37">
        <f>O32*I37+Q32*J37+K37</f>
        <v>7.8462588762924723E-2</v>
      </c>
      <c r="S37">
        <f>J37*$H$32*$N$32+K37*$J$32*$P$32</f>
        <v>0.14369086809990783</v>
      </c>
      <c r="T37">
        <f>I37*$G$32*$M$32+K37*$L$32*$R$32</f>
        <v>0.76391639973843917</v>
      </c>
      <c r="U37">
        <f>I37*$I$32*$O$32+J37*$K$32*$Q$32</f>
        <v>0.45883392874243045</v>
      </c>
      <c r="V37">
        <f>S37/P37-I37*S37/P37^2+J37*$M$32/Q37*($G$32-T37/Q37)+K37*$O$32/R37*($I$32-U37/R37)</f>
        <v>9.3426123404373826E-2</v>
      </c>
      <c r="W37">
        <f>T37/Q37-J37*T37/Q37^2+(I37*$N$32/P37)*($H$32-S37/P37)+(K37*$Q$32/R37)*($K$32-U37/R37)</f>
        <v>1.8307671881217717</v>
      </c>
      <c r="X37">
        <f>U37/R37-K37*U37/R37^2+I37*$P$32/P37*($J$32-S37/P37)+J37*$R$32/Q37*($L$32-T37/Q37)</f>
        <v>5.8770511873800109</v>
      </c>
      <c r="Y37">
        <f>EXP(V37)</f>
        <v>1.097929489052224</v>
      </c>
      <c r="Z37">
        <f t="shared" ref="Z37:AA37" si="32">EXP(W37)</f>
        <v>6.238671057353919</v>
      </c>
      <c r="AA37">
        <f t="shared" si="32"/>
        <v>356.75568343774984</v>
      </c>
      <c r="AB37">
        <f>Y37/Y39</f>
        <v>4.2794888657648536E-2</v>
      </c>
      <c r="AC37">
        <f t="shared" ref="AC37:AD37" si="33">Z37/Z39</f>
        <v>3.8112412883042435</v>
      </c>
      <c r="AD37">
        <f t="shared" si="33"/>
        <v>251.23496880725924</v>
      </c>
    </row>
    <row r="38" spans="1:47" ht="15.75" thickBot="1" x14ac:dyDescent="0.3">
      <c r="P38" s="42" t="s">
        <v>140</v>
      </c>
      <c r="Q38" s="43" t="s">
        <v>141</v>
      </c>
      <c r="R38" s="44" t="s">
        <v>142</v>
      </c>
      <c r="S38" s="42" t="s">
        <v>143</v>
      </c>
      <c r="T38" s="43" t="s">
        <v>144</v>
      </c>
      <c r="U38" s="44" t="s">
        <v>145</v>
      </c>
      <c r="V38" s="45" t="s">
        <v>83</v>
      </c>
      <c r="W38" s="46" t="s">
        <v>84</v>
      </c>
      <c r="X38" s="47" t="s">
        <v>85</v>
      </c>
      <c r="Y38" s="42" t="s">
        <v>146</v>
      </c>
      <c r="Z38" s="43" t="s">
        <v>147</v>
      </c>
      <c r="AA38" s="43" t="s">
        <v>148</v>
      </c>
      <c r="AB38" s="19" t="s">
        <v>89</v>
      </c>
      <c r="AC38" s="119" t="s">
        <v>90</v>
      </c>
      <c r="AD38" s="22" t="s">
        <v>91</v>
      </c>
    </row>
    <row r="39" spans="1:47" x14ac:dyDescent="0.25">
      <c r="A39" s="49" t="s">
        <v>92</v>
      </c>
      <c r="B39">
        <f>8.314/1000</f>
        <v>8.3140000000000002E-3</v>
      </c>
      <c r="C39" t="s">
        <v>93</v>
      </c>
      <c r="P39">
        <f>M37+N32*N37+P32*O37</f>
        <v>0.25975687895352895</v>
      </c>
      <c r="Q39">
        <f>M32*M37+N37+R32*O37</f>
        <v>0.94953480557843939</v>
      </c>
      <c r="R39">
        <f>O32*M37+Q32*N37+O37</f>
        <v>0.48814130593998756</v>
      </c>
      <c r="S39">
        <f>N37*$H$32*$N$32+O37*$J$32*$P$32</f>
        <v>0.7383885815088832</v>
      </c>
      <c r="T39">
        <f>M37*$G$32*$M$32+O37*$L$32*$R$32</f>
        <v>0.10440360428295786</v>
      </c>
      <c r="U39">
        <f>M37*$I$32*$O$32+N37*$K$32*$Q$32</f>
        <v>0.49471785129929496</v>
      </c>
      <c r="V39">
        <f>S39/P39-M37*S39/P39^2+N37*$M$32/Q39*($G$32-T39/Q39)+O37*$O$32/R39*($I$32-U39/R39)</f>
        <v>3.2447627308170763</v>
      </c>
      <c r="W39">
        <f>T39/Q39-N37*T39/Q39^2+(M37*$N$32/P39)*($H$32-S39/P39)+(O37*$Q$32/R39)*($K$32-U39/R39)</f>
        <v>0.4928122545884468</v>
      </c>
      <c r="X39">
        <f>U39/R39-O37*U39/R39^2+M37*$P$32/P39*($J$32-S39/P39)+N37*$R$32/Q39*($L$32-T39/Q39)</f>
        <v>0.35066255543909991</v>
      </c>
      <c r="Y39">
        <f>EXP(V39)</f>
        <v>25.655622049527075</v>
      </c>
      <c r="Z39">
        <f t="shared" ref="Z39:AA39" si="34">EXP(W39)</f>
        <v>1.6369131696014254</v>
      </c>
      <c r="AA39">
        <f t="shared" si="34"/>
        <v>1.4200080710557585</v>
      </c>
      <c r="AB39">
        <f>Y39/Y37</f>
        <v>23.367276592301039</v>
      </c>
      <c r="AC39">
        <f t="shared" ref="AC39:AD39" si="35">Z39/Z37</f>
        <v>0.26238170830819674</v>
      </c>
      <c r="AD39">
        <f t="shared" si="35"/>
        <v>3.9803376287445612E-3</v>
      </c>
    </row>
    <row r="40" spans="1:47" ht="15.75" thickBot="1" x14ac:dyDescent="0.3">
      <c r="A40" s="49" t="s">
        <v>94</v>
      </c>
      <c r="B40">
        <v>318.14999999999998</v>
      </c>
      <c r="C40" t="s">
        <v>95</v>
      </c>
    </row>
    <row r="41" spans="1:47" ht="15.75" thickBot="1" x14ac:dyDescent="0.3">
      <c r="H41" s="50" t="s">
        <v>96</v>
      </c>
      <c r="I41" s="38" t="s">
        <v>56</v>
      </c>
      <c r="J41" s="39" t="s">
        <v>57</v>
      </c>
      <c r="K41" s="40" t="s">
        <v>58</v>
      </c>
      <c r="L41" s="41"/>
      <c r="M41" s="38" t="s">
        <v>59</v>
      </c>
      <c r="N41" s="39" t="s">
        <v>60</v>
      </c>
      <c r="O41" s="40" t="s">
        <v>61</v>
      </c>
      <c r="P41" s="50" t="s">
        <v>96</v>
      </c>
    </row>
    <row r="42" spans="1:47" x14ac:dyDescent="0.25">
      <c r="H42" s="51">
        <f>SUM(I42:K42)</f>
        <v>0.99999999868773215</v>
      </c>
      <c r="I42" s="33">
        <f>M37*AB39</f>
        <v>0.84185350163355255</v>
      </c>
      <c r="J42" s="65">
        <f t="shared" ref="J42:K42" si="36">N37*AC39</f>
        <v>0.15668649757239869</v>
      </c>
      <c r="K42" s="33">
        <f t="shared" si="36"/>
        <v>1.4599994817808724E-3</v>
      </c>
      <c r="L42" s="33"/>
      <c r="M42" s="33">
        <f>I37*AB37</f>
        <v>3.6027026925616261E-2</v>
      </c>
      <c r="N42" s="33">
        <f t="shared" ref="N42" si="37">J37*AC37</f>
        <v>0.59717004878194191</v>
      </c>
      <c r="O42" s="33">
        <f>K37*AD37</f>
        <v>0.36680292405574189</v>
      </c>
      <c r="P42" s="51">
        <f>SUM(M42:O42)</f>
        <v>0.99999999976330001</v>
      </c>
    </row>
  </sheetData>
  <mergeCells count="18">
    <mergeCell ref="A30:E30"/>
    <mergeCell ref="A35:A36"/>
    <mergeCell ref="D35:D36"/>
    <mergeCell ref="E35:E36"/>
    <mergeCell ref="B36:C36"/>
    <mergeCell ref="L14:M14"/>
    <mergeCell ref="P1:R1"/>
    <mergeCell ref="B7:C7"/>
    <mergeCell ref="D7:E7"/>
    <mergeCell ref="F7:G7"/>
    <mergeCell ref="H7:I7"/>
    <mergeCell ref="J7:K7"/>
    <mergeCell ref="L7:M7"/>
    <mergeCell ref="B14:C14"/>
    <mergeCell ref="D14:E14"/>
    <mergeCell ref="F14:G14"/>
    <mergeCell ref="H14:I14"/>
    <mergeCell ref="J14:K1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0]!NRTL">
                <anchor moveWithCells="1" sizeWithCells="1">
                  <from>
                    <xdr:col>6</xdr:col>
                    <xdr:colOff>123825</xdr:colOff>
                    <xdr:row>38</xdr:row>
                    <xdr:rowOff>9525</xdr:rowOff>
                  </from>
                  <to>
                    <xdr:col>8</xdr:col>
                    <xdr:colOff>76200</xdr:colOff>
                    <xdr:row>39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Worksheet____2"/>
  <dimension ref="A1:BA42"/>
  <sheetViews>
    <sheetView topLeftCell="AB14" workbookViewId="0">
      <selection activeCell="AF29" sqref="AF29"/>
    </sheetView>
  </sheetViews>
  <sheetFormatPr defaultRowHeight="15" x14ac:dyDescent="0.25"/>
  <cols>
    <col min="1" max="1" width="10.85546875" bestFit="1" customWidth="1"/>
    <col min="16" max="16" width="11" bestFit="1" customWidth="1"/>
    <col min="18" max="18" width="10" bestFit="1" customWidth="1"/>
    <col min="20" max="20" width="9.5703125" bestFit="1" customWidth="1"/>
    <col min="21" max="21" width="10.5703125" bestFit="1" customWidth="1"/>
    <col min="22" max="22" width="12.5703125" bestFit="1" customWidth="1"/>
    <col min="26" max="26" width="12" bestFit="1" customWidth="1"/>
    <col min="31" max="31" width="11.7109375" bestFit="1" customWidth="1"/>
    <col min="36" max="36" width="10" bestFit="1" customWidth="1"/>
  </cols>
  <sheetData>
    <row r="1" spans="1:51" ht="15.75" thickBot="1" x14ac:dyDescent="0.3">
      <c r="B1" t="s">
        <v>32</v>
      </c>
      <c r="P1" s="101" t="s">
        <v>27</v>
      </c>
      <c r="Q1" s="102"/>
      <c r="R1" s="103"/>
      <c r="S1" s="10" t="s">
        <v>26</v>
      </c>
      <c r="Z1">
        <v>1</v>
      </c>
      <c r="AA1">
        <v>2</v>
      </c>
      <c r="AB1">
        <v>3</v>
      </c>
      <c r="AC1">
        <v>4</v>
      </c>
      <c r="AD1">
        <v>5</v>
      </c>
      <c r="AE1" s="18" t="s">
        <v>24</v>
      </c>
      <c r="AG1" s="10" t="s">
        <v>28</v>
      </c>
      <c r="AN1" s="10" t="s">
        <v>29</v>
      </c>
    </row>
    <row r="2" spans="1:51" ht="15.75" thickBot="1" x14ac:dyDescent="0.3">
      <c r="A2" t="s">
        <v>0</v>
      </c>
      <c r="B2" t="s">
        <v>3</v>
      </c>
      <c r="D2" s="23"/>
      <c r="E2" s="23"/>
      <c r="F2" s="23"/>
      <c r="G2" s="23"/>
      <c r="H2" s="23"/>
      <c r="I2" s="23"/>
      <c r="J2" s="23"/>
      <c r="K2" s="23"/>
      <c r="L2" s="23"/>
      <c r="P2" s="16" t="s">
        <v>0</v>
      </c>
      <c r="Q2" s="14" t="s">
        <v>1</v>
      </c>
      <c r="R2" s="15" t="s">
        <v>2</v>
      </c>
      <c r="S2" s="13" t="s">
        <v>33</v>
      </c>
      <c r="U2" s="14" t="s">
        <v>97</v>
      </c>
      <c r="V2" s="14" t="s">
        <v>98</v>
      </c>
      <c r="W2" s="15" t="s">
        <v>99</v>
      </c>
      <c r="Y2" s="17" t="s">
        <v>20</v>
      </c>
      <c r="Z2" s="1">
        <f>-T$4*$U$4-S$4</f>
        <v>-2.8318602577836849</v>
      </c>
      <c r="AA2" s="2">
        <f>$T$5*$U$5</f>
        <v>-2.8825296009379478E-3</v>
      </c>
      <c r="AB2" s="2">
        <v>0</v>
      </c>
      <c r="AC2" s="2">
        <v>0</v>
      </c>
      <c r="AD2" s="2">
        <v>0</v>
      </c>
      <c r="AE2" s="11">
        <f>-$S$3*$P$3</f>
        <v>-8.75</v>
      </c>
      <c r="AH2" s="1">
        <f t="array" ref="AH2:AL6">MINVERSE(Z2:AD6)</f>
        <v>-0.35269026283813926</v>
      </c>
      <c r="AI2" s="2">
        <v>6.9493491921851557E-4</v>
      </c>
      <c r="AJ2" s="2">
        <v>-9.8493142414105384E-6</v>
      </c>
      <c r="AK2" s="2">
        <v>6.0066741089485586E-7</v>
      </c>
      <c r="AL2" s="3">
        <v>-2.3565393379869705E-9</v>
      </c>
      <c r="AN2" s="54">
        <f t="array" ref="AN2:AN6">MMULT(AH2:AL6,AE2:AE6)</f>
        <v>3.0860397998337183</v>
      </c>
    </row>
    <row r="3" spans="1:51" ht="26.25" customHeight="1" x14ac:dyDescent="0.25">
      <c r="A3" t="s">
        <v>1</v>
      </c>
      <c r="B3" t="s">
        <v>4</v>
      </c>
      <c r="D3" s="23"/>
      <c r="E3" s="23"/>
      <c r="F3" s="23"/>
      <c r="G3" s="23"/>
      <c r="H3" s="23"/>
      <c r="I3" s="23"/>
      <c r="J3" s="23"/>
      <c r="K3" s="23"/>
      <c r="L3" s="23"/>
      <c r="O3" s="11" t="s">
        <v>8</v>
      </c>
      <c r="P3" s="66">
        <f>AQ24</f>
        <v>0.35</v>
      </c>
      <c r="Q3" s="66">
        <f t="shared" ref="Q3:R3" si="0">AR24</f>
        <v>0.65</v>
      </c>
      <c r="R3" s="66">
        <f t="shared" si="0"/>
        <v>0</v>
      </c>
      <c r="S3" s="75">
        <f>AP24</f>
        <v>25</v>
      </c>
      <c r="U3" s="78" t="s">
        <v>100</v>
      </c>
      <c r="V3" s="79" t="s">
        <v>100</v>
      </c>
      <c r="W3" s="80" t="s">
        <v>100</v>
      </c>
      <c r="Z3" s="77">
        <f>$S$4</f>
        <v>1.7706138047791049</v>
      </c>
      <c r="AA3" s="5">
        <f>-$T$5*$U$5-$S$5</f>
        <v>-1.4424439188472227</v>
      </c>
      <c r="AB3" s="5">
        <f>$T$6*$U$6</f>
        <v>-1.6274227132426548E-2</v>
      </c>
      <c r="AC3" s="5">
        <v>0</v>
      </c>
      <c r="AD3" s="5">
        <v>0</v>
      </c>
      <c r="AE3" s="12">
        <v>0</v>
      </c>
      <c r="AH3" s="4">
        <v>-0.42686859520574405</v>
      </c>
      <c r="AI3" s="5">
        <v>-0.68271929587147151</v>
      </c>
      <c r="AJ3" s="5">
        <v>9.6761821830372921E-3</v>
      </c>
      <c r="AK3" s="5">
        <v>-5.9010882958685797E-4</v>
      </c>
      <c r="AL3" s="6">
        <v>2.3151158950727578E-6</v>
      </c>
      <c r="AN3" s="55">
        <v>3.7351002080502607</v>
      </c>
      <c r="AV3" s="25"/>
      <c r="AW3" s="25"/>
      <c r="AX3" s="25"/>
      <c r="AY3" s="25"/>
    </row>
    <row r="4" spans="1:51" x14ac:dyDescent="0.25">
      <c r="A4" t="s">
        <v>2</v>
      </c>
      <c r="B4" t="s">
        <v>5</v>
      </c>
      <c r="D4" s="23"/>
      <c r="E4" s="23"/>
      <c r="F4" s="23"/>
      <c r="G4" s="23"/>
      <c r="H4" s="23"/>
      <c r="I4" s="23"/>
      <c r="J4" s="23"/>
      <c r="K4" s="23"/>
      <c r="L4" s="23"/>
      <c r="O4" s="12" t="s">
        <v>9</v>
      </c>
      <c r="P4" s="69">
        <f>AI29</f>
        <v>0.79330509619608103</v>
      </c>
      <c r="Q4" s="70">
        <f t="shared" ref="Q4:R4" si="1">AJ29</f>
        <v>0.20475048861674922</v>
      </c>
      <c r="R4" s="71">
        <f t="shared" si="1"/>
        <v>1.9444151871696696E-3</v>
      </c>
      <c r="S4" s="75">
        <v>1.7706138047791049</v>
      </c>
      <c r="T4" s="24">
        <v>23.162114412389915</v>
      </c>
      <c r="U4" s="77">
        <v>4.5818202695557725E-2</v>
      </c>
      <c r="V4" s="77">
        <v>3.3127809282707634</v>
      </c>
      <c r="W4" s="77">
        <v>141.96345842795802</v>
      </c>
      <c r="Z4" s="4">
        <v>0</v>
      </c>
      <c r="AA4" s="82">
        <f>S5</f>
        <v>1.4453264484481607</v>
      </c>
      <c r="AB4" s="5">
        <f>-$T$6*$U$6-$S$6</f>
        <v>-1.081318005687381</v>
      </c>
      <c r="AC4" s="5">
        <f>$T$7*$U$7</f>
        <v>-3.1473678047020962E-2</v>
      </c>
      <c r="AD4" s="5">
        <v>0</v>
      </c>
      <c r="AE4" s="12">
        <v>0</v>
      </c>
      <c r="AH4" s="4">
        <v>-0.53730593900678425</v>
      </c>
      <c r="AI4" s="5">
        <v>-0.85934907478837974</v>
      </c>
      <c r="AJ4" s="5">
        <v>-0.85870679852431087</v>
      </c>
      <c r="AK4" s="5">
        <v>5.2368842819413716E-2</v>
      </c>
      <c r="AL4" s="6">
        <v>-2.0545352710839575E-4</v>
      </c>
      <c r="AN4" s="55">
        <v>4.701426966309362</v>
      </c>
      <c r="AV4" s="25"/>
      <c r="AW4" s="25"/>
      <c r="AX4" s="25"/>
      <c r="AY4" s="25"/>
    </row>
    <row r="5" spans="1:51" x14ac:dyDescent="0.25">
      <c r="O5" s="12" t="s">
        <v>10</v>
      </c>
      <c r="P5" s="69">
        <f t="shared" ref="P5:P8" si="2">AI30</f>
        <v>0.84145438508778803</v>
      </c>
      <c r="Q5" s="70">
        <f t="shared" ref="Q5:Q8" si="3">AJ30</f>
        <v>0.15708240356193673</v>
      </c>
      <c r="R5" s="71">
        <f t="shared" ref="R5:R8" si="4">AK30</f>
        <v>1.4632055588703363E-3</v>
      </c>
      <c r="S5" s="75">
        <v>1.4453264484481607</v>
      </c>
      <c r="T5" s="24">
        <v>-6.7271782830979898E-2</v>
      </c>
      <c r="U5" s="77">
        <v>4.2849014544185528E-2</v>
      </c>
      <c r="V5" s="77">
        <v>3.8065938297248207</v>
      </c>
      <c r="W5" s="77">
        <v>250.1327147054663</v>
      </c>
      <c r="Z5" s="4">
        <v>0</v>
      </c>
      <c r="AA5" s="5">
        <v>0</v>
      </c>
      <c r="AB5" s="82">
        <f>$S$6</f>
        <v>1.0975922328198076</v>
      </c>
      <c r="AC5" s="5">
        <f>-$T$7*$U$7-$S$7</f>
        <v>-0.51394306368427245</v>
      </c>
      <c r="AD5" s="5">
        <f>$T$8*$U$8</f>
        <v>-3.4537309908767806E-2</v>
      </c>
      <c r="AE5" s="12">
        <v>0</v>
      </c>
      <c r="AH5" s="4">
        <v>-1.1427289876397626</v>
      </c>
      <c r="AI5" s="5">
        <v>-1.8276423671722952</v>
      </c>
      <c r="AJ5" s="5">
        <v>-1.8262763898924212</v>
      </c>
      <c r="AK5" s="5">
        <v>-1.8262966435201764</v>
      </c>
      <c r="AL5" s="6">
        <v>7.1649298849584169E-3</v>
      </c>
      <c r="AN5" s="55">
        <v>9.9988786418479236</v>
      </c>
      <c r="AV5" s="33"/>
      <c r="AW5" s="33"/>
      <c r="AX5" s="33"/>
      <c r="AY5" s="33"/>
    </row>
    <row r="6" spans="1:51" ht="15.75" thickBot="1" x14ac:dyDescent="0.3">
      <c r="O6" s="12" t="s">
        <v>11</v>
      </c>
      <c r="P6" s="69">
        <f t="shared" si="2"/>
        <v>0.90470549420416013</v>
      </c>
      <c r="Q6" s="70">
        <f t="shared" si="3"/>
        <v>9.4332263741477865E-2</v>
      </c>
      <c r="R6" s="71">
        <f t="shared" si="4"/>
        <v>9.6224569732142741E-4</v>
      </c>
      <c r="S6" s="75">
        <v>1.0975922328198076</v>
      </c>
      <c r="T6" s="24">
        <v>-0.39255913916192409</v>
      </c>
      <c r="U6" s="77">
        <v>4.1456752649219816E-2</v>
      </c>
      <c r="V6" s="77">
        <v>4.8284745714000392</v>
      </c>
      <c r="W6" s="77">
        <v>526.90589354605856</v>
      </c>
      <c r="Z6" s="7">
        <v>0</v>
      </c>
      <c r="AA6" s="8">
        <v>0</v>
      </c>
      <c r="AB6" s="8">
        <v>0</v>
      </c>
      <c r="AC6" s="81">
        <f>S7</f>
        <v>0.5454167417312934</v>
      </c>
      <c r="AD6" s="8">
        <f>-$T$8*$U$8-$S$8</f>
        <v>-8.8033482777013177</v>
      </c>
      <c r="AE6" s="13">
        <f>-$T$9*$P$14</f>
        <v>0</v>
      </c>
      <c r="AH6" s="7">
        <v>-7.0798462296339126E-2</v>
      </c>
      <c r="AI6" s="8">
        <v>-0.11323268300972723</v>
      </c>
      <c r="AJ6" s="8">
        <v>-0.11314805306510094</v>
      </c>
      <c r="AK6" s="8">
        <v>-0.11314930789080019</v>
      </c>
      <c r="AL6" s="9">
        <v>-0.11314923548015153</v>
      </c>
      <c r="AN6" s="55">
        <v>0.61948654509296741</v>
      </c>
      <c r="AO6" s="5"/>
      <c r="AP6" s="5"/>
      <c r="AQ6" s="5"/>
      <c r="AR6" s="5"/>
      <c r="AS6" s="5"/>
      <c r="AV6" s="33"/>
      <c r="AW6" s="33"/>
      <c r="AX6" s="33"/>
      <c r="AY6" s="33"/>
    </row>
    <row r="7" spans="1:51" ht="15.75" thickBot="1" x14ac:dyDescent="0.3">
      <c r="B7" s="99" t="s">
        <v>8</v>
      </c>
      <c r="C7" s="100"/>
      <c r="D7" s="104" t="s">
        <v>9</v>
      </c>
      <c r="E7" s="105"/>
      <c r="F7" s="104" t="s">
        <v>10</v>
      </c>
      <c r="G7" s="105"/>
      <c r="H7" s="104" t="s">
        <v>11</v>
      </c>
      <c r="I7" s="105"/>
      <c r="J7" s="104" t="s">
        <v>12</v>
      </c>
      <c r="K7" s="105"/>
      <c r="L7" s="99" t="s">
        <v>13</v>
      </c>
      <c r="M7" s="100"/>
      <c r="O7" s="12" t="s">
        <v>12</v>
      </c>
      <c r="P7" s="69">
        <f t="shared" si="2"/>
        <v>0.91985572968276752</v>
      </c>
      <c r="Q7" s="70">
        <f t="shared" si="3"/>
        <v>7.92804553318876E-2</v>
      </c>
      <c r="R7" s="71">
        <f t="shared" si="4"/>
        <v>8.6381355240627736E-4</v>
      </c>
      <c r="S7" s="75">
        <v>0.5454167417312934</v>
      </c>
      <c r="T7" s="24">
        <v>-0.74029335479027725</v>
      </c>
      <c r="U7" s="77">
        <v>4.2515143278487696E-2</v>
      </c>
      <c r="V7" s="77">
        <v>5.1507259490414121</v>
      </c>
      <c r="W7" s="77">
        <v>639.6522657086964</v>
      </c>
      <c r="AU7" s="33"/>
      <c r="AV7" s="33"/>
      <c r="AW7" s="33"/>
      <c r="AX7" s="33"/>
      <c r="AY7" s="33"/>
    </row>
    <row r="8" spans="1:51" ht="15.75" thickBot="1" x14ac:dyDescent="0.3">
      <c r="A8" s="19" t="s">
        <v>6</v>
      </c>
      <c r="B8" s="19" t="s">
        <v>26</v>
      </c>
      <c r="C8" s="22" t="s">
        <v>27</v>
      </c>
      <c r="D8" s="19" t="s">
        <v>26</v>
      </c>
      <c r="E8" s="22" t="s">
        <v>27</v>
      </c>
      <c r="F8" s="19" t="s">
        <v>26</v>
      </c>
      <c r="G8" s="22" t="s">
        <v>27</v>
      </c>
      <c r="H8" s="19" t="s">
        <v>26</v>
      </c>
      <c r="I8" s="22" t="s">
        <v>27</v>
      </c>
      <c r="J8" s="19" t="s">
        <v>26</v>
      </c>
      <c r="K8" s="22" t="s">
        <v>27</v>
      </c>
      <c r="L8" s="19" t="s">
        <v>26</v>
      </c>
      <c r="M8" s="22" t="s">
        <v>27</v>
      </c>
      <c r="O8" s="12" t="s">
        <v>13</v>
      </c>
      <c r="P8" s="72">
        <f t="shared" si="2"/>
        <v>0.95340724996277937</v>
      </c>
      <c r="Q8" s="73">
        <f t="shared" si="3"/>
        <v>4.5920322633898808E-2</v>
      </c>
      <c r="R8" s="74">
        <f t="shared" si="4"/>
        <v>6.724273167195195E-4</v>
      </c>
      <c r="S8" s="75">
        <v>8.837885587610085</v>
      </c>
      <c r="T8" s="24">
        <v>-1.2924688458787914</v>
      </c>
      <c r="U8" s="77">
        <v>2.6721967046938584E-2</v>
      </c>
      <c r="V8" s="77">
        <v>6.1094201635836365</v>
      </c>
      <c r="W8" s="77">
        <v>1032.0469143384826</v>
      </c>
      <c r="Z8">
        <v>1</v>
      </c>
      <c r="AA8">
        <v>2</v>
      </c>
      <c r="AB8">
        <v>3</v>
      </c>
      <c r="AC8">
        <v>4</v>
      </c>
      <c r="AD8">
        <v>5</v>
      </c>
      <c r="AE8" s="17" t="s">
        <v>23</v>
      </c>
      <c r="AG8" s="10" t="s">
        <v>28</v>
      </c>
      <c r="AN8" s="10" t="s">
        <v>30</v>
      </c>
    </row>
    <row r="9" spans="1:51" ht="32.25" customHeight="1" thickBot="1" x14ac:dyDescent="0.3">
      <c r="A9" s="20" t="s">
        <v>0</v>
      </c>
      <c r="B9" s="4">
        <v>1</v>
      </c>
      <c r="C9" s="6">
        <v>0.5</v>
      </c>
      <c r="D9" s="4">
        <f>E9*D$12</f>
        <v>0.33701004552409997</v>
      </c>
      <c r="E9" s="24">
        <v>0.33701004552409997</v>
      </c>
      <c r="F9" s="4">
        <f>G9*F$12</f>
        <v>0.21993442010733988</v>
      </c>
      <c r="G9" s="24">
        <v>0.21993442010733988</v>
      </c>
      <c r="H9" s="4">
        <f>I9*H$12</f>
        <v>0.11338446354857679</v>
      </c>
      <c r="I9" s="24">
        <v>0.11338446354857679</v>
      </c>
      <c r="J9" s="4">
        <f>K9*J$12</f>
        <v>0.17401018475778407</v>
      </c>
      <c r="K9" s="24">
        <v>0.17401018475778407</v>
      </c>
      <c r="L9" s="4">
        <f>M9*L$12</f>
        <v>0.35867509548798571</v>
      </c>
      <c r="M9" s="24">
        <v>0.35867509548798571</v>
      </c>
      <c r="O9" s="1" t="s">
        <v>14</v>
      </c>
      <c r="P9" s="66">
        <f>AM29</f>
        <v>3.6313395111348207E-2</v>
      </c>
      <c r="Q9" s="67">
        <f t="shared" ref="Q9:R13" si="5">AN29</f>
        <v>0.6837735706588236</v>
      </c>
      <c r="R9" s="68">
        <f t="shared" si="5"/>
        <v>0.27991303422982816</v>
      </c>
      <c r="T9" s="76">
        <f>AP25</f>
        <v>10</v>
      </c>
      <c r="Y9" s="17" t="s">
        <v>21</v>
      </c>
      <c r="Z9" s="1">
        <f>-T$4*$V$4-S$4</f>
        <v>-78.501624688569791</v>
      </c>
      <c r="AA9" s="2">
        <f>$T$5*$V$5</f>
        <v>-0.25607635343899621</v>
      </c>
      <c r="AB9" s="2">
        <v>0</v>
      </c>
      <c r="AC9" s="2">
        <v>0</v>
      </c>
      <c r="AD9" s="2">
        <v>0</v>
      </c>
      <c r="AE9" s="11">
        <f>-$S$3*$Q$3</f>
        <v>-16.25</v>
      </c>
      <c r="AH9" s="1">
        <f t="array" ref="AH9:AL13">MINVERSE(Z9:AD13)</f>
        <v>-1.2707056876442212E-2</v>
      </c>
      <c r="AI9" s="2">
        <v>1.3980407147748419E-3</v>
      </c>
      <c r="AJ9" s="2">
        <v>-1.1010361961460075E-3</v>
      </c>
      <c r="AK9" s="2">
        <v>3.2146875592585656E-3</v>
      </c>
      <c r="AL9" s="3">
        <v>-2.6956851752679062E-2</v>
      </c>
      <c r="AN9">
        <f t="array" ref="AN9:AN13">MMULT(AH9:AL13,AE9:AE13)</f>
        <v>0.20648967424218595</v>
      </c>
    </row>
    <row r="10" spans="1:51" x14ac:dyDescent="0.25">
      <c r="A10" s="20" t="s">
        <v>1</v>
      </c>
      <c r="B10" s="4">
        <v>1</v>
      </c>
      <c r="C10" s="6">
        <v>0.5</v>
      </c>
      <c r="D10" s="4">
        <f t="shared" ref="D10:F11" si="6">E10*D$12</f>
        <v>0.2989146948222462</v>
      </c>
      <c r="E10" s="24">
        <v>0.2989146948222462</v>
      </c>
      <c r="F10" s="4">
        <f t="shared" si="6"/>
        <v>0.22620172172404962</v>
      </c>
      <c r="G10" s="24">
        <v>0.22620172172404962</v>
      </c>
      <c r="H10" s="4">
        <f t="shared" ref="H10" si="7">I10*H$12</f>
        <v>0.41208825958821926</v>
      </c>
      <c r="I10" s="24">
        <v>0.41208825958821926</v>
      </c>
      <c r="J10" s="4">
        <f t="shared" ref="J10" si="8">K10*J$12</f>
        <v>0.96537100529496689</v>
      </c>
      <c r="K10" s="24">
        <v>0.96537100529496689</v>
      </c>
      <c r="L10" s="4">
        <f t="shared" ref="L10" si="9">M10*L$12</f>
        <v>0.51954782447394887</v>
      </c>
      <c r="M10" s="24">
        <v>0.51954782447394887</v>
      </c>
      <c r="O10" s="4" t="s">
        <v>15</v>
      </c>
      <c r="P10" s="69">
        <f t="shared" ref="P10:P13" si="10">AM30</f>
        <v>3.6055491184895316E-2</v>
      </c>
      <c r="Q10" s="70">
        <f t="shared" si="5"/>
        <v>0.59794893020273843</v>
      </c>
      <c r="R10" s="71">
        <f t="shared" si="5"/>
        <v>0.3659955786123662</v>
      </c>
      <c r="Z10" s="4">
        <f>$S$4</f>
        <v>1.7706138047791049</v>
      </c>
      <c r="AA10" s="5">
        <f>-$T$5*$V$5-$S$5</f>
        <v>-1.1892500950091645</v>
      </c>
      <c r="AB10" s="5">
        <f>$T$6*$V$6</f>
        <v>-1.8954618212140397</v>
      </c>
      <c r="AC10" s="5">
        <v>0</v>
      </c>
      <c r="AD10" s="5">
        <v>0</v>
      </c>
      <c r="AE10" s="12">
        <v>0</v>
      </c>
      <c r="AH10" s="4">
        <v>-9.666609805943218E-3</v>
      </c>
      <c r="AI10" s="5">
        <v>-0.42857712559835914</v>
      </c>
      <c r="AJ10" s="5">
        <v>0.33752874514817288</v>
      </c>
      <c r="AK10" s="5">
        <v>-0.98548027913888747</v>
      </c>
      <c r="AL10" s="6">
        <v>8.2637722329888916</v>
      </c>
      <c r="AN10">
        <v>0.1570824093465773</v>
      </c>
    </row>
    <row r="11" spans="1:51" ht="15.75" thickBot="1" x14ac:dyDescent="0.3">
      <c r="A11" s="20" t="s">
        <v>2</v>
      </c>
      <c r="B11" s="4">
        <v>0</v>
      </c>
      <c r="C11" s="6">
        <v>0</v>
      </c>
      <c r="D11" s="4">
        <f t="shared" si="6"/>
        <v>0.58358224917894441</v>
      </c>
      <c r="E11" s="24">
        <v>0.58358224917894441</v>
      </c>
      <c r="F11" s="4">
        <f t="shared" si="6"/>
        <v>0.23965478913011784</v>
      </c>
      <c r="G11" s="24">
        <v>0.23965478913011784</v>
      </c>
      <c r="H11" s="4">
        <f t="shared" ref="H11" si="11">I11*H$12</f>
        <v>0.77023191804030156</v>
      </c>
      <c r="I11" s="24">
        <v>0.77023191804030156</v>
      </c>
      <c r="J11" s="4">
        <f t="shared" ref="J11" si="12">K11*J$12</f>
        <v>0.35681178465853447</v>
      </c>
      <c r="K11" s="24">
        <v>0.35681178465853447</v>
      </c>
      <c r="L11" s="4">
        <f t="shared" ref="L11" si="13">M11*L$12</f>
        <v>0.81124604697425418</v>
      </c>
      <c r="M11" s="24">
        <v>0.81124604697425418</v>
      </c>
      <c r="O11" s="4" t="s">
        <v>16</v>
      </c>
      <c r="P11" s="69">
        <f t="shared" si="10"/>
        <v>3.750615189361204E-2</v>
      </c>
      <c r="Q11" s="70">
        <f t="shared" si="5"/>
        <v>0.45548091914839106</v>
      </c>
      <c r="R11" s="71">
        <f t="shared" si="5"/>
        <v>0.50701292895799688</v>
      </c>
      <c r="Z11" s="4">
        <v>0</v>
      </c>
      <c r="AA11" s="82">
        <f>S5</f>
        <v>1.4453264484481607</v>
      </c>
      <c r="AB11" s="5">
        <f>-$T$6*$V$6-$S$6</f>
        <v>0.79786958839423217</v>
      </c>
      <c r="AC11" s="5">
        <f>$T$7*$V$7</f>
        <v>-3.8130481924212014</v>
      </c>
      <c r="AD11" s="5">
        <v>0</v>
      </c>
      <c r="AE11" s="12">
        <v>0</v>
      </c>
      <c r="AH11" s="4">
        <v>-5.8050621596586758E-3</v>
      </c>
      <c r="AI11" s="5">
        <v>-0.25737222296659773</v>
      </c>
      <c r="AJ11" s="5">
        <v>-0.21280069986632477</v>
      </c>
      <c r="AK11" s="5">
        <v>0.62131269149581525</v>
      </c>
      <c r="AL11" s="6">
        <v>-5.210034819238734</v>
      </c>
      <c r="AN11">
        <v>9.4332260094453488E-2</v>
      </c>
    </row>
    <row r="12" spans="1:51" ht="15.75" thickBot="1" x14ac:dyDescent="0.3">
      <c r="A12" s="21" t="s">
        <v>7</v>
      </c>
      <c r="B12" s="16">
        <f>SUM(B9:B11)</f>
        <v>2</v>
      </c>
      <c r="C12" s="15">
        <f>SUM(C9:C11)</f>
        <v>1</v>
      </c>
      <c r="D12" s="16">
        <v>1</v>
      </c>
      <c r="E12" s="15">
        <f t="shared" ref="E12:M12" si="14">SUM(E9:E11)</f>
        <v>1.2195069895252906</v>
      </c>
      <c r="F12" s="16">
        <v>1</v>
      </c>
      <c r="G12" s="15">
        <f t="shared" si="14"/>
        <v>0.68579093096150734</v>
      </c>
      <c r="H12" s="16">
        <v>1</v>
      </c>
      <c r="I12" s="15">
        <f t="shared" si="14"/>
        <v>1.2957046411770976</v>
      </c>
      <c r="J12" s="16">
        <v>1</v>
      </c>
      <c r="K12" s="15">
        <f t="shared" si="14"/>
        <v>1.4961929747112857</v>
      </c>
      <c r="L12" s="16">
        <v>1</v>
      </c>
      <c r="M12" s="15">
        <f t="shared" si="14"/>
        <v>1.6894689669361886</v>
      </c>
      <c r="O12" s="4" t="s">
        <v>17</v>
      </c>
      <c r="P12" s="69">
        <f t="shared" si="10"/>
        <v>3.9107798143000708E-2</v>
      </c>
      <c r="Q12" s="70">
        <f t="shared" si="5"/>
        <v>0.40835190591044623</v>
      </c>
      <c r="R12" s="71">
        <f t="shared" si="5"/>
        <v>0.55254029594655307</v>
      </c>
      <c r="Z12" s="4">
        <v>0</v>
      </c>
      <c r="AA12" s="5">
        <v>0</v>
      </c>
      <c r="AB12" s="5">
        <f>$S$6</f>
        <v>1.0975922328198076</v>
      </c>
      <c r="AC12" s="5">
        <f>-$T$7*$V$7-$S$7</f>
        <v>3.2676314506899082</v>
      </c>
      <c r="AD12" s="5">
        <f>$T$8*$V$8</f>
        <v>-7.8962352278155601</v>
      </c>
      <c r="AE12" s="12">
        <v>0</v>
      </c>
      <c r="AH12" s="4">
        <v>-4.878797339163795E-3</v>
      </c>
      <c r="AI12" s="5">
        <v>-0.21630550751207434</v>
      </c>
      <c r="AJ12" s="5">
        <v>-0.17884588652553959</v>
      </c>
      <c r="AK12" s="5">
        <v>-0.24353592285598208</v>
      </c>
      <c r="AL12" s="6">
        <v>2.0421772405137659</v>
      </c>
      <c r="AN12">
        <v>7.9280456761411669E-2</v>
      </c>
    </row>
    <row r="13" spans="1:51" ht="15.75" thickBot="1" x14ac:dyDescent="0.3">
      <c r="O13" s="4" t="s">
        <v>18</v>
      </c>
      <c r="P13" s="69">
        <f t="shared" si="10"/>
        <v>2.5476917115817729E-2</v>
      </c>
      <c r="Q13" s="70">
        <f t="shared" si="5"/>
        <v>0.28054654554689673</v>
      </c>
      <c r="R13" s="71">
        <f t="shared" si="5"/>
        <v>0.69397653733728559</v>
      </c>
      <c r="V13" s="65"/>
      <c r="Z13" s="7">
        <v>0</v>
      </c>
      <c r="AA13" s="8">
        <v>0</v>
      </c>
      <c r="AB13" s="8">
        <v>0</v>
      </c>
      <c r="AC13" s="81">
        <f>S7</f>
        <v>0.5454167417312934</v>
      </c>
      <c r="AD13" s="8">
        <f>-$T$8*$V$8-$S$8</f>
        <v>-0.94165035979452494</v>
      </c>
      <c r="AE13" s="13">
        <f>-$T$9*$Q$14</f>
        <v>0</v>
      </c>
      <c r="AH13" s="7">
        <v>-2.8258660134475666E-3</v>
      </c>
      <c r="AI13" s="8">
        <v>-0.1252871024777315</v>
      </c>
      <c r="AJ13" s="8">
        <v>-0.10358997868602693</v>
      </c>
      <c r="AK13" s="8">
        <v>-0.14105933073462376</v>
      </c>
      <c r="AL13" s="9">
        <v>0.12089164027257678</v>
      </c>
      <c r="AN13">
        <v>4.5920322718522956E-2</v>
      </c>
      <c r="AO13" s="5"/>
      <c r="AP13" s="5"/>
      <c r="AQ13" s="5"/>
      <c r="AR13" s="5"/>
      <c r="AS13" s="5"/>
    </row>
    <row r="14" spans="1:51" ht="15.75" thickBot="1" x14ac:dyDescent="0.3">
      <c r="B14" s="99" t="s">
        <v>14</v>
      </c>
      <c r="C14" s="100"/>
      <c r="D14" s="104" t="s">
        <v>15</v>
      </c>
      <c r="E14" s="105"/>
      <c r="F14" s="104" t="s">
        <v>16</v>
      </c>
      <c r="G14" s="105"/>
      <c r="H14" s="104" t="s">
        <v>17</v>
      </c>
      <c r="I14" s="105"/>
      <c r="J14" s="104" t="s">
        <v>18</v>
      </c>
      <c r="K14" s="105"/>
      <c r="L14" s="99" t="s">
        <v>19</v>
      </c>
      <c r="M14" s="100"/>
      <c r="O14" s="7" t="s">
        <v>19</v>
      </c>
      <c r="P14" s="72">
        <f>AQ25</f>
        <v>0</v>
      </c>
      <c r="Q14" s="72">
        <f t="shared" ref="Q14:R14" si="15">AR25</f>
        <v>0</v>
      </c>
      <c r="R14" s="72">
        <f t="shared" si="15"/>
        <v>1</v>
      </c>
      <c r="T14" t="s">
        <v>100</v>
      </c>
      <c r="U14" t="s">
        <v>100</v>
      </c>
      <c r="V14" t="s">
        <v>100</v>
      </c>
    </row>
    <row r="15" spans="1:51" ht="15.75" thickBot="1" x14ac:dyDescent="0.3">
      <c r="A15" s="19" t="s">
        <v>6</v>
      </c>
      <c r="B15" s="19" t="s">
        <v>26</v>
      </c>
      <c r="C15" s="22" t="s">
        <v>27</v>
      </c>
      <c r="D15" s="19" t="s">
        <v>26</v>
      </c>
      <c r="E15" s="22" t="s">
        <v>27</v>
      </c>
      <c r="F15" s="19" t="s">
        <v>26</v>
      </c>
      <c r="G15" s="22" t="s">
        <v>27</v>
      </c>
      <c r="H15" s="19" t="s">
        <v>26</v>
      </c>
      <c r="I15" s="22" t="s">
        <v>27</v>
      </c>
      <c r="J15" s="19" t="s">
        <v>26</v>
      </c>
      <c r="K15" s="22" t="s">
        <v>27</v>
      </c>
      <c r="L15" s="19" t="s">
        <v>26</v>
      </c>
      <c r="M15" s="22" t="s">
        <v>27</v>
      </c>
      <c r="Z15">
        <v>1</v>
      </c>
      <c r="AA15">
        <v>2</v>
      </c>
      <c r="AB15">
        <v>3</v>
      </c>
      <c r="AC15">
        <v>4</v>
      </c>
      <c r="AD15">
        <v>5</v>
      </c>
      <c r="AE15" s="17" t="s">
        <v>25</v>
      </c>
      <c r="AG15" s="10" t="s">
        <v>28</v>
      </c>
      <c r="AN15" s="10" t="s">
        <v>31</v>
      </c>
    </row>
    <row r="16" spans="1:51" ht="15.75" thickBot="1" x14ac:dyDescent="0.3">
      <c r="A16" s="20" t="s">
        <v>0</v>
      </c>
      <c r="B16" s="4"/>
      <c r="C16" s="24">
        <v>0.40613552469959724</v>
      </c>
      <c r="D16" s="4">
        <f>E16*D$12</f>
        <v>8.608914409287205E-2</v>
      </c>
      <c r="E16" s="24">
        <v>8.608914409287205E-2</v>
      </c>
      <c r="F16" s="4">
        <f>G16*F$12</f>
        <v>0.54753130247804638</v>
      </c>
      <c r="G16" s="24">
        <v>0.54753130247804638</v>
      </c>
      <c r="H16" s="4">
        <f>I16*H$12</f>
        <v>0.29660621250550645</v>
      </c>
      <c r="I16" s="24">
        <v>0.29660621250550645</v>
      </c>
      <c r="J16" s="4">
        <f>K16*J$12</f>
        <v>3.6360345710894748E-2</v>
      </c>
      <c r="K16" s="24">
        <v>3.6360345710894748E-2</v>
      </c>
      <c r="L16" s="4">
        <f>M16*L$12</f>
        <v>0</v>
      </c>
      <c r="M16" s="6">
        <v>0</v>
      </c>
      <c r="P16" t="s">
        <v>3</v>
      </c>
      <c r="Q16" t="s">
        <v>101</v>
      </c>
      <c r="R16" t="s">
        <v>102</v>
      </c>
      <c r="Y16" s="17" t="s">
        <v>22</v>
      </c>
      <c r="Z16" s="1">
        <f>-T$4*$W$4-S$4</f>
        <v>-3289.9444802917023</v>
      </c>
      <c r="AA16" s="2">
        <f>$T$5*$W$5</f>
        <v>-16.826873662589581</v>
      </c>
      <c r="AB16" s="2">
        <v>0</v>
      </c>
      <c r="AC16" s="2">
        <v>0</v>
      </c>
      <c r="AD16" s="2">
        <v>0</v>
      </c>
      <c r="AE16" s="11">
        <f>-$S$3*$R$3</f>
        <v>0</v>
      </c>
      <c r="AH16" s="1">
        <f t="array" ref="AH16:AL20">MINVERSE(Z16:AD20)</f>
        <v>-3.0412017143926519E-4</v>
      </c>
      <c r="AI16" s="2">
        <v>-3.0412017037437732E-4</v>
      </c>
      <c r="AJ16" s="2">
        <v>-3.0412018277208421E-4</v>
      </c>
      <c r="AK16" s="2">
        <v>-3.0411784641892905E-4</v>
      </c>
      <c r="AL16" s="3">
        <v>-3.061462661143565E-4</v>
      </c>
      <c r="AN16">
        <f t="array" ref="AN16:AN20">MMULT(AH16:AL20,AE16:AE20)</f>
        <v>3.0614626611435648E-3</v>
      </c>
    </row>
    <row r="17" spans="1:53" x14ac:dyDescent="0.25">
      <c r="A17" s="20" t="s">
        <v>1</v>
      </c>
      <c r="B17" s="4"/>
      <c r="C17" s="24">
        <v>0.77899556492566902</v>
      </c>
      <c r="D17" s="4">
        <f t="shared" ref="D17" si="16">E17*D$12</f>
        <v>0.53113339372437696</v>
      </c>
      <c r="E17" s="24">
        <v>0.53113339372437696</v>
      </c>
      <c r="F17" s="4">
        <f t="shared" ref="F17" si="17">G17*F$12</f>
        <v>0.59958019396432627</v>
      </c>
      <c r="G17" s="24">
        <v>0.59958019396432627</v>
      </c>
      <c r="H17" s="4">
        <f t="shared" ref="H17" si="18">I17*H$12</f>
        <v>0.54179583785454166</v>
      </c>
      <c r="I17" s="24">
        <v>0.54179583785454166</v>
      </c>
      <c r="J17" s="4">
        <f t="shared" ref="J17" si="19">K17*J$12</f>
        <v>0.60914990625489707</v>
      </c>
      <c r="K17" s="24">
        <v>0.60914990625489707</v>
      </c>
      <c r="L17" s="4">
        <f t="shared" ref="L17" si="20">M17*L$12</f>
        <v>0</v>
      </c>
      <c r="M17" s="6">
        <v>0</v>
      </c>
      <c r="Z17" s="4">
        <f>$S$4</f>
        <v>1.7706138047791049</v>
      </c>
      <c r="AA17" s="5">
        <f>-$T$5*$W$5-$S$5</f>
        <v>15.38154721414142</v>
      </c>
      <c r="AB17" s="5">
        <f>$T$6*$W$6</f>
        <v>-206.84172398978515</v>
      </c>
      <c r="AC17" s="5">
        <v>0</v>
      </c>
      <c r="AD17" s="5">
        <v>0</v>
      </c>
      <c r="AE17" s="12">
        <v>0</v>
      </c>
      <c r="AH17" s="4">
        <v>3.2001153795658569E-5</v>
      </c>
      <c r="AI17" s="5">
        <v>5.9460746894000049E-2</v>
      </c>
      <c r="AJ17" s="5">
        <v>5.9460749317965918E-2</v>
      </c>
      <c r="AK17" s="5">
        <v>5.9460292520564284E-2</v>
      </c>
      <c r="AL17" s="6">
        <v>5.9856883611369406E-2</v>
      </c>
      <c r="AN17">
        <v>-0.59856883611369405</v>
      </c>
    </row>
    <row r="18" spans="1:53" ht="15.75" thickBot="1" x14ac:dyDescent="0.3">
      <c r="A18" s="20" t="s">
        <v>2</v>
      </c>
      <c r="B18" s="4"/>
      <c r="C18" s="24">
        <v>0.16088140093060987</v>
      </c>
      <c r="D18" s="4">
        <f t="shared" ref="D18" si="21">E18*D$12</f>
        <v>0.49313312305683477</v>
      </c>
      <c r="E18" s="24">
        <v>0.49313312305683477</v>
      </c>
      <c r="F18" s="4">
        <f t="shared" ref="F18" si="22">G18*F$12</f>
        <v>0.32672335614056636</v>
      </c>
      <c r="G18" s="24">
        <v>0.32672335614056636</v>
      </c>
      <c r="H18" s="4">
        <f t="shared" ref="H18" si="23">I18*H$12</f>
        <v>0.51891172587903966</v>
      </c>
      <c r="I18" s="24">
        <v>0.51891172587903966</v>
      </c>
      <c r="J18" s="4">
        <f t="shared" ref="J18" si="24">K18*J$12</f>
        <v>0.26621586582577594</v>
      </c>
      <c r="K18" s="24">
        <v>0.26621586582577594</v>
      </c>
      <c r="L18" s="4">
        <f t="shared" ref="L18" si="25">M18*L$12</f>
        <v>1</v>
      </c>
      <c r="M18" s="6">
        <v>1</v>
      </c>
      <c r="Z18" s="4">
        <v>0</v>
      </c>
      <c r="AA18" s="82">
        <f>S5</f>
        <v>1.4453264484481607</v>
      </c>
      <c r="AB18" s="5">
        <f>-$T$6*$W$6-$S$6</f>
        <v>205.74413175696534</v>
      </c>
      <c r="AC18" s="5">
        <f>$T$7*$W$7</f>
        <v>-473.53032168069268</v>
      </c>
      <c r="AD18" s="5">
        <v>0</v>
      </c>
      <c r="AE18" s="12">
        <v>0</v>
      </c>
      <c r="AH18" s="4">
        <v>-2.2361115037656474E-7</v>
      </c>
      <c r="AI18" s="5">
        <v>-4.1548770710326426E-4</v>
      </c>
      <c r="AJ18" s="5">
        <v>4.4191269826862039E-3</v>
      </c>
      <c r="AK18" s="5">
        <v>4.4190930334718674E-3</v>
      </c>
      <c r="AL18" s="6">
        <v>4.448567710642482E-3</v>
      </c>
      <c r="AN18">
        <v>-4.4485677106424822E-2</v>
      </c>
    </row>
    <row r="19" spans="1:53" ht="15.75" thickBot="1" x14ac:dyDescent="0.3">
      <c r="A19" s="21" t="s">
        <v>7</v>
      </c>
      <c r="B19" s="16">
        <f t="shared" ref="B19:M19" si="26">SUM(B16:B18)</f>
        <v>0</v>
      </c>
      <c r="C19" s="15">
        <f t="shared" si="26"/>
        <v>1.3460124905558761</v>
      </c>
      <c r="D19" s="16">
        <v>1</v>
      </c>
      <c r="E19" s="15">
        <f t="shared" si="26"/>
        <v>1.1103556608740837</v>
      </c>
      <c r="F19" s="16">
        <v>1</v>
      </c>
      <c r="G19" s="15">
        <f t="shared" si="26"/>
        <v>1.473834852582939</v>
      </c>
      <c r="H19" s="16">
        <v>1</v>
      </c>
      <c r="I19" s="15">
        <f t="shared" si="26"/>
        <v>1.3573137762390877</v>
      </c>
      <c r="J19" s="16">
        <v>1</v>
      </c>
      <c r="K19" s="15">
        <f t="shared" si="26"/>
        <v>0.91172611779156776</v>
      </c>
      <c r="L19" s="16">
        <f t="shared" si="26"/>
        <v>1</v>
      </c>
      <c r="M19" s="15">
        <f t="shared" si="26"/>
        <v>1</v>
      </c>
      <c r="Z19" s="4">
        <v>0</v>
      </c>
      <c r="AA19" s="5">
        <v>0</v>
      </c>
      <c r="AB19" s="5">
        <f>$S$6</f>
        <v>1.0975922328198076</v>
      </c>
      <c r="AC19" s="5">
        <f>-$T$7*$W$7-$S$7</f>
        <v>472.98490493896139</v>
      </c>
      <c r="AD19" s="5">
        <f>$T$8*$W$8</f>
        <v>-1333.8884842678265</v>
      </c>
      <c r="AE19" s="12">
        <v>0</v>
      </c>
      <c r="AH19" s="4">
        <v>5.1830255652677168E-10</v>
      </c>
      <c r="AI19" s="5">
        <v>9.6304831147471109E-7</v>
      </c>
      <c r="AJ19" s="5">
        <v>-1.0242981214870336E-5</v>
      </c>
      <c r="AK19" s="5">
        <v>2.1015380582289213E-3</v>
      </c>
      <c r="AL19" s="6">
        <v>2.1155549968538577E-3</v>
      </c>
      <c r="AN19">
        <v>-2.1155549968538578E-2</v>
      </c>
    </row>
    <row r="20" spans="1:53" ht="15.75" thickBot="1" x14ac:dyDescent="0.3">
      <c r="Z20" s="7">
        <v>0</v>
      </c>
      <c r="AA20" s="8">
        <v>0</v>
      </c>
      <c r="AB20" s="8">
        <v>0</v>
      </c>
      <c r="AC20" s="81">
        <f>S7</f>
        <v>0.5454167417312934</v>
      </c>
      <c r="AD20" s="8">
        <f>-$T$8*$W$8-$S$8</f>
        <v>1325.0505986802164</v>
      </c>
      <c r="AE20" s="13">
        <f>-$T$9*$R$14</f>
        <v>-10</v>
      </c>
      <c r="AH20" s="7">
        <v>-2.1334346921800463E-13</v>
      </c>
      <c r="AI20" s="8">
        <v>-3.9640952028362954E-10</v>
      </c>
      <c r="AJ20" s="8">
        <v>4.2162114000732583E-9</v>
      </c>
      <c r="AK20" s="8">
        <v>-8.650341666085697E-7</v>
      </c>
      <c r="AL20" s="9">
        <v>7.5381735752697932E-4</v>
      </c>
      <c r="AN20">
        <v>-7.5381735752697932E-3</v>
      </c>
      <c r="AO20" s="5"/>
      <c r="AP20" s="5"/>
      <c r="AQ20" s="5"/>
      <c r="AR20" s="5"/>
      <c r="AS20" s="5"/>
    </row>
    <row r="22" spans="1:53" ht="15.75" thickBot="1" x14ac:dyDescent="0.3"/>
    <row r="23" spans="1:53" ht="15.75" thickBot="1" x14ac:dyDescent="0.3">
      <c r="Y23" s="5"/>
      <c r="Z23" s="5"/>
      <c r="AA23" s="5"/>
      <c r="AB23" s="5"/>
      <c r="AC23" s="5"/>
      <c r="AD23" s="5"/>
      <c r="AE23" s="52"/>
      <c r="AF23" s="5"/>
      <c r="AG23" s="5"/>
      <c r="AH23" s="5"/>
      <c r="AI23" s="5"/>
      <c r="AJ23" s="5"/>
      <c r="AK23" s="5"/>
      <c r="AL23" s="5"/>
      <c r="AO23" s="11"/>
      <c r="AP23" s="16" t="s">
        <v>26</v>
      </c>
      <c r="AQ23" s="14" t="s">
        <v>29</v>
      </c>
      <c r="AR23" s="14" t="s">
        <v>30</v>
      </c>
      <c r="AS23" s="15" t="s">
        <v>31</v>
      </c>
    </row>
    <row r="24" spans="1:53" x14ac:dyDescent="0.25">
      <c r="Y24" s="52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O24" s="12" t="s">
        <v>8</v>
      </c>
      <c r="AP24" s="1">
        <v>25</v>
      </c>
      <c r="AQ24" s="2">
        <v>0.35</v>
      </c>
      <c r="AR24" s="2">
        <v>0.65</v>
      </c>
      <c r="AS24" s="3">
        <v>0</v>
      </c>
    </row>
    <row r="25" spans="1:53" ht="15.75" thickBot="1" x14ac:dyDescent="0.3"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O25" s="13" t="s">
        <v>19</v>
      </c>
      <c r="AP25" s="7">
        <v>10</v>
      </c>
      <c r="AQ25" s="8">
        <v>0</v>
      </c>
      <c r="AR25" s="8">
        <v>0</v>
      </c>
      <c r="AS25" s="9">
        <v>1</v>
      </c>
    </row>
    <row r="26" spans="1:53" x14ac:dyDescent="0.25"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53" ht="15.75" thickBot="1" x14ac:dyDescent="0.3"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Q27" t="s">
        <v>109</v>
      </c>
      <c r="AR27" t="s">
        <v>110</v>
      </c>
    </row>
    <row r="28" spans="1:53" ht="15.75" thickBot="1" x14ac:dyDescent="0.3">
      <c r="Y28" s="5"/>
      <c r="Z28" s="5"/>
      <c r="AA28" s="5"/>
      <c r="AB28" s="5"/>
      <c r="AC28" s="5"/>
      <c r="AD28" s="5" t="s">
        <v>113</v>
      </c>
      <c r="AE28" s="5"/>
      <c r="AF28" s="5"/>
      <c r="AG28" s="5"/>
      <c r="AH28" s="10" t="s">
        <v>6</v>
      </c>
      <c r="AI28" s="1" t="s">
        <v>103</v>
      </c>
      <c r="AJ28" s="2" t="s">
        <v>104</v>
      </c>
      <c r="AK28" s="2" t="s">
        <v>105</v>
      </c>
      <c r="AL28" s="53" t="s">
        <v>111</v>
      </c>
      <c r="AM28" s="1" t="s">
        <v>106</v>
      </c>
      <c r="AN28" s="2" t="s">
        <v>107</v>
      </c>
      <c r="AO28" s="2" t="s">
        <v>108</v>
      </c>
      <c r="AP28" s="53" t="s">
        <v>112</v>
      </c>
      <c r="AQ28">
        <f>AP24</f>
        <v>25</v>
      </c>
      <c r="AS28" t="s">
        <v>97</v>
      </c>
      <c r="AT28" t="s">
        <v>98</v>
      </c>
      <c r="AU28" t="s">
        <v>99</v>
      </c>
      <c r="AW28" t="s">
        <v>114</v>
      </c>
    </row>
    <row r="29" spans="1:53" ht="15.75" thickBot="1" x14ac:dyDescent="0.3">
      <c r="AD29" s="1">
        <f>AN2</f>
        <v>3.0860397998337183</v>
      </c>
      <c r="AE29" s="2">
        <f>AN9</f>
        <v>0.20648967424218595</v>
      </c>
      <c r="AF29" s="3">
        <f>AN16</f>
        <v>3.0614626611435648E-3</v>
      </c>
      <c r="AH29" s="56">
        <v>1</v>
      </c>
      <c r="AI29" s="1">
        <v>0.79330509619608103</v>
      </c>
      <c r="AJ29" s="2">
        <v>0.20475048861674922</v>
      </c>
      <c r="AK29" s="3">
        <v>1.9444151871696696E-3</v>
      </c>
      <c r="AL29" s="62"/>
      <c r="AM29" s="1">
        <v>3.6313395111348207E-2</v>
      </c>
      <c r="AN29" s="2">
        <v>0.6837735706588236</v>
      </c>
      <c r="AO29" s="3">
        <v>0.27991303422982816</v>
      </c>
      <c r="AP29" s="59">
        <f>SUM(AM29:AO29)</f>
        <v>1</v>
      </c>
      <c r="AQ29">
        <f>(AR31*(AN30-AN31)+AQ30*(AJ30-AN30))/(AJ29-AN30)</f>
        <v>1.7012900271166036</v>
      </c>
      <c r="AR29">
        <f>AP24+AP25-AQ33</f>
        <v>22.956359872986585</v>
      </c>
      <c r="AS29">
        <f>AM29/AI29</f>
        <v>4.5774816379564306E-2</v>
      </c>
      <c r="AT29">
        <f t="shared" ref="AT29:AU29" si="27">AN29/AJ29</f>
        <v>3.3395454891377918</v>
      </c>
      <c r="AU29">
        <f t="shared" si="27"/>
        <v>143.95744081657543</v>
      </c>
      <c r="AW29">
        <f>(AQ29+S4)/2</f>
        <v>1.7359519159478543</v>
      </c>
      <c r="AX29">
        <f t="shared" ref="AX29:BA29" si="28">(AR29+T4)/2</f>
        <v>23.05923714268825</v>
      </c>
      <c r="AY29">
        <f t="shared" si="28"/>
        <v>4.5796509537561016E-2</v>
      </c>
      <c r="AZ29">
        <f t="shared" si="28"/>
        <v>3.3261632087042776</v>
      </c>
      <c r="BA29">
        <f t="shared" si="28"/>
        <v>142.96044962226671</v>
      </c>
    </row>
    <row r="30" spans="1:53" ht="15.75" customHeight="1" thickBot="1" x14ac:dyDescent="0.3">
      <c r="A30" s="106" t="s">
        <v>34</v>
      </c>
      <c r="B30" s="106"/>
      <c r="C30" s="106"/>
      <c r="D30" s="106"/>
      <c r="E30" s="106"/>
      <c r="T30" s="25"/>
      <c r="U30" s="25"/>
      <c r="V30" s="25"/>
      <c r="W30" s="25"/>
      <c r="X30" s="25"/>
      <c r="Y30" s="25"/>
      <c r="Z30" s="25"/>
      <c r="AD30" s="1">
        <f t="shared" ref="AD30:AD33" si="29">AN3</f>
        <v>3.7351002080502607</v>
      </c>
      <c r="AE30" s="2">
        <f t="shared" ref="AE30:AE33" si="30">AN10</f>
        <v>0.1570824093465773</v>
      </c>
      <c r="AF30" s="3">
        <f t="shared" ref="AF30:AF33" si="31">AN17</f>
        <v>-0.59856883611369405</v>
      </c>
      <c r="AH30" s="57">
        <v>2</v>
      </c>
      <c r="AI30" s="4">
        <v>0.84145438508778803</v>
      </c>
      <c r="AJ30" s="5">
        <v>0.15708240356193673</v>
      </c>
      <c r="AK30" s="6">
        <v>1.4632055588703363E-3</v>
      </c>
      <c r="AL30" s="63"/>
      <c r="AM30" s="4">
        <v>3.6055491184895316E-2</v>
      </c>
      <c r="AN30" s="5">
        <v>0.59794893020273843</v>
      </c>
      <c r="AO30" s="6">
        <v>0.3659955786123662</v>
      </c>
      <c r="AP30" s="60">
        <f t="shared" ref="AP30:AP33" si="32">SUM(AM30:AO30)</f>
        <v>0.99999999999999989</v>
      </c>
      <c r="AQ30">
        <f t="shared" ref="AQ30:AQ31" si="33">(AR32*(AN31-AN32)+AQ31*(AJ31-AN31))/(AJ30-AN31)</f>
        <v>1.2660627429700539</v>
      </c>
      <c r="AR30">
        <f t="shared" ref="AR30:AR32" si="34">AR31+AQ29-AQ30</f>
        <v>-0.34235009989681142</v>
      </c>
      <c r="AS30">
        <f t="shared" ref="AS30:AS33" si="35">AM30/AI30</f>
        <v>4.2849014544185528E-2</v>
      </c>
      <c r="AT30">
        <f t="shared" ref="AT30:AT33" si="36">AN30/AJ30</f>
        <v>3.8065939700685218</v>
      </c>
      <c r="AU30">
        <f t="shared" ref="AU30:AU33" si="37">AO30/AK30</f>
        <v>250.1327147054663</v>
      </c>
      <c r="AW30">
        <f t="shared" ref="AW30:AW33" si="38">(AQ30+S5)/2</f>
        <v>1.3556945957091073</v>
      </c>
      <c r="AX30">
        <f t="shared" ref="AX30:AX33" si="39">(AR30+T5)/2</f>
        <v>-0.20481094136389566</v>
      </c>
      <c r="AY30">
        <f t="shared" ref="AY30:AY33" si="40">(AS30+U5)/2</f>
        <v>4.2849014544185528E-2</v>
      </c>
      <c r="AZ30">
        <f t="shared" ref="AZ30:AZ33" si="41">(AT30+V5)/2</f>
        <v>3.8065938998966713</v>
      </c>
      <c r="BA30">
        <f t="shared" ref="BA30:BA33" si="42">(AU30+W5)/2</f>
        <v>250.1327147054663</v>
      </c>
    </row>
    <row r="31" spans="1:53" ht="18.75" thickBot="1" x14ac:dyDescent="0.4">
      <c r="A31" s="26" t="s">
        <v>35</v>
      </c>
      <c r="B31" s="27">
        <v>5.5736999999999997</v>
      </c>
      <c r="C31" s="27">
        <v>7.4991000000000003</v>
      </c>
      <c r="D31" s="26">
        <v>6.4999999999999997E-3</v>
      </c>
      <c r="E31" s="26">
        <v>0.4</v>
      </c>
      <c r="G31" s="28" t="s">
        <v>36</v>
      </c>
      <c r="H31" s="29" t="s">
        <v>37</v>
      </c>
      <c r="I31" s="29" t="s">
        <v>38</v>
      </c>
      <c r="J31" s="29" t="s">
        <v>39</v>
      </c>
      <c r="K31" s="29" t="s">
        <v>40</v>
      </c>
      <c r="L31" s="29" t="s">
        <v>41</v>
      </c>
      <c r="M31" s="29" t="s">
        <v>42</v>
      </c>
      <c r="N31" s="29" t="s">
        <v>43</v>
      </c>
      <c r="O31" s="29" t="s">
        <v>44</v>
      </c>
      <c r="P31" s="29" t="s">
        <v>45</v>
      </c>
      <c r="Q31" s="29" t="s">
        <v>46</v>
      </c>
      <c r="R31" s="30" t="s">
        <v>47</v>
      </c>
      <c r="T31" s="25"/>
      <c r="U31" s="25"/>
      <c r="V31" s="25"/>
      <c r="W31" s="25"/>
      <c r="X31" s="25"/>
      <c r="Y31" s="25"/>
      <c r="Z31" s="25"/>
      <c r="AD31" s="1">
        <f t="shared" si="29"/>
        <v>4.701426966309362</v>
      </c>
      <c r="AE31" s="2">
        <f t="shared" si="30"/>
        <v>9.4332260094453488E-2</v>
      </c>
      <c r="AF31" s="3">
        <f t="shared" si="31"/>
        <v>-4.4485677106424822E-2</v>
      </c>
      <c r="AH31" s="57">
        <v>3</v>
      </c>
      <c r="AI31" s="4">
        <v>0.90470549420416013</v>
      </c>
      <c r="AJ31" s="5">
        <v>9.4332263741477865E-2</v>
      </c>
      <c r="AK31" s="6">
        <v>9.6224569732142741E-4</v>
      </c>
      <c r="AL31" s="63"/>
      <c r="AM31" s="4">
        <v>3.750615189361204E-2</v>
      </c>
      <c r="AN31" s="5">
        <v>0.45548091914839106</v>
      </c>
      <c r="AO31" s="6">
        <v>0.50701292895799688</v>
      </c>
      <c r="AP31" s="60">
        <f t="shared" si="32"/>
        <v>1</v>
      </c>
      <c r="AQ31">
        <f t="shared" si="33"/>
        <v>0.89636590436757069</v>
      </c>
      <c r="AR31">
        <f t="shared" si="34"/>
        <v>-0.77757738404336108</v>
      </c>
      <c r="AS31">
        <f t="shared" si="35"/>
        <v>4.1456752649219816E-2</v>
      </c>
      <c r="AT31">
        <f t="shared" si="36"/>
        <v>4.8284743849321643</v>
      </c>
      <c r="AU31">
        <f t="shared" si="37"/>
        <v>526.90589354605856</v>
      </c>
      <c r="AW31">
        <f t="shared" si="38"/>
        <v>0.99697906859368912</v>
      </c>
      <c r="AX31">
        <f t="shared" si="39"/>
        <v>-0.58506826160264258</v>
      </c>
      <c r="AY31">
        <f t="shared" si="40"/>
        <v>4.1456752649219816E-2</v>
      </c>
      <c r="AZ31">
        <f t="shared" si="41"/>
        <v>4.8284744781661022</v>
      </c>
      <c r="BA31">
        <f t="shared" si="42"/>
        <v>526.90589354605856</v>
      </c>
    </row>
    <row r="32" spans="1:53" ht="15.75" thickBot="1" x14ac:dyDescent="0.3">
      <c r="A32" s="31" t="s">
        <v>48</v>
      </c>
      <c r="B32" s="32">
        <v>19.269400000000001</v>
      </c>
      <c r="C32" s="32">
        <v>16.212</v>
      </c>
      <c r="D32" s="31"/>
      <c r="E32" s="31"/>
      <c r="G32">
        <f>B31/$B$39/$B$40</f>
        <v>2.1071800296631609</v>
      </c>
      <c r="H32">
        <f>C31/$B$39/$B$40</f>
        <v>2.8350922655412045</v>
      </c>
      <c r="I32">
        <f>B32/$B$39/$B$40</f>
        <v>7.2849444468829168</v>
      </c>
      <c r="J32">
        <f>C32/$B$39/$B$40</f>
        <v>6.1290709297054313</v>
      </c>
      <c r="K32">
        <f>B33/$B$39/$B$40</f>
        <v>4.0246507210259157</v>
      </c>
      <c r="L32">
        <f>C33/$B$39/$B$40</f>
        <v>0.21292207917654202</v>
      </c>
      <c r="M32">
        <f>EXP(-$E$31*G32)</f>
        <v>0.43047242445194145</v>
      </c>
      <c r="N32">
        <f t="shared" ref="N32:R32" si="43">EXP(-$E$31*H32)</f>
        <v>0.32173183009668638</v>
      </c>
      <c r="O32">
        <f t="shared" si="43"/>
        <v>5.425946787469077E-2</v>
      </c>
      <c r="P32">
        <f t="shared" si="43"/>
        <v>8.6153182795249569E-2</v>
      </c>
      <c r="Q32">
        <f t="shared" si="43"/>
        <v>0.19991554264238187</v>
      </c>
      <c r="R32">
        <f t="shared" si="43"/>
        <v>0.91835722352796123</v>
      </c>
      <c r="T32" s="33"/>
      <c r="U32" s="33"/>
      <c r="V32" s="33"/>
      <c r="W32" s="33"/>
      <c r="X32" s="33"/>
      <c r="Y32" s="33"/>
      <c r="Z32" s="33"/>
      <c r="AD32" s="1">
        <f t="shared" si="29"/>
        <v>9.9988786418479236</v>
      </c>
      <c r="AE32" s="2">
        <f t="shared" si="30"/>
        <v>7.9280456761411669E-2</v>
      </c>
      <c r="AF32" s="3">
        <f t="shared" si="31"/>
        <v>-2.1155549968538578E-2</v>
      </c>
      <c r="AH32" s="57">
        <v>4</v>
      </c>
      <c r="AI32" s="4">
        <v>0.91985572968276752</v>
      </c>
      <c r="AJ32" s="5">
        <v>7.92804553318876E-2</v>
      </c>
      <c r="AK32" s="6">
        <v>8.6381355240627736E-4</v>
      </c>
      <c r="AL32" s="63"/>
      <c r="AM32" s="4">
        <v>3.9107798143000708E-2</v>
      </c>
      <c r="AN32" s="5">
        <v>0.40835190591044623</v>
      </c>
      <c r="AO32" s="6">
        <v>0.55254029594655307</v>
      </c>
      <c r="AP32" s="60">
        <f t="shared" si="32"/>
        <v>1</v>
      </c>
      <c r="AQ32">
        <f>(AR34*(AN33-AN34)+AQ33*(AJ33-AN33))/(AJ32-AN33)</f>
        <v>0.10080355629671636</v>
      </c>
      <c r="AR32">
        <f t="shared" si="34"/>
        <v>-1.1472742226458443</v>
      </c>
      <c r="AS32">
        <f t="shared" si="35"/>
        <v>4.2515143278487696E-2</v>
      </c>
      <c r="AT32">
        <f t="shared" si="36"/>
        <v>5.1507260421371717</v>
      </c>
      <c r="AU32">
        <f t="shared" si="37"/>
        <v>639.6522657086964</v>
      </c>
      <c r="AW32">
        <f t="shared" si="38"/>
        <v>0.32311014901400487</v>
      </c>
      <c r="AX32">
        <f t="shared" si="39"/>
        <v>-0.94378378871806079</v>
      </c>
      <c r="AY32">
        <f t="shared" si="40"/>
        <v>4.2515143278487696E-2</v>
      </c>
      <c r="AZ32">
        <f t="shared" si="41"/>
        <v>5.1507259955892923</v>
      </c>
      <c r="BA32">
        <f t="shared" si="42"/>
        <v>639.6522657086964</v>
      </c>
    </row>
    <row r="33" spans="1:53" ht="15.75" thickBot="1" x14ac:dyDescent="0.3">
      <c r="A33" s="34" t="s">
        <v>49</v>
      </c>
      <c r="B33" s="35">
        <v>10.6456</v>
      </c>
      <c r="C33" s="35">
        <v>0.56320000000000003</v>
      </c>
      <c r="D33" s="36"/>
      <c r="E33" s="36"/>
      <c r="T33" s="33"/>
      <c r="U33" s="33"/>
      <c r="V33" s="33"/>
      <c r="W33" s="33"/>
      <c r="X33" s="33"/>
      <c r="Y33" s="33"/>
      <c r="Z33" s="33"/>
      <c r="AD33" s="1">
        <f t="shared" si="29"/>
        <v>0.61948654509296741</v>
      </c>
      <c r="AE33" s="2">
        <f t="shared" si="30"/>
        <v>4.5920322718522956E-2</v>
      </c>
      <c r="AF33" s="3">
        <f t="shared" si="31"/>
        <v>-7.5381735752697932E-3</v>
      </c>
      <c r="AH33" s="58">
        <v>5</v>
      </c>
      <c r="AI33" s="7">
        <v>0.95340724996277937</v>
      </c>
      <c r="AJ33" s="8">
        <v>4.5920322633898808E-2</v>
      </c>
      <c r="AK33" s="9">
        <v>6.724273167195195E-4</v>
      </c>
      <c r="AL33" s="64"/>
      <c r="AM33" s="7">
        <v>2.5476917115817729E-2</v>
      </c>
      <c r="AN33" s="8">
        <v>0.28054654554689673</v>
      </c>
      <c r="AO33" s="9">
        <v>0.69397653733728559</v>
      </c>
      <c r="AP33" s="61">
        <f t="shared" si="32"/>
        <v>1</v>
      </c>
      <c r="AQ33">
        <f>(AP24*AR24+AP25*AR25-(AP24+AP25)*AN29)/(AJ33-AN29)</f>
        <v>12.043640127013415</v>
      </c>
      <c r="AR33">
        <f>AR34+AQ32-AQ33</f>
        <v>-1.9428365707166986</v>
      </c>
      <c r="AS33">
        <f t="shared" si="35"/>
        <v>2.6721967046938584E-2</v>
      </c>
      <c r="AT33">
        <f t="shared" si="36"/>
        <v>6.1094201751055355</v>
      </c>
      <c r="AU33">
        <f t="shared" si="37"/>
        <v>1032.0469143384826</v>
      </c>
      <c r="AW33">
        <f t="shared" si="38"/>
        <v>10.44076285731175</v>
      </c>
      <c r="AX33">
        <f t="shared" si="39"/>
        <v>-1.617652708297745</v>
      </c>
      <c r="AY33">
        <f t="shared" si="40"/>
        <v>2.6721967046938584E-2</v>
      </c>
      <c r="AZ33">
        <f t="shared" si="41"/>
        <v>6.1094201693445864</v>
      </c>
      <c r="BA33">
        <f t="shared" si="42"/>
        <v>1032.0469143384826</v>
      </c>
    </row>
    <row r="34" spans="1:53" ht="15.75" thickBot="1" x14ac:dyDescent="0.3">
      <c r="J34" s="33">
        <f>(J37+J42)/2</f>
        <v>0.20481949324426657</v>
      </c>
      <c r="K34" s="33">
        <f>(K37+K42)/2</f>
        <v>1.945848578645919E-3</v>
      </c>
      <c r="L34" s="33"/>
      <c r="M34" s="33">
        <f>(M37+M42)/2</f>
        <v>3.6306078795908373E-2</v>
      </c>
      <c r="N34" s="33">
        <f t="shared" ref="N34" si="44">(N37+N42)/2</f>
        <v>0.68354321740353985</v>
      </c>
      <c r="T34" s="33"/>
      <c r="U34" s="33"/>
      <c r="V34" s="33"/>
      <c r="W34" s="33"/>
      <c r="X34" s="33"/>
      <c r="Y34" s="33"/>
      <c r="Z34" s="33"/>
      <c r="AN34">
        <v>0</v>
      </c>
      <c r="AR34">
        <f>AP25</f>
        <v>10</v>
      </c>
    </row>
    <row r="35" spans="1:53" ht="29.25" thickBot="1" x14ac:dyDescent="0.3">
      <c r="A35" s="107" t="s">
        <v>50</v>
      </c>
      <c r="B35" s="37" t="s">
        <v>51</v>
      </c>
      <c r="C35" s="37" t="s">
        <v>52</v>
      </c>
      <c r="D35" s="107" t="s">
        <v>53</v>
      </c>
      <c r="E35" s="107" t="s">
        <v>54</v>
      </c>
    </row>
    <row r="36" spans="1:53" ht="18.75" customHeight="1" thickBot="1" x14ac:dyDescent="0.3">
      <c r="A36" s="108"/>
      <c r="B36" s="109" t="s">
        <v>55</v>
      </c>
      <c r="C36" s="109"/>
      <c r="D36" s="108"/>
      <c r="E36" s="108"/>
      <c r="I36" s="38" t="s">
        <v>56</v>
      </c>
      <c r="J36" s="39" t="s">
        <v>57</v>
      </c>
      <c r="K36" s="40" t="s">
        <v>58</v>
      </c>
      <c r="L36" s="41"/>
      <c r="M36" s="38" t="s">
        <v>59</v>
      </c>
      <c r="N36" s="39" t="s">
        <v>60</v>
      </c>
      <c r="O36" s="40" t="s">
        <v>61</v>
      </c>
      <c r="P36" s="42" t="s">
        <v>62</v>
      </c>
      <c r="Q36" s="43" t="s">
        <v>63</v>
      </c>
      <c r="R36" s="44" t="s">
        <v>64</v>
      </c>
      <c r="S36" s="42" t="s">
        <v>65</v>
      </c>
      <c r="T36" s="43" t="s">
        <v>66</v>
      </c>
      <c r="U36" s="44" t="s">
        <v>67</v>
      </c>
      <c r="V36" s="45" t="s">
        <v>68</v>
      </c>
      <c r="W36" s="46" t="s">
        <v>69</v>
      </c>
      <c r="X36" s="47" t="s">
        <v>70</v>
      </c>
      <c r="Y36" s="42" t="s">
        <v>71</v>
      </c>
      <c r="Z36" s="43" t="s">
        <v>72</v>
      </c>
      <c r="AA36" s="43" t="s">
        <v>73</v>
      </c>
      <c r="AB36" t="s">
        <v>74</v>
      </c>
      <c r="AC36" t="s">
        <v>75</v>
      </c>
      <c r="AD36" t="s">
        <v>76</v>
      </c>
    </row>
    <row r="37" spans="1:53" ht="15.75" thickBot="1" x14ac:dyDescent="0.3">
      <c r="I37" s="33">
        <f>1-J37-K37</f>
        <v>0.79324407676526709</v>
      </c>
      <c r="J37" s="5">
        <v>0.20481026659038437</v>
      </c>
      <c r="K37" s="6">
        <v>1.945656644348539E-3</v>
      </c>
      <c r="L37" s="48"/>
      <c r="M37" s="48">
        <v>3.6307057082368373E-2</v>
      </c>
      <c r="N37" s="48">
        <v>0.6835740094760161</v>
      </c>
      <c r="O37" s="33">
        <f>1-M37-N37</f>
        <v>0.28011893344161554</v>
      </c>
      <c r="P37">
        <f>I37+N32*J37+P32*K37</f>
        <v>0.85930568317051903</v>
      </c>
      <c r="Q37">
        <f>M32*I37+J37+R32*K37</f>
        <v>0.54806677533151349</v>
      </c>
      <c r="R37">
        <f>O32*I37+Q32*J37+K37</f>
        <v>8.593141372852986E-2</v>
      </c>
      <c r="S37">
        <f>J37*$H$32*$N$32+K37*$J$32*$P$32</f>
        <v>0.18784290093664602</v>
      </c>
      <c r="T37">
        <f>I37*$G$32*$M$32+K37*$L$32*$R$32</f>
        <v>0.71991858532595732</v>
      </c>
      <c r="U37">
        <f>I37*$I$32*$O$32+J37*$K$32*$Q$32</f>
        <v>0.47833964494991965</v>
      </c>
      <c r="V37">
        <f>S37/P37-I37*S37/P37^2+J37*$M$32/Q37*($G$32-T37/Q37)+K37*$O$32/R37*($I$32-U37/R37)</f>
        <v>0.14658281590368474</v>
      </c>
      <c r="W37">
        <f>T37/Q37-J37*T37/Q37^2+(I37*$N$32/P37)*($H$32-S37/P37)+(K37*$Q$32/R37)*($K$32-U37/R37)</f>
        <v>1.5928016350527563</v>
      </c>
      <c r="X37">
        <f>U37/R37-K37*U37/R37^2+I37*$P$32/P37*($J$32-S37/P37)+J37*$R$32/Q37*($L$32-T37/Q37)</f>
        <v>5.5328266303505007</v>
      </c>
      <c r="Y37">
        <f>EXP(V37)</f>
        <v>1.1578708169660099</v>
      </c>
      <c r="Z37">
        <f t="shared" ref="Z37:AA37" si="45">EXP(W37)</f>
        <v>4.9175067063518059</v>
      </c>
      <c r="AA37">
        <f t="shared" si="45"/>
        <v>252.8576368995044</v>
      </c>
      <c r="AB37">
        <f>Y37/Y39</f>
        <v>4.5767881000127034E-2</v>
      </c>
      <c r="AC37">
        <f t="shared" ref="AC37:AD37" si="46">Z37/Z39</f>
        <v>3.33729571622536</v>
      </c>
      <c r="AD37">
        <f t="shared" si="46"/>
        <v>143.94301227467676</v>
      </c>
    </row>
    <row r="38" spans="1:53" ht="18.75" thickBot="1" x14ac:dyDescent="0.3">
      <c r="P38" s="42" t="s">
        <v>77</v>
      </c>
      <c r="Q38" s="43" t="s">
        <v>78</v>
      </c>
      <c r="R38" s="44" t="s">
        <v>79</v>
      </c>
      <c r="S38" s="42" t="s">
        <v>80</v>
      </c>
      <c r="T38" s="43" t="s">
        <v>81</v>
      </c>
      <c r="U38" s="44" t="s">
        <v>82</v>
      </c>
      <c r="V38" s="45" t="s">
        <v>83</v>
      </c>
      <c r="W38" s="46" t="s">
        <v>84</v>
      </c>
      <c r="X38" s="47" t="s">
        <v>85</v>
      </c>
      <c r="Y38" s="42" t="s">
        <v>86</v>
      </c>
      <c r="Z38" s="43" t="s">
        <v>87</v>
      </c>
      <c r="AA38" s="43" t="s">
        <v>88</v>
      </c>
      <c r="AB38" t="s">
        <v>89</v>
      </c>
      <c r="AC38" t="s">
        <v>90</v>
      </c>
      <c r="AD38" t="s">
        <v>91</v>
      </c>
    </row>
    <row r="39" spans="1:53" x14ac:dyDescent="0.25">
      <c r="A39" s="49" t="s">
        <v>92</v>
      </c>
      <c r="B39">
        <f>8.314/1000</f>
        <v>8.3140000000000002E-3</v>
      </c>
      <c r="C39" t="s">
        <v>93</v>
      </c>
      <c r="P39">
        <f>M37+N32*N37+P32*O37</f>
        <v>0.28036771183482256</v>
      </c>
      <c r="Q39">
        <f>M32*M37+N37+R32*O37</f>
        <v>0.9564524423360341</v>
      </c>
      <c r="R39">
        <f>O32*M37+Q32*N37+O37</f>
        <v>0.41874600407962731</v>
      </c>
      <c r="S39">
        <f>N37*$H$32*$N$32+O37*$J$32*$P$32</f>
        <v>0.77142851521965894</v>
      </c>
      <c r="T39">
        <f>M37*$G$32*$M$32+O37*$L$32*$R$32</f>
        <v>8.7707554807260696E-2</v>
      </c>
      <c r="U39">
        <f>M37*$I$32*$O$32+N37*$K$32*$Q$32</f>
        <v>0.56434832364486831</v>
      </c>
      <c r="V39">
        <f>S39/P39-M37*S39/P39^2+N37*$M$32/Q39*($G$32-T39/Q39)+O37*$O$32/R39*($I$32-U39/R39)</f>
        <v>3.2307555379901167</v>
      </c>
      <c r="W39">
        <f>T39/Q39-N37*T39/Q39^2+(M37*$N$32/P39)*($H$32-S39/P39)+(O37*$Q$32/R39)*($K$32-U39/R39)</f>
        <v>0.38764082182132759</v>
      </c>
      <c r="X39">
        <f>U39/R39-O37*U39/R39^2+M37*$P$32/P39*($J$32-S39/P39)+N37*$R$32/Q39*($L$32-T39/Q39)</f>
        <v>0.56340915719596518</v>
      </c>
      <c r="Y39">
        <f>EXP(V39)</f>
        <v>25.298763929289105</v>
      </c>
      <c r="Z39">
        <f t="shared" ref="Z39:AA39" si="47">EXP(W39)</f>
        <v>1.4735004400250571</v>
      </c>
      <c r="AA39">
        <f t="shared" si="47"/>
        <v>1.7566510030858127</v>
      </c>
      <c r="AB39">
        <f>Y39/Y37</f>
        <v>21.849383850592176</v>
      </c>
      <c r="AC39">
        <f t="shared" ref="AC39:AD39" si="48">Z39/Z37</f>
        <v>0.29964380894931525</v>
      </c>
      <c r="AD39">
        <f t="shared" si="48"/>
        <v>6.9471937831325024E-3</v>
      </c>
    </row>
    <row r="40" spans="1:53" ht="15.75" thickBot="1" x14ac:dyDescent="0.3">
      <c r="A40" s="49" t="s">
        <v>94</v>
      </c>
      <c r="B40">
        <v>318.14999999999998</v>
      </c>
      <c r="C40" t="s">
        <v>95</v>
      </c>
    </row>
    <row r="41" spans="1:53" ht="15.75" thickBot="1" x14ac:dyDescent="0.3">
      <c r="H41" s="50" t="s">
        <v>96</v>
      </c>
      <c r="I41" s="38" t="s">
        <v>56</v>
      </c>
      <c r="J41" s="39" t="s">
        <v>57</v>
      </c>
      <c r="K41" s="40" t="s">
        <v>58</v>
      </c>
      <c r="L41" s="41"/>
      <c r="M41" s="38" t="s">
        <v>59</v>
      </c>
      <c r="N41" s="39" t="s">
        <v>60</v>
      </c>
      <c r="O41" s="40" t="s">
        <v>61</v>
      </c>
      <c r="P41" s="50" t="s">
        <v>96</v>
      </c>
    </row>
    <row r="42" spans="1:53" x14ac:dyDescent="0.25">
      <c r="H42" s="51">
        <f>SUM(I42:K42)</f>
        <v>1.0000615870891199</v>
      </c>
      <c r="I42" s="33">
        <f>M37*AB39</f>
        <v>0.79328682667802786</v>
      </c>
      <c r="J42" s="33">
        <f t="shared" ref="J42:K42" si="49">N37*AC39</f>
        <v>0.20482871989814877</v>
      </c>
      <c r="K42" s="33">
        <f t="shared" si="49"/>
        <v>1.9460405129432987E-3</v>
      </c>
      <c r="L42" s="33"/>
      <c r="M42" s="33">
        <f>I37*AB37</f>
        <v>3.6305100509448379E-2</v>
      </c>
      <c r="N42" s="33">
        <f t="shared" ref="N42" si="50">J37*AC37</f>
        <v>0.68351242533106371</v>
      </c>
      <c r="O42" s="33">
        <f>K37*AD37</f>
        <v>0.28006367823976813</v>
      </c>
      <c r="P42" s="51">
        <f>SUM(M42:O42)</f>
        <v>0.99988120408028025</v>
      </c>
    </row>
  </sheetData>
  <mergeCells count="18">
    <mergeCell ref="A30:E30"/>
    <mergeCell ref="A35:A36"/>
    <mergeCell ref="D35:D36"/>
    <mergeCell ref="E35:E36"/>
    <mergeCell ref="B36:C36"/>
    <mergeCell ref="P1:R1"/>
    <mergeCell ref="L14:M14"/>
    <mergeCell ref="B7:C7"/>
    <mergeCell ref="D7:E7"/>
    <mergeCell ref="F7:G7"/>
    <mergeCell ref="H7:I7"/>
    <mergeCell ref="J7:K7"/>
    <mergeCell ref="L7:M7"/>
    <mergeCell ref="B14:C14"/>
    <mergeCell ref="D14:E14"/>
    <mergeCell ref="F14:G14"/>
    <mergeCell ref="H14:I14"/>
    <mergeCell ref="J14:K14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 macro="[1]!NRTL">
                <anchor moveWithCells="1" sizeWithCells="1">
                  <from>
                    <xdr:col>6</xdr:col>
                    <xdr:colOff>28575</xdr:colOff>
                    <xdr:row>38</xdr:row>
                    <xdr:rowOff>9525</xdr:rowOff>
                  </from>
                  <to>
                    <xdr:col>7</xdr:col>
                    <xdr:colOff>590550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Button 5">
              <controlPr defaultSize="0" print="0" autoFill="0" autoPict="0" macro="[1]!NRTL">
                <anchor moveWithCells="1" sizeWithCells="1">
                  <from>
                    <xdr:col>6</xdr:col>
                    <xdr:colOff>28575</xdr:colOff>
                    <xdr:row>38</xdr:row>
                    <xdr:rowOff>9525</xdr:rowOff>
                  </from>
                  <to>
                    <xdr:col>7</xdr:col>
                    <xdr:colOff>590550</xdr:colOff>
                    <xdr:row>39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Vypocet cez A</vt:lpstr>
      <vt:lpstr>Vypocet cez 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2024-04-24T15:59:59Z</dcterms:modified>
</cp:coreProperties>
</file>