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6" sheetId="6" r:id="rId1"/>
    <sheet name="Лист1" sheetId="8" r:id="rId2"/>
  </sheets>
  <definedNames>
    <definedName name="solver_adj" localSheetId="0" hidden="1">Лист6!$C$58:$C$66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Лист6!$AJ$59:$AL$76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Лист6!$AR$59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W14" i="8" l="1"/>
  <c r="AL14" i="8"/>
  <c r="AL15" i="8"/>
  <c r="AL16" i="8"/>
  <c r="AL17" i="8"/>
  <c r="AL18" i="8"/>
  <c r="AL19" i="8"/>
  <c r="AL20" i="8"/>
  <c r="AL21" i="8"/>
  <c r="AL22" i="8"/>
  <c r="AS12" i="8"/>
  <c r="AS11" i="8"/>
  <c r="AR12" i="8"/>
  <c r="AR11" i="8"/>
  <c r="AR9" i="8"/>
  <c r="AR8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Q6" i="8"/>
  <c r="R6" i="8"/>
  <c r="S6" i="8"/>
  <c r="T6" i="8"/>
  <c r="U6" i="8"/>
  <c r="V6" i="8"/>
  <c r="Q7" i="8"/>
  <c r="R7" i="8"/>
  <c r="S7" i="8"/>
  <c r="T7" i="8"/>
  <c r="U7" i="8"/>
  <c r="V7" i="8"/>
  <c r="Q8" i="8"/>
  <c r="R8" i="8"/>
  <c r="S8" i="8"/>
  <c r="T8" i="8"/>
  <c r="U8" i="8"/>
  <c r="V8" i="8"/>
  <c r="Q9" i="8"/>
  <c r="R9" i="8"/>
  <c r="S9" i="8"/>
  <c r="T9" i="8"/>
  <c r="U9" i="8"/>
  <c r="V9" i="8"/>
  <c r="Q10" i="8"/>
  <c r="R10" i="8"/>
  <c r="S10" i="8"/>
  <c r="T10" i="8"/>
  <c r="U10" i="8"/>
  <c r="V10" i="8"/>
  <c r="Q11" i="8"/>
  <c r="R11" i="8"/>
  <c r="S11" i="8"/>
  <c r="T11" i="8"/>
  <c r="U11" i="8"/>
  <c r="V11" i="8"/>
  <c r="Q12" i="8"/>
  <c r="R12" i="8"/>
  <c r="S12" i="8"/>
  <c r="T12" i="8"/>
  <c r="U12" i="8"/>
  <c r="V12" i="8"/>
  <c r="Q13" i="8"/>
  <c r="R13" i="8"/>
  <c r="S13" i="8"/>
  <c r="T13" i="8"/>
  <c r="U13" i="8"/>
  <c r="V13" i="8"/>
  <c r="Q14" i="8"/>
  <c r="R14" i="8"/>
  <c r="S14" i="8"/>
  <c r="T14" i="8"/>
  <c r="U14" i="8"/>
  <c r="V14" i="8"/>
  <c r="Q15" i="8"/>
  <c r="R15" i="8"/>
  <c r="S15" i="8"/>
  <c r="T15" i="8"/>
  <c r="U15" i="8"/>
  <c r="V15" i="8"/>
  <c r="Q16" i="8"/>
  <c r="R16" i="8"/>
  <c r="S16" i="8"/>
  <c r="T16" i="8"/>
  <c r="U16" i="8"/>
  <c r="V16" i="8"/>
  <c r="Q17" i="8"/>
  <c r="R17" i="8"/>
  <c r="S17" i="8"/>
  <c r="T17" i="8"/>
  <c r="U17" i="8"/>
  <c r="V17" i="8"/>
  <c r="Q18" i="8"/>
  <c r="R18" i="8"/>
  <c r="S18" i="8"/>
  <c r="T18" i="8"/>
  <c r="U18" i="8"/>
  <c r="V18" i="8"/>
  <c r="Q19" i="8"/>
  <c r="R19" i="8"/>
  <c r="S19" i="8"/>
  <c r="T19" i="8"/>
  <c r="U19" i="8"/>
  <c r="V19" i="8"/>
  <c r="Q20" i="8"/>
  <c r="R20" i="8"/>
  <c r="S20" i="8"/>
  <c r="T20" i="8"/>
  <c r="U20" i="8"/>
  <c r="V20" i="8"/>
  <c r="Q21" i="8"/>
  <c r="R21" i="8"/>
  <c r="S21" i="8"/>
  <c r="T21" i="8"/>
  <c r="U21" i="8"/>
  <c r="V21" i="8"/>
  <c r="Q22" i="8"/>
  <c r="R22" i="8"/>
  <c r="S22" i="8"/>
  <c r="T22" i="8"/>
  <c r="U22" i="8"/>
  <c r="V22" i="8"/>
  <c r="V5" i="8"/>
  <c r="U5" i="8"/>
  <c r="T5" i="8"/>
  <c r="S5" i="8"/>
  <c r="R5" i="8"/>
  <c r="Q5" i="8"/>
  <c r="K6" i="8"/>
  <c r="L6" i="8"/>
  <c r="M6" i="8"/>
  <c r="N6" i="8"/>
  <c r="O6" i="8"/>
  <c r="P6" i="8"/>
  <c r="K7" i="8"/>
  <c r="L7" i="8"/>
  <c r="M7" i="8"/>
  <c r="N7" i="8"/>
  <c r="O7" i="8"/>
  <c r="P7" i="8"/>
  <c r="K8" i="8"/>
  <c r="L8" i="8"/>
  <c r="M8" i="8"/>
  <c r="N8" i="8"/>
  <c r="O8" i="8"/>
  <c r="P8" i="8"/>
  <c r="K9" i="8"/>
  <c r="L9" i="8"/>
  <c r="M9" i="8"/>
  <c r="N9" i="8"/>
  <c r="O9" i="8"/>
  <c r="P9" i="8"/>
  <c r="K10" i="8"/>
  <c r="L10" i="8"/>
  <c r="M10" i="8"/>
  <c r="N10" i="8"/>
  <c r="O10" i="8"/>
  <c r="P10" i="8"/>
  <c r="K11" i="8"/>
  <c r="L11" i="8"/>
  <c r="M11" i="8"/>
  <c r="N11" i="8"/>
  <c r="O11" i="8"/>
  <c r="P11" i="8"/>
  <c r="K12" i="8"/>
  <c r="L12" i="8"/>
  <c r="M12" i="8"/>
  <c r="N12" i="8"/>
  <c r="O12" i="8"/>
  <c r="P12" i="8"/>
  <c r="K13" i="8"/>
  <c r="L13" i="8"/>
  <c r="M13" i="8"/>
  <c r="N13" i="8"/>
  <c r="O13" i="8"/>
  <c r="P13" i="8"/>
  <c r="K14" i="8"/>
  <c r="L14" i="8"/>
  <c r="M14" i="8"/>
  <c r="N14" i="8"/>
  <c r="O14" i="8"/>
  <c r="P14" i="8"/>
  <c r="K15" i="8"/>
  <c r="L15" i="8"/>
  <c r="M15" i="8"/>
  <c r="N15" i="8"/>
  <c r="O15" i="8"/>
  <c r="P15" i="8"/>
  <c r="K16" i="8"/>
  <c r="L16" i="8"/>
  <c r="M16" i="8"/>
  <c r="N16" i="8"/>
  <c r="O16" i="8"/>
  <c r="P16" i="8"/>
  <c r="K17" i="8"/>
  <c r="L17" i="8"/>
  <c r="M17" i="8"/>
  <c r="N17" i="8"/>
  <c r="O17" i="8"/>
  <c r="P17" i="8"/>
  <c r="K18" i="8"/>
  <c r="L18" i="8"/>
  <c r="M18" i="8"/>
  <c r="N18" i="8"/>
  <c r="O18" i="8"/>
  <c r="P18" i="8"/>
  <c r="K19" i="8"/>
  <c r="L19" i="8"/>
  <c r="M19" i="8"/>
  <c r="N19" i="8"/>
  <c r="O19" i="8"/>
  <c r="P19" i="8"/>
  <c r="K20" i="8"/>
  <c r="L20" i="8"/>
  <c r="M20" i="8"/>
  <c r="N20" i="8"/>
  <c r="O20" i="8"/>
  <c r="P20" i="8"/>
  <c r="K21" i="8"/>
  <c r="L21" i="8"/>
  <c r="M21" i="8"/>
  <c r="N21" i="8"/>
  <c r="O21" i="8"/>
  <c r="P21" i="8"/>
  <c r="K22" i="8"/>
  <c r="L22" i="8"/>
  <c r="M22" i="8"/>
  <c r="N22" i="8"/>
  <c r="O22" i="8"/>
  <c r="P22" i="8"/>
  <c r="P5" i="8"/>
  <c r="O5" i="8"/>
  <c r="N5" i="8"/>
  <c r="M5" i="8"/>
  <c r="L5" i="8"/>
  <c r="K5" i="8"/>
  <c r="J22" i="8"/>
  <c r="J21" i="8"/>
  <c r="J20" i="8"/>
  <c r="J19" i="8"/>
  <c r="J18" i="8"/>
  <c r="J17" i="8"/>
  <c r="J16" i="8"/>
  <c r="J15" i="8"/>
  <c r="J14" i="8"/>
  <c r="J13" i="8"/>
  <c r="Y13" i="8" s="1"/>
  <c r="J12" i="8"/>
  <c r="Y12" i="8" s="1"/>
  <c r="J11" i="8"/>
  <c r="Y11" i="8" s="1"/>
  <c r="J10" i="8"/>
  <c r="Y10" i="8" s="1"/>
  <c r="J9" i="8"/>
  <c r="Y9" i="8" s="1"/>
  <c r="J8" i="8"/>
  <c r="J7" i="8"/>
  <c r="Y7" i="8" s="1"/>
  <c r="J6" i="8"/>
  <c r="J5" i="8"/>
  <c r="W5" i="8" s="1"/>
  <c r="G5" i="8"/>
  <c r="F5" i="8"/>
  <c r="W16" i="8" l="1"/>
  <c r="AB14" i="8"/>
  <c r="AB15" i="8"/>
  <c r="X6" i="8"/>
  <c r="AA6" i="8"/>
  <c r="Y6" i="8"/>
  <c r="X7" i="8"/>
  <c r="AA7" i="8"/>
  <c r="X5" i="8"/>
  <c r="Y5" i="8"/>
  <c r="AB6" i="8"/>
  <c r="AB7" i="8"/>
  <c r="X8" i="8"/>
  <c r="Y8" i="8"/>
  <c r="W6" i="8"/>
  <c r="W7" i="8"/>
  <c r="W8" i="8"/>
  <c r="W9" i="8"/>
  <c r="AB9" i="8"/>
  <c r="W10" i="8"/>
  <c r="AB10" i="8"/>
  <c r="W11" i="8"/>
  <c r="AB11" i="8"/>
  <c r="W12" i="8"/>
  <c r="AB12" i="8"/>
  <c r="W13" i="8"/>
  <c r="AB13" i="8"/>
  <c r="Y14" i="8"/>
  <c r="Y15" i="8"/>
  <c r="W15" i="8"/>
  <c r="Y17" i="8"/>
  <c r="X17" i="8"/>
  <c r="X18" i="8"/>
  <c r="Y18" i="8"/>
  <c r="AA18" i="8"/>
  <c r="Y19" i="8"/>
  <c r="X19" i="8"/>
  <c r="Y20" i="8"/>
  <c r="X20" i="8"/>
  <c r="Y21" i="8"/>
  <c r="X21" i="8"/>
  <c r="Y22" i="8"/>
  <c r="X22" i="8"/>
  <c r="X9" i="8"/>
  <c r="X10" i="8"/>
  <c r="X11" i="8"/>
  <c r="X12" i="8"/>
  <c r="X13" i="8"/>
  <c r="Z16" i="8"/>
  <c r="X14" i="8"/>
  <c r="X15" i="8"/>
  <c r="X16" i="8"/>
  <c r="Y16" i="8"/>
  <c r="AB18" i="8"/>
  <c r="W17" i="8"/>
  <c r="W18" i="8"/>
  <c r="W19" i="8"/>
  <c r="W20" i="8"/>
  <c r="W21" i="8"/>
  <c r="W22" i="8"/>
  <c r="L37" i="6"/>
  <c r="AA17" i="8" l="1"/>
  <c r="AB22" i="8"/>
  <c r="AB8" i="8"/>
  <c r="AB20" i="8"/>
  <c r="AB21" i="8"/>
  <c r="AB19" i="8"/>
  <c r="Z20" i="8"/>
  <c r="AA15" i="8"/>
  <c r="Z13" i="8"/>
  <c r="Z11" i="8"/>
  <c r="AA10" i="8"/>
  <c r="Z15" i="8"/>
  <c r="AA13" i="8"/>
  <c r="AD13" i="8" s="1"/>
  <c r="Z10" i="8"/>
  <c r="AA9" i="8"/>
  <c r="AA5" i="8"/>
  <c r="Z22" i="8"/>
  <c r="AB16" i="8"/>
  <c r="Z21" i="8"/>
  <c r="Z19" i="8"/>
  <c r="Z17" i="8"/>
  <c r="Z18" i="8"/>
  <c r="AC18" i="8" s="1"/>
  <c r="AA22" i="8"/>
  <c r="AD22" i="8" s="1"/>
  <c r="AA21" i="8"/>
  <c r="AA20" i="8"/>
  <c r="AD20" i="8" s="1"/>
  <c r="AA19" i="8"/>
  <c r="AD19" i="8" s="1"/>
  <c r="AB17" i="8"/>
  <c r="AE17" i="8" s="1"/>
  <c r="AA16" i="8"/>
  <c r="AD16" i="8" s="1"/>
  <c r="AA14" i="8"/>
  <c r="AE10" i="8"/>
  <c r="AA12" i="8"/>
  <c r="Z9" i="8"/>
  <c r="AC9" i="8" s="1"/>
  <c r="AA8" i="8"/>
  <c r="Z5" i="8"/>
  <c r="Z14" i="8"/>
  <c r="Z12" i="8"/>
  <c r="AA11" i="8"/>
  <c r="AD11" i="8" s="1"/>
  <c r="Z8" i="8"/>
  <c r="Z7" i="8"/>
  <c r="AC7" i="8" s="1"/>
  <c r="Z6" i="8"/>
  <c r="AC6" i="8" s="1"/>
  <c r="AB5" i="8"/>
  <c r="K60" i="6"/>
  <c r="Q60" i="6" s="1"/>
  <c r="L60" i="6"/>
  <c r="R60" i="6" s="1"/>
  <c r="M60" i="6"/>
  <c r="S60" i="6" s="1"/>
  <c r="N60" i="6"/>
  <c r="T60" i="6" s="1"/>
  <c r="O60" i="6"/>
  <c r="U60" i="6" s="1"/>
  <c r="P60" i="6"/>
  <c r="V60" i="6" s="1"/>
  <c r="K61" i="6"/>
  <c r="Q61" i="6" s="1"/>
  <c r="L61" i="6"/>
  <c r="R61" i="6" s="1"/>
  <c r="M61" i="6"/>
  <c r="S61" i="6" s="1"/>
  <c r="N61" i="6"/>
  <c r="T61" i="6" s="1"/>
  <c r="O61" i="6"/>
  <c r="U61" i="6" s="1"/>
  <c r="P61" i="6"/>
  <c r="V61" i="6" s="1"/>
  <c r="K62" i="6"/>
  <c r="Q62" i="6" s="1"/>
  <c r="L62" i="6"/>
  <c r="R62" i="6" s="1"/>
  <c r="M62" i="6"/>
  <c r="S62" i="6" s="1"/>
  <c r="N62" i="6"/>
  <c r="T62" i="6" s="1"/>
  <c r="O62" i="6"/>
  <c r="U62" i="6" s="1"/>
  <c r="P62" i="6"/>
  <c r="V62" i="6" s="1"/>
  <c r="K63" i="6"/>
  <c r="Q63" i="6" s="1"/>
  <c r="L63" i="6"/>
  <c r="R63" i="6" s="1"/>
  <c r="M63" i="6"/>
  <c r="S63" i="6" s="1"/>
  <c r="N63" i="6"/>
  <c r="T63" i="6" s="1"/>
  <c r="O63" i="6"/>
  <c r="U63" i="6" s="1"/>
  <c r="P63" i="6"/>
  <c r="V63" i="6" s="1"/>
  <c r="K64" i="6"/>
  <c r="Q64" i="6" s="1"/>
  <c r="L64" i="6"/>
  <c r="R64" i="6" s="1"/>
  <c r="M64" i="6"/>
  <c r="S64" i="6" s="1"/>
  <c r="N64" i="6"/>
  <c r="T64" i="6" s="1"/>
  <c r="O64" i="6"/>
  <c r="U64" i="6" s="1"/>
  <c r="P64" i="6"/>
  <c r="V64" i="6" s="1"/>
  <c r="K65" i="6"/>
  <c r="Q65" i="6" s="1"/>
  <c r="L65" i="6"/>
  <c r="R65" i="6" s="1"/>
  <c r="M65" i="6"/>
  <c r="S65" i="6" s="1"/>
  <c r="N65" i="6"/>
  <c r="T65" i="6" s="1"/>
  <c r="O65" i="6"/>
  <c r="U65" i="6" s="1"/>
  <c r="P65" i="6"/>
  <c r="V65" i="6" s="1"/>
  <c r="K66" i="6"/>
  <c r="Q66" i="6" s="1"/>
  <c r="L66" i="6"/>
  <c r="R66" i="6" s="1"/>
  <c r="M66" i="6"/>
  <c r="S66" i="6" s="1"/>
  <c r="N66" i="6"/>
  <c r="T66" i="6" s="1"/>
  <c r="O66" i="6"/>
  <c r="U66" i="6" s="1"/>
  <c r="P66" i="6"/>
  <c r="V66" i="6" s="1"/>
  <c r="K67" i="6"/>
  <c r="Q67" i="6" s="1"/>
  <c r="L67" i="6"/>
  <c r="R67" i="6" s="1"/>
  <c r="M67" i="6"/>
  <c r="S67" i="6" s="1"/>
  <c r="N67" i="6"/>
  <c r="T67" i="6" s="1"/>
  <c r="O67" i="6"/>
  <c r="U67" i="6" s="1"/>
  <c r="P67" i="6"/>
  <c r="V67" i="6" s="1"/>
  <c r="K68" i="6"/>
  <c r="Q68" i="6" s="1"/>
  <c r="L68" i="6"/>
  <c r="R68" i="6" s="1"/>
  <c r="M68" i="6"/>
  <c r="S68" i="6" s="1"/>
  <c r="N68" i="6"/>
  <c r="T68" i="6" s="1"/>
  <c r="O68" i="6"/>
  <c r="U68" i="6" s="1"/>
  <c r="P68" i="6"/>
  <c r="V68" i="6" s="1"/>
  <c r="K69" i="6"/>
  <c r="Q69" i="6" s="1"/>
  <c r="L69" i="6"/>
  <c r="R69" i="6" s="1"/>
  <c r="M69" i="6"/>
  <c r="S69" i="6" s="1"/>
  <c r="N69" i="6"/>
  <c r="T69" i="6" s="1"/>
  <c r="O69" i="6"/>
  <c r="U69" i="6" s="1"/>
  <c r="P69" i="6"/>
  <c r="V69" i="6" s="1"/>
  <c r="K70" i="6"/>
  <c r="Q70" i="6" s="1"/>
  <c r="L70" i="6"/>
  <c r="R70" i="6" s="1"/>
  <c r="M70" i="6"/>
  <c r="S70" i="6" s="1"/>
  <c r="N70" i="6"/>
  <c r="T70" i="6" s="1"/>
  <c r="O70" i="6"/>
  <c r="U70" i="6" s="1"/>
  <c r="P70" i="6"/>
  <c r="V70" i="6" s="1"/>
  <c r="K71" i="6"/>
  <c r="Q71" i="6" s="1"/>
  <c r="L71" i="6"/>
  <c r="R71" i="6" s="1"/>
  <c r="M71" i="6"/>
  <c r="S71" i="6" s="1"/>
  <c r="N71" i="6"/>
  <c r="T71" i="6" s="1"/>
  <c r="O71" i="6"/>
  <c r="U71" i="6" s="1"/>
  <c r="P71" i="6"/>
  <c r="V71" i="6" s="1"/>
  <c r="K72" i="6"/>
  <c r="Q72" i="6" s="1"/>
  <c r="L72" i="6"/>
  <c r="R72" i="6" s="1"/>
  <c r="M72" i="6"/>
  <c r="S72" i="6" s="1"/>
  <c r="N72" i="6"/>
  <c r="T72" i="6" s="1"/>
  <c r="O72" i="6"/>
  <c r="U72" i="6" s="1"/>
  <c r="P72" i="6"/>
  <c r="V72" i="6" s="1"/>
  <c r="K73" i="6"/>
  <c r="Q73" i="6" s="1"/>
  <c r="L73" i="6"/>
  <c r="R73" i="6" s="1"/>
  <c r="M73" i="6"/>
  <c r="S73" i="6" s="1"/>
  <c r="N73" i="6"/>
  <c r="T73" i="6" s="1"/>
  <c r="O73" i="6"/>
  <c r="U73" i="6" s="1"/>
  <c r="P73" i="6"/>
  <c r="V73" i="6" s="1"/>
  <c r="K74" i="6"/>
  <c r="Q74" i="6" s="1"/>
  <c r="L74" i="6"/>
  <c r="R74" i="6" s="1"/>
  <c r="M74" i="6"/>
  <c r="S74" i="6" s="1"/>
  <c r="N74" i="6"/>
  <c r="T74" i="6" s="1"/>
  <c r="O74" i="6"/>
  <c r="U74" i="6" s="1"/>
  <c r="P74" i="6"/>
  <c r="V74" i="6" s="1"/>
  <c r="K75" i="6"/>
  <c r="Q75" i="6" s="1"/>
  <c r="L75" i="6"/>
  <c r="R75" i="6" s="1"/>
  <c r="M75" i="6"/>
  <c r="S75" i="6" s="1"/>
  <c r="N75" i="6"/>
  <c r="T75" i="6" s="1"/>
  <c r="O75" i="6"/>
  <c r="U75" i="6" s="1"/>
  <c r="P75" i="6"/>
  <c r="V75" i="6" s="1"/>
  <c r="K76" i="6"/>
  <c r="Q76" i="6" s="1"/>
  <c r="L76" i="6"/>
  <c r="R76" i="6" s="1"/>
  <c r="M76" i="6"/>
  <c r="S76" i="6" s="1"/>
  <c r="N76" i="6"/>
  <c r="T76" i="6" s="1"/>
  <c r="O76" i="6"/>
  <c r="U76" i="6" s="1"/>
  <c r="P76" i="6"/>
  <c r="V76" i="6" s="1"/>
  <c r="P59" i="6"/>
  <c r="V59" i="6" s="1"/>
  <c r="O59" i="6"/>
  <c r="U59" i="6" s="1"/>
  <c r="N59" i="6"/>
  <c r="T59" i="6" s="1"/>
  <c r="M59" i="6"/>
  <c r="L59" i="6"/>
  <c r="K59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F59" i="6"/>
  <c r="G59" i="6"/>
  <c r="AE21" i="8" l="1"/>
  <c r="AD7" i="8"/>
  <c r="AC8" i="8"/>
  <c r="AC12" i="8"/>
  <c r="AD21" i="8"/>
  <c r="AC10" i="8"/>
  <c r="AE13" i="8"/>
  <c r="AE5" i="8"/>
  <c r="AD17" i="8"/>
  <c r="AK7" i="8"/>
  <c r="AO7" i="8" s="1"/>
  <c r="AG7" i="8"/>
  <c r="AC5" i="8"/>
  <c r="AD8" i="8"/>
  <c r="AD12" i="8"/>
  <c r="AK21" i="8" s="1"/>
  <c r="AO21" i="8" s="1"/>
  <c r="AE12" i="8"/>
  <c r="AH12" i="8" s="1"/>
  <c r="AK16" i="8"/>
  <c r="AO16" i="8" s="1"/>
  <c r="AG16" i="8"/>
  <c r="AG21" i="8"/>
  <c r="AF18" i="8"/>
  <c r="AJ18" i="8"/>
  <c r="AC19" i="8"/>
  <c r="AF10" i="8" s="1"/>
  <c r="AE16" i="8"/>
  <c r="AC22" i="8"/>
  <c r="AD5" i="8"/>
  <c r="AJ10" i="8"/>
  <c r="AC15" i="8"/>
  <c r="AE15" i="8"/>
  <c r="AE8" i="8"/>
  <c r="AH8" i="8" s="1"/>
  <c r="AC11" i="8"/>
  <c r="AE19" i="8"/>
  <c r="AH19" i="8" s="1"/>
  <c r="AC16" i="8"/>
  <c r="AJ7" i="8" s="1"/>
  <c r="AG11" i="8"/>
  <c r="AK11" i="8"/>
  <c r="AO11" i="8" s="1"/>
  <c r="AC14" i="8"/>
  <c r="AE14" i="8"/>
  <c r="AE6" i="8"/>
  <c r="AH6" i="8" s="1"/>
  <c r="AJ9" i="8"/>
  <c r="AF9" i="8"/>
  <c r="AE9" i="8"/>
  <c r="AE11" i="8"/>
  <c r="AD14" i="8"/>
  <c r="AH17" i="8"/>
  <c r="AK20" i="8"/>
  <c r="AO20" i="8" s="1"/>
  <c r="AG20" i="8"/>
  <c r="AK22" i="8"/>
  <c r="AO22" i="8" s="1"/>
  <c r="AG22" i="8"/>
  <c r="AC17" i="8"/>
  <c r="AC21" i="8"/>
  <c r="AF12" i="8" s="1"/>
  <c r="AE18" i="8"/>
  <c r="AH18" i="8" s="1"/>
  <c r="AD6" i="8"/>
  <c r="AD9" i="8"/>
  <c r="AG13" i="8"/>
  <c r="AK13" i="8"/>
  <c r="AO13" i="8" s="1"/>
  <c r="AE7" i="8"/>
  <c r="AH7" i="8" s="1"/>
  <c r="AD10" i="8"/>
  <c r="AC13" i="8"/>
  <c r="AD15" i="8"/>
  <c r="AD18" i="8"/>
  <c r="AE20" i="8"/>
  <c r="AH20" i="8" s="1"/>
  <c r="AE22" i="8"/>
  <c r="AH22" i="8" s="1"/>
  <c r="AC20" i="8"/>
  <c r="W74" i="6"/>
  <c r="Q59" i="6"/>
  <c r="X59" i="6" s="1"/>
  <c r="W75" i="6"/>
  <c r="R59" i="6"/>
  <c r="W59" i="6" s="1"/>
  <c r="S59" i="6"/>
  <c r="Y59" i="6" s="1"/>
  <c r="W76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Y76" i="6"/>
  <c r="Y74" i="6"/>
  <c r="Y72" i="6"/>
  <c r="Y75" i="6"/>
  <c r="Z74" i="6"/>
  <c r="Y73" i="6"/>
  <c r="Y71" i="6"/>
  <c r="X70" i="6"/>
  <c r="Y69" i="6"/>
  <c r="X68" i="6"/>
  <c r="Z73" i="6"/>
  <c r="Y67" i="6"/>
  <c r="Y63" i="6"/>
  <c r="Y61" i="6"/>
  <c r="X66" i="6"/>
  <c r="Y64" i="6"/>
  <c r="AB64" i="6"/>
  <c r="Y62" i="6"/>
  <c r="Y60" i="6"/>
  <c r="Y65" i="6"/>
  <c r="Z62" i="6"/>
  <c r="Z66" i="6"/>
  <c r="X76" i="6"/>
  <c r="X74" i="6"/>
  <c r="X72" i="6"/>
  <c r="X75" i="6"/>
  <c r="X73" i="6"/>
  <c r="X71" i="6"/>
  <c r="Y70" i="6"/>
  <c r="X69" i="6"/>
  <c r="Y68" i="6"/>
  <c r="Z75" i="6"/>
  <c r="X67" i="6"/>
  <c r="X63" i="6"/>
  <c r="X61" i="6"/>
  <c r="Y66" i="6"/>
  <c r="X64" i="6"/>
  <c r="X62" i="6"/>
  <c r="X60" i="6"/>
  <c r="X65" i="6"/>
  <c r="Z60" i="6"/>
  <c r="Z64" i="6"/>
  <c r="AJ5" i="8" l="1"/>
  <c r="AH14" i="8"/>
  <c r="AF7" i="8"/>
  <c r="AR14" i="8"/>
  <c r="AL7" i="8"/>
  <c r="AM7" i="8" s="1"/>
  <c r="AN7" i="8"/>
  <c r="AF20" i="8"/>
  <c r="AJ20" i="8"/>
  <c r="AG15" i="8"/>
  <c r="AK15" i="8"/>
  <c r="AO15" i="8" s="1"/>
  <c r="AG10" i="8"/>
  <c r="AK10" i="8"/>
  <c r="AO10" i="8" s="1"/>
  <c r="AG9" i="8"/>
  <c r="AK9" i="8"/>
  <c r="AO9" i="8" s="1"/>
  <c r="AF17" i="8"/>
  <c r="AJ17" i="8"/>
  <c r="AG14" i="8"/>
  <c r="AK14" i="8"/>
  <c r="AO14" i="8" s="1"/>
  <c r="AH9" i="8"/>
  <c r="AN9" i="8"/>
  <c r="AH5" i="8"/>
  <c r="AJ15" i="8"/>
  <c r="AF15" i="8"/>
  <c r="AN10" i="8"/>
  <c r="AL10" i="8"/>
  <c r="AP10" i="8" s="1"/>
  <c r="AF22" i="8"/>
  <c r="AJ22" i="8"/>
  <c r="AF19" i="8"/>
  <c r="AJ19" i="8"/>
  <c r="AK19" i="8"/>
  <c r="AO19" i="8" s="1"/>
  <c r="AH10" i="8"/>
  <c r="AG8" i="8"/>
  <c r="AK8" i="8"/>
  <c r="AO8" i="8" s="1"/>
  <c r="AF8" i="8"/>
  <c r="AJ6" i="8"/>
  <c r="AH13" i="8"/>
  <c r="AK17" i="8"/>
  <c r="AO17" i="8" s="1"/>
  <c r="AK18" i="8"/>
  <c r="AO18" i="8" s="1"/>
  <c r="AG18" i="8"/>
  <c r="AJ13" i="8"/>
  <c r="AF13" i="8"/>
  <c r="AK6" i="8"/>
  <c r="AO6" i="8" s="1"/>
  <c r="AG6" i="8"/>
  <c r="AF21" i="8"/>
  <c r="AJ21" i="8"/>
  <c r="AH11" i="8"/>
  <c r="AJ14" i="8"/>
  <c r="AF14" i="8"/>
  <c r="AF16" i="8"/>
  <c r="AJ16" i="8"/>
  <c r="AJ11" i="8"/>
  <c r="AF11" i="8"/>
  <c r="AH15" i="8"/>
  <c r="AK5" i="8"/>
  <c r="AO5" i="8" s="1"/>
  <c r="AG5" i="8"/>
  <c r="AH16" i="8"/>
  <c r="AP18" i="8"/>
  <c r="AN18" i="8"/>
  <c r="AG19" i="8"/>
  <c r="AG12" i="8"/>
  <c r="AK12" i="8"/>
  <c r="AO12" i="8" s="1"/>
  <c r="AF5" i="8"/>
  <c r="AJ12" i="8"/>
  <c r="AJ8" i="8"/>
  <c r="AF6" i="8"/>
  <c r="AG17" i="8"/>
  <c r="AH21" i="8"/>
  <c r="AB59" i="6"/>
  <c r="Z59" i="6"/>
  <c r="AA59" i="6"/>
  <c r="AB66" i="6"/>
  <c r="AB60" i="6"/>
  <c r="AB65" i="6"/>
  <c r="AB62" i="6"/>
  <c r="Z67" i="6"/>
  <c r="AB67" i="6"/>
  <c r="AA68" i="6"/>
  <c r="V84" i="6" s="1"/>
  <c r="AB69" i="6"/>
  <c r="AA70" i="6"/>
  <c r="AB71" i="6"/>
  <c r="Z72" i="6"/>
  <c r="Z76" i="6"/>
  <c r="AA65" i="6"/>
  <c r="AA60" i="6"/>
  <c r="AA62" i="6"/>
  <c r="AA64" i="6"/>
  <c r="AD64" i="6" s="1"/>
  <c r="AA61" i="6"/>
  <c r="AA63" i="6"/>
  <c r="AA67" i="6"/>
  <c r="AB68" i="6"/>
  <c r="W84" i="6" s="1"/>
  <c r="AA69" i="6"/>
  <c r="AB70" i="6"/>
  <c r="AA71" i="6"/>
  <c r="AA73" i="6"/>
  <c r="AA75" i="6"/>
  <c r="Z68" i="6"/>
  <c r="Z69" i="6"/>
  <c r="Z70" i="6"/>
  <c r="Z71" i="6"/>
  <c r="AA72" i="6"/>
  <c r="AA74" i="6"/>
  <c r="AA76" i="6"/>
  <c r="Z61" i="6"/>
  <c r="Z63" i="6"/>
  <c r="Z65" i="6"/>
  <c r="AA66" i="6"/>
  <c r="AB61" i="6"/>
  <c r="AB63" i="6"/>
  <c r="AB73" i="6"/>
  <c r="AB75" i="6"/>
  <c r="AB72" i="6"/>
  <c r="AB74" i="6"/>
  <c r="AB76" i="6"/>
  <c r="AM18" i="8" l="1"/>
  <c r="AM10" i="8"/>
  <c r="AN11" i="8"/>
  <c r="AL11" i="8"/>
  <c r="AP11" i="8" s="1"/>
  <c r="AN14" i="8"/>
  <c r="AM14" i="8"/>
  <c r="AN21" i="8"/>
  <c r="AP21" i="8"/>
  <c r="AL6" i="8"/>
  <c r="AM6" i="8" s="1"/>
  <c r="AN6" i="8"/>
  <c r="AN19" i="8"/>
  <c r="AP19" i="8"/>
  <c r="AN22" i="8"/>
  <c r="AP22" i="8"/>
  <c r="AN15" i="8"/>
  <c r="AM15" i="8"/>
  <c r="AR18" i="8"/>
  <c r="AN17" i="8"/>
  <c r="AM17" i="8"/>
  <c r="AN20" i="8"/>
  <c r="AP20" i="8"/>
  <c r="AN12" i="8"/>
  <c r="AL12" i="8"/>
  <c r="AP12" i="8" s="1"/>
  <c r="AR17" i="8"/>
  <c r="AN8" i="8"/>
  <c r="AL8" i="8"/>
  <c r="AM8" i="8" s="1"/>
  <c r="AN5" i="8"/>
  <c r="AL5" i="8"/>
  <c r="AM5" i="8" s="1"/>
  <c r="AN16" i="8"/>
  <c r="AM16" i="8"/>
  <c r="AR15" i="8"/>
  <c r="AN13" i="8"/>
  <c r="AL13" i="8"/>
  <c r="AP13" i="8" s="1"/>
  <c r="AM13" i="8"/>
  <c r="AL9" i="8"/>
  <c r="AS14" i="8"/>
  <c r="AP7" i="8"/>
  <c r="AD60" i="6"/>
  <c r="AC65" i="6"/>
  <c r="U84" i="6"/>
  <c r="T84" i="6"/>
  <c r="AC71" i="6"/>
  <c r="AC69" i="6"/>
  <c r="AC66" i="6"/>
  <c r="AC70" i="6"/>
  <c r="AC68" i="6"/>
  <c r="AC59" i="6"/>
  <c r="AJ59" i="6" s="1"/>
  <c r="AC62" i="6"/>
  <c r="AC73" i="6"/>
  <c r="AC74" i="6"/>
  <c r="AC75" i="6"/>
  <c r="AC61" i="6"/>
  <c r="AC72" i="6"/>
  <c r="AC67" i="6"/>
  <c r="AC63" i="6"/>
  <c r="AC76" i="6"/>
  <c r="AC60" i="6"/>
  <c r="AC64" i="6"/>
  <c r="AD62" i="6"/>
  <c r="AE76" i="6"/>
  <c r="AE73" i="6"/>
  <c r="AD66" i="6"/>
  <c r="AE74" i="6"/>
  <c r="AE75" i="6"/>
  <c r="AE72" i="6"/>
  <c r="AD67" i="6"/>
  <c r="AE61" i="6"/>
  <c r="AE63" i="6"/>
  <c r="AE59" i="6"/>
  <c r="AD76" i="6"/>
  <c r="AD72" i="6"/>
  <c r="AD73" i="6"/>
  <c r="AG73" i="6" s="1"/>
  <c r="AE70" i="6"/>
  <c r="AE68" i="6"/>
  <c r="AD63" i="6"/>
  <c r="AD59" i="6"/>
  <c r="AD65" i="6"/>
  <c r="AE69" i="6"/>
  <c r="AE67" i="6"/>
  <c r="AE65" i="6"/>
  <c r="AE66" i="6"/>
  <c r="AE71" i="6"/>
  <c r="AE64" i="6"/>
  <c r="AD74" i="6"/>
  <c r="AD75" i="6"/>
  <c r="AD71" i="6"/>
  <c r="AD69" i="6"/>
  <c r="AD61" i="6"/>
  <c r="AD70" i="6"/>
  <c r="AE60" i="6"/>
  <c r="AD68" i="6"/>
  <c r="AE62" i="6"/>
  <c r="AM12" i="8" l="1"/>
  <c r="AM11" i="8"/>
  <c r="AP9" i="8"/>
  <c r="AM9" i="8"/>
  <c r="AM22" i="8"/>
  <c r="AM21" i="8"/>
  <c r="AQ5" i="8"/>
  <c r="AR5" i="8" s="1"/>
  <c r="AM20" i="8"/>
  <c r="AM19" i="8"/>
  <c r="AS15" i="8"/>
  <c r="AP16" i="8"/>
  <c r="AS8" i="8"/>
  <c r="AP5" i="8"/>
  <c r="AS18" i="8"/>
  <c r="AP17" i="8"/>
  <c r="AP15" i="8"/>
  <c r="AS17" i="8"/>
  <c r="AP8" i="8"/>
  <c r="AP6" i="8"/>
  <c r="AS9" i="8"/>
  <c r="AP14" i="8"/>
  <c r="AG69" i="6"/>
  <c r="AF76" i="6"/>
  <c r="AF62" i="6"/>
  <c r="AF74" i="6"/>
  <c r="AH60" i="6"/>
  <c r="AG63" i="6"/>
  <c r="AF60" i="6"/>
  <c r="AF61" i="6"/>
  <c r="AF71" i="6"/>
  <c r="X84" i="6"/>
  <c r="Y84" i="6" s="1"/>
  <c r="AG71" i="6"/>
  <c r="AH65" i="6"/>
  <c r="AH66" i="6"/>
  <c r="AH67" i="6"/>
  <c r="AJ61" i="6"/>
  <c r="AR68" i="6" s="1"/>
  <c r="AF64" i="6"/>
  <c r="AF59" i="6"/>
  <c r="AG68" i="6"/>
  <c r="AH64" i="6"/>
  <c r="AG74" i="6"/>
  <c r="AF68" i="6"/>
  <c r="AG70" i="6"/>
  <c r="AJ67" i="6"/>
  <c r="AX62" i="6" s="1"/>
  <c r="AF65" i="6"/>
  <c r="AF66" i="6"/>
  <c r="AJ74" i="6"/>
  <c r="AU69" i="6" s="1"/>
  <c r="AG75" i="6"/>
  <c r="AJ66" i="6"/>
  <c r="AU71" i="6" s="1"/>
  <c r="AF75" i="6"/>
  <c r="AH62" i="6"/>
  <c r="AH63" i="6"/>
  <c r="AF70" i="6"/>
  <c r="AH71" i="6"/>
  <c r="AH69" i="6"/>
  <c r="AG59" i="6"/>
  <c r="AH68" i="6"/>
  <c r="AK76" i="6"/>
  <c r="AG76" i="6"/>
  <c r="AH59" i="6"/>
  <c r="AH61" i="6"/>
  <c r="AH72" i="6"/>
  <c r="AH74" i="6"/>
  <c r="AH73" i="6"/>
  <c r="AG62" i="6"/>
  <c r="AG60" i="6"/>
  <c r="AF67" i="6"/>
  <c r="AF69" i="6"/>
  <c r="AF73" i="6"/>
  <c r="AG61" i="6"/>
  <c r="AG65" i="6"/>
  <c r="AH70" i="6"/>
  <c r="AG72" i="6"/>
  <c r="AG67" i="6"/>
  <c r="AH75" i="6"/>
  <c r="AG66" i="6"/>
  <c r="AH76" i="6"/>
  <c r="AG64" i="6"/>
  <c r="AF72" i="6"/>
  <c r="AF63" i="6"/>
  <c r="AK63" i="6"/>
  <c r="AO63" i="6" s="1"/>
  <c r="AK71" i="6"/>
  <c r="AO71" i="6" s="1"/>
  <c r="AK74" i="6"/>
  <c r="AO74" i="6" s="1"/>
  <c r="AK75" i="6"/>
  <c r="AO75" i="6" s="1"/>
  <c r="AK70" i="6"/>
  <c r="AO70" i="6" s="1"/>
  <c r="AK73" i="6"/>
  <c r="AO73" i="6" s="1"/>
  <c r="AK69" i="6"/>
  <c r="AO69" i="6" s="1"/>
  <c r="AK72" i="6"/>
  <c r="AO72" i="6" s="1"/>
  <c r="AN59" i="6"/>
  <c r="AO76" i="6"/>
  <c r="AJ62" i="6"/>
  <c r="AR71" i="6" s="1"/>
  <c r="AJ60" i="6"/>
  <c r="AR65" i="6" s="1"/>
  <c r="AJ64" i="6"/>
  <c r="AU65" i="6" s="1"/>
  <c r="AK68" i="6"/>
  <c r="AO68" i="6" s="1"/>
  <c r="AJ72" i="6"/>
  <c r="AK61" i="6"/>
  <c r="AO61" i="6" s="1"/>
  <c r="AJ73" i="6"/>
  <c r="AK65" i="6"/>
  <c r="AO65" i="6" s="1"/>
  <c r="AJ63" i="6"/>
  <c r="AL63" i="6" s="1"/>
  <c r="AJ75" i="6"/>
  <c r="AK67" i="6"/>
  <c r="AO67" i="6" s="1"/>
  <c r="AJ65" i="6"/>
  <c r="AU68" i="6" s="1"/>
  <c r="AK62" i="6"/>
  <c r="AJ70" i="6"/>
  <c r="AK64" i="6"/>
  <c r="AO64" i="6" s="1"/>
  <c r="AJ71" i="6"/>
  <c r="AJ76" i="6"/>
  <c r="AK59" i="6"/>
  <c r="AO59" i="6" s="1"/>
  <c r="AJ68" i="6"/>
  <c r="AK60" i="6"/>
  <c r="AO60" i="6" s="1"/>
  <c r="AJ69" i="6"/>
  <c r="AK66" i="6"/>
  <c r="AO66" i="6" s="1"/>
  <c r="AL68" i="6" l="1"/>
  <c r="AN61" i="6"/>
  <c r="AN67" i="6"/>
  <c r="AL70" i="6"/>
  <c r="AS69" i="6" s="1"/>
  <c r="AN74" i="6"/>
  <c r="AN66" i="6"/>
  <c r="AS63" i="6"/>
  <c r="AL69" i="6"/>
  <c r="AS66" i="6" s="1"/>
  <c r="AX63" i="6"/>
  <c r="AL76" i="6"/>
  <c r="AY63" i="6" s="1"/>
  <c r="AL74" i="6"/>
  <c r="AV69" i="6" s="1"/>
  <c r="AR72" i="6"/>
  <c r="AL71" i="6"/>
  <c r="AS72" i="6" s="1"/>
  <c r="AU72" i="6"/>
  <c r="AL75" i="6"/>
  <c r="AV72" i="6" s="1"/>
  <c r="AU66" i="6"/>
  <c r="AL73" i="6"/>
  <c r="AV66" i="6" s="1"/>
  <c r="AU63" i="6"/>
  <c r="AL72" i="6"/>
  <c r="AV63" i="6" s="1"/>
  <c r="AP70" i="6"/>
  <c r="AR69" i="6"/>
  <c r="AR66" i="6"/>
  <c r="AR63" i="6"/>
  <c r="AM63" i="6"/>
  <c r="AU62" i="6"/>
  <c r="AR62" i="6"/>
  <c r="AL59" i="6"/>
  <c r="AS62" i="6" s="1"/>
  <c r="AL65" i="6"/>
  <c r="AN73" i="6"/>
  <c r="AN72" i="6"/>
  <c r="AN64" i="6"/>
  <c r="AL64" i="6"/>
  <c r="AN62" i="6"/>
  <c r="AL62" i="6"/>
  <c r="AL61" i="6"/>
  <c r="AL67" i="6"/>
  <c r="AN76" i="6"/>
  <c r="AN60" i="6"/>
  <c r="AL60" i="6"/>
  <c r="AL66" i="6"/>
  <c r="AN69" i="6"/>
  <c r="AN70" i="6"/>
  <c r="AN65" i="6"/>
  <c r="AN75" i="6"/>
  <c r="AN68" i="6"/>
  <c r="AN71" i="6"/>
  <c r="AO62" i="6"/>
  <c r="AN63" i="6"/>
  <c r="AQ59" i="6" l="1"/>
  <c r="AR59" i="6" s="1"/>
  <c r="AM70" i="6"/>
  <c r="AP69" i="6"/>
  <c r="AM68" i="6"/>
  <c r="AP74" i="6"/>
  <c r="AM69" i="6"/>
  <c r="AP76" i="6"/>
  <c r="AP68" i="6"/>
  <c r="AP75" i="6"/>
  <c r="AP59" i="6"/>
  <c r="AP72" i="6"/>
  <c r="AP73" i="6"/>
  <c r="AP71" i="6"/>
  <c r="AP61" i="6"/>
  <c r="AS68" i="6"/>
  <c r="AP66" i="6"/>
  <c r="AV71" i="6"/>
  <c r="AP60" i="6"/>
  <c r="AS65" i="6"/>
  <c r="AP67" i="6"/>
  <c r="AY62" i="6"/>
  <c r="AP62" i="6"/>
  <c r="AS71" i="6"/>
  <c r="AP64" i="6"/>
  <c r="AV65" i="6"/>
  <c r="AP65" i="6"/>
  <c r="AV68" i="6"/>
  <c r="AP63" i="6"/>
  <c r="AV62" i="6"/>
  <c r="AM66" i="6"/>
  <c r="AM76" i="6"/>
  <c r="AM71" i="6"/>
  <c r="AM75" i="6"/>
  <c r="AM64" i="6"/>
  <c r="AM67" i="6"/>
  <c r="AM73" i="6"/>
  <c r="AM72" i="6"/>
  <c r="AM60" i="6"/>
  <c r="AM62" i="6"/>
  <c r="AM65" i="6"/>
  <c r="AM74" i="6"/>
  <c r="AM61" i="6"/>
  <c r="AM59" i="6"/>
  <c r="M36" i="6" l="1"/>
  <c r="M37" i="6"/>
  <c r="M35" i="6"/>
  <c r="O35" i="6" l="1"/>
  <c r="O36" i="6" s="1"/>
  <c r="J32" i="6"/>
  <c r="J30" i="6"/>
  <c r="J28" i="6"/>
  <c r="J26" i="6"/>
  <c r="J24" i="6"/>
  <c r="J22" i="6"/>
  <c r="J20" i="6"/>
  <c r="J18" i="6"/>
  <c r="J16" i="6"/>
  <c r="C38" i="6"/>
  <c r="C37" i="6"/>
  <c r="C36" i="6"/>
  <c r="C35" i="6"/>
  <c r="C34" i="6"/>
  <c r="C33" i="6"/>
  <c r="C32" i="6"/>
  <c r="C31" i="6"/>
  <c r="C30" i="6"/>
  <c r="C22" i="6"/>
  <c r="C23" i="6"/>
  <c r="C24" i="6"/>
  <c r="C25" i="6"/>
  <c r="C26" i="6"/>
  <c r="C27" i="6"/>
  <c r="C28" i="6"/>
  <c r="C29" i="6"/>
  <c r="C21" i="6"/>
</calcChain>
</file>

<file path=xl/sharedStrings.xml><?xml version="1.0" encoding="utf-8"?>
<sst xmlns="http://schemas.openxmlformats.org/spreadsheetml/2006/main" count="158" uniqueCount="87">
  <si>
    <t>T /°C</t>
  </si>
  <si>
    <t>T /K</t>
  </si>
  <si>
    <t>R =</t>
  </si>
  <si>
    <t>x1</t>
  </si>
  <si>
    <t>x2</t>
  </si>
  <si>
    <t>x3</t>
  </si>
  <si>
    <t>γ1</t>
  </si>
  <si>
    <t>γ2</t>
  </si>
  <si>
    <t>Upper layer</t>
  </si>
  <si>
    <t>Lower layer</t>
  </si>
  <si>
    <t>β</t>
  </si>
  <si>
    <t>S</t>
  </si>
  <si>
    <t>Methanol (1) + Heptane (2) + [EMIM][DEP] (3)</t>
  </si>
  <si>
    <t>x1I</t>
  </si>
  <si>
    <t>x2I</t>
  </si>
  <si>
    <t>x1II</t>
  </si>
  <si>
    <t>x2II</t>
  </si>
  <si>
    <t>OF</t>
  </si>
  <si>
    <t>xexp-xcal</t>
  </si>
  <si>
    <t>T(K)</t>
  </si>
  <si>
    <t>y1</t>
  </si>
  <si>
    <t>P</t>
  </si>
  <si>
    <t>kPa</t>
  </si>
  <si>
    <t>konoda 1</t>
  </si>
  <si>
    <t>konoda 2</t>
  </si>
  <si>
    <t>konoda 3</t>
  </si>
  <si>
    <t>konoda 4</t>
  </si>
  <si>
    <t>konoda 5</t>
  </si>
  <si>
    <t>konoda 6</t>
  </si>
  <si>
    <t>konoda 7</t>
  </si>
  <si>
    <t>konoda 8</t>
  </si>
  <si>
    <t>konoda 9</t>
  </si>
  <si>
    <t>Rafinat</t>
  </si>
  <si>
    <t>Extrak</t>
  </si>
  <si>
    <r>
      <t>x</t>
    </r>
    <r>
      <rPr>
        <b/>
        <vertAlign val="subscript"/>
        <sz val="11"/>
        <color rgb="FF000000"/>
        <rFont val="Calibri"/>
        <family val="2"/>
      </rPr>
      <t>1</t>
    </r>
  </si>
  <si>
    <r>
      <t>x</t>
    </r>
    <r>
      <rPr>
        <b/>
        <vertAlign val="subscript"/>
        <sz val="11"/>
        <color rgb="FF000000"/>
        <rFont val="Calibri"/>
        <family val="2"/>
      </rPr>
      <t>2</t>
    </r>
  </si>
  <si>
    <r>
      <t>x</t>
    </r>
    <r>
      <rPr>
        <b/>
        <vertAlign val="subscript"/>
        <sz val="11"/>
        <color rgb="FF000000"/>
        <rFont val="Calibri"/>
        <family val="2"/>
      </rPr>
      <t>3</t>
    </r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</si>
  <si>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</si>
  <si>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</si>
  <si>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</si>
  <si>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</si>
  <si>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</si>
  <si>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</si>
  <si>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</si>
  <si>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</si>
  <si>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</si>
  <si>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</si>
  <si>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</si>
  <si>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</si>
  <si>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r>
      <t>φ</t>
    </r>
    <r>
      <rPr>
        <b/>
        <vertAlign val="subscript"/>
        <sz val="11"/>
        <color rgb="FF000000"/>
        <rFont val="Calibri"/>
        <family val="2"/>
      </rPr>
      <t>1</t>
    </r>
  </si>
  <si>
    <r>
      <t>φ</t>
    </r>
    <r>
      <rPr>
        <b/>
        <vertAlign val="subscript"/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</si>
  <si>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φ</t>
    </r>
    <r>
      <rPr>
        <b/>
        <vertAlign val="subscript"/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</si>
  <si>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t>θ</t>
    </r>
    <r>
      <rPr>
        <b/>
        <vertAlign val="subscript"/>
        <sz val="11"/>
        <color rgb="FF000000"/>
        <rFont val="Calibri"/>
        <family val="2"/>
      </rPr>
      <t>1</t>
    </r>
  </si>
  <si>
    <r>
      <t>θ</t>
    </r>
    <r>
      <rPr>
        <b/>
        <vertAlign val="subscript"/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</si>
  <si>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θ</t>
    </r>
    <r>
      <rPr>
        <b/>
        <vertAlign val="subscript"/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</si>
  <si>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1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</si>
  <si>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2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</si>
  <si>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3</t>
    </r>
  </si>
  <si>
    <r>
      <t>Σx</t>
    </r>
    <r>
      <rPr>
        <b/>
        <vertAlign val="subscript"/>
        <sz val="11"/>
        <color rgb="FF000000"/>
        <rFont val="Calibri"/>
        <family val="2"/>
      </rPr>
      <t>i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</si>
  <si>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22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</si>
  <si>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11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</si>
  <si>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33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</si>
  <si>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11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</si>
  <si>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33</t>
    </r>
    <r>
      <rPr>
        <b/>
        <sz val="11"/>
        <color rgb="FF000000"/>
        <rFont val="Calibri"/>
        <family val="2"/>
      </rPr>
      <t xml:space="preserve"> =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</si>
  <si>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  <r>
      <rPr>
        <b/>
        <sz val="11"/>
        <color rgb="FF000000"/>
        <rFont val="Calibri"/>
        <family val="2"/>
      </rPr>
      <t xml:space="preserve"> − g</t>
    </r>
    <r>
      <rPr>
        <b/>
        <vertAlign val="subscript"/>
        <sz val="11"/>
        <color rgb="FF000000"/>
        <rFont val="Calibri"/>
        <family val="2"/>
      </rPr>
      <t>22</t>
    </r>
    <r>
      <rPr>
        <b/>
        <sz val="11"/>
        <color rgb="FF000000"/>
        <rFont val="Calibri"/>
        <family val="2"/>
      </rPr>
      <t xml:space="preserve"> =</t>
    </r>
  </si>
  <si>
    <r>
      <t>α</t>
    </r>
    <r>
      <rPr>
        <b/>
        <vertAlign val="subscript"/>
        <sz val="11"/>
        <color rgb="FF000000"/>
        <rFont val="Calibri"/>
        <family val="2"/>
      </rPr>
      <t>12</t>
    </r>
    <r>
      <rPr>
        <b/>
        <sz val="11"/>
        <color rgb="FF000000"/>
        <rFont val="Calibri"/>
        <family val="2"/>
      </rPr>
      <t xml:space="preserve"> = α</t>
    </r>
    <r>
      <rPr>
        <b/>
        <vertAlign val="subscript"/>
        <sz val="11"/>
        <color rgb="FF000000"/>
        <rFont val="Calibri"/>
        <family val="2"/>
      </rPr>
      <t>21</t>
    </r>
    <r>
      <rPr>
        <b/>
        <sz val="11"/>
        <color rgb="FF000000"/>
        <rFont val="Calibri"/>
        <family val="2"/>
      </rPr>
      <t xml:space="preserve"> =</t>
    </r>
  </si>
  <si>
    <r>
      <t>α</t>
    </r>
    <r>
      <rPr>
        <b/>
        <vertAlign val="subscript"/>
        <sz val="11"/>
        <color rgb="FF000000"/>
        <rFont val="Calibri"/>
        <family val="2"/>
      </rPr>
      <t>13</t>
    </r>
    <r>
      <rPr>
        <b/>
        <sz val="11"/>
        <color rgb="FF000000"/>
        <rFont val="Calibri"/>
        <family val="2"/>
      </rPr>
      <t xml:space="preserve"> = α</t>
    </r>
    <r>
      <rPr>
        <b/>
        <vertAlign val="subscript"/>
        <sz val="11"/>
        <color rgb="FF000000"/>
        <rFont val="Calibri"/>
        <family val="2"/>
      </rPr>
      <t>31</t>
    </r>
    <r>
      <rPr>
        <b/>
        <sz val="11"/>
        <color rgb="FF000000"/>
        <rFont val="Calibri"/>
        <family val="2"/>
      </rPr>
      <t xml:space="preserve"> =</t>
    </r>
  </si>
  <si>
    <r>
      <t>α</t>
    </r>
    <r>
      <rPr>
        <b/>
        <vertAlign val="subscript"/>
        <sz val="11"/>
        <color rgb="FF000000"/>
        <rFont val="Calibri"/>
        <family val="2"/>
      </rPr>
      <t>23</t>
    </r>
    <r>
      <rPr>
        <b/>
        <sz val="11"/>
        <color rgb="FF000000"/>
        <rFont val="Calibri"/>
        <family val="2"/>
      </rPr>
      <t xml:space="preserve"> = α</t>
    </r>
    <r>
      <rPr>
        <b/>
        <vertAlign val="subscript"/>
        <sz val="11"/>
        <color rgb="FF000000"/>
        <rFont val="Calibri"/>
        <family val="2"/>
      </rPr>
      <t>32</t>
    </r>
    <r>
      <rPr>
        <b/>
        <sz val="11"/>
        <color rgb="FF000000"/>
        <rFont val="Calibri"/>
        <family val="2"/>
      </rPr>
      <t xml:space="preserve"> =</t>
    </r>
  </si>
  <si>
    <r>
      <t>J mol</t>
    </r>
    <r>
      <rPr>
        <b/>
        <vertAlign val="superscript"/>
        <sz val="11"/>
        <color rgb="FF000000"/>
        <rFont val="Calibri"/>
        <family val="2"/>
      </rPr>
      <t>−1</t>
    </r>
  </si>
  <si>
    <r>
      <t>J mol</t>
    </r>
    <r>
      <rPr>
        <b/>
        <vertAlign val="superscript"/>
        <sz val="11"/>
        <color rgb="FF000000"/>
        <rFont val="Calibri"/>
        <family val="2"/>
      </rPr>
      <t>−1</t>
    </r>
    <r>
      <rPr>
        <sz val="11"/>
        <color theme="1"/>
        <rFont val="Calibri"/>
        <family val="2"/>
        <scheme val="minor"/>
      </rPr>
      <t/>
    </r>
  </si>
  <si>
    <r>
      <t>J mol</t>
    </r>
    <r>
      <rPr>
        <b/>
        <vertAlign val="superscript"/>
        <sz val="11"/>
        <color rgb="FF000000"/>
        <rFont val="Calibri"/>
        <family val="2"/>
      </rPr>
      <t>−1</t>
    </r>
    <r>
      <rPr>
        <b/>
        <sz val="11"/>
        <color rgb="FF000000"/>
        <rFont val="Calibri"/>
        <family val="2"/>
      </rPr>
      <t xml:space="preserve"> K</t>
    </r>
    <r>
      <rPr>
        <b/>
        <vertAlign val="superscript"/>
        <sz val="11"/>
        <color rgb="FF000000"/>
        <rFont val="Calibri"/>
        <family val="2"/>
      </rPr>
      <t>−1</t>
    </r>
  </si>
  <si>
    <t>https://www.sciencedirect.com/science/article/pii/S0021961415000890?via%3Dihub</t>
  </si>
  <si>
    <t>y1/y1</t>
  </si>
  <si>
    <t>y2/y2</t>
  </si>
  <si>
    <t>y3/y3</t>
  </si>
  <si>
    <t>lny</t>
  </si>
  <si>
    <t>y</t>
  </si>
  <si>
    <t>Methanol</t>
  </si>
  <si>
    <t>https://www.chembk.com/en/chem/EMIM%20DEP</t>
  </si>
  <si>
    <t>σ</t>
  </si>
  <si>
    <t>1 hPa</t>
  </si>
  <si>
    <t>=</t>
  </si>
  <si>
    <t>100 Pa</t>
  </si>
  <si>
    <t xml:space="preserve">or </t>
  </si>
  <si>
    <t>pri T=313.5 K</t>
  </si>
  <si>
    <t>Heptan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</si>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</sst>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0.00000"/>
    <numFmt numFmtId="166" formatCode="0.000"/>
    <numFmt numFmtId="167" formatCode="0.0E+0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rgb="FF1F1F1F"/>
      <name val="Georgia"/>
      <family val="1"/>
    </font>
    <font>
      <b/>
      <i/>
      <sz val="11"/>
      <color rgb="FF1F1F1F"/>
      <name val="Georgia"/>
      <family val="1"/>
    </font>
    <font>
      <sz val="10"/>
      <color rgb="FF1F1F1F"/>
      <name val="Georgia"/>
      <family val="1"/>
    </font>
    <font>
      <sz val="11"/>
      <color rgb="FF1F1F1F"/>
      <name val="Georgia"/>
      <family val="1"/>
    </font>
    <font>
      <i/>
      <sz val="11"/>
      <color rgb="FF1F1F1F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 style="medium">
        <color rgb="FF8E8E8E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8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1" applyFont="1" applyAlignment="1">
      <alignment horizontal="right"/>
    </xf>
    <xf numFmtId="2" fontId="1" fillId="0" borderId="0" xfId="1" applyNumberFormat="1" applyAlignment="1">
      <alignment horizontal="center"/>
    </xf>
    <xf numFmtId="0" fontId="1" fillId="0" borderId="0" xfId="1"/>
    <xf numFmtId="0" fontId="1" fillId="0" borderId="0" xfId="1" applyFont="1" applyAlignment="1">
      <alignment horizontal="center"/>
    </xf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165" fontId="1" fillId="0" borderId="0" xfId="1" applyNumberForma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1" xfId="0" applyFont="1" applyBorder="1" applyAlignment="1">
      <alignment vertical="center" wrapText="1"/>
    </xf>
    <xf numFmtId="164" fontId="1" fillId="0" borderId="1" xfId="1" applyNumberFormat="1" applyBorder="1" applyAlignment="1">
      <alignment horizontal="center"/>
    </xf>
    <xf numFmtId="0" fontId="1" fillId="0" borderId="1" xfId="1" applyBorder="1"/>
    <xf numFmtId="2" fontId="1" fillId="0" borderId="1" xfId="1" applyNumberFormat="1" applyBorder="1" applyAlignment="1">
      <alignment horizontal="center"/>
    </xf>
    <xf numFmtId="166" fontId="1" fillId="0" borderId="0" xfId="1" applyNumberFormat="1" applyAlignment="1">
      <alignment horizontal="center"/>
    </xf>
    <xf numFmtId="166" fontId="1" fillId="0" borderId="1" xfId="1" applyNumberFormat="1" applyBorder="1" applyAlignment="1">
      <alignment horizontal="center"/>
    </xf>
    <xf numFmtId="166" fontId="0" fillId="0" borderId="0" xfId="0" applyNumberFormat="1"/>
    <xf numFmtId="167" fontId="0" fillId="0" borderId="0" xfId="2" applyNumberFormat="1" applyFont="1"/>
    <xf numFmtId="0" fontId="6" fillId="0" borderId="12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13" xfId="0" applyBorder="1"/>
    <xf numFmtId="0" fontId="6" fillId="0" borderId="8" xfId="0" applyFont="1" applyBorder="1" applyAlignment="1">
      <alignment vertical="center" wrapText="1"/>
    </xf>
    <xf numFmtId="164" fontId="1" fillId="0" borderId="12" xfId="1" applyNumberFormat="1" applyBorder="1" applyAlignment="1">
      <alignment horizontal="center"/>
    </xf>
    <xf numFmtId="164" fontId="1" fillId="0" borderId="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0" xfId="1" applyFont="1" applyFill="1" applyBorder="1" applyAlignment="1">
      <alignment horizontal="center"/>
    </xf>
    <xf numFmtId="0" fontId="10" fillId="0" borderId="11" xfId="1" applyFont="1" applyFill="1" applyBorder="1" applyAlignment="1">
      <alignment horizontal="center"/>
    </xf>
    <xf numFmtId="166" fontId="1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right"/>
    </xf>
    <xf numFmtId="0" fontId="10" fillId="0" borderId="0" xfId="1" applyFont="1"/>
    <xf numFmtId="0" fontId="1" fillId="0" borderId="12" xfId="1" applyBorder="1"/>
    <xf numFmtId="0" fontId="1" fillId="0" borderId="0" xfId="1" applyBorder="1"/>
    <xf numFmtId="0" fontId="1" fillId="0" borderId="13" xfId="1" applyBorder="1"/>
    <xf numFmtId="0" fontId="1" fillId="0" borderId="8" xfId="1" applyBorder="1"/>
    <xf numFmtId="0" fontId="1" fillId="0" borderId="9" xfId="1" applyBorder="1"/>
    <xf numFmtId="167" fontId="0" fillId="0" borderId="0" xfId="0" applyNumberFormat="1"/>
    <xf numFmtId="2" fontId="1" fillId="0" borderId="8" xfId="1" applyNumberFormat="1" applyBorder="1" applyAlignment="1">
      <alignment horizontal="center"/>
    </xf>
    <xf numFmtId="2" fontId="1" fillId="0" borderId="9" xfId="1" applyNumberFormat="1" applyBorder="1" applyAlignment="1">
      <alignment horizontal="center"/>
    </xf>
    <xf numFmtId="12" fontId="1" fillId="0" borderId="8" xfId="2" applyNumberFormat="1" applyFont="1" applyBorder="1" applyAlignment="1">
      <alignment horizontal="center"/>
    </xf>
    <xf numFmtId="12" fontId="1" fillId="0" borderId="1" xfId="2" applyNumberFormat="1" applyFont="1" applyBorder="1" applyAlignment="1">
      <alignment horizontal="center"/>
    </xf>
    <xf numFmtId="164" fontId="16" fillId="0" borderId="12" xfId="1" applyNumberFormat="1" applyFont="1" applyBorder="1" applyAlignment="1">
      <alignment horizontal="center"/>
    </xf>
    <xf numFmtId="0" fontId="1" fillId="0" borderId="0" xfId="1" applyNumberFormat="1" applyAlignment="1">
      <alignment horizontal="center"/>
    </xf>
    <xf numFmtId="0" fontId="1" fillId="0" borderId="0" xfId="1" applyNumberFormat="1"/>
    <xf numFmtId="164" fontId="1" fillId="0" borderId="0" xfId="1" applyNumberFormat="1"/>
    <xf numFmtId="0" fontId="0" fillId="0" borderId="0" xfId="0" applyNumberFormat="1"/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64" fontId="10" fillId="0" borderId="10" xfId="1" applyNumberFormat="1" applyFont="1" applyBorder="1" applyAlignment="1">
      <alignment horizontal="center"/>
    </xf>
    <xf numFmtId="164" fontId="10" fillId="0" borderId="11" xfId="1" applyNumberFormat="1" applyFont="1" applyBorder="1" applyAlignment="1">
      <alignment horizontal="center"/>
    </xf>
    <xf numFmtId="2" fontId="11" fillId="0" borderId="15" xfId="1" applyNumberFormat="1" applyFont="1" applyBorder="1" applyAlignment="1">
      <alignment horizontal="center" vertical="center" textRotation="255"/>
    </xf>
    <xf numFmtId="2" fontId="11" fillId="0" borderId="16" xfId="1" applyNumberFormat="1" applyFont="1" applyBorder="1" applyAlignment="1">
      <alignment horizontal="center" vertical="center" textRotation="255"/>
    </xf>
    <xf numFmtId="2" fontId="11" fillId="0" borderId="17" xfId="1" applyNumberFormat="1" applyFont="1" applyBorder="1" applyAlignment="1">
      <alignment horizontal="center" vertical="center" textRotation="255"/>
    </xf>
    <xf numFmtId="2" fontId="12" fillId="0" borderId="15" xfId="1" applyNumberFormat="1" applyFont="1" applyBorder="1" applyAlignment="1">
      <alignment horizontal="center" vertical="center" textRotation="255"/>
    </xf>
    <xf numFmtId="2" fontId="12" fillId="0" borderId="16" xfId="1" applyNumberFormat="1" applyFont="1" applyBorder="1" applyAlignment="1">
      <alignment horizontal="center" vertical="center" textRotation="255"/>
    </xf>
    <xf numFmtId="2" fontId="12" fillId="0" borderId="17" xfId="1" applyNumberFormat="1" applyFont="1" applyBorder="1" applyAlignment="1">
      <alignment horizontal="center" vertical="center" textRotation="255"/>
    </xf>
    <xf numFmtId="0" fontId="0" fillId="0" borderId="0" xfId="0" applyAlignment="1">
      <alignment horizontal="center"/>
    </xf>
    <xf numFmtId="166" fontId="10" fillId="0" borderId="10" xfId="1" applyNumberFormat="1" applyFont="1" applyBorder="1" applyAlignment="1">
      <alignment horizontal="center"/>
    </xf>
    <xf numFmtId="166" fontId="10" fillId="0" borderId="11" xfId="1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7" fillId="0" borderId="0" xfId="3" applyAlignment="1">
      <alignment horizontal="center"/>
    </xf>
    <xf numFmtId="11" fontId="1" fillId="0" borderId="0" xfId="1" applyNumberFormat="1" applyAlignment="1">
      <alignment horizontal="center"/>
    </xf>
  </cellXfs>
  <cellStyles count="4">
    <cellStyle name="Normal 2" xfId="1"/>
    <cellStyle name="Гиперссылка" xfId="3" builtinId="8"/>
    <cellStyle name="Обычный" xfId="0" builtinId="0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EXPERIMENT</c:v>
          </c:tx>
          <c:spPr>
            <a:ln w="28575">
              <a:noFill/>
            </a:ln>
          </c:spPr>
          <c:marker>
            <c:symbol val="x"/>
            <c:size val="5"/>
          </c:marker>
          <c:xVal>
            <c:numRef>
              <c:f>Лист6!$A$21:$A$43</c:f>
              <c:numCache>
                <c:formatCode>General</c:formatCode>
                <c:ptCount val="23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  <c:pt idx="9">
                  <c:v>0</c:v>
                </c:pt>
                <c:pt idx="10">
                  <c:v>9.4E-2</c:v>
                </c:pt>
                <c:pt idx="11">
                  <c:v>0.183</c:v>
                </c:pt>
                <c:pt idx="12">
                  <c:v>0.26900000000000002</c:v>
                </c:pt>
                <c:pt idx="13">
                  <c:v>0.34200000000000003</c:v>
                </c:pt>
                <c:pt idx="14">
                  <c:v>0.46600000000000003</c:v>
                </c:pt>
                <c:pt idx="15">
                  <c:v>0.60599999999999998</c:v>
                </c:pt>
                <c:pt idx="16">
                  <c:v>0.70399999999999996</c:v>
                </c:pt>
                <c:pt idx="17">
                  <c:v>0.79200000000000004</c:v>
                </c:pt>
              </c:numCache>
            </c:numRef>
          </c:xVal>
          <c:yVal>
            <c:numRef>
              <c:f>Лист6!$C$21:$C$44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0.99099999999999999</c:v>
                </c:pt>
                <c:pt idx="10">
                  <c:v>0.89500000000000002</c:v>
                </c:pt>
                <c:pt idx="11">
                  <c:v>0.80200000000000005</c:v>
                </c:pt>
                <c:pt idx="12">
                  <c:v>0.71299999999999997</c:v>
                </c:pt>
                <c:pt idx="13">
                  <c:v>0.63700000000000001</c:v>
                </c:pt>
                <c:pt idx="14">
                  <c:v>0.5109999999999999</c:v>
                </c:pt>
                <c:pt idx="15">
                  <c:v>0.36699999999999999</c:v>
                </c:pt>
                <c:pt idx="16">
                  <c:v>0.26500000000000001</c:v>
                </c:pt>
                <c:pt idx="17">
                  <c:v>0.17199999999999993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23552"/>
        <c:axId val="153629824"/>
      </c:scatterChart>
      <c:scatterChart>
        <c:scatterStyle val="smoothMarker"/>
        <c:varyColors val="0"/>
        <c:ser>
          <c:idx val="1"/>
          <c:order val="1"/>
          <c:tx>
            <c:v>"</c:v>
          </c:tx>
          <c:spPr>
            <a:ln w="3175"/>
          </c:spPr>
          <c:marker>
            <c:symbol val="none"/>
          </c:marker>
          <c:xVal>
            <c:numRef>
              <c:f>Лист6!$E$21:$E$22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Лист6!$F$21:$F$22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Лист6!$H$16:$H$17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Лист6!$J$16:$J$17</c:f>
              <c:numCache>
                <c:formatCode>General</c:formatCode>
                <c:ptCount val="2"/>
                <c:pt idx="0">
                  <c:v>0</c:v>
                </c:pt>
                <c:pt idx="1">
                  <c:v>0.99099999999999999</c:v>
                </c:pt>
              </c:numCache>
            </c:numRef>
          </c:yVal>
          <c:smooth val="1"/>
        </c:ser>
        <c:ser>
          <c:idx val="3"/>
          <c:order val="3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Лист6!$H$18:$H$19</c:f>
              <c:numCache>
                <c:formatCode>General</c:formatCode>
                <c:ptCount val="2"/>
                <c:pt idx="0">
                  <c:v>3.0000000000000001E-3</c:v>
                </c:pt>
                <c:pt idx="1">
                  <c:v>9.4E-2</c:v>
                </c:pt>
              </c:numCache>
            </c:numRef>
          </c:xVal>
          <c:yVal>
            <c:numRef>
              <c:f>Лист6!$J$18:$J$19</c:f>
              <c:numCache>
                <c:formatCode>General</c:formatCode>
                <c:ptCount val="2"/>
                <c:pt idx="0">
                  <c:v>0</c:v>
                </c:pt>
                <c:pt idx="1">
                  <c:v>0.89500000000000002</c:v>
                </c:pt>
              </c:numCache>
            </c:numRef>
          </c:yVal>
          <c:smooth val="1"/>
        </c:ser>
        <c:ser>
          <c:idx val="4"/>
          <c:order val="4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Лист6!$H$20:$H$21</c:f>
              <c:numCache>
                <c:formatCode>General</c:formatCode>
                <c:ptCount val="2"/>
                <c:pt idx="0">
                  <c:v>5.0000000000000001E-3</c:v>
                </c:pt>
                <c:pt idx="1">
                  <c:v>0.183</c:v>
                </c:pt>
              </c:numCache>
            </c:numRef>
          </c:xVal>
          <c:yVal>
            <c:numRef>
              <c:f>Лист6!$J$20:$J$21</c:f>
              <c:numCache>
                <c:formatCode>General</c:formatCode>
                <c:ptCount val="2"/>
                <c:pt idx="0">
                  <c:v>0</c:v>
                </c:pt>
                <c:pt idx="1">
                  <c:v>0.80200000000000005</c:v>
                </c:pt>
              </c:numCache>
            </c:numRef>
          </c:yVal>
          <c:smooth val="1"/>
        </c:ser>
        <c:ser>
          <c:idx val="5"/>
          <c:order val="5"/>
          <c:tx>
            <c:v> '</c:v>
          </c:tx>
          <c:spPr>
            <a:ln w="3175"/>
          </c:spPr>
          <c:marker>
            <c:symbol val="none"/>
          </c:marker>
          <c:xVal>
            <c:numRef>
              <c:f>Лист6!$H$22:$H$23</c:f>
              <c:numCache>
                <c:formatCode>General</c:formatCode>
                <c:ptCount val="2"/>
                <c:pt idx="0">
                  <c:v>8.0000000000000002E-3</c:v>
                </c:pt>
                <c:pt idx="1">
                  <c:v>0.26900000000000002</c:v>
                </c:pt>
              </c:numCache>
            </c:numRef>
          </c:xVal>
          <c:yVal>
            <c:numRef>
              <c:f>Лист6!$J$22:$J$23</c:f>
              <c:numCache>
                <c:formatCode>General</c:formatCode>
                <c:ptCount val="2"/>
                <c:pt idx="0">
                  <c:v>0</c:v>
                </c:pt>
                <c:pt idx="1">
                  <c:v>0.71299999999999997</c:v>
                </c:pt>
              </c:numCache>
            </c:numRef>
          </c:yVal>
          <c:smooth val="1"/>
        </c:ser>
        <c:ser>
          <c:idx val="6"/>
          <c:order val="6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Лист6!$H$24:$H$25</c:f>
              <c:numCache>
                <c:formatCode>General</c:formatCode>
                <c:ptCount val="2"/>
                <c:pt idx="0">
                  <c:v>1.0999999999999999E-2</c:v>
                </c:pt>
                <c:pt idx="1">
                  <c:v>0.34200000000000003</c:v>
                </c:pt>
              </c:numCache>
            </c:numRef>
          </c:xVal>
          <c:yVal>
            <c:numRef>
              <c:f>Лист6!$J$24:$J$25</c:f>
              <c:numCache>
                <c:formatCode>General</c:formatCode>
                <c:ptCount val="2"/>
                <c:pt idx="0">
                  <c:v>0</c:v>
                </c:pt>
                <c:pt idx="1">
                  <c:v>0.63700000000000001</c:v>
                </c:pt>
              </c:numCache>
            </c:numRef>
          </c:yVal>
          <c:smooth val="1"/>
        </c:ser>
        <c:ser>
          <c:idx val="7"/>
          <c:order val="7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Лист6!$H$26:$H$27</c:f>
              <c:numCache>
                <c:formatCode>General</c:formatCode>
                <c:ptCount val="2"/>
                <c:pt idx="0">
                  <c:v>1.7000000000000001E-2</c:v>
                </c:pt>
                <c:pt idx="1">
                  <c:v>0.46600000000000003</c:v>
                </c:pt>
              </c:numCache>
            </c:numRef>
          </c:xVal>
          <c:yVal>
            <c:numRef>
              <c:f>Лист6!$J$26:$J$27</c:f>
              <c:numCache>
                <c:formatCode>General</c:formatCode>
                <c:ptCount val="2"/>
                <c:pt idx="0">
                  <c:v>0</c:v>
                </c:pt>
                <c:pt idx="1">
                  <c:v>0.5109999999999999</c:v>
                </c:pt>
              </c:numCache>
            </c:numRef>
          </c:yVal>
          <c:smooth val="1"/>
        </c:ser>
        <c:ser>
          <c:idx val="8"/>
          <c:order val="8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Лист6!$H$28:$H$29</c:f>
              <c:numCache>
                <c:formatCode>General</c:formatCode>
                <c:ptCount val="2"/>
                <c:pt idx="0">
                  <c:v>2.4E-2</c:v>
                </c:pt>
                <c:pt idx="1">
                  <c:v>0.60599999999999998</c:v>
                </c:pt>
              </c:numCache>
            </c:numRef>
          </c:xVal>
          <c:yVal>
            <c:numRef>
              <c:f>Лист6!$J$28:$J$29</c:f>
              <c:numCache>
                <c:formatCode>General</c:formatCode>
                <c:ptCount val="2"/>
                <c:pt idx="0">
                  <c:v>0</c:v>
                </c:pt>
                <c:pt idx="1">
                  <c:v>0.36699999999999999</c:v>
                </c:pt>
              </c:numCache>
            </c:numRef>
          </c:yVal>
          <c:smooth val="1"/>
        </c:ser>
        <c:ser>
          <c:idx val="9"/>
          <c:order val="9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Лист6!$H$30:$H$31</c:f>
              <c:numCache>
                <c:formatCode>General</c:formatCode>
                <c:ptCount val="2"/>
                <c:pt idx="0">
                  <c:v>2.9000000000000001E-2</c:v>
                </c:pt>
                <c:pt idx="1">
                  <c:v>0.70399999999999996</c:v>
                </c:pt>
              </c:numCache>
            </c:numRef>
          </c:xVal>
          <c:yVal>
            <c:numRef>
              <c:f>Лист6!$J$30:$J$31</c:f>
              <c:numCache>
                <c:formatCode>General</c:formatCode>
                <c:ptCount val="2"/>
                <c:pt idx="0">
                  <c:v>0</c:v>
                </c:pt>
                <c:pt idx="1">
                  <c:v>0.26500000000000001</c:v>
                </c:pt>
              </c:numCache>
            </c:numRef>
          </c:yVal>
          <c:smooth val="1"/>
        </c:ser>
        <c:ser>
          <c:idx val="10"/>
          <c:order val="10"/>
          <c:tx>
            <c:v>'</c:v>
          </c:tx>
          <c:spPr>
            <a:ln w="3175"/>
          </c:spPr>
          <c:marker>
            <c:symbol val="none"/>
          </c:marker>
          <c:xVal>
            <c:numRef>
              <c:f>Лист6!$H$32:$H$33</c:f>
              <c:numCache>
                <c:formatCode>General</c:formatCode>
                <c:ptCount val="2"/>
                <c:pt idx="0">
                  <c:v>3.5000000000000003E-2</c:v>
                </c:pt>
                <c:pt idx="1">
                  <c:v>0.79200000000000004</c:v>
                </c:pt>
              </c:numCache>
            </c:numRef>
          </c:xVal>
          <c:yVal>
            <c:numRef>
              <c:f>Лист6!$J$32:$J$33</c:f>
              <c:numCache>
                <c:formatCode>General</c:formatCode>
                <c:ptCount val="2"/>
                <c:pt idx="0">
                  <c:v>0</c:v>
                </c:pt>
                <c:pt idx="1">
                  <c:v>0.17199999999999993</c:v>
                </c:pt>
              </c:numCache>
            </c:numRef>
          </c:yVal>
          <c:smooth val="1"/>
        </c:ser>
        <c:ser>
          <c:idx val="11"/>
          <c:order val="11"/>
          <c:tx>
            <c:v>NRTL EXT</c:v>
          </c:tx>
          <c:spPr>
            <a:ln w="3175">
              <a:prstDash val="dash"/>
            </a:ln>
          </c:spPr>
          <c:marker>
            <c:symbol val="none"/>
          </c:marker>
          <c:xVal>
            <c:numRef>
              <c:f>Лист6!$AJ$59:$AJ$67</c:f>
              <c:numCache>
                <c:formatCode>0.000</c:formatCode>
                <c:ptCount val="9"/>
                <c:pt idx="0">
                  <c:v>0</c:v>
                </c:pt>
                <c:pt idx="1">
                  <c:v>0.10959267218910003</c:v>
                </c:pt>
                <c:pt idx="2">
                  <c:v>0.17986243310230615</c:v>
                </c:pt>
                <c:pt idx="3">
                  <c:v>0.27078499163511482</c:v>
                </c:pt>
                <c:pt idx="4">
                  <c:v>0.34863685823028651</c:v>
                </c:pt>
                <c:pt idx="5">
                  <c:v>0.47624965558211779</c:v>
                </c:pt>
                <c:pt idx="6">
                  <c:v>0.60463879532810894</c:v>
                </c:pt>
                <c:pt idx="7">
                  <c:v>0.69755056389253556</c:v>
                </c:pt>
                <c:pt idx="8">
                  <c:v>0.78841567476453545</c:v>
                </c:pt>
              </c:numCache>
            </c:numRef>
          </c:xVal>
          <c:yVal>
            <c:numRef>
              <c:f>Лист6!$AL$59:$AL$67</c:f>
              <c:numCache>
                <c:formatCode>0.000</c:formatCode>
                <c:ptCount val="9"/>
                <c:pt idx="0">
                  <c:v>0.98368277090683587</c:v>
                </c:pt>
                <c:pt idx="1">
                  <c:v>0.87040571314470538</c:v>
                </c:pt>
                <c:pt idx="2">
                  <c:v>0.79312926336965694</c:v>
                </c:pt>
                <c:pt idx="3">
                  <c:v>0.6981208396625721</c:v>
                </c:pt>
                <c:pt idx="4">
                  <c:v>0.61657838169351842</c:v>
                </c:pt>
                <c:pt idx="5">
                  <c:v>0.48953715918576046</c:v>
                </c:pt>
                <c:pt idx="6">
                  <c:v>0.35953811353316684</c:v>
                </c:pt>
                <c:pt idx="7">
                  <c:v>0.26433296529055722</c:v>
                </c:pt>
                <c:pt idx="8">
                  <c:v>0.16998233178123195</c:v>
                </c:pt>
              </c:numCache>
            </c:numRef>
          </c:yVal>
          <c:smooth val="1"/>
        </c:ser>
        <c:ser>
          <c:idx val="12"/>
          <c:order val="12"/>
          <c:tx>
            <c:v>NRTL RAF</c:v>
          </c:tx>
          <c:spPr>
            <a:ln w="3175">
              <a:prstDash val="dash"/>
            </a:ln>
          </c:spPr>
          <c:marker>
            <c:symbol val="none"/>
          </c:marker>
          <c:xVal>
            <c:numRef>
              <c:f>Лист6!$AJ$68:$AJ$76</c:f>
              <c:numCache>
                <c:formatCode>0.000</c:formatCode>
                <c:ptCount val="9"/>
                <c:pt idx="0">
                  <c:v>0</c:v>
                </c:pt>
                <c:pt idx="1">
                  <c:v>2.5731647414656933E-3</c:v>
                </c:pt>
                <c:pt idx="2">
                  <c:v>5.0872212958419502E-3</c:v>
                </c:pt>
                <c:pt idx="3">
                  <c:v>7.947264680384647E-3</c:v>
                </c:pt>
                <c:pt idx="4">
                  <c:v>1.0790597468943088E-2</c:v>
                </c:pt>
                <c:pt idx="5">
                  <c:v>1.6634132764499276E-2</c:v>
                </c:pt>
                <c:pt idx="6">
                  <c:v>2.4054030459801472E-2</c:v>
                </c:pt>
                <c:pt idx="7">
                  <c:v>2.9268129160519588E-2</c:v>
                </c:pt>
                <c:pt idx="8">
                  <c:v>3.5159118327116885E-2</c:v>
                </c:pt>
              </c:numCache>
            </c:numRef>
          </c:xVal>
          <c:yVal>
            <c:numRef>
              <c:f>Лист6!$AL$68:$AL$76</c:f>
              <c:numCache>
                <c:formatCode>0.000</c:formatCode>
                <c:ptCount val="9"/>
                <c:pt idx="0">
                  <c:v>0.44843576390243722</c:v>
                </c:pt>
                <c:pt idx="1">
                  <c:v>0.44912110179513975</c:v>
                </c:pt>
                <c:pt idx="2">
                  <c:v>0.44230494887483762</c:v>
                </c:pt>
                <c:pt idx="3">
                  <c:v>0.4177971515492831</c:v>
                </c:pt>
                <c:pt idx="4">
                  <c:v>0.39213758273106125</c:v>
                </c:pt>
                <c:pt idx="5">
                  <c:v>0.32253876661310343</c:v>
                </c:pt>
                <c:pt idx="6">
                  <c:v>0.2403310585334294</c:v>
                </c:pt>
                <c:pt idx="7">
                  <c:v>0.18102077338267764</c:v>
                </c:pt>
                <c:pt idx="8">
                  <c:v>0.12978474336022394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Лист6!$AR$61</c:f>
              <c:strCache>
                <c:ptCount val="1"/>
                <c:pt idx="0">
                  <c:v>konoda 1</c:v>
                </c:pt>
              </c:strCache>
            </c:strRef>
          </c:tx>
          <c:marker>
            <c:symbol val="none"/>
          </c:marker>
          <c:xVal>
            <c:numRef>
              <c:f>Лист6!$AR$62:$AR$63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Лист6!$AS$62:$AS$63</c:f>
              <c:numCache>
                <c:formatCode>0.000</c:formatCode>
                <c:ptCount val="2"/>
                <c:pt idx="0">
                  <c:v>0.98368277090683587</c:v>
                </c:pt>
                <c:pt idx="1">
                  <c:v>0.44843576390243722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Лист6!$AR$64</c:f>
              <c:strCache>
                <c:ptCount val="1"/>
                <c:pt idx="0">
                  <c:v>konoda 2</c:v>
                </c:pt>
              </c:strCache>
            </c:strRef>
          </c:tx>
          <c:spPr>
            <a:ln w="28575">
              <a:prstDash val="lgDash"/>
            </a:ln>
          </c:spPr>
          <c:marker>
            <c:symbol val="none"/>
          </c:marker>
          <c:xVal>
            <c:numRef>
              <c:f>Лист6!$AR$65:$AR$66</c:f>
              <c:numCache>
                <c:formatCode>0.000</c:formatCode>
                <c:ptCount val="2"/>
                <c:pt idx="0">
                  <c:v>0.10959267218910003</c:v>
                </c:pt>
                <c:pt idx="1">
                  <c:v>2.5731647414656933E-3</c:v>
                </c:pt>
              </c:numCache>
            </c:numRef>
          </c:xVal>
          <c:yVal>
            <c:numRef>
              <c:f>Лист6!$AS$65:$AS$66</c:f>
              <c:numCache>
                <c:formatCode>0.000</c:formatCode>
                <c:ptCount val="2"/>
                <c:pt idx="0">
                  <c:v>0.87040571314470538</c:v>
                </c:pt>
                <c:pt idx="1">
                  <c:v>0.44912110179513975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Лист6!$AR$67</c:f>
              <c:strCache>
                <c:ptCount val="1"/>
                <c:pt idx="0">
                  <c:v>konoda 3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Лист6!$AR$68:$AR$69</c:f>
              <c:numCache>
                <c:formatCode>0.000</c:formatCode>
                <c:ptCount val="2"/>
                <c:pt idx="0">
                  <c:v>0.17986243310230615</c:v>
                </c:pt>
                <c:pt idx="1">
                  <c:v>5.0872212958419502E-3</c:v>
                </c:pt>
              </c:numCache>
            </c:numRef>
          </c:xVal>
          <c:yVal>
            <c:numRef>
              <c:f>Лист6!$AS$68:$AS$69</c:f>
              <c:numCache>
                <c:formatCode>0.000</c:formatCode>
                <c:ptCount val="2"/>
                <c:pt idx="0">
                  <c:v>0.79312926336965694</c:v>
                </c:pt>
                <c:pt idx="1">
                  <c:v>0.44230494887483762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Лист6!$AR$70</c:f>
              <c:strCache>
                <c:ptCount val="1"/>
                <c:pt idx="0">
                  <c:v>konoda 4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Лист6!$AR$71:$AR$72</c:f>
              <c:numCache>
                <c:formatCode>0.000</c:formatCode>
                <c:ptCount val="2"/>
                <c:pt idx="0">
                  <c:v>0.27078499163511482</c:v>
                </c:pt>
                <c:pt idx="1">
                  <c:v>7.947264680384647E-3</c:v>
                </c:pt>
              </c:numCache>
            </c:numRef>
          </c:xVal>
          <c:yVal>
            <c:numRef>
              <c:f>Лист6!$AS$71:$AS$72</c:f>
              <c:numCache>
                <c:formatCode>0.000</c:formatCode>
                <c:ptCount val="2"/>
                <c:pt idx="0">
                  <c:v>0.6981208396625721</c:v>
                </c:pt>
                <c:pt idx="1">
                  <c:v>0.4177971515492831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Лист6!$AU$61</c:f>
              <c:strCache>
                <c:ptCount val="1"/>
                <c:pt idx="0">
                  <c:v>konoda 5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Лист6!$AU$62:$AU$63</c:f>
              <c:numCache>
                <c:formatCode>0.000</c:formatCode>
                <c:ptCount val="2"/>
                <c:pt idx="0">
                  <c:v>0.34863685823028651</c:v>
                </c:pt>
                <c:pt idx="1">
                  <c:v>1.0790597468943088E-2</c:v>
                </c:pt>
              </c:numCache>
            </c:numRef>
          </c:xVal>
          <c:yVal>
            <c:numRef>
              <c:f>Лист6!$AV$62:$AV$63</c:f>
              <c:numCache>
                <c:formatCode>0.000</c:formatCode>
                <c:ptCount val="2"/>
                <c:pt idx="0">
                  <c:v>0.61657838169351842</c:v>
                </c:pt>
                <c:pt idx="1">
                  <c:v>0.39213758273106125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Лист6!$AU$64</c:f>
              <c:strCache>
                <c:ptCount val="1"/>
                <c:pt idx="0">
                  <c:v>konoda 6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Лист6!$AU$65:$AU$66</c:f>
              <c:numCache>
                <c:formatCode>0.000</c:formatCode>
                <c:ptCount val="2"/>
                <c:pt idx="0">
                  <c:v>0.47624965558211779</c:v>
                </c:pt>
                <c:pt idx="1">
                  <c:v>1.6634132764499276E-2</c:v>
                </c:pt>
              </c:numCache>
            </c:numRef>
          </c:xVal>
          <c:yVal>
            <c:numRef>
              <c:f>Лист6!$AV$65:$AV$66</c:f>
              <c:numCache>
                <c:formatCode>0.000</c:formatCode>
                <c:ptCount val="2"/>
                <c:pt idx="0">
                  <c:v>0.48953715918576046</c:v>
                </c:pt>
                <c:pt idx="1">
                  <c:v>0.32253876661310343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Лист6!$AU$67</c:f>
              <c:strCache>
                <c:ptCount val="1"/>
                <c:pt idx="0">
                  <c:v>konoda 7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Лист6!$AU$68:$AU$69</c:f>
              <c:numCache>
                <c:formatCode>0.000</c:formatCode>
                <c:ptCount val="2"/>
                <c:pt idx="0">
                  <c:v>0.60463879532810894</c:v>
                </c:pt>
                <c:pt idx="1">
                  <c:v>2.4054030459801472E-2</c:v>
                </c:pt>
              </c:numCache>
            </c:numRef>
          </c:xVal>
          <c:yVal>
            <c:numRef>
              <c:f>Лист6!$AV$68:$AV$69</c:f>
              <c:numCache>
                <c:formatCode>0.000</c:formatCode>
                <c:ptCount val="2"/>
                <c:pt idx="0">
                  <c:v>0.35953811353316684</c:v>
                </c:pt>
                <c:pt idx="1">
                  <c:v>0.2403310585334294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Лист6!$AU$70</c:f>
              <c:strCache>
                <c:ptCount val="1"/>
                <c:pt idx="0">
                  <c:v>konoda 8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Лист6!$AU$71:$AU$72</c:f>
              <c:numCache>
                <c:formatCode>0.000</c:formatCode>
                <c:ptCount val="2"/>
                <c:pt idx="0">
                  <c:v>0.69755056389253556</c:v>
                </c:pt>
                <c:pt idx="1">
                  <c:v>2.9268129160519588E-2</c:v>
                </c:pt>
              </c:numCache>
            </c:numRef>
          </c:xVal>
          <c:yVal>
            <c:numRef>
              <c:f>Лист6!$AV$71:$AV$72</c:f>
              <c:numCache>
                <c:formatCode>0.000</c:formatCode>
                <c:ptCount val="2"/>
                <c:pt idx="0">
                  <c:v>0.26433296529055722</c:v>
                </c:pt>
                <c:pt idx="1">
                  <c:v>0.18102077338267764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Лист6!$AX$61</c:f>
              <c:strCache>
                <c:ptCount val="1"/>
                <c:pt idx="0">
                  <c:v>konoda 9</c:v>
                </c:pt>
              </c:strCache>
            </c:strRef>
          </c:tx>
          <c:spPr>
            <a:ln>
              <a:prstDash val="lgDash"/>
            </a:ln>
          </c:spPr>
          <c:marker>
            <c:symbol val="none"/>
          </c:marker>
          <c:xVal>
            <c:numRef>
              <c:f>Лист6!$AX$62:$AX$63</c:f>
              <c:numCache>
                <c:formatCode>0.000</c:formatCode>
                <c:ptCount val="2"/>
                <c:pt idx="0">
                  <c:v>0.78841567476453545</c:v>
                </c:pt>
                <c:pt idx="1">
                  <c:v>3.5159118327116885E-2</c:v>
                </c:pt>
              </c:numCache>
            </c:numRef>
          </c:xVal>
          <c:yVal>
            <c:numRef>
              <c:f>Лист6!$AY$62:$AY$63</c:f>
              <c:numCache>
                <c:formatCode>0.000</c:formatCode>
                <c:ptCount val="2"/>
                <c:pt idx="0">
                  <c:v>0.16998233178123195</c:v>
                </c:pt>
                <c:pt idx="1">
                  <c:v>0.12978474336022394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23552"/>
        <c:axId val="153629824"/>
      </c:scatterChart>
      <c:valAx>
        <c:axId val="153623552"/>
        <c:scaling>
          <c:orientation val="minMax"/>
          <c:max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 Methanol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3629824"/>
        <c:crosses val="autoZero"/>
        <c:crossBetween val="midCat"/>
      </c:valAx>
      <c:valAx>
        <c:axId val="153629824"/>
        <c:scaling>
          <c:orientation val="minMax"/>
          <c:max val="1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x3 [EMIM][DEP]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3623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Лист6!$A$21:$A$29</c:f>
              <c:numCache>
                <c:formatCode>General</c:formatCode>
                <c:ptCount val="9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</c:numCache>
            </c:numRef>
          </c:xVal>
          <c:yVal>
            <c:numRef>
              <c:f>Лист6!$A$30:$A$38</c:f>
              <c:numCache>
                <c:formatCode>General</c:formatCode>
                <c:ptCount val="9"/>
                <c:pt idx="0">
                  <c:v>0</c:v>
                </c:pt>
                <c:pt idx="1">
                  <c:v>9.4E-2</c:v>
                </c:pt>
                <c:pt idx="2">
                  <c:v>0.183</c:v>
                </c:pt>
                <c:pt idx="3">
                  <c:v>0.26900000000000002</c:v>
                </c:pt>
                <c:pt idx="4">
                  <c:v>0.34200000000000003</c:v>
                </c:pt>
                <c:pt idx="5">
                  <c:v>0.46600000000000003</c:v>
                </c:pt>
                <c:pt idx="6">
                  <c:v>0.60599999999999998</c:v>
                </c:pt>
                <c:pt idx="7">
                  <c:v>0.70399999999999996</c:v>
                </c:pt>
                <c:pt idx="8">
                  <c:v>0.79200000000000004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63360"/>
        <c:axId val="153673728"/>
      </c:scatterChart>
      <c:scatterChart>
        <c:scatterStyle val="smoothMarker"/>
        <c:varyColors val="0"/>
        <c:ser>
          <c:idx val="1"/>
          <c:order val="1"/>
          <c:tx>
            <c:v>'</c:v>
          </c:tx>
          <c:marker>
            <c:symbol val="none"/>
          </c:marker>
          <c:xVal>
            <c:numRef>
              <c:f>Лист6!$E$23:$E$24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Лист6!$F$23:$F$25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</c:ser>
        <c:ser>
          <c:idx val="2"/>
          <c:order val="2"/>
          <c:tx>
            <c:v>NRTL</c:v>
          </c:tx>
          <c:spPr>
            <a:ln w="3175"/>
          </c:spPr>
          <c:marker>
            <c:symbol val="none"/>
          </c:marker>
          <c:xVal>
            <c:numRef>
              <c:f>Лист6!$AJ$68:$AJ$76</c:f>
              <c:numCache>
                <c:formatCode>0.000</c:formatCode>
                <c:ptCount val="9"/>
                <c:pt idx="0">
                  <c:v>0</c:v>
                </c:pt>
                <c:pt idx="1">
                  <c:v>2.5731647414656933E-3</c:v>
                </c:pt>
                <c:pt idx="2">
                  <c:v>5.0872212958419502E-3</c:v>
                </c:pt>
                <c:pt idx="3">
                  <c:v>7.947264680384647E-3</c:v>
                </c:pt>
                <c:pt idx="4">
                  <c:v>1.0790597468943088E-2</c:v>
                </c:pt>
                <c:pt idx="5">
                  <c:v>1.6634132764499276E-2</c:v>
                </c:pt>
                <c:pt idx="6">
                  <c:v>2.4054030459801472E-2</c:v>
                </c:pt>
                <c:pt idx="7">
                  <c:v>2.9268129160519588E-2</c:v>
                </c:pt>
                <c:pt idx="8">
                  <c:v>3.5159118327116885E-2</c:v>
                </c:pt>
              </c:numCache>
            </c:numRef>
          </c:xVal>
          <c:yVal>
            <c:numRef>
              <c:f>Лист6!$AJ$59:$AJ$67</c:f>
              <c:numCache>
                <c:formatCode>0.000</c:formatCode>
                <c:ptCount val="9"/>
                <c:pt idx="0">
                  <c:v>0</c:v>
                </c:pt>
                <c:pt idx="1">
                  <c:v>0.10959267218910003</c:v>
                </c:pt>
                <c:pt idx="2">
                  <c:v>0.17986243310230615</c:v>
                </c:pt>
                <c:pt idx="3">
                  <c:v>0.27078499163511482</c:v>
                </c:pt>
                <c:pt idx="4">
                  <c:v>0.34863685823028651</c:v>
                </c:pt>
                <c:pt idx="5">
                  <c:v>0.47624965558211779</c:v>
                </c:pt>
                <c:pt idx="6">
                  <c:v>0.60463879532810894</c:v>
                </c:pt>
                <c:pt idx="7">
                  <c:v>0.69755056389253556</c:v>
                </c:pt>
                <c:pt idx="8">
                  <c:v>0.78841567476453545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63360"/>
        <c:axId val="153673728"/>
      </c:scatterChart>
      <c:valAx>
        <c:axId val="153663360"/>
        <c:scaling>
          <c:orientation val="minMax"/>
          <c:max val="4.0000000000000008E-2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rafinat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3673728"/>
        <c:crosses val="autoZero"/>
        <c:crossBetween val="midCat"/>
      </c:valAx>
      <c:valAx>
        <c:axId val="1536737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extrakt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3663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NRTL</c:v>
          </c:tx>
          <c:spPr>
            <a:ln w="28575">
              <a:noFill/>
            </a:ln>
          </c:spPr>
          <c:xVal>
            <c:numRef>
              <c:f>Лист1!$AK$5:$AK$22</c:f>
              <c:numCache>
                <c:formatCode>0.000</c:formatCode>
                <c:ptCount val="18"/>
                <c:pt idx="0">
                  <c:v>0</c:v>
                </c:pt>
                <c:pt idx="1">
                  <c:v>0.11092550417646074</c:v>
                </c:pt>
                <c:pt idx="2">
                  <c:v>0.18270760482941339</c:v>
                </c:pt>
                <c:pt idx="3">
                  <c:v>0.27535492067157064</c:v>
                </c:pt>
                <c:pt idx="4">
                  <c:v>0.35464229874240649</c:v>
                </c:pt>
                <c:pt idx="5">
                  <c:v>0.48319242331814322</c:v>
                </c:pt>
                <c:pt idx="6">
                  <c:v>0.61185980153852326</c:v>
                </c:pt>
                <c:pt idx="7">
                  <c:v>0.70451590065264857</c:v>
                </c:pt>
                <c:pt idx="8">
                  <c:v>0.79456137970766949</c:v>
                </c:pt>
                <c:pt idx="9">
                  <c:v>0</c:v>
                </c:pt>
                <c:pt idx="10">
                  <c:v>2.5422467276001131E-3</c:v>
                </c:pt>
                <c:pt idx="11">
                  <c:v>5.0080017241444213E-3</c:v>
                </c:pt>
                <c:pt idx="12">
                  <c:v>7.81536787049757E-3</c:v>
                </c:pt>
                <c:pt idx="13">
                  <c:v>1.0607871687445041E-2</c:v>
                </c:pt>
                <c:pt idx="14">
                  <c:v>1.639512462881481E-2</c:v>
                </c:pt>
                <c:pt idx="15">
                  <c:v>2.3770151206908955E-2</c:v>
                </c:pt>
                <c:pt idx="16">
                  <c:v>2.8978763972661303E-2</c:v>
                </c:pt>
                <c:pt idx="17">
                  <c:v>3.4887172606096951E-2</c:v>
                </c:pt>
              </c:numCache>
            </c:numRef>
          </c:xVal>
          <c:yVal>
            <c:numRef>
              <c:f>Лист1!$AL$5:$AL$22</c:f>
              <c:numCache>
                <c:formatCode>0.000</c:formatCode>
                <c:ptCount val="18"/>
                <c:pt idx="0">
                  <c:v>0.99130938022083459</c:v>
                </c:pt>
                <c:pt idx="1">
                  <c:v>0.87832613516180091</c:v>
                </c:pt>
                <c:pt idx="2">
                  <c:v>0.80262700244141094</c:v>
                </c:pt>
                <c:pt idx="3">
                  <c:v>0.70683774254255904</c:v>
                </c:pt>
                <c:pt idx="4">
                  <c:v>0.62437657751604037</c:v>
                </c:pt>
                <c:pt idx="5">
                  <c:v>0.49388246939664066</c:v>
                </c:pt>
                <c:pt idx="6">
                  <c:v>0.36129993138564653</c:v>
                </c:pt>
                <c:pt idx="7">
                  <c:v>0.26461127186954592</c:v>
                </c:pt>
                <c:pt idx="8">
                  <c:v>0.16922953107522365</c:v>
                </c:pt>
                <c:pt idx="9" formatCode="0.00E+00">
                  <c:v>8.9249639653457831E-5</c:v>
                </c:pt>
                <c:pt idx="10" formatCode="0.00E+00">
                  <c:v>1.0138173682663864E-4</c:v>
                </c:pt>
                <c:pt idx="11" formatCode="0.00E+00">
                  <c:v>1.066442267485035E-4</c:v>
                </c:pt>
                <c:pt idx="12" formatCode="0.00E+00">
                  <c:v>1.194731602990549E-4</c:v>
                </c:pt>
                <c:pt idx="13" formatCode="0.00E+00">
                  <c:v>1.3406193142952023E-4</c:v>
                </c:pt>
                <c:pt idx="14" formatCode="0.00E+00">
                  <c:v>1.6803005439688308E-4</c:v>
                </c:pt>
                <c:pt idx="15" formatCode="0.00E+00">
                  <c:v>2.1403856548524389E-4</c:v>
                </c:pt>
                <c:pt idx="16" formatCode="0.00E+00">
                  <c:v>2.5858561748180866E-4</c:v>
                </c:pt>
                <c:pt idx="17" formatCode="0.00E+00">
                  <c:v>3.4537958955439986E-4</c:v>
                </c:pt>
              </c:numCache>
            </c:numRef>
          </c:yVal>
          <c:smooth val="0"/>
        </c:ser>
        <c:ser>
          <c:idx val="1"/>
          <c:order val="1"/>
          <c:tx>
            <c:v>Exp</c:v>
          </c:tx>
          <c:spPr>
            <a:ln w="28575">
              <a:noFill/>
            </a:ln>
          </c:spPr>
          <c:xVal>
            <c:numRef>
              <c:f>Лист1!$I$5:$I$22</c:f>
              <c:numCache>
                <c:formatCode>General</c:formatCode>
                <c:ptCount val="18"/>
                <c:pt idx="0">
                  <c:v>0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1.0999999999999999E-2</c:v>
                </c:pt>
                <c:pt idx="5">
                  <c:v>1.7000000000000001E-2</c:v>
                </c:pt>
                <c:pt idx="6">
                  <c:v>2.4E-2</c:v>
                </c:pt>
                <c:pt idx="7">
                  <c:v>2.9000000000000001E-2</c:v>
                </c:pt>
                <c:pt idx="8">
                  <c:v>3.5000000000000003E-2</c:v>
                </c:pt>
                <c:pt idx="9">
                  <c:v>0</c:v>
                </c:pt>
                <c:pt idx="10">
                  <c:v>9.4E-2</c:v>
                </c:pt>
                <c:pt idx="11">
                  <c:v>0.183</c:v>
                </c:pt>
                <c:pt idx="12">
                  <c:v>0.26900000000000002</c:v>
                </c:pt>
                <c:pt idx="13">
                  <c:v>0.34200000000000003</c:v>
                </c:pt>
                <c:pt idx="14">
                  <c:v>0.46600000000000003</c:v>
                </c:pt>
                <c:pt idx="15">
                  <c:v>0.60599999999999998</c:v>
                </c:pt>
                <c:pt idx="16">
                  <c:v>0.70399999999999996</c:v>
                </c:pt>
                <c:pt idx="17">
                  <c:v>0.79200000000000004</c:v>
                </c:pt>
              </c:numCache>
            </c:numRef>
          </c:xVal>
          <c:yVal>
            <c:numRef>
              <c:f>Лист1!$J$5:$J$22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0.99099999999999999</c:v>
                </c:pt>
                <c:pt idx="10">
                  <c:v>0.89500000000000002</c:v>
                </c:pt>
                <c:pt idx="11">
                  <c:v>0.80200000000000005</c:v>
                </c:pt>
                <c:pt idx="12">
                  <c:v>0.71299999999999997</c:v>
                </c:pt>
                <c:pt idx="13">
                  <c:v>0.63700000000000001</c:v>
                </c:pt>
                <c:pt idx="14">
                  <c:v>0.5109999999999999</c:v>
                </c:pt>
                <c:pt idx="15">
                  <c:v>0.36699999999999999</c:v>
                </c:pt>
                <c:pt idx="16">
                  <c:v>0.26500000000000001</c:v>
                </c:pt>
                <c:pt idx="17">
                  <c:v>0.17199999999999993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97088"/>
        <c:axId val="154695168"/>
      </c:scatterChart>
      <c:valAx>
        <c:axId val="154697088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crossAx val="154695168"/>
        <c:crosses val="autoZero"/>
        <c:crossBetween val="midCat"/>
      </c:valAx>
      <c:valAx>
        <c:axId val="15469516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54697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10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3</xdr:row>
      <xdr:rowOff>47626</xdr:rowOff>
    </xdr:from>
    <xdr:to>
      <xdr:col>25</xdr:col>
      <xdr:colOff>180975</xdr:colOff>
      <xdr:row>24</xdr:row>
      <xdr:rowOff>123825</xdr:rowOff>
    </xdr:to>
    <xdr:graphicFrame macro="">
      <xdr:nvGraphicFramePr>
        <xdr:cNvPr id="11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26</xdr:row>
      <xdr:rowOff>61912</xdr:rowOff>
    </xdr:from>
    <xdr:to>
      <xdr:col>18</xdr:col>
      <xdr:colOff>342900</xdr:colOff>
      <xdr:row>40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28575</xdr:colOff>
      <xdr:row>39</xdr:row>
      <xdr:rowOff>154440</xdr:rowOff>
    </xdr:from>
    <xdr:to>
      <xdr:col>7</xdr:col>
      <xdr:colOff>539750</xdr:colOff>
      <xdr:row>55</xdr:row>
      <xdr:rowOff>15247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7717290"/>
          <a:ext cx="4486275" cy="29088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5</xdr:col>
      <xdr:colOff>577850</xdr:colOff>
      <xdr:row>73</xdr:row>
      <xdr:rowOff>78721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525500"/>
          <a:ext cx="3943350" cy="1050271"/>
        </a:xfrm>
        <a:prstGeom prst="rect">
          <a:avLst/>
        </a:prstGeom>
      </xdr:spPr>
    </xdr:pic>
    <xdr:clientData/>
  </xdr:twoCellAnchor>
  <xdr:twoCellAnchor editAs="oneCell">
    <xdr:from>
      <xdr:col>41</xdr:col>
      <xdr:colOff>85725</xdr:colOff>
      <xdr:row>52</xdr:row>
      <xdr:rowOff>85725</xdr:rowOff>
    </xdr:from>
    <xdr:to>
      <xdr:col>44</xdr:col>
      <xdr:colOff>552163</xdr:colOff>
      <xdr:row>56</xdr:row>
      <xdr:rowOff>95154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079325" y="10125075"/>
          <a:ext cx="2295238" cy="771429"/>
        </a:xfrm>
        <a:prstGeom prst="rect">
          <a:avLst/>
        </a:prstGeom>
      </xdr:spPr>
    </xdr:pic>
    <xdr:clientData/>
  </xdr:twoCellAnchor>
  <xdr:twoCellAnchor editAs="oneCell">
    <xdr:from>
      <xdr:col>19</xdr:col>
      <xdr:colOff>352424</xdr:colOff>
      <xdr:row>4</xdr:row>
      <xdr:rowOff>85726</xdr:rowOff>
    </xdr:from>
    <xdr:to>
      <xdr:col>24</xdr:col>
      <xdr:colOff>504337</xdr:colOff>
      <xdr:row>13</xdr:row>
      <xdr:rowOff>171450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4824" y="876301"/>
          <a:ext cx="3199913" cy="1800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6</xdr:col>
      <xdr:colOff>34925</xdr:colOff>
      <xdr:row>75</xdr:row>
      <xdr:rowOff>190452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4668500"/>
          <a:ext cx="4010025" cy="38095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33</xdr:col>
      <xdr:colOff>66391</xdr:colOff>
      <xdr:row>4</xdr:row>
      <xdr:rowOff>190426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0" y="390525"/>
          <a:ext cx="2276191" cy="590476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38</xdr:col>
      <xdr:colOff>262815</xdr:colOff>
      <xdr:row>12</xdr:row>
      <xdr:rowOff>161762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0" y="1171575"/>
          <a:ext cx="5685715" cy="130476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14</xdr:row>
      <xdr:rowOff>0</xdr:rowOff>
    </xdr:from>
    <xdr:to>
      <xdr:col>39</xdr:col>
      <xdr:colOff>567500</xdr:colOff>
      <xdr:row>40</xdr:row>
      <xdr:rowOff>170797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0" y="2695575"/>
          <a:ext cx="6600000" cy="5228572"/>
        </a:xfrm>
        <a:prstGeom prst="rect">
          <a:avLst/>
        </a:prstGeom>
      </xdr:spPr>
    </xdr:pic>
    <xdr:clientData/>
  </xdr:twoCellAnchor>
  <xdr:twoCellAnchor editAs="oneCell">
    <xdr:from>
      <xdr:col>41</xdr:col>
      <xdr:colOff>257175</xdr:colOff>
      <xdr:row>13</xdr:row>
      <xdr:rowOff>171450</xdr:rowOff>
    </xdr:from>
    <xdr:to>
      <xdr:col>52</xdr:col>
      <xdr:colOff>94433</xdr:colOff>
      <xdr:row>41</xdr:row>
      <xdr:rowOff>27913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269950" y="2676525"/>
          <a:ext cx="6542858" cy="5295238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50</xdr:col>
      <xdr:colOff>589791</xdr:colOff>
      <xdr:row>8</xdr:row>
      <xdr:rowOff>190405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993600" y="981075"/>
          <a:ext cx="6076191" cy="7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390074</xdr:colOff>
      <xdr:row>42</xdr:row>
      <xdr:rowOff>165100</xdr:rowOff>
    </xdr:from>
    <xdr:to>
      <xdr:col>29</xdr:col>
      <xdr:colOff>571500</xdr:colOff>
      <xdr:row>56</xdr:row>
      <xdr:rowOff>165099</xdr:rowOff>
    </xdr:to>
    <xdr:pic>
      <xdr:nvPicPr>
        <xdr:cNvPr id="14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72474" y="8343900"/>
          <a:ext cx="6404426" cy="2666999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</xdr:row>
      <xdr:rowOff>0</xdr:rowOff>
    </xdr:from>
    <xdr:to>
      <xdr:col>60</xdr:col>
      <xdr:colOff>94781</xdr:colOff>
      <xdr:row>57</xdr:row>
      <xdr:rowOff>161355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937575" y="6600825"/>
          <a:ext cx="3752381" cy="45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5</xdr:col>
      <xdr:colOff>577850</xdr:colOff>
      <xdr:row>19</xdr:row>
      <xdr:rowOff>59671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92175"/>
          <a:ext cx="3940175" cy="1050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6</xdr:col>
      <xdr:colOff>34925</xdr:colOff>
      <xdr:row>21</xdr:row>
      <xdr:rowOff>190452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54225"/>
          <a:ext cx="4006850" cy="380952"/>
        </a:xfrm>
        <a:prstGeom prst="rect">
          <a:avLst/>
        </a:prstGeom>
      </xdr:spPr>
    </xdr:pic>
    <xdr:clientData/>
  </xdr:twoCellAnchor>
  <xdr:twoCellAnchor>
    <xdr:from>
      <xdr:col>32</xdr:col>
      <xdr:colOff>209550</xdr:colOff>
      <xdr:row>23</xdr:row>
      <xdr:rowOff>14287</xdr:rowOff>
    </xdr:from>
    <xdr:to>
      <xdr:col>39</xdr:col>
      <xdr:colOff>514350</xdr:colOff>
      <xdr:row>37</xdr:row>
      <xdr:rowOff>90487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ciencedirect.com/science/article/pii/S0021961415000890?via%3Dihu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0"/>
  <sheetViews>
    <sheetView tabSelected="1" topLeftCell="A49" zoomScaleNormal="100" workbookViewId="0">
      <selection activeCell="A64" sqref="A64"/>
    </sheetView>
  </sheetViews>
  <sheetFormatPr defaultRowHeight="15" x14ac:dyDescent="0.25"/>
  <cols>
    <col min="3" max="3" width="13.85546875" bestFit="1" customWidth="1"/>
    <col min="29" max="29" width="11" bestFit="1" customWidth="1"/>
    <col min="30" max="31" width="9.85546875" bestFit="1" customWidth="1"/>
    <col min="32" max="34" width="11.5703125" bestFit="1" customWidth="1"/>
  </cols>
  <sheetData>
    <row r="1" spans="1:59" x14ac:dyDescent="0.25">
      <c r="A1" s="80" t="s">
        <v>71</v>
      </c>
      <c r="B1" s="71"/>
      <c r="C1" s="71"/>
      <c r="D1" s="71"/>
      <c r="E1" s="71"/>
      <c r="F1" s="71"/>
      <c r="G1" s="71"/>
      <c r="H1" s="71"/>
      <c r="I1" s="71"/>
    </row>
    <row r="2" spans="1:59" ht="15.75" thickBot="1" x14ac:dyDescent="0.3">
      <c r="A2" t="s">
        <v>78</v>
      </c>
    </row>
    <row r="3" spans="1:59" ht="15.75" thickBot="1" x14ac:dyDescent="0.3">
      <c r="A3" s="79" t="s">
        <v>8</v>
      </c>
      <c r="B3" s="79"/>
      <c r="C3" s="79" t="s">
        <v>9</v>
      </c>
      <c r="D3" s="79"/>
      <c r="E3" s="61" t="s">
        <v>10</v>
      </c>
      <c r="F3" s="61" t="s">
        <v>11</v>
      </c>
      <c r="BC3" t="s">
        <v>77</v>
      </c>
    </row>
    <row r="4" spans="1:59" ht="15.75" thickBot="1" x14ac:dyDescent="0.3">
      <c r="A4" s="11" t="s">
        <v>13</v>
      </c>
      <c r="B4" s="11" t="s">
        <v>14</v>
      </c>
      <c r="C4" s="11" t="s">
        <v>15</v>
      </c>
      <c r="D4" s="11" t="s">
        <v>16</v>
      </c>
      <c r="E4" s="62"/>
      <c r="F4" s="62"/>
      <c r="BC4" t="s">
        <v>21</v>
      </c>
      <c r="BD4">
        <v>85</v>
      </c>
      <c r="BE4" t="s">
        <v>22</v>
      </c>
    </row>
    <row r="5" spans="1:59" x14ac:dyDescent="0.25">
      <c r="A5" s="78" t="s">
        <v>12</v>
      </c>
      <c r="B5" s="78"/>
      <c r="C5" s="78"/>
      <c r="D5" s="78"/>
      <c r="E5" s="78"/>
      <c r="F5" s="78"/>
      <c r="BC5" t="s">
        <v>19</v>
      </c>
      <c r="BD5" t="s">
        <v>3</v>
      </c>
      <c r="BE5" t="s">
        <v>20</v>
      </c>
      <c r="BF5" t="s">
        <v>6</v>
      </c>
      <c r="BG5" t="s">
        <v>7</v>
      </c>
    </row>
    <row r="6" spans="1:59" x14ac:dyDescent="0.25">
      <c r="A6" s="12">
        <v>0</v>
      </c>
      <c r="B6" s="12">
        <v>1</v>
      </c>
      <c r="C6" s="12">
        <v>0</v>
      </c>
      <c r="D6" s="12">
        <v>8.9999999999999993E-3</v>
      </c>
      <c r="E6" s="13"/>
      <c r="F6" s="13"/>
      <c r="BC6">
        <v>365.65</v>
      </c>
      <c r="BD6">
        <v>0</v>
      </c>
      <c r="BE6">
        <v>0</v>
      </c>
      <c r="BG6">
        <v>1</v>
      </c>
    </row>
    <row r="7" spans="1:59" x14ac:dyDescent="0.25">
      <c r="A7" s="12">
        <v>3.0000000000000001E-3</v>
      </c>
      <c r="B7" s="12">
        <v>0.997</v>
      </c>
      <c r="C7" s="12">
        <v>9.4E-2</v>
      </c>
      <c r="D7" s="12">
        <v>1.0999999999999999E-2</v>
      </c>
      <c r="E7" s="12">
        <v>31.3</v>
      </c>
      <c r="F7" s="12">
        <v>2839.9</v>
      </c>
      <c r="BC7">
        <v>331.55</v>
      </c>
      <c r="BD7">
        <v>0.247</v>
      </c>
      <c r="BE7">
        <v>0.73699999999999999</v>
      </c>
      <c r="BF7">
        <v>3.8180000000000001</v>
      </c>
      <c r="BG7">
        <v>1.339</v>
      </c>
    </row>
    <row r="8" spans="1:59" x14ac:dyDescent="0.25">
      <c r="A8" s="12">
        <v>5.0000000000000001E-3</v>
      </c>
      <c r="B8" s="12">
        <v>0.995</v>
      </c>
      <c r="C8" s="12">
        <v>0.183</v>
      </c>
      <c r="D8" s="12">
        <v>1.4999999999999999E-2</v>
      </c>
      <c r="E8" s="12">
        <v>36.6</v>
      </c>
      <c r="F8" s="12">
        <v>2427.8000000000002</v>
      </c>
      <c r="BC8">
        <v>330.85</v>
      </c>
      <c r="BD8">
        <v>0.34899999999999998</v>
      </c>
      <c r="BE8">
        <v>0.73799999999999999</v>
      </c>
      <c r="BF8">
        <v>2.786</v>
      </c>
      <c r="BG8">
        <v>1.5840000000000001</v>
      </c>
    </row>
    <row r="9" spans="1:59" x14ac:dyDescent="0.25">
      <c r="A9" s="12">
        <v>8.0000000000000002E-3</v>
      </c>
      <c r="B9" s="12">
        <v>0.99199999999999999</v>
      </c>
      <c r="C9" s="12">
        <v>0.26900000000000002</v>
      </c>
      <c r="D9" s="12">
        <v>1.7999999999999999E-2</v>
      </c>
      <c r="E9" s="12">
        <v>33.6</v>
      </c>
      <c r="F9" s="12">
        <v>1853.1</v>
      </c>
      <c r="BC9">
        <v>329.95</v>
      </c>
      <c r="BD9">
        <v>0.39900000000000002</v>
      </c>
      <c r="BE9">
        <v>0.74</v>
      </c>
      <c r="BF9">
        <v>2.5350000000000001</v>
      </c>
      <c r="BG9">
        <v>1.7629999999999999</v>
      </c>
    </row>
    <row r="10" spans="1:59" x14ac:dyDescent="0.25">
      <c r="A10" s="12">
        <v>1.0999999999999999E-2</v>
      </c>
      <c r="B10" s="12">
        <v>0.98899999999999999</v>
      </c>
      <c r="C10" s="12">
        <v>0.34200000000000003</v>
      </c>
      <c r="D10" s="12">
        <v>2.1000000000000001E-2</v>
      </c>
      <c r="E10" s="12">
        <v>31.1</v>
      </c>
      <c r="F10" s="12">
        <v>1464.2</v>
      </c>
      <c r="BC10">
        <v>329.65</v>
      </c>
      <c r="BD10">
        <v>0.501</v>
      </c>
      <c r="BE10">
        <v>0.74299999999999999</v>
      </c>
      <c r="BF10">
        <v>2.0489999999999999</v>
      </c>
      <c r="BG10">
        <v>2.1309999999999998</v>
      </c>
    </row>
    <row r="11" spans="1:59" x14ac:dyDescent="0.25">
      <c r="A11" s="12">
        <v>1.7000000000000001E-2</v>
      </c>
      <c r="B11" s="12">
        <v>0.98299999999999998</v>
      </c>
      <c r="C11" s="12">
        <v>0.46600000000000003</v>
      </c>
      <c r="D11" s="12">
        <v>2.3E-2</v>
      </c>
      <c r="E11" s="12">
        <v>27.4</v>
      </c>
      <c r="F11" s="12">
        <v>1171.5999999999999</v>
      </c>
      <c r="BC11">
        <v>329.55</v>
      </c>
      <c r="BD11">
        <v>0.57399999999999995</v>
      </c>
      <c r="BE11">
        <v>0.747</v>
      </c>
      <c r="BF11">
        <v>1.806</v>
      </c>
      <c r="BG11">
        <v>2.464</v>
      </c>
    </row>
    <row r="12" spans="1:59" x14ac:dyDescent="0.25">
      <c r="A12" s="12">
        <v>2.4E-2</v>
      </c>
      <c r="B12" s="12">
        <v>0.97599999999999998</v>
      </c>
      <c r="C12" s="12">
        <v>0.60599999999999998</v>
      </c>
      <c r="D12" s="12">
        <v>2.7E-2</v>
      </c>
      <c r="E12" s="12">
        <v>25.3</v>
      </c>
      <c r="F12" s="12">
        <v>912.7</v>
      </c>
      <c r="BC12">
        <v>329.25</v>
      </c>
      <c r="BD12">
        <v>0.629</v>
      </c>
      <c r="BE12">
        <v>0.749</v>
      </c>
      <c r="BF12">
        <v>1.673</v>
      </c>
      <c r="BG12">
        <v>2.843</v>
      </c>
    </row>
    <row r="13" spans="1:59" x14ac:dyDescent="0.25">
      <c r="A13" s="12">
        <v>2.9000000000000001E-2</v>
      </c>
      <c r="B13" s="12">
        <v>0.97099999999999997</v>
      </c>
      <c r="C13" s="12">
        <v>0.70399999999999996</v>
      </c>
      <c r="D13" s="12">
        <v>3.1E-2</v>
      </c>
      <c r="E13" s="12">
        <v>24.3</v>
      </c>
      <c r="F13" s="12">
        <v>760.4</v>
      </c>
      <c r="BC13">
        <v>329.25</v>
      </c>
      <c r="BD13">
        <v>0.67200000000000004</v>
      </c>
      <c r="BE13">
        <v>0.75</v>
      </c>
      <c r="BF13">
        <v>1.5680000000000001</v>
      </c>
      <c r="BG13">
        <v>3.2</v>
      </c>
    </row>
    <row r="14" spans="1:59" x14ac:dyDescent="0.25">
      <c r="A14" s="12">
        <v>3.5000000000000003E-2</v>
      </c>
      <c r="B14" s="12">
        <v>0.96499999999999997</v>
      </c>
      <c r="C14" s="12">
        <v>0.79200000000000004</v>
      </c>
      <c r="D14" s="12">
        <v>3.5999999999999997E-2</v>
      </c>
      <c r="E14" s="12">
        <v>22.6</v>
      </c>
      <c r="F14" s="12">
        <v>606.6</v>
      </c>
      <c r="BC14">
        <v>328.95</v>
      </c>
      <c r="BD14">
        <v>0.70699999999999996</v>
      </c>
      <c r="BE14">
        <v>0.76700000000000002</v>
      </c>
      <c r="BF14">
        <v>1.544</v>
      </c>
      <c r="BG14">
        <v>3.3759999999999999</v>
      </c>
    </row>
    <row r="15" spans="1:59" ht="15.75" thickBot="1" x14ac:dyDescent="0.3">
      <c r="A15" s="74"/>
      <c r="B15" s="74"/>
      <c r="C15" s="74"/>
      <c r="D15" s="74"/>
      <c r="E15" s="74"/>
      <c r="F15" s="74"/>
      <c r="BC15">
        <v>328.25</v>
      </c>
      <c r="BD15">
        <v>0.73499999999999999</v>
      </c>
      <c r="BE15">
        <v>0.77500000000000002</v>
      </c>
      <c r="BF15">
        <v>1.546</v>
      </c>
      <c r="BG15">
        <v>3.7029999999999998</v>
      </c>
    </row>
    <row r="16" spans="1:59" x14ac:dyDescent="0.25">
      <c r="H16" s="15">
        <v>0</v>
      </c>
      <c r="I16" s="16">
        <v>1</v>
      </c>
      <c r="J16" s="17">
        <f>1-SUM(H16:I16)</f>
        <v>0</v>
      </c>
      <c r="BC16">
        <v>327.55</v>
      </c>
      <c r="BD16">
        <v>0.749</v>
      </c>
      <c r="BE16">
        <v>0.77500000000000002</v>
      </c>
      <c r="BF16">
        <v>1.5620000000000001</v>
      </c>
      <c r="BG16">
        <v>4.0199999999999996</v>
      </c>
    </row>
    <row r="17" spans="1:59" ht="15.75" thickBot="1" x14ac:dyDescent="0.3">
      <c r="H17" s="18">
        <v>0</v>
      </c>
      <c r="I17" s="10">
        <v>8.9999999999999993E-3</v>
      </c>
      <c r="J17" s="19">
        <v>0.99099999999999999</v>
      </c>
      <c r="BC17">
        <v>328.45</v>
      </c>
      <c r="BD17">
        <v>0.75800000000000001</v>
      </c>
      <c r="BE17">
        <v>0.77500000000000002</v>
      </c>
      <c r="BF17">
        <v>1.4870000000000001</v>
      </c>
      <c r="BG17">
        <v>4.0190000000000001</v>
      </c>
    </row>
    <row r="18" spans="1:59" x14ac:dyDescent="0.25">
      <c r="H18" s="15">
        <v>3.0000000000000001E-3</v>
      </c>
      <c r="I18" s="16">
        <v>0.997</v>
      </c>
      <c r="J18" s="17">
        <f t="shared" ref="J18" si="0">1-SUM(H18:I18)</f>
        <v>0</v>
      </c>
      <c r="BC18">
        <v>327.45</v>
      </c>
      <c r="BD18">
        <v>0.77400000000000002</v>
      </c>
      <c r="BE18">
        <v>0.77700000000000002</v>
      </c>
      <c r="BF18">
        <v>1.5209999999999999</v>
      </c>
      <c r="BG18">
        <v>4.4539999999999997</v>
      </c>
    </row>
    <row r="19" spans="1:59" ht="15.75" thickBot="1" x14ac:dyDescent="0.3">
      <c r="H19" s="18">
        <v>9.4E-2</v>
      </c>
      <c r="I19" s="10">
        <v>1.0999999999999999E-2</v>
      </c>
      <c r="J19" s="19">
        <v>0.89500000000000002</v>
      </c>
      <c r="BC19">
        <v>327.45</v>
      </c>
      <c r="BD19">
        <v>0.77800000000000002</v>
      </c>
      <c r="BE19">
        <v>0.77900000000000003</v>
      </c>
      <c r="BF19">
        <v>1.518</v>
      </c>
      <c r="BG19">
        <v>4.4859999999999998</v>
      </c>
    </row>
    <row r="20" spans="1:59" x14ac:dyDescent="0.25">
      <c r="A20" t="s">
        <v>3</v>
      </c>
      <c r="B20" t="s">
        <v>4</v>
      </c>
      <c r="C20" t="s">
        <v>5</v>
      </c>
      <c r="H20" s="15">
        <v>5.0000000000000001E-3</v>
      </c>
      <c r="I20" s="16">
        <v>0.995</v>
      </c>
      <c r="J20" s="17">
        <f>1-SUM(H20:I20)</f>
        <v>0</v>
      </c>
      <c r="BC20">
        <v>327.35000000000002</v>
      </c>
      <c r="BD20">
        <v>0.80200000000000005</v>
      </c>
      <c r="BE20">
        <v>0.78100000000000003</v>
      </c>
      <c r="BF20">
        <v>1.484</v>
      </c>
      <c r="BG20">
        <v>4.984</v>
      </c>
    </row>
    <row r="21" spans="1:59" ht="15.75" thickBot="1" x14ac:dyDescent="0.3">
      <c r="A21" s="12">
        <v>0</v>
      </c>
      <c r="B21" s="12">
        <v>1</v>
      </c>
      <c r="C21">
        <f>1-SUM(A21:B21)</f>
        <v>0</v>
      </c>
      <c r="E21" s="12">
        <v>0</v>
      </c>
      <c r="F21" s="12">
        <v>1</v>
      </c>
      <c r="H21" s="18">
        <v>0.183</v>
      </c>
      <c r="I21" s="10">
        <v>1.4999999999999999E-2</v>
      </c>
      <c r="J21" s="19">
        <v>0.80200000000000005</v>
      </c>
      <c r="BC21">
        <v>327.45</v>
      </c>
      <c r="BD21">
        <v>0.83</v>
      </c>
      <c r="BE21">
        <v>0.78300000000000003</v>
      </c>
      <c r="BF21">
        <v>1.43</v>
      </c>
      <c r="BG21">
        <v>5.75</v>
      </c>
    </row>
    <row r="22" spans="1:59" x14ac:dyDescent="0.25">
      <c r="A22" s="12">
        <v>3.0000000000000001E-3</v>
      </c>
      <c r="B22" s="12">
        <v>0.997</v>
      </c>
      <c r="C22">
        <f t="shared" ref="C22:C29" si="1">1-SUM(A22:B22)</f>
        <v>0</v>
      </c>
      <c r="E22" s="12">
        <v>1</v>
      </c>
      <c r="F22" s="12">
        <v>0</v>
      </c>
      <c r="H22" s="15">
        <v>8.0000000000000002E-3</v>
      </c>
      <c r="I22" s="16">
        <v>0.99199999999999999</v>
      </c>
      <c r="J22" s="17">
        <f>1-SUM(H22:I22)</f>
        <v>0</v>
      </c>
      <c r="BC22">
        <v>327.55</v>
      </c>
      <c r="BD22">
        <v>0.86099999999999999</v>
      </c>
      <c r="BE22">
        <v>0.78600000000000003</v>
      </c>
      <c r="BF22">
        <v>1.3779999999999999</v>
      </c>
      <c r="BG22">
        <v>6.9260000000000002</v>
      </c>
    </row>
    <row r="23" spans="1:59" ht="15.75" thickBot="1" x14ac:dyDescent="0.3">
      <c r="A23" s="12">
        <v>5.0000000000000001E-3</v>
      </c>
      <c r="B23" s="12">
        <v>0.995</v>
      </c>
      <c r="C23">
        <f t="shared" si="1"/>
        <v>0</v>
      </c>
      <c r="E23" s="12">
        <v>0</v>
      </c>
      <c r="F23" s="12">
        <v>0</v>
      </c>
      <c r="H23" s="18">
        <v>0.26900000000000002</v>
      </c>
      <c r="I23" s="10">
        <v>1.7999999999999999E-2</v>
      </c>
      <c r="J23" s="19">
        <v>0.71299999999999997</v>
      </c>
      <c r="BC23">
        <v>327.64999999999998</v>
      </c>
      <c r="BD23">
        <v>0.89400000000000002</v>
      </c>
      <c r="BE23">
        <v>0.79500000000000004</v>
      </c>
      <c r="BF23">
        <v>1.3360000000000001</v>
      </c>
      <c r="BG23">
        <v>8.6869999999999994</v>
      </c>
    </row>
    <row r="24" spans="1:59" x14ac:dyDescent="0.25">
      <c r="A24" s="12">
        <v>8.0000000000000002E-3</v>
      </c>
      <c r="B24" s="12">
        <v>0.99199999999999999</v>
      </c>
      <c r="C24">
        <f t="shared" si="1"/>
        <v>0</v>
      </c>
      <c r="E24" s="12">
        <v>1</v>
      </c>
      <c r="F24" s="12">
        <v>1</v>
      </c>
      <c r="H24" s="15">
        <v>1.0999999999999999E-2</v>
      </c>
      <c r="I24" s="16">
        <v>0.98899999999999999</v>
      </c>
      <c r="J24" s="17">
        <f>1-SUM(H24:I24)</f>
        <v>0</v>
      </c>
      <c r="BC24">
        <v>327.75</v>
      </c>
      <c r="BD24">
        <v>0.91100000000000003</v>
      </c>
      <c r="BE24">
        <v>0.8</v>
      </c>
      <c r="BF24">
        <v>1.3140000000000001</v>
      </c>
      <c r="BG24">
        <v>10.048999999999999</v>
      </c>
    </row>
    <row r="25" spans="1:59" ht="15.75" thickBot="1" x14ac:dyDescent="0.3">
      <c r="A25" s="12">
        <v>1.0999999999999999E-2</v>
      </c>
      <c r="B25" s="12">
        <v>0.98899999999999999</v>
      </c>
      <c r="C25">
        <f t="shared" si="1"/>
        <v>0</v>
      </c>
      <c r="E25" s="12"/>
      <c r="F25" s="12"/>
      <c r="H25" s="18">
        <v>0.34200000000000003</v>
      </c>
      <c r="I25" s="10">
        <v>2.1000000000000001E-2</v>
      </c>
      <c r="J25" s="19">
        <v>0.63700000000000001</v>
      </c>
      <c r="BC25">
        <v>327.85</v>
      </c>
      <c r="BD25">
        <v>0.92900000000000005</v>
      </c>
      <c r="BE25">
        <v>0.81799999999999995</v>
      </c>
      <c r="BF25">
        <v>1.3120000000000001</v>
      </c>
      <c r="BG25">
        <v>11.348000000000001</v>
      </c>
    </row>
    <row r="26" spans="1:59" x14ac:dyDescent="0.25">
      <c r="A26" s="12">
        <v>1.7000000000000001E-2</v>
      </c>
      <c r="B26" s="12">
        <v>0.98299999999999998</v>
      </c>
      <c r="C26">
        <f t="shared" si="1"/>
        <v>0</v>
      </c>
      <c r="E26" s="12"/>
      <c r="F26" s="12"/>
      <c r="H26" s="15">
        <v>1.7000000000000001E-2</v>
      </c>
      <c r="I26" s="16">
        <v>0.98299999999999998</v>
      </c>
      <c r="J26" s="17">
        <f>1-SUM(H26:I26)</f>
        <v>0</v>
      </c>
      <c r="BC26">
        <v>328.65</v>
      </c>
      <c r="BD26">
        <v>0.95799999999999996</v>
      </c>
      <c r="BE26">
        <v>0.82399999999999995</v>
      </c>
      <c r="BF26">
        <v>1.2390000000000001</v>
      </c>
      <c r="BG26">
        <v>18.216000000000001</v>
      </c>
    </row>
    <row r="27" spans="1:59" ht="15.75" thickBot="1" x14ac:dyDescent="0.3">
      <c r="A27" s="12">
        <v>2.4E-2</v>
      </c>
      <c r="B27" s="12">
        <v>0.97599999999999998</v>
      </c>
      <c r="C27">
        <f t="shared" si="1"/>
        <v>0</v>
      </c>
      <c r="E27" s="12"/>
      <c r="F27" s="12"/>
      <c r="H27" s="18">
        <v>0.46600000000000003</v>
      </c>
      <c r="I27" s="10">
        <v>2.3E-2</v>
      </c>
      <c r="J27" s="19">
        <v>0.5109999999999999</v>
      </c>
      <c r="BC27">
        <v>333.15</v>
      </c>
      <c r="BD27">
        <v>1</v>
      </c>
      <c r="BE27">
        <v>1</v>
      </c>
      <c r="BF27">
        <v>1</v>
      </c>
    </row>
    <row r="28" spans="1:59" x14ac:dyDescent="0.25">
      <c r="A28" s="12">
        <v>2.9000000000000001E-2</v>
      </c>
      <c r="B28" s="12">
        <v>0.97099999999999997</v>
      </c>
      <c r="C28">
        <f t="shared" si="1"/>
        <v>0</v>
      </c>
      <c r="E28" s="12"/>
      <c r="F28" s="12"/>
      <c r="H28" s="15">
        <v>2.4E-2</v>
      </c>
      <c r="I28" s="16">
        <v>0.97599999999999998</v>
      </c>
      <c r="J28" s="17">
        <f>1-SUM(H28:I28)</f>
        <v>0</v>
      </c>
    </row>
    <row r="29" spans="1:59" ht="15.75" thickBot="1" x14ac:dyDescent="0.3">
      <c r="A29" s="12">
        <v>3.5000000000000003E-2</v>
      </c>
      <c r="B29" s="12">
        <v>0.96499999999999997</v>
      </c>
      <c r="C29">
        <f t="shared" si="1"/>
        <v>0</v>
      </c>
      <c r="E29" s="12"/>
      <c r="F29" s="12"/>
      <c r="H29" s="18">
        <v>0.60599999999999998</v>
      </c>
      <c r="I29" s="10">
        <v>2.7E-2</v>
      </c>
      <c r="J29" s="19">
        <v>0.36699999999999999</v>
      </c>
    </row>
    <row r="30" spans="1:59" x14ac:dyDescent="0.25">
      <c r="A30" s="12">
        <v>0</v>
      </c>
      <c r="B30" s="12">
        <v>8.9999999999999993E-3</v>
      </c>
      <c r="C30">
        <f>1-SUM(A30:B30)</f>
        <v>0.99099999999999999</v>
      </c>
      <c r="D30" s="12"/>
      <c r="E30" s="12"/>
      <c r="F30" s="12"/>
      <c r="H30" s="15">
        <v>2.9000000000000001E-2</v>
      </c>
      <c r="I30" s="16">
        <v>0.97099999999999997</v>
      </c>
      <c r="J30" s="17">
        <f>1-SUM(H30:I30)</f>
        <v>0</v>
      </c>
    </row>
    <row r="31" spans="1:59" ht="15.75" thickBot="1" x14ac:dyDescent="0.3">
      <c r="A31" s="12">
        <v>9.4E-2</v>
      </c>
      <c r="B31" s="12">
        <v>1.0999999999999999E-2</v>
      </c>
      <c r="C31">
        <f t="shared" ref="C31:C38" si="2">1-SUM(A31:B31)</f>
        <v>0.89500000000000002</v>
      </c>
      <c r="D31" s="12"/>
      <c r="E31" s="12"/>
      <c r="F31" s="12"/>
      <c r="H31" s="18">
        <v>0.70399999999999996</v>
      </c>
      <c r="I31" s="10">
        <v>3.1E-2</v>
      </c>
      <c r="J31" s="19">
        <v>0.26500000000000001</v>
      </c>
    </row>
    <row r="32" spans="1:59" x14ac:dyDescent="0.25">
      <c r="A32" s="12">
        <v>0.183</v>
      </c>
      <c r="B32" s="12">
        <v>1.4999999999999999E-2</v>
      </c>
      <c r="C32">
        <f t="shared" si="2"/>
        <v>0.80200000000000005</v>
      </c>
      <c r="D32" s="12"/>
      <c r="E32" s="12"/>
      <c r="F32" s="12"/>
      <c r="H32" s="15">
        <v>3.5000000000000003E-2</v>
      </c>
      <c r="I32" s="16">
        <v>0.96499999999999997</v>
      </c>
      <c r="J32" s="17">
        <f>1-SUM(H32:I32)</f>
        <v>0</v>
      </c>
    </row>
    <row r="33" spans="1:63" ht="15.75" thickBot="1" x14ac:dyDescent="0.3">
      <c r="A33" s="12">
        <v>0.26900000000000002</v>
      </c>
      <c r="B33" s="12">
        <v>1.7999999999999999E-2</v>
      </c>
      <c r="C33">
        <f t="shared" si="2"/>
        <v>0.71299999999999997</v>
      </c>
      <c r="D33" s="12"/>
      <c r="E33" s="12"/>
      <c r="F33" s="12"/>
      <c r="H33" s="18">
        <v>0.79200000000000004</v>
      </c>
      <c r="I33" s="10">
        <v>3.5999999999999997E-2</v>
      </c>
      <c r="J33" s="19">
        <v>0.17199999999999993</v>
      </c>
    </row>
    <row r="34" spans="1:63" x14ac:dyDescent="0.25">
      <c r="A34" s="12">
        <v>0.34200000000000003</v>
      </c>
      <c r="B34" s="12">
        <v>2.1000000000000001E-2</v>
      </c>
      <c r="C34">
        <f t="shared" si="2"/>
        <v>0.63700000000000001</v>
      </c>
      <c r="D34" s="12"/>
      <c r="E34" s="12"/>
      <c r="F34" s="12"/>
      <c r="L34">
        <v>1000</v>
      </c>
      <c r="M34">
        <v>1</v>
      </c>
    </row>
    <row r="35" spans="1:63" x14ac:dyDescent="0.25">
      <c r="A35" s="12">
        <v>0.46600000000000003</v>
      </c>
      <c r="B35" s="12">
        <v>2.3E-2</v>
      </c>
      <c r="C35">
        <f t="shared" si="2"/>
        <v>0.5109999999999999</v>
      </c>
      <c r="D35" s="12"/>
      <c r="E35" s="12"/>
      <c r="F35" s="12"/>
      <c r="K35" t="s">
        <v>3</v>
      </c>
      <c r="L35">
        <v>0.60599999999999998</v>
      </c>
      <c r="M35">
        <f>L35*$L$34</f>
        <v>606</v>
      </c>
      <c r="O35">
        <f>M35+M36</f>
        <v>633</v>
      </c>
    </row>
    <row r="36" spans="1:63" ht="15.75" thickBot="1" x14ac:dyDescent="0.3">
      <c r="A36" s="12">
        <v>0.60599999999999998</v>
      </c>
      <c r="B36" s="12">
        <v>2.7E-2</v>
      </c>
      <c r="C36">
        <f t="shared" si="2"/>
        <v>0.36699999999999999</v>
      </c>
      <c r="D36" s="14"/>
      <c r="E36" s="14"/>
      <c r="F36" s="14"/>
      <c r="K36" t="s">
        <v>4</v>
      </c>
      <c r="L36">
        <v>2.7E-2</v>
      </c>
      <c r="M36">
        <f t="shared" ref="M36:M37" si="3">L36*$L$34</f>
        <v>27</v>
      </c>
      <c r="O36">
        <f>M35/O35</f>
        <v>0.95734597156398105</v>
      </c>
    </row>
    <row r="37" spans="1:63" x14ac:dyDescent="0.25">
      <c r="A37" s="12">
        <v>0.70399999999999996</v>
      </c>
      <c r="B37" s="12">
        <v>3.1E-2</v>
      </c>
      <c r="C37">
        <f t="shared" si="2"/>
        <v>0.26500000000000001</v>
      </c>
      <c r="K37" t="s">
        <v>5</v>
      </c>
      <c r="L37">
        <f>1-L36-L35</f>
        <v>0.36699999999999999</v>
      </c>
      <c r="M37">
        <f t="shared" si="3"/>
        <v>367</v>
      </c>
    </row>
    <row r="38" spans="1:63" x14ac:dyDescent="0.25">
      <c r="A38" s="12">
        <v>0.79200000000000004</v>
      </c>
      <c r="B38" s="12">
        <v>3.5999999999999997E-2</v>
      </c>
      <c r="C38">
        <f t="shared" si="2"/>
        <v>0.17199999999999993</v>
      </c>
    </row>
    <row r="41" spans="1:63" x14ac:dyDescent="0.25">
      <c r="BI41" t="s">
        <v>83</v>
      </c>
      <c r="BJ41">
        <v>1.13432</v>
      </c>
      <c r="BK41" t="s">
        <v>84</v>
      </c>
    </row>
    <row r="49" spans="2:64" x14ac:dyDescent="0.25">
      <c r="BJ49" t="s">
        <v>80</v>
      </c>
      <c r="BK49" t="s">
        <v>81</v>
      </c>
      <c r="BL49" t="s">
        <v>82</v>
      </c>
    </row>
    <row r="57" spans="2:64" ht="15.75" thickBot="1" x14ac:dyDescent="0.3"/>
    <row r="58" spans="2:64" ht="19.5" thickBot="1" x14ac:dyDescent="0.4">
      <c r="B58" s="44" t="s">
        <v>59</v>
      </c>
      <c r="C58" s="2">
        <v>10283.700000000001</v>
      </c>
      <c r="D58" s="45" t="s">
        <v>68</v>
      </c>
      <c r="E58" s="3"/>
      <c r="F58" s="43" t="s">
        <v>0</v>
      </c>
      <c r="G58" s="43" t="s">
        <v>1</v>
      </c>
      <c r="H58" s="37" t="s">
        <v>34</v>
      </c>
      <c r="I58" s="38" t="s">
        <v>35</v>
      </c>
      <c r="J58" s="39" t="s">
        <v>36</v>
      </c>
      <c r="K58" s="37" t="s">
        <v>37</v>
      </c>
      <c r="L58" s="38" t="s">
        <v>38</v>
      </c>
      <c r="M58" s="38" t="s">
        <v>39</v>
      </c>
      <c r="N58" s="38" t="s">
        <v>40</v>
      </c>
      <c r="O58" s="38" t="s">
        <v>41</v>
      </c>
      <c r="P58" s="38" t="s">
        <v>42</v>
      </c>
      <c r="Q58" s="38" t="s">
        <v>43</v>
      </c>
      <c r="R58" s="38" t="s">
        <v>44</v>
      </c>
      <c r="S58" s="38" t="s">
        <v>45</v>
      </c>
      <c r="T58" s="38" t="s">
        <v>46</v>
      </c>
      <c r="U58" s="38" t="s">
        <v>47</v>
      </c>
      <c r="V58" s="39" t="s">
        <v>48</v>
      </c>
      <c r="W58" s="37" t="s">
        <v>49</v>
      </c>
      <c r="X58" s="38" t="s">
        <v>50</v>
      </c>
      <c r="Y58" s="39" t="s">
        <v>51</v>
      </c>
      <c r="Z58" s="37" t="s">
        <v>52</v>
      </c>
      <c r="AA58" s="38" t="s">
        <v>53</v>
      </c>
      <c r="AB58" s="39" t="s">
        <v>54</v>
      </c>
      <c r="AC58" s="37" t="s">
        <v>55</v>
      </c>
      <c r="AD58" s="38" t="s">
        <v>56</v>
      </c>
      <c r="AE58" s="39" t="s">
        <v>57</v>
      </c>
      <c r="AF58" s="54" t="s">
        <v>72</v>
      </c>
      <c r="AG58" s="55" t="s">
        <v>73</v>
      </c>
      <c r="AH58" s="55" t="s">
        <v>74</v>
      </c>
      <c r="AI58" s="4"/>
      <c r="AJ58" s="37" t="s">
        <v>3</v>
      </c>
      <c r="AK58" s="38" t="s">
        <v>4</v>
      </c>
      <c r="AL58" s="38" t="s">
        <v>5</v>
      </c>
      <c r="AM58" s="39" t="s">
        <v>58</v>
      </c>
      <c r="AN58" s="75" t="s">
        <v>18</v>
      </c>
      <c r="AO58" s="76"/>
      <c r="AP58" s="77"/>
      <c r="AQ58" s="40" t="s">
        <v>17</v>
      </c>
      <c r="AR58" s="41" t="s">
        <v>79</v>
      </c>
    </row>
    <row r="59" spans="2:64" ht="18.75" x14ac:dyDescent="0.35">
      <c r="B59" s="44" t="s">
        <v>60</v>
      </c>
      <c r="C59" s="2">
        <v>10263.6</v>
      </c>
      <c r="D59" s="45" t="s">
        <v>68</v>
      </c>
      <c r="E59" s="3"/>
      <c r="F59" s="2">
        <f>298.2-273.15</f>
        <v>25.050000000000011</v>
      </c>
      <c r="G59" s="2">
        <f>F59+273.15</f>
        <v>298.2</v>
      </c>
      <c r="H59" s="28">
        <v>0</v>
      </c>
      <c r="I59" s="29">
        <v>1</v>
      </c>
      <c r="J59" s="30">
        <f>1-SUM(H59:I59)</f>
        <v>0</v>
      </c>
      <c r="K59" s="32">
        <f>$C$58/$G$59/$C$67</f>
        <v>4.1479330638630927</v>
      </c>
      <c r="L59" s="33">
        <f>$C$59/$G$59/$C$67</f>
        <v>4.139825723646668</v>
      </c>
      <c r="M59" s="33">
        <f>$C$60/$G$59/$C$67</f>
        <v>3.4647383942819778</v>
      </c>
      <c r="N59" s="33">
        <f>$C$61/$G$59/$C$67</f>
        <v>0.30892596376914361</v>
      </c>
      <c r="O59" s="33">
        <f>$C$62/$G$59/$C$67</f>
        <v>8.7903735459021473</v>
      </c>
      <c r="P59" s="33">
        <f>$C$63/$G$59/$C$67</f>
        <v>5.4306675592001206</v>
      </c>
      <c r="Q59" s="33">
        <f>EXP(-$C$64*K59)</f>
        <v>0.15337555691866434</v>
      </c>
      <c r="R59" s="33">
        <f>EXP(-$C$64*L59)</f>
        <v>0.15393863544920203</v>
      </c>
      <c r="S59" s="33">
        <f>EXP(-$C$65*M59)</f>
        <v>0.23416591247282573</v>
      </c>
      <c r="T59" s="33">
        <f>EXP(-$C$65*N59)</f>
        <v>0.87858732068206491</v>
      </c>
      <c r="U59" s="33">
        <f>EXP(-$C$66*O59)</f>
        <v>9.5605731022432704E-3</v>
      </c>
      <c r="V59" s="34">
        <f>EXP(-$C$66*P59)</f>
        <v>5.6539083375286535E-2</v>
      </c>
      <c r="W59" s="46">
        <f>H59+R59*I59+T59*J59</f>
        <v>0.15393863544920203</v>
      </c>
      <c r="X59" s="47">
        <f>Q59*H59+I59+V59*J59</f>
        <v>1</v>
      </c>
      <c r="Y59" s="48">
        <f>S59*H59+U59*I59+J59</f>
        <v>9.5605731022432704E-3</v>
      </c>
      <c r="Z59" s="46">
        <f>I59*L59*R59+J59*N59*T59</f>
        <v>0.63727912289567346</v>
      </c>
      <c r="AA59" s="47">
        <f>H59*K59*Q59+J59*P59*V59</f>
        <v>0</v>
      </c>
      <c r="AB59" s="48">
        <f>H59*M59*S59+I59*O59*U59</f>
        <v>8.4041008881622872E-2</v>
      </c>
      <c r="AC59" s="32">
        <f>EXP((Z59/W59)-(H59*Z59/W59^2)+(I59*Q59/X59)*(K59-AA59/X59)+(J59*S59/Y59)*(M59-AB59/Y59))</f>
        <v>118.63093263773018</v>
      </c>
      <c r="AD59" s="33">
        <f>EXP((AA59/X59)-(I59*AA59/X59^2)+(H59*R59*(L59-(Z59/W59))/W59)+(J59*U59*(O59-(AB59/Y59))/Y59))</f>
        <v>1</v>
      </c>
      <c r="AE59" s="34">
        <f>EXP((AB59/Y59)-(J59*AB59/Y59^2)+(H59*T59*(N59-(Z59/W59))/W59)+(I59*V59*(P59-(AA59/X59))/X59))</f>
        <v>8932.2045349162436</v>
      </c>
      <c r="AF59" s="2">
        <f>AC59/AC68</f>
        <v>38.908205150233378</v>
      </c>
      <c r="AG59" s="2">
        <f>AD59/AD68</f>
        <v>1.6317229093164128E-2</v>
      </c>
      <c r="AH59" s="2">
        <f>AE59/AE68</f>
        <v>8879.8271870790268</v>
      </c>
      <c r="AI59" s="65" t="s">
        <v>33</v>
      </c>
      <c r="AJ59" s="24">
        <f>H59*AC59/AC68</f>
        <v>0</v>
      </c>
      <c r="AK59" s="24">
        <f t="shared" ref="AK59:AK67" si="4">I59*AD59/AD68</f>
        <v>1.6317229093164128E-2</v>
      </c>
      <c r="AL59" s="24">
        <f>1-AJ59-AK59</f>
        <v>0.98368277090683587</v>
      </c>
      <c r="AM59" s="6">
        <f t="shared" ref="AM59:AM76" si="5">SUM(AJ59:AL59)</f>
        <v>1</v>
      </c>
      <c r="AN59" s="27">
        <f t="shared" ref="AN59:AN67" si="6">(H68-AJ59)^2</f>
        <v>0</v>
      </c>
      <c r="AO59" s="27">
        <f t="shared" ref="AO59:AO67" si="7">(I68-AK59)^2</f>
        <v>5.3541841601847539E-5</v>
      </c>
      <c r="AP59" s="27">
        <f t="shared" ref="AP59:AP67" si="8">(J68-AL59)^2</f>
        <v>5.3541841601847465E-5</v>
      </c>
      <c r="AQ59" s="51">
        <f>SUM(AN59:AO76)</f>
        <v>1.1389694358589662</v>
      </c>
      <c r="AR59" s="60">
        <f>100*SQRT(AQ59/6/9)</f>
        <v>14.523094226087242</v>
      </c>
    </row>
    <row r="60" spans="2:64" ht="19.5" thickBot="1" x14ac:dyDescent="0.4">
      <c r="B60" s="44" t="s">
        <v>61</v>
      </c>
      <c r="C60" s="2">
        <v>8589.9</v>
      </c>
      <c r="D60" s="45" t="s">
        <v>69</v>
      </c>
      <c r="E60" s="3"/>
      <c r="F60" s="2"/>
      <c r="G60" s="2"/>
      <c r="H60" s="28">
        <v>3.0000000000000001E-3</v>
      </c>
      <c r="I60" s="29">
        <v>0.997</v>
      </c>
      <c r="J60" s="30">
        <f t="shared" ref="J60:J67" si="9">1-SUM(H60:I60)</f>
        <v>0</v>
      </c>
      <c r="K60" s="32">
        <f t="shared" ref="K60:K76" si="10">$C$58/$G$59/$C$67</f>
        <v>4.1479330638630927</v>
      </c>
      <c r="L60" s="33">
        <f t="shared" ref="L60:L76" si="11">$C$59/$G$59/$C$67</f>
        <v>4.139825723646668</v>
      </c>
      <c r="M60" s="33">
        <f t="shared" ref="M60:M76" si="12">$C$60/$G$59/$C$67</f>
        <v>3.4647383942819778</v>
      </c>
      <c r="N60" s="33">
        <f t="shared" ref="N60:N76" si="13">$C$61/$G$59/$C$67</f>
        <v>0.30892596376914361</v>
      </c>
      <c r="O60" s="33">
        <f t="shared" ref="O60:O76" si="14">$C$62/$G$59/$C$67</f>
        <v>8.7903735459021473</v>
      </c>
      <c r="P60" s="33">
        <f t="shared" ref="P60:P76" si="15">$C$63/$G$59/$C$67</f>
        <v>5.4306675592001206</v>
      </c>
      <c r="Q60" s="33">
        <f t="shared" ref="Q60:Q76" si="16">EXP(-$C$64*K60)</f>
        <v>0.15337555691866434</v>
      </c>
      <c r="R60" s="33">
        <f t="shared" ref="R60:R76" si="17">EXP(-$C$64*L60)</f>
        <v>0.15393863544920203</v>
      </c>
      <c r="S60" s="33">
        <f t="shared" ref="S60:S76" si="18">EXP(-$C$65*M60)</f>
        <v>0.23416591247282573</v>
      </c>
      <c r="T60" s="33">
        <f t="shared" ref="T60:T76" si="19">EXP(-$C$65*N60)</f>
        <v>0.87858732068206491</v>
      </c>
      <c r="U60" s="33">
        <f t="shared" ref="U60:U76" si="20">EXP(-$C$66*O60)</f>
        <v>9.5605731022432704E-3</v>
      </c>
      <c r="V60" s="34">
        <f t="shared" ref="V60:V76" si="21">EXP(-$C$66*P60)</f>
        <v>5.6539083375286535E-2</v>
      </c>
      <c r="W60" s="46">
        <f t="shared" ref="W60:W76" si="22">H60+R60*I60+T60*J60</f>
        <v>0.15647681954285442</v>
      </c>
      <c r="X60" s="47">
        <f t="shared" ref="X60:X76" si="23">Q60*H60+I60+V60*J60</f>
        <v>0.99746012667075601</v>
      </c>
      <c r="Y60" s="48">
        <f t="shared" ref="Y60:Y76" si="24">S60*H60+U60*I60+J60</f>
        <v>1.0234389120355018E-2</v>
      </c>
      <c r="Z60" s="46">
        <f t="shared" ref="Z60:Z76" si="25">I60*L60*R60+J60*N60*T60</f>
        <v>0.6353672855269864</v>
      </c>
      <c r="AA60" s="47">
        <f t="shared" ref="AA60:AA76" si="26">H60*K60*Q60+J60*P60*V60</f>
        <v>1.9085746311940305E-3</v>
      </c>
      <c r="AB60" s="48">
        <f t="shared" ref="AB60:AB76" si="27">H60*M60*S60+I60*O60*U60</f>
        <v>8.622285673770802E-2</v>
      </c>
      <c r="AC60" s="32">
        <f t="shared" ref="AC60:AC76" si="28">EXP((Z60/W60)-(H60*Z60/W60^2)+(I60*Q60/X60)*(K60-AA60/X60)+(J60*S60/Y60)*(M60-AB60/Y60))</f>
        <v>101.31285095408532</v>
      </c>
      <c r="AD60" s="33">
        <f t="shared" ref="AD60:AD76" si="29">EXP((AA60/X60)-(I60*AA60/X60^2)+(H60*R60*(L60-(Z60/W60))/W60)+(J60*U60*(O60-(AB60/Y60))/Y60))</f>
        <v>1.0002351563071628</v>
      </c>
      <c r="AE60" s="34">
        <f t="shared" ref="AE60:AE76" si="30">EXP((AB60/Y60)-(J60*AB60/Y60^2)+(H60*T60*(N60-(Z60/W60))/W60)+(I60*V60*(P60-(AA60/X60))/X60))</f>
        <v>5816.3020365984848</v>
      </c>
      <c r="AF60" s="2">
        <f t="shared" ref="AF60:AF67" si="31">AC60/AC69</f>
        <v>36.530890729700012</v>
      </c>
      <c r="AG60" s="2">
        <f t="shared" ref="AG60:AG67" si="32">AD60/AD69</f>
        <v>2.0061800066393742E-2</v>
      </c>
      <c r="AH60" s="2">
        <f t="shared" ref="AH60:AH67" si="33">AE60/AE69</f>
        <v>5742.0817713206443</v>
      </c>
      <c r="AI60" s="66"/>
      <c r="AJ60" s="24">
        <f t="shared" ref="AJ59:AJ67" si="34">H60*AC60/AC69</f>
        <v>0.10959267218910003</v>
      </c>
      <c r="AK60" s="24">
        <f t="shared" si="4"/>
        <v>2.0001614666194562E-2</v>
      </c>
      <c r="AL60" s="24">
        <f t="shared" ref="AL60:AL67" si="35">1-AJ60-AK60</f>
        <v>0.87040571314470538</v>
      </c>
      <c r="AM60" s="6">
        <f t="shared" si="5"/>
        <v>1</v>
      </c>
      <c r="AN60" s="27">
        <f t="shared" si="6"/>
        <v>2.4313142599673349E-4</v>
      </c>
      <c r="AO60" s="27">
        <f t="shared" si="7"/>
        <v>8.1029066598649053E-5</v>
      </c>
      <c r="AP60" s="27">
        <f t="shared" si="8"/>
        <v>6.0487894592051845E-4</v>
      </c>
    </row>
    <row r="61" spans="2:64" ht="19.5" thickBot="1" x14ac:dyDescent="0.4">
      <c r="B61" s="44" t="s">
        <v>62</v>
      </c>
      <c r="C61" s="2">
        <v>765.9</v>
      </c>
      <c r="D61" s="45" t="s">
        <v>69</v>
      </c>
      <c r="E61" s="3"/>
      <c r="F61" s="2"/>
      <c r="G61" s="2"/>
      <c r="H61" s="28">
        <v>5.0000000000000001E-3</v>
      </c>
      <c r="I61" s="29">
        <v>0.995</v>
      </c>
      <c r="J61" s="30">
        <f t="shared" si="9"/>
        <v>0</v>
      </c>
      <c r="K61" s="32">
        <f t="shared" si="10"/>
        <v>4.1479330638630927</v>
      </c>
      <c r="L61" s="33">
        <f t="shared" si="11"/>
        <v>4.139825723646668</v>
      </c>
      <c r="M61" s="33">
        <f t="shared" si="12"/>
        <v>3.4647383942819778</v>
      </c>
      <c r="N61" s="33">
        <f t="shared" si="13"/>
        <v>0.30892596376914361</v>
      </c>
      <c r="O61" s="33">
        <f t="shared" si="14"/>
        <v>8.7903735459021473</v>
      </c>
      <c r="P61" s="33">
        <f t="shared" si="15"/>
        <v>5.4306675592001206</v>
      </c>
      <c r="Q61" s="33">
        <f t="shared" si="16"/>
        <v>0.15337555691866434</v>
      </c>
      <c r="R61" s="33">
        <f t="shared" si="17"/>
        <v>0.15393863544920203</v>
      </c>
      <c r="S61" s="33">
        <f t="shared" si="18"/>
        <v>0.23416591247282573</v>
      </c>
      <c r="T61" s="33">
        <f t="shared" si="19"/>
        <v>0.87858732068206491</v>
      </c>
      <c r="U61" s="33">
        <f t="shared" si="20"/>
        <v>9.5605731022432704E-3</v>
      </c>
      <c r="V61" s="34">
        <f t="shared" si="21"/>
        <v>5.6539083375286535E-2</v>
      </c>
      <c r="W61" s="46">
        <f t="shared" si="22"/>
        <v>0.15816894227195602</v>
      </c>
      <c r="X61" s="47">
        <f t="shared" si="23"/>
        <v>0.99576687778459327</v>
      </c>
      <c r="Y61" s="48">
        <f t="shared" si="24"/>
        <v>1.0683599799096184E-2</v>
      </c>
      <c r="Z61" s="46">
        <f t="shared" si="25"/>
        <v>0.63409272728119515</v>
      </c>
      <c r="AA61" s="47">
        <f t="shared" si="26"/>
        <v>3.1809577186567178E-3</v>
      </c>
      <c r="AB61" s="48">
        <f t="shared" si="27"/>
        <v>8.7677421975098105E-2</v>
      </c>
      <c r="AC61" s="32">
        <f t="shared" si="28"/>
        <v>91.600822679604704</v>
      </c>
      <c r="AD61" s="33">
        <f t="shared" si="29"/>
        <v>1.0006395001044701</v>
      </c>
      <c r="AE61" s="34">
        <f t="shared" si="30"/>
        <v>4494.4326233984402</v>
      </c>
      <c r="AF61" s="2">
        <f t="shared" si="31"/>
        <v>35.972486620461233</v>
      </c>
      <c r="AG61" s="2">
        <f t="shared" si="32"/>
        <v>2.714402364626815E-2</v>
      </c>
      <c r="AH61" s="2">
        <f t="shared" si="33"/>
        <v>4355.317605142126</v>
      </c>
      <c r="AI61" s="66"/>
      <c r="AJ61" s="24">
        <f t="shared" si="34"/>
        <v>0.17986243310230615</v>
      </c>
      <c r="AK61" s="24">
        <f t="shared" si="4"/>
        <v>2.700830352803681E-2</v>
      </c>
      <c r="AL61" s="24">
        <f t="shared" si="35"/>
        <v>0.79312926336965694</v>
      </c>
      <c r="AM61" s="6">
        <f t="shared" si="5"/>
        <v>0.99999999999999989</v>
      </c>
      <c r="AN61" s="27">
        <f t="shared" si="6"/>
        <v>9.8443260375041737E-6</v>
      </c>
      <c r="AO61" s="27">
        <f t="shared" si="7"/>
        <v>1.4419935362146129E-4</v>
      </c>
      <c r="AP61" s="27">
        <f t="shared" si="8"/>
        <v>7.8689968364910873E-5</v>
      </c>
      <c r="AR61" s="63" t="s">
        <v>23</v>
      </c>
      <c r="AS61" s="64"/>
      <c r="AT61" s="6"/>
      <c r="AU61" s="63" t="s">
        <v>27</v>
      </c>
      <c r="AV61" s="64"/>
      <c r="AX61" s="63" t="s">
        <v>31</v>
      </c>
      <c r="AY61" s="64"/>
    </row>
    <row r="62" spans="2:64" ht="18.75" x14ac:dyDescent="0.35">
      <c r="B62" s="44" t="s">
        <v>63</v>
      </c>
      <c r="C62" s="2">
        <v>21793.4</v>
      </c>
      <c r="D62" s="45" t="s">
        <v>69</v>
      </c>
      <c r="E62" s="3"/>
      <c r="F62" s="2"/>
      <c r="G62" s="2"/>
      <c r="H62" s="28">
        <v>8.0000000000000002E-3</v>
      </c>
      <c r="I62" s="29">
        <v>0.99199999999999999</v>
      </c>
      <c r="J62" s="30">
        <f t="shared" si="9"/>
        <v>0</v>
      </c>
      <c r="K62" s="32">
        <f t="shared" si="10"/>
        <v>4.1479330638630927</v>
      </c>
      <c r="L62" s="33">
        <f t="shared" si="11"/>
        <v>4.139825723646668</v>
      </c>
      <c r="M62" s="33">
        <f t="shared" si="12"/>
        <v>3.4647383942819778</v>
      </c>
      <c r="N62" s="33">
        <f t="shared" si="13"/>
        <v>0.30892596376914361</v>
      </c>
      <c r="O62" s="33">
        <f t="shared" si="14"/>
        <v>8.7903735459021473</v>
      </c>
      <c r="P62" s="33">
        <f t="shared" si="15"/>
        <v>5.4306675592001206</v>
      </c>
      <c r="Q62" s="33">
        <f t="shared" si="16"/>
        <v>0.15337555691866434</v>
      </c>
      <c r="R62" s="33">
        <f t="shared" si="17"/>
        <v>0.15393863544920203</v>
      </c>
      <c r="S62" s="33">
        <f t="shared" si="18"/>
        <v>0.23416591247282573</v>
      </c>
      <c r="T62" s="33">
        <f t="shared" si="19"/>
        <v>0.87858732068206491</v>
      </c>
      <c r="U62" s="33">
        <f t="shared" si="20"/>
        <v>9.5605731022432704E-3</v>
      </c>
      <c r="V62" s="34">
        <f t="shared" si="21"/>
        <v>5.6539083375286535E-2</v>
      </c>
      <c r="W62" s="46">
        <f t="shared" si="22"/>
        <v>0.16070712636560841</v>
      </c>
      <c r="X62" s="47">
        <f t="shared" si="23"/>
        <v>0.99322700445534928</v>
      </c>
      <c r="Y62" s="48">
        <f t="shared" si="24"/>
        <v>1.1357415817207931E-2</v>
      </c>
      <c r="Z62" s="46">
        <f t="shared" si="25"/>
        <v>0.63218088991250798</v>
      </c>
      <c r="AA62" s="47">
        <f t="shared" si="26"/>
        <v>5.089532349850749E-3</v>
      </c>
      <c r="AB62" s="48">
        <f t="shared" si="27"/>
        <v>8.9859269831183267E-2</v>
      </c>
      <c r="AC62" s="32">
        <f t="shared" si="28"/>
        <v>79.244978545144221</v>
      </c>
      <c r="AD62" s="33">
        <f t="shared" si="29"/>
        <v>1.0015867961845855</v>
      </c>
      <c r="AE62" s="34">
        <f t="shared" si="30"/>
        <v>3164.6183402277115</v>
      </c>
      <c r="AF62" s="2">
        <f t="shared" si="31"/>
        <v>33.848123954389351</v>
      </c>
      <c r="AG62" s="2">
        <f t="shared" si="32"/>
        <v>3.1344928127331743E-2</v>
      </c>
      <c r="AH62" s="2">
        <f t="shared" si="33"/>
        <v>2981.0932052992871</v>
      </c>
      <c r="AI62" s="66"/>
      <c r="AJ62" s="24">
        <f t="shared" si="34"/>
        <v>0.27078499163511482</v>
      </c>
      <c r="AK62" s="24">
        <f t="shared" si="4"/>
        <v>3.1094168702313088E-2</v>
      </c>
      <c r="AL62" s="24">
        <f t="shared" si="35"/>
        <v>0.6981208396625721</v>
      </c>
      <c r="AM62" s="6">
        <f t="shared" si="5"/>
        <v>1</v>
      </c>
      <c r="AN62" s="27">
        <f t="shared" si="6"/>
        <v>3.1861951374298346E-6</v>
      </c>
      <c r="AO62" s="27">
        <f t="shared" si="7"/>
        <v>1.7145725400463565E-4</v>
      </c>
      <c r="AP62" s="27">
        <f t="shared" si="8"/>
        <v>2.2138941234688651E-4</v>
      </c>
      <c r="AR62" s="24">
        <f>AJ59</f>
        <v>0</v>
      </c>
      <c r="AS62" s="24">
        <f>AL59</f>
        <v>0.98368277090683587</v>
      </c>
      <c r="AT62" s="24"/>
      <c r="AU62" s="26">
        <f>AJ63</f>
        <v>0.34863685823028651</v>
      </c>
      <c r="AV62" s="26">
        <f>AL63</f>
        <v>0.61657838169351842</v>
      </c>
      <c r="AW62" s="26"/>
      <c r="AX62" s="26">
        <f>AJ67</f>
        <v>0.78841567476453545</v>
      </c>
      <c r="AY62" s="26">
        <f>AL67</f>
        <v>0.16998233178123195</v>
      </c>
    </row>
    <row r="63" spans="2:64" ht="19.5" thickBot="1" x14ac:dyDescent="0.4">
      <c r="B63" s="44" t="s">
        <v>64</v>
      </c>
      <c r="C63" s="2">
        <v>13463.9</v>
      </c>
      <c r="D63" s="45" t="s">
        <v>69</v>
      </c>
      <c r="E63" s="3"/>
      <c r="F63" s="2"/>
      <c r="G63" s="2"/>
      <c r="H63" s="28">
        <v>1.0999999999999999E-2</v>
      </c>
      <c r="I63" s="29">
        <v>0.98899999999999999</v>
      </c>
      <c r="J63" s="30">
        <f t="shared" si="9"/>
        <v>0</v>
      </c>
      <c r="K63" s="32">
        <f t="shared" si="10"/>
        <v>4.1479330638630927</v>
      </c>
      <c r="L63" s="33">
        <f t="shared" si="11"/>
        <v>4.139825723646668</v>
      </c>
      <c r="M63" s="33">
        <f t="shared" si="12"/>
        <v>3.4647383942819778</v>
      </c>
      <c r="N63" s="33">
        <f t="shared" si="13"/>
        <v>0.30892596376914361</v>
      </c>
      <c r="O63" s="33">
        <f t="shared" si="14"/>
        <v>8.7903735459021473</v>
      </c>
      <c r="P63" s="33">
        <f t="shared" si="15"/>
        <v>5.4306675592001206</v>
      </c>
      <c r="Q63" s="33">
        <f t="shared" si="16"/>
        <v>0.15337555691866434</v>
      </c>
      <c r="R63" s="33">
        <f t="shared" si="17"/>
        <v>0.15393863544920203</v>
      </c>
      <c r="S63" s="33">
        <f t="shared" si="18"/>
        <v>0.23416591247282573</v>
      </c>
      <c r="T63" s="33">
        <f t="shared" si="19"/>
        <v>0.87858732068206491</v>
      </c>
      <c r="U63" s="33">
        <f t="shared" si="20"/>
        <v>9.5605731022432704E-3</v>
      </c>
      <c r="V63" s="34">
        <f t="shared" si="21"/>
        <v>5.6539083375286535E-2</v>
      </c>
      <c r="W63" s="46">
        <f t="shared" si="22"/>
        <v>0.1632453104592608</v>
      </c>
      <c r="X63" s="47">
        <f t="shared" si="23"/>
        <v>0.99068713112610529</v>
      </c>
      <c r="Y63" s="48">
        <f t="shared" si="24"/>
        <v>1.2031231835319678E-2</v>
      </c>
      <c r="Z63" s="46">
        <f t="shared" si="25"/>
        <v>0.63026905254382104</v>
      </c>
      <c r="AA63" s="47">
        <f t="shared" si="26"/>
        <v>6.998106981044778E-3</v>
      </c>
      <c r="AB63" s="48">
        <f t="shared" si="27"/>
        <v>9.2041117687268414E-2</v>
      </c>
      <c r="AC63" s="32">
        <f t="shared" si="28"/>
        <v>69.043676722729757</v>
      </c>
      <c r="AD63" s="33">
        <f t="shared" si="29"/>
        <v>1.0029098226859021</v>
      </c>
      <c r="AE63" s="34">
        <f t="shared" si="30"/>
        <v>2312.3584214357447</v>
      </c>
      <c r="AF63" s="2">
        <f t="shared" si="31"/>
        <v>31.69425983911696</v>
      </c>
      <c r="AG63" s="2">
        <f t="shared" si="32"/>
        <v>3.5171648206466156E-2</v>
      </c>
      <c r="AH63" s="2">
        <f t="shared" si="33"/>
        <v>2101.1873022326681</v>
      </c>
      <c r="AI63" s="66"/>
      <c r="AJ63" s="24">
        <f t="shared" si="34"/>
        <v>0.34863685823028651</v>
      </c>
      <c r="AK63" s="24">
        <f t="shared" si="4"/>
        <v>3.4784760076195027E-2</v>
      </c>
      <c r="AL63" s="24">
        <f>1-AJ63-AK63</f>
        <v>0.61657838169351842</v>
      </c>
      <c r="AM63" s="6">
        <f t="shared" si="5"/>
        <v>1</v>
      </c>
      <c r="AN63" s="27">
        <f t="shared" si="6"/>
        <v>4.4047887168921382E-5</v>
      </c>
      <c r="AO63" s="27">
        <f t="shared" si="7"/>
        <v>1.9001961035826031E-4</v>
      </c>
      <c r="AP63" s="27">
        <f t="shared" si="8"/>
        <v>4.1704249425562412E-4</v>
      </c>
      <c r="AR63" s="24">
        <f>AJ68</f>
        <v>0</v>
      </c>
      <c r="AS63" s="24">
        <f>AL68</f>
        <v>0.44843576390243722</v>
      </c>
      <c r="AT63" s="24"/>
      <c r="AU63" s="26">
        <f>AJ72</f>
        <v>1.0790597468943088E-2</v>
      </c>
      <c r="AV63" s="26">
        <f>AL72</f>
        <v>0.39213758273106125</v>
      </c>
      <c r="AW63" s="26"/>
      <c r="AX63" s="26">
        <f>AJ76</f>
        <v>3.5159118327116885E-2</v>
      </c>
      <c r="AY63" s="26">
        <f>AL76</f>
        <v>0.12978474336022394</v>
      </c>
    </row>
    <row r="64" spans="2:64" ht="18.75" thickBot="1" x14ac:dyDescent="0.4">
      <c r="B64" s="44" t="s">
        <v>65</v>
      </c>
      <c r="C64" s="5">
        <v>0.45200000000000001</v>
      </c>
      <c r="D64" s="3"/>
      <c r="E64" s="3"/>
      <c r="F64" s="2"/>
      <c r="G64" s="2"/>
      <c r="H64" s="28">
        <v>1.7000000000000001E-2</v>
      </c>
      <c r="I64" s="29">
        <v>0.98299999999999998</v>
      </c>
      <c r="J64" s="30">
        <f t="shared" si="9"/>
        <v>0</v>
      </c>
      <c r="K64" s="32">
        <f t="shared" si="10"/>
        <v>4.1479330638630927</v>
      </c>
      <c r="L64" s="33">
        <f t="shared" si="11"/>
        <v>4.139825723646668</v>
      </c>
      <c r="M64" s="33">
        <f t="shared" si="12"/>
        <v>3.4647383942819778</v>
      </c>
      <c r="N64" s="33">
        <f t="shared" si="13"/>
        <v>0.30892596376914361</v>
      </c>
      <c r="O64" s="33">
        <f t="shared" si="14"/>
        <v>8.7903735459021473</v>
      </c>
      <c r="P64" s="33">
        <f t="shared" si="15"/>
        <v>5.4306675592001206</v>
      </c>
      <c r="Q64" s="33">
        <f t="shared" si="16"/>
        <v>0.15337555691866434</v>
      </c>
      <c r="R64" s="33">
        <f t="shared" si="17"/>
        <v>0.15393863544920203</v>
      </c>
      <c r="S64" s="33">
        <f t="shared" si="18"/>
        <v>0.23416591247282573</v>
      </c>
      <c r="T64" s="33">
        <f t="shared" si="19"/>
        <v>0.87858732068206491</v>
      </c>
      <c r="U64" s="33">
        <f t="shared" si="20"/>
        <v>9.5605731022432704E-3</v>
      </c>
      <c r="V64" s="34">
        <f t="shared" si="21"/>
        <v>5.6539083375286535E-2</v>
      </c>
      <c r="W64" s="46">
        <f t="shared" si="22"/>
        <v>0.16832167864656561</v>
      </c>
      <c r="X64" s="47">
        <f t="shared" si="23"/>
        <v>0.98560738446761731</v>
      </c>
      <c r="Y64" s="48">
        <f t="shared" si="24"/>
        <v>1.3378863871543172E-2</v>
      </c>
      <c r="Z64" s="46">
        <f t="shared" si="25"/>
        <v>0.62644537780644693</v>
      </c>
      <c r="AA64" s="47">
        <f t="shared" si="26"/>
        <v>1.081525624343284E-2</v>
      </c>
      <c r="AB64" s="48">
        <f t="shared" si="27"/>
        <v>9.640481339943871E-2</v>
      </c>
      <c r="AC64" s="32">
        <f t="shared" si="28"/>
        <v>53.445524209136863</v>
      </c>
      <c r="AD64" s="33">
        <f t="shared" si="29"/>
        <v>1.0065509029829995</v>
      </c>
      <c r="AE64" s="34">
        <f t="shared" si="30"/>
        <v>1350.9127015082813</v>
      </c>
      <c r="AF64" s="2">
        <f t="shared" si="31"/>
        <v>28.014685622477515</v>
      </c>
      <c r="AG64" s="2">
        <f t="shared" si="32"/>
        <v>3.4804867987916273E-2</v>
      </c>
      <c r="AH64" s="2">
        <f t="shared" si="33"/>
        <v>1117.4157562531559</v>
      </c>
      <c r="AI64" s="66"/>
      <c r="AJ64" s="24">
        <f t="shared" si="34"/>
        <v>0.47624965558211779</v>
      </c>
      <c r="AK64" s="24">
        <f t="shared" si="4"/>
        <v>3.4213185232121697E-2</v>
      </c>
      <c r="AL64" s="24">
        <f t="shared" si="35"/>
        <v>0.48953715918576046</v>
      </c>
      <c r="AM64" s="6">
        <f t="shared" si="5"/>
        <v>1</v>
      </c>
      <c r="AN64" s="27">
        <f t="shared" si="6"/>
        <v>1.050554395520379E-4</v>
      </c>
      <c r="AO64" s="27">
        <f t="shared" si="7"/>
        <v>1.2573552304987213E-4</v>
      </c>
      <c r="AP64" s="27">
        <f t="shared" si="8"/>
        <v>4.6065353581738216E-4</v>
      </c>
      <c r="AR64" s="72" t="s">
        <v>24</v>
      </c>
      <c r="AS64" s="73"/>
      <c r="AT64" s="24"/>
      <c r="AU64" s="72" t="s">
        <v>28</v>
      </c>
      <c r="AV64" s="73"/>
      <c r="AW64" s="26"/>
      <c r="AX64" s="26"/>
      <c r="AY64" s="26"/>
    </row>
    <row r="65" spans="2:51" ht="18" x14ac:dyDescent="0.35">
      <c r="B65" s="44" t="s">
        <v>66</v>
      </c>
      <c r="C65" s="5">
        <v>0.41899999999999998</v>
      </c>
      <c r="D65" s="3"/>
      <c r="E65" s="3"/>
      <c r="F65" s="2"/>
      <c r="G65" s="2"/>
      <c r="H65" s="28">
        <v>2.4E-2</v>
      </c>
      <c r="I65" s="29">
        <v>0.97599999999999998</v>
      </c>
      <c r="J65" s="30">
        <f t="shared" si="9"/>
        <v>0</v>
      </c>
      <c r="K65" s="32">
        <f t="shared" si="10"/>
        <v>4.1479330638630927</v>
      </c>
      <c r="L65" s="33">
        <f t="shared" si="11"/>
        <v>4.139825723646668</v>
      </c>
      <c r="M65" s="33">
        <f t="shared" si="12"/>
        <v>3.4647383942819778</v>
      </c>
      <c r="N65" s="33">
        <f t="shared" si="13"/>
        <v>0.30892596376914361</v>
      </c>
      <c r="O65" s="33">
        <f t="shared" si="14"/>
        <v>8.7903735459021473</v>
      </c>
      <c r="P65" s="33">
        <f t="shared" si="15"/>
        <v>5.4306675592001206</v>
      </c>
      <c r="Q65" s="33">
        <f t="shared" si="16"/>
        <v>0.15337555691866434</v>
      </c>
      <c r="R65" s="33">
        <f t="shared" si="17"/>
        <v>0.15393863544920203</v>
      </c>
      <c r="S65" s="33">
        <f t="shared" si="18"/>
        <v>0.23416591247282573</v>
      </c>
      <c r="T65" s="33">
        <f t="shared" si="19"/>
        <v>0.87858732068206491</v>
      </c>
      <c r="U65" s="33">
        <f t="shared" si="20"/>
        <v>9.5605731022432704E-3</v>
      </c>
      <c r="V65" s="34">
        <f t="shared" si="21"/>
        <v>5.6539083375286535E-2</v>
      </c>
      <c r="W65" s="46">
        <f t="shared" si="22"/>
        <v>0.17424410819842118</v>
      </c>
      <c r="X65" s="47">
        <f t="shared" si="23"/>
        <v>0.97968101336604796</v>
      </c>
      <c r="Y65" s="48">
        <f t="shared" si="24"/>
        <v>1.495110124713725E-2</v>
      </c>
      <c r="Z65" s="46">
        <f t="shared" si="25"/>
        <v>0.62198442394617715</v>
      </c>
      <c r="AA65" s="47">
        <f t="shared" si="26"/>
        <v>1.5268597049552244E-2</v>
      </c>
      <c r="AB65" s="48">
        <f t="shared" si="27"/>
        <v>0.10149579173030406</v>
      </c>
      <c r="AC65" s="32">
        <f t="shared" si="28"/>
        <v>40.827832458945778</v>
      </c>
      <c r="AD65" s="33">
        <f t="shared" si="29"/>
        <v>1.0122229254448063</v>
      </c>
      <c r="AE65" s="34">
        <f t="shared" si="30"/>
        <v>811.54371317385414</v>
      </c>
      <c r="AF65" s="2">
        <f t="shared" si="31"/>
        <v>25.193283138671205</v>
      </c>
      <c r="AG65" s="2">
        <f t="shared" si="32"/>
        <v>3.6703986822463348E-2</v>
      </c>
      <c r="AH65" s="2">
        <f t="shared" si="33"/>
        <v>546.05754825047188</v>
      </c>
      <c r="AI65" s="66"/>
      <c r="AJ65" s="24">
        <f t="shared" si="34"/>
        <v>0.60463879532810894</v>
      </c>
      <c r="AK65" s="24">
        <f t="shared" si="4"/>
        <v>3.5823091138724228E-2</v>
      </c>
      <c r="AL65" s="24">
        <f t="shared" si="35"/>
        <v>0.35953811353316684</v>
      </c>
      <c r="AM65" s="6">
        <f t="shared" si="5"/>
        <v>1</v>
      </c>
      <c r="AN65" s="27">
        <f t="shared" si="6"/>
        <v>1.8528781587780144E-6</v>
      </c>
      <c r="AO65" s="27">
        <f t="shared" si="7"/>
        <v>7.7846937242234004E-5</v>
      </c>
      <c r="AP65" s="27">
        <f t="shared" si="8"/>
        <v>5.5679749643907808E-5</v>
      </c>
      <c r="AR65" s="24">
        <f>AJ60</f>
        <v>0.10959267218910003</v>
      </c>
      <c r="AS65" s="24">
        <f>AL60</f>
        <v>0.87040571314470538</v>
      </c>
      <c r="AT65" s="24"/>
      <c r="AU65" s="26">
        <f>AJ64</f>
        <v>0.47624965558211779</v>
      </c>
      <c r="AV65" s="26">
        <f>AL64</f>
        <v>0.48953715918576046</v>
      </c>
      <c r="AW65" s="26"/>
      <c r="AX65" s="26"/>
      <c r="AY65" s="26"/>
    </row>
    <row r="66" spans="2:51" ht="18.75" thickBot="1" x14ac:dyDescent="0.4">
      <c r="B66" s="44" t="s">
        <v>67</v>
      </c>
      <c r="C66" s="5">
        <v>0.52900000000000003</v>
      </c>
      <c r="D66" s="7"/>
      <c r="E66" s="3"/>
      <c r="F66" s="2"/>
      <c r="G66" s="2"/>
      <c r="H66" s="28">
        <v>2.9000000000000001E-2</v>
      </c>
      <c r="I66" s="29">
        <v>0.97099999999999997</v>
      </c>
      <c r="J66" s="30">
        <f t="shared" si="9"/>
        <v>0</v>
      </c>
      <c r="K66" s="32">
        <f t="shared" si="10"/>
        <v>4.1479330638630927</v>
      </c>
      <c r="L66" s="33">
        <f t="shared" si="11"/>
        <v>4.139825723646668</v>
      </c>
      <c r="M66" s="33">
        <f t="shared" si="12"/>
        <v>3.4647383942819778</v>
      </c>
      <c r="N66" s="33">
        <f t="shared" si="13"/>
        <v>0.30892596376914361</v>
      </c>
      <c r="O66" s="33">
        <f t="shared" si="14"/>
        <v>8.7903735459021473</v>
      </c>
      <c r="P66" s="33">
        <f t="shared" si="15"/>
        <v>5.4306675592001206</v>
      </c>
      <c r="Q66" s="33">
        <f t="shared" si="16"/>
        <v>0.15337555691866434</v>
      </c>
      <c r="R66" s="33">
        <f t="shared" si="17"/>
        <v>0.15393863544920203</v>
      </c>
      <c r="S66" s="33">
        <f t="shared" si="18"/>
        <v>0.23416591247282573</v>
      </c>
      <c r="T66" s="33">
        <f t="shared" si="19"/>
        <v>0.87858732068206491</v>
      </c>
      <c r="U66" s="33">
        <f t="shared" si="20"/>
        <v>9.5605731022432704E-3</v>
      </c>
      <c r="V66" s="34">
        <f t="shared" si="21"/>
        <v>5.6539083375286535E-2</v>
      </c>
      <c r="W66" s="46">
        <f t="shared" si="22"/>
        <v>0.17847441502117517</v>
      </c>
      <c r="X66" s="47">
        <f t="shared" si="23"/>
        <v>0.97544789115064123</v>
      </c>
      <c r="Y66" s="48">
        <f t="shared" si="24"/>
        <v>1.6074127943990161E-2</v>
      </c>
      <c r="Z66" s="46">
        <f t="shared" si="25"/>
        <v>0.61879802833169884</v>
      </c>
      <c r="AA66" s="47">
        <f t="shared" si="26"/>
        <v>1.8449554768208962E-2</v>
      </c>
      <c r="AB66" s="48">
        <f t="shared" si="27"/>
        <v>0.1051322048237793</v>
      </c>
      <c r="AC66" s="32">
        <f t="shared" si="28"/>
        <v>34.267035773817923</v>
      </c>
      <c r="AD66" s="33">
        <f t="shared" si="29"/>
        <v>1.0170557852242605</v>
      </c>
      <c r="AE66" s="34">
        <f t="shared" si="30"/>
        <v>598.34791763177373</v>
      </c>
      <c r="AF66" s="2">
        <f t="shared" si="31"/>
        <v>24.053467720432259</v>
      </c>
      <c r="AG66" s="2">
        <f t="shared" si="32"/>
        <v>3.9254861809379225E-2</v>
      </c>
      <c r="AH66" s="2">
        <f t="shared" si="33"/>
        <v>305.02108060888321</v>
      </c>
      <c r="AI66" s="66"/>
      <c r="AJ66" s="24">
        <f t="shared" si="34"/>
        <v>0.69755056389253556</v>
      </c>
      <c r="AK66" s="24">
        <f t="shared" si="4"/>
        <v>3.8116470816907229E-2</v>
      </c>
      <c r="AL66" s="24">
        <f t="shared" si="35"/>
        <v>0.26433296529055722</v>
      </c>
      <c r="AM66" s="6">
        <f t="shared" si="5"/>
        <v>1</v>
      </c>
      <c r="AN66" s="27">
        <f t="shared" si="6"/>
        <v>4.159522610426557E-5</v>
      </c>
      <c r="AO66" s="27">
        <f t="shared" si="7"/>
        <v>5.0644156887892243E-5</v>
      </c>
      <c r="AP66" s="27">
        <f t="shared" si="8"/>
        <v>4.4493530360143137E-7</v>
      </c>
      <c r="AR66" s="24">
        <f>AJ69</f>
        <v>2.5731647414656933E-3</v>
      </c>
      <c r="AS66" s="24">
        <f>AL69</f>
        <v>0.44912110179513975</v>
      </c>
      <c r="AT66" s="24"/>
      <c r="AU66" s="26">
        <f>AJ73</f>
        <v>1.6634132764499276E-2</v>
      </c>
      <c r="AV66" s="26">
        <f>AL73</f>
        <v>0.32253876661310343</v>
      </c>
      <c r="AW66" s="26"/>
      <c r="AX66" s="26"/>
      <c r="AY66" s="26"/>
    </row>
    <row r="67" spans="2:51" ht="18" thickBot="1" x14ac:dyDescent="0.3">
      <c r="B67" s="44" t="s">
        <v>2</v>
      </c>
      <c r="C67" s="6">
        <v>8.3140000000000001</v>
      </c>
      <c r="D67" s="45" t="s">
        <v>70</v>
      </c>
      <c r="E67" s="3"/>
      <c r="F67" s="2"/>
      <c r="G67" s="2"/>
      <c r="H67" s="31">
        <v>3.5000000000000003E-2</v>
      </c>
      <c r="I67" s="20">
        <v>0.96499999999999997</v>
      </c>
      <c r="J67" s="19">
        <f t="shared" si="9"/>
        <v>0</v>
      </c>
      <c r="K67" s="35">
        <f t="shared" si="10"/>
        <v>4.1479330638630927</v>
      </c>
      <c r="L67" s="21">
        <f t="shared" si="11"/>
        <v>4.139825723646668</v>
      </c>
      <c r="M67" s="21">
        <f t="shared" si="12"/>
        <v>3.4647383942819778</v>
      </c>
      <c r="N67" s="21">
        <f t="shared" si="13"/>
        <v>0.30892596376914361</v>
      </c>
      <c r="O67" s="21">
        <f t="shared" si="14"/>
        <v>8.7903735459021473</v>
      </c>
      <c r="P67" s="21">
        <f t="shared" si="15"/>
        <v>5.4306675592001206</v>
      </c>
      <c r="Q67" s="21">
        <f t="shared" si="16"/>
        <v>0.15337555691866434</v>
      </c>
      <c r="R67" s="21">
        <f t="shared" si="17"/>
        <v>0.15393863544920203</v>
      </c>
      <c r="S67" s="21">
        <f t="shared" si="18"/>
        <v>0.23416591247282573</v>
      </c>
      <c r="T67" s="21">
        <f t="shared" si="19"/>
        <v>0.87858732068206491</v>
      </c>
      <c r="U67" s="21">
        <f t="shared" si="20"/>
        <v>9.5605731022432704E-3</v>
      </c>
      <c r="V67" s="36">
        <f t="shared" si="21"/>
        <v>5.6539083375286535E-2</v>
      </c>
      <c r="W67" s="49">
        <f t="shared" si="22"/>
        <v>0.18355078320847995</v>
      </c>
      <c r="X67" s="22">
        <f t="shared" si="23"/>
        <v>0.97036814449215325</v>
      </c>
      <c r="Y67" s="50">
        <f t="shared" si="24"/>
        <v>1.7421759980213655E-2</v>
      </c>
      <c r="Z67" s="49">
        <f t="shared" si="25"/>
        <v>0.61497435359432484</v>
      </c>
      <c r="AA67" s="22">
        <f t="shared" si="26"/>
        <v>2.2266704030597027E-2</v>
      </c>
      <c r="AB67" s="50">
        <f t="shared" si="27"/>
        <v>0.1094959005359496</v>
      </c>
      <c r="AC67" s="35">
        <f t="shared" si="28"/>
        <v>28.239837238762842</v>
      </c>
      <c r="AD67" s="21">
        <f t="shared" si="29"/>
        <v>1.0235719247951083</v>
      </c>
      <c r="AE67" s="36">
        <f t="shared" si="30"/>
        <v>436.81765239391115</v>
      </c>
      <c r="AF67" s="52">
        <f t="shared" si="31"/>
        <v>22.526162136129582</v>
      </c>
      <c r="AG67" s="23">
        <f t="shared" si="32"/>
        <v>4.311087404583689E-2</v>
      </c>
      <c r="AH67" s="53">
        <f t="shared" si="33"/>
        <v>140.35952772242067</v>
      </c>
      <c r="AI67" s="67"/>
      <c r="AJ67" s="25">
        <f t="shared" si="34"/>
        <v>0.78841567476453545</v>
      </c>
      <c r="AK67" s="25">
        <f t="shared" si="4"/>
        <v>4.16019934542326E-2</v>
      </c>
      <c r="AL67" s="25">
        <f t="shared" si="35"/>
        <v>0.16998233178123195</v>
      </c>
      <c r="AM67" s="21">
        <f t="shared" si="5"/>
        <v>1</v>
      </c>
      <c r="AN67" s="27">
        <f t="shared" si="6"/>
        <v>1.28473873935883E-5</v>
      </c>
      <c r="AO67" s="27">
        <f t="shared" si="7"/>
        <v>3.1382330661264929E-5</v>
      </c>
      <c r="AP67" s="27">
        <f t="shared" si="8"/>
        <v>4.0709850410263376E-6</v>
      </c>
      <c r="AR67" s="72" t="s">
        <v>25</v>
      </c>
      <c r="AS67" s="73"/>
      <c r="AT67" s="24"/>
      <c r="AU67" s="72" t="s">
        <v>29</v>
      </c>
      <c r="AV67" s="73"/>
      <c r="AW67" s="26"/>
      <c r="AX67" s="26"/>
      <c r="AY67" s="26"/>
    </row>
    <row r="68" spans="2:51" x14ac:dyDescent="0.25">
      <c r="B68" s="1"/>
      <c r="C68" s="6"/>
      <c r="D68" s="8"/>
      <c r="E68" s="3"/>
      <c r="F68" s="2"/>
      <c r="G68" s="2"/>
      <c r="H68" s="28">
        <v>0</v>
      </c>
      <c r="I68" s="29">
        <v>8.9999999999999993E-3</v>
      </c>
      <c r="J68" s="30">
        <f>1-SUM(H68:I68)</f>
        <v>0.99099999999999999</v>
      </c>
      <c r="K68" s="32">
        <f t="shared" si="10"/>
        <v>4.1479330638630927</v>
      </c>
      <c r="L68" s="33">
        <f t="shared" si="11"/>
        <v>4.139825723646668</v>
      </c>
      <c r="M68" s="33">
        <f t="shared" si="12"/>
        <v>3.4647383942819778</v>
      </c>
      <c r="N68" s="33">
        <f t="shared" si="13"/>
        <v>0.30892596376914361</v>
      </c>
      <c r="O68" s="33">
        <f t="shared" si="14"/>
        <v>8.7903735459021473</v>
      </c>
      <c r="P68" s="33">
        <f t="shared" si="15"/>
        <v>5.4306675592001206</v>
      </c>
      <c r="Q68" s="33">
        <f t="shared" si="16"/>
        <v>0.15337555691866434</v>
      </c>
      <c r="R68" s="33">
        <f t="shared" si="17"/>
        <v>0.15393863544920203</v>
      </c>
      <c r="S68" s="33">
        <f t="shared" si="18"/>
        <v>0.23416591247282573</v>
      </c>
      <c r="T68" s="33">
        <f t="shared" si="19"/>
        <v>0.87858732068206491</v>
      </c>
      <c r="U68" s="33">
        <f t="shared" si="20"/>
        <v>9.5605731022432704E-3</v>
      </c>
      <c r="V68" s="34">
        <f t="shared" si="21"/>
        <v>5.6539083375286535E-2</v>
      </c>
      <c r="W68" s="46">
        <f t="shared" si="22"/>
        <v>0.87206548251496918</v>
      </c>
      <c r="X68" s="47">
        <f t="shared" si="23"/>
        <v>6.5030231624908952E-2</v>
      </c>
      <c r="Y68" s="48">
        <f t="shared" si="24"/>
        <v>0.9910860451579202</v>
      </c>
      <c r="Z68" s="46">
        <f t="shared" si="25"/>
        <v>0.27471118098994407</v>
      </c>
      <c r="AA68" s="47">
        <f t="shared" si="26"/>
        <v>0.30428156121986172</v>
      </c>
      <c r="AB68" s="48">
        <f t="shared" si="27"/>
        <v>7.5636907993460582E-4</v>
      </c>
      <c r="AC68" s="56">
        <f>EXP((Z68/W68)-(H68*Z68/W68^2)+(I68*Q68/X68)*(K68-AA68/X68)+(J68*S68/Y68)*(M68-AB68/Y68))</f>
        <v>3.0489952486800491</v>
      </c>
      <c r="AD68" s="33">
        <f t="shared" si="29"/>
        <v>61.284915121951428</v>
      </c>
      <c r="AE68" s="34">
        <f t="shared" si="30"/>
        <v>1.0058984647711873</v>
      </c>
      <c r="AF68" s="2">
        <f>AC68/AC59</f>
        <v>2.5701519670176868E-2</v>
      </c>
      <c r="AG68" s="2">
        <f t="shared" ref="AG68:AH68" si="36">AD68/AD59</f>
        <v>61.284915121951428</v>
      </c>
      <c r="AH68" s="2">
        <f t="shared" si="36"/>
        <v>1.1261480419969127E-4</v>
      </c>
      <c r="AI68" s="68" t="s">
        <v>32</v>
      </c>
      <c r="AJ68" s="24">
        <f>H68*AC68/AC59</f>
        <v>0</v>
      </c>
      <c r="AK68" s="24">
        <f>I68*AD68/AD59</f>
        <v>0.55156423609756278</v>
      </c>
      <c r="AL68" s="24">
        <f>1-AJ68-AK68</f>
        <v>0.44843576390243722</v>
      </c>
      <c r="AM68" s="6">
        <f t="shared" si="5"/>
        <v>1</v>
      </c>
      <c r="AN68" s="27">
        <f t="shared" ref="AN68:AN76" si="37">(H59-AJ68)^2</f>
        <v>0</v>
      </c>
      <c r="AO68" s="27">
        <f t="shared" ref="AO68:AO76" si="38">(I59-AK68)^2</f>
        <v>0.20109463434676242</v>
      </c>
      <c r="AP68" s="27">
        <f t="shared" ref="AP68:AP76" si="39">(J59-AL68)^2</f>
        <v>0.20109463434676242</v>
      </c>
      <c r="AR68" s="42">
        <f>AJ61</f>
        <v>0.17986243310230615</v>
      </c>
      <c r="AS68" s="24">
        <f>AL61</f>
        <v>0.79312926336965694</v>
      </c>
      <c r="AT68" s="24"/>
      <c r="AU68" s="26">
        <f>AJ65</f>
        <v>0.60463879532810894</v>
      </c>
      <c r="AV68" s="26">
        <f>AL65</f>
        <v>0.35953811353316684</v>
      </c>
      <c r="AW68" s="26"/>
      <c r="AX68" s="26"/>
      <c r="AY68" s="26"/>
    </row>
    <row r="69" spans="2:51" ht="15.75" thickBot="1" x14ac:dyDescent="0.3">
      <c r="B69" s="3"/>
      <c r="C69" s="3"/>
      <c r="D69" s="3"/>
      <c r="E69" s="3"/>
      <c r="F69" s="2"/>
      <c r="G69" s="2"/>
      <c r="H69" s="28">
        <v>9.4E-2</v>
      </c>
      <c r="I69" s="29">
        <v>1.0999999999999999E-2</v>
      </c>
      <c r="J69" s="30">
        <f t="shared" ref="J69:J76" si="40">1-SUM(H69:I69)</f>
        <v>0.89500000000000002</v>
      </c>
      <c r="K69" s="32">
        <f t="shared" si="10"/>
        <v>4.1479330638630927</v>
      </c>
      <c r="L69" s="33">
        <f t="shared" si="11"/>
        <v>4.139825723646668</v>
      </c>
      <c r="M69" s="33">
        <f t="shared" si="12"/>
        <v>3.4647383942819778</v>
      </c>
      <c r="N69" s="33">
        <f t="shared" si="13"/>
        <v>0.30892596376914361</v>
      </c>
      <c r="O69" s="33">
        <f t="shared" si="14"/>
        <v>8.7903735459021473</v>
      </c>
      <c r="P69" s="33">
        <f t="shared" si="15"/>
        <v>5.4306675592001206</v>
      </c>
      <c r="Q69" s="33">
        <f t="shared" si="16"/>
        <v>0.15337555691866434</v>
      </c>
      <c r="R69" s="33">
        <f t="shared" si="17"/>
        <v>0.15393863544920203</v>
      </c>
      <c r="S69" s="33">
        <f t="shared" si="18"/>
        <v>0.23416591247282573</v>
      </c>
      <c r="T69" s="33">
        <f t="shared" si="19"/>
        <v>0.87858732068206491</v>
      </c>
      <c r="U69" s="33">
        <f t="shared" si="20"/>
        <v>9.5605731022432704E-3</v>
      </c>
      <c r="V69" s="34">
        <f t="shared" si="21"/>
        <v>5.6539083375286535E-2</v>
      </c>
      <c r="W69" s="46">
        <f t="shared" si="22"/>
        <v>0.88202897700038929</v>
      </c>
      <c r="X69" s="47">
        <f t="shared" si="23"/>
        <v>7.6019781971235892E-2</v>
      </c>
      <c r="Y69" s="48">
        <f t="shared" si="24"/>
        <v>0.91711676207657034</v>
      </c>
      <c r="Z69" s="46">
        <f t="shared" si="25"/>
        <v>0.24992956949521802</v>
      </c>
      <c r="AA69" s="47">
        <f t="shared" si="26"/>
        <v>0.33460724960295241</v>
      </c>
      <c r="AB69" s="48">
        <f t="shared" si="27"/>
        <v>7.7188872089905061E-2</v>
      </c>
      <c r="AC69" s="32">
        <f>EXP((Z69/W69)-(H69*Z69/W69^2)+(I69*Q69/X69)*(K69-AA69/X69)+(J69*S69/Y69)*(M69-AB69/Y69))</f>
        <v>2.7733474035363961</v>
      </c>
      <c r="AD69" s="33">
        <f t="shared" si="29"/>
        <v>49.857697364988368</v>
      </c>
      <c r="AE69" s="34">
        <f t="shared" si="30"/>
        <v>1.0129256719485502</v>
      </c>
      <c r="AF69" s="2">
        <f t="shared" ref="AF69:AF76" si="41">AC69/AC60</f>
        <v>2.7374092994315882E-2</v>
      </c>
      <c r="AG69" s="2">
        <f t="shared" ref="AG69:AG76" si="42">AD69/AD60</f>
        <v>49.845975769399516</v>
      </c>
      <c r="AH69" s="2">
        <f t="shared" ref="AH69:AH76" si="43">AE69/AE60</f>
        <v>1.7415286647337418E-4</v>
      </c>
      <c r="AI69" s="69"/>
      <c r="AJ69" s="24">
        <f t="shared" ref="AJ69:AJ76" si="44">H69*AC69/AC60</f>
        <v>2.5731647414656933E-3</v>
      </c>
      <c r="AK69" s="24">
        <f t="shared" ref="AK69" si="45">I69*AD69/AD60</f>
        <v>0.54830573346339451</v>
      </c>
      <c r="AL69" s="24">
        <f t="shared" ref="AL69:AL76" si="46">1-AJ69-AK69</f>
        <v>0.44912110179513975</v>
      </c>
      <c r="AM69" s="6">
        <f t="shared" si="5"/>
        <v>1</v>
      </c>
      <c r="AN69" s="27">
        <f t="shared" si="37"/>
        <v>1.8218833792804852E-7</v>
      </c>
      <c r="AO69" s="27">
        <f t="shared" si="38"/>
        <v>0.20132654482282236</v>
      </c>
      <c r="AP69" s="27">
        <f t="shared" si="39"/>
        <v>0.20170976407768029</v>
      </c>
      <c r="AR69" s="24">
        <f>AJ70</f>
        <v>5.0872212958419502E-3</v>
      </c>
      <c r="AS69" s="24">
        <f>AL70</f>
        <v>0.44230494887483762</v>
      </c>
      <c r="AT69" s="24"/>
      <c r="AU69" s="26">
        <f>AJ74</f>
        <v>2.4054030459801472E-2</v>
      </c>
      <c r="AV69" s="26">
        <f>AL74</f>
        <v>0.2403310585334294</v>
      </c>
      <c r="AW69" s="26"/>
      <c r="AX69" s="26"/>
      <c r="AY69" s="26"/>
    </row>
    <row r="70" spans="2:51" ht="15.75" thickBot="1" x14ac:dyDescent="0.3">
      <c r="B70" s="3"/>
      <c r="C70" s="1"/>
      <c r="D70" s="7"/>
      <c r="E70" s="3"/>
      <c r="F70" s="2"/>
      <c r="G70" s="2"/>
      <c r="H70" s="28">
        <v>0.183</v>
      </c>
      <c r="I70" s="29">
        <v>1.4999999999999999E-2</v>
      </c>
      <c r="J70" s="30">
        <f t="shared" si="40"/>
        <v>0.80200000000000005</v>
      </c>
      <c r="K70" s="32">
        <f t="shared" si="10"/>
        <v>4.1479330638630927</v>
      </c>
      <c r="L70" s="33">
        <f t="shared" si="11"/>
        <v>4.139825723646668</v>
      </c>
      <c r="M70" s="33">
        <f t="shared" si="12"/>
        <v>3.4647383942819778</v>
      </c>
      <c r="N70" s="33">
        <f t="shared" si="13"/>
        <v>0.30892596376914361</v>
      </c>
      <c r="O70" s="33">
        <f t="shared" si="14"/>
        <v>8.7903735459021473</v>
      </c>
      <c r="P70" s="33">
        <f t="shared" si="15"/>
        <v>5.4306675592001206</v>
      </c>
      <c r="Q70" s="33">
        <f t="shared" si="16"/>
        <v>0.15337555691866434</v>
      </c>
      <c r="R70" s="33">
        <f t="shared" si="17"/>
        <v>0.15393863544920203</v>
      </c>
      <c r="S70" s="33">
        <f t="shared" si="18"/>
        <v>0.23416591247282573</v>
      </c>
      <c r="T70" s="33">
        <f t="shared" si="19"/>
        <v>0.87858732068206491</v>
      </c>
      <c r="U70" s="33">
        <f t="shared" si="20"/>
        <v>9.5605731022432704E-3</v>
      </c>
      <c r="V70" s="34">
        <f t="shared" si="21"/>
        <v>5.6539083375286535E-2</v>
      </c>
      <c r="W70" s="46">
        <f t="shared" si="22"/>
        <v>0.88993611071875411</v>
      </c>
      <c r="X70" s="47">
        <f t="shared" si="23"/>
        <v>8.8412071783095375E-2</v>
      </c>
      <c r="Y70" s="48">
        <f t="shared" si="24"/>
        <v>0.84499577057906083</v>
      </c>
      <c r="Z70" s="46">
        <f t="shared" si="25"/>
        <v>0.22723677155067445</v>
      </c>
      <c r="AA70" s="47">
        <f t="shared" si="26"/>
        <v>0.36267311516512557</v>
      </c>
      <c r="AB70" s="48">
        <f t="shared" si="27"/>
        <v>0.14973283897975539</v>
      </c>
      <c r="AC70" s="32">
        <f t="shared" si="28"/>
        <v>2.546413419958073</v>
      </c>
      <c r="AD70" s="33">
        <f t="shared" si="29"/>
        <v>36.864081506281821</v>
      </c>
      <c r="AE70" s="34">
        <f t="shared" si="30"/>
        <v>1.0319414175655222</v>
      </c>
      <c r="AF70" s="2">
        <f t="shared" si="41"/>
        <v>2.7799023474546176E-2</v>
      </c>
      <c r="AG70" s="2">
        <f t="shared" si="42"/>
        <v>36.840521988621362</v>
      </c>
      <c r="AH70" s="2">
        <f t="shared" si="43"/>
        <v>2.2960438036007878E-4</v>
      </c>
      <c r="AI70" s="69"/>
      <c r="AJ70" s="24">
        <f t="shared" si="44"/>
        <v>5.0872212958419502E-3</v>
      </c>
      <c r="AK70" s="24">
        <f t="shared" ref="AK70" si="47">I70*AD70/AD61</f>
        <v>0.55260782982932044</v>
      </c>
      <c r="AL70" s="24">
        <f t="shared" si="46"/>
        <v>0.44230494887483762</v>
      </c>
      <c r="AM70" s="6">
        <f t="shared" si="5"/>
        <v>1</v>
      </c>
      <c r="AN70" s="27">
        <f t="shared" si="37"/>
        <v>7.6075544483489761E-9</v>
      </c>
      <c r="AO70" s="27">
        <f t="shared" si="38"/>
        <v>0.1957108322283235</v>
      </c>
      <c r="AP70" s="27">
        <f t="shared" si="39"/>
        <v>0.19563366779917271</v>
      </c>
      <c r="AR70" s="72" t="s">
        <v>26</v>
      </c>
      <c r="AS70" s="73"/>
      <c r="AT70" s="24"/>
      <c r="AU70" s="72" t="s">
        <v>30</v>
      </c>
      <c r="AV70" s="73"/>
      <c r="AW70" s="26"/>
      <c r="AX70" s="26"/>
      <c r="AY70" s="26"/>
    </row>
    <row r="71" spans="2:51" x14ac:dyDescent="0.25">
      <c r="B71" s="3"/>
      <c r="C71" s="1"/>
      <c r="D71" s="7"/>
      <c r="E71" s="3"/>
      <c r="F71" s="2"/>
      <c r="G71" s="2"/>
      <c r="H71" s="28">
        <v>0.26900000000000002</v>
      </c>
      <c r="I71" s="29">
        <v>1.7999999999999999E-2</v>
      </c>
      <c r="J71" s="30">
        <f t="shared" si="40"/>
        <v>0.71299999999999997</v>
      </c>
      <c r="K71" s="32">
        <f t="shared" si="10"/>
        <v>4.1479330638630927</v>
      </c>
      <c r="L71" s="33">
        <f t="shared" si="11"/>
        <v>4.139825723646668</v>
      </c>
      <c r="M71" s="33">
        <f t="shared" si="12"/>
        <v>3.4647383942819778</v>
      </c>
      <c r="N71" s="33">
        <f t="shared" si="13"/>
        <v>0.30892596376914361</v>
      </c>
      <c r="O71" s="33">
        <f t="shared" si="14"/>
        <v>8.7903735459021473</v>
      </c>
      <c r="P71" s="33">
        <f t="shared" si="15"/>
        <v>5.4306675592001206</v>
      </c>
      <c r="Q71" s="33">
        <f t="shared" si="16"/>
        <v>0.15337555691866434</v>
      </c>
      <c r="R71" s="33">
        <f t="shared" si="17"/>
        <v>0.15393863544920203</v>
      </c>
      <c r="S71" s="33">
        <f t="shared" si="18"/>
        <v>0.23416591247282573</v>
      </c>
      <c r="T71" s="33">
        <f t="shared" si="19"/>
        <v>0.87858732068206491</v>
      </c>
      <c r="U71" s="33">
        <f t="shared" si="20"/>
        <v>9.5605731022432704E-3</v>
      </c>
      <c r="V71" s="34">
        <f t="shared" si="21"/>
        <v>5.6539083375286535E-2</v>
      </c>
      <c r="W71" s="46">
        <f t="shared" si="22"/>
        <v>0.89820365508439792</v>
      </c>
      <c r="X71" s="47">
        <f t="shared" si="23"/>
        <v>9.9570391257700008E-2</v>
      </c>
      <c r="Y71" s="48">
        <f t="shared" si="24"/>
        <v>0.77616272077103043</v>
      </c>
      <c r="Z71" s="46">
        <f t="shared" si="25"/>
        <v>0.20499236822242342</v>
      </c>
      <c r="AA71" s="47">
        <f t="shared" si="26"/>
        <v>0.39005858595975706</v>
      </c>
      <c r="AB71" s="48">
        <f t="shared" si="27"/>
        <v>0.21975879397799408</v>
      </c>
      <c r="AC71" s="32">
        <f t="shared" si="28"/>
        <v>2.3411926360210549</v>
      </c>
      <c r="AD71" s="33">
        <f t="shared" si="29"/>
        <v>31.953711685535332</v>
      </c>
      <c r="AE71" s="34">
        <f t="shared" si="30"/>
        <v>1.0615630315087714</v>
      </c>
      <c r="AF71" s="2">
        <f t="shared" si="41"/>
        <v>2.9543734871318388E-2</v>
      </c>
      <c r="AG71" s="2">
        <f t="shared" si="42"/>
        <v>31.903087987240685</v>
      </c>
      <c r="AH71" s="2">
        <f t="shared" si="43"/>
        <v>3.3544741178248566E-4</v>
      </c>
      <c r="AI71" s="69"/>
      <c r="AJ71" s="24">
        <f t="shared" si="44"/>
        <v>7.947264680384647E-3</v>
      </c>
      <c r="AK71" s="24">
        <f t="shared" ref="AK71" si="48">I71*AD71/AD62</f>
        <v>0.57425558377033226</v>
      </c>
      <c r="AL71" s="24">
        <f t="shared" si="46"/>
        <v>0.4177971515492831</v>
      </c>
      <c r="AM71" s="6">
        <f t="shared" si="5"/>
        <v>1</v>
      </c>
      <c r="AN71" s="27">
        <f t="shared" si="37"/>
        <v>2.7810139349334578E-9</v>
      </c>
      <c r="AO71" s="27">
        <f t="shared" si="38"/>
        <v>0.17451039729106588</v>
      </c>
      <c r="AP71" s="27">
        <f t="shared" si="39"/>
        <v>0.17455445984269463</v>
      </c>
      <c r="AR71" s="26">
        <f>AJ62</f>
        <v>0.27078499163511482</v>
      </c>
      <c r="AS71" s="26">
        <f>AL62</f>
        <v>0.6981208396625721</v>
      </c>
      <c r="AT71" s="26"/>
      <c r="AU71" s="26">
        <f>AJ66</f>
        <v>0.69755056389253556</v>
      </c>
      <c r="AV71" s="26">
        <f>AL66</f>
        <v>0.26433296529055722</v>
      </c>
      <c r="AW71" s="26"/>
      <c r="AX71" s="26"/>
      <c r="AY71" s="26"/>
    </row>
    <row r="72" spans="2:51" x14ac:dyDescent="0.25">
      <c r="B72" s="3"/>
      <c r="C72" s="3"/>
      <c r="D72" s="3"/>
      <c r="E72" s="3"/>
      <c r="F72" s="2"/>
      <c r="G72" s="2"/>
      <c r="H72" s="28">
        <v>0.34200000000000003</v>
      </c>
      <c r="I72" s="29">
        <v>2.1000000000000001E-2</v>
      </c>
      <c r="J72" s="30">
        <f t="shared" si="40"/>
        <v>0.63700000000000001</v>
      </c>
      <c r="K72" s="32">
        <f t="shared" si="10"/>
        <v>4.1479330638630927</v>
      </c>
      <c r="L72" s="33">
        <f t="shared" si="11"/>
        <v>4.139825723646668</v>
      </c>
      <c r="M72" s="33">
        <f t="shared" si="12"/>
        <v>3.4647383942819778</v>
      </c>
      <c r="N72" s="33">
        <f t="shared" si="13"/>
        <v>0.30892596376914361</v>
      </c>
      <c r="O72" s="33">
        <f t="shared" si="14"/>
        <v>8.7903735459021473</v>
      </c>
      <c r="P72" s="33">
        <f t="shared" si="15"/>
        <v>5.4306675592001206</v>
      </c>
      <c r="Q72" s="33">
        <f t="shared" si="16"/>
        <v>0.15337555691866434</v>
      </c>
      <c r="R72" s="33">
        <f t="shared" si="17"/>
        <v>0.15393863544920203</v>
      </c>
      <c r="S72" s="33">
        <f t="shared" si="18"/>
        <v>0.23416591247282573</v>
      </c>
      <c r="T72" s="33">
        <f t="shared" si="19"/>
        <v>0.87858732068206491</v>
      </c>
      <c r="U72" s="33">
        <f t="shared" si="20"/>
        <v>9.5605731022432704E-3</v>
      </c>
      <c r="V72" s="34">
        <f t="shared" si="21"/>
        <v>5.6539083375286535E-2</v>
      </c>
      <c r="W72" s="46">
        <f t="shared" si="22"/>
        <v>0.90489283461890868</v>
      </c>
      <c r="X72" s="47">
        <f t="shared" si="23"/>
        <v>0.10946983657624074</v>
      </c>
      <c r="Y72" s="48">
        <f t="shared" si="24"/>
        <v>0.71728551410085351</v>
      </c>
      <c r="Z72" s="46">
        <f t="shared" si="25"/>
        <v>0.18627640454653416</v>
      </c>
      <c r="AA72" s="47">
        <f t="shared" si="26"/>
        <v>0.41316515124275111</v>
      </c>
      <c r="AB72" s="48">
        <f t="shared" si="27"/>
        <v>0.27923754181773608</v>
      </c>
      <c r="AC72" s="32">
        <f t="shared" si="28"/>
        <v>2.1784284306748902</v>
      </c>
      <c r="AD72" s="33">
        <f t="shared" si="29"/>
        <v>28.514723472683929</v>
      </c>
      <c r="AE72" s="34">
        <f t="shared" si="30"/>
        <v>1.1005008544353432</v>
      </c>
      <c r="AF72" s="2">
        <f t="shared" si="41"/>
        <v>3.1551454587552888E-2</v>
      </c>
      <c r="AG72" s="2">
        <f t="shared" si="42"/>
        <v>28.43199141904741</v>
      </c>
      <c r="AH72" s="2">
        <f t="shared" si="43"/>
        <v>4.7592139879078157E-4</v>
      </c>
      <c r="AI72" s="69"/>
      <c r="AJ72" s="24">
        <f t="shared" si="44"/>
        <v>1.0790597468943088E-2</v>
      </c>
      <c r="AK72" s="24">
        <f t="shared" ref="AK72" si="49">I72*AD72/AD63</f>
        <v>0.59707181979999568</v>
      </c>
      <c r="AL72" s="24">
        <f t="shared" si="46"/>
        <v>0.39213758273106125</v>
      </c>
      <c r="AM72" s="6">
        <f t="shared" si="5"/>
        <v>1</v>
      </c>
      <c r="AN72" s="27">
        <f t="shared" si="37"/>
        <v>4.3849420013040634E-8</v>
      </c>
      <c r="AO72" s="27">
        <f t="shared" si="38"/>
        <v>0.15360769843488706</v>
      </c>
      <c r="AP72" s="27">
        <f t="shared" si="39"/>
        <v>0.15377188379015991</v>
      </c>
      <c r="AR72" s="26">
        <f>AJ71</f>
        <v>7.947264680384647E-3</v>
      </c>
      <c r="AS72" s="26">
        <f>AL71</f>
        <v>0.4177971515492831</v>
      </c>
      <c r="AT72" s="26"/>
      <c r="AU72" s="26">
        <f>AJ75</f>
        <v>2.9268129160519588E-2</v>
      </c>
      <c r="AV72" s="26">
        <f>AL75</f>
        <v>0.18102077338267764</v>
      </c>
      <c r="AW72" s="26"/>
      <c r="AX72" s="26"/>
      <c r="AY72" s="26"/>
    </row>
    <row r="73" spans="2:51" x14ac:dyDescent="0.25">
      <c r="B73" s="3"/>
      <c r="C73" s="3"/>
      <c r="D73" s="3"/>
      <c r="E73" s="3"/>
      <c r="F73" s="2"/>
      <c r="G73" s="2"/>
      <c r="H73" s="28">
        <v>0.46600000000000003</v>
      </c>
      <c r="I73" s="29">
        <v>2.3E-2</v>
      </c>
      <c r="J73" s="30">
        <f t="shared" si="40"/>
        <v>0.5109999999999999</v>
      </c>
      <c r="K73" s="32">
        <f t="shared" si="10"/>
        <v>4.1479330638630927</v>
      </c>
      <c r="L73" s="33">
        <f t="shared" si="11"/>
        <v>4.139825723646668</v>
      </c>
      <c r="M73" s="33">
        <f t="shared" si="12"/>
        <v>3.4647383942819778</v>
      </c>
      <c r="N73" s="33">
        <f t="shared" si="13"/>
        <v>0.30892596376914361</v>
      </c>
      <c r="O73" s="33">
        <f t="shared" si="14"/>
        <v>8.7903735459021473</v>
      </c>
      <c r="P73" s="33">
        <f t="shared" si="15"/>
        <v>5.4306675592001206</v>
      </c>
      <c r="Q73" s="33">
        <f t="shared" si="16"/>
        <v>0.15337555691866434</v>
      </c>
      <c r="R73" s="33">
        <f t="shared" si="17"/>
        <v>0.15393863544920203</v>
      </c>
      <c r="S73" s="33">
        <f t="shared" si="18"/>
        <v>0.23416591247282573</v>
      </c>
      <c r="T73" s="33">
        <f t="shared" si="19"/>
        <v>0.87858732068206491</v>
      </c>
      <c r="U73" s="33">
        <f t="shared" si="20"/>
        <v>9.5605731022432704E-3</v>
      </c>
      <c r="V73" s="34">
        <f t="shared" si="21"/>
        <v>5.6539083375286535E-2</v>
      </c>
      <c r="W73" s="46">
        <f t="shared" si="22"/>
        <v>0.9184987094838668</v>
      </c>
      <c r="X73" s="47">
        <f t="shared" si="23"/>
        <v>0.12336448112886901</v>
      </c>
      <c r="Y73" s="48">
        <f t="shared" si="24"/>
        <v>0.62034120839368834</v>
      </c>
      <c r="Z73" s="46">
        <f t="shared" si="25"/>
        <v>0.15335224000789635</v>
      </c>
      <c r="AA73" s="47">
        <f t="shared" si="26"/>
        <v>0.45336523696038972</v>
      </c>
      <c r="AB73" s="48">
        <f t="shared" si="27"/>
        <v>0.38000975365500667</v>
      </c>
      <c r="AC73" s="32">
        <f t="shared" si="28"/>
        <v>1.9077681230966581</v>
      </c>
      <c r="AD73" s="33">
        <f t="shared" si="29"/>
        <v>28.919831080309194</v>
      </c>
      <c r="AE73" s="34">
        <f t="shared" si="30"/>
        <v>1.2089615650651571</v>
      </c>
      <c r="AF73" s="2">
        <f t="shared" si="41"/>
        <v>3.5695563872316038E-2</v>
      </c>
      <c r="AG73" s="2">
        <f t="shared" si="42"/>
        <v>28.731613070539012</v>
      </c>
      <c r="AH73" s="2">
        <f t="shared" si="43"/>
        <v>8.9492205063684935E-4</v>
      </c>
      <c r="AI73" s="69"/>
      <c r="AJ73" s="24">
        <f t="shared" si="44"/>
        <v>1.6634132764499276E-2</v>
      </c>
      <c r="AK73" s="24">
        <f t="shared" ref="AK73" si="50">I73*AD73/AD64</f>
        <v>0.66082710062239725</v>
      </c>
      <c r="AL73" s="24">
        <f t="shared" si="46"/>
        <v>0.32253876661310343</v>
      </c>
      <c r="AM73" s="6">
        <f t="shared" si="5"/>
        <v>1</v>
      </c>
      <c r="AN73" s="27">
        <f t="shared" si="37"/>
        <v>1.3385883401294329E-7</v>
      </c>
      <c r="AO73" s="27">
        <f t="shared" si="38"/>
        <v>0.10379537709337094</v>
      </c>
      <c r="AP73" s="27">
        <f t="shared" si="39"/>
        <v>0.10403125596830201</v>
      </c>
    </row>
    <row r="74" spans="2:51" x14ac:dyDescent="0.25">
      <c r="B74" s="3"/>
      <c r="C74" s="3"/>
      <c r="D74" s="3"/>
      <c r="E74" s="3"/>
      <c r="F74" s="2"/>
      <c r="G74" s="2"/>
      <c r="H74" s="28">
        <v>0.60599999999999998</v>
      </c>
      <c r="I74" s="29">
        <v>2.7E-2</v>
      </c>
      <c r="J74" s="30">
        <f t="shared" si="40"/>
        <v>0.36699999999999999</v>
      </c>
      <c r="K74" s="32">
        <f t="shared" si="10"/>
        <v>4.1479330638630927</v>
      </c>
      <c r="L74" s="33">
        <f t="shared" si="11"/>
        <v>4.139825723646668</v>
      </c>
      <c r="M74" s="33">
        <f t="shared" si="12"/>
        <v>3.4647383942819778</v>
      </c>
      <c r="N74" s="33">
        <f t="shared" si="13"/>
        <v>0.30892596376914361</v>
      </c>
      <c r="O74" s="33">
        <f t="shared" si="14"/>
        <v>8.7903735459021473</v>
      </c>
      <c r="P74" s="33">
        <f t="shared" si="15"/>
        <v>5.4306675592001206</v>
      </c>
      <c r="Q74" s="33">
        <f t="shared" si="16"/>
        <v>0.15337555691866434</v>
      </c>
      <c r="R74" s="33">
        <f t="shared" si="17"/>
        <v>0.15393863544920203</v>
      </c>
      <c r="S74" s="33">
        <f t="shared" si="18"/>
        <v>0.23416591247282573</v>
      </c>
      <c r="T74" s="33">
        <f t="shared" si="19"/>
        <v>0.87858732068206491</v>
      </c>
      <c r="U74" s="33">
        <f t="shared" si="20"/>
        <v>9.5605731022432704E-3</v>
      </c>
      <c r="V74" s="34">
        <f t="shared" si="21"/>
        <v>5.6539083375286535E-2</v>
      </c>
      <c r="W74" s="46">
        <f t="shared" si="22"/>
        <v>0.93259788984744629</v>
      </c>
      <c r="X74" s="47">
        <f t="shared" si="23"/>
        <v>0.14069543109144075</v>
      </c>
      <c r="Y74" s="48">
        <f t="shared" si="24"/>
        <v>0.5091626784322929</v>
      </c>
      <c r="Z74" s="46">
        <f t="shared" si="25"/>
        <v>0.11681710188870292</v>
      </c>
      <c r="AA74" s="47">
        <f t="shared" si="26"/>
        <v>0.49821757799129429</v>
      </c>
      <c r="AB74" s="48">
        <f t="shared" si="27"/>
        <v>0.49393122555126723</v>
      </c>
      <c r="AC74" s="32">
        <f t="shared" si="28"/>
        <v>1.6205840356025627</v>
      </c>
      <c r="AD74" s="33">
        <f t="shared" si="29"/>
        <v>27.578010267410839</v>
      </c>
      <c r="AE74" s="34">
        <f t="shared" si="30"/>
        <v>1.4861871533027615</v>
      </c>
      <c r="AF74" s="2">
        <f t="shared" si="41"/>
        <v>3.9693119570629494E-2</v>
      </c>
      <c r="AG74" s="2">
        <f t="shared" si="42"/>
        <v>27.24499670395441</v>
      </c>
      <c r="AH74" s="2">
        <f t="shared" si="43"/>
        <v>1.8313088120545651E-3</v>
      </c>
      <c r="AI74" s="69"/>
      <c r="AJ74" s="24">
        <f t="shared" si="44"/>
        <v>2.4054030459801472E-2</v>
      </c>
      <c r="AK74" s="24">
        <f t="shared" ref="AK74" si="51">I74*AD74/AD65</f>
        <v>0.73561491100676912</v>
      </c>
      <c r="AL74" s="24">
        <f t="shared" si="46"/>
        <v>0.2403310585334294</v>
      </c>
      <c r="AM74" s="6">
        <f t="shared" si="5"/>
        <v>1</v>
      </c>
      <c r="AN74" s="27">
        <f t="shared" si="37"/>
        <v>2.9192905863584011E-9</v>
      </c>
      <c r="AO74" s="27">
        <f t="shared" si="38"/>
        <v>5.7784991010283518E-2</v>
      </c>
      <c r="AP74" s="27">
        <f t="shared" si="39"/>
        <v>5.7759017695798665E-2</v>
      </c>
    </row>
    <row r="75" spans="2:51" x14ac:dyDescent="0.25">
      <c r="B75" s="3"/>
      <c r="C75" s="3"/>
      <c r="D75" s="3"/>
      <c r="E75" s="3"/>
      <c r="F75" s="2"/>
      <c r="G75" s="2"/>
      <c r="H75" s="28">
        <v>0.70399999999999996</v>
      </c>
      <c r="I75" s="29">
        <v>3.1E-2</v>
      </c>
      <c r="J75" s="30">
        <f t="shared" si="40"/>
        <v>0.26500000000000001</v>
      </c>
      <c r="K75" s="32">
        <f t="shared" si="10"/>
        <v>4.1479330638630927</v>
      </c>
      <c r="L75" s="33">
        <f t="shared" si="11"/>
        <v>4.139825723646668</v>
      </c>
      <c r="M75" s="33">
        <f t="shared" si="12"/>
        <v>3.4647383942819778</v>
      </c>
      <c r="N75" s="33">
        <f t="shared" si="13"/>
        <v>0.30892596376914361</v>
      </c>
      <c r="O75" s="33">
        <f t="shared" si="14"/>
        <v>8.7903735459021473</v>
      </c>
      <c r="P75" s="33">
        <f t="shared" si="15"/>
        <v>5.4306675592001206</v>
      </c>
      <c r="Q75" s="33">
        <f t="shared" si="16"/>
        <v>0.15337555691866434</v>
      </c>
      <c r="R75" s="33">
        <f t="shared" si="17"/>
        <v>0.15393863544920203</v>
      </c>
      <c r="S75" s="33">
        <f t="shared" si="18"/>
        <v>0.23416591247282573</v>
      </c>
      <c r="T75" s="33">
        <f t="shared" si="19"/>
        <v>0.87858732068206491</v>
      </c>
      <c r="U75" s="33">
        <f t="shared" si="20"/>
        <v>9.5605731022432704E-3</v>
      </c>
      <c r="V75" s="34">
        <f t="shared" si="21"/>
        <v>5.6539083375286535E-2</v>
      </c>
      <c r="W75" s="46">
        <f t="shared" si="22"/>
        <v>0.94159773767967248</v>
      </c>
      <c r="X75" s="47">
        <f t="shared" si="23"/>
        <v>0.15395924916519063</v>
      </c>
      <c r="Y75" s="48">
        <f t="shared" si="24"/>
        <v>0.43014918014703885</v>
      </c>
      <c r="Z75" s="46">
        <f t="shared" si="25"/>
        <v>9.168153803098586E-2</v>
      </c>
      <c r="AA75" s="47">
        <f t="shared" si="26"/>
        <v>0.52924576275383184</v>
      </c>
      <c r="AB75" s="48">
        <f t="shared" si="27"/>
        <v>0.57377710508930757</v>
      </c>
      <c r="AC75" s="32">
        <f t="shared" si="28"/>
        <v>1.4246193593412617</v>
      </c>
      <c r="AD75" s="33">
        <f t="shared" si="29"/>
        <v>25.909040010459389</v>
      </c>
      <c r="AE75" s="34">
        <f t="shared" si="30"/>
        <v>1.9616608676270877</v>
      </c>
      <c r="AF75" s="2">
        <f t="shared" si="41"/>
        <v>4.1574047103010776E-2</v>
      </c>
      <c r="AG75" s="2">
        <f t="shared" si="42"/>
        <v>25.474551530864606</v>
      </c>
      <c r="AH75" s="2">
        <f t="shared" si="43"/>
        <v>3.2784619279552728E-3</v>
      </c>
      <c r="AI75" s="69"/>
      <c r="AJ75" s="24">
        <f t="shared" si="44"/>
        <v>2.9268129160519588E-2</v>
      </c>
      <c r="AK75" s="24">
        <f t="shared" ref="AK75" si="52">I75*AD75/AD66</f>
        <v>0.78971109745680279</v>
      </c>
      <c r="AL75" s="24">
        <f t="shared" si="46"/>
        <v>0.18102077338267764</v>
      </c>
      <c r="AM75" s="6">
        <f t="shared" si="5"/>
        <v>1</v>
      </c>
      <c r="AN75" s="27">
        <f t="shared" si="37"/>
        <v>7.1893246720937971E-8</v>
      </c>
      <c r="AO75" s="27">
        <f t="shared" si="38"/>
        <v>3.2865666185316847E-2</v>
      </c>
      <c r="AP75" s="27">
        <f t="shared" si="39"/>
        <v>3.2768520396062734E-2</v>
      </c>
    </row>
    <row r="76" spans="2:51" ht="15.75" thickBot="1" x14ac:dyDescent="0.3">
      <c r="B76" s="3"/>
      <c r="C76" s="3"/>
      <c r="D76" s="3"/>
      <c r="E76" s="3"/>
      <c r="F76" s="2"/>
      <c r="G76" s="2"/>
      <c r="H76" s="31">
        <v>0.79200000000000004</v>
      </c>
      <c r="I76" s="20">
        <v>3.5999999999999997E-2</v>
      </c>
      <c r="J76" s="19">
        <f t="shared" si="40"/>
        <v>0.17199999999999993</v>
      </c>
      <c r="K76" s="35">
        <f t="shared" si="10"/>
        <v>4.1479330638630927</v>
      </c>
      <c r="L76" s="21">
        <f t="shared" si="11"/>
        <v>4.139825723646668</v>
      </c>
      <c r="M76" s="21">
        <f t="shared" si="12"/>
        <v>3.4647383942819778</v>
      </c>
      <c r="N76" s="21">
        <f t="shared" si="13"/>
        <v>0.30892596376914361</v>
      </c>
      <c r="O76" s="21">
        <f t="shared" si="14"/>
        <v>8.7903735459021473</v>
      </c>
      <c r="P76" s="21">
        <f t="shared" si="15"/>
        <v>5.4306675592001206</v>
      </c>
      <c r="Q76" s="21">
        <f t="shared" si="16"/>
        <v>0.15337555691866434</v>
      </c>
      <c r="R76" s="21">
        <f t="shared" si="17"/>
        <v>0.15393863544920203</v>
      </c>
      <c r="S76" s="21">
        <f t="shared" si="18"/>
        <v>0.23416591247282573</v>
      </c>
      <c r="T76" s="21">
        <f t="shared" si="19"/>
        <v>0.87858732068206491</v>
      </c>
      <c r="U76" s="21">
        <f t="shared" si="20"/>
        <v>9.5605731022432704E-3</v>
      </c>
      <c r="V76" s="36">
        <f t="shared" si="21"/>
        <v>5.6539083375286535E-2</v>
      </c>
      <c r="W76" s="49">
        <f t="shared" si="22"/>
        <v>0.9486588100334864</v>
      </c>
      <c r="X76" s="22">
        <f t="shared" si="23"/>
        <v>0.16719816342013144</v>
      </c>
      <c r="Y76" s="50">
        <f t="shared" si="24"/>
        <v>0.35780358331015871</v>
      </c>
      <c r="Z76" s="49">
        <f t="shared" si="25"/>
        <v>6.9626019209337947E-2</v>
      </c>
      <c r="AA76" s="22">
        <f t="shared" si="26"/>
        <v>0.55667543677227371</v>
      </c>
      <c r="AB76" s="50">
        <f t="shared" si="27"/>
        <v>0.64559378936046286</v>
      </c>
      <c r="AC76" s="35">
        <f t="shared" si="28"/>
        <v>1.2536461856264955</v>
      </c>
      <c r="AD76" s="21">
        <f t="shared" si="29"/>
        <v>23.742778300129409</v>
      </c>
      <c r="AE76" s="36">
        <f t="shared" si="30"/>
        <v>3.1121339568609492</v>
      </c>
      <c r="AF76" s="2">
        <f t="shared" si="41"/>
        <v>4.4392826170602126E-2</v>
      </c>
      <c r="AG76" s="2">
        <f t="shared" si="42"/>
        <v>23.19600384201831</v>
      </c>
      <c r="AH76" s="2">
        <f t="shared" si="43"/>
        <v>7.1245608775318114E-3</v>
      </c>
      <c r="AI76" s="70"/>
      <c r="AJ76" s="24">
        <f t="shared" si="44"/>
        <v>3.5159118327116885E-2</v>
      </c>
      <c r="AK76" s="24">
        <f t="shared" ref="AK76" si="53">I76*AD76/AD67</f>
        <v>0.83505613831265912</v>
      </c>
      <c r="AL76" s="24">
        <f t="shared" si="46"/>
        <v>0.12978474336022394</v>
      </c>
      <c r="AM76" s="6">
        <f t="shared" si="5"/>
        <v>1</v>
      </c>
      <c r="AN76" s="27">
        <f t="shared" si="37"/>
        <v>2.5318642024475052E-8</v>
      </c>
      <c r="AO76" s="27">
        <f t="shared" si="38"/>
        <v>1.6885407190218769E-2</v>
      </c>
      <c r="AP76" s="27">
        <f t="shared" si="39"/>
        <v>1.6844079609079191E-2</v>
      </c>
    </row>
    <row r="77" spans="2:51" x14ac:dyDescent="0.25">
      <c r="B77" s="3"/>
      <c r="C77" s="3"/>
      <c r="D77" s="3"/>
      <c r="E77" s="3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3"/>
      <c r="X77" s="3"/>
      <c r="Y77" s="3"/>
      <c r="Z77" s="3"/>
      <c r="AA77" s="3"/>
      <c r="AB77" s="3"/>
      <c r="AC77" s="6"/>
      <c r="AD77" s="6"/>
      <c r="AE77" s="6"/>
      <c r="AF77" s="2"/>
      <c r="AG77" s="2"/>
      <c r="AH77" s="2"/>
      <c r="AI77" s="2"/>
      <c r="AJ77" s="6"/>
      <c r="AK77" s="6"/>
      <c r="AL77" s="6"/>
      <c r="AM77" s="6"/>
    </row>
    <row r="78" spans="2:51" x14ac:dyDescent="0.25">
      <c r="B78" s="3"/>
      <c r="C78" s="3"/>
      <c r="D78" s="3"/>
      <c r="E78" s="3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3"/>
      <c r="X78" s="3"/>
      <c r="Y78" s="3"/>
      <c r="Z78" s="3"/>
      <c r="AA78" s="3"/>
      <c r="AB78" s="3"/>
      <c r="AC78" s="6"/>
      <c r="AD78" s="6"/>
      <c r="AE78" s="6"/>
      <c r="AF78" s="2"/>
      <c r="AG78" s="2"/>
      <c r="AH78" s="2"/>
      <c r="AI78" s="2"/>
      <c r="AJ78" s="6"/>
      <c r="AK78" s="6"/>
      <c r="AL78" s="6"/>
      <c r="AM78" s="6"/>
    </row>
    <row r="79" spans="2:51" x14ac:dyDescent="0.25">
      <c r="B79" s="3"/>
      <c r="C79" s="3"/>
      <c r="D79" s="3"/>
      <c r="E79" s="3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3"/>
      <c r="X79" s="3"/>
      <c r="Y79" s="3"/>
      <c r="Z79" s="3"/>
      <c r="AA79" s="3"/>
      <c r="AB79" s="3"/>
      <c r="AC79" s="6"/>
      <c r="AD79" s="6"/>
      <c r="AE79" s="6"/>
      <c r="AF79" s="2"/>
      <c r="AG79" s="2"/>
      <c r="AH79" s="2"/>
      <c r="AI79" s="2"/>
      <c r="AJ79" s="6"/>
      <c r="AK79" s="6"/>
      <c r="AL79" s="6"/>
      <c r="AM79" s="6"/>
    </row>
    <row r="80" spans="2:51" x14ac:dyDescent="0.25">
      <c r="B80" s="3"/>
      <c r="C80" s="3"/>
      <c r="D80" s="3"/>
      <c r="E80" s="3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3"/>
      <c r="X80" s="3"/>
      <c r="Y80" s="3"/>
      <c r="Z80" s="3"/>
      <c r="AA80" s="3"/>
      <c r="AB80" s="3"/>
      <c r="AC80" s="6"/>
      <c r="AD80" s="6"/>
      <c r="AE80" s="6"/>
      <c r="AF80" s="2"/>
      <c r="AG80" s="2"/>
      <c r="AH80" s="2"/>
      <c r="AI80" s="2"/>
      <c r="AJ80" s="6"/>
      <c r="AK80" s="6"/>
      <c r="AL80" s="6"/>
      <c r="AM80" s="6"/>
    </row>
    <row r="81" spans="2:39" x14ac:dyDescent="0.25">
      <c r="B81" s="3"/>
      <c r="C81" s="3"/>
      <c r="D81" s="3"/>
      <c r="E81" s="3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3"/>
      <c r="X81" s="3"/>
      <c r="Y81" s="3"/>
      <c r="Z81" s="3"/>
      <c r="AA81" s="3"/>
      <c r="AB81" s="3"/>
      <c r="AC81" s="6"/>
      <c r="AD81" s="6"/>
      <c r="AE81" s="6"/>
      <c r="AF81" s="2"/>
      <c r="AG81" s="2"/>
      <c r="AH81" s="2"/>
      <c r="AI81" s="2"/>
      <c r="AJ81" s="6"/>
      <c r="AK81" s="6"/>
      <c r="AL81" s="6"/>
      <c r="AM81" s="6"/>
    </row>
    <row r="82" spans="2:39" x14ac:dyDescent="0.25">
      <c r="B82" s="3"/>
      <c r="C82" s="3"/>
      <c r="D82" s="3"/>
      <c r="E82" s="3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3"/>
      <c r="X82" s="3"/>
      <c r="Y82" s="3"/>
      <c r="Z82" s="3"/>
      <c r="AA82" s="3"/>
      <c r="AB82" s="3"/>
      <c r="AC82" s="6"/>
      <c r="AD82" s="6"/>
      <c r="AE82" s="6"/>
      <c r="AF82" s="2"/>
      <c r="AG82" s="2"/>
      <c r="AH82" s="2"/>
      <c r="AI82" s="2"/>
      <c r="AJ82" s="6"/>
    </row>
    <row r="83" spans="2:39" x14ac:dyDescent="0.25">
      <c r="B83" s="3"/>
      <c r="C83" s="3"/>
      <c r="D83" s="3"/>
      <c r="E83" s="3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  <c r="Q83" s="6"/>
      <c r="R83" s="6"/>
      <c r="S83" s="6"/>
      <c r="T83" s="57">
        <v>1</v>
      </c>
      <c r="U83" s="57">
        <v>2</v>
      </c>
      <c r="V83" s="57">
        <v>3</v>
      </c>
      <c r="W83" s="58">
        <v>4</v>
      </c>
      <c r="X83" s="3" t="s">
        <v>75</v>
      </c>
      <c r="Y83" s="3" t="s">
        <v>76</v>
      </c>
      <c r="Z83" s="3"/>
      <c r="AA83" s="3"/>
      <c r="AB83" s="3"/>
      <c r="AC83" s="6"/>
      <c r="AD83" s="6"/>
      <c r="AE83" s="6"/>
      <c r="AF83" s="2"/>
      <c r="AG83" s="2"/>
      <c r="AH83" s="2"/>
      <c r="AI83" s="2"/>
      <c r="AJ83" s="6"/>
    </row>
    <row r="84" spans="2:39" x14ac:dyDescent="0.25">
      <c r="B84" s="3"/>
      <c r="C84" s="3"/>
      <c r="D84" s="3"/>
      <c r="E84" s="3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  <c r="Q84" s="6"/>
      <c r="R84" s="6"/>
      <c r="S84" s="6"/>
      <c r="T84" s="6">
        <f>Z68/W68</f>
        <v>0.31501210229958687</v>
      </c>
      <c r="U84" s="6">
        <f>-H68*Z68/W68^2</f>
        <v>0</v>
      </c>
      <c r="V84" s="6">
        <f>I68*Q68/X68*(K68-AA68/X68)</f>
        <v>-1.1274488495006653E-2</v>
      </c>
      <c r="W84" s="3">
        <f>J68*S68/Y68*(M68-AB68/Y68)</f>
        <v>0.81107449587957847</v>
      </c>
      <c r="X84" s="59">
        <f>T84+U84+V84+W84</f>
        <v>1.1148121096841588</v>
      </c>
      <c r="Y84" s="3">
        <f>EXP(X84)</f>
        <v>3.0489952486800491</v>
      </c>
      <c r="Z84" s="3"/>
      <c r="AA84" s="3"/>
      <c r="AB84" s="3"/>
      <c r="AC84" s="6"/>
      <c r="AD84" s="6"/>
      <c r="AE84" s="6"/>
      <c r="AF84" s="2"/>
      <c r="AG84" s="2"/>
      <c r="AH84" s="2"/>
      <c r="AI84" s="2"/>
      <c r="AJ84" s="6"/>
    </row>
    <row r="85" spans="2:39" x14ac:dyDescent="0.25">
      <c r="B85" s="3"/>
      <c r="C85" s="2"/>
      <c r="D85" s="3"/>
      <c r="E85" s="3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3"/>
      <c r="X85" s="3"/>
      <c r="Y85" s="3"/>
      <c r="Z85" s="3"/>
      <c r="AA85" s="3"/>
      <c r="AB85" s="3"/>
      <c r="AC85" s="6"/>
      <c r="AD85" s="6"/>
      <c r="AE85" s="6"/>
      <c r="AF85" s="2"/>
      <c r="AG85" s="2"/>
      <c r="AH85" s="2"/>
      <c r="AI85" s="2"/>
      <c r="AJ85" s="6"/>
    </row>
    <row r="86" spans="2:39" x14ac:dyDescent="0.25">
      <c r="B86" s="3"/>
      <c r="C86" s="2"/>
      <c r="D86" s="3"/>
      <c r="E86" s="3"/>
      <c r="F86" s="2"/>
      <c r="G86" s="2"/>
      <c r="H86" s="9"/>
      <c r="I86" s="9"/>
      <c r="J86" s="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3"/>
      <c r="X86" s="3"/>
      <c r="Y86" s="3"/>
      <c r="Z86" s="3"/>
      <c r="AA86" s="3"/>
      <c r="AB86" s="3"/>
      <c r="AC86" s="6"/>
      <c r="AD86" s="6"/>
      <c r="AE86" s="6"/>
      <c r="AF86" s="2"/>
      <c r="AG86" s="2"/>
      <c r="AH86" s="2"/>
      <c r="AI86" s="2"/>
      <c r="AJ86" s="6"/>
    </row>
    <row r="87" spans="2:39" x14ac:dyDescent="0.25">
      <c r="B87" s="3"/>
      <c r="C87" s="2"/>
      <c r="D87" s="3"/>
      <c r="E87" s="3"/>
      <c r="F87" s="2"/>
      <c r="G87" s="2"/>
      <c r="H87" s="9"/>
      <c r="I87" s="9"/>
      <c r="J87" s="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3"/>
      <c r="X87" s="3"/>
      <c r="Y87" s="3"/>
      <c r="Z87" s="3"/>
      <c r="AA87" s="3"/>
      <c r="AB87" s="3"/>
      <c r="AC87" s="6"/>
      <c r="AD87" s="6"/>
      <c r="AE87" s="6"/>
      <c r="AF87" s="2"/>
      <c r="AG87" s="2"/>
      <c r="AH87" s="2"/>
      <c r="AI87" s="2"/>
      <c r="AJ87" s="6"/>
    </row>
    <row r="88" spans="2:39" x14ac:dyDescent="0.25">
      <c r="B88" s="3"/>
      <c r="C88" s="2"/>
      <c r="D88" s="3"/>
      <c r="E88" s="3"/>
      <c r="F88" s="2"/>
      <c r="G88" s="2"/>
      <c r="H88" s="9"/>
      <c r="I88" s="9"/>
      <c r="J88" s="9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3"/>
      <c r="X88" s="3"/>
      <c r="Y88" s="3"/>
      <c r="Z88" s="3"/>
      <c r="AA88" s="3"/>
      <c r="AB88" s="3"/>
      <c r="AC88" s="6"/>
      <c r="AD88" s="6"/>
      <c r="AE88" s="6"/>
      <c r="AF88" s="2"/>
      <c r="AG88" s="2"/>
      <c r="AH88" s="2"/>
      <c r="AI88" s="2"/>
      <c r="AJ88" s="6"/>
    </row>
    <row r="89" spans="2:39" x14ac:dyDescent="0.25">
      <c r="B89" s="3"/>
      <c r="C89" s="2"/>
      <c r="D89" s="3"/>
      <c r="E89" s="3"/>
      <c r="F89" s="2"/>
      <c r="G89" s="2"/>
      <c r="H89" s="9"/>
      <c r="I89" s="9"/>
      <c r="J89" s="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3"/>
      <c r="X89" s="3"/>
      <c r="Y89" s="3"/>
      <c r="Z89" s="3"/>
      <c r="AA89" s="3"/>
      <c r="AB89" s="3"/>
      <c r="AC89" s="6"/>
      <c r="AD89" s="6"/>
      <c r="AE89" s="6"/>
      <c r="AF89" s="2"/>
      <c r="AG89" s="2"/>
      <c r="AH89" s="2"/>
      <c r="AI89" s="2"/>
      <c r="AJ89" s="6"/>
    </row>
    <row r="90" spans="2:39" x14ac:dyDescent="0.25">
      <c r="B90" s="3"/>
      <c r="C90" s="2"/>
      <c r="D90" s="3"/>
      <c r="E90" s="3"/>
      <c r="F90" s="2"/>
      <c r="G90" s="2"/>
      <c r="H90" s="9"/>
      <c r="I90" s="9"/>
      <c r="J90" s="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3"/>
      <c r="X90" s="3"/>
      <c r="Y90" s="3"/>
      <c r="Z90" s="3"/>
      <c r="AA90" s="3"/>
      <c r="AB90" s="3"/>
      <c r="AC90" s="6"/>
      <c r="AD90" s="6"/>
      <c r="AE90" s="6"/>
      <c r="AF90" s="2"/>
      <c r="AG90" s="2"/>
      <c r="AH90" s="2"/>
      <c r="AI90" s="2"/>
      <c r="AJ90" s="6"/>
    </row>
    <row r="91" spans="2:39" x14ac:dyDescent="0.25">
      <c r="B91" s="3"/>
      <c r="C91" s="3"/>
      <c r="D91" s="3"/>
      <c r="E91" s="3"/>
      <c r="F91" s="2"/>
      <c r="G91" s="2"/>
      <c r="H91" s="9"/>
      <c r="I91" s="9"/>
      <c r="J91" s="9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3"/>
      <c r="X91" s="3"/>
      <c r="Y91" s="3"/>
      <c r="Z91" s="3"/>
      <c r="AA91" s="3"/>
      <c r="AB91" s="3"/>
      <c r="AC91" s="6"/>
      <c r="AD91" s="6"/>
      <c r="AE91" s="6"/>
      <c r="AF91" s="2"/>
      <c r="AG91" s="2"/>
      <c r="AH91" s="2"/>
      <c r="AI91" s="2"/>
      <c r="AJ91" s="6"/>
    </row>
    <row r="92" spans="2:39" x14ac:dyDescent="0.25">
      <c r="B92" s="3"/>
      <c r="C92" s="3"/>
      <c r="D92" s="3"/>
      <c r="E92" s="3"/>
      <c r="F92" s="2"/>
      <c r="G92" s="2"/>
      <c r="H92" s="9"/>
      <c r="I92" s="9"/>
      <c r="J92" s="9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3"/>
      <c r="X92" s="3"/>
      <c r="Y92" s="3"/>
      <c r="Z92" s="3"/>
      <c r="AA92" s="3"/>
      <c r="AB92" s="3"/>
      <c r="AC92" s="6"/>
      <c r="AD92" s="6"/>
      <c r="AE92" s="6"/>
      <c r="AF92" s="2"/>
      <c r="AG92" s="2"/>
      <c r="AH92" s="2"/>
      <c r="AI92" s="2"/>
      <c r="AJ92" s="6"/>
      <c r="AK92" s="6"/>
      <c r="AL92" s="6"/>
      <c r="AM92" s="6"/>
    </row>
    <row r="93" spans="2:39" x14ac:dyDescent="0.25">
      <c r="B93" s="3"/>
      <c r="C93" s="3"/>
      <c r="D93" s="3"/>
      <c r="E93" s="3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3"/>
      <c r="X93" s="3"/>
      <c r="Y93" s="3"/>
      <c r="Z93" s="3"/>
      <c r="AA93" s="3"/>
      <c r="AB93" s="3"/>
      <c r="AC93" s="6"/>
      <c r="AD93" s="6"/>
      <c r="AE93" s="6"/>
      <c r="AF93" s="2"/>
      <c r="AG93" s="2"/>
      <c r="AH93" s="2"/>
      <c r="AI93" s="2"/>
      <c r="AJ93" s="6"/>
      <c r="AK93" s="6"/>
      <c r="AL93" s="6"/>
      <c r="AM93" s="6"/>
    </row>
    <row r="94" spans="2:39" x14ac:dyDescent="0.25">
      <c r="B94" s="3"/>
      <c r="C94" s="3"/>
      <c r="D94" s="3"/>
      <c r="E94" s="3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3"/>
      <c r="X94" s="3"/>
      <c r="Y94" s="3"/>
      <c r="Z94" s="3"/>
      <c r="AA94" s="3"/>
      <c r="AB94" s="3"/>
      <c r="AC94" s="6"/>
      <c r="AD94" s="6"/>
      <c r="AE94" s="6"/>
      <c r="AF94" s="2"/>
      <c r="AG94" s="2"/>
      <c r="AH94" s="2"/>
      <c r="AI94" s="2"/>
      <c r="AJ94" s="6"/>
      <c r="AK94" s="6"/>
      <c r="AL94" s="6"/>
      <c r="AM94" s="6"/>
    </row>
    <row r="95" spans="2:39" x14ac:dyDescent="0.25">
      <c r="B95" s="3"/>
      <c r="C95" s="3"/>
      <c r="D95" s="3"/>
      <c r="E95" s="3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3"/>
      <c r="X95" s="3"/>
      <c r="Y95" s="3"/>
      <c r="Z95" s="3"/>
      <c r="AA95" s="3"/>
      <c r="AB95" s="3"/>
      <c r="AC95" s="6"/>
      <c r="AD95" s="6"/>
      <c r="AE95" s="6"/>
      <c r="AF95" s="2"/>
      <c r="AG95" s="2"/>
      <c r="AH95" s="2"/>
      <c r="AI95" s="2"/>
      <c r="AJ95" s="6"/>
      <c r="AK95" s="6"/>
      <c r="AL95" s="6"/>
      <c r="AM95" s="6"/>
    </row>
    <row r="96" spans="2:39" x14ac:dyDescent="0.25">
      <c r="B96" s="3"/>
      <c r="C96" s="3"/>
      <c r="D96" s="3"/>
      <c r="E96" s="3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3"/>
      <c r="X96" s="3"/>
      <c r="Y96" s="3"/>
      <c r="Z96" s="3"/>
      <c r="AA96" s="3"/>
      <c r="AB96" s="3"/>
      <c r="AC96" s="6"/>
      <c r="AD96" s="6"/>
      <c r="AE96" s="6"/>
      <c r="AF96" s="2"/>
      <c r="AG96" s="2"/>
      <c r="AH96" s="2"/>
      <c r="AI96" s="2"/>
      <c r="AJ96" s="6"/>
      <c r="AK96" s="6"/>
      <c r="AL96" s="6"/>
      <c r="AM96" s="6"/>
    </row>
    <row r="97" spans="2:39" x14ac:dyDescent="0.25">
      <c r="B97" s="3"/>
      <c r="C97" s="3"/>
      <c r="D97" s="3"/>
      <c r="E97" s="3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3"/>
      <c r="X97" s="3"/>
      <c r="Y97" s="3"/>
      <c r="Z97" s="3"/>
      <c r="AA97" s="3"/>
      <c r="AB97" s="3"/>
      <c r="AC97" s="6"/>
      <c r="AD97" s="6"/>
      <c r="AE97" s="6"/>
      <c r="AF97" s="2"/>
      <c r="AG97" s="2"/>
      <c r="AH97" s="2"/>
      <c r="AI97" s="2"/>
      <c r="AJ97" s="6"/>
      <c r="AK97" s="6"/>
      <c r="AL97" s="6"/>
      <c r="AM97" s="6"/>
    </row>
    <row r="98" spans="2:39" x14ac:dyDescent="0.25">
      <c r="B98" s="3"/>
      <c r="C98" s="3"/>
      <c r="D98" s="3"/>
      <c r="E98" s="3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3"/>
      <c r="X98" s="3"/>
      <c r="Y98" s="3"/>
      <c r="Z98" s="3"/>
      <c r="AA98" s="3"/>
      <c r="AB98" s="3"/>
      <c r="AC98" s="6"/>
      <c r="AD98" s="6"/>
      <c r="AE98" s="6"/>
      <c r="AF98" s="2"/>
      <c r="AG98" s="2"/>
      <c r="AH98" s="2"/>
      <c r="AI98" s="2"/>
      <c r="AJ98" s="6"/>
      <c r="AK98" s="6"/>
      <c r="AL98" s="6"/>
      <c r="AM98" s="6"/>
    </row>
    <row r="99" spans="2:39" x14ac:dyDescent="0.25">
      <c r="B99" s="3"/>
      <c r="C99" s="3"/>
      <c r="D99" s="3"/>
      <c r="E99" s="3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3"/>
      <c r="X99" s="3"/>
      <c r="Y99" s="3"/>
      <c r="Z99" s="3"/>
      <c r="AA99" s="3"/>
      <c r="AB99" s="3"/>
      <c r="AC99" s="6"/>
      <c r="AD99" s="6"/>
      <c r="AE99" s="6"/>
      <c r="AF99" s="2"/>
      <c r="AG99" s="2"/>
      <c r="AH99" s="2"/>
      <c r="AI99" s="2"/>
      <c r="AJ99" s="6"/>
      <c r="AK99" s="6"/>
      <c r="AL99" s="6"/>
      <c r="AM99" s="6"/>
    </row>
    <row r="100" spans="2:39" x14ac:dyDescent="0.25">
      <c r="B100" s="3"/>
      <c r="C100" s="3"/>
      <c r="D100" s="3"/>
      <c r="E100" s="3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3"/>
      <c r="X100" s="3"/>
      <c r="Y100" s="3"/>
      <c r="Z100" s="3"/>
      <c r="AA100" s="3"/>
      <c r="AB100" s="3"/>
      <c r="AC100" s="6"/>
      <c r="AD100" s="6"/>
      <c r="AE100" s="6"/>
      <c r="AF100" s="2"/>
      <c r="AG100" s="2"/>
      <c r="AH100" s="2"/>
      <c r="AI100" s="2"/>
      <c r="AJ100" s="6"/>
      <c r="AK100" s="6"/>
      <c r="AL100" s="6"/>
      <c r="AM100" s="6"/>
    </row>
    <row r="101" spans="2:39" x14ac:dyDescent="0.25">
      <c r="B101" s="3"/>
      <c r="C101" s="3"/>
      <c r="D101" s="3"/>
      <c r="E101" s="3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3"/>
      <c r="X101" s="3"/>
      <c r="Y101" s="3"/>
      <c r="Z101" s="3"/>
      <c r="AA101" s="3"/>
      <c r="AB101" s="3"/>
      <c r="AC101" s="6"/>
      <c r="AD101" s="6"/>
      <c r="AE101" s="6"/>
      <c r="AF101" s="2"/>
      <c r="AG101" s="2"/>
      <c r="AH101" s="2"/>
      <c r="AI101" s="2"/>
      <c r="AJ101" s="6"/>
      <c r="AK101" s="6"/>
      <c r="AL101" s="6"/>
      <c r="AM101" s="6"/>
    </row>
    <row r="102" spans="2:39" x14ac:dyDescent="0.25">
      <c r="B102" s="3"/>
      <c r="C102" s="3"/>
      <c r="D102" s="3"/>
      <c r="E102" s="3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3"/>
      <c r="X102" s="3"/>
      <c r="Y102" s="3"/>
      <c r="Z102" s="3"/>
      <c r="AA102" s="3"/>
      <c r="AB102" s="3"/>
      <c r="AC102" s="6"/>
      <c r="AD102" s="6"/>
      <c r="AE102" s="6"/>
      <c r="AF102" s="2"/>
      <c r="AG102" s="2"/>
      <c r="AH102" s="2"/>
      <c r="AI102" s="2"/>
      <c r="AJ102" s="6"/>
      <c r="AK102" s="6"/>
      <c r="AL102" s="6"/>
      <c r="AM102" s="6"/>
    </row>
    <row r="103" spans="2:39" x14ac:dyDescent="0.25">
      <c r="B103" s="3"/>
      <c r="C103" s="3"/>
      <c r="D103" s="3"/>
      <c r="E103" s="3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3"/>
      <c r="X103" s="3"/>
      <c r="Y103" s="3"/>
      <c r="Z103" s="3"/>
      <c r="AA103" s="3"/>
      <c r="AB103" s="3"/>
      <c r="AC103" s="6"/>
      <c r="AD103" s="6"/>
      <c r="AE103" s="6"/>
      <c r="AF103" s="2"/>
      <c r="AG103" s="2"/>
      <c r="AH103" s="2"/>
      <c r="AI103" s="2"/>
      <c r="AJ103" s="6"/>
      <c r="AK103" s="6"/>
      <c r="AL103" s="6"/>
      <c r="AM103" s="6"/>
    </row>
    <row r="104" spans="2:39" x14ac:dyDescent="0.25">
      <c r="B104" s="3"/>
      <c r="C104" s="3"/>
      <c r="D104" s="3"/>
      <c r="E104" s="3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3"/>
      <c r="X104" s="3"/>
      <c r="Y104" s="3"/>
      <c r="Z104" s="3"/>
      <c r="AA104" s="3"/>
      <c r="AB104" s="3"/>
      <c r="AC104" s="6"/>
      <c r="AD104" s="6"/>
      <c r="AE104" s="6"/>
      <c r="AF104" s="2"/>
      <c r="AG104" s="2"/>
      <c r="AH104" s="2"/>
      <c r="AI104" s="2"/>
      <c r="AJ104" s="6"/>
      <c r="AK104" s="6"/>
      <c r="AL104" s="6"/>
      <c r="AM104" s="6"/>
    </row>
    <row r="105" spans="2:39" x14ac:dyDescent="0.25">
      <c r="B105" s="3"/>
      <c r="C105" s="3"/>
      <c r="D105" s="3"/>
      <c r="E105" s="3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3"/>
      <c r="X105" s="3"/>
      <c r="Y105" s="3"/>
      <c r="Z105" s="3"/>
      <c r="AA105" s="3"/>
      <c r="AB105" s="3"/>
      <c r="AC105" s="6"/>
      <c r="AD105" s="6"/>
      <c r="AE105" s="6"/>
      <c r="AF105" s="2"/>
      <c r="AG105" s="2"/>
      <c r="AH105" s="2"/>
      <c r="AI105" s="2"/>
      <c r="AJ105" s="6"/>
      <c r="AK105" s="6"/>
      <c r="AL105" s="6"/>
      <c r="AM105" s="6"/>
    </row>
    <row r="106" spans="2:39" x14ac:dyDescent="0.25">
      <c r="B106" s="3"/>
      <c r="C106" s="3"/>
      <c r="D106" s="3"/>
      <c r="E106" s="3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3"/>
      <c r="X106" s="3"/>
      <c r="Y106" s="3"/>
      <c r="Z106" s="3"/>
      <c r="AA106" s="3"/>
      <c r="AB106" s="3"/>
      <c r="AC106" s="6"/>
      <c r="AD106" s="6"/>
      <c r="AE106" s="6"/>
      <c r="AF106" s="2"/>
      <c r="AG106" s="2"/>
      <c r="AH106" s="2"/>
      <c r="AI106" s="2"/>
      <c r="AJ106" s="6"/>
      <c r="AK106" s="6"/>
      <c r="AL106" s="6"/>
      <c r="AM106" s="6"/>
    </row>
    <row r="107" spans="2:39" x14ac:dyDescent="0.25">
      <c r="B107" s="3"/>
      <c r="C107" s="3"/>
      <c r="D107" s="3"/>
      <c r="E107" s="3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3"/>
      <c r="X107" s="3"/>
      <c r="Y107" s="3"/>
      <c r="Z107" s="3"/>
      <c r="AA107" s="3"/>
      <c r="AB107" s="3"/>
      <c r="AC107" s="6"/>
      <c r="AD107" s="6"/>
      <c r="AE107" s="6"/>
      <c r="AF107" s="2"/>
      <c r="AG107" s="2"/>
      <c r="AH107" s="2"/>
      <c r="AI107" s="2"/>
      <c r="AJ107" s="6"/>
      <c r="AK107" s="6"/>
      <c r="AL107" s="6"/>
      <c r="AM107" s="6"/>
    </row>
    <row r="108" spans="2:39" x14ac:dyDescent="0.25">
      <c r="B108" s="3"/>
      <c r="C108" s="3"/>
      <c r="D108" s="3"/>
      <c r="E108" s="3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3"/>
      <c r="X108" s="3"/>
      <c r="Y108" s="3"/>
      <c r="Z108" s="3"/>
      <c r="AA108" s="3"/>
      <c r="AB108" s="3"/>
      <c r="AC108" s="6"/>
      <c r="AD108" s="6"/>
      <c r="AE108" s="6"/>
      <c r="AF108" s="2"/>
      <c r="AG108" s="2"/>
      <c r="AH108" s="2"/>
      <c r="AI108" s="2"/>
      <c r="AJ108" s="6"/>
      <c r="AK108" s="6"/>
      <c r="AL108" s="6"/>
      <c r="AM108" s="6"/>
    </row>
    <row r="109" spans="2:39" x14ac:dyDescent="0.25">
      <c r="B109" s="3"/>
      <c r="C109" s="3"/>
      <c r="D109" s="3"/>
      <c r="E109" s="3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3"/>
      <c r="X109" s="3"/>
      <c r="Y109" s="3"/>
      <c r="Z109" s="3"/>
      <c r="AA109" s="3"/>
      <c r="AB109" s="3"/>
      <c r="AC109" s="6"/>
      <c r="AD109" s="6"/>
      <c r="AE109" s="6"/>
      <c r="AF109" s="2"/>
      <c r="AG109" s="2"/>
      <c r="AH109" s="2"/>
      <c r="AI109" s="2"/>
      <c r="AJ109" s="6"/>
      <c r="AK109" s="6"/>
      <c r="AL109" s="6"/>
      <c r="AM109" s="6"/>
    </row>
    <row r="110" spans="2:39" x14ac:dyDescent="0.25">
      <c r="B110" s="3"/>
      <c r="C110" s="3"/>
      <c r="D110" s="3"/>
      <c r="E110" s="3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3"/>
      <c r="X110" s="3"/>
      <c r="Y110" s="3"/>
      <c r="Z110" s="3"/>
      <c r="AA110" s="3"/>
      <c r="AB110" s="3"/>
      <c r="AC110" s="6"/>
      <c r="AD110" s="6"/>
      <c r="AE110" s="6"/>
      <c r="AF110" s="2"/>
      <c r="AG110" s="2"/>
      <c r="AH110" s="2"/>
      <c r="AI110" s="2"/>
      <c r="AJ110" s="6"/>
      <c r="AK110" s="6"/>
      <c r="AL110" s="6"/>
      <c r="AM110" s="6"/>
    </row>
  </sheetData>
  <mergeCells count="19">
    <mergeCell ref="A3:B3"/>
    <mergeCell ref="C3:D3"/>
    <mergeCell ref="E3:E4"/>
    <mergeCell ref="F3:F4"/>
    <mergeCell ref="AX61:AY61"/>
    <mergeCell ref="AI59:AI67"/>
    <mergeCell ref="AI68:AI76"/>
    <mergeCell ref="A1:I1"/>
    <mergeCell ref="AR70:AS70"/>
    <mergeCell ref="AU61:AV61"/>
    <mergeCell ref="AU64:AV64"/>
    <mergeCell ref="AU67:AV67"/>
    <mergeCell ref="AU70:AV70"/>
    <mergeCell ref="A15:F15"/>
    <mergeCell ref="AN58:AP58"/>
    <mergeCell ref="AR61:AS61"/>
    <mergeCell ref="AR64:AS64"/>
    <mergeCell ref="AR67:AS67"/>
    <mergeCell ref="A5:F5"/>
  </mergeCells>
  <hyperlinks>
    <hyperlink ref="A1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S49"/>
  <sheetViews>
    <sheetView topLeftCell="Z11" workbookViewId="0">
      <selection activeCell="AO11" sqref="AO11"/>
    </sheetView>
  </sheetViews>
  <sheetFormatPr defaultRowHeight="15" x14ac:dyDescent="0.25"/>
  <cols>
    <col min="31" max="31" width="10.5703125" bestFit="1" customWidth="1"/>
  </cols>
  <sheetData>
    <row r="3" spans="2:45" ht="15.75" thickBot="1" x14ac:dyDescent="0.3">
      <c r="H3" t="s">
        <v>85</v>
      </c>
      <c r="I3" t="s">
        <v>77</v>
      </c>
      <c r="J3" t="s">
        <v>86</v>
      </c>
    </row>
    <row r="4" spans="2:45" ht="19.5" thickBot="1" x14ac:dyDescent="0.4">
      <c r="B4" s="44" t="s">
        <v>59</v>
      </c>
      <c r="C4" s="2">
        <v>10283.700000000001</v>
      </c>
      <c r="D4" s="45" t="s">
        <v>68</v>
      </c>
      <c r="E4" s="3"/>
      <c r="F4" s="43" t="s">
        <v>0</v>
      </c>
      <c r="G4" s="43" t="s">
        <v>1</v>
      </c>
      <c r="H4" s="37" t="s">
        <v>34</v>
      </c>
      <c r="I4" s="38" t="s">
        <v>35</v>
      </c>
      <c r="J4" s="39" t="s">
        <v>36</v>
      </c>
      <c r="K4" s="37" t="s">
        <v>37</v>
      </c>
      <c r="L4" s="38" t="s">
        <v>38</v>
      </c>
      <c r="M4" s="38" t="s">
        <v>39</v>
      </c>
      <c r="N4" s="38" t="s">
        <v>40</v>
      </c>
      <c r="O4" s="38" t="s">
        <v>41</v>
      </c>
      <c r="P4" s="38" t="s">
        <v>42</v>
      </c>
      <c r="Q4" s="38" t="s">
        <v>43</v>
      </c>
      <c r="R4" s="38" t="s">
        <v>44</v>
      </c>
      <c r="S4" s="38" t="s">
        <v>45</v>
      </c>
      <c r="T4" s="38" t="s">
        <v>46</v>
      </c>
      <c r="U4" s="38" t="s">
        <v>47</v>
      </c>
      <c r="V4" s="39" t="s">
        <v>48</v>
      </c>
      <c r="W4" s="37" t="s">
        <v>49</v>
      </c>
      <c r="X4" s="38" t="s">
        <v>50</v>
      </c>
      <c r="Y4" s="39" t="s">
        <v>51</v>
      </c>
      <c r="Z4" s="37" t="s">
        <v>52</v>
      </c>
      <c r="AA4" s="38" t="s">
        <v>53</v>
      </c>
      <c r="AB4" s="39" t="s">
        <v>54</v>
      </c>
      <c r="AC4" s="37" t="s">
        <v>55</v>
      </c>
      <c r="AD4" s="38" t="s">
        <v>56</v>
      </c>
      <c r="AE4" s="39" t="s">
        <v>57</v>
      </c>
      <c r="AF4" s="54" t="s">
        <v>72</v>
      </c>
      <c r="AG4" s="55" t="s">
        <v>73</v>
      </c>
      <c r="AH4" s="55" t="s">
        <v>74</v>
      </c>
      <c r="AI4" s="4"/>
      <c r="AJ4" s="37" t="s">
        <v>3</v>
      </c>
      <c r="AK4" s="38" t="s">
        <v>4</v>
      </c>
      <c r="AL4" s="38" t="s">
        <v>5</v>
      </c>
      <c r="AM4" s="39" t="s">
        <v>58</v>
      </c>
      <c r="AN4" s="75" t="s">
        <v>18</v>
      </c>
      <c r="AO4" s="76"/>
      <c r="AP4" s="77"/>
      <c r="AQ4" s="40" t="s">
        <v>17</v>
      </c>
      <c r="AR4" s="41" t="s">
        <v>79</v>
      </c>
    </row>
    <row r="5" spans="2:45" ht="18.75" x14ac:dyDescent="0.35">
      <c r="B5" s="44" t="s">
        <v>60</v>
      </c>
      <c r="C5" s="2">
        <v>10263.6</v>
      </c>
      <c r="D5" s="45" t="s">
        <v>68</v>
      </c>
      <c r="E5" s="3"/>
      <c r="F5" s="2">
        <f>298.2-273.15</f>
        <v>25.050000000000011</v>
      </c>
      <c r="G5" s="2">
        <f>F5+273.15</f>
        <v>298.2</v>
      </c>
      <c r="H5" s="29">
        <v>1</v>
      </c>
      <c r="I5" s="28">
        <v>0</v>
      </c>
      <c r="J5" s="30">
        <f>1-SUM(H5:I5)</f>
        <v>0</v>
      </c>
      <c r="K5" s="32">
        <f>C$4/$C$13/$G$5</f>
        <v>4.1479330638630927</v>
      </c>
      <c r="L5" s="32">
        <f>C$5/$C$13/$G$5</f>
        <v>4.1398257236466671</v>
      </c>
      <c r="M5" s="32">
        <f>C$6/$C$13/$G$5</f>
        <v>8.7903735459021473</v>
      </c>
      <c r="N5" s="32">
        <f>C$7/$C$13/$G$5</f>
        <v>5.4306675592001215</v>
      </c>
      <c r="O5" s="32">
        <f>C$8/$C$13/$G$5</f>
        <v>3.4647383942819778</v>
      </c>
      <c r="P5" s="32">
        <f>C$9/$C$13/$G$5</f>
        <v>0.30892596376914361</v>
      </c>
      <c r="Q5" s="33">
        <f>EXP(-$C$10*K5)</f>
        <v>0.15337555691866434</v>
      </c>
      <c r="R5" s="33">
        <f>EXP(-$C$10*L5)</f>
        <v>0.15393863544920208</v>
      </c>
      <c r="S5" s="33">
        <f>EXP(-$C$11*M5)</f>
        <v>2.3027404986655366E-2</v>
      </c>
      <c r="T5" s="33">
        <f>EXP(-$C$11*N5)</f>
        <v>9.7319452885038696E-2</v>
      </c>
      <c r="U5" s="33">
        <f>EXP(-$C$12*O5)</f>
        <v>0.23416591247282573</v>
      </c>
      <c r="V5" s="33">
        <f>EXP(-$C$12*P5)</f>
        <v>0.87858732068206491</v>
      </c>
      <c r="W5" s="46">
        <f>H5+R5*I5+T5*J5</f>
        <v>1</v>
      </c>
      <c r="X5" s="47">
        <f>Q5*H5+I5+V5*J5</f>
        <v>0.15337555691866434</v>
      </c>
      <c r="Y5" s="48">
        <f>S5*H5+U5*I5+J5</f>
        <v>2.3027404986655366E-2</v>
      </c>
      <c r="Z5" s="46">
        <f>I5*L5*R5+J5*N5*T5</f>
        <v>0</v>
      </c>
      <c r="AA5" s="47">
        <f>H5*K5*Q5+J5*P5*V5</f>
        <v>0.63619154373134357</v>
      </c>
      <c r="AB5" s="48">
        <f>H5*M5*S5+I5*O5*U5</f>
        <v>0.20241949162547052</v>
      </c>
      <c r="AC5" s="32">
        <f>EXP((Z5/W5)-(H5*Z5/W5^2)+(I5*Q5/X5)*(K5-AA5/X5)+(J5*S5/Y5)*(M5-AB5/Y5))</f>
        <v>1</v>
      </c>
      <c r="AD5" s="33">
        <f>EXP((AA5/X5)-(I5*AA5/X5^2)+(H5*R5*(L5-(Z5/W5))/W5)+(J5*U5*(O5-(AB5/Y5))/Y5))</f>
        <v>119.72676482297258</v>
      </c>
      <c r="AE5" s="34">
        <f>EXP((AB5/Y5)-(J5*AB5/Y5^2)+(H5*T5*(N5-(Z5/W5))/W5)+(I5*V5*(P5-(AA5/X5))/X5))</f>
        <v>11146.525807503465</v>
      </c>
      <c r="AF5" s="2">
        <f>AC5/AC14</f>
        <v>8.6906197791654458E-3</v>
      </c>
      <c r="AG5" s="2">
        <f>AD5/AD14</f>
        <v>39.265884090907775</v>
      </c>
      <c r="AH5" s="2">
        <f>AE5/AE14</f>
        <v>11103.686287674611</v>
      </c>
      <c r="AI5" s="65" t="s">
        <v>33</v>
      </c>
      <c r="AJ5" s="24">
        <f>H5*AC5/AC14</f>
        <v>8.6906197791654458E-3</v>
      </c>
      <c r="AK5" s="24">
        <f t="shared" ref="AK5:AK13" si="0">I5*AD5/AD14</f>
        <v>0</v>
      </c>
      <c r="AL5" s="24">
        <f>1-AJ5-AK5</f>
        <v>0.99130938022083459</v>
      </c>
      <c r="AM5" s="6">
        <f t="shared" ref="AM5:AM22" si="1">SUM(AJ5:AL5)</f>
        <v>1</v>
      </c>
      <c r="AN5" s="27">
        <f t="shared" ref="AN5:AP13" si="2">(H14-AJ5)^2</f>
        <v>9.5716121043637083E-8</v>
      </c>
      <c r="AO5" s="27">
        <f t="shared" si="2"/>
        <v>0</v>
      </c>
      <c r="AP5" s="27">
        <f t="shared" si="2"/>
        <v>9.5716121043664996E-8</v>
      </c>
      <c r="AQ5" s="51">
        <f>SUM(AN5:AO22)</f>
        <v>3.3593538883489259E-3</v>
      </c>
      <c r="AR5" s="60">
        <f>100*SQRT(AQ5/6/9)</f>
        <v>0.78873479187650108</v>
      </c>
    </row>
    <row r="6" spans="2:45" ht="19.5" thickBot="1" x14ac:dyDescent="0.4">
      <c r="B6" s="44" t="s">
        <v>61</v>
      </c>
      <c r="C6" s="2">
        <v>21793.4</v>
      </c>
      <c r="D6" s="45" t="s">
        <v>69</v>
      </c>
      <c r="E6" s="3"/>
      <c r="F6" s="2"/>
      <c r="G6" s="2"/>
      <c r="H6" s="29">
        <v>0.997</v>
      </c>
      <c r="I6" s="28">
        <v>3.0000000000000001E-3</v>
      </c>
      <c r="J6" s="30">
        <f t="shared" ref="J6:J13" si="3">1-SUM(H6:I6)</f>
        <v>0</v>
      </c>
      <c r="K6" s="32">
        <f t="shared" ref="K6:K22" si="4">C$4/$C$13/$G$5</f>
        <v>4.1479330638630927</v>
      </c>
      <c r="L6" s="32">
        <f t="shared" ref="L6:L22" si="5">C$5/$C$13/$G$5</f>
        <v>4.1398257236466671</v>
      </c>
      <c r="M6" s="32">
        <f t="shared" ref="M6:M22" si="6">C$6/$C$13/$G$5</f>
        <v>8.7903735459021473</v>
      </c>
      <c r="N6" s="32">
        <f t="shared" ref="N6:N22" si="7">C$7/$C$13/$G$5</f>
        <v>5.4306675592001215</v>
      </c>
      <c r="O6" s="32">
        <f t="shared" ref="O6:O22" si="8">C$8/$C$13/$G$5</f>
        <v>3.4647383942819778</v>
      </c>
      <c r="P6" s="32">
        <f t="shared" ref="P6:P22" si="9">C$9/$C$13/$G$5</f>
        <v>0.30892596376914361</v>
      </c>
      <c r="Q6" s="33">
        <f t="shared" ref="Q6:Q22" si="10">EXP(-$C$10*K6)</f>
        <v>0.15337555691866434</v>
      </c>
      <c r="R6" s="33">
        <f t="shared" ref="R6:R22" si="11">EXP(-$C$10*L6)</f>
        <v>0.15393863544920208</v>
      </c>
      <c r="S6" s="33">
        <f t="shared" ref="S6:S22" si="12">EXP(-$C$11*M6)</f>
        <v>2.3027404986655366E-2</v>
      </c>
      <c r="T6" s="33">
        <f t="shared" ref="T6:T22" si="13">EXP(-$C$11*N6)</f>
        <v>9.7319452885038696E-2</v>
      </c>
      <c r="U6" s="33">
        <f t="shared" ref="U6:U22" si="14">EXP(-$C$12*O6)</f>
        <v>0.23416591247282573</v>
      </c>
      <c r="V6" s="33">
        <f t="shared" ref="V6:V22" si="15">EXP(-$C$12*P6)</f>
        <v>0.87858732068206491</v>
      </c>
      <c r="W6" s="46">
        <f t="shared" ref="W6:W22" si="16">H6+R6*I6+T6*J6</f>
        <v>0.99746181590634764</v>
      </c>
      <c r="X6" s="47">
        <f t="shared" ref="X6:X22" si="17">Q6*H6+I6+V6*J6</f>
        <v>0.15591543024790835</v>
      </c>
      <c r="Y6" s="48">
        <f t="shared" ref="Y6:Y22" si="18">S6*H6+U6*I6+J6</f>
        <v>2.3660820509113879E-2</v>
      </c>
      <c r="Z6" s="46">
        <f t="shared" ref="Z6:Z22" si="19">I6*L6*R6+J6*N6*T6</f>
        <v>1.9118373686870206E-3</v>
      </c>
      <c r="AA6" s="47">
        <f t="shared" ref="AA6:AA22" si="20">H6*K6*Q6+J6*P6*V6</f>
        <v>0.63428296910014947</v>
      </c>
      <c r="AB6" s="48">
        <f t="shared" ref="AB6:AB22" si="21">H6*M6*S6+I6*O6*U6</f>
        <v>0.20424620403332411</v>
      </c>
      <c r="AC6" s="32">
        <f t="shared" ref="AC6:AC22" si="22">EXP((Z6/W6)-(H6*Z6/W6^2)+(I6*Q6/X6)*(K6-AA6/X6)+(J6*S6/Y6)*(M6-AB6/Y6))</f>
        <v>1.0002364486057944</v>
      </c>
      <c r="AD6" s="33">
        <f t="shared" ref="AD6:AD22" si="23">EXP((AA6/X6)-(I6*AA6/X6^2)+(H6*R6*(L6-(Z6/W6))/W6)+(J6*U6*(O6-(AB6/Y6))/Y6))</f>
        <v>102.15951427620131</v>
      </c>
      <c r="AE6" s="34">
        <f t="shared" ref="AE6:AE22" si="24">EXP((AB6/Y6)-(J6*AB6/Y6^2)+(H6*T6*(N6-(Z6/W6))/W6)+(I6*V6*(P6-(AA6/X6))/X6))</f>
        <v>8926.5263419856456</v>
      </c>
      <c r="AF6" s="2">
        <f t="shared" ref="AF6:AH13" si="25">AC6/AC15</f>
        <v>1.0780702770048474E-2</v>
      </c>
      <c r="AG6" s="2">
        <f t="shared" si="25"/>
        <v>36.975168058820252</v>
      </c>
      <c r="AH6" s="2">
        <f t="shared" si="25"/>
        <v>8828.0199966433556</v>
      </c>
      <c r="AI6" s="66"/>
      <c r="AJ6" s="24">
        <f t="shared" ref="AJ6:AJ14" si="26">H6*AC6/AC15</f>
        <v>1.0748360661738329E-2</v>
      </c>
      <c r="AK6" s="24">
        <f t="shared" si="0"/>
        <v>0.11092550417646074</v>
      </c>
      <c r="AL6" s="24">
        <f t="shared" ref="AL6:AL13" si="27">1-AJ6-AK6</f>
        <v>0.87832613516180091</v>
      </c>
      <c r="AM6" s="6">
        <f t="shared" si="1"/>
        <v>1</v>
      </c>
      <c r="AN6" s="27">
        <f t="shared" si="2"/>
        <v>6.3322356560771225E-8</v>
      </c>
      <c r="AO6" s="27">
        <f t="shared" si="2"/>
        <v>2.8647269162739003E-4</v>
      </c>
      <c r="AP6" s="27">
        <f t="shared" si="2"/>
        <v>2.7801776864253241E-4</v>
      </c>
    </row>
    <row r="7" spans="2:45" ht="19.5" thickBot="1" x14ac:dyDescent="0.4">
      <c r="B7" s="44" t="s">
        <v>62</v>
      </c>
      <c r="C7" s="2">
        <v>13463.9</v>
      </c>
      <c r="D7" s="45" t="s">
        <v>69</v>
      </c>
      <c r="E7" s="3"/>
      <c r="F7" s="2"/>
      <c r="G7" s="2"/>
      <c r="H7" s="29">
        <v>0.995</v>
      </c>
      <c r="I7" s="28">
        <v>5.0000000000000001E-3</v>
      </c>
      <c r="J7" s="30">
        <f t="shared" si="3"/>
        <v>0</v>
      </c>
      <c r="K7" s="32">
        <f t="shared" si="4"/>
        <v>4.1479330638630927</v>
      </c>
      <c r="L7" s="32">
        <f t="shared" si="5"/>
        <v>4.1398257236466671</v>
      </c>
      <c r="M7" s="32">
        <f t="shared" si="6"/>
        <v>8.7903735459021473</v>
      </c>
      <c r="N7" s="32">
        <f t="shared" si="7"/>
        <v>5.4306675592001215</v>
      </c>
      <c r="O7" s="32">
        <f t="shared" si="8"/>
        <v>3.4647383942819778</v>
      </c>
      <c r="P7" s="32">
        <f t="shared" si="9"/>
        <v>0.30892596376914361</v>
      </c>
      <c r="Q7" s="33">
        <f t="shared" si="10"/>
        <v>0.15337555691866434</v>
      </c>
      <c r="R7" s="33">
        <f t="shared" si="11"/>
        <v>0.15393863544920208</v>
      </c>
      <c r="S7" s="33">
        <f t="shared" si="12"/>
        <v>2.3027404986655366E-2</v>
      </c>
      <c r="T7" s="33">
        <f t="shared" si="13"/>
        <v>9.7319452885038696E-2</v>
      </c>
      <c r="U7" s="33">
        <f t="shared" si="14"/>
        <v>0.23416591247282573</v>
      </c>
      <c r="V7" s="33">
        <f t="shared" si="15"/>
        <v>0.87858732068206491</v>
      </c>
      <c r="W7" s="46">
        <f t="shared" si="16"/>
        <v>0.99576969317724595</v>
      </c>
      <c r="X7" s="47">
        <f t="shared" si="17"/>
        <v>0.15760867913407101</v>
      </c>
      <c r="Y7" s="48">
        <f t="shared" si="18"/>
        <v>2.408309752408622E-2</v>
      </c>
      <c r="Z7" s="46">
        <f t="shared" si="19"/>
        <v>3.1863956144783678E-3</v>
      </c>
      <c r="AA7" s="47">
        <f t="shared" si="20"/>
        <v>0.63301058601268678</v>
      </c>
      <c r="AB7" s="48">
        <f t="shared" si="21"/>
        <v>0.20546401230522651</v>
      </c>
      <c r="AC7" s="32">
        <f t="shared" si="22"/>
        <v>1.0006429566552038</v>
      </c>
      <c r="AD7" s="33">
        <f t="shared" si="23"/>
        <v>92.316484241538333</v>
      </c>
      <c r="AE7" s="34">
        <f t="shared" si="24"/>
        <v>7753.6298684263584</v>
      </c>
      <c r="AF7" s="2">
        <f t="shared" si="25"/>
        <v>1.4739088170025795E-2</v>
      </c>
      <c r="AG7" s="2">
        <f t="shared" si="25"/>
        <v>36.541520965882683</v>
      </c>
      <c r="AH7" s="2">
        <f t="shared" si="25"/>
        <v>7520.3320840924398</v>
      </c>
      <c r="AI7" s="66"/>
      <c r="AJ7" s="24">
        <f t="shared" si="26"/>
        <v>1.4665392729175665E-2</v>
      </c>
      <c r="AK7" s="24">
        <f t="shared" si="0"/>
        <v>0.18270760482941339</v>
      </c>
      <c r="AL7" s="24">
        <f t="shared" si="27"/>
        <v>0.80262700244141094</v>
      </c>
      <c r="AM7" s="6">
        <f t="shared" si="1"/>
        <v>1</v>
      </c>
      <c r="AN7" s="27">
        <f t="shared" si="2"/>
        <v>1.1196202568850927E-7</v>
      </c>
      <c r="AO7" s="27">
        <f t="shared" si="2"/>
        <v>8.5494935782367648E-8</v>
      </c>
      <c r="AP7" s="27">
        <f t="shared" si="2"/>
        <v>3.9313206153522338E-7</v>
      </c>
      <c r="AR7" s="63" t="s">
        <v>23</v>
      </c>
      <c r="AS7" s="64"/>
    </row>
    <row r="8" spans="2:45" ht="18.75" x14ac:dyDescent="0.35">
      <c r="B8" s="44" t="s">
        <v>63</v>
      </c>
      <c r="C8" s="2">
        <v>8589.9</v>
      </c>
      <c r="D8" s="45" t="s">
        <v>69</v>
      </c>
      <c r="E8" s="3"/>
      <c r="F8" s="2"/>
      <c r="G8" s="2"/>
      <c r="H8" s="29">
        <v>0.99199999999999999</v>
      </c>
      <c r="I8" s="28">
        <v>8.0000000000000002E-3</v>
      </c>
      <c r="J8" s="30">
        <f t="shared" si="3"/>
        <v>0</v>
      </c>
      <c r="K8" s="32">
        <f t="shared" si="4"/>
        <v>4.1479330638630927</v>
      </c>
      <c r="L8" s="32">
        <f t="shared" si="5"/>
        <v>4.1398257236466671</v>
      </c>
      <c r="M8" s="32">
        <f t="shared" si="6"/>
        <v>8.7903735459021473</v>
      </c>
      <c r="N8" s="32">
        <f t="shared" si="7"/>
        <v>5.4306675592001215</v>
      </c>
      <c r="O8" s="32">
        <f t="shared" si="8"/>
        <v>3.4647383942819778</v>
      </c>
      <c r="P8" s="32">
        <f t="shared" si="9"/>
        <v>0.30892596376914361</v>
      </c>
      <c r="Q8" s="33">
        <f t="shared" si="10"/>
        <v>0.15337555691866434</v>
      </c>
      <c r="R8" s="33">
        <f t="shared" si="11"/>
        <v>0.15393863544920208</v>
      </c>
      <c r="S8" s="33">
        <f t="shared" si="12"/>
        <v>2.3027404986655366E-2</v>
      </c>
      <c r="T8" s="33">
        <f t="shared" si="13"/>
        <v>9.7319452885038696E-2</v>
      </c>
      <c r="U8" s="33">
        <f t="shared" si="14"/>
        <v>0.23416591247282573</v>
      </c>
      <c r="V8" s="33">
        <f t="shared" si="15"/>
        <v>0.87858732068206491</v>
      </c>
      <c r="W8" s="46">
        <f t="shared" si="16"/>
        <v>0.99323150908359359</v>
      </c>
      <c r="X8" s="47">
        <f t="shared" si="17"/>
        <v>0.16014855246331502</v>
      </c>
      <c r="Y8" s="48">
        <f t="shared" si="18"/>
        <v>2.4716513046544729E-2</v>
      </c>
      <c r="Z8" s="46">
        <f t="shared" si="19"/>
        <v>5.0982329831653888E-3</v>
      </c>
      <c r="AA8" s="47">
        <f t="shared" si="20"/>
        <v>0.6311020113814928</v>
      </c>
      <c r="AB8" s="48">
        <f t="shared" si="21"/>
        <v>0.20729072471308016</v>
      </c>
      <c r="AC8" s="32">
        <f t="shared" si="22"/>
        <v>1.0015951649052961</v>
      </c>
      <c r="AD8" s="33">
        <f t="shared" si="23"/>
        <v>79.804101156321778</v>
      </c>
      <c r="AE8" s="34">
        <f t="shared" si="24"/>
        <v>6340.359208158985</v>
      </c>
      <c r="AF8" s="2">
        <f t="shared" si="25"/>
        <v>1.7950944340595083E-2</v>
      </c>
      <c r="AG8" s="2">
        <f t="shared" si="25"/>
        <v>34.419365083946325</v>
      </c>
      <c r="AH8" s="2">
        <f t="shared" si="25"/>
        <v>5967.8675797583319</v>
      </c>
      <c r="AI8" s="66"/>
      <c r="AJ8" s="24">
        <f t="shared" si="26"/>
        <v>1.7807336785870324E-2</v>
      </c>
      <c r="AK8" s="24">
        <f t="shared" si="0"/>
        <v>0.27535492067157064</v>
      </c>
      <c r="AL8" s="24">
        <f t="shared" si="27"/>
        <v>0.70683774254255904</v>
      </c>
      <c r="AM8" s="6">
        <f t="shared" si="1"/>
        <v>1</v>
      </c>
      <c r="AN8" s="27">
        <f t="shared" si="2"/>
        <v>3.7119114078776989E-8</v>
      </c>
      <c r="AO8" s="27">
        <f t="shared" si="2"/>
        <v>4.038501674195556E-5</v>
      </c>
      <c r="AP8" s="27">
        <f t="shared" si="2"/>
        <v>3.7973416971786265E-5</v>
      </c>
      <c r="AR8" s="24">
        <f>AK5</f>
        <v>0</v>
      </c>
      <c r="AS8" s="24">
        <f>AL5</f>
        <v>0.99130938022083459</v>
      </c>
    </row>
    <row r="9" spans="2:45" ht="19.5" thickBot="1" x14ac:dyDescent="0.4">
      <c r="B9" s="44" t="s">
        <v>64</v>
      </c>
      <c r="C9" s="2">
        <v>765.9</v>
      </c>
      <c r="D9" s="45" t="s">
        <v>69</v>
      </c>
      <c r="E9" s="3"/>
      <c r="F9" s="2"/>
      <c r="G9" s="2"/>
      <c r="H9" s="29">
        <v>0.98899999999999999</v>
      </c>
      <c r="I9" s="28">
        <v>1.0999999999999999E-2</v>
      </c>
      <c r="J9" s="30">
        <f t="shared" si="3"/>
        <v>0</v>
      </c>
      <c r="K9" s="32">
        <f t="shared" si="4"/>
        <v>4.1479330638630927</v>
      </c>
      <c r="L9" s="32">
        <f t="shared" si="5"/>
        <v>4.1398257236466671</v>
      </c>
      <c r="M9" s="32">
        <f t="shared" si="6"/>
        <v>8.7903735459021473</v>
      </c>
      <c r="N9" s="32">
        <f t="shared" si="7"/>
        <v>5.4306675592001215</v>
      </c>
      <c r="O9" s="32">
        <f t="shared" si="8"/>
        <v>3.4647383942819778</v>
      </c>
      <c r="P9" s="32">
        <f t="shared" si="9"/>
        <v>0.30892596376914361</v>
      </c>
      <c r="Q9" s="33">
        <f t="shared" si="10"/>
        <v>0.15337555691866434</v>
      </c>
      <c r="R9" s="33">
        <f t="shared" si="11"/>
        <v>0.15393863544920208</v>
      </c>
      <c r="S9" s="33">
        <f t="shared" si="12"/>
        <v>2.3027404986655366E-2</v>
      </c>
      <c r="T9" s="33">
        <f t="shared" si="13"/>
        <v>9.7319452885038696E-2</v>
      </c>
      <c r="U9" s="33">
        <f t="shared" si="14"/>
        <v>0.23416591247282573</v>
      </c>
      <c r="V9" s="33">
        <f t="shared" si="15"/>
        <v>0.87858732068206491</v>
      </c>
      <c r="W9" s="46">
        <f t="shared" si="16"/>
        <v>0.99069332498994123</v>
      </c>
      <c r="X9" s="47">
        <f t="shared" si="17"/>
        <v>0.16268842579255904</v>
      </c>
      <c r="Y9" s="48">
        <f t="shared" si="18"/>
        <v>2.5349928569003241E-2</v>
      </c>
      <c r="Z9" s="46">
        <f t="shared" si="19"/>
        <v>7.0100703518524085E-3</v>
      </c>
      <c r="AA9" s="47">
        <f t="shared" si="20"/>
        <v>0.62919343675029871</v>
      </c>
      <c r="AB9" s="48">
        <f t="shared" si="21"/>
        <v>0.20911743712093375</v>
      </c>
      <c r="AC9" s="32">
        <f t="shared" si="22"/>
        <v>1.002924802236945</v>
      </c>
      <c r="AD9" s="33">
        <f t="shared" si="23"/>
        <v>69.483024743605355</v>
      </c>
      <c r="AE9" s="34">
        <f t="shared" si="24"/>
        <v>5243.5602989862346</v>
      </c>
      <c r="AF9" s="2">
        <f t="shared" si="25"/>
        <v>2.1214483055159904E-2</v>
      </c>
      <c r="AG9" s="2">
        <f t="shared" si="25"/>
        <v>32.240208976582409</v>
      </c>
      <c r="AH9" s="2">
        <f t="shared" si="25"/>
        <v>4751.5353031810318</v>
      </c>
      <c r="AI9" s="66"/>
      <c r="AJ9" s="24">
        <f t="shared" si="26"/>
        <v>2.0981123741553146E-2</v>
      </c>
      <c r="AK9" s="24">
        <f t="shared" si="0"/>
        <v>0.35464229874240649</v>
      </c>
      <c r="AL9" s="24">
        <f>1-AJ9-AK9</f>
        <v>0.62437657751604037</v>
      </c>
      <c r="AM9" s="6">
        <f t="shared" si="1"/>
        <v>1</v>
      </c>
      <c r="AN9" s="27">
        <f t="shared" si="2"/>
        <v>3.5631313295247222E-10</v>
      </c>
      <c r="AO9" s="27">
        <f t="shared" si="2"/>
        <v>1.5982771749225211E-4</v>
      </c>
      <c r="AP9" s="27">
        <f t="shared" si="2"/>
        <v>1.593507952085379E-4</v>
      </c>
      <c r="AR9" s="24">
        <f>AK14</f>
        <v>0</v>
      </c>
      <c r="AS9" s="24">
        <f>AL14</f>
        <v>8.9249639653457831E-5</v>
      </c>
    </row>
    <row r="10" spans="2:45" ht="18.75" thickBot="1" x14ac:dyDescent="0.4">
      <c r="B10" s="44" t="s">
        <v>65</v>
      </c>
      <c r="C10" s="5">
        <v>0.45200000000000001</v>
      </c>
      <c r="D10" s="3"/>
      <c r="E10" s="3"/>
      <c r="F10" s="2"/>
      <c r="G10" s="2"/>
      <c r="H10" s="29">
        <v>0.98299999999999998</v>
      </c>
      <c r="I10" s="28">
        <v>1.7000000000000001E-2</v>
      </c>
      <c r="J10" s="30">
        <f t="shared" si="3"/>
        <v>0</v>
      </c>
      <c r="K10" s="32">
        <f t="shared" si="4"/>
        <v>4.1479330638630927</v>
      </c>
      <c r="L10" s="32">
        <f t="shared" si="5"/>
        <v>4.1398257236466671</v>
      </c>
      <c r="M10" s="32">
        <f t="shared" si="6"/>
        <v>8.7903735459021473</v>
      </c>
      <c r="N10" s="32">
        <f t="shared" si="7"/>
        <v>5.4306675592001215</v>
      </c>
      <c r="O10" s="32">
        <f t="shared" si="8"/>
        <v>3.4647383942819778</v>
      </c>
      <c r="P10" s="32">
        <f t="shared" si="9"/>
        <v>0.30892596376914361</v>
      </c>
      <c r="Q10" s="33">
        <f t="shared" si="10"/>
        <v>0.15337555691866434</v>
      </c>
      <c r="R10" s="33">
        <f t="shared" si="11"/>
        <v>0.15393863544920208</v>
      </c>
      <c r="S10" s="33">
        <f t="shared" si="12"/>
        <v>2.3027404986655366E-2</v>
      </c>
      <c r="T10" s="33">
        <f t="shared" si="13"/>
        <v>9.7319452885038696E-2</v>
      </c>
      <c r="U10" s="33">
        <f t="shared" si="14"/>
        <v>0.23416591247282573</v>
      </c>
      <c r="V10" s="33">
        <f t="shared" si="15"/>
        <v>0.87858732068206491</v>
      </c>
      <c r="W10" s="46">
        <f t="shared" si="16"/>
        <v>0.98561695680263639</v>
      </c>
      <c r="X10" s="47">
        <f t="shared" si="17"/>
        <v>0.16776817245104703</v>
      </c>
      <c r="Y10" s="48">
        <f t="shared" si="18"/>
        <v>2.6616759613920262E-2</v>
      </c>
      <c r="Z10" s="46">
        <f t="shared" si="19"/>
        <v>1.0833745089226451E-2</v>
      </c>
      <c r="AA10" s="47">
        <f t="shared" si="20"/>
        <v>0.62537628748791074</v>
      </c>
      <c r="AB10" s="48">
        <f t="shared" si="21"/>
        <v>0.21277086193664096</v>
      </c>
      <c r="AC10" s="32">
        <f t="shared" si="22"/>
        <v>1.0065830656964183</v>
      </c>
      <c r="AD10" s="33">
        <f t="shared" si="23"/>
        <v>53.720795221988155</v>
      </c>
      <c r="AE10" s="34">
        <f t="shared" si="24"/>
        <v>3698.0073470665038</v>
      </c>
      <c r="AF10" s="2">
        <f t="shared" si="25"/>
        <v>2.332157404396356E-2</v>
      </c>
      <c r="AG10" s="2">
        <f t="shared" si="25"/>
        <v>28.423083724596658</v>
      </c>
      <c r="AH10" s="2">
        <f t="shared" si="25"/>
        <v>3041.1226243671254</v>
      </c>
      <c r="AI10" s="66"/>
      <c r="AJ10" s="24">
        <f t="shared" si="26"/>
        <v>2.2925107285216177E-2</v>
      </c>
      <c r="AK10" s="24">
        <f t="shared" si="0"/>
        <v>0.48319242331814322</v>
      </c>
      <c r="AL10" s="24">
        <f t="shared" si="27"/>
        <v>0.49388246939664066</v>
      </c>
      <c r="AM10" s="6">
        <f t="shared" si="1"/>
        <v>1</v>
      </c>
      <c r="AN10" s="27">
        <f t="shared" si="2"/>
        <v>5.6089187276909733E-9</v>
      </c>
      <c r="AO10" s="27">
        <f t="shared" si="2"/>
        <v>2.9557941955023372E-4</v>
      </c>
      <c r="AP10" s="27">
        <f t="shared" si="2"/>
        <v>2.9300985395694026E-4</v>
      </c>
      <c r="AR10" s="72" t="s">
        <v>24</v>
      </c>
      <c r="AS10" s="73"/>
    </row>
    <row r="11" spans="2:45" ht="18" x14ac:dyDescent="0.35">
      <c r="B11" s="44" t="s">
        <v>66</v>
      </c>
      <c r="C11" s="5">
        <v>0.42899999999999999</v>
      </c>
      <c r="D11" s="3"/>
      <c r="E11" s="3"/>
      <c r="F11" s="2"/>
      <c r="G11" s="2"/>
      <c r="H11" s="29">
        <v>0.97599999999999998</v>
      </c>
      <c r="I11" s="28">
        <v>2.4E-2</v>
      </c>
      <c r="J11" s="30">
        <f t="shared" si="3"/>
        <v>0</v>
      </c>
      <c r="K11" s="32">
        <f t="shared" si="4"/>
        <v>4.1479330638630927</v>
      </c>
      <c r="L11" s="32">
        <f t="shared" si="5"/>
        <v>4.1398257236466671</v>
      </c>
      <c r="M11" s="32">
        <f t="shared" si="6"/>
        <v>8.7903735459021473</v>
      </c>
      <c r="N11" s="32">
        <f t="shared" si="7"/>
        <v>5.4306675592001215</v>
      </c>
      <c r="O11" s="32">
        <f t="shared" si="8"/>
        <v>3.4647383942819778</v>
      </c>
      <c r="P11" s="32">
        <f t="shared" si="9"/>
        <v>0.30892596376914361</v>
      </c>
      <c r="Q11" s="33">
        <f t="shared" si="10"/>
        <v>0.15337555691866434</v>
      </c>
      <c r="R11" s="33">
        <f t="shared" si="11"/>
        <v>0.15393863544920208</v>
      </c>
      <c r="S11" s="33">
        <f t="shared" si="12"/>
        <v>2.3027404986655366E-2</v>
      </c>
      <c r="T11" s="33">
        <f t="shared" si="13"/>
        <v>9.7319452885038696E-2</v>
      </c>
      <c r="U11" s="33">
        <f t="shared" si="14"/>
        <v>0.23416591247282573</v>
      </c>
      <c r="V11" s="33">
        <f t="shared" si="15"/>
        <v>0.87858732068206491</v>
      </c>
      <c r="W11" s="46">
        <f t="shared" si="16"/>
        <v>0.97969452725078088</v>
      </c>
      <c r="X11" s="47">
        <f t="shared" si="17"/>
        <v>0.17369454355261638</v>
      </c>
      <c r="Y11" s="48">
        <f t="shared" si="18"/>
        <v>2.8094729166323454E-2</v>
      </c>
      <c r="Z11" s="46">
        <f t="shared" si="19"/>
        <v>1.5294698949496165E-2</v>
      </c>
      <c r="AA11" s="47">
        <f t="shared" si="20"/>
        <v>0.62092294668179115</v>
      </c>
      <c r="AB11" s="48">
        <f t="shared" si="21"/>
        <v>0.21703319088829937</v>
      </c>
      <c r="AC11" s="32">
        <f t="shared" si="22"/>
        <v>1.0122797911073418</v>
      </c>
      <c r="AD11" s="33">
        <f t="shared" si="23"/>
        <v>40.990371346180616</v>
      </c>
      <c r="AE11" s="34">
        <f t="shared" si="24"/>
        <v>2574.9466597041292</v>
      </c>
      <c r="AF11" s="2">
        <f t="shared" si="25"/>
        <v>2.7500273643268625E-2</v>
      </c>
      <c r="AG11" s="2">
        <f t="shared" si="25"/>
        <v>25.494158397438465</v>
      </c>
      <c r="AH11" s="2">
        <f t="shared" si="25"/>
        <v>1714.6442706153414</v>
      </c>
      <c r="AI11" s="66"/>
      <c r="AJ11" s="24">
        <f t="shared" si="26"/>
        <v>2.684026707583018E-2</v>
      </c>
      <c r="AK11" s="24">
        <f t="shared" si="0"/>
        <v>0.61185980153852326</v>
      </c>
      <c r="AL11" s="24">
        <f t="shared" si="27"/>
        <v>0.36129993138564653</v>
      </c>
      <c r="AM11" s="6">
        <f t="shared" si="1"/>
        <v>1</v>
      </c>
      <c r="AN11" s="27">
        <f t="shared" si="2"/>
        <v>2.5514607063841394E-8</v>
      </c>
      <c r="AO11" s="27">
        <f t="shared" si="2"/>
        <v>3.4337274070879795E-5</v>
      </c>
      <c r="AP11" s="27">
        <f t="shared" si="2"/>
        <v>3.249078220833737E-5</v>
      </c>
      <c r="AR11" s="24">
        <f>AK6</f>
        <v>0.11092550417646074</v>
      </c>
      <c r="AS11" s="24">
        <f>AL6</f>
        <v>0.87832613516180091</v>
      </c>
    </row>
    <row r="12" spans="2:45" ht="18.75" thickBot="1" x14ac:dyDescent="0.4">
      <c r="B12" s="44" t="s">
        <v>67</v>
      </c>
      <c r="C12" s="5">
        <v>0.41899999999999998</v>
      </c>
      <c r="D12" s="7"/>
      <c r="E12" s="3"/>
      <c r="F12" s="2"/>
      <c r="G12" s="2"/>
      <c r="H12" s="29">
        <v>0.97099999999999997</v>
      </c>
      <c r="I12" s="28">
        <v>2.9000000000000001E-2</v>
      </c>
      <c r="J12" s="30">
        <f t="shared" si="3"/>
        <v>0</v>
      </c>
      <c r="K12" s="32">
        <f t="shared" si="4"/>
        <v>4.1479330638630927</v>
      </c>
      <c r="L12" s="32">
        <f t="shared" si="5"/>
        <v>4.1398257236466671</v>
      </c>
      <c r="M12" s="32">
        <f t="shared" si="6"/>
        <v>8.7903735459021473</v>
      </c>
      <c r="N12" s="32">
        <f t="shared" si="7"/>
        <v>5.4306675592001215</v>
      </c>
      <c r="O12" s="32">
        <f t="shared" si="8"/>
        <v>3.4647383942819778</v>
      </c>
      <c r="P12" s="32">
        <f t="shared" si="9"/>
        <v>0.30892596376914361</v>
      </c>
      <c r="Q12" s="33">
        <f t="shared" si="10"/>
        <v>0.15337555691866434</v>
      </c>
      <c r="R12" s="33">
        <f t="shared" si="11"/>
        <v>0.15393863544920208</v>
      </c>
      <c r="S12" s="33">
        <f t="shared" si="12"/>
        <v>2.3027404986655366E-2</v>
      </c>
      <c r="T12" s="33">
        <f t="shared" si="13"/>
        <v>9.7319452885038696E-2</v>
      </c>
      <c r="U12" s="33">
        <f t="shared" si="14"/>
        <v>0.23416591247282573</v>
      </c>
      <c r="V12" s="33">
        <f t="shared" si="15"/>
        <v>0.87858732068206491</v>
      </c>
      <c r="W12" s="46">
        <f t="shared" si="16"/>
        <v>0.97546422042802683</v>
      </c>
      <c r="X12" s="47">
        <f t="shared" si="17"/>
        <v>0.17792766576802307</v>
      </c>
      <c r="Y12" s="48">
        <f t="shared" si="18"/>
        <v>2.9150421703754308E-2</v>
      </c>
      <c r="Z12" s="46">
        <f t="shared" si="19"/>
        <v>1.848109456397453E-2</v>
      </c>
      <c r="AA12" s="47">
        <f t="shared" si="20"/>
        <v>0.61774198896313459</v>
      </c>
      <c r="AB12" s="48">
        <f t="shared" si="21"/>
        <v>0.22007771156805536</v>
      </c>
      <c r="AC12" s="32">
        <f t="shared" si="22"/>
        <v>1.0171322053324472</v>
      </c>
      <c r="AD12" s="33">
        <f t="shared" si="23"/>
        <v>34.379449563873408</v>
      </c>
      <c r="AE12" s="34">
        <f t="shared" si="24"/>
        <v>2040.7076874486627</v>
      </c>
      <c r="AF12" s="2">
        <f t="shared" si="25"/>
        <v>3.1794878967873884E-2</v>
      </c>
      <c r="AG12" s="2">
        <f t="shared" si="25"/>
        <v>24.293651746643054</v>
      </c>
      <c r="AH12" s="2">
        <f t="shared" si="25"/>
        <v>1024.805643023215</v>
      </c>
      <c r="AI12" s="66"/>
      <c r="AJ12" s="24">
        <f t="shared" si="26"/>
        <v>3.087282747780554E-2</v>
      </c>
      <c r="AK12" s="24">
        <f t="shared" si="0"/>
        <v>0.70451590065264857</v>
      </c>
      <c r="AL12" s="24">
        <f t="shared" si="27"/>
        <v>0.26461127186954592</v>
      </c>
      <c r="AM12" s="6">
        <f t="shared" si="1"/>
        <v>1</v>
      </c>
      <c r="AN12" s="27">
        <f t="shared" si="2"/>
        <v>1.6172850401300319E-8</v>
      </c>
      <c r="AO12" s="27">
        <f t="shared" si="2"/>
        <v>2.6615348340326732E-7</v>
      </c>
      <c r="AP12" s="27">
        <f t="shared" si="2"/>
        <v>1.5110955940633732E-7</v>
      </c>
      <c r="AR12" s="24">
        <f>AK15</f>
        <v>2.5422467276001131E-3</v>
      </c>
      <c r="AS12" s="24">
        <f>AL15</f>
        <v>1.0138173682663864E-4</v>
      </c>
    </row>
    <row r="13" spans="2:45" ht="18" thickBot="1" x14ac:dyDescent="0.3">
      <c r="B13" s="44" t="s">
        <v>2</v>
      </c>
      <c r="C13" s="6">
        <v>8.3140000000000001</v>
      </c>
      <c r="D13" s="45" t="s">
        <v>70</v>
      </c>
      <c r="E13" s="3"/>
      <c r="F13" s="2"/>
      <c r="G13" s="2"/>
      <c r="H13" s="20">
        <v>0.96499999999999997</v>
      </c>
      <c r="I13" s="31">
        <v>3.5000000000000003E-2</v>
      </c>
      <c r="J13" s="19">
        <f t="shared" si="3"/>
        <v>0</v>
      </c>
      <c r="K13" s="32">
        <f t="shared" si="4"/>
        <v>4.1479330638630927</v>
      </c>
      <c r="L13" s="32">
        <f t="shared" si="5"/>
        <v>4.1398257236466671</v>
      </c>
      <c r="M13" s="32">
        <f t="shared" si="6"/>
        <v>8.7903735459021473</v>
      </c>
      <c r="N13" s="32">
        <f t="shared" si="7"/>
        <v>5.4306675592001215</v>
      </c>
      <c r="O13" s="32">
        <f t="shared" si="8"/>
        <v>3.4647383942819778</v>
      </c>
      <c r="P13" s="32">
        <f t="shared" si="9"/>
        <v>0.30892596376914361</v>
      </c>
      <c r="Q13" s="33">
        <f t="shared" si="10"/>
        <v>0.15337555691866434</v>
      </c>
      <c r="R13" s="33">
        <f t="shared" si="11"/>
        <v>0.15393863544920208</v>
      </c>
      <c r="S13" s="33">
        <f t="shared" si="12"/>
        <v>2.3027404986655366E-2</v>
      </c>
      <c r="T13" s="33">
        <f t="shared" si="13"/>
        <v>9.7319452885038696E-2</v>
      </c>
      <c r="U13" s="33">
        <f t="shared" si="14"/>
        <v>0.23416591247282573</v>
      </c>
      <c r="V13" s="33">
        <f t="shared" si="15"/>
        <v>0.87858732068206491</v>
      </c>
      <c r="W13" s="49">
        <f t="shared" si="16"/>
        <v>0.97038785224072199</v>
      </c>
      <c r="X13" s="22">
        <f t="shared" si="17"/>
        <v>0.18300741242651108</v>
      </c>
      <c r="Y13" s="50">
        <f t="shared" si="18"/>
        <v>3.0417252748671329E-2</v>
      </c>
      <c r="Z13" s="49">
        <f t="shared" si="19"/>
        <v>2.2304769301348573E-2</v>
      </c>
      <c r="AA13" s="22">
        <f t="shared" si="20"/>
        <v>0.61392483970074641</v>
      </c>
      <c r="AB13" s="50">
        <f t="shared" si="21"/>
        <v>0.2237311363837626</v>
      </c>
      <c r="AC13" s="35">
        <f t="shared" si="22"/>
        <v>1.0236729573697936</v>
      </c>
      <c r="AD13" s="21">
        <f t="shared" si="23"/>
        <v>28.312234525200147</v>
      </c>
      <c r="AE13" s="36">
        <f t="shared" si="24"/>
        <v>1582.8527157919252</v>
      </c>
      <c r="AF13" s="52">
        <f t="shared" si="25"/>
        <v>3.7522372245706578E-2</v>
      </c>
      <c r="AG13" s="23">
        <f t="shared" si="25"/>
        <v>22.70175370593341</v>
      </c>
      <c r="AH13" s="53">
        <f t="shared" si="25"/>
        <v>498.00279229560164</v>
      </c>
      <c r="AI13" s="67"/>
      <c r="AJ13" s="25">
        <f t="shared" si="26"/>
        <v>3.6209089217106846E-2</v>
      </c>
      <c r="AK13" s="25">
        <f t="shared" si="0"/>
        <v>0.79456137970766949</v>
      </c>
      <c r="AL13" s="25">
        <f t="shared" si="27"/>
        <v>0.16922953107522365</v>
      </c>
      <c r="AM13" s="21">
        <f t="shared" si="1"/>
        <v>1</v>
      </c>
      <c r="AN13" s="27">
        <f t="shared" si="2"/>
        <v>4.371830071035502E-8</v>
      </c>
      <c r="AO13" s="27">
        <f t="shared" si="2"/>
        <v>6.5606660068608543E-6</v>
      </c>
      <c r="AP13" s="27">
        <f t="shared" si="2"/>
        <v>7.6754980631510453E-6</v>
      </c>
      <c r="AR13" s="72" t="s">
        <v>25</v>
      </c>
      <c r="AS13" s="73"/>
    </row>
    <row r="14" spans="2:45" x14ac:dyDescent="0.25">
      <c r="B14" s="1"/>
      <c r="C14" s="6"/>
      <c r="D14" s="8"/>
      <c r="E14" s="3"/>
      <c r="F14" s="2"/>
      <c r="G14" s="2"/>
      <c r="H14" s="29">
        <v>8.9999999999999993E-3</v>
      </c>
      <c r="I14" s="28">
        <v>0</v>
      </c>
      <c r="J14" s="30">
        <f>1-SUM(H14:I14)</f>
        <v>0.99099999999999999</v>
      </c>
      <c r="K14" s="32">
        <f t="shared" si="4"/>
        <v>4.1479330638630927</v>
      </c>
      <c r="L14" s="32">
        <f t="shared" si="5"/>
        <v>4.1398257236466671</v>
      </c>
      <c r="M14" s="32">
        <f t="shared" si="6"/>
        <v>8.7903735459021473</v>
      </c>
      <c r="N14" s="32">
        <f t="shared" si="7"/>
        <v>5.4306675592001215</v>
      </c>
      <c r="O14" s="32">
        <f t="shared" si="8"/>
        <v>3.4647383942819778</v>
      </c>
      <c r="P14" s="32">
        <f t="shared" si="9"/>
        <v>0.30892596376914361</v>
      </c>
      <c r="Q14" s="33">
        <f t="shared" si="10"/>
        <v>0.15337555691866434</v>
      </c>
      <c r="R14" s="33">
        <f t="shared" si="11"/>
        <v>0.15393863544920208</v>
      </c>
      <c r="S14" s="33">
        <f t="shared" si="12"/>
        <v>2.3027404986655366E-2</v>
      </c>
      <c r="T14" s="33">
        <f t="shared" si="13"/>
        <v>9.7319452885038696E-2</v>
      </c>
      <c r="U14" s="33">
        <f t="shared" si="14"/>
        <v>0.23416591247282573</v>
      </c>
      <c r="V14" s="33">
        <f t="shared" si="15"/>
        <v>0.87858732068206491</v>
      </c>
      <c r="W14" s="46">
        <f>H14+R14*I14+T14*J14</f>
        <v>0.10544357780907335</v>
      </c>
      <c r="X14" s="47">
        <f t="shared" si="17"/>
        <v>0.87206041480819441</v>
      </c>
      <c r="Y14" s="48">
        <f t="shared" si="18"/>
        <v>0.99120724664487991</v>
      </c>
      <c r="Z14" s="46">
        <f t="shared" si="19"/>
        <v>0.52375300930092739</v>
      </c>
      <c r="AA14" s="47">
        <f t="shared" si="20"/>
        <v>0.27470139277746514</v>
      </c>
      <c r="AB14" s="48">
        <f t="shared" si="21"/>
        <v>1.8217754246292346E-3</v>
      </c>
      <c r="AC14" s="56">
        <f>EXP((Z14/W14)-(H14*Z14/W14^2)+(I14*Q14/X14)*(K14-AA14/X14)+(J14*S14/Y14)*(M14-AB14/Y14))</f>
        <v>115.06659195899481</v>
      </c>
      <c r="AD14" s="33">
        <f t="shared" si="23"/>
        <v>3.0491294821169186</v>
      </c>
      <c r="AE14" s="34">
        <f t="shared" si="24"/>
        <v>1.00385813492195</v>
      </c>
      <c r="AF14" s="2">
        <f>AC14/AC5</f>
        <v>115.06659195899481</v>
      </c>
      <c r="AG14" s="2">
        <f t="shared" ref="AG14:AH22" si="28">AD14/AD5</f>
        <v>2.5467400598565799E-2</v>
      </c>
      <c r="AH14" s="2">
        <f t="shared" si="28"/>
        <v>9.0060181285023046E-5</v>
      </c>
      <c r="AI14" s="68" t="s">
        <v>32</v>
      </c>
      <c r="AJ14" s="24">
        <f>H14*AC14/AC5</f>
        <v>1.0355993276309532</v>
      </c>
      <c r="AK14" s="24">
        <f>I14*AD14/AD5</f>
        <v>0</v>
      </c>
      <c r="AL14" s="81">
        <f>J14*AE14/AE5</f>
        <v>8.9249639653457831E-5</v>
      </c>
      <c r="AM14" s="6">
        <f t="shared" si="1"/>
        <v>1.0356885772706066</v>
      </c>
      <c r="AN14" s="27">
        <f t="shared" ref="AN14:AP22" si="29">(H5-AJ14)^2</f>
        <v>1.2673121277759474E-3</v>
      </c>
      <c r="AO14" s="27">
        <f t="shared" si="29"/>
        <v>0</v>
      </c>
      <c r="AP14" s="27">
        <f t="shared" si="29"/>
        <v>7.9654981782720718E-9</v>
      </c>
      <c r="AR14" s="42">
        <f>AJ7</f>
        <v>1.4665392729175665E-2</v>
      </c>
      <c r="AS14" s="24">
        <f>AL7</f>
        <v>0.80262700244141094</v>
      </c>
    </row>
    <row r="15" spans="2:45" ht="15.75" thickBot="1" x14ac:dyDescent="0.3">
      <c r="B15" s="3"/>
      <c r="C15" s="3"/>
      <c r="D15" s="3"/>
      <c r="E15" s="3"/>
      <c r="F15" s="2"/>
      <c r="G15" s="2"/>
      <c r="H15" s="29">
        <v>1.0999999999999999E-2</v>
      </c>
      <c r="I15" s="28">
        <v>9.4E-2</v>
      </c>
      <c r="J15" s="30">
        <f t="shared" ref="J15:J22" si="30">1-SUM(H15:I15)</f>
        <v>0.89500000000000002</v>
      </c>
      <c r="K15" s="32">
        <f t="shared" si="4"/>
        <v>4.1479330638630927</v>
      </c>
      <c r="L15" s="32">
        <f t="shared" si="5"/>
        <v>4.1398257236466671</v>
      </c>
      <c r="M15" s="32">
        <f t="shared" si="6"/>
        <v>8.7903735459021473</v>
      </c>
      <c r="N15" s="32">
        <f t="shared" si="7"/>
        <v>5.4306675592001215</v>
      </c>
      <c r="O15" s="32">
        <f t="shared" si="8"/>
        <v>3.4647383942819778</v>
      </c>
      <c r="P15" s="32">
        <f t="shared" si="9"/>
        <v>0.30892596376914361</v>
      </c>
      <c r="Q15" s="33">
        <f t="shared" si="10"/>
        <v>0.15337555691866434</v>
      </c>
      <c r="R15" s="33">
        <f t="shared" si="11"/>
        <v>0.15393863544920208</v>
      </c>
      <c r="S15" s="33">
        <f t="shared" si="12"/>
        <v>2.3027404986655366E-2</v>
      </c>
      <c r="T15" s="33">
        <f t="shared" si="13"/>
        <v>9.7319452885038696E-2</v>
      </c>
      <c r="U15" s="33">
        <f t="shared" si="14"/>
        <v>0.23416591247282573</v>
      </c>
      <c r="V15" s="33">
        <f t="shared" si="15"/>
        <v>0.87858732068206491</v>
      </c>
      <c r="W15" s="46">
        <f t="shared" si="16"/>
        <v>0.11257114206433463</v>
      </c>
      <c r="X15" s="47">
        <f t="shared" si="17"/>
        <v>0.88202278313655336</v>
      </c>
      <c r="Y15" s="48">
        <f t="shared" si="18"/>
        <v>0.91726489722729887</v>
      </c>
      <c r="Z15" s="46">
        <f t="shared" si="19"/>
        <v>0.53292032566957981</v>
      </c>
      <c r="AA15" s="47">
        <f t="shared" si="20"/>
        <v>0.24991760612441039</v>
      </c>
      <c r="AB15" s="48">
        <f t="shared" si="21"/>
        <v>7.8491035400087381E-2</v>
      </c>
      <c r="AC15" s="32">
        <f>EXP((Z15/W15)-(H15*Z15/W15^2)+(I15*Q15/X15)*(K15-AA15/X15)+(J15*S15/Y15)*(M15-AB15/Y15))</f>
        <v>92.780263953172408</v>
      </c>
      <c r="AD15" s="33">
        <f t="shared" si="23"/>
        <v>2.7629222432115936</v>
      </c>
      <c r="AE15" s="34">
        <f t="shared" si="24"/>
        <v>1.011158373608096</v>
      </c>
      <c r="AF15" s="2">
        <f t="shared" ref="AF15:AF22" si="31">AC15/AC6</f>
        <v>92.758331375042957</v>
      </c>
      <c r="AG15" s="2">
        <f t="shared" si="28"/>
        <v>2.7045177953192692E-2</v>
      </c>
      <c r="AH15" s="2">
        <f t="shared" si="28"/>
        <v>1.1327568360518283E-4</v>
      </c>
      <c r="AI15" s="69"/>
      <c r="AJ15" s="24">
        <f t="shared" ref="AJ15:AK22" si="32">H15*AC15/AC6</f>
        <v>1.0203416451254725</v>
      </c>
      <c r="AK15" s="24">
        <f t="shared" si="32"/>
        <v>2.5422467276001131E-3</v>
      </c>
      <c r="AL15" s="81">
        <f t="shared" ref="AL15:AL22" si="33">J15*AE15/AE6</f>
        <v>1.0138173682663864E-4</v>
      </c>
      <c r="AM15" s="6">
        <f t="shared" si="1"/>
        <v>1.0229852735898994</v>
      </c>
      <c r="AN15" s="27">
        <f t="shared" si="29"/>
        <v>5.4483239716349619E-4</v>
      </c>
      <c r="AO15" s="27">
        <f t="shared" si="29"/>
        <v>2.0953805839280508E-7</v>
      </c>
      <c r="AP15" s="27">
        <f t="shared" si="29"/>
        <v>1.0278256561985818E-8</v>
      </c>
      <c r="AR15" s="24">
        <f>AJ16</f>
        <v>1.0177020333255629</v>
      </c>
      <c r="AS15" s="24">
        <f>AL16</f>
        <v>1.066442267485035E-4</v>
      </c>
    </row>
    <row r="16" spans="2:45" ht="15.75" thickBot="1" x14ac:dyDescent="0.3">
      <c r="B16" s="3"/>
      <c r="C16" s="1"/>
      <c r="D16" s="7"/>
      <c r="E16" s="3"/>
      <c r="F16" s="2"/>
      <c r="G16" s="2"/>
      <c r="H16" s="29">
        <v>1.4999999999999999E-2</v>
      </c>
      <c r="I16" s="28">
        <v>0.183</v>
      </c>
      <c r="J16" s="30">
        <f t="shared" si="30"/>
        <v>0.80200000000000005</v>
      </c>
      <c r="K16" s="32">
        <f t="shared" si="4"/>
        <v>4.1479330638630927</v>
      </c>
      <c r="L16" s="32">
        <f t="shared" si="5"/>
        <v>4.1398257236466671</v>
      </c>
      <c r="M16" s="32">
        <f t="shared" si="6"/>
        <v>8.7903735459021473</v>
      </c>
      <c r="N16" s="32">
        <f t="shared" si="7"/>
        <v>5.4306675592001215</v>
      </c>
      <c r="O16" s="32">
        <f t="shared" si="8"/>
        <v>3.4647383942819778</v>
      </c>
      <c r="P16" s="32">
        <f t="shared" si="9"/>
        <v>0.30892596376914361</v>
      </c>
      <c r="Q16" s="33">
        <f t="shared" si="10"/>
        <v>0.15337555691866434</v>
      </c>
      <c r="R16" s="33">
        <f t="shared" si="11"/>
        <v>0.15393863544920208</v>
      </c>
      <c r="S16" s="33">
        <f t="shared" si="12"/>
        <v>2.3027404986655366E-2</v>
      </c>
      <c r="T16" s="33">
        <f t="shared" si="13"/>
        <v>9.7319452885038696E-2</v>
      </c>
      <c r="U16" s="33">
        <f t="shared" si="14"/>
        <v>0.23416591247282573</v>
      </c>
      <c r="V16" s="33">
        <f t="shared" si="15"/>
        <v>0.87858732068206491</v>
      </c>
      <c r="W16" s="46">
        <f t="shared" si="16"/>
        <v>0.12122097150100501</v>
      </c>
      <c r="X16" s="47">
        <f t="shared" si="17"/>
        <v>0.88992766454079608</v>
      </c>
      <c r="Y16" s="48">
        <f t="shared" si="18"/>
        <v>0.84519777305732702</v>
      </c>
      <c r="Z16" s="46">
        <f t="shared" si="19"/>
        <v>0.54048677521073951</v>
      </c>
      <c r="AA16" s="47">
        <f t="shared" si="20"/>
        <v>0.22722045786320952</v>
      </c>
      <c r="AB16" s="48">
        <f t="shared" si="21"/>
        <v>0.1515085162209131</v>
      </c>
      <c r="AC16" s="32">
        <f t="shared" si="22"/>
        <v>67.890424774726924</v>
      </c>
      <c r="AD16" s="33">
        <f t="shared" si="23"/>
        <v>2.5263448756752749</v>
      </c>
      <c r="AE16" s="34">
        <f t="shared" si="24"/>
        <v>1.0310222715865709</v>
      </c>
      <c r="AF16" s="2">
        <f t="shared" si="31"/>
        <v>67.846802221704181</v>
      </c>
      <c r="AG16" s="2">
        <f t="shared" si="28"/>
        <v>2.7366129640133453E-2</v>
      </c>
      <c r="AH16" s="2">
        <f t="shared" si="28"/>
        <v>1.3297285130736095E-4</v>
      </c>
      <c r="AI16" s="69"/>
      <c r="AJ16" s="24">
        <f t="shared" si="32"/>
        <v>1.0177020333255629</v>
      </c>
      <c r="AK16" s="24">
        <f t="shared" si="32"/>
        <v>5.0080017241444213E-3</v>
      </c>
      <c r="AL16" s="81">
        <f t="shared" si="33"/>
        <v>1.066442267485035E-4</v>
      </c>
      <c r="AM16" s="6">
        <f t="shared" si="1"/>
        <v>1.0228166792764559</v>
      </c>
      <c r="AN16" s="27">
        <f t="shared" si="29"/>
        <v>5.1538231711496687E-4</v>
      </c>
      <c r="AO16" s="27">
        <f t="shared" si="29"/>
        <v>6.402758928341283E-11</v>
      </c>
      <c r="AP16" s="27">
        <f t="shared" si="29"/>
        <v>1.1372991098786229E-8</v>
      </c>
      <c r="AR16" s="72" t="s">
        <v>26</v>
      </c>
      <c r="AS16" s="73"/>
    </row>
    <row r="17" spans="2:45" x14ac:dyDescent="0.25">
      <c r="B17" s="3"/>
      <c r="C17" s="1"/>
      <c r="D17" s="7"/>
      <c r="E17" s="3"/>
      <c r="F17" s="2"/>
      <c r="G17" s="2"/>
      <c r="H17" s="29">
        <v>1.7999999999999999E-2</v>
      </c>
      <c r="I17" s="28">
        <v>0.26900000000000002</v>
      </c>
      <c r="J17" s="30">
        <f t="shared" si="30"/>
        <v>0.71299999999999997</v>
      </c>
      <c r="K17" s="32">
        <f t="shared" si="4"/>
        <v>4.1479330638630927</v>
      </c>
      <c r="L17" s="32">
        <f t="shared" si="5"/>
        <v>4.1398257236466671</v>
      </c>
      <c r="M17" s="32">
        <f t="shared" si="6"/>
        <v>8.7903735459021473</v>
      </c>
      <c r="N17" s="32">
        <f t="shared" si="7"/>
        <v>5.4306675592001215</v>
      </c>
      <c r="O17" s="32">
        <f t="shared" si="8"/>
        <v>3.4647383942819778</v>
      </c>
      <c r="P17" s="32">
        <f t="shared" si="9"/>
        <v>0.30892596376914361</v>
      </c>
      <c r="Q17" s="33">
        <f t="shared" si="10"/>
        <v>0.15337555691866434</v>
      </c>
      <c r="R17" s="33">
        <f t="shared" si="11"/>
        <v>0.15393863544920208</v>
      </c>
      <c r="S17" s="33">
        <f t="shared" si="12"/>
        <v>2.3027404986655366E-2</v>
      </c>
      <c r="T17" s="33">
        <f t="shared" si="13"/>
        <v>9.7319452885038696E-2</v>
      </c>
      <c r="U17" s="33">
        <f t="shared" si="14"/>
        <v>0.23416591247282573</v>
      </c>
      <c r="V17" s="33">
        <f t="shared" si="15"/>
        <v>0.87858732068206491</v>
      </c>
      <c r="W17" s="46">
        <f t="shared" si="16"/>
        <v>0.12879826284286794</v>
      </c>
      <c r="X17" s="47">
        <f t="shared" si="17"/>
        <v>0.89819351967084826</v>
      </c>
      <c r="Y17" s="48">
        <f t="shared" si="18"/>
        <v>0.77640512374494985</v>
      </c>
      <c r="Z17" s="46">
        <f t="shared" si="19"/>
        <v>0.54825542576585973</v>
      </c>
      <c r="AA17" s="47">
        <f t="shared" si="20"/>
        <v>0.20497279179746547</v>
      </c>
      <c r="AB17" s="48">
        <f t="shared" si="21"/>
        <v>0.22188960666738333</v>
      </c>
      <c r="AC17" s="32">
        <f t="shared" si="22"/>
        <v>55.796238119921256</v>
      </c>
      <c r="AD17" s="33">
        <f t="shared" si="23"/>
        <v>2.3185814427920266</v>
      </c>
      <c r="AE17" s="34">
        <f t="shared" si="24"/>
        <v>1.0624162020055641</v>
      </c>
      <c r="AF17" s="2">
        <f t="shared" si="31"/>
        <v>55.707375669287465</v>
      </c>
      <c r="AG17" s="2">
        <f t="shared" si="28"/>
        <v>2.905341215798353E-2</v>
      </c>
      <c r="AH17" s="2">
        <f t="shared" si="28"/>
        <v>1.6756403969011907E-4</v>
      </c>
      <c r="AI17" s="69"/>
      <c r="AJ17" s="24">
        <f t="shared" si="32"/>
        <v>1.0027327620471744</v>
      </c>
      <c r="AK17" s="24">
        <f t="shared" si="32"/>
        <v>7.81536787049757E-3</v>
      </c>
      <c r="AL17" s="81">
        <f t="shared" si="33"/>
        <v>1.194731602990549E-4</v>
      </c>
      <c r="AM17" s="6">
        <f t="shared" si="1"/>
        <v>1.0106676030779711</v>
      </c>
      <c r="AN17" s="27">
        <f t="shared" si="29"/>
        <v>1.1519218116126803E-4</v>
      </c>
      <c r="AO17" s="27">
        <f t="shared" si="29"/>
        <v>3.4089023244602144E-8</v>
      </c>
      <c r="AP17" s="27">
        <f t="shared" si="29"/>
        <v>1.4273836031843668E-8</v>
      </c>
      <c r="AR17" s="26">
        <f>AJ8</f>
        <v>1.7807336785870324E-2</v>
      </c>
      <c r="AS17" s="26">
        <f>AL8</f>
        <v>0.70683774254255904</v>
      </c>
    </row>
    <row r="18" spans="2:45" x14ac:dyDescent="0.25">
      <c r="B18" s="3"/>
      <c r="C18" s="3"/>
      <c r="D18" s="3"/>
      <c r="E18" s="3"/>
      <c r="F18" s="2"/>
      <c r="G18" s="2"/>
      <c r="H18" s="29">
        <v>2.1000000000000001E-2</v>
      </c>
      <c r="I18" s="28">
        <v>0.34200000000000003</v>
      </c>
      <c r="J18" s="30">
        <f t="shared" si="30"/>
        <v>0.63700000000000001</v>
      </c>
      <c r="K18" s="32">
        <f t="shared" si="4"/>
        <v>4.1479330638630927</v>
      </c>
      <c r="L18" s="32">
        <f t="shared" si="5"/>
        <v>4.1398257236466671</v>
      </c>
      <c r="M18" s="32">
        <f t="shared" si="6"/>
        <v>8.7903735459021473</v>
      </c>
      <c r="N18" s="32">
        <f t="shared" si="7"/>
        <v>5.4306675592001215</v>
      </c>
      <c r="O18" s="32">
        <f t="shared" si="8"/>
        <v>3.4647383942819778</v>
      </c>
      <c r="P18" s="32">
        <f t="shared" si="9"/>
        <v>0.30892596376914361</v>
      </c>
      <c r="Q18" s="33">
        <f t="shared" si="10"/>
        <v>0.15337555691866434</v>
      </c>
      <c r="R18" s="33">
        <f t="shared" si="11"/>
        <v>0.15393863544920208</v>
      </c>
      <c r="S18" s="33">
        <f t="shared" si="12"/>
        <v>2.3027404986655366E-2</v>
      </c>
      <c r="T18" s="33">
        <f t="shared" si="13"/>
        <v>9.7319452885038696E-2</v>
      </c>
      <c r="U18" s="33">
        <f t="shared" si="14"/>
        <v>0.23416591247282573</v>
      </c>
      <c r="V18" s="33">
        <f t="shared" si="15"/>
        <v>0.87858732068206491</v>
      </c>
      <c r="W18" s="46">
        <f t="shared" si="16"/>
        <v>0.13563950481139678</v>
      </c>
      <c r="X18" s="47">
        <f t="shared" si="17"/>
        <v>0.90488100996976728</v>
      </c>
      <c r="Y18" s="48">
        <f t="shared" si="18"/>
        <v>0.71756831757042616</v>
      </c>
      <c r="Z18" s="46">
        <f t="shared" si="19"/>
        <v>0.55461007246694072</v>
      </c>
      <c r="AA18" s="47">
        <f t="shared" si="20"/>
        <v>0.18625356538408322</v>
      </c>
      <c r="AB18" s="48">
        <f t="shared" si="21"/>
        <v>0.2817234899553569</v>
      </c>
      <c r="AC18" s="32">
        <f t="shared" si="22"/>
        <v>47.275476834822427</v>
      </c>
      <c r="AD18" s="33">
        <f t="shared" si="23"/>
        <v>2.1551666986424984</v>
      </c>
      <c r="AE18" s="34">
        <f t="shared" si="24"/>
        <v>1.1035507397947364</v>
      </c>
      <c r="AF18" s="2">
        <f t="shared" si="31"/>
        <v>47.137608651594007</v>
      </c>
      <c r="AG18" s="2">
        <f t="shared" si="28"/>
        <v>3.1017168676739884E-2</v>
      </c>
      <c r="AH18" s="2">
        <f t="shared" si="28"/>
        <v>2.104582910981479E-4</v>
      </c>
      <c r="AI18" s="69"/>
      <c r="AJ18" s="24">
        <f t="shared" si="32"/>
        <v>0.98988978168347419</v>
      </c>
      <c r="AK18" s="24">
        <f t="shared" si="32"/>
        <v>1.0607871687445041E-2</v>
      </c>
      <c r="AL18" s="81">
        <f t="shared" si="33"/>
        <v>1.3406193142952023E-4</v>
      </c>
      <c r="AM18" s="6">
        <f t="shared" si="1"/>
        <v>1.000631715302349</v>
      </c>
      <c r="AN18" s="27">
        <f t="shared" si="29"/>
        <v>7.9171144424618153E-7</v>
      </c>
      <c r="AO18" s="27">
        <f t="shared" si="29"/>
        <v>1.5376461350719872E-7</v>
      </c>
      <c r="AP18" s="27">
        <f t="shared" si="29"/>
        <v>1.7972601458613383E-8</v>
      </c>
      <c r="AR18" s="26">
        <f>AJ17</f>
        <v>1.0027327620471744</v>
      </c>
      <c r="AS18" s="26">
        <f>AL17</f>
        <v>1.194731602990549E-4</v>
      </c>
    </row>
    <row r="19" spans="2:45" x14ac:dyDescent="0.25">
      <c r="B19" s="3"/>
      <c r="C19" s="3"/>
      <c r="D19" s="3"/>
      <c r="E19" s="3"/>
      <c r="F19" s="2"/>
      <c r="G19" s="2"/>
      <c r="H19" s="29">
        <v>2.3E-2</v>
      </c>
      <c r="I19" s="28">
        <v>0.46600000000000003</v>
      </c>
      <c r="J19" s="30">
        <f t="shared" si="30"/>
        <v>0.5109999999999999</v>
      </c>
      <c r="K19" s="32">
        <f t="shared" si="4"/>
        <v>4.1479330638630927</v>
      </c>
      <c r="L19" s="32">
        <f t="shared" si="5"/>
        <v>4.1398257236466671</v>
      </c>
      <c r="M19" s="32">
        <f t="shared" si="6"/>
        <v>8.7903735459021473</v>
      </c>
      <c r="N19" s="32">
        <f t="shared" si="7"/>
        <v>5.4306675592001215</v>
      </c>
      <c r="O19" s="32">
        <f t="shared" si="8"/>
        <v>3.4647383942819778</v>
      </c>
      <c r="P19" s="32">
        <f t="shared" si="9"/>
        <v>0.30892596376914361</v>
      </c>
      <c r="Q19" s="33">
        <f t="shared" si="10"/>
        <v>0.15337555691866434</v>
      </c>
      <c r="R19" s="33">
        <f t="shared" si="11"/>
        <v>0.15393863544920208</v>
      </c>
      <c r="S19" s="33">
        <f t="shared" si="12"/>
        <v>2.3027404986655366E-2</v>
      </c>
      <c r="T19" s="33">
        <f t="shared" si="13"/>
        <v>9.7319452885038696E-2</v>
      </c>
      <c r="U19" s="33">
        <f t="shared" si="14"/>
        <v>0.23416591247282573</v>
      </c>
      <c r="V19" s="33">
        <f t="shared" si="15"/>
        <v>0.87858732068206491</v>
      </c>
      <c r="W19" s="46">
        <f t="shared" si="16"/>
        <v>0.14446564454358296</v>
      </c>
      <c r="X19" s="47">
        <f t="shared" si="17"/>
        <v>0.91848575867766447</v>
      </c>
      <c r="Y19" s="48">
        <f t="shared" si="18"/>
        <v>0.62065094552702971</v>
      </c>
      <c r="Z19" s="46">
        <f t="shared" si="19"/>
        <v>0.56704047465260676</v>
      </c>
      <c r="AA19" s="47">
        <f t="shared" si="20"/>
        <v>0.15332722568711676</v>
      </c>
      <c r="AB19" s="48">
        <f t="shared" si="21"/>
        <v>0.38273245875811512</v>
      </c>
      <c r="AC19" s="32">
        <f t="shared" si="22"/>
        <v>43.161026086785824</v>
      </c>
      <c r="AD19" s="33">
        <f t="shared" si="23"/>
        <v>1.8900410575612336</v>
      </c>
      <c r="AE19" s="34">
        <f t="shared" si="24"/>
        <v>1.2160007352008964</v>
      </c>
      <c r="AF19" s="2">
        <f t="shared" si="31"/>
        <v>42.878752442476546</v>
      </c>
      <c r="AG19" s="2">
        <f t="shared" si="28"/>
        <v>3.5182670877284994E-2</v>
      </c>
      <c r="AH19" s="2">
        <f t="shared" si="28"/>
        <v>3.2882593815437009E-4</v>
      </c>
      <c r="AI19" s="69"/>
      <c r="AJ19" s="24">
        <f t="shared" si="32"/>
        <v>0.98621130617696051</v>
      </c>
      <c r="AK19" s="24">
        <f t="shared" si="32"/>
        <v>1.639512462881481E-2</v>
      </c>
      <c r="AL19" s="81">
        <f t="shared" si="33"/>
        <v>1.6803005439688308E-4</v>
      </c>
      <c r="AM19" s="6">
        <f t="shared" si="1"/>
        <v>1.0027744608601723</v>
      </c>
      <c r="AN19" s="27">
        <f t="shared" si="29"/>
        <v>1.0312487362184833E-5</v>
      </c>
      <c r="AO19" s="27">
        <f t="shared" si="29"/>
        <v>3.6587421466642315E-7</v>
      </c>
      <c r="AP19" s="27">
        <f t="shared" si="29"/>
        <v>2.8234099180619488E-8</v>
      </c>
    </row>
    <row r="20" spans="2:45" x14ac:dyDescent="0.25">
      <c r="B20" s="3"/>
      <c r="C20" s="3"/>
      <c r="D20" s="3"/>
      <c r="E20" s="3"/>
      <c r="F20" s="2"/>
      <c r="G20" s="2"/>
      <c r="H20" s="29">
        <v>2.7E-2</v>
      </c>
      <c r="I20" s="28">
        <v>0.60599999999999998</v>
      </c>
      <c r="J20" s="30">
        <f t="shared" si="30"/>
        <v>0.36699999999999999</v>
      </c>
      <c r="K20" s="32">
        <f t="shared" si="4"/>
        <v>4.1479330638630927</v>
      </c>
      <c r="L20" s="32">
        <f t="shared" si="5"/>
        <v>4.1398257236466671</v>
      </c>
      <c r="M20" s="32">
        <f t="shared" si="6"/>
        <v>8.7903735459021473</v>
      </c>
      <c r="N20" s="32">
        <f t="shared" si="7"/>
        <v>5.4306675592001215</v>
      </c>
      <c r="O20" s="32">
        <f t="shared" si="8"/>
        <v>3.4647383942819778</v>
      </c>
      <c r="P20" s="32">
        <f t="shared" si="9"/>
        <v>0.30892596376914361</v>
      </c>
      <c r="Q20" s="33">
        <f t="shared" si="10"/>
        <v>0.15337555691866434</v>
      </c>
      <c r="R20" s="33">
        <f t="shared" si="11"/>
        <v>0.15393863544920208</v>
      </c>
      <c r="S20" s="33">
        <f t="shared" si="12"/>
        <v>2.3027404986655366E-2</v>
      </c>
      <c r="T20" s="33">
        <f t="shared" si="13"/>
        <v>9.7319452885038696E-2</v>
      </c>
      <c r="U20" s="33">
        <f t="shared" si="14"/>
        <v>0.23416591247282573</v>
      </c>
      <c r="V20" s="33">
        <f t="shared" si="15"/>
        <v>0.87858732068206491</v>
      </c>
      <c r="W20" s="46">
        <f t="shared" si="16"/>
        <v>0.15600305229102568</v>
      </c>
      <c r="X20" s="47">
        <f t="shared" si="17"/>
        <v>0.93258268672712186</v>
      </c>
      <c r="Y20" s="48">
        <f t="shared" si="18"/>
        <v>0.50952628289317203</v>
      </c>
      <c r="Z20" s="46">
        <f t="shared" si="19"/>
        <v>0.58015417008268966</v>
      </c>
      <c r="AA20" s="47">
        <f t="shared" si="20"/>
        <v>0.11678773725126601</v>
      </c>
      <c r="AB20" s="48">
        <f t="shared" si="21"/>
        <v>0.49712744458535107</v>
      </c>
      <c r="AC20" s="32">
        <f t="shared" si="22"/>
        <v>36.809807940042894</v>
      </c>
      <c r="AD20" s="33">
        <f t="shared" si="23"/>
        <v>1.6078338695149528</v>
      </c>
      <c r="AE20" s="34">
        <f t="shared" si="24"/>
        <v>1.5017381178313141</v>
      </c>
      <c r="AF20" s="2">
        <f t="shared" si="31"/>
        <v>36.363274524898223</v>
      </c>
      <c r="AG20" s="2">
        <f t="shared" si="28"/>
        <v>3.9224671958595636E-2</v>
      </c>
      <c r="AH20" s="2">
        <f t="shared" si="28"/>
        <v>5.8321135009603239E-4</v>
      </c>
      <c r="AI20" s="69"/>
      <c r="AJ20" s="24">
        <f t="shared" si="32"/>
        <v>0.98180841217225201</v>
      </c>
      <c r="AK20" s="24">
        <f t="shared" si="32"/>
        <v>2.3770151206908955E-2</v>
      </c>
      <c r="AL20" s="81">
        <f t="shared" si="33"/>
        <v>2.1403856548524389E-4</v>
      </c>
      <c r="AM20" s="6">
        <f t="shared" si="1"/>
        <v>1.0057926019446461</v>
      </c>
      <c r="AN20" s="27">
        <f t="shared" si="29"/>
        <v>3.3737651962765559E-5</v>
      </c>
      <c r="AO20" s="27">
        <f t="shared" si="29"/>
        <v>5.283046768541023E-8</v>
      </c>
      <c r="AP20" s="27">
        <f t="shared" si="29"/>
        <v>4.5812507514981036E-8</v>
      </c>
    </row>
    <row r="21" spans="2:45" x14ac:dyDescent="0.25">
      <c r="B21" s="3"/>
      <c r="C21" s="3"/>
      <c r="D21" s="3"/>
      <c r="E21" s="3"/>
      <c r="F21" s="2"/>
      <c r="G21" s="2"/>
      <c r="H21" s="29">
        <v>3.1E-2</v>
      </c>
      <c r="I21" s="28">
        <v>0.70399999999999996</v>
      </c>
      <c r="J21" s="30">
        <f t="shared" si="30"/>
        <v>0.26500000000000001</v>
      </c>
      <c r="K21" s="32">
        <f t="shared" si="4"/>
        <v>4.1479330638630927</v>
      </c>
      <c r="L21" s="32">
        <f t="shared" si="5"/>
        <v>4.1398257236466671</v>
      </c>
      <c r="M21" s="32">
        <f t="shared" si="6"/>
        <v>8.7903735459021473</v>
      </c>
      <c r="N21" s="32">
        <f t="shared" si="7"/>
        <v>5.4306675592001215</v>
      </c>
      <c r="O21" s="32">
        <f t="shared" si="8"/>
        <v>3.4647383942819778</v>
      </c>
      <c r="P21" s="32">
        <f t="shared" si="9"/>
        <v>0.30892596376914361</v>
      </c>
      <c r="Q21" s="33">
        <f t="shared" si="10"/>
        <v>0.15337555691866434</v>
      </c>
      <c r="R21" s="33">
        <f t="shared" si="11"/>
        <v>0.15393863544920208</v>
      </c>
      <c r="S21" s="33">
        <f t="shared" si="12"/>
        <v>2.3027404986655366E-2</v>
      </c>
      <c r="T21" s="33">
        <f t="shared" si="13"/>
        <v>9.7319452885038696E-2</v>
      </c>
      <c r="U21" s="33">
        <f t="shared" si="14"/>
        <v>0.23416591247282573</v>
      </c>
      <c r="V21" s="33">
        <f t="shared" si="15"/>
        <v>0.87858732068206491</v>
      </c>
      <c r="W21" s="46">
        <f t="shared" si="16"/>
        <v>0.16516245437077351</v>
      </c>
      <c r="X21" s="47">
        <f t="shared" si="17"/>
        <v>0.94158028224522583</v>
      </c>
      <c r="Y21" s="48">
        <f t="shared" si="18"/>
        <v>0.43056665193545562</v>
      </c>
      <c r="Z21" s="46">
        <f t="shared" si="19"/>
        <v>0.58869954536895353</v>
      </c>
      <c r="AA21" s="47">
        <f t="shared" si="20"/>
        <v>9.1647823076891635E-2</v>
      </c>
      <c r="AB21" s="48">
        <f t="shared" si="21"/>
        <v>0.57744683805436692</v>
      </c>
      <c r="AC21" s="32">
        <f t="shared" si="22"/>
        <v>31.990441176397489</v>
      </c>
      <c r="AD21" s="33">
        <f t="shared" si="23"/>
        <v>1.4151618670759958</v>
      </c>
      <c r="AE21" s="34">
        <f t="shared" si="24"/>
        <v>1.9913119149388159</v>
      </c>
      <c r="AF21" s="2">
        <f t="shared" si="31"/>
        <v>31.451605807665377</v>
      </c>
      <c r="AG21" s="2">
        <f t="shared" si="28"/>
        <v>4.1163017006621165E-2</v>
      </c>
      <c r="AH21" s="2">
        <f t="shared" si="28"/>
        <v>9.7579478295022136E-4</v>
      </c>
      <c r="AI21" s="69"/>
      <c r="AJ21" s="24">
        <f t="shared" si="32"/>
        <v>0.97499978003762666</v>
      </c>
      <c r="AK21" s="24">
        <f t="shared" si="32"/>
        <v>2.8978763972661303E-2</v>
      </c>
      <c r="AL21" s="81">
        <f t="shared" si="33"/>
        <v>2.5858561748180866E-4</v>
      </c>
      <c r="AM21" s="6">
        <f t="shared" si="1"/>
        <v>1.0042371296277697</v>
      </c>
      <c r="AN21" s="27">
        <f t="shared" si="29"/>
        <v>1.5998240349396949E-5</v>
      </c>
      <c r="AO21" s="27">
        <f t="shared" si="29"/>
        <v>4.5096885712993498E-10</v>
      </c>
      <c r="AP21" s="27">
        <f t="shared" si="29"/>
        <v>6.6866521568448266E-8</v>
      </c>
    </row>
    <row r="22" spans="2:45" ht="15.75" thickBot="1" x14ac:dyDescent="0.3">
      <c r="B22" s="3"/>
      <c r="C22" s="3"/>
      <c r="D22" s="3"/>
      <c r="E22" s="3"/>
      <c r="F22" s="2"/>
      <c r="G22" s="2"/>
      <c r="H22" s="20">
        <v>3.5999999999999997E-2</v>
      </c>
      <c r="I22" s="31">
        <v>0.79200000000000004</v>
      </c>
      <c r="J22" s="19">
        <f t="shared" si="30"/>
        <v>0.17199999999999993</v>
      </c>
      <c r="K22" s="32">
        <f t="shared" si="4"/>
        <v>4.1479330638630927</v>
      </c>
      <c r="L22" s="32">
        <f t="shared" si="5"/>
        <v>4.1398257236466671</v>
      </c>
      <c r="M22" s="32">
        <f t="shared" si="6"/>
        <v>8.7903735459021473</v>
      </c>
      <c r="N22" s="32">
        <f t="shared" si="7"/>
        <v>5.4306675592001215</v>
      </c>
      <c r="O22" s="32">
        <f t="shared" si="8"/>
        <v>3.4647383942819778</v>
      </c>
      <c r="P22" s="32">
        <f t="shared" si="9"/>
        <v>0.30892596376914361</v>
      </c>
      <c r="Q22" s="33">
        <f t="shared" si="10"/>
        <v>0.15337555691866434</v>
      </c>
      <c r="R22" s="33">
        <f t="shared" si="11"/>
        <v>0.15393863544920208</v>
      </c>
      <c r="S22" s="33">
        <f t="shared" si="12"/>
        <v>2.3027404986655366E-2</v>
      </c>
      <c r="T22" s="33">
        <f t="shared" si="13"/>
        <v>9.7319452885038696E-2</v>
      </c>
      <c r="U22" s="33">
        <f t="shared" si="14"/>
        <v>0.23416591247282573</v>
      </c>
      <c r="V22" s="33">
        <f t="shared" si="15"/>
        <v>0.87858732068206491</v>
      </c>
      <c r="W22" s="49">
        <f t="shared" si="16"/>
        <v>0.17465834517199472</v>
      </c>
      <c r="X22" s="22">
        <f t="shared" si="17"/>
        <v>0.94863853920638708</v>
      </c>
      <c r="Y22" s="50">
        <f t="shared" si="18"/>
        <v>0.35828838925799755</v>
      </c>
      <c r="Z22" s="49">
        <f t="shared" si="19"/>
        <v>0.59562871578721754</v>
      </c>
      <c r="AA22" s="22">
        <f t="shared" si="20"/>
        <v>6.9586866359422073E-2</v>
      </c>
      <c r="AB22" s="50">
        <f t="shared" si="21"/>
        <v>0.64985541473924147</v>
      </c>
      <c r="AC22" s="35">
        <f t="shared" si="22"/>
        <v>27.281669470856158</v>
      </c>
      <c r="AD22" s="21">
        <f t="shared" si="23"/>
        <v>1.2471386524557511</v>
      </c>
      <c r="AE22" s="36">
        <f t="shared" si="24"/>
        <v>3.1784012866586191</v>
      </c>
      <c r="AF22" s="2">
        <f t="shared" si="31"/>
        <v>26.650766999797646</v>
      </c>
      <c r="AG22" s="2">
        <f t="shared" si="28"/>
        <v>4.4049460361233521E-2</v>
      </c>
      <c r="AH22" s="2">
        <f t="shared" si="28"/>
        <v>2.0080208695023257E-3</v>
      </c>
      <c r="AI22" s="70"/>
      <c r="AJ22" s="24">
        <f t="shared" si="32"/>
        <v>0.9594276119927152</v>
      </c>
      <c r="AK22" s="24">
        <f t="shared" si="32"/>
        <v>3.4887172606096951E-2</v>
      </c>
      <c r="AL22" s="81">
        <f t="shared" si="33"/>
        <v>3.4537958955439986E-4</v>
      </c>
      <c r="AM22" s="6">
        <f t="shared" si="1"/>
        <v>0.99466016418836656</v>
      </c>
      <c r="AN22" s="27">
        <f t="shared" si="29"/>
        <v>3.1051508103731105E-5</v>
      </c>
      <c r="AO22" s="27">
        <f t="shared" si="29"/>
        <v>1.2730020814954435E-8</v>
      </c>
      <c r="AP22" s="27">
        <f t="shared" si="29"/>
        <v>1.1928706088076572E-7</v>
      </c>
    </row>
    <row r="32" spans="2:45" x14ac:dyDescent="0.25">
      <c r="G32" s="28">
        <v>0</v>
      </c>
      <c r="H32" s="29">
        <v>1</v>
      </c>
      <c r="I32" s="30">
        <f>1-SUM(G32:H32)</f>
        <v>0</v>
      </c>
    </row>
    <row r="33" spans="7:9" x14ac:dyDescent="0.25">
      <c r="G33" s="28">
        <v>3.0000000000000001E-3</v>
      </c>
      <c r="H33" s="29">
        <v>0.997</v>
      </c>
      <c r="I33" s="30">
        <f t="shared" ref="I33:I40" si="34">1-SUM(G33:H33)</f>
        <v>0</v>
      </c>
    </row>
    <row r="34" spans="7:9" x14ac:dyDescent="0.25">
      <c r="G34" s="28">
        <v>5.0000000000000001E-3</v>
      </c>
      <c r="H34" s="29">
        <v>0.995</v>
      </c>
      <c r="I34" s="30">
        <f t="shared" si="34"/>
        <v>0</v>
      </c>
    </row>
    <row r="35" spans="7:9" x14ac:dyDescent="0.25">
      <c r="G35" s="28">
        <v>8.0000000000000002E-3</v>
      </c>
      <c r="H35" s="29">
        <v>0.99199999999999999</v>
      </c>
      <c r="I35" s="30">
        <f t="shared" si="34"/>
        <v>0</v>
      </c>
    </row>
    <row r="36" spans="7:9" x14ac:dyDescent="0.25">
      <c r="G36" s="28">
        <v>1.0999999999999999E-2</v>
      </c>
      <c r="H36" s="29">
        <v>0.98899999999999999</v>
      </c>
      <c r="I36" s="30">
        <f t="shared" si="34"/>
        <v>0</v>
      </c>
    </row>
    <row r="37" spans="7:9" x14ac:dyDescent="0.25">
      <c r="G37" s="28">
        <v>1.7000000000000001E-2</v>
      </c>
      <c r="H37" s="29">
        <v>0.98299999999999998</v>
      </c>
      <c r="I37" s="30">
        <f t="shared" si="34"/>
        <v>0</v>
      </c>
    </row>
    <row r="38" spans="7:9" x14ac:dyDescent="0.25">
      <c r="G38" s="28">
        <v>2.4E-2</v>
      </c>
      <c r="H38" s="29">
        <v>0.97599999999999998</v>
      </c>
      <c r="I38" s="30">
        <f t="shared" si="34"/>
        <v>0</v>
      </c>
    </row>
    <row r="39" spans="7:9" x14ac:dyDescent="0.25">
      <c r="G39" s="28">
        <v>2.9000000000000001E-2</v>
      </c>
      <c r="H39" s="29">
        <v>0.97099999999999997</v>
      </c>
      <c r="I39" s="30">
        <f t="shared" si="34"/>
        <v>0</v>
      </c>
    </row>
    <row r="40" spans="7:9" ht="15.75" thickBot="1" x14ac:dyDescent="0.3">
      <c r="G40" s="31">
        <v>3.5000000000000003E-2</v>
      </c>
      <c r="H40" s="20">
        <v>0.96499999999999997</v>
      </c>
      <c r="I40" s="19">
        <f t="shared" si="34"/>
        <v>0</v>
      </c>
    </row>
    <row r="41" spans="7:9" x14ac:dyDescent="0.25">
      <c r="G41" s="28">
        <v>0</v>
      </c>
      <c r="H41" s="29">
        <v>8.9999999999999993E-3</v>
      </c>
      <c r="I41" s="30">
        <f>1-SUM(G41:H41)</f>
        <v>0.99099999999999999</v>
      </c>
    </row>
    <row r="42" spans="7:9" x14ac:dyDescent="0.25">
      <c r="G42" s="28">
        <v>9.4E-2</v>
      </c>
      <c r="H42" s="29">
        <v>1.0999999999999999E-2</v>
      </c>
      <c r="I42" s="30">
        <f t="shared" ref="I42:I49" si="35">1-SUM(G42:H42)</f>
        <v>0.89500000000000002</v>
      </c>
    </row>
    <row r="43" spans="7:9" x14ac:dyDescent="0.25">
      <c r="G43" s="28">
        <v>0.183</v>
      </c>
      <c r="H43" s="29">
        <v>1.4999999999999999E-2</v>
      </c>
      <c r="I43" s="30">
        <f t="shared" si="35"/>
        <v>0.80200000000000005</v>
      </c>
    </row>
    <row r="44" spans="7:9" x14ac:dyDescent="0.25">
      <c r="G44" s="28">
        <v>0.26900000000000002</v>
      </c>
      <c r="H44" s="29">
        <v>1.7999999999999999E-2</v>
      </c>
      <c r="I44" s="30">
        <f t="shared" si="35"/>
        <v>0.71299999999999997</v>
      </c>
    </row>
    <row r="45" spans="7:9" x14ac:dyDescent="0.25">
      <c r="G45" s="28">
        <v>0.34200000000000003</v>
      </c>
      <c r="H45" s="29">
        <v>2.1000000000000001E-2</v>
      </c>
      <c r="I45" s="30">
        <f t="shared" si="35"/>
        <v>0.63700000000000001</v>
      </c>
    </row>
    <row r="46" spans="7:9" x14ac:dyDescent="0.25">
      <c r="G46" s="28">
        <v>0.46600000000000003</v>
      </c>
      <c r="H46" s="29">
        <v>2.3E-2</v>
      </c>
      <c r="I46" s="30">
        <f t="shared" si="35"/>
        <v>0.5109999999999999</v>
      </c>
    </row>
    <row r="47" spans="7:9" x14ac:dyDescent="0.25">
      <c r="G47" s="28">
        <v>0.60599999999999998</v>
      </c>
      <c r="H47" s="29">
        <v>2.7E-2</v>
      </c>
      <c r="I47" s="30">
        <f t="shared" si="35"/>
        <v>0.36699999999999999</v>
      </c>
    </row>
    <row r="48" spans="7:9" x14ac:dyDescent="0.25">
      <c r="G48" s="28">
        <v>0.70399999999999996</v>
      </c>
      <c r="H48" s="29">
        <v>3.1E-2</v>
      </c>
      <c r="I48" s="30">
        <f t="shared" si="35"/>
        <v>0.26500000000000001</v>
      </c>
    </row>
    <row r="49" spans="7:9" ht="15.75" thickBot="1" x14ac:dyDescent="0.3">
      <c r="G49" s="31">
        <v>0.79200000000000004</v>
      </c>
      <c r="H49" s="20">
        <v>3.5999999999999997E-2</v>
      </c>
      <c r="I49" s="19">
        <f t="shared" si="35"/>
        <v>0.17199999999999993</v>
      </c>
    </row>
  </sheetData>
  <mergeCells count="7">
    <mergeCell ref="AN4:AP4"/>
    <mergeCell ref="AI5:AI13"/>
    <mergeCell ref="AR7:AS7"/>
    <mergeCell ref="AR10:AS10"/>
    <mergeCell ref="AR13:AS13"/>
    <mergeCell ref="AI14:AI22"/>
    <mergeCell ref="AR16:AS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Лист6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2024-03-27T09:11:34Z</dcterms:modified>
</cp:coreProperties>
</file>