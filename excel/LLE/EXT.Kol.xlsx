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I42" i="1" l="1"/>
  <c r="I43" i="1"/>
  <c r="I44" i="1"/>
  <c r="I45" i="1"/>
  <c r="Z31" i="1"/>
  <c r="V32" i="1"/>
  <c r="V33" i="1"/>
  <c r="V34" i="1"/>
  <c r="V35" i="1"/>
  <c r="V31" i="1"/>
  <c r="W32" i="1"/>
  <c r="X32" i="1"/>
  <c r="Y32" i="1"/>
  <c r="Z32" i="1" s="1"/>
  <c r="W33" i="1"/>
  <c r="X33" i="1"/>
  <c r="Y33" i="1"/>
  <c r="Z33" i="1" s="1"/>
  <c r="W34" i="1"/>
  <c r="X34" i="1"/>
  <c r="Y34" i="1"/>
  <c r="Z34" i="1" s="1"/>
  <c r="W35" i="1"/>
  <c r="X35" i="1"/>
  <c r="Y35" i="1"/>
  <c r="Z35" i="1" s="1"/>
  <c r="X31" i="1"/>
  <c r="Y31" i="1"/>
  <c r="W31" i="1"/>
  <c r="S32" i="1"/>
  <c r="T32" i="1"/>
  <c r="U32" i="1"/>
  <c r="S33" i="1"/>
  <c r="T33" i="1"/>
  <c r="U33" i="1"/>
  <c r="S34" i="1"/>
  <c r="T34" i="1"/>
  <c r="U34" i="1"/>
  <c r="S35" i="1"/>
  <c r="T35" i="1"/>
  <c r="U35" i="1"/>
  <c r="T31" i="1"/>
  <c r="U31" i="1"/>
  <c r="S31" i="1"/>
  <c r="X36" i="1"/>
  <c r="R41" i="1"/>
  <c r="S41" i="1"/>
  <c r="V41" i="1" s="1"/>
  <c r="Y41" i="1" s="1"/>
  <c r="T41" i="1"/>
  <c r="U41" i="1"/>
  <c r="X41" i="1" s="1"/>
  <c r="W41" i="1"/>
  <c r="Z41" i="1" s="1"/>
  <c r="R42" i="1"/>
  <c r="U42" i="1" s="1"/>
  <c r="S42" i="1"/>
  <c r="T42" i="1"/>
  <c r="W42" i="1" s="1"/>
  <c r="V42" i="1"/>
  <c r="D58" i="1"/>
  <c r="M48" i="1"/>
  <c r="O48" i="1"/>
  <c r="Q48" i="1"/>
  <c r="L49" i="1"/>
  <c r="M49" i="1"/>
  <c r="S49" i="1" s="1"/>
  <c r="V49" i="1" s="1"/>
  <c r="N49" i="1"/>
  <c r="O49" i="1"/>
  <c r="P49" i="1"/>
  <c r="Q49" i="1"/>
  <c r="T49" i="1" s="1"/>
  <c r="W49" i="1" s="1"/>
  <c r="L50" i="1"/>
  <c r="N50" i="1"/>
  <c r="P50" i="1"/>
  <c r="Q50" i="1"/>
  <c r="L51" i="1"/>
  <c r="M51" i="1"/>
  <c r="N51" i="1"/>
  <c r="O51" i="1"/>
  <c r="P51" i="1"/>
  <c r="Q51" i="1"/>
  <c r="S51" i="1"/>
  <c r="V51" i="1" s="1"/>
  <c r="L42" i="1"/>
  <c r="M42" i="1"/>
  <c r="N42" i="1"/>
  <c r="O42" i="1"/>
  <c r="P42" i="1"/>
  <c r="Q42" i="1"/>
  <c r="L43" i="1"/>
  <c r="M43" i="1"/>
  <c r="N43" i="1"/>
  <c r="O43" i="1"/>
  <c r="R43" i="1" s="1"/>
  <c r="U43" i="1" s="1"/>
  <c r="P43" i="1"/>
  <c r="Q43" i="1"/>
  <c r="T43" i="1" s="1"/>
  <c r="W43" i="1" s="1"/>
  <c r="S43" i="1"/>
  <c r="V43" i="1" s="1"/>
  <c r="L44" i="1"/>
  <c r="M44" i="1"/>
  <c r="N44" i="1"/>
  <c r="O44" i="1"/>
  <c r="P44" i="1"/>
  <c r="S44" i="1" s="1"/>
  <c r="V44" i="1" s="1"/>
  <c r="Q44" i="1"/>
  <c r="R44" i="1"/>
  <c r="U44" i="1" s="1"/>
  <c r="T44" i="1"/>
  <c r="W44" i="1" s="1"/>
  <c r="L45" i="1"/>
  <c r="M45" i="1"/>
  <c r="N45" i="1"/>
  <c r="O45" i="1"/>
  <c r="R45" i="1" s="1"/>
  <c r="U45" i="1" s="1"/>
  <c r="P45" i="1"/>
  <c r="Q45" i="1"/>
  <c r="T45" i="1" s="1"/>
  <c r="W45" i="1" s="1"/>
  <c r="S45" i="1"/>
  <c r="V45" i="1" s="1"/>
  <c r="C42" i="1"/>
  <c r="C43" i="1"/>
  <c r="C44" i="1"/>
  <c r="C45" i="1"/>
  <c r="I41" i="1"/>
  <c r="C41" i="1"/>
  <c r="L41" i="1" s="1"/>
  <c r="R49" i="1" l="1"/>
  <c r="U49" i="1" s="1"/>
  <c r="T51" i="1"/>
  <c r="W51" i="1" s="1"/>
  <c r="Z51" i="1" s="1"/>
  <c r="E54" i="1" s="1"/>
  <c r="E62" i="1" s="1"/>
  <c r="R51" i="1"/>
  <c r="U51" i="1" s="1"/>
  <c r="O50" i="1"/>
  <c r="R50" i="1" s="1"/>
  <c r="U50" i="1" s="1"/>
  <c r="M50" i="1"/>
  <c r="P48" i="1"/>
  <c r="N48" i="1"/>
  <c r="L48" i="1"/>
  <c r="R48" i="1" s="1"/>
  <c r="U48" i="1" s="1"/>
  <c r="S50" i="1"/>
  <c r="V50" i="1" s="1"/>
  <c r="Y50" i="1" s="1"/>
  <c r="D53" i="1" s="1"/>
  <c r="X51" i="1"/>
  <c r="C54" i="1" s="1"/>
  <c r="C62" i="1" s="1"/>
  <c r="Y49" i="1"/>
  <c r="D52" i="1" s="1"/>
  <c r="D60" i="1" s="1"/>
  <c r="Y51" i="1"/>
  <c r="D54" i="1" s="1"/>
  <c r="X50" i="1"/>
  <c r="C53" i="1" s="1"/>
  <c r="C61" i="1" s="1"/>
  <c r="Z49" i="1"/>
  <c r="E52" i="1" s="1"/>
  <c r="E60" i="1" s="1"/>
  <c r="X49" i="1"/>
  <c r="C52" i="1" s="1"/>
  <c r="X45" i="1"/>
  <c r="G54" i="1" s="1"/>
  <c r="Y43" i="1"/>
  <c r="H52" i="1" s="1"/>
  <c r="H60" i="1" s="1"/>
  <c r="Y45" i="1"/>
  <c r="H54" i="1" s="1"/>
  <c r="H62" i="1" s="1"/>
  <c r="X44" i="1"/>
  <c r="G53" i="1" s="1"/>
  <c r="Z43" i="1"/>
  <c r="I52" i="1" s="1"/>
  <c r="I60" i="1" s="1"/>
  <c r="X43" i="1"/>
  <c r="G52" i="1" s="1"/>
  <c r="M47" i="1"/>
  <c r="P47" i="1"/>
  <c r="M41" i="1"/>
  <c r="P41" i="1"/>
  <c r="X42" i="1" l="1"/>
  <c r="G51" i="1" s="1"/>
  <c r="X48" i="1"/>
  <c r="C51" i="1" s="1"/>
  <c r="D61" i="1"/>
  <c r="G61" i="1"/>
  <c r="G62" i="1"/>
  <c r="S48" i="1"/>
  <c r="V48" i="1" s="1"/>
  <c r="J52" i="1"/>
  <c r="G60" i="1"/>
  <c r="Y44" i="1"/>
  <c r="H53" i="1" s="1"/>
  <c r="H61" i="1" s="1"/>
  <c r="Z45" i="1"/>
  <c r="I54" i="1" s="1"/>
  <c r="I62" i="1" s="1"/>
  <c r="B52" i="1"/>
  <c r="C60" i="1"/>
  <c r="B54" i="1"/>
  <c r="D62" i="1"/>
  <c r="T48" i="1"/>
  <c r="W48" i="1" s="1"/>
  <c r="T50" i="1"/>
  <c r="W50" i="1" s="1"/>
  <c r="L47" i="1"/>
  <c r="O41" i="1"/>
  <c r="N41" i="1"/>
  <c r="N47" i="1"/>
  <c r="Q41" i="1"/>
  <c r="O47" i="1"/>
  <c r="Q47" i="1"/>
  <c r="Z42" i="1" l="1"/>
  <c r="I51" i="1" s="1"/>
  <c r="I59" i="1" s="1"/>
  <c r="Z48" i="1"/>
  <c r="E51" i="1" s="1"/>
  <c r="E59" i="1" s="1"/>
  <c r="B51" i="1"/>
  <c r="C59" i="1"/>
  <c r="Z50" i="1"/>
  <c r="E53" i="1" s="1"/>
  <c r="Z44" i="1"/>
  <c r="I53" i="1" s="1"/>
  <c r="I61" i="1" s="1"/>
  <c r="Y42" i="1"/>
  <c r="H51" i="1" s="1"/>
  <c r="H59" i="1" s="1"/>
  <c r="Y48" i="1"/>
  <c r="D51" i="1" s="1"/>
  <c r="D59" i="1" s="1"/>
  <c r="J54" i="1"/>
  <c r="J53" i="1"/>
  <c r="J51" i="1"/>
  <c r="G59" i="1"/>
  <c r="T47" i="1"/>
  <c r="W47" i="1" s="1"/>
  <c r="Z47" i="1" s="1"/>
  <c r="E50" i="1" s="1"/>
  <c r="E58" i="1" s="1"/>
  <c r="S47" i="1"/>
  <c r="V47" i="1" s="1"/>
  <c r="R47" i="1"/>
  <c r="U47" i="1" s="1"/>
  <c r="X47" i="1" s="1"/>
  <c r="C50" i="1" s="1"/>
  <c r="E61" i="1" l="1"/>
  <c r="B53" i="1"/>
  <c r="I50" i="1"/>
  <c r="I58" i="1" s="1"/>
  <c r="Y47" i="1"/>
  <c r="D50" i="1" s="1"/>
  <c r="H50" i="1"/>
  <c r="H58" i="1" s="1"/>
  <c r="B50" i="1"/>
  <c r="C58" i="1"/>
  <c r="G50" i="1"/>
  <c r="G58" i="1" l="1"/>
  <c r="J50" i="1"/>
  <c r="Q22" i="1" l="1"/>
  <c r="Q18" i="1"/>
  <c r="Q15" i="1"/>
  <c r="Q11" i="1"/>
  <c r="L19" i="1"/>
  <c r="L12" i="1"/>
  <c r="O22" i="1"/>
  <c r="N21" i="1"/>
  <c r="M20" i="1"/>
  <c r="O15" i="1"/>
  <c r="N14" i="1"/>
  <c r="M13" i="1"/>
  <c r="Q8" i="1" l="1"/>
  <c r="O8" i="1"/>
  <c r="N7" i="1"/>
  <c r="M6" i="1"/>
  <c r="L5" i="1"/>
  <c r="Q4" i="1"/>
  <c r="H5" i="1"/>
  <c r="L11" i="1" s="1"/>
  <c r="I5" i="1"/>
  <c r="L18" i="1" s="1"/>
  <c r="H6" i="1"/>
  <c r="I6" i="1"/>
  <c r="H7" i="1"/>
  <c r="I7" i="1"/>
  <c r="H8" i="1"/>
  <c r="I8" i="1"/>
  <c r="H9" i="1"/>
  <c r="I9" i="1"/>
  <c r="G6" i="1"/>
  <c r="M5" i="1" s="1"/>
  <c r="G7" i="1"/>
  <c r="N5" i="1" s="1"/>
  <c r="G8" i="1"/>
  <c r="O7" i="1" s="1"/>
  <c r="G9" i="1"/>
  <c r="P8" i="1" s="1"/>
  <c r="G5" i="1"/>
  <c r="L4" i="1" s="1"/>
  <c r="P14" i="1" l="1"/>
  <c r="P15" i="1"/>
  <c r="O13" i="1"/>
  <c r="O14" i="1"/>
  <c r="N12" i="1"/>
  <c r="N13" i="1"/>
  <c r="M12" i="1"/>
  <c r="M11" i="1"/>
  <c r="M4" i="1"/>
  <c r="N6" i="1"/>
  <c r="P7" i="1"/>
  <c r="P21" i="1"/>
  <c r="P22" i="1"/>
  <c r="O20" i="1"/>
  <c r="O21" i="1"/>
  <c r="N19" i="1"/>
  <c r="N20" i="1"/>
  <c r="M18" i="1"/>
  <c r="M19" i="1"/>
  <c r="O6" i="1"/>
  <c r="T4" i="1" s="1" a="1"/>
  <c r="U8" i="1" s="1"/>
  <c r="T4" i="1" l="1"/>
  <c r="V7" i="1"/>
  <c r="U6" i="1"/>
  <c r="W5" i="1"/>
  <c r="U4" i="1"/>
  <c r="T7" i="1"/>
  <c r="T5" i="1"/>
  <c r="X7" i="1"/>
  <c r="U5" i="1"/>
  <c r="V4" i="1"/>
  <c r="W4" i="1"/>
  <c r="T6" i="1"/>
  <c r="W6" i="1"/>
  <c r="T8" i="1"/>
  <c r="X6" i="1"/>
  <c r="U7" i="1"/>
  <c r="V6" i="1"/>
  <c r="X5" i="1"/>
  <c r="W7" i="1"/>
  <c r="X8" i="1"/>
  <c r="W8" i="1"/>
  <c r="V5" i="1"/>
  <c r="X4" i="1"/>
  <c r="V8" i="1"/>
  <c r="Z4" i="1" l="1" a="1"/>
  <c r="Z8" i="1" s="1"/>
  <c r="L32" i="1" s="1"/>
  <c r="T18" i="1" a="1"/>
  <c r="Z4" i="1" l="1"/>
  <c r="L28" i="1" s="1"/>
  <c r="Z6" i="1"/>
  <c r="L30" i="1" s="1"/>
  <c r="Z5" i="1"/>
  <c r="L29" i="1" s="1"/>
  <c r="Z7" i="1"/>
  <c r="L31" i="1" s="1"/>
  <c r="T11" i="1" a="1"/>
  <c r="W14" i="1" s="1"/>
  <c r="X20" i="1"/>
  <c r="T20" i="1"/>
  <c r="W21" i="1"/>
  <c r="V19" i="1"/>
  <c r="X18" i="1"/>
  <c r="V22" i="1"/>
  <c r="X22" i="1"/>
  <c r="W20" i="1"/>
  <c r="U21" i="1"/>
  <c r="W18" i="1"/>
  <c r="T19" i="1"/>
  <c r="X21" i="1"/>
  <c r="X19" i="1"/>
  <c r="T21" i="1"/>
  <c r="U20" i="1"/>
  <c r="T18" i="1"/>
  <c r="W19" i="1"/>
  <c r="U22" i="1"/>
  <c r="V21" i="1"/>
  <c r="U19" i="1"/>
  <c r="T22" i="1"/>
  <c r="V18" i="1"/>
  <c r="W22" i="1"/>
  <c r="V20" i="1"/>
  <c r="U18" i="1"/>
  <c r="Z18" i="1" l="1" a="1"/>
  <c r="Z18" i="1" s="1"/>
  <c r="N28" i="1" s="1"/>
  <c r="T11" i="1"/>
  <c r="U14" i="1"/>
  <c r="W15" i="1"/>
  <c r="V13" i="1"/>
  <c r="U11" i="1"/>
  <c r="X12" i="1"/>
  <c r="T14" i="1"/>
  <c r="T12" i="1"/>
  <c r="X13" i="1"/>
  <c r="U13" i="1"/>
  <c r="T15" i="1"/>
  <c r="X11" i="1"/>
  <c r="U15" i="1"/>
  <c r="X15" i="1"/>
  <c r="U12" i="1"/>
  <c r="W11" i="1"/>
  <c r="W12" i="1"/>
  <c r="V15" i="1"/>
  <c r="T13" i="1"/>
  <c r="X14" i="1"/>
  <c r="V11" i="1"/>
  <c r="W13" i="1"/>
  <c r="V14" i="1"/>
  <c r="V12" i="1"/>
  <c r="Z22" i="1" l="1"/>
  <c r="N32" i="1" s="1"/>
  <c r="Z20" i="1"/>
  <c r="N30" i="1" s="1"/>
  <c r="Z21" i="1"/>
  <c r="N31" i="1" s="1"/>
  <c r="Z19" i="1"/>
  <c r="N29" i="1" s="1"/>
  <c r="Z11" i="1" a="1"/>
  <c r="Z15" i="1" s="1"/>
  <c r="M32" i="1" s="1"/>
  <c r="O32" i="1" s="1"/>
  <c r="Z11" i="1" l="1"/>
  <c r="M28" i="1" s="1"/>
  <c r="O28" i="1" s="1"/>
  <c r="Z13" i="1"/>
  <c r="M30" i="1" s="1"/>
  <c r="O30" i="1" s="1"/>
  <c r="Z14" i="1"/>
  <c r="M31" i="1" s="1"/>
  <c r="O31" i="1" s="1"/>
  <c r="Z12" i="1"/>
  <c r="M29" i="1" s="1"/>
  <c r="O29" i="1" s="1"/>
</calcChain>
</file>

<file path=xl/sharedStrings.xml><?xml version="1.0" encoding="utf-8"?>
<sst xmlns="http://schemas.openxmlformats.org/spreadsheetml/2006/main" count="137" uniqueCount="109">
  <si>
    <t>F</t>
  </si>
  <si>
    <t>xi</t>
  </si>
  <si>
    <t>n [kmol/h]</t>
  </si>
  <si>
    <t>A</t>
  </si>
  <si>
    <t>B</t>
  </si>
  <si>
    <t>C</t>
  </si>
  <si>
    <t>A+B+C</t>
  </si>
  <si>
    <t>R1</t>
  </si>
  <si>
    <t>R2</t>
  </si>
  <si>
    <t>R3</t>
  </si>
  <si>
    <t>R4</t>
  </si>
  <si>
    <t>R5</t>
  </si>
  <si>
    <t>E1</t>
  </si>
  <si>
    <t>E2</t>
  </si>
  <si>
    <t>E3</t>
  </si>
  <si>
    <t>E4</t>
  </si>
  <si>
    <t>E5</t>
  </si>
  <si>
    <t>S</t>
  </si>
  <si>
    <t>MTBE</t>
  </si>
  <si>
    <t>Methanol</t>
  </si>
  <si>
    <t>[BMIM][HSO4]</t>
  </si>
  <si>
    <t>'=xe/xr</t>
  </si>
  <si>
    <t>kA</t>
  </si>
  <si>
    <t>kB</t>
  </si>
  <si>
    <t>kC</t>
  </si>
  <si>
    <t>-</t>
  </si>
  <si>
    <t>psA</t>
  </si>
  <si>
    <t>inverz</t>
  </si>
  <si>
    <t>xA</t>
  </si>
  <si>
    <t>A(zlozka A)</t>
  </si>
  <si>
    <t>psB</t>
  </si>
  <si>
    <t>xB</t>
  </si>
  <si>
    <t>A(zlozka B)</t>
  </si>
  <si>
    <t>psC</t>
  </si>
  <si>
    <t>xC</t>
  </si>
  <si>
    <t>A(zlozka C)</t>
  </si>
  <si>
    <t>Raf</t>
  </si>
  <si>
    <t>∑xRi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</si>
  <si>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</si>
  <si>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</si>
  <si>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</si>
  <si>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</si>
  <si>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</si>
  <si>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</si>
  <si>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</si>
  <si>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</si>
  <si>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</si>
  <si>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</si>
  <si>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</si>
  <si>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</si>
  <si>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x1.1</t>
  </si>
  <si>
    <t>x2.1</t>
  </si>
  <si>
    <t>x3.1</t>
  </si>
  <si>
    <t>x1.2</t>
  </si>
  <si>
    <t>x2.2</t>
  </si>
  <si>
    <t>x3.2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</si>
  <si>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</si>
  <si>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</si>
  <si>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</si>
  <si>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</si>
  <si>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</si>
  <si>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</si>
  <si>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</si>
  <si>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</si>
  <si>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</si>
  <si>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</si>
  <si>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</si>
  <si>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</si>
  <si>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</si>
  <si>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</si>
  <si>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</si>
  <si>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</si>
  <si>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</si>
  <si>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</si>
  <si>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</si>
  <si>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</si>
  <si>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</si>
  <si>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</si>
  <si>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</si>
  <si>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</si>
  <si>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</si>
  <si>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</si>
  <si>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</si>
  <si>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</si>
  <si>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</si>
  <si>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</si>
  <si>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Nove</t>
  </si>
  <si>
    <t>Σxi</t>
  </si>
  <si>
    <t>x3.3</t>
  </si>
  <si>
    <t>Step</t>
  </si>
  <si>
    <t>x1</t>
  </si>
  <si>
    <t>x2</t>
  </si>
  <si>
    <t>x3</t>
  </si>
  <si>
    <t>n[kmol/h]</t>
  </si>
  <si>
    <t>ns</t>
  </si>
  <si>
    <t>ns/nf</t>
  </si>
  <si>
    <t>Ya(straty</t>
  </si>
  <si>
    <t>Yb</t>
  </si>
  <si>
    <t>Yc(straty)</t>
  </si>
  <si>
    <t>nR [kmol/h][mol.h-1]</t>
  </si>
  <si>
    <t>nE [kmol/h]</t>
  </si>
  <si>
    <t>Kontakt</t>
  </si>
  <si>
    <t>xRA</t>
  </si>
  <si>
    <t>xRB</t>
  </si>
  <si>
    <t>xRC</t>
  </si>
  <si>
    <t>xEA</t>
  </si>
  <si>
    <t>xEB</t>
  </si>
  <si>
    <t>xEC</t>
  </si>
  <si>
    <t>∑xEi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</si>
</sst>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0.000000"/>
    <numFmt numFmtId="169" formatCode="_(* #,##0.0000_);_(* \(#,##0.0000\);_(* &quot;-&quot;??_);_(@_)"/>
    <numFmt numFmtId="170" formatCode="_(* #,##0.00000_);_(* \(#,##0.000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6" fillId="0" borderId="0"/>
  </cellStyleXfs>
  <cellXfs count="7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2" fontId="0" fillId="0" borderId="8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164" fontId="0" fillId="0" borderId="0" xfId="0" applyNumberFormat="1"/>
    <xf numFmtId="0" fontId="4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165" fontId="0" fillId="0" borderId="0" xfId="0" applyNumberFormat="1" applyBorder="1"/>
    <xf numFmtId="0" fontId="0" fillId="0" borderId="8" xfId="0" applyFill="1" applyBorder="1"/>
    <xf numFmtId="0" fontId="0" fillId="0" borderId="9" xfId="0" applyFill="1" applyBorder="1"/>
    <xf numFmtId="0" fontId="4" fillId="0" borderId="10" xfId="0" applyFont="1" applyBorder="1"/>
    <xf numFmtId="0" fontId="1" fillId="0" borderId="12" xfId="0" applyFont="1" applyBorder="1"/>
    <xf numFmtId="0" fontId="1" fillId="0" borderId="0" xfId="0" applyFont="1" applyFill="1" applyBorder="1"/>
    <xf numFmtId="0" fontId="0" fillId="0" borderId="0" xfId="0" applyNumberFormat="1" applyBorder="1"/>
    <xf numFmtId="0" fontId="5" fillId="0" borderId="6" xfId="0" applyFont="1" applyBorder="1"/>
    <xf numFmtId="165" fontId="2" fillId="0" borderId="0" xfId="0" applyNumberFormat="1" applyFont="1" applyBorder="1"/>
    <xf numFmtId="0" fontId="2" fillId="0" borderId="13" xfId="0" applyNumberFormat="1" applyFont="1" applyBorder="1"/>
    <xf numFmtId="0" fontId="2" fillId="0" borderId="14" xfId="0" applyNumberFormat="1" applyFont="1" applyBorder="1"/>
    <xf numFmtId="0" fontId="2" fillId="0" borderId="15" xfId="0" applyNumberFormat="1" applyFon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169" fontId="0" fillId="0" borderId="5" xfId="1" applyNumberFormat="1" applyFont="1" applyBorder="1"/>
    <xf numFmtId="169" fontId="0" fillId="0" borderId="6" xfId="1" applyNumberFormat="1" applyFont="1" applyBorder="1"/>
    <xf numFmtId="169" fontId="0" fillId="0" borderId="8" xfId="1" applyNumberFormat="1" applyFont="1" applyBorder="1"/>
    <xf numFmtId="169" fontId="0" fillId="0" borderId="0" xfId="1" applyNumberFormat="1" applyFont="1" applyBorder="1"/>
    <xf numFmtId="169" fontId="0" fillId="0" borderId="10" xfId="1" applyNumberFormat="1" applyFont="1" applyBorder="1"/>
    <xf numFmtId="169" fontId="0" fillId="0" borderId="11" xfId="1" applyNumberFormat="1" applyFont="1" applyBorder="1"/>
    <xf numFmtId="170" fontId="0" fillId="0" borderId="6" xfId="1" applyNumberFormat="1" applyFont="1" applyBorder="1"/>
    <xf numFmtId="170" fontId="0" fillId="0" borderId="0" xfId="1" applyNumberFormat="1" applyFont="1" applyBorder="1"/>
    <xf numFmtId="170" fontId="0" fillId="0" borderId="11" xfId="1" applyNumberFormat="1" applyFont="1" applyBorder="1"/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RTL"/>
      <sheetName val="Лист2"/>
      <sheetName val="Лист3"/>
    </sheetNames>
    <definedNames>
      <definedName name="NRTL_LLE"/>
    </defined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topLeftCell="P16" workbookViewId="0">
      <selection activeCell="AA38" sqref="AA38"/>
    </sheetView>
  </sheetViews>
  <sheetFormatPr defaultRowHeight="15" x14ac:dyDescent="0.25"/>
  <sheetData>
    <row r="1" spans="1:26" ht="15.75" thickBot="1" x14ac:dyDescent="0.3"/>
    <row r="2" spans="1:26" ht="15.75" thickBot="1" x14ac:dyDescent="0.3">
      <c r="B2" s="20" t="s">
        <v>1</v>
      </c>
      <c r="C2" s="21"/>
      <c r="D2" s="21"/>
      <c r="E2" s="18" t="s">
        <v>2</v>
      </c>
      <c r="G2" s="22" t="s">
        <v>21</v>
      </c>
      <c r="H2" s="22"/>
      <c r="I2" s="22"/>
    </row>
    <row r="3" spans="1:26" ht="15.75" thickBot="1" x14ac:dyDescent="0.3">
      <c r="B3" s="16" t="s">
        <v>3</v>
      </c>
      <c r="C3" s="17" t="s">
        <v>4</v>
      </c>
      <c r="D3" s="18" t="s">
        <v>5</v>
      </c>
      <c r="E3" s="19" t="s">
        <v>6</v>
      </c>
      <c r="G3" s="16" t="s">
        <v>22</v>
      </c>
      <c r="H3" s="17" t="s">
        <v>23</v>
      </c>
      <c r="I3" s="18" t="s">
        <v>24</v>
      </c>
      <c r="L3">
        <v>1</v>
      </c>
      <c r="M3">
        <v>2</v>
      </c>
      <c r="N3">
        <v>3</v>
      </c>
      <c r="O3">
        <v>4</v>
      </c>
      <c r="P3">
        <v>5</v>
      </c>
      <c r="Q3" s="13" t="s">
        <v>26</v>
      </c>
      <c r="S3" s="19" t="s">
        <v>27</v>
      </c>
      <c r="Z3" s="19" t="s">
        <v>28</v>
      </c>
    </row>
    <row r="4" spans="1:26" ht="15.75" thickBot="1" x14ac:dyDescent="0.3">
      <c r="A4" s="13" t="s">
        <v>0</v>
      </c>
      <c r="B4" s="2">
        <v>0.7</v>
      </c>
      <c r="C4" s="2">
        <v>0.3</v>
      </c>
      <c r="D4" s="2">
        <v>0</v>
      </c>
      <c r="E4" s="3">
        <v>25</v>
      </c>
      <c r="G4" s="4" t="s">
        <v>25</v>
      </c>
      <c r="H4" s="5" t="s">
        <v>25</v>
      </c>
      <c r="I4" s="6" t="s">
        <v>25</v>
      </c>
      <c r="K4" s="19" t="s">
        <v>29</v>
      </c>
      <c r="L4" s="1">
        <f>E$10*$G$5+E$5</f>
        <v>11.324869468869059</v>
      </c>
      <c r="M4" s="2">
        <f>-$E$11*$G$6</f>
        <v>-0.18166517704228063</v>
      </c>
      <c r="N4" s="2">
        <v>0</v>
      </c>
      <c r="O4" s="2">
        <v>0</v>
      </c>
      <c r="P4" s="2">
        <v>0</v>
      </c>
      <c r="Q4" s="10">
        <f>$B$4*$E$4</f>
        <v>17.5</v>
      </c>
      <c r="T4" s="1">
        <f t="array" ref="T4:X8">MINVERSE(L4:P8)</f>
        <v>9.0060434019884755E-2</v>
      </c>
      <c r="U4" s="2">
        <v>1.9438633760866172E-3</v>
      </c>
      <c r="V4" s="2">
        <v>5.6614408243905995E-6</v>
      </c>
      <c r="W4" s="2">
        <v>9.5408867210483828E-9</v>
      </c>
      <c r="X4" s="3">
        <v>1.4492555084298777E-11</v>
      </c>
      <c r="Z4" s="23">
        <f t="array" ref="Z4:Z8">MMULT(T4:X8,Q4:Q8)</f>
        <v>1.5760575953479832</v>
      </c>
    </row>
    <row r="5" spans="1:26" x14ac:dyDescent="0.25">
      <c r="A5" s="14" t="s">
        <v>7</v>
      </c>
      <c r="B5" s="5">
        <v>0.78802879767399159</v>
      </c>
      <c r="C5" s="5">
        <v>0.20996751270862013</v>
      </c>
      <c r="D5" s="5">
        <v>2.0036896173882511E-3</v>
      </c>
      <c r="E5" s="6">
        <v>10.249001977184916</v>
      </c>
      <c r="F5">
        <v>1</v>
      </c>
      <c r="G5" s="4">
        <f>B10/B5</f>
        <v>4.6238810270444186E-2</v>
      </c>
      <c r="H5" s="5">
        <f t="shared" ref="H5:I9" si="0">C10/C5</f>
        <v>3.3195534742215083</v>
      </c>
      <c r="I5" s="6">
        <f t="shared" si="0"/>
        <v>133.03662270737101</v>
      </c>
      <c r="L5" s="25">
        <f>-$E$5</f>
        <v>-10.249001977184916</v>
      </c>
      <c r="M5" s="5">
        <f>$E$6+$E$11*$G$6</f>
        <v>8.4407181245869189</v>
      </c>
      <c r="N5" s="5">
        <f>-$G$7*$E$12</f>
        <v>-2.3251448539680405E-2</v>
      </c>
      <c r="O5" s="5">
        <v>0</v>
      </c>
      <c r="P5" s="5">
        <v>0</v>
      </c>
      <c r="Q5" s="11">
        <v>0</v>
      </c>
      <c r="T5" s="4">
        <v>0.10966691530679155</v>
      </c>
      <c r="U5" s="5">
        <v>0.12117896978336438</v>
      </c>
      <c r="V5" s="5">
        <v>3.5292993068797036E-4</v>
      </c>
      <c r="W5" s="5">
        <v>5.9477164799719279E-7</v>
      </c>
      <c r="X5" s="6">
        <v>9.0345490133136325E-10</v>
      </c>
      <c r="Z5" s="24">
        <v>1.9191710178688521</v>
      </c>
    </row>
    <row r="6" spans="1:26" x14ac:dyDescent="0.25">
      <c r="A6" s="14" t="s">
        <v>8</v>
      </c>
      <c r="B6" s="5">
        <v>0.95958550893442629</v>
      </c>
      <c r="C6" s="5">
        <v>3.9773762483705156E-2</v>
      </c>
      <c r="D6" s="5">
        <v>6.4072858186861982E-4</v>
      </c>
      <c r="E6" s="6">
        <v>8.2590529475446388</v>
      </c>
      <c r="F6">
        <v>2</v>
      </c>
      <c r="G6" s="4">
        <f t="shared" ref="G6:G9" si="1">B11/B6</f>
        <v>2.133063806786992E-2</v>
      </c>
      <c r="H6" s="5">
        <f t="shared" si="0"/>
        <v>6.311365153569322</v>
      </c>
      <c r="I6" s="6">
        <f t="shared" si="0"/>
        <v>1136.9942138731153</v>
      </c>
      <c r="L6" s="4">
        <v>0</v>
      </c>
      <c r="M6" s="26">
        <f>-$E$6</f>
        <v>-8.2590529475446388</v>
      </c>
      <c r="N6" s="5">
        <f>$E$7+$E$12*$G$7</f>
        <v>7.9968537865599654</v>
      </c>
      <c r="O6" s="5">
        <f>-$E$13*$G$8</f>
        <v>-1.3360764291528212E-2</v>
      </c>
      <c r="P6" s="5">
        <v>0</v>
      </c>
      <c r="Q6" s="11">
        <v>0</v>
      </c>
      <c r="T6" s="4">
        <v>0.1134532911849299</v>
      </c>
      <c r="U6" s="5">
        <v>0.12536281252975529</v>
      </c>
      <c r="V6" s="5">
        <v>0.12562477298906433</v>
      </c>
      <c r="W6" s="5">
        <v>2.1170789656272637E-4</v>
      </c>
      <c r="X6" s="6">
        <v>3.2158314446261421E-7</v>
      </c>
      <c r="Z6" s="24">
        <v>1.9854325957362733</v>
      </c>
    </row>
    <row r="7" spans="1:26" x14ac:dyDescent="0.25">
      <c r="A7" s="14" t="s">
        <v>9</v>
      </c>
      <c r="B7" s="5">
        <v>0.99271629786813675</v>
      </c>
      <c r="C7" s="5">
        <v>6.7985293422953182E-3</v>
      </c>
      <c r="D7" s="5">
        <v>4.8517278956799965E-4</v>
      </c>
      <c r="E7" s="6">
        <v>7.9736023380202852</v>
      </c>
      <c r="F7">
        <v>3</v>
      </c>
      <c r="G7" s="4">
        <f t="shared" si="1"/>
        <v>3.5625219736564731E-3</v>
      </c>
      <c r="H7" s="5">
        <f t="shared" si="0"/>
        <v>7.3172027961001289</v>
      </c>
      <c r="I7" s="6">
        <f t="shared" si="0"/>
        <v>1951.2990604963393</v>
      </c>
      <c r="L7" s="4">
        <v>0</v>
      </c>
      <c r="M7" s="5">
        <v>0</v>
      </c>
      <c r="N7" s="26">
        <f>-$E$7</f>
        <v>-7.9736023380202852</v>
      </c>
      <c r="O7" s="5">
        <f>$E$8+$E$13*$G$8</f>
        <v>7.9401483347976214</v>
      </c>
      <c r="P7" s="5">
        <f>-$E$14*$G$9</f>
        <v>-1.2029091879382264E-2</v>
      </c>
      <c r="Q7" s="11">
        <v>0</v>
      </c>
      <c r="T7" s="4">
        <v>0.11410433295186637</v>
      </c>
      <c r="U7" s="5">
        <v>0.12608219604102303</v>
      </c>
      <c r="V7" s="5">
        <v>0.1263456597374662</v>
      </c>
      <c r="W7" s="5">
        <v>0.12634642801161883</v>
      </c>
      <c r="X7" s="6">
        <v>1.919195375858703E-4</v>
      </c>
      <c r="Z7" s="24">
        <v>1.9968258266576615</v>
      </c>
    </row>
    <row r="8" spans="1:26" ht="15.75" thickBot="1" x14ac:dyDescent="0.3">
      <c r="A8" s="14" t="s">
        <v>10</v>
      </c>
      <c r="B8" s="5">
        <v>0.99841291332883075</v>
      </c>
      <c r="C8" s="5">
        <v>1.1265721288840794E-3</v>
      </c>
      <c r="D8" s="5">
        <v>4.6051454228513843E-4</v>
      </c>
      <c r="E8" s="6">
        <v>7.9267875705060931</v>
      </c>
      <c r="F8">
        <v>4</v>
      </c>
      <c r="G8" s="4">
        <f t="shared" si="1"/>
        <v>2.1407256285513442E-3</v>
      </c>
      <c r="H8" s="5">
        <f t="shared" si="0"/>
        <v>7.4716474601741751</v>
      </c>
      <c r="I8" s="6">
        <f t="shared" si="0"/>
        <v>2148.5647710348358</v>
      </c>
      <c r="L8" s="7">
        <v>0</v>
      </c>
      <c r="M8" s="8">
        <v>0</v>
      </c>
      <c r="N8" s="8">
        <v>0</v>
      </c>
      <c r="O8" s="27">
        <f>-$E$8</f>
        <v>-7.9267875705060931</v>
      </c>
      <c r="P8" s="8">
        <f>$E$9+$E$14*$G$9</f>
        <v>7.919114490902226</v>
      </c>
      <c r="Q8" s="12">
        <f>$E$15*$B$15</f>
        <v>0</v>
      </c>
      <c r="T8" s="7">
        <v>0.11421489223610094</v>
      </c>
      <c r="U8" s="8">
        <v>0.1262043610542912</v>
      </c>
      <c r="V8" s="8">
        <v>0.12646808002901297</v>
      </c>
      <c r="W8" s="8">
        <v>0.12646884904757066</v>
      </c>
      <c r="X8" s="9">
        <v>0.12646885034376734</v>
      </c>
      <c r="Z8" s="24">
        <v>1.9987606141317664</v>
      </c>
    </row>
    <row r="9" spans="1:26" ht="15.75" thickBot="1" x14ac:dyDescent="0.3">
      <c r="A9" s="15" t="s">
        <v>11</v>
      </c>
      <c r="B9" s="8">
        <v>0.99938030706588332</v>
      </c>
      <c r="C9" s="8">
        <v>1.6331041822484647E-4</v>
      </c>
      <c r="D9" s="8">
        <v>4.5638251589187986E-4</v>
      </c>
      <c r="E9" s="9">
        <v>7.9070853990228436</v>
      </c>
      <c r="F9">
        <v>5</v>
      </c>
      <c r="G9" s="7">
        <f t="shared" si="1"/>
        <v>1.941924855757206E-3</v>
      </c>
      <c r="H9" s="8">
        <f t="shared" si="0"/>
        <v>7.4974403212313687</v>
      </c>
      <c r="I9" s="9">
        <f t="shared" si="0"/>
        <v>2184.2091528831384</v>
      </c>
    </row>
    <row r="10" spans="1:26" ht="15.75" thickBot="1" x14ac:dyDescent="0.3">
      <c r="A10" s="13" t="s">
        <v>12</v>
      </c>
      <c r="B10" s="2">
        <v>3.6437514063293944E-2</v>
      </c>
      <c r="C10" s="2">
        <v>0.69699838628554867</v>
      </c>
      <c r="D10" s="2">
        <v>0.26656409965115735</v>
      </c>
      <c r="E10" s="3">
        <v>23.267629192696525</v>
      </c>
      <c r="L10">
        <v>1</v>
      </c>
      <c r="M10">
        <v>2</v>
      </c>
      <c r="N10">
        <v>3</v>
      </c>
      <c r="O10">
        <v>4</v>
      </c>
      <c r="P10">
        <v>5</v>
      </c>
      <c r="Q10" s="19" t="s">
        <v>30</v>
      </c>
      <c r="S10" s="19" t="s">
        <v>27</v>
      </c>
      <c r="Z10" s="19" t="s">
        <v>31</v>
      </c>
    </row>
    <row r="11" spans="1:26" ht="15.75" thickBot="1" x14ac:dyDescent="0.3">
      <c r="A11" s="14" t="s">
        <v>13</v>
      </c>
      <c r="B11" s="5">
        <v>2.0468571186253004E-2</v>
      </c>
      <c r="C11" s="5">
        <v>0.25102673856599955</v>
      </c>
      <c r="D11" s="5">
        <v>0.72850469024774744</v>
      </c>
      <c r="E11" s="6">
        <v>8.5166311698814425</v>
      </c>
      <c r="K11" s="19" t="s">
        <v>32</v>
      </c>
      <c r="L11" s="1">
        <f>E$10*$H$5+E$5</f>
        <v>87.487141300698454</v>
      </c>
      <c r="M11" s="2">
        <f>-$E$11*$H$6</f>
        <v>-53.751569191392065</v>
      </c>
      <c r="N11" s="2">
        <v>0</v>
      </c>
      <c r="O11" s="2">
        <v>0</v>
      </c>
      <c r="P11" s="2">
        <v>0</v>
      </c>
      <c r="Q11" s="10">
        <f>$C$4*$E$4</f>
        <v>7.5</v>
      </c>
      <c r="T11" s="1">
        <f t="array" ref="T11:X15">MINVERSE(L11:P15)</f>
        <v>1.294591301073156E-2</v>
      </c>
      <c r="U11" s="2">
        <v>1.2937934945432014E-2</v>
      </c>
      <c r="V11" s="2">
        <v>1.2886012100078469E-2</v>
      </c>
      <c r="W11" s="2">
        <v>1.2575025651300399E-2</v>
      </c>
      <c r="X11" s="3">
        <v>1.0745531980639243E-2</v>
      </c>
      <c r="Z11">
        <f t="array" ref="Z11:Z15">MMULT(T11:X15,Q11:Q15)</f>
        <v>9.7094347580486698E-2</v>
      </c>
    </row>
    <row r="12" spans="1:26" x14ac:dyDescent="0.25">
      <c r="A12" s="14" t="s">
        <v>14</v>
      </c>
      <c r="B12" s="5">
        <v>3.5365736247621416E-3</v>
      </c>
      <c r="C12" s="5">
        <v>4.9746217912812071E-2</v>
      </c>
      <c r="D12" s="5">
        <v>0.9467172084624258</v>
      </c>
      <c r="E12" s="6">
        <v>6.5266821402411637</v>
      </c>
      <c r="L12" s="25">
        <f>-$E$5</f>
        <v>-10.249001977184916</v>
      </c>
      <c r="M12" s="5">
        <f>$E$6+$E$11*$H$6</f>
        <v>62.010622138936704</v>
      </c>
      <c r="N12" s="5">
        <f>-$H$7*$E$12</f>
        <v>-47.757056805829414</v>
      </c>
      <c r="O12" s="5">
        <v>0</v>
      </c>
      <c r="P12" s="5">
        <v>0</v>
      </c>
      <c r="Q12" s="11">
        <v>0</v>
      </c>
      <c r="T12" s="4">
        <v>2.4669218560722061E-3</v>
      </c>
      <c r="U12" s="5">
        <v>2.1058044625263166E-2</v>
      </c>
      <c r="V12" s="5">
        <v>2.0973533951872309E-2</v>
      </c>
      <c r="W12" s="5">
        <v>2.0467366117218534E-2</v>
      </c>
      <c r="X12" s="6">
        <v>1.7489645211918935E-2</v>
      </c>
      <c r="Z12">
        <v>1.8501913920541548E-2</v>
      </c>
    </row>
    <row r="13" spans="1:26" x14ac:dyDescent="0.25">
      <c r="A13" s="14" t="s">
        <v>15</v>
      </c>
      <c r="B13" s="5">
        <v>2.13732811143964E-3</v>
      </c>
      <c r="C13" s="5">
        <v>8.4173497854797448E-3</v>
      </c>
      <c r="D13" s="5">
        <v>0.98944532210308067</v>
      </c>
      <c r="E13" s="6">
        <v>6.24123153071681</v>
      </c>
      <c r="L13" s="4">
        <v>0</v>
      </c>
      <c r="M13" s="26">
        <f>-$E$6</f>
        <v>-8.2590529475446388</v>
      </c>
      <c r="N13" s="5">
        <f>$E$7+$E$12*$H$7</f>
        <v>55.730659143849699</v>
      </c>
      <c r="O13" s="5">
        <f>-$E$13*$H$8</f>
        <v>-46.63228171483923</v>
      </c>
      <c r="P13" s="5">
        <v>0</v>
      </c>
      <c r="Q13" s="11">
        <v>0</v>
      </c>
      <c r="T13" s="4">
        <v>4.2491460690787929E-4</v>
      </c>
      <c r="U13" s="5">
        <v>3.627139924261297E-3</v>
      </c>
      <c r="V13" s="5">
        <v>2.4467863044134397E-2</v>
      </c>
      <c r="W13" s="5">
        <v>2.3877364309678201E-2</v>
      </c>
      <c r="X13" s="6">
        <v>2.0403535461296533E-2</v>
      </c>
      <c r="Z13">
        <v>3.1868595518090947E-3</v>
      </c>
    </row>
    <row r="14" spans="1:26" x14ac:dyDescent="0.25">
      <c r="A14" s="14" t="s">
        <v>16</v>
      </c>
      <c r="B14" s="5">
        <v>1.9407214586455077E-3</v>
      </c>
      <c r="C14" s="5">
        <v>1.2244101144761222E-3</v>
      </c>
      <c r="D14" s="5">
        <v>0.9968348684268783</v>
      </c>
      <c r="E14" s="6">
        <v>6.1944167632026179</v>
      </c>
      <c r="L14" s="4">
        <v>0</v>
      </c>
      <c r="M14" s="5">
        <v>0</v>
      </c>
      <c r="N14" s="26">
        <f>-$E$7</f>
        <v>-7.9736023380202852</v>
      </c>
      <c r="O14" s="5">
        <f>$E$8+$E$13*$H$8</f>
        <v>54.559069285345323</v>
      </c>
      <c r="P14" s="5">
        <f>-$E$14*$H$9</f>
        <v>-46.442270006946814</v>
      </c>
      <c r="Q14" s="11">
        <v>0</v>
      </c>
      <c r="T14" s="4">
        <v>7.0902232841382222E-5</v>
      </c>
      <c r="U14" s="5">
        <v>6.0523294628466947E-4</v>
      </c>
      <c r="V14" s="5">
        <v>4.0827641471557494E-3</v>
      </c>
      <c r="W14" s="5">
        <v>2.4911073368465431E-2</v>
      </c>
      <c r="X14" s="6">
        <v>2.1286854037169654E-2</v>
      </c>
      <c r="Z14">
        <v>5.3176674631036662E-4</v>
      </c>
    </row>
    <row r="15" spans="1:26" ht="15.75" thickBot="1" x14ac:dyDescent="0.3">
      <c r="A15" s="15" t="s">
        <v>17</v>
      </c>
      <c r="B15" s="8">
        <v>0</v>
      </c>
      <c r="C15" s="8">
        <v>0</v>
      </c>
      <c r="D15" s="8">
        <v>1</v>
      </c>
      <c r="E15" s="9">
        <v>6.1747145917193684</v>
      </c>
      <c r="L15" s="7">
        <v>0</v>
      </c>
      <c r="M15" s="8">
        <v>0</v>
      </c>
      <c r="N15" s="8">
        <v>0</v>
      </c>
      <c r="O15" s="27">
        <f>-$E$8</f>
        <v>-7.9267875705060931</v>
      </c>
      <c r="P15" s="8">
        <f>$E$9+$E$14*$H$9</f>
        <v>54.349355405969661</v>
      </c>
      <c r="Q15" s="12">
        <f>$E$15*$C$15</f>
        <v>0</v>
      </c>
      <c r="T15" s="7">
        <v>1.034100466896182E-5</v>
      </c>
      <c r="U15" s="8">
        <v>8.8272491182906344E-5</v>
      </c>
      <c r="V15" s="8">
        <v>5.9546619924451532E-4</v>
      </c>
      <c r="W15" s="8">
        <v>3.6332498383859005E-3</v>
      </c>
      <c r="X15" s="9">
        <v>2.1504144092730885E-2</v>
      </c>
      <c r="Z15">
        <v>7.7557535017213654E-5</v>
      </c>
    </row>
    <row r="16" spans="1:26" ht="15.75" thickBot="1" x14ac:dyDescent="0.3"/>
    <row r="17" spans="1:35" ht="15.75" thickBot="1" x14ac:dyDescent="0.3">
      <c r="L17">
        <v>1</v>
      </c>
      <c r="M17">
        <v>2</v>
      </c>
      <c r="N17">
        <v>3</v>
      </c>
      <c r="O17">
        <v>4</v>
      </c>
      <c r="P17">
        <v>5</v>
      </c>
      <c r="Q17" s="19" t="s">
        <v>33</v>
      </c>
      <c r="S17" s="19" t="s">
        <v>27</v>
      </c>
      <c r="Z17" s="19" t="s">
        <v>34</v>
      </c>
    </row>
    <row r="18" spans="1:35" ht="15.75" thickBot="1" x14ac:dyDescent="0.3">
      <c r="A18" t="s">
        <v>3</v>
      </c>
      <c r="B18" t="s">
        <v>18</v>
      </c>
      <c r="K18" s="19" t="s">
        <v>35</v>
      </c>
      <c r="L18" s="1">
        <f>E$10*$I$5+E$5</f>
        <v>3105.6958081809639</v>
      </c>
      <c r="M18" s="2">
        <f>-$E$11*$I$6</f>
        <v>-9683.3603618466204</v>
      </c>
      <c r="N18" s="2">
        <v>0</v>
      </c>
      <c r="O18" s="2">
        <v>0</v>
      </c>
      <c r="P18" s="2">
        <v>0</v>
      </c>
      <c r="Q18" s="10">
        <f>$D$4*$E$4</f>
        <v>0</v>
      </c>
      <c r="T18" s="1">
        <f t="array" ref="T18:X22">MINVERSE(L18:P22)</f>
        <v>3.2305513956687508E-4</v>
      </c>
      <c r="U18" s="2">
        <v>3.230551395668155E-4</v>
      </c>
      <c r="V18" s="2">
        <v>3.2305513949698237E-4</v>
      </c>
      <c r="W18" s="2">
        <v>3.2305502795893664E-4</v>
      </c>
      <c r="X18" s="3">
        <v>3.228663398397599E-4</v>
      </c>
      <c r="Z18">
        <f t="array" ref="Z18:Z22">MMULT(T18:X22,Q18:Q22)</f>
        <v>1.9936074997835901E-3</v>
      </c>
    </row>
    <row r="19" spans="1:35" x14ac:dyDescent="0.25">
      <c r="A19" t="s">
        <v>4</v>
      </c>
      <c r="B19" t="s">
        <v>19</v>
      </c>
      <c r="L19" s="25">
        <f>-$E$5</f>
        <v>-10.249001977184916</v>
      </c>
      <c r="M19" s="5">
        <f>$E$6+$E$11*$I$6</f>
        <v>9691.6194147941642</v>
      </c>
      <c r="N19" s="5">
        <f>-$I$7*$E$12</f>
        <v>-12735.508728410819</v>
      </c>
      <c r="O19" s="5">
        <v>0</v>
      </c>
      <c r="P19" s="5">
        <v>0</v>
      </c>
      <c r="Q19" s="11">
        <v>0</v>
      </c>
      <c r="T19" s="4">
        <v>3.419260091987977E-7</v>
      </c>
      <c r="U19" s="5">
        <v>1.036118615100929E-4</v>
      </c>
      <c r="V19" s="5">
        <v>1.0361186148769567E-4</v>
      </c>
      <c r="W19" s="5">
        <v>1.0361182571465531E-4</v>
      </c>
      <c r="X19" s="6">
        <v>1.0355130871653865E-4</v>
      </c>
      <c r="Z19">
        <v>6.3939977692364816E-4</v>
      </c>
    </row>
    <row r="20" spans="1:35" x14ac:dyDescent="0.25">
      <c r="A20" t="s">
        <v>5</v>
      </c>
      <c r="B20" t="s">
        <v>20</v>
      </c>
      <c r="L20" s="4">
        <v>0</v>
      </c>
      <c r="M20" s="26">
        <f>-$E$6</f>
        <v>-8.2590529475446388</v>
      </c>
      <c r="N20" s="5">
        <f>$E$7+$E$12*$I$7</f>
        <v>12743.48233074884</v>
      </c>
      <c r="O20" s="5">
        <f>-$E$13*$I$8</f>
        <v>-13409.690194769961</v>
      </c>
      <c r="P20" s="5">
        <v>0</v>
      </c>
      <c r="Q20" s="11">
        <v>0</v>
      </c>
      <c r="T20" s="4">
        <v>2.2174104495764781E-10</v>
      </c>
      <c r="U20" s="5">
        <v>6.7192906720053842E-8</v>
      </c>
      <c r="V20" s="5">
        <v>7.8587809641316242E-5</v>
      </c>
      <c r="W20" s="5">
        <v>7.8587782508082201E-5</v>
      </c>
      <c r="X20" s="6">
        <v>7.8541881408924545E-5</v>
      </c>
      <c r="Z20">
        <v>4.8497370119677857E-4</v>
      </c>
    </row>
    <row r="21" spans="1:35" x14ac:dyDescent="0.25">
      <c r="L21" s="4">
        <v>0</v>
      </c>
      <c r="M21" s="5">
        <v>0</v>
      </c>
      <c r="N21" s="26">
        <f>-$E$7</f>
        <v>-7.9736023380202852</v>
      </c>
      <c r="O21" s="5">
        <f>$E$8+$E$13*$I$8</f>
        <v>13417.616982340467</v>
      </c>
      <c r="P21" s="5">
        <f>-$E$14*$I$9</f>
        <v>-13529.901790959902</v>
      </c>
      <c r="Q21" s="11">
        <v>0</v>
      </c>
      <c r="T21" s="4">
        <v>1.3185049605047889E-13</v>
      </c>
      <c r="U21" s="5">
        <v>3.9953893442708318E-11</v>
      </c>
      <c r="V21" s="5">
        <v>4.6729470796474549E-8</v>
      </c>
      <c r="W21" s="5">
        <v>7.4619642043644892E-5</v>
      </c>
      <c r="X21" s="6">
        <v>7.4576058633103918E-5</v>
      </c>
      <c r="Z21">
        <v>4.6048587743474596E-4</v>
      </c>
    </row>
    <row r="22" spans="1:35" ht="15.75" thickBot="1" x14ac:dyDescent="0.3">
      <c r="L22" s="7">
        <v>0</v>
      </c>
      <c r="M22" s="8">
        <v>0</v>
      </c>
      <c r="N22" s="8">
        <v>0</v>
      </c>
      <c r="O22" s="27">
        <f>-$E$8</f>
        <v>-7.9267875705060931</v>
      </c>
      <c r="P22" s="8">
        <f>$E$9+$E$14*$I$9</f>
        <v>13537.808876358926</v>
      </c>
      <c r="Q22" s="12">
        <f>$E$15*$D$15</f>
        <v>6.1747145917193684</v>
      </c>
      <c r="T22" s="7">
        <v>7.7202365818825055E-17</v>
      </c>
      <c r="U22" s="8">
        <v>2.3394186520689391E-14</v>
      </c>
      <c r="V22" s="8">
        <v>2.7361487495415661E-11</v>
      </c>
      <c r="W22" s="8">
        <v>4.3692007803427053E-8</v>
      </c>
      <c r="X22" s="9">
        <v>7.3910863841634118E-5</v>
      </c>
      <c r="Z22">
        <v>4.5637848944952167E-4</v>
      </c>
    </row>
    <row r="24" spans="1:35" ht="15.75" thickBot="1" x14ac:dyDescent="0.3"/>
    <row r="25" spans="1:35" ht="15.75" thickBot="1" x14ac:dyDescent="0.3">
      <c r="R25" s="5"/>
      <c r="S25" s="5"/>
      <c r="T25" s="5"/>
      <c r="U25" s="5"/>
      <c r="V25" s="5"/>
      <c r="Y25" s="13"/>
      <c r="Z25" s="16" t="s">
        <v>93</v>
      </c>
      <c r="AA25" s="17" t="s">
        <v>28</v>
      </c>
      <c r="AB25" s="17" t="s">
        <v>31</v>
      </c>
      <c r="AC25" s="18" t="s">
        <v>34</v>
      </c>
      <c r="AE25" s="58" t="s">
        <v>94</v>
      </c>
      <c r="AF25" s="58" t="s">
        <v>95</v>
      </c>
      <c r="AG25" s="58" t="s">
        <v>96</v>
      </c>
      <c r="AH25" s="58" t="s">
        <v>97</v>
      </c>
      <c r="AI25" s="58" t="s">
        <v>98</v>
      </c>
    </row>
    <row r="26" spans="1:35" ht="15.75" thickBot="1" x14ac:dyDescent="0.3">
      <c r="L26" s="36" t="s">
        <v>36</v>
      </c>
      <c r="M26" s="37"/>
      <c r="N26" s="38"/>
      <c r="R26" s="5"/>
      <c r="S26" s="5"/>
      <c r="T26" s="5"/>
      <c r="U26" s="5"/>
      <c r="V26" s="5"/>
      <c r="Y26" s="14" t="s">
        <v>0</v>
      </c>
      <c r="Z26" s="1"/>
      <c r="AA26" s="2"/>
      <c r="AB26" s="2"/>
      <c r="AC26" s="3"/>
    </row>
    <row r="27" spans="1:35" ht="15.75" thickBot="1" x14ac:dyDescent="0.3">
      <c r="L27" s="31" t="s">
        <v>3</v>
      </c>
      <c r="M27" s="32" t="s">
        <v>4</v>
      </c>
      <c r="N27" s="33" t="s">
        <v>5</v>
      </c>
      <c r="O27" s="34" t="s">
        <v>37</v>
      </c>
      <c r="R27" s="5"/>
      <c r="S27" s="5"/>
      <c r="T27" s="5"/>
      <c r="U27" s="5"/>
      <c r="V27" s="5"/>
      <c r="Y27" s="15" t="s">
        <v>17</v>
      </c>
      <c r="Z27" s="56"/>
      <c r="AA27" s="8"/>
      <c r="AB27" s="8"/>
      <c r="AC27" s="9"/>
    </row>
    <row r="28" spans="1:35" ht="15.75" thickBot="1" x14ac:dyDescent="0.3">
      <c r="L28" s="1">
        <f>Z4</f>
        <v>1.5760575953479832</v>
      </c>
      <c r="M28" s="2">
        <f>Z11</f>
        <v>9.7094347580486698E-2</v>
      </c>
      <c r="N28" s="3">
        <f>Z18</f>
        <v>1.9936074997835901E-3</v>
      </c>
      <c r="O28" s="10">
        <f>SUM(L28:N28)</f>
        <v>1.6751455504282533</v>
      </c>
      <c r="R28" s="5"/>
      <c r="S28" s="5"/>
      <c r="T28" s="5"/>
      <c r="U28" s="5"/>
      <c r="V28" s="5"/>
      <c r="AG28" s="45"/>
    </row>
    <row r="29" spans="1:35" ht="15.75" thickBot="1" x14ac:dyDescent="0.3">
      <c r="L29" s="4">
        <f>Z5</f>
        <v>1.9191710178688521</v>
      </c>
      <c r="M29" s="5">
        <f>Z12</f>
        <v>1.8501913920541548E-2</v>
      </c>
      <c r="N29" s="6">
        <f>Z19</f>
        <v>6.3939977692364816E-4</v>
      </c>
      <c r="O29" s="11">
        <f t="shared" ref="O29:O32" si="2">SUM(L29:N29)</f>
        <v>1.9383123315663173</v>
      </c>
      <c r="R29" s="5"/>
      <c r="S29" s="5"/>
      <c r="T29" s="5"/>
      <c r="U29" s="5"/>
      <c r="V29" s="5"/>
      <c r="AA29" s="16" t="s">
        <v>99</v>
      </c>
      <c r="AB29" s="18" t="s">
        <v>100</v>
      </c>
    </row>
    <row r="30" spans="1:35" ht="15.75" thickBot="1" x14ac:dyDescent="0.3">
      <c r="L30" s="4">
        <f>Z6</f>
        <v>1.9854325957362733</v>
      </c>
      <c r="M30" s="5">
        <f>Z13</f>
        <v>3.1868595518090947E-3</v>
      </c>
      <c r="N30" s="6">
        <f>Z20</f>
        <v>4.8497370119677857E-4</v>
      </c>
      <c r="O30" s="11">
        <f t="shared" si="2"/>
        <v>1.9891044289892792</v>
      </c>
      <c r="R30" s="19" t="s">
        <v>101</v>
      </c>
      <c r="S30" s="51" t="s">
        <v>102</v>
      </c>
      <c r="T30" s="52" t="s">
        <v>103</v>
      </c>
      <c r="U30" s="52" t="s">
        <v>104</v>
      </c>
      <c r="V30" s="30" t="s">
        <v>37</v>
      </c>
      <c r="W30" s="51" t="s">
        <v>105</v>
      </c>
      <c r="X30" s="52" t="s">
        <v>106</v>
      </c>
      <c r="Y30" s="52" t="s">
        <v>107</v>
      </c>
      <c r="Z30" s="60" t="s">
        <v>108</v>
      </c>
      <c r="AA30" s="51"/>
      <c r="AB30" s="3"/>
      <c r="AC30" s="17" t="s">
        <v>22</v>
      </c>
      <c r="AD30" s="17" t="s">
        <v>23</v>
      </c>
      <c r="AE30" s="18" t="s">
        <v>24</v>
      </c>
    </row>
    <row r="31" spans="1:35" x14ac:dyDescent="0.25">
      <c r="L31" s="4">
        <f>Z7</f>
        <v>1.9968258266576615</v>
      </c>
      <c r="M31" s="5">
        <f>Z14</f>
        <v>5.3176674631036662E-4</v>
      </c>
      <c r="N31" s="6">
        <f>Z21</f>
        <v>4.6048587743474596E-4</v>
      </c>
      <c r="O31" s="11">
        <f t="shared" si="2"/>
        <v>1.9978180792814064</v>
      </c>
      <c r="R31" s="48">
        <v>1</v>
      </c>
      <c r="S31" s="68">
        <f>C41</f>
        <v>0.94920547694598734</v>
      </c>
      <c r="T31" s="69">
        <f t="shared" ref="T31:U31" si="3">D41</f>
        <v>5.0099999999999999E-2</v>
      </c>
      <c r="U31" s="69">
        <f t="shared" si="3"/>
        <v>6.9452305401258635E-4</v>
      </c>
      <c r="V31" s="65">
        <f>SUM(S31:U31)</f>
        <v>1</v>
      </c>
      <c r="W31" s="74">
        <f>G41</f>
        <v>3.1340553936363938E-2</v>
      </c>
      <c r="X31" s="74">
        <f t="shared" ref="X31:Y31" si="4">H41</f>
        <v>0.29876219711196683</v>
      </c>
      <c r="Y31" s="74">
        <f t="shared" si="4"/>
        <v>0.66989724895166924</v>
      </c>
      <c r="Z31" s="62">
        <f>SUM(W31:Y31)</f>
        <v>1</v>
      </c>
      <c r="AA31" s="59"/>
      <c r="AB31" s="6"/>
      <c r="AC31" s="1"/>
      <c r="AD31" s="2"/>
      <c r="AE31" s="3"/>
    </row>
    <row r="32" spans="1:35" ht="15.75" thickBot="1" x14ac:dyDescent="0.3">
      <c r="L32" s="7">
        <f>Z8</f>
        <v>1.9987606141317664</v>
      </c>
      <c r="M32" s="8">
        <f>Z15</f>
        <v>7.7557535017213654E-5</v>
      </c>
      <c r="N32" s="9">
        <f>Z22</f>
        <v>4.5637848944952167E-4</v>
      </c>
      <c r="O32" s="12">
        <f t="shared" si="2"/>
        <v>1.9992945501562331</v>
      </c>
      <c r="R32" s="49">
        <v>2</v>
      </c>
      <c r="S32" s="70">
        <f t="shared" ref="S32:S35" si="5">C42</f>
        <v>0.60000000000000009</v>
      </c>
      <c r="T32" s="71">
        <f t="shared" ref="T32:T35" si="6">D42</f>
        <v>0.2</v>
      </c>
      <c r="U32" s="71">
        <f t="shared" ref="U32:U35" si="7">E42</f>
        <v>0.2</v>
      </c>
      <c r="V32" s="66">
        <f t="shared" ref="V32:V36" si="8">SUM(S32:U32)</f>
        <v>1</v>
      </c>
      <c r="W32" s="75">
        <f t="shared" ref="W32:W35" si="9">G42</f>
        <v>3.1340553936363938E-2</v>
      </c>
      <c r="X32" s="75">
        <f t="shared" ref="X32:X35" si="10">H42</f>
        <v>0.2</v>
      </c>
      <c r="Y32" s="75">
        <f t="shared" ref="Y32:Y35" si="11">I42</f>
        <v>0.76865944606363601</v>
      </c>
      <c r="Z32" s="63">
        <f t="shared" ref="Z32:Z36" si="12">SUM(W32:Y32)</f>
        <v>1</v>
      </c>
      <c r="AA32" s="59"/>
      <c r="AB32" s="6"/>
      <c r="AC32" s="4"/>
      <c r="AD32" s="5"/>
      <c r="AE32" s="6"/>
    </row>
    <row r="33" spans="3:31" x14ac:dyDescent="0.25">
      <c r="R33" s="49">
        <v>3</v>
      </c>
      <c r="S33" s="70">
        <f t="shared" si="5"/>
        <v>0.60000000000000009</v>
      </c>
      <c r="T33" s="71">
        <f t="shared" si="6"/>
        <v>0.2</v>
      </c>
      <c r="U33" s="71">
        <f t="shared" si="7"/>
        <v>0.2</v>
      </c>
      <c r="V33" s="66">
        <f t="shared" si="8"/>
        <v>1</v>
      </c>
      <c r="W33" s="75">
        <f t="shared" si="9"/>
        <v>3.1340553936363938E-2</v>
      </c>
      <c r="X33" s="75">
        <f t="shared" si="10"/>
        <v>0.2</v>
      </c>
      <c r="Y33" s="75">
        <f t="shared" si="11"/>
        <v>0.76865944606363601</v>
      </c>
      <c r="Z33" s="63">
        <f t="shared" si="12"/>
        <v>1</v>
      </c>
      <c r="AA33" s="59"/>
      <c r="AB33" s="6"/>
      <c r="AC33" s="4"/>
      <c r="AD33" s="5"/>
      <c r="AE33" s="6"/>
    </row>
    <row r="34" spans="3:31" ht="15.75" thickBot="1" x14ac:dyDescent="0.3">
      <c r="R34" s="49">
        <v>4</v>
      </c>
      <c r="S34" s="70">
        <f t="shared" si="5"/>
        <v>0.60000000000000009</v>
      </c>
      <c r="T34" s="71">
        <f t="shared" si="6"/>
        <v>0.2</v>
      </c>
      <c r="U34" s="71">
        <f t="shared" si="7"/>
        <v>0.2</v>
      </c>
      <c r="V34" s="66">
        <f t="shared" si="8"/>
        <v>1</v>
      </c>
      <c r="W34" s="75">
        <f t="shared" si="9"/>
        <v>3.1340553936363938E-2</v>
      </c>
      <c r="X34" s="75">
        <f t="shared" si="10"/>
        <v>0.2</v>
      </c>
      <c r="Y34" s="75">
        <f t="shared" si="11"/>
        <v>0.76865944606363601</v>
      </c>
      <c r="Z34" s="63">
        <f t="shared" si="12"/>
        <v>1</v>
      </c>
      <c r="AA34" s="59"/>
      <c r="AB34" s="6"/>
      <c r="AC34" s="4"/>
      <c r="AD34" s="5"/>
      <c r="AE34" s="6"/>
    </row>
    <row r="35" spans="3:31" ht="18.75" thickBot="1" x14ac:dyDescent="0.4">
      <c r="C35" s="39" t="s">
        <v>38</v>
      </c>
      <c r="D35" s="40" t="s">
        <v>39</v>
      </c>
      <c r="E35" s="40" t="s">
        <v>40</v>
      </c>
      <c r="F35" s="40" t="s">
        <v>41</v>
      </c>
      <c r="G35" s="40" t="s">
        <v>42</v>
      </c>
      <c r="H35" s="41" t="s">
        <v>43</v>
      </c>
      <c r="R35" s="50">
        <v>5</v>
      </c>
      <c r="S35" s="72">
        <f t="shared" si="5"/>
        <v>0.60000000000000009</v>
      </c>
      <c r="T35" s="73">
        <f t="shared" si="6"/>
        <v>0.2</v>
      </c>
      <c r="U35" s="73">
        <f t="shared" si="7"/>
        <v>0.2</v>
      </c>
      <c r="V35" s="67">
        <f t="shared" si="8"/>
        <v>1</v>
      </c>
      <c r="W35" s="76">
        <f t="shared" si="9"/>
        <v>3.1340553936363938E-2</v>
      </c>
      <c r="X35" s="76">
        <f t="shared" si="10"/>
        <v>0.2</v>
      </c>
      <c r="Y35" s="76">
        <f t="shared" si="11"/>
        <v>0.76865944606363601</v>
      </c>
      <c r="Z35" s="64">
        <f t="shared" si="12"/>
        <v>1</v>
      </c>
      <c r="AA35" s="5"/>
      <c r="AB35" s="6"/>
      <c r="AC35" s="7"/>
      <c r="AD35" s="8"/>
      <c r="AE35" s="9"/>
    </row>
    <row r="36" spans="3:31" ht="15.75" thickBot="1" x14ac:dyDescent="0.3">
      <c r="C36">
        <v>2.1071800296631609</v>
      </c>
      <c r="D36">
        <v>2.8350922655412045</v>
      </c>
      <c r="E36">
        <v>7.2849444468829168</v>
      </c>
      <c r="F36">
        <v>6.1290709297054313</v>
      </c>
      <c r="G36">
        <v>4.0246507210259157</v>
      </c>
      <c r="H36">
        <v>0.21292207917654202</v>
      </c>
      <c r="V36" s="53"/>
      <c r="W36" s="54">
        <v>0</v>
      </c>
      <c r="X36">
        <f>AB27</f>
        <v>0</v>
      </c>
      <c r="Y36" s="55">
        <v>1</v>
      </c>
      <c r="Z36" s="61"/>
      <c r="AA36" s="7"/>
      <c r="AB36" s="57"/>
    </row>
    <row r="37" spans="3:31" ht="18.75" thickBot="1" x14ac:dyDescent="0.4">
      <c r="C37" s="39" t="s">
        <v>44</v>
      </c>
      <c r="D37" s="40" t="s">
        <v>45</v>
      </c>
      <c r="E37" s="40" t="s">
        <v>46</v>
      </c>
      <c r="F37" s="40" t="s">
        <v>47</v>
      </c>
      <c r="G37" s="40" t="s">
        <v>48</v>
      </c>
      <c r="H37" s="41" t="s">
        <v>49</v>
      </c>
    </row>
    <row r="38" spans="3:31" x14ac:dyDescent="0.25">
      <c r="C38">
        <v>0.43047242445194145</v>
      </c>
      <c r="D38">
        <v>0.32173183009668638</v>
      </c>
      <c r="E38">
        <v>5.425946787469077E-2</v>
      </c>
      <c r="F38">
        <v>8.6153182795249569E-2</v>
      </c>
      <c r="G38">
        <v>0.19991554264238187</v>
      </c>
      <c r="H38">
        <v>0.91835722352796123</v>
      </c>
    </row>
    <row r="39" spans="3:31" ht="15.75" thickBot="1" x14ac:dyDescent="0.3"/>
    <row r="40" spans="3:31" ht="16.5" thickBot="1" x14ac:dyDescent="0.3">
      <c r="C40" s="16" t="s">
        <v>50</v>
      </c>
      <c r="D40" s="17" t="s">
        <v>51</v>
      </c>
      <c r="E40" s="18" t="s">
        <v>52</v>
      </c>
      <c r="G40" s="16" t="s">
        <v>53</v>
      </c>
      <c r="H40" s="17" t="s">
        <v>54</v>
      </c>
      <c r="I40" s="18" t="s">
        <v>55</v>
      </c>
      <c r="L40" s="42" t="s">
        <v>56</v>
      </c>
      <c r="M40" s="43" t="s">
        <v>57</v>
      </c>
      <c r="N40" s="43" t="s">
        <v>58</v>
      </c>
      <c r="O40" s="43" t="s">
        <v>59</v>
      </c>
      <c r="P40" s="43" t="s">
        <v>60</v>
      </c>
      <c r="Q40" s="43" t="s">
        <v>61</v>
      </c>
      <c r="R40" s="43" t="s">
        <v>62</v>
      </c>
      <c r="S40" s="43" t="s">
        <v>63</v>
      </c>
      <c r="T40" s="43" t="s">
        <v>64</v>
      </c>
      <c r="U40" s="43" t="s">
        <v>65</v>
      </c>
      <c r="V40" s="43" t="s">
        <v>66</v>
      </c>
      <c r="W40" s="43" t="s">
        <v>67</v>
      </c>
      <c r="X40" s="43" t="s">
        <v>68</v>
      </c>
      <c r="Y40" s="43" t="s">
        <v>69</v>
      </c>
      <c r="Z40" s="44" t="s">
        <v>70</v>
      </c>
    </row>
    <row r="41" spans="3:31" x14ac:dyDescent="0.25">
      <c r="C41">
        <f>1-D41-E41</f>
        <v>0.94920547694598734</v>
      </c>
      <c r="D41" s="45">
        <v>5.0099999999999999E-2</v>
      </c>
      <c r="E41" s="45">
        <v>6.9452305401258635E-4</v>
      </c>
      <c r="F41" s="45"/>
      <c r="G41" s="45">
        <v>3.1340553936363938E-2</v>
      </c>
      <c r="H41" s="45">
        <v>0.29876219711196683</v>
      </c>
      <c r="I41">
        <f>1-G41-H41</f>
        <v>0.66989724895166924</v>
      </c>
      <c r="L41">
        <f>$C41+$D$38*$D41+$F$38*$E41</f>
        <v>0.96538407700545925</v>
      </c>
      <c r="M41">
        <f>$C$38*$C41+$D41+$H$38*$E41</f>
        <v>0.45934460322755977</v>
      </c>
      <c r="N41">
        <f>$E$38*$C41+$G$38*$D41+$E41</f>
        <v>6.2213675823227253E-2</v>
      </c>
      <c r="O41">
        <f>$D41*$D$36*$D$38+$E41*$F$36*$F$38</f>
        <v>4.6064920333397617E-2</v>
      </c>
      <c r="P41">
        <f>$C41*$C$36*$C$38+$E41*$H$36*$H$38</f>
        <v>0.86114385906330948</v>
      </c>
      <c r="Q41">
        <f>$C41*$E$36*$E$38+$D41*$G$36*$G$38</f>
        <v>0.41550926253518156</v>
      </c>
      <c r="R41">
        <f>(O41/L41)-(C41*O41/L41^2)+(D41*$C$38/M41)*($C$36-P41/M41)+(E41*$E$38/N41)*($E$36-Q41/N41)</f>
        <v>1.2080944670277512E-2</v>
      </c>
      <c r="S41">
        <f>(P41/M41)-(D41*P41/M41^2)+(C41*$D$38/L41)*($D$36-O41/L41)+(E41*$G$38/N41)*($G$36-Q41/N41)</f>
        <v>2.5460849605357287</v>
      </c>
      <c r="T41">
        <f>(Q41/N41)-(E41*Q41/N41^2)+(C41*$F$38/L41)*($F$36-O41/L41)+(D41*$H$38/M41)*($H$36-P41/M41)</f>
        <v>6.9528819266261594</v>
      </c>
      <c r="U41">
        <f>EXP(R41)</f>
        <v>1.0121542140394553</v>
      </c>
      <c r="V41">
        <f>EXP(S41)</f>
        <v>12.757061488627635</v>
      </c>
      <c r="W41">
        <f>EXP(T41)</f>
        <v>1046.1603452620579</v>
      </c>
      <c r="X41">
        <f>U41/U47</f>
        <v>3.3018186136109476E-2</v>
      </c>
      <c r="Y41">
        <f>V41/V47</f>
        <v>5.9633154454590489</v>
      </c>
      <c r="Z41">
        <f>W41/W47</f>
        <v>964.54285908681402</v>
      </c>
    </row>
    <row r="42" spans="3:31" x14ac:dyDescent="0.25">
      <c r="C42">
        <f t="shared" ref="C42:C45" si="13">1-D42-E42</f>
        <v>0.60000000000000009</v>
      </c>
      <c r="D42">
        <v>0.2</v>
      </c>
      <c r="E42">
        <v>0.2</v>
      </c>
      <c r="G42" s="45">
        <v>3.1340553936363938E-2</v>
      </c>
      <c r="H42">
        <v>0.2</v>
      </c>
      <c r="I42">
        <f t="shared" ref="I42:I45" si="14">1-G42-H42</f>
        <v>0.76865944606363601</v>
      </c>
      <c r="L42">
        <f>$C42+$D$38*$D42+$F$38*$E42</f>
        <v>0.68157700257838727</v>
      </c>
      <c r="M42">
        <f t="shared" ref="L42:M45" si="15">$C$38*$C42+$D42+$H$38*$E42</f>
        <v>0.6419548993767572</v>
      </c>
      <c r="N42">
        <f t="shared" ref="M42:N45" si="16">$E$38*$C42+$G$38*$D42+$E42</f>
        <v>0.27253878925329089</v>
      </c>
      <c r="O42">
        <f t="shared" ref="N42:O45" si="17">$D42*$D$36*$D$38+$E42*$F$36*$F$38</f>
        <v>0.28803567825149895</v>
      </c>
      <c r="P42">
        <f t="shared" ref="O42:P45" si="18">$C42*$C$36*$C$38+$E42*$H$36*$H$38</f>
        <v>0.58335744356756292</v>
      </c>
      <c r="Q42">
        <f t="shared" ref="P42:Q45" si="19">$C42*$E$36*$E$38+$D42*$G$36*$G$38</f>
        <v>0.39808437207872027</v>
      </c>
      <c r="R42">
        <f>(O42/L42)-(C42*O42/L42^2)+(D42*$C$38/M42)*($C$36-P42/M42)+(E42*$E$38/N42)*($E$36-Q42/N42)</f>
        <v>0.44322010508844245</v>
      </c>
      <c r="S42">
        <f>(P42/M42)-(D42*P42/M42^2)+(C42*$D$38/L42)*($D$36-O42/L42)+(E42*$G$38/N42)*($G$36-Q42/N42)</f>
        <v>1.6850399182611366</v>
      </c>
      <c r="T42">
        <f>(Q42/N42)-(E42*Q42/N42^2)+(C42*$F$38/L42)*($F$36-O42/L42)+(D42*$H$38/M42)*($H$36-P42/M42)</f>
        <v>0.62247766616168199</v>
      </c>
      <c r="U42">
        <f t="shared" ref="U42:U45" si="20">EXP(R42)</f>
        <v>1.5577151576443602</v>
      </c>
      <c r="V42">
        <f t="shared" ref="V42:V45" si="21">EXP(S42)</f>
        <v>5.3926661939103964</v>
      </c>
      <c r="W42">
        <f t="shared" ref="W42:W45" si="22">EXP(T42)</f>
        <v>1.8635395554891723</v>
      </c>
      <c r="X42">
        <f t="shared" ref="X42:Z42" si="23">U42/U48</f>
        <v>4.831252366095154E-2</v>
      </c>
      <c r="Y42">
        <f t="shared" si="23"/>
        <v>2.363181991457818</v>
      </c>
      <c r="Z42">
        <f t="shared" si="23"/>
        <v>1.7614900824968163</v>
      </c>
    </row>
    <row r="43" spans="3:31" x14ac:dyDescent="0.25">
      <c r="C43">
        <f t="shared" si="13"/>
        <v>0.60000000000000009</v>
      </c>
      <c r="D43">
        <v>0.2</v>
      </c>
      <c r="E43">
        <v>0.2</v>
      </c>
      <c r="G43" s="45">
        <v>3.1340553936363938E-2</v>
      </c>
      <c r="H43">
        <v>0.2</v>
      </c>
      <c r="I43">
        <f t="shared" si="14"/>
        <v>0.76865944606363601</v>
      </c>
      <c r="L43">
        <f t="shared" ref="K42:L45" si="24">$C43+$D$38*$D43+$F$38*$E43</f>
        <v>0.68157700257838727</v>
      </c>
      <c r="M43">
        <f t="shared" si="15"/>
        <v>0.6419548993767572</v>
      </c>
      <c r="N43">
        <f t="shared" si="16"/>
        <v>0.27253878925329089</v>
      </c>
      <c r="O43">
        <f t="shared" si="17"/>
        <v>0.28803567825149895</v>
      </c>
      <c r="P43">
        <f t="shared" si="18"/>
        <v>0.58335744356756292</v>
      </c>
      <c r="Q43">
        <f t="shared" si="19"/>
        <v>0.39808437207872027</v>
      </c>
      <c r="R43">
        <f>(O43/L43)-(C43*O43/L43^2)+(D43*$C$38/M43)*($C$36-P43/M43)+(E43*$E$38/N43)*($E$36-Q43/N43)</f>
        <v>0.44322010508844245</v>
      </c>
      <c r="S43">
        <f>(P43/M43)-(D43*P43/M43^2)+(C43*$D$38/L43)*($D$36-O43/L43)+(E43*$G$38/N43)*($G$36-Q43/N43)</f>
        <v>1.6850399182611366</v>
      </c>
      <c r="T43">
        <f>(Q43/N43)-(E43*Q43/N43^2)+(C43*$F$38/L43)*($F$36-O43/L43)+(D43*$H$38/M43)*($H$36-P43/M43)</f>
        <v>0.62247766616168199</v>
      </c>
      <c r="U43">
        <f t="shared" si="20"/>
        <v>1.5577151576443602</v>
      </c>
      <c r="V43">
        <f t="shared" si="21"/>
        <v>5.3926661939103964</v>
      </c>
      <c r="W43">
        <f t="shared" si="22"/>
        <v>1.8635395554891723</v>
      </c>
      <c r="X43">
        <f t="shared" ref="X43:Z43" si="25">U43/U49</f>
        <v>4.831252366095154E-2</v>
      </c>
      <c r="Y43">
        <f t="shared" si="25"/>
        <v>2.363181991457818</v>
      </c>
      <c r="Z43">
        <f t="shared" si="25"/>
        <v>1.7614900824968163</v>
      </c>
    </row>
    <row r="44" spans="3:31" x14ac:dyDescent="0.25">
      <c r="C44">
        <f t="shared" si="13"/>
        <v>0.60000000000000009</v>
      </c>
      <c r="D44">
        <v>0.2</v>
      </c>
      <c r="E44">
        <v>0.2</v>
      </c>
      <c r="G44" s="45">
        <v>3.1340553936363938E-2</v>
      </c>
      <c r="H44">
        <v>0.2</v>
      </c>
      <c r="I44">
        <f t="shared" si="14"/>
        <v>0.76865944606363601</v>
      </c>
      <c r="L44">
        <f t="shared" si="24"/>
        <v>0.68157700257838727</v>
      </c>
      <c r="M44">
        <f t="shared" si="15"/>
        <v>0.6419548993767572</v>
      </c>
      <c r="N44">
        <f t="shared" si="16"/>
        <v>0.27253878925329089</v>
      </c>
      <c r="O44">
        <f t="shared" si="17"/>
        <v>0.28803567825149895</v>
      </c>
      <c r="P44">
        <f t="shared" si="18"/>
        <v>0.58335744356756292</v>
      </c>
      <c r="Q44">
        <f t="shared" si="19"/>
        <v>0.39808437207872027</v>
      </c>
      <c r="R44">
        <f>(O44/L44)-(C44*O44/L44^2)+(D44*$C$38/M44)*($C$36-P44/M44)+(E44*$E$38/N44)*($E$36-Q44/N44)</f>
        <v>0.44322010508844245</v>
      </c>
      <c r="S44">
        <f>(P44/M44)-(D44*P44/M44^2)+(C44*$D$38/L44)*($D$36-O44/L44)+(E44*$G$38/N44)*($G$36-Q44/N44)</f>
        <v>1.6850399182611366</v>
      </c>
      <c r="T44">
        <f>(Q44/N44)-(E44*Q44/N44^2)+(C44*$F$38/L44)*($F$36-O44/L44)+(D44*$H$38/M44)*($H$36-P44/M44)</f>
        <v>0.62247766616168199</v>
      </c>
      <c r="U44">
        <f t="shared" si="20"/>
        <v>1.5577151576443602</v>
      </c>
      <c r="V44">
        <f t="shared" si="21"/>
        <v>5.3926661939103964</v>
      </c>
      <c r="W44">
        <f t="shared" si="22"/>
        <v>1.8635395554891723</v>
      </c>
      <c r="X44">
        <f t="shared" ref="X44:Z44" si="26">U44/U50</f>
        <v>4.831252366095154E-2</v>
      </c>
      <c r="Y44">
        <f t="shared" si="26"/>
        <v>2.363181991457818</v>
      </c>
      <c r="Z44">
        <f t="shared" si="26"/>
        <v>1.7614900824968163</v>
      </c>
    </row>
    <row r="45" spans="3:31" ht="15.75" thickBot="1" x14ac:dyDescent="0.3">
      <c r="C45">
        <f t="shared" si="13"/>
        <v>0.60000000000000009</v>
      </c>
      <c r="D45">
        <v>0.2</v>
      </c>
      <c r="E45">
        <v>0.2</v>
      </c>
      <c r="G45" s="45">
        <v>3.1340553936363938E-2</v>
      </c>
      <c r="H45">
        <v>0.2</v>
      </c>
      <c r="I45">
        <f t="shared" si="14"/>
        <v>0.76865944606363601</v>
      </c>
      <c r="L45">
        <f t="shared" si="24"/>
        <v>0.68157700257838727</v>
      </c>
      <c r="M45">
        <f t="shared" si="15"/>
        <v>0.6419548993767572</v>
      </c>
      <c r="N45">
        <f t="shared" si="16"/>
        <v>0.27253878925329089</v>
      </c>
      <c r="O45">
        <f t="shared" si="17"/>
        <v>0.28803567825149895</v>
      </c>
      <c r="P45">
        <f t="shared" si="18"/>
        <v>0.58335744356756292</v>
      </c>
      <c r="Q45">
        <f t="shared" si="19"/>
        <v>0.39808437207872027</v>
      </c>
      <c r="R45">
        <f>(O45/L45)-(C45*O45/L45^2)+(D45*$C$38/M45)*($C$36-P45/M45)+(E45*$E$38/N45)*($E$36-Q45/N45)</f>
        <v>0.44322010508844245</v>
      </c>
      <c r="S45">
        <f>(P45/M45)-(D45*P45/M45^2)+(C45*$D$38/L45)*($D$36-O45/L45)+(E45*$G$38/N45)*($G$36-Q45/N45)</f>
        <v>1.6850399182611366</v>
      </c>
      <c r="T45">
        <f>(Q45/N45)-(E45*Q45/N45^2)+(C45*$F$38/L45)*($F$36-O45/L45)+(D45*$H$38/M45)*($H$36-P45/M45)</f>
        <v>0.62247766616168199</v>
      </c>
      <c r="U45">
        <f t="shared" si="20"/>
        <v>1.5577151576443602</v>
      </c>
      <c r="V45">
        <f t="shared" si="21"/>
        <v>5.3926661939103964</v>
      </c>
      <c r="W45">
        <f t="shared" si="22"/>
        <v>1.8635395554891723</v>
      </c>
      <c r="X45">
        <f t="shared" ref="X45:Z45" si="27">U45/U51</f>
        <v>4.831252366095154E-2</v>
      </c>
      <c r="Y45">
        <f t="shared" si="27"/>
        <v>2.363181991457818</v>
      </c>
      <c r="Z45">
        <f t="shared" si="27"/>
        <v>1.7614900824968163</v>
      </c>
    </row>
    <row r="46" spans="3:31" ht="16.5" thickBot="1" x14ac:dyDescent="0.3">
      <c r="L46" s="42" t="s">
        <v>71</v>
      </c>
      <c r="M46" s="43" t="s">
        <v>72</v>
      </c>
      <c r="N46" s="43" t="s">
        <v>73</v>
      </c>
      <c r="O46" s="43" t="s">
        <v>74</v>
      </c>
      <c r="P46" s="43" t="s">
        <v>75</v>
      </c>
      <c r="Q46" s="43" t="s">
        <v>76</v>
      </c>
      <c r="R46" s="43" t="s">
        <v>77</v>
      </c>
      <c r="S46" s="43" t="s">
        <v>78</v>
      </c>
      <c r="T46" s="43" t="s">
        <v>79</v>
      </c>
      <c r="U46" s="43" t="s">
        <v>80</v>
      </c>
      <c r="V46" s="43" t="s">
        <v>81</v>
      </c>
      <c r="W46" s="43" t="s">
        <v>82</v>
      </c>
      <c r="X46" s="43" t="s">
        <v>83</v>
      </c>
      <c r="Y46" s="43" t="s">
        <v>84</v>
      </c>
      <c r="Z46" s="44" t="s">
        <v>85</v>
      </c>
    </row>
    <row r="47" spans="3:31" ht="15.75" thickBot="1" x14ac:dyDescent="0.3">
      <c r="L47">
        <f>$G41+$D$38*$H41+$F$38*$I41</f>
        <v>0.18517564251987195</v>
      </c>
      <c r="M47">
        <f>$C$38*$G41+$H41+$H$38*$I41</f>
        <v>0.92745841894489467</v>
      </c>
      <c r="N47">
        <f>$E$38*$G41+$G$38*$H41+$I41</f>
        <v>0.73132497748782355</v>
      </c>
      <c r="O47">
        <f>$H41*$D$36*$D$38+$I41*$F$36*$F$38</f>
        <v>0.62624463023115107</v>
      </c>
      <c r="P47">
        <f>$G41*$C$36*$C$38+$I41*$H$36*$H$38</f>
        <v>0.15941920338034099</v>
      </c>
      <c r="Q47">
        <f>$G41*$E$36*$E$38+$H41*$G$36*$G$38</f>
        <v>0.25276935243235604</v>
      </c>
      <c r="R47">
        <f>(O47/L47)-(G41*O47/L47^2)+(H41*$C$38/M47)*($C$36-P47/M47)+(I41*$E$38/N47)*($E$36-Q47/N47)</f>
        <v>3.4227777189494146</v>
      </c>
      <c r="S47">
        <f>(P47/M47)-(H41*P47/M47^2)+(G41*$D$38/L47)*($D$36-O47/L47)+(I41*$G$38/N47)*($G$36-Q47/N47)</f>
        <v>0.76045835133124529</v>
      </c>
      <c r="T47">
        <f>(Q47/N47)-(I41*Q47/N47^2)+(G41*$F$38/L47)*($F$36-O47/L47)+(H41*$H$38/M47)*($H$36-P47/M47)</f>
        <v>8.1227658682048398E-2</v>
      </c>
      <c r="U47">
        <f>EXP(R47)</f>
        <v>30.654446306259668</v>
      </c>
      <c r="V47">
        <f>EXP(S47)</f>
        <v>2.139256526894262</v>
      </c>
      <c r="W47">
        <f>EXP(T47)</f>
        <v>1.0846177911187023</v>
      </c>
      <c r="X47">
        <f>U47/U41</f>
        <v>30.286339651661731</v>
      </c>
      <c r="Y47">
        <f>V47/V41</f>
        <v>0.1676919507522415</v>
      </c>
      <c r="Z47">
        <f>W47/W41</f>
        <v>1.0367605654628507E-3</v>
      </c>
    </row>
    <row r="48" spans="3:31" ht="15.75" thickBot="1" x14ac:dyDescent="0.3">
      <c r="C48" s="28" t="s">
        <v>86</v>
      </c>
      <c r="D48" s="29"/>
      <c r="E48" s="29"/>
      <c r="F48" s="29"/>
      <c r="G48" s="29"/>
      <c r="H48" s="29"/>
      <c r="I48" s="35"/>
      <c r="L48">
        <f t="shared" ref="K48:L51" si="28">$G42+$D$38*$H42+$F$38*$I42</f>
        <v>0.16190937771971692</v>
      </c>
      <c r="M48">
        <f t="shared" ref="L48:M51" si="29">$C$38*$G42+$H42+$H$38*$I42</f>
        <v>0.9193951989621949</v>
      </c>
      <c r="N48">
        <f t="shared" ref="M48:N51" si="30">$E$38*$G42+$G$38*$H42+$I42</f>
        <v>0.81034307637159753</v>
      </c>
      <c r="O48">
        <f t="shared" ref="N48:O51" si="31">$H42*$D$36*$D$38+$I42*$F$36*$F$38</f>
        <v>0.58831002539218091</v>
      </c>
      <c r="P48">
        <f t="shared" ref="O48:P51" si="32">$G42*$C$36*$C$38+$I42*$H$36*$H$38</f>
        <v>0.17873101816989015</v>
      </c>
      <c r="Q48">
        <f t="shared" ref="P48:Q51" si="33">$G42*$E$36*$E$38+$H42*$G$36*$G$38</f>
        <v>0.17330625326225371</v>
      </c>
      <c r="R48">
        <f>(O48/L48)-(G42*O48/L48^2)+(H42*$C$38/M48)*($C$36-P48/M48)+(I42*$E$38/N48)*($E$36-Q48/N48)</f>
        <v>3.4732845679750319</v>
      </c>
      <c r="S48">
        <f>(P48/M48)-(H42*P48/M48^2)+(G42*$D$38/L48)*($D$36-O48/L48)+(I42*$G$38/N48)*($G$36-Q48/N48)</f>
        <v>0.82503090590065309</v>
      </c>
      <c r="T48">
        <f>(Q48/N48)-(I42*Q48/N48^2)+(G42*$F$38/L48)*($F$36-O48/L48)+(H42*$H$38/M48)*($H$36-P48/M48)</f>
        <v>5.6317577524946573E-2</v>
      </c>
      <c r="U48">
        <f t="shared" ref="U48:U51" si="34">EXP(R48)</f>
        <v>32.242471301563967</v>
      </c>
      <c r="V48">
        <f t="shared" ref="V48:V51" si="35">EXP(S48)</f>
        <v>2.2819512899993479</v>
      </c>
      <c r="W48">
        <f t="shared" ref="W48:W51" si="36">EXP(T48)</f>
        <v>1.057933606329311</v>
      </c>
      <c r="X48">
        <f t="shared" ref="X48:Z48" si="37">U48/U42</f>
        <v>20.698566835750853</v>
      </c>
      <c r="Y48">
        <f t="shared" si="37"/>
        <v>0.42315826864570516</v>
      </c>
      <c r="Z48">
        <f t="shared" si="37"/>
        <v>0.56770118091301114</v>
      </c>
    </row>
    <row r="49" spans="2:26" ht="15.75" thickBot="1" x14ac:dyDescent="0.3">
      <c r="B49" s="19" t="s">
        <v>87</v>
      </c>
      <c r="C49" s="17" t="s">
        <v>50</v>
      </c>
      <c r="D49" s="17" t="s">
        <v>51</v>
      </c>
      <c r="E49" s="17" t="s">
        <v>52</v>
      </c>
      <c r="F49" s="17"/>
      <c r="G49" s="17" t="s">
        <v>53</v>
      </c>
      <c r="H49" s="17" t="s">
        <v>54</v>
      </c>
      <c r="I49" s="17" t="s">
        <v>88</v>
      </c>
      <c r="J49" s="19" t="s">
        <v>87</v>
      </c>
      <c r="L49">
        <f t="shared" si="28"/>
        <v>0.16190937771971692</v>
      </c>
      <c r="M49">
        <f t="shared" si="29"/>
        <v>0.9193951989621949</v>
      </c>
      <c r="N49">
        <f t="shared" si="30"/>
        <v>0.81034307637159753</v>
      </c>
      <c r="O49">
        <f t="shared" si="31"/>
        <v>0.58831002539218091</v>
      </c>
      <c r="P49">
        <f t="shared" si="32"/>
        <v>0.17873101816989015</v>
      </c>
      <c r="Q49">
        <f t="shared" si="33"/>
        <v>0.17330625326225371</v>
      </c>
      <c r="R49">
        <f>(O49/L49)-(G43*O49/L49^2)+(H43*$C$38/M49)*($C$36-P49/M49)+(I43*$E$38/N49)*($E$36-Q49/N49)</f>
        <v>3.4732845679750319</v>
      </c>
      <c r="S49">
        <f>(P49/M49)-(H43*P49/M49^2)+(G43*$D$38/L49)*($D$36-O49/L49)+(I43*$G$38/N49)*($G$36-Q49/N49)</f>
        <v>0.82503090590065309</v>
      </c>
      <c r="T49">
        <f>(Q49/N49)-(I43*Q49/N49^2)+(G43*$F$38/L49)*($F$36-O49/L49)+(H43*$H$38/M49)*($H$36-P49/M49)</f>
        <v>5.6317577524946573E-2</v>
      </c>
      <c r="U49">
        <f t="shared" si="34"/>
        <v>32.242471301563967</v>
      </c>
      <c r="V49">
        <f t="shared" si="35"/>
        <v>2.2819512899993479</v>
      </c>
      <c r="W49">
        <f t="shared" si="36"/>
        <v>1.057933606329311</v>
      </c>
      <c r="X49">
        <f t="shared" ref="X49:Z49" si="38">U49/U43</f>
        <v>20.698566835750853</v>
      </c>
      <c r="Y49">
        <f t="shared" si="38"/>
        <v>0.42315826864570516</v>
      </c>
      <c r="Z49">
        <f t="shared" si="38"/>
        <v>0.56770118091301114</v>
      </c>
    </row>
    <row r="50" spans="2:26" x14ac:dyDescent="0.25">
      <c r="B50" s="46">
        <f>SUM(C50:E50)</f>
        <v>0.99998520008329883</v>
      </c>
      <c r="C50">
        <f>G41*X47</f>
        <v>0.94919066138794228</v>
      </c>
      <c r="D50">
        <f>H41*Y47</f>
        <v>5.0100015644731412E-2</v>
      </c>
      <c r="E50">
        <f>I41*Z47</f>
        <v>6.9452305062514064E-4</v>
      </c>
      <c r="G50">
        <f>C41*X41</f>
        <v>3.1341043119217184E-2</v>
      </c>
      <c r="H50">
        <f>D41*Y41</f>
        <v>0.29876210381749835</v>
      </c>
      <c r="I50">
        <f>E41*Z41</f>
        <v>0.66989725221900576</v>
      </c>
      <c r="J50" s="46">
        <f>SUM(G50:I50)</f>
        <v>1.0000003991557214</v>
      </c>
      <c r="L50">
        <f t="shared" si="28"/>
        <v>0.16190937771971692</v>
      </c>
      <c r="M50">
        <f t="shared" si="29"/>
        <v>0.9193951989621949</v>
      </c>
      <c r="N50">
        <f t="shared" si="30"/>
        <v>0.81034307637159753</v>
      </c>
      <c r="O50">
        <f t="shared" si="31"/>
        <v>0.58831002539218091</v>
      </c>
      <c r="P50">
        <f t="shared" si="32"/>
        <v>0.17873101816989015</v>
      </c>
      <c r="Q50">
        <f t="shared" si="33"/>
        <v>0.17330625326225371</v>
      </c>
      <c r="R50">
        <f>(O50/L50)-(G44*O50/L50^2)+(H44*$C$38/M50)*($C$36-P50/M50)+(I44*$E$38/N50)*($E$36-Q50/N50)</f>
        <v>3.4732845679750319</v>
      </c>
      <c r="S50">
        <f>(P50/M50)-(H44*P50/M50^2)+(G44*$D$38/L50)*($D$36-O50/L50)+(I44*$G$38/N50)*($G$36-Q50/N50)</f>
        <v>0.82503090590065309</v>
      </c>
      <c r="T50">
        <f>(Q50/N50)-(I44*Q50/N50^2)+(G44*$F$38/L50)*($F$36-O50/L50)+(H44*$H$38/M50)*($H$36-P50/M50)</f>
        <v>5.6317577524946573E-2</v>
      </c>
      <c r="U50">
        <f t="shared" si="34"/>
        <v>32.242471301563967</v>
      </c>
      <c r="V50">
        <f t="shared" si="35"/>
        <v>2.2819512899993479</v>
      </c>
      <c r="W50">
        <f t="shared" si="36"/>
        <v>1.057933606329311</v>
      </c>
      <c r="X50">
        <f t="shared" ref="X50:Z50" si="39">U50/U44</f>
        <v>20.698566835750853</v>
      </c>
      <c r="Y50">
        <f t="shared" si="39"/>
        <v>0.42315826864570516</v>
      </c>
      <c r="Z50">
        <f t="shared" si="39"/>
        <v>0.56770118091301114</v>
      </c>
    </row>
    <row r="51" spans="2:26" x14ac:dyDescent="0.25">
      <c r="B51" s="46">
        <f t="shared" ref="B51:B54" si="40">SUM(C51:E51)</f>
        <v>1.1697050793006918</v>
      </c>
      <c r="C51">
        <f t="shared" ref="C51:E51" si="41">G42*X48</f>
        <v>0.64870455032128349</v>
      </c>
      <c r="D51">
        <f t="shared" si="41"/>
        <v>8.463165372914104E-2</v>
      </c>
      <c r="E51">
        <f t="shared" si="41"/>
        <v>0.43636887525026713</v>
      </c>
      <c r="G51">
        <f t="shared" ref="G51:I51" si="42">C42*X42</f>
        <v>2.8987514196570929E-2</v>
      </c>
      <c r="H51">
        <f t="shared" si="42"/>
        <v>0.47263639829156362</v>
      </c>
      <c r="I51">
        <f t="shared" si="42"/>
        <v>0.35229801649936326</v>
      </c>
      <c r="J51" s="46">
        <f t="shared" ref="J51:J54" si="43">SUM(G51:I51)</f>
        <v>0.85392192898749775</v>
      </c>
      <c r="L51">
        <f t="shared" si="28"/>
        <v>0.16190937771971692</v>
      </c>
      <c r="M51">
        <f t="shared" si="29"/>
        <v>0.9193951989621949</v>
      </c>
      <c r="N51">
        <f t="shared" si="30"/>
        <v>0.81034307637159753</v>
      </c>
      <c r="O51">
        <f t="shared" si="31"/>
        <v>0.58831002539218091</v>
      </c>
      <c r="P51">
        <f t="shared" si="32"/>
        <v>0.17873101816989015</v>
      </c>
      <c r="Q51">
        <f t="shared" si="33"/>
        <v>0.17330625326225371</v>
      </c>
      <c r="R51">
        <f>(O51/L51)-(G45*O51/L51^2)+(H45*$C$38/M51)*($C$36-P51/M51)+(I45*$E$38/N51)*($E$36-Q51/N51)</f>
        <v>3.4732845679750319</v>
      </c>
      <c r="S51">
        <f>(P51/M51)-(H45*P51/M51^2)+(G45*$D$38/L51)*($D$36-O51/L51)+(I45*$G$38/N51)*($G$36-Q51/N51)</f>
        <v>0.82503090590065309</v>
      </c>
      <c r="T51">
        <f>(Q51/N51)-(I45*Q51/N51^2)+(G45*$F$38/L51)*($F$36-O51/L51)+(H45*$H$38/M51)*($H$36-P51/M51)</f>
        <v>5.6317577524946573E-2</v>
      </c>
      <c r="U51">
        <f t="shared" si="34"/>
        <v>32.242471301563967</v>
      </c>
      <c r="V51">
        <f t="shared" si="35"/>
        <v>2.2819512899993479</v>
      </c>
      <c r="W51">
        <f t="shared" si="36"/>
        <v>1.057933606329311</v>
      </c>
      <c r="X51">
        <f t="shared" ref="X51:Z51" si="44">U51/U45</f>
        <v>20.698566835750853</v>
      </c>
      <c r="Y51">
        <f t="shared" si="44"/>
        <v>0.42315826864570516</v>
      </c>
      <c r="Z51">
        <f t="shared" si="44"/>
        <v>0.56770118091301114</v>
      </c>
    </row>
    <row r="52" spans="2:26" x14ac:dyDescent="0.25">
      <c r="B52" s="46">
        <f t="shared" si="40"/>
        <v>1.1697050793006918</v>
      </c>
      <c r="C52">
        <f t="shared" ref="C52:E52" si="45">G43*X49</f>
        <v>0.64870455032128349</v>
      </c>
      <c r="D52">
        <f t="shared" si="45"/>
        <v>8.463165372914104E-2</v>
      </c>
      <c r="E52">
        <f t="shared" si="45"/>
        <v>0.43636887525026713</v>
      </c>
      <c r="G52">
        <f t="shared" ref="G52:I52" si="46">C43*X43</f>
        <v>2.8987514196570929E-2</v>
      </c>
      <c r="H52">
        <f t="shared" si="46"/>
        <v>0.47263639829156362</v>
      </c>
      <c r="I52">
        <f t="shared" si="46"/>
        <v>0.35229801649936326</v>
      </c>
      <c r="J52" s="46">
        <f t="shared" si="43"/>
        <v>0.85392192898749775</v>
      </c>
    </row>
    <row r="53" spans="2:26" x14ac:dyDescent="0.25">
      <c r="B53" s="46">
        <f t="shared" si="40"/>
        <v>1.1697050793006918</v>
      </c>
      <c r="C53">
        <f t="shared" ref="C53:E53" si="47">G44*X50</f>
        <v>0.64870455032128349</v>
      </c>
      <c r="D53">
        <f t="shared" si="47"/>
        <v>8.463165372914104E-2</v>
      </c>
      <c r="E53">
        <f t="shared" si="47"/>
        <v>0.43636887525026713</v>
      </c>
      <c r="G53">
        <f t="shared" ref="G53:I53" si="48">C44*X44</f>
        <v>2.8987514196570929E-2</v>
      </c>
      <c r="H53">
        <f t="shared" si="48"/>
        <v>0.47263639829156362</v>
      </c>
      <c r="I53">
        <f t="shared" si="48"/>
        <v>0.35229801649936326</v>
      </c>
      <c r="J53" s="46">
        <f t="shared" si="43"/>
        <v>0.85392192898749775</v>
      </c>
    </row>
    <row r="54" spans="2:26" x14ac:dyDescent="0.25">
      <c r="B54" s="46">
        <f t="shared" si="40"/>
        <v>1.1697050793006918</v>
      </c>
      <c r="C54">
        <f t="shared" ref="C54:E54" si="49">G45*X51</f>
        <v>0.64870455032128349</v>
      </c>
      <c r="D54">
        <f t="shared" si="49"/>
        <v>8.463165372914104E-2</v>
      </c>
      <c r="E54">
        <f t="shared" si="49"/>
        <v>0.43636887525026713</v>
      </c>
      <c r="G54">
        <f t="shared" ref="G54:I54" si="50">C45*X45</f>
        <v>2.8987514196570929E-2</v>
      </c>
      <c r="H54">
        <f t="shared" si="50"/>
        <v>0.47263639829156362</v>
      </c>
      <c r="I54">
        <f t="shared" si="50"/>
        <v>0.35229801649936326</v>
      </c>
      <c r="J54" s="46">
        <f t="shared" si="43"/>
        <v>0.85392192898749775</v>
      </c>
    </row>
    <row r="55" spans="2:26" ht="15.75" thickBot="1" x14ac:dyDescent="0.3"/>
    <row r="56" spans="2:26" ht="15.75" thickBot="1" x14ac:dyDescent="0.3">
      <c r="C56" s="20" t="s">
        <v>89</v>
      </c>
      <c r="D56" s="21"/>
      <c r="E56" s="21"/>
      <c r="F56" s="21"/>
      <c r="G56" s="21"/>
      <c r="H56" s="21"/>
      <c r="I56" s="47"/>
    </row>
    <row r="57" spans="2:26" ht="15.75" thickBot="1" x14ac:dyDescent="0.3">
      <c r="C57" s="16" t="s">
        <v>90</v>
      </c>
      <c r="D57" s="17" t="s">
        <v>91</v>
      </c>
      <c r="E57" s="18" t="s">
        <v>92</v>
      </c>
      <c r="G57" s="16" t="s">
        <v>90</v>
      </c>
      <c r="H57" s="17" t="s">
        <v>91</v>
      </c>
      <c r="I57" s="18" t="s">
        <v>92</v>
      </c>
    </row>
    <row r="58" spans="2:26" x14ac:dyDescent="0.25">
      <c r="C58">
        <f>(C41+C50)/2</f>
        <v>0.94919806916696481</v>
      </c>
      <c r="D58">
        <f>(D41+D50)/2</f>
        <v>5.0100007822365705E-2</v>
      </c>
      <c r="E58">
        <f>(E41+E50)/2</f>
        <v>6.9452305231886349E-4</v>
      </c>
      <c r="G58">
        <f>(G41+G50)/2</f>
        <v>3.1340798527790564E-2</v>
      </c>
      <c r="H58">
        <f>(H41+H50)/2</f>
        <v>0.29876215046473259</v>
      </c>
      <c r="I58">
        <f>(I41+I50)/2</f>
        <v>0.66989725058533756</v>
      </c>
    </row>
    <row r="59" spans="2:26" x14ac:dyDescent="0.25">
      <c r="C59">
        <f t="shared" ref="C59:D62" si="51">(C42+C51)/2</f>
        <v>0.62435227516064185</v>
      </c>
      <c r="D59">
        <f t="shared" si="51"/>
        <v>0.14231582686457053</v>
      </c>
      <c r="E59">
        <f t="shared" ref="E59:E62" si="52">(E42+E51)/2</f>
        <v>0.3181844376251336</v>
      </c>
      <c r="G59">
        <f t="shared" ref="G59:I59" si="53">(G42+G51)/2</f>
        <v>3.0164034066467435E-2</v>
      </c>
      <c r="H59">
        <f t="shared" si="53"/>
        <v>0.33631819914578182</v>
      </c>
      <c r="I59">
        <f t="shared" si="53"/>
        <v>0.56047873128149961</v>
      </c>
    </row>
    <row r="60" spans="2:26" x14ac:dyDescent="0.25">
      <c r="C60">
        <f t="shared" si="51"/>
        <v>0.62435227516064185</v>
      </c>
      <c r="D60">
        <f t="shared" si="51"/>
        <v>0.14231582686457053</v>
      </c>
      <c r="E60">
        <f t="shared" si="52"/>
        <v>0.3181844376251336</v>
      </c>
      <c r="G60">
        <f t="shared" ref="G60:I60" si="54">(G43+G52)/2</f>
        <v>3.0164034066467435E-2</v>
      </c>
      <c r="H60">
        <f t="shared" si="54"/>
        <v>0.33631819914578182</v>
      </c>
      <c r="I60">
        <f t="shared" si="54"/>
        <v>0.56047873128149961</v>
      </c>
    </row>
    <row r="61" spans="2:26" x14ac:dyDescent="0.25">
      <c r="C61">
        <f t="shared" si="51"/>
        <v>0.62435227516064185</v>
      </c>
      <c r="D61">
        <f t="shared" si="51"/>
        <v>0.14231582686457053</v>
      </c>
      <c r="E61">
        <f t="shared" si="52"/>
        <v>0.3181844376251336</v>
      </c>
      <c r="G61">
        <f t="shared" ref="G61:I61" si="55">(G44+G53)/2</f>
        <v>3.0164034066467435E-2</v>
      </c>
      <c r="H61">
        <f t="shared" si="55"/>
        <v>0.33631819914578182</v>
      </c>
      <c r="I61">
        <f t="shared" si="55"/>
        <v>0.56047873128149961</v>
      </c>
    </row>
    <row r="62" spans="2:26" x14ac:dyDescent="0.25">
      <c r="C62">
        <f t="shared" si="51"/>
        <v>0.62435227516064185</v>
      </c>
      <c r="D62">
        <f t="shared" si="51"/>
        <v>0.14231582686457053</v>
      </c>
      <c r="E62">
        <f t="shared" si="52"/>
        <v>0.3181844376251336</v>
      </c>
      <c r="G62">
        <f t="shared" ref="G62:I62" si="56">(G45+G54)/2</f>
        <v>3.0164034066467435E-2</v>
      </c>
      <c r="H62">
        <f t="shared" si="56"/>
        <v>0.33631819914578182</v>
      </c>
      <c r="I62">
        <f t="shared" si="56"/>
        <v>0.56047873128149961</v>
      </c>
    </row>
  </sheetData>
  <mergeCells count="1">
    <mergeCell ref="C48:I48"/>
  </mergeCells>
  <pageMargins left="0.7" right="0.7" top="0.75" bottom="0.75" header="0.3" footer="0.3"/>
  <ignoredErrors>
    <ignoredError sqref="V31:V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2025-02-17T22:30:17Z</dcterms:modified>
</cp:coreProperties>
</file>