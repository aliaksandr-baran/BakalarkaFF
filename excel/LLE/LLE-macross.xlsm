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Workbook________" defaultThemeVersion="124226"/>
  <bookViews>
    <workbookView xWindow="240" yWindow="105" windowWidth="14805" windowHeight="8010"/>
  </bookViews>
  <sheets>
    <sheet name="LLE" sheetId="4" r:id="rId1"/>
    <sheet name="NRTL" sheetId="1" r:id="rId2"/>
    <sheet name="prekol" sheetId="3" r:id="rId3"/>
  </sheets>
  <calcPr calcId="145621"/>
</workbook>
</file>

<file path=xl/calcChain.xml><?xml version="1.0" encoding="utf-8"?>
<calcChain xmlns="http://schemas.openxmlformats.org/spreadsheetml/2006/main">
  <c r="D79" i="1" l="1"/>
  <c r="B78" i="1"/>
  <c r="D77" i="1"/>
  <c r="B76" i="1"/>
  <c r="Q8" i="1"/>
  <c r="G9" i="3"/>
  <c r="G8" i="3"/>
  <c r="G7" i="3"/>
  <c r="G6" i="3"/>
  <c r="G5" i="3"/>
  <c r="A9" i="3"/>
  <c r="A8" i="3"/>
  <c r="A7" i="3"/>
  <c r="A6" i="3"/>
  <c r="A5" i="3"/>
  <c r="AE32" i="1"/>
  <c r="Z32" i="1"/>
  <c r="AE31" i="1"/>
  <c r="Z31" i="1"/>
  <c r="AE30" i="1"/>
  <c r="Z30" i="1"/>
  <c r="AE29" i="1"/>
  <c r="Z29" i="1"/>
  <c r="AE28" i="1"/>
  <c r="Z28" i="1"/>
  <c r="AE27" i="1"/>
  <c r="Z27" i="1"/>
  <c r="K3" i="1" l="1"/>
  <c r="P39" i="1" l="1"/>
  <c r="O40" i="1"/>
  <c r="P40" i="1"/>
  <c r="O38" i="1" l="1"/>
  <c r="O39" i="1" s="1"/>
  <c r="S29" i="1"/>
  <c r="M29" i="1"/>
  <c r="H29" i="1"/>
  <c r="B29" i="1"/>
  <c r="K8" i="1" l="1"/>
  <c r="X10" i="1"/>
  <c r="V8" i="1"/>
  <c r="L5" i="1"/>
  <c r="M5" i="1"/>
  <c r="N5" i="1"/>
  <c r="O5" i="1"/>
  <c r="P5" i="1"/>
  <c r="K5" i="1"/>
  <c r="P3" i="1"/>
  <c r="O3" i="1"/>
  <c r="N3" i="1"/>
  <c r="M3" i="1"/>
  <c r="L3" i="1"/>
  <c r="W8" i="1" l="1"/>
  <c r="W10" i="1"/>
  <c r="U8" i="1"/>
  <c r="T10" i="1"/>
  <c r="V10" i="1"/>
  <c r="S8" i="1"/>
  <c r="X8" i="1"/>
  <c r="S10" i="1"/>
  <c r="U10" i="1"/>
  <c r="T8" i="1"/>
  <c r="H22" i="1"/>
  <c r="AA8" i="1" l="1"/>
  <c r="AD8" i="1" s="1"/>
  <c r="AA10" i="1"/>
  <c r="AD10" i="1" s="1"/>
  <c r="Y10" i="1"/>
  <c r="AB10" i="1" s="1"/>
  <c r="Y8" i="1"/>
  <c r="AB8" i="1" s="1"/>
  <c r="Z8" i="1"/>
  <c r="AC8" i="1" s="1"/>
  <c r="Z10" i="1"/>
  <c r="AC10" i="1" s="1"/>
  <c r="H19" i="1"/>
  <c r="AG8" i="1" l="1"/>
  <c r="Q14" i="1" s="1"/>
  <c r="Q18" i="1" s="1"/>
  <c r="AE10" i="1"/>
  <c r="K14" i="1" s="1"/>
  <c r="K18" i="1" s="1"/>
  <c r="AE8" i="1"/>
  <c r="O14" i="1" s="1"/>
  <c r="AG10" i="1"/>
  <c r="M14" i="1" s="1"/>
  <c r="M18" i="1" s="1"/>
  <c r="AF8" i="1"/>
  <c r="P14" i="1" s="1"/>
  <c r="P18" i="1" s="1"/>
  <c r="AF10" i="1"/>
  <c r="L14" i="1" s="1"/>
  <c r="L18" i="1" s="1"/>
  <c r="O18" i="1" l="1"/>
  <c r="R14" i="1" l="1"/>
  <c r="J14" i="1"/>
</calcChain>
</file>

<file path=xl/sharedStrings.xml><?xml version="1.0" encoding="utf-8"?>
<sst xmlns="http://schemas.openxmlformats.org/spreadsheetml/2006/main" count="109" uniqueCount="87">
  <si>
    <r>
      <t>τ</t>
    </r>
    <r>
      <rPr>
        <b/>
        <vertAlign val="subscript"/>
        <sz val="11"/>
        <color rgb="FF000000"/>
        <rFont val="Calibri"/>
        <family val="2"/>
      </rPr>
      <t>12</t>
    </r>
  </si>
  <si>
    <r>
      <t>τ</t>
    </r>
    <r>
      <rPr>
        <b/>
        <vertAlign val="subscript"/>
        <sz val="11"/>
        <color rgb="FF000000"/>
        <rFont val="Calibri"/>
        <family val="2"/>
      </rPr>
      <t>21</t>
    </r>
  </si>
  <si>
    <r>
      <t>τ</t>
    </r>
    <r>
      <rPr>
        <b/>
        <vertAlign val="subscript"/>
        <sz val="11"/>
        <color rgb="FF000000"/>
        <rFont val="Calibri"/>
        <family val="2"/>
      </rPr>
      <t>13</t>
    </r>
  </si>
  <si>
    <r>
      <t>τ</t>
    </r>
    <r>
      <rPr>
        <b/>
        <vertAlign val="subscript"/>
        <sz val="11"/>
        <color rgb="FF000000"/>
        <rFont val="Calibri"/>
        <family val="2"/>
      </rPr>
      <t>31</t>
    </r>
  </si>
  <si>
    <r>
      <t>τ</t>
    </r>
    <r>
      <rPr>
        <b/>
        <vertAlign val="subscript"/>
        <sz val="11"/>
        <color rgb="FF000000"/>
        <rFont val="Calibri"/>
        <family val="2"/>
      </rPr>
      <t>23</t>
    </r>
  </si>
  <si>
    <r>
      <t>τ</t>
    </r>
    <r>
      <rPr>
        <b/>
        <vertAlign val="subscript"/>
        <sz val="11"/>
        <color rgb="FF000000"/>
        <rFont val="Calibri"/>
        <family val="2"/>
      </rPr>
      <t>32</t>
    </r>
  </si>
  <si>
    <r>
      <t>G</t>
    </r>
    <r>
      <rPr>
        <b/>
        <vertAlign val="subscript"/>
        <sz val="11"/>
        <color rgb="FF000000"/>
        <rFont val="Calibri"/>
        <family val="2"/>
      </rPr>
      <t>12</t>
    </r>
  </si>
  <si>
    <r>
      <t>G</t>
    </r>
    <r>
      <rPr>
        <b/>
        <vertAlign val="subscript"/>
        <sz val="11"/>
        <color rgb="FF000000"/>
        <rFont val="Calibri"/>
        <family val="2"/>
      </rPr>
      <t>21</t>
    </r>
  </si>
  <si>
    <r>
      <t>G</t>
    </r>
    <r>
      <rPr>
        <b/>
        <vertAlign val="subscript"/>
        <sz val="11"/>
        <color rgb="FF000000"/>
        <rFont val="Calibri"/>
        <family val="2"/>
      </rPr>
      <t>13</t>
    </r>
  </si>
  <si>
    <r>
      <t>G</t>
    </r>
    <r>
      <rPr>
        <b/>
        <vertAlign val="subscript"/>
        <sz val="11"/>
        <color rgb="FF000000"/>
        <rFont val="Calibri"/>
        <family val="2"/>
      </rPr>
      <t>31</t>
    </r>
  </si>
  <si>
    <r>
      <t>G</t>
    </r>
    <r>
      <rPr>
        <b/>
        <vertAlign val="subscript"/>
        <sz val="11"/>
        <color rgb="FF000000"/>
        <rFont val="Calibri"/>
        <family val="2"/>
      </rPr>
      <t>23</t>
    </r>
  </si>
  <si>
    <r>
      <t>G</t>
    </r>
    <r>
      <rPr>
        <b/>
        <vertAlign val="subscript"/>
        <sz val="11"/>
        <color rgb="FF000000"/>
        <rFont val="Calibri"/>
        <family val="2"/>
      </rPr>
      <t>32</t>
    </r>
  </si>
  <si>
    <r>
      <t>MTBE (1) + methanol (2) + [BMIM][HSO</t>
    </r>
    <r>
      <rPr>
        <b/>
        <sz val="8"/>
        <color rgb="FF1F1F1F"/>
        <rFont val="Georgia"/>
        <family val="1"/>
      </rPr>
      <t>4</t>
    </r>
    <r>
      <rPr>
        <b/>
        <sz val="11"/>
        <color rgb="FF1F1F1F"/>
        <rFont val="Georgia"/>
        <family val="1"/>
      </rPr>
      <t>] (3) at 318.15 K</t>
    </r>
  </si>
  <si>
    <t>1–2</t>
  </si>
  <si>
    <t>1–3</t>
  </si>
  <si>
    <t>2–3</t>
  </si>
  <si>
    <r>
      <t>i</t>
    </r>
    <r>
      <rPr>
        <b/>
        <sz val="11"/>
        <color rgb="FF1F1F1F"/>
        <rFont val="Georgia"/>
        <family val="1"/>
      </rPr>
      <t>–</t>
    </r>
    <r>
      <rPr>
        <b/>
        <i/>
        <sz val="11"/>
        <color rgb="FF1F1F1F"/>
        <rFont val="Georgia"/>
        <family val="1"/>
      </rPr>
      <t>j</t>
    </r>
  </si>
  <si>
    <r>
      <t>Δgij</t>
    </r>
    <r>
      <rPr>
        <b/>
        <sz val="11"/>
        <color rgb="FF1F1F1F"/>
        <rFont val="Georgia"/>
        <family val="1"/>
      </rPr>
      <t>(kJ·mol</t>
    </r>
    <r>
      <rPr>
        <b/>
        <sz val="8"/>
        <color rgb="FF1F1F1F"/>
        <rFont val="Georgia"/>
        <family val="1"/>
      </rPr>
      <t>−1</t>
    </r>
    <r>
      <rPr>
        <b/>
        <sz val="11"/>
        <color rgb="FF1F1F1F"/>
        <rFont val="Georgia"/>
        <family val="1"/>
      </rPr>
      <t>)</t>
    </r>
  </si>
  <si>
    <r>
      <t>Δgji</t>
    </r>
    <r>
      <rPr>
        <b/>
        <sz val="11"/>
        <color rgb="FF1F1F1F"/>
        <rFont val="Georgia"/>
        <family val="1"/>
      </rPr>
      <t>(kJ·mol</t>
    </r>
    <r>
      <rPr>
        <b/>
        <sz val="8"/>
        <color rgb="FF1F1F1F"/>
        <rFont val="Georgia"/>
        <family val="1"/>
      </rPr>
      <t>−1</t>
    </r>
    <r>
      <rPr>
        <b/>
        <sz val="11"/>
        <color rgb="FF1F1F1F"/>
        <rFont val="Georgia"/>
        <family val="1"/>
      </rPr>
      <t>)</t>
    </r>
  </si>
  <si>
    <t>rmsd</t>
  </si>
  <si>
    <t>α</t>
  </si>
  <si>
    <t>NRTL parameters</t>
  </si>
  <si>
    <t>R</t>
  </si>
  <si>
    <t>kJ.mol^-1.K^-1</t>
  </si>
  <si>
    <t>T</t>
  </si>
  <si>
    <t>K</t>
  </si>
  <si>
    <t>x1.1</t>
  </si>
  <si>
    <t>x2.1</t>
  </si>
  <si>
    <t>x3.1</t>
  </si>
  <si>
    <t>x1.2</t>
  </si>
  <si>
    <t>x2.2</t>
  </si>
  <si>
    <t>x3.3</t>
  </si>
  <si>
    <t>φ1.1</t>
  </si>
  <si>
    <t>φ2.1</t>
  </si>
  <si>
    <t>φ3.1</t>
  </si>
  <si>
    <t>θ1.1</t>
  </si>
  <si>
    <t>θ2.1</t>
  </si>
  <si>
    <t>θ3.1</t>
  </si>
  <si>
    <t>lnγ1.1</t>
  </si>
  <si>
    <t>lnγ2.1</t>
  </si>
  <si>
    <t>lnγ3.1</t>
  </si>
  <si>
    <t>γ1.1</t>
  </si>
  <si>
    <t>γ2.1</t>
  </si>
  <si>
    <t>γ3.1</t>
  </si>
  <si>
    <t>γ1.1/γ1.2</t>
  </si>
  <si>
    <t>γ2.1/γ2.2</t>
  </si>
  <si>
    <t>γ3.1/γ3.2</t>
  </si>
  <si>
    <t>φ1.2</t>
  </si>
  <si>
    <t>φ2.2</t>
  </si>
  <si>
    <t>φ3.2</t>
  </si>
  <si>
    <t>θ1.2</t>
  </si>
  <si>
    <t>θ2.2</t>
  </si>
  <si>
    <t>θ3.2</t>
  </si>
  <si>
    <t>lnγ1.2</t>
  </si>
  <si>
    <t>lnγ2.2</t>
  </si>
  <si>
    <t>lnγ3.2</t>
  </si>
  <si>
    <t>γ1.2</t>
  </si>
  <si>
    <t>γ2.2</t>
  </si>
  <si>
    <t>γ3.2</t>
  </si>
  <si>
    <t>γ1.2/γ1.1</t>
  </si>
  <si>
    <t>γ2.2/γ2.1</t>
  </si>
  <si>
    <t>γ3.2/γ3.1</t>
  </si>
  <si>
    <t>Σxi</t>
  </si>
  <si>
    <t>Nove</t>
  </si>
  <si>
    <t>x1</t>
  </si>
  <si>
    <t>x2</t>
  </si>
  <si>
    <t>x3</t>
  </si>
  <si>
    <t>Step</t>
  </si>
  <si>
    <t>RT</t>
  </si>
  <si>
    <t>x3.2</t>
  </si>
  <si>
    <t>T=318.15K</t>
  </si>
  <si>
    <t>IL-reach phase</t>
  </si>
  <si>
    <t>MTBE-reach phase</t>
  </si>
  <si>
    <t>False</t>
  </si>
  <si>
    <t>x</t>
  </si>
  <si>
    <t>y</t>
  </si>
  <si>
    <t>*</t>
  </si>
  <si>
    <t>nf</t>
  </si>
  <si>
    <t>ns</t>
  </si>
  <si>
    <t>nr</t>
  </si>
  <si>
    <t>ne</t>
  </si>
  <si>
    <t>Yb</t>
  </si>
  <si>
    <t>xa</t>
  </si>
  <si>
    <t>Raf</t>
  </si>
  <si>
    <t>Ext</t>
  </si>
  <si>
    <t>Experiment</t>
  </si>
  <si>
    <t>Sumilacia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</si>
</sst>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000"/>
    <numFmt numFmtId="165" formatCode="_(* #,##0.0000_);_(* \(#,##0.0000\);_(* &quot;-&quot;??_);_(@_)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1"/>
      <color rgb="FF1F1F1F"/>
      <name val="Georgia"/>
      <family val="1"/>
    </font>
    <font>
      <b/>
      <sz val="8"/>
      <color rgb="FF1F1F1F"/>
      <name val="Georgia"/>
      <family val="1"/>
    </font>
    <font>
      <sz val="11"/>
      <color rgb="FF1F1F1F"/>
      <name val="Georgia"/>
      <family val="1"/>
    </font>
    <font>
      <b/>
      <i/>
      <sz val="11"/>
      <color rgb="FF1F1F1F"/>
      <name val="Georgia"/>
      <family val="1"/>
    </font>
    <font>
      <sz val="10"/>
      <color rgb="FF1F1F1F"/>
      <name val="Georgia"/>
      <family val="1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8E8E8E"/>
      </top>
      <bottom/>
      <diagonal/>
    </border>
    <border>
      <left/>
      <right/>
      <top/>
      <bottom style="medium">
        <color rgb="FF8E8E8E"/>
      </bottom>
      <diagonal/>
    </border>
    <border>
      <left/>
      <right/>
      <top style="medium">
        <color rgb="FF8E8E8E"/>
      </top>
      <bottom style="medium">
        <color rgb="FF8E8E8E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0" fontId="2" fillId="0" borderId="0"/>
    <xf numFmtId="43" fontId="12" fillId="0" borderId="0" applyFont="0" applyFill="0" applyBorder="0" applyAlignment="0" applyProtection="0"/>
  </cellStyleXfs>
  <cellXfs count="47">
    <xf numFmtId="0" fontId="0" fillId="0" borderId="0" xfId="0"/>
    <xf numFmtId="0" fontId="3" fillId="0" borderId="1" xfId="1" applyFont="1" applyBorder="1" applyAlignment="1">
      <alignment horizontal="center"/>
    </xf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1" fillId="0" borderId="0" xfId="0" applyFont="1"/>
    <xf numFmtId="0" fontId="7" fillId="0" borderId="4" xfId="0" applyFont="1" applyBorder="1" applyAlignment="1">
      <alignment horizontal="left" vertical="center"/>
    </xf>
    <xf numFmtId="164" fontId="7" fillId="0" borderId="4" xfId="0" applyNumberFormat="1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164" fontId="7" fillId="0" borderId="5" xfId="0" applyNumberFormat="1" applyFont="1" applyBorder="1" applyAlignment="1">
      <alignment horizontal="left" vertical="center"/>
    </xf>
    <xf numFmtId="0" fontId="0" fillId="0" borderId="5" xfId="0" applyBorder="1" applyAlignment="1"/>
    <xf numFmtId="0" fontId="9" fillId="0" borderId="6" xfId="0" applyFont="1" applyBorder="1" applyAlignment="1">
      <alignment horizontal="left" vertical="center"/>
    </xf>
    <xf numFmtId="0" fontId="11" fillId="0" borderId="1" xfId="0" applyFont="1" applyBorder="1"/>
    <xf numFmtId="0" fontId="11" fillId="0" borderId="2" xfId="0" applyFont="1" applyBorder="1"/>
    <xf numFmtId="0" fontId="11" fillId="0" borderId="3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7" xfId="0" applyFont="1" applyBorder="1"/>
    <xf numFmtId="0" fontId="10" fillId="0" borderId="0" xfId="0" applyFont="1"/>
    <xf numFmtId="164" fontId="0" fillId="0" borderId="0" xfId="0" applyNumberFormat="1"/>
    <xf numFmtId="165" fontId="0" fillId="0" borderId="0" xfId="2" applyNumberFormat="1" applyFont="1"/>
    <xf numFmtId="164" fontId="0" fillId="0" borderId="8" xfId="0" applyNumberFormat="1" applyBorder="1"/>
    <xf numFmtId="0" fontId="0" fillId="0" borderId="0" xfId="0" applyBorder="1"/>
    <xf numFmtId="0" fontId="0" fillId="0" borderId="9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0" xfId="0" applyBorder="1"/>
    <xf numFmtId="164" fontId="0" fillId="0" borderId="9" xfId="0" applyNumberFormat="1" applyBorder="1"/>
    <xf numFmtId="164" fontId="0" fillId="0" borderId="0" xfId="0" applyNumberFormat="1" applyBorder="1"/>
    <xf numFmtId="164" fontId="0" fillId="0" borderId="12" xfId="0" applyNumberFormat="1" applyBorder="1"/>
    <xf numFmtId="164" fontId="0" fillId="0" borderId="11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5" fillId="0" borderId="6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</cellXfs>
  <cellStyles count="3">
    <cellStyle name="Normal 2" xfId="1"/>
    <cellStyle name="Обычный" xfId="0" builtinId="0"/>
    <cellStyle name="Финансовый" xfId="2" builtin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os1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NRTL!$J$51:$J$52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NRTL!$K$51:$K$52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1"/>
        </c:ser>
        <c:ser>
          <c:idx val="2"/>
          <c:order val="1"/>
          <c:tx>
            <c:v>Vypočítané zloženia rafinátov a extraktov</c:v>
          </c:tx>
          <c:spPr>
            <a:ln w="53975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NRTL!$C$29:$C$58</c:f>
              <c:numCache>
                <c:formatCode>General</c:formatCode>
                <c:ptCount val="30"/>
                <c:pt idx="0">
                  <c:v>0</c:v>
                </c:pt>
                <c:pt idx="1">
                  <c:v>1.0537624818827487E-2</c:v>
                </c:pt>
                <c:pt idx="2">
                  <c:v>1.0772402756667777E-2</c:v>
                </c:pt>
                <c:pt idx="3">
                  <c:v>1.57149828241974E-2</c:v>
                </c:pt>
                <c:pt idx="4">
                  <c:v>1.6235946991594565E-2</c:v>
                </c:pt>
                <c:pt idx="5">
                  <c:v>2.0732964257381477E-2</c:v>
                </c:pt>
                <c:pt idx="6">
                  <c:v>2.5834554215780046E-2</c:v>
                </c:pt>
                <c:pt idx="7">
                  <c:v>3.1028572089992067E-2</c:v>
                </c:pt>
                <c:pt idx="8">
                  <c:v>3.6324653607152632E-2</c:v>
                </c:pt>
                <c:pt idx="9">
                  <c:v>4.1733801381140564E-2</c:v>
                </c:pt>
                <c:pt idx="10">
                  <c:v>4.7274008407342319E-2</c:v>
                </c:pt>
                <c:pt idx="11">
                  <c:v>4.2467913585352304E-2</c:v>
                </c:pt>
                <c:pt idx="12">
                  <c:v>4.6667273131528603E-2</c:v>
                </c:pt>
                <c:pt idx="13">
                  <c:v>4.8575006227730214E-2</c:v>
                </c:pt>
                <c:pt idx="14">
                  <c:v>4.9404077790703382E-2</c:v>
                </c:pt>
                <c:pt idx="15">
                  <c:v>4.9755298564812811E-2</c:v>
                </c:pt>
                <c:pt idx="16">
                  <c:v>5.0003278052025986E-2</c:v>
                </c:pt>
                <c:pt idx="17">
                  <c:v>7.7400817803338184E-2</c:v>
                </c:pt>
                <c:pt idx="18">
                  <c:v>7.8752940642814989E-2</c:v>
                </c:pt>
                <c:pt idx="19">
                  <c:v>8.2474632788971991E-2</c:v>
                </c:pt>
                <c:pt idx="20">
                  <c:v>8.7014877439141228E-2</c:v>
                </c:pt>
                <c:pt idx="21">
                  <c:v>9.1885733804794853E-2</c:v>
                </c:pt>
                <c:pt idx="22">
                  <c:v>9.6887263923445155E-2</c:v>
                </c:pt>
                <c:pt idx="23">
                  <c:v>0.10939066751330817</c:v>
                </c:pt>
                <c:pt idx="24">
                  <c:v>0.13462815098976205</c:v>
                </c:pt>
                <c:pt idx="25">
                  <c:v>0.16384357088930623</c:v>
                </c:pt>
                <c:pt idx="26">
                  <c:v>0.18761619305553789</c:v>
                </c:pt>
                <c:pt idx="27">
                  <c:v>0.20189171685125484</c:v>
                </c:pt>
                <c:pt idx="28">
                  <c:v>0.2066836916466761</c:v>
                </c:pt>
                <c:pt idx="29">
                  <c:v>0.21266340095393194</c:v>
                </c:pt>
              </c:numCache>
            </c:numRef>
          </c:xVal>
          <c:yVal>
            <c:numRef>
              <c:f>NRTL!$D$29:$D$58</c:f>
              <c:numCache>
                <c:formatCode>General</c:formatCode>
                <c:ptCount val="30"/>
                <c:pt idx="0">
                  <c:v>4.5568357146722697E-4</c:v>
                </c:pt>
                <c:pt idx="1">
                  <c:v>5.0173836202485871E-4</c:v>
                </c:pt>
                <c:pt idx="2">
                  <c:v>5.0278687800149754E-4</c:v>
                </c:pt>
                <c:pt idx="3">
                  <c:v>5.2509465979438258E-4</c:v>
                </c:pt>
                <c:pt idx="4">
                  <c:v>5.274724370927051E-4</c:v>
                </c:pt>
                <c:pt idx="5">
                  <c:v>5.4821389017774215E-4</c:v>
                </c:pt>
                <c:pt idx="6">
                  <c:v>5.7222958250596355E-4</c:v>
                </c:pt>
                <c:pt idx="7">
                  <c:v>5.9724060049341559E-4</c:v>
                </c:pt>
                <c:pt idx="8">
                  <c:v>6.2336159737363007E-4</c:v>
                </c:pt>
                <c:pt idx="9">
                  <c:v>6.5072696674531891E-4</c:v>
                </c:pt>
                <c:pt idx="10">
                  <c:v>6.795217487810055E-4</c:v>
                </c:pt>
                <c:pt idx="11">
                  <c:v>6.544968458475004E-4</c:v>
                </c:pt>
                <c:pt idx="12">
                  <c:v>6.7632902009941045E-4</c:v>
                </c:pt>
                <c:pt idx="13">
                  <c:v>6.8640105582274367E-4</c:v>
                </c:pt>
                <c:pt idx="14">
                  <c:v>6.9080869430801278E-4</c:v>
                </c:pt>
                <c:pt idx="15">
                  <c:v>6.9268145999348385E-4</c:v>
                </c:pt>
                <c:pt idx="16">
                  <c:v>6.9400566504988672E-4</c:v>
                </c:pt>
                <c:pt idx="17">
                  <c:v>8.5204311201838646E-4</c:v>
                </c:pt>
                <c:pt idx="18">
                  <c:v>8.6048221403557125E-4</c:v>
                </c:pt>
                <c:pt idx="19">
                  <c:v>8.840305577309536E-4</c:v>
                </c:pt>
                <c:pt idx="20">
                  <c:v>9.1340304666724605E-4</c:v>
                </c:pt>
                <c:pt idx="21">
                  <c:v>9.4571592453300481E-4</c:v>
                </c:pt>
                <c:pt idx="22">
                  <c:v>9.7977337545046821E-4</c:v>
                </c:pt>
                <c:pt idx="23">
                  <c:v>1.0688951152935068E-3</c:v>
                </c:pt>
                <c:pt idx="24">
                  <c:v>1.2667410566287475E-3</c:v>
                </c:pt>
                <c:pt idx="25">
                  <c:v>1.5268287701705034E-3</c:v>
                </c:pt>
                <c:pt idx="26">
                  <c:v>1.7630707749827358E-3</c:v>
                </c:pt>
                <c:pt idx="27">
                  <c:v>1.914921604192724E-3</c:v>
                </c:pt>
                <c:pt idx="28">
                  <c:v>1.9673627324299382E-3</c:v>
                </c:pt>
                <c:pt idx="29">
                  <c:v>2.033482764228245E-3</c:v>
                </c:pt>
              </c:numCache>
            </c:numRef>
          </c:yVal>
          <c:smooth val="1"/>
        </c:ser>
        <c:ser>
          <c:idx val="3"/>
          <c:order val="2"/>
          <c:tx>
            <c:v>Vypočítané zloženia extraktov</c:v>
          </c:tx>
          <c:spPr>
            <a:ln w="53975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NRTL!$G$29:$G$58</c:f>
              <c:numCache>
                <c:formatCode>General</c:formatCode>
                <c:ptCount val="30"/>
                <c:pt idx="0">
                  <c:v>0</c:v>
                </c:pt>
                <c:pt idx="1">
                  <c:v>7.600175900385947E-2</c:v>
                </c:pt>
                <c:pt idx="2">
                  <c:v>7.7623257148904057E-2</c:v>
                </c:pt>
                <c:pt idx="3">
                  <c:v>0.11099382060186649</c:v>
                </c:pt>
                <c:pt idx="4">
                  <c:v>0.11442449236075998</c:v>
                </c:pt>
                <c:pt idx="5">
                  <c:v>0.14333106083663649</c:v>
                </c:pt>
                <c:pt idx="6">
                  <c:v>0.17455157869093968</c:v>
                </c:pt>
                <c:pt idx="7">
                  <c:v>0.20457475965042687</c:v>
                </c:pt>
                <c:pt idx="8">
                  <c:v>0.23332467660447825</c:v>
                </c:pt>
                <c:pt idx="9">
                  <c:v>0.2607246843520038</c:v>
                </c:pt>
                <c:pt idx="10">
                  <c:v>0.28666592053170059</c:v>
                </c:pt>
                <c:pt idx="11">
                  <c:v>0.26428862035109812</c:v>
                </c:pt>
                <c:pt idx="12">
                  <c:v>0.28393748048390532</c:v>
                </c:pt>
                <c:pt idx="13">
                  <c:v>0.29240399154434576</c:v>
                </c:pt>
                <c:pt idx="14">
                  <c:v>0.29595495612888334</c:v>
                </c:pt>
                <c:pt idx="15">
                  <c:v>0.29741419195007046</c:v>
                </c:pt>
                <c:pt idx="16">
                  <c:v>0.29840143684108122</c:v>
                </c:pt>
                <c:pt idx="17">
                  <c:v>0.40150880984056481</c:v>
                </c:pt>
                <c:pt idx="18">
                  <c:v>0.40635487177414509</c:v>
                </c:pt>
                <c:pt idx="19">
                  <c:v>0.41892975207902883</c:v>
                </c:pt>
                <c:pt idx="20">
                  <c:v>0.43346738869330015</c:v>
                </c:pt>
                <c:pt idx="21">
                  <c:v>0.44831826659701457</c:v>
                </c:pt>
                <c:pt idx="22">
                  <c:v>0.46286175639038729</c:v>
                </c:pt>
                <c:pt idx="23">
                  <c:v>0.49646363335234411</c:v>
                </c:pt>
                <c:pt idx="24">
                  <c:v>0.55447148808844093</c:v>
                </c:pt>
                <c:pt idx="25">
                  <c:v>0.60989996886273368</c:v>
                </c:pt>
                <c:pt idx="26">
                  <c:v>0.65040096730407138</c:v>
                </c:pt>
                <c:pt idx="27">
                  <c:v>0.67658588962882049</c:v>
                </c:pt>
                <c:pt idx="28">
                  <c:v>0.68744990243083715</c:v>
                </c:pt>
                <c:pt idx="29">
                  <c:v>0.71118796674784468</c:v>
                </c:pt>
              </c:numCache>
            </c:numRef>
          </c:xVal>
          <c:yVal>
            <c:numRef>
              <c:f>NRTL!$H$29:$H$58</c:f>
              <c:numCache>
                <c:formatCode>General</c:formatCode>
                <c:ptCount val="30"/>
                <c:pt idx="0">
                  <c:v>0.99809146700131479</c:v>
                </c:pt>
                <c:pt idx="1">
                  <c:v>0.9193050047414737</c:v>
                </c:pt>
                <c:pt idx="2">
                  <c:v>0.91760451759241579</c:v>
                </c:pt>
                <c:pt idx="3">
                  <c:v>0.88239439932326469</c:v>
                </c:pt>
                <c:pt idx="4">
                  <c:v>0.87875009228201095</c:v>
                </c:pt>
                <c:pt idx="5">
                  <c:v>0.84784237933316786</c:v>
                </c:pt>
                <c:pt idx="6">
                  <c:v>0.81401118226723113</c:v>
                </c:pt>
                <c:pt idx="7">
                  <c:v>0.78095729614138443</c:v>
                </c:pt>
                <c:pt idx="8">
                  <c:v>0.74871732217896936</c:v>
                </c:pt>
                <c:pt idx="9">
                  <c:v>0.71727376646638297</c:v>
                </c:pt>
                <c:pt idx="10">
                  <c:v>0.68634544469125713</c:v>
                </c:pt>
                <c:pt idx="11">
                  <c:v>0.71311392090386128</c:v>
                </c:pt>
                <c:pt idx="12">
                  <c:v>0.68969950218925502</c:v>
                </c:pt>
                <c:pt idx="13">
                  <c:v>0.67911097298599232</c:v>
                </c:pt>
                <c:pt idx="14">
                  <c:v>0.67437453494963018</c:v>
                </c:pt>
                <c:pt idx="15">
                  <c:v>0.67226071300095747</c:v>
                </c:pt>
                <c:pt idx="16">
                  <c:v>0.67062371538632459</c:v>
                </c:pt>
                <c:pt idx="17">
                  <c:v>0.5579815388967444</c:v>
                </c:pt>
                <c:pt idx="18">
                  <c:v>0.55392542830369262</c:v>
                </c:pt>
                <c:pt idx="19">
                  <c:v>0.54238821381919311</c:v>
                </c:pt>
                <c:pt idx="20">
                  <c:v>0.52850309906670057</c:v>
                </c:pt>
                <c:pt idx="21">
                  <c:v>0.51409591590706549</c:v>
                </c:pt>
                <c:pt idx="22">
                  <c:v>0.49987687419837334</c:v>
                </c:pt>
                <c:pt idx="23">
                  <c:v>0.46680484485191209</c:v>
                </c:pt>
                <c:pt idx="24">
                  <c:v>0.40932782574201321</c:v>
                </c:pt>
                <c:pt idx="25">
                  <c:v>0.35408978007435332</c:v>
                </c:pt>
                <c:pt idx="26">
                  <c:v>0.31352053332771057</c:v>
                </c:pt>
                <c:pt idx="27">
                  <c:v>0.2871761361122237</c:v>
                </c:pt>
                <c:pt idx="28">
                  <c:v>0.27621459261791448</c:v>
                </c:pt>
                <c:pt idx="29">
                  <c:v>0.25219131364754044</c:v>
                </c:pt>
              </c:numCache>
            </c:numRef>
          </c:yVal>
          <c:smooth val="1"/>
        </c:ser>
        <c:ser>
          <c:idx val="5"/>
          <c:order val="3"/>
          <c:tx>
            <c:v>konódy</c:v>
          </c:tx>
          <c:spPr>
            <a:ln w="53975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(NRTL!$C$30,NRTL!$G$30)</c:f>
              <c:numCache>
                <c:formatCode>General</c:formatCode>
                <c:ptCount val="2"/>
                <c:pt idx="0">
                  <c:v>1.0537624818827487E-2</c:v>
                </c:pt>
                <c:pt idx="1">
                  <c:v>7.600175900385947E-2</c:v>
                </c:pt>
              </c:numCache>
            </c:numRef>
          </c:xVal>
          <c:yVal>
            <c:numRef>
              <c:f>(NRTL!$D$30,NRTL!$H$30)</c:f>
              <c:numCache>
                <c:formatCode>General</c:formatCode>
                <c:ptCount val="2"/>
                <c:pt idx="0">
                  <c:v>5.0173836202485871E-4</c:v>
                </c:pt>
                <c:pt idx="1">
                  <c:v>0.9193050047414737</c:v>
                </c:pt>
              </c:numCache>
            </c:numRef>
          </c:yVal>
          <c:smooth val="1"/>
        </c:ser>
        <c:ser>
          <c:idx val="6"/>
          <c:order val="4"/>
          <c:tx>
            <c:v>kon2</c:v>
          </c:tx>
          <c:spPr>
            <a:ln w="53975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(NRTL!$C$34,NRTL!$G$34)</c:f>
              <c:numCache>
                <c:formatCode>General</c:formatCode>
                <c:ptCount val="2"/>
                <c:pt idx="0">
                  <c:v>2.0732964257381477E-2</c:v>
                </c:pt>
                <c:pt idx="1">
                  <c:v>0.14333106083663649</c:v>
                </c:pt>
              </c:numCache>
            </c:numRef>
          </c:xVal>
          <c:yVal>
            <c:numRef>
              <c:f>(NRTL!$D$34,NRTL!$H$34)</c:f>
              <c:numCache>
                <c:formatCode>General</c:formatCode>
                <c:ptCount val="2"/>
                <c:pt idx="0">
                  <c:v>5.4821389017774215E-4</c:v>
                </c:pt>
                <c:pt idx="1">
                  <c:v>0.84784237933316786</c:v>
                </c:pt>
              </c:numCache>
            </c:numRef>
          </c:yVal>
          <c:smooth val="1"/>
        </c:ser>
        <c:ser>
          <c:idx val="7"/>
          <c:order val="5"/>
          <c:tx>
            <c:v>kon3</c:v>
          </c:tx>
          <c:spPr>
            <a:ln w="53975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(NRTL!$C$38,NRTL!$G$38)</c:f>
              <c:numCache>
                <c:formatCode>General</c:formatCode>
                <c:ptCount val="2"/>
                <c:pt idx="0">
                  <c:v>4.1733801381140564E-2</c:v>
                </c:pt>
                <c:pt idx="1">
                  <c:v>0.2607246843520038</c:v>
                </c:pt>
              </c:numCache>
            </c:numRef>
          </c:xVal>
          <c:yVal>
            <c:numRef>
              <c:f>(NRTL!$D$38,NRTL!$H$38)</c:f>
              <c:numCache>
                <c:formatCode>General</c:formatCode>
                <c:ptCount val="2"/>
                <c:pt idx="0">
                  <c:v>6.5072696674531891E-4</c:v>
                </c:pt>
                <c:pt idx="1">
                  <c:v>0.71727376646638297</c:v>
                </c:pt>
              </c:numCache>
            </c:numRef>
          </c:yVal>
          <c:smooth val="1"/>
        </c:ser>
        <c:ser>
          <c:idx val="8"/>
          <c:order val="6"/>
          <c:tx>
            <c:v>kon4</c:v>
          </c:tx>
          <c:spPr>
            <a:ln w="53975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(NRTL!$C$42,NRTL!$G$42)</c:f>
              <c:numCache>
                <c:formatCode>General</c:formatCode>
                <c:ptCount val="2"/>
                <c:pt idx="0">
                  <c:v>4.8575006227730214E-2</c:v>
                </c:pt>
                <c:pt idx="1">
                  <c:v>0.29240399154434576</c:v>
                </c:pt>
              </c:numCache>
            </c:numRef>
          </c:xVal>
          <c:yVal>
            <c:numRef>
              <c:f>(NRTL!$D$42,NRTL!$H$42)</c:f>
              <c:numCache>
                <c:formatCode>General</c:formatCode>
                <c:ptCount val="2"/>
                <c:pt idx="0">
                  <c:v>6.8640105582274367E-4</c:v>
                </c:pt>
                <c:pt idx="1">
                  <c:v>0.67911097298599232</c:v>
                </c:pt>
              </c:numCache>
            </c:numRef>
          </c:yVal>
          <c:smooth val="1"/>
        </c:ser>
        <c:ser>
          <c:idx val="12"/>
          <c:order val="7"/>
          <c:tx>
            <c:v>riziko3</c:v>
          </c:tx>
          <c:spPr>
            <a:ln w="539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(NRTL!$C$58,NRTL!$G$58)</c:f>
              <c:numCache>
                <c:formatCode>General</c:formatCode>
                <c:ptCount val="2"/>
                <c:pt idx="0">
                  <c:v>0.21266340095393194</c:v>
                </c:pt>
                <c:pt idx="1">
                  <c:v>0.71118796674784468</c:v>
                </c:pt>
              </c:numCache>
            </c:numRef>
          </c:xVal>
          <c:yVal>
            <c:numRef>
              <c:f>(NRTL!$D$58,NRTL!$H$58)</c:f>
              <c:numCache>
                <c:formatCode>General</c:formatCode>
                <c:ptCount val="2"/>
                <c:pt idx="0">
                  <c:v>2.033482764228245E-3</c:v>
                </c:pt>
                <c:pt idx="1">
                  <c:v>0.25219131364754044</c:v>
                </c:pt>
              </c:numCache>
            </c:numRef>
          </c:yVal>
          <c:smooth val="1"/>
        </c:ser>
        <c:ser>
          <c:idx val="13"/>
          <c:order val="8"/>
          <c:tx>
            <c:v>kon5</c:v>
          </c:tx>
          <c:spPr>
            <a:ln w="539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(NRTL!$C$50,NRTL!$G$50)</c:f>
              <c:numCache>
                <c:formatCode>General</c:formatCode>
                <c:ptCount val="2"/>
                <c:pt idx="0">
                  <c:v>9.1885733804794853E-2</c:v>
                </c:pt>
                <c:pt idx="1">
                  <c:v>0.44831826659701457</c:v>
                </c:pt>
              </c:numCache>
            </c:numRef>
          </c:xVal>
          <c:yVal>
            <c:numRef>
              <c:f>(NRTL!$D$50,NRTL!$H$50)</c:f>
              <c:numCache>
                <c:formatCode>General</c:formatCode>
                <c:ptCount val="2"/>
                <c:pt idx="0">
                  <c:v>9.4571592453300481E-4</c:v>
                </c:pt>
                <c:pt idx="1">
                  <c:v>0.51409591590706549</c:v>
                </c:pt>
              </c:numCache>
            </c:numRef>
          </c:yVal>
          <c:smooth val="1"/>
        </c:ser>
        <c:ser>
          <c:idx val="14"/>
          <c:order val="9"/>
          <c:tx>
            <c:v>kon6</c:v>
          </c:tx>
          <c:spPr>
            <a:ln w="539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(NRTL!$C$54,NRTL!$G$54)</c:f>
              <c:numCache>
                <c:formatCode>General</c:formatCode>
                <c:ptCount val="2"/>
                <c:pt idx="0">
                  <c:v>0.16384357088930623</c:v>
                </c:pt>
                <c:pt idx="1">
                  <c:v>0.60989996886273368</c:v>
                </c:pt>
              </c:numCache>
            </c:numRef>
          </c:xVal>
          <c:yVal>
            <c:numRef>
              <c:f>(NRTL!$D$54,NRTL!$H$54)</c:f>
              <c:numCache>
                <c:formatCode>General</c:formatCode>
                <c:ptCount val="2"/>
                <c:pt idx="0">
                  <c:v>1.5268287701705034E-3</c:v>
                </c:pt>
                <c:pt idx="1">
                  <c:v>0.35408978007435332</c:v>
                </c:pt>
              </c:numCache>
            </c:numRef>
          </c:yVal>
          <c:smooth val="1"/>
        </c:ser>
        <c:ser>
          <c:idx val="4"/>
          <c:order val="10"/>
          <c:tx>
            <c:v>Experimentálne rovnovážne zloženia</c:v>
          </c:tx>
          <c:spPr>
            <a:ln w="53975">
              <a:solidFill>
                <a:srgbClr val="FFC000"/>
              </a:solidFill>
              <a:prstDash val="lgDashDot"/>
            </a:ln>
          </c:spPr>
          <c:marker>
            <c:symbol val="square"/>
            <c:size val="8"/>
            <c:spPr>
              <a:solidFill>
                <a:srgbClr val="FFFF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(NRTL!$C$62,NRTL!$C$65)</c:f>
              <c:numCache>
                <c:formatCode>General</c:formatCode>
                <c:ptCount val="2"/>
                <c:pt idx="0">
                  <c:v>3.3954848150963515E-2</c:v>
                </c:pt>
                <c:pt idx="1">
                  <c:v>0.22561279123789454</c:v>
                </c:pt>
              </c:numCache>
            </c:numRef>
          </c:xVal>
          <c:yVal>
            <c:numRef>
              <c:f>(NRTL!$D$62,NRTL!$D$65)</c:f>
              <c:numCache>
                <c:formatCode>General</c:formatCode>
                <c:ptCount val="2"/>
                <c:pt idx="0">
                  <c:v>6.9431911568881334E-4</c:v>
                </c:pt>
                <c:pt idx="1">
                  <c:v>0.75462858635133745</c:v>
                </c:pt>
              </c:numCache>
            </c:numRef>
          </c:yVal>
          <c:smooth val="1"/>
        </c:ser>
        <c:ser>
          <c:idx val="9"/>
          <c:order val="11"/>
          <c:tx>
            <c:v>Exp2</c:v>
          </c:tx>
          <c:spPr>
            <a:ln w="53975">
              <a:solidFill>
                <a:srgbClr val="FFC000"/>
              </a:solidFill>
              <a:prstDash val="lgDashDot"/>
            </a:ln>
          </c:spPr>
          <c:marker>
            <c:symbol val="square"/>
            <c:size val="8"/>
            <c:spPr>
              <a:solidFill>
                <a:srgbClr val="FFFF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(NRTL!$C$63,NRTL!$C$66)</c:f>
              <c:numCache>
                <c:formatCode>General</c:formatCode>
                <c:ptCount val="2"/>
                <c:pt idx="0">
                  <c:v>9.0339991097610026E-2</c:v>
                </c:pt>
                <c:pt idx="1">
                  <c:v>0.45953988416182567</c:v>
                </c:pt>
              </c:numCache>
            </c:numRef>
          </c:xVal>
          <c:yVal>
            <c:numRef>
              <c:f>(NRTL!$D$63,NRTL!$D$66)</c:f>
              <c:numCache>
                <c:formatCode>General</c:formatCode>
                <c:ptCount val="2"/>
                <c:pt idx="0">
                  <c:v>6.6884991193173348E-4</c:v>
                </c:pt>
                <c:pt idx="1">
                  <c:v>0.51406056565430569</c:v>
                </c:pt>
              </c:numCache>
            </c:numRef>
          </c:yVal>
          <c:smooth val="1"/>
        </c:ser>
        <c:ser>
          <c:idx val="10"/>
          <c:order val="12"/>
          <c:tx>
            <c:v>exp 3</c:v>
          </c:tx>
          <c:spPr>
            <a:ln w="53975">
              <a:solidFill>
                <a:srgbClr val="FFC000"/>
              </a:solidFill>
              <a:prstDash val="lgDashDot"/>
            </a:ln>
          </c:spPr>
          <c:marker>
            <c:symbol val="square"/>
            <c:size val="8"/>
            <c:spPr>
              <a:solidFill>
                <a:srgbClr val="FFFF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(NRTL!$C$64,NRTL!$C$67)</c:f>
              <c:numCache>
                <c:formatCode>General</c:formatCode>
                <c:ptCount val="2"/>
                <c:pt idx="0">
                  <c:v>0.15370149116973225</c:v>
                </c:pt>
                <c:pt idx="1">
                  <c:v>0.54826517068730163</c:v>
                </c:pt>
              </c:numCache>
            </c:numRef>
          </c:xVal>
          <c:yVal>
            <c:numRef>
              <c:f>(NRTL!$D$64,NRTL!$D$67)</c:f>
              <c:numCache>
                <c:formatCode>General</c:formatCode>
                <c:ptCount val="2"/>
                <c:pt idx="0">
                  <c:v>1.1129555499447348E-3</c:v>
                </c:pt>
                <c:pt idx="1">
                  <c:v>0.41171545261812115</c:v>
                </c:pt>
              </c:numCache>
            </c:numRef>
          </c:yVal>
          <c:smooth val="1"/>
        </c:ser>
        <c:ser>
          <c:idx val="11"/>
          <c:order val="13"/>
          <c:tx>
            <c:v>Kon</c:v>
          </c:tx>
          <c:spPr>
            <a:ln w="53975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(NRTL!$C$69,NRTL!$C$72)</c:f>
              <c:numCache>
                <c:formatCode>General</c:formatCode>
                <c:ptCount val="2"/>
                <c:pt idx="0">
                  <c:v>3.3954848150963515E-2</c:v>
                </c:pt>
                <c:pt idx="1">
                  <c:v>0.22069409160203862</c:v>
                </c:pt>
              </c:numCache>
            </c:numRef>
          </c:xVal>
          <c:yVal>
            <c:numRef>
              <c:f>(NRTL!$D$69,NRTL!$D$72)</c:f>
              <c:numCache>
                <c:formatCode>General</c:formatCode>
                <c:ptCount val="2"/>
                <c:pt idx="0">
                  <c:v>6.1159367744037562E-4</c:v>
                </c:pt>
                <c:pt idx="1">
                  <c:v>0.76296142088550778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44096"/>
        <c:axId val="85446016"/>
      </c:scatterChart>
      <c:valAx>
        <c:axId val="85444096"/>
        <c:scaling>
          <c:orientation val="minMax"/>
          <c:max val="0.60000000000000009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200">
                    <a:latin typeface="Times New Roman" pitchFamily="18" charset="0"/>
                    <a:cs typeface="Times New Roman" pitchFamily="18" charset="0"/>
                  </a:rPr>
                  <a:t>X</a:t>
                </a:r>
                <a:r>
                  <a:rPr lang="en-US" sz="1200" baseline="-25000">
                    <a:latin typeface="Times New Roman" pitchFamily="18" charset="0"/>
                    <a:cs typeface="Times New Roman" pitchFamily="18" charset="0"/>
                  </a:rPr>
                  <a:t>B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sk-SK"/>
          </a:p>
        </c:txPr>
        <c:crossAx val="85446016"/>
        <c:crosses val="autoZero"/>
        <c:crossBetween val="midCat"/>
      </c:valAx>
      <c:valAx>
        <c:axId val="85446016"/>
        <c:scaling>
          <c:orientation val="minMax"/>
          <c:max val="1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2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200">
                    <a:latin typeface="Times New Roman" pitchFamily="18" charset="0"/>
                    <a:cs typeface="Times New Roman" pitchFamily="18" charset="0"/>
                  </a:rPr>
                  <a:t>X</a:t>
                </a:r>
                <a:r>
                  <a:rPr lang="en-US" sz="1200" baseline="-25000">
                    <a:latin typeface="Times New Roman" pitchFamily="18" charset="0"/>
                    <a:cs typeface="Times New Roman" pitchFamily="18" charset="0"/>
                  </a:rPr>
                  <a:t>C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sk-SK"/>
          </a:p>
        </c:txPr>
        <c:crossAx val="8544409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55801985548246535"/>
          <c:y val="4.979774171483866E-2"/>
          <c:w val="0.39697412653316849"/>
          <c:h val="0.24294594032271266"/>
        </c:manualLayout>
      </c:layout>
      <c:overlay val="1"/>
      <c:txPr>
        <a:bodyPr/>
        <a:lstStyle/>
        <a:p>
          <a:pPr>
            <a:defRPr sz="1600">
              <a:latin typeface="Times New Roman" pitchFamily="18" charset="0"/>
              <a:cs typeface="Times New Roman" pitchFamily="18" charset="0"/>
            </a:defRPr>
          </a:pPr>
          <a:endParaRPr lang="sk-SK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prekol!$B$1:$B$10</c:f>
              <c:numCache>
                <c:formatCode>General</c:formatCode>
                <c:ptCount val="10"/>
                <c:pt idx="0">
                  <c:v>3.3954848150963515E-2</c:v>
                </c:pt>
                <c:pt idx="1">
                  <c:v>9.0339991097610026E-2</c:v>
                </c:pt>
                <c:pt idx="2">
                  <c:v>0.15370149116973225</c:v>
                </c:pt>
                <c:pt idx="3">
                  <c:v>0.51836390882122485</c:v>
                </c:pt>
                <c:pt idx="4">
                  <c:v>0.52846917367318436</c:v>
                </c:pt>
                <c:pt idx="5">
                  <c:v>0.66483372962351095</c:v>
                </c:pt>
                <c:pt idx="6">
                  <c:v>0.55415559514477164</c:v>
                </c:pt>
                <c:pt idx="7">
                  <c:v>0.68978064810087114</c:v>
                </c:pt>
                <c:pt idx="8">
                  <c:v>0.71168405202190721</c:v>
                </c:pt>
              </c:numCache>
            </c:numRef>
          </c:xVal>
          <c:yVal>
            <c:numRef>
              <c:f>prekol!$C$1:$C$10</c:f>
              <c:numCache>
                <c:formatCode>General</c:formatCode>
                <c:ptCount val="10"/>
                <c:pt idx="0">
                  <c:v>6.1159367744037562E-4</c:v>
                </c:pt>
                <c:pt idx="1">
                  <c:v>9.3537091101472485E-4</c:v>
                </c:pt>
                <c:pt idx="2">
                  <c:v>1.4327236762235389E-3</c:v>
                </c:pt>
                <c:pt idx="3">
                  <c:v>6.3954521204035789E-3</c:v>
                </c:pt>
                <c:pt idx="4">
                  <c:v>6.5406249115997281E-3</c:v>
                </c:pt>
                <c:pt idx="5">
                  <c:v>8.4758584119350895E-3</c:v>
                </c:pt>
                <c:pt idx="6">
                  <c:v>6.9065923695049479E-3</c:v>
                </c:pt>
                <c:pt idx="7">
                  <c:v>8.8338459571952951E-3</c:v>
                </c:pt>
                <c:pt idx="8">
                  <c:v>9.1487646501099921E-3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prekol!$F$1:$F$10</c:f>
              <c:numCache>
                <c:formatCode>General</c:formatCode>
                <c:ptCount val="10"/>
                <c:pt idx="0">
                  <c:v>0.22069409160203862</c:v>
                </c:pt>
                <c:pt idx="1">
                  <c:v>0.44368236190625876</c:v>
                </c:pt>
                <c:pt idx="2">
                  <c:v>0.59172377202958715</c:v>
                </c:pt>
                <c:pt idx="3">
                  <c:v>0.69472245771424102</c:v>
                </c:pt>
                <c:pt idx="4">
                  <c:v>0.68681584799384954</c:v>
                </c:pt>
                <c:pt idx="5">
                  <c:v>0.6199977109782745</c:v>
                </c:pt>
                <c:pt idx="6">
                  <c:v>0.67140937428143355</c:v>
                </c:pt>
                <c:pt idx="7">
                  <c:v>0.60889856501103057</c:v>
                </c:pt>
                <c:pt idx="8">
                  <c:v>0.59890692197384998</c:v>
                </c:pt>
              </c:numCache>
            </c:numRef>
          </c:xVal>
          <c:yVal>
            <c:numRef>
              <c:f>prekol!$G$1:$G$10</c:f>
              <c:numCache>
                <c:formatCode>General</c:formatCode>
                <c:ptCount val="10"/>
                <c:pt idx="0">
                  <c:v>0.76296142088550778</c:v>
                </c:pt>
                <c:pt idx="1">
                  <c:v>0.51860883502237021</c:v>
                </c:pt>
                <c:pt idx="2">
                  <c:v>0.37223694584048739</c:v>
                </c:pt>
                <c:pt idx="3">
                  <c:v>0.26828708055677697</c:v>
                </c:pt>
                <c:pt idx="4" formatCode="0.0000">
                  <c:v>0.27618169793580993</c:v>
                </c:pt>
                <c:pt idx="5" formatCode="0.0000">
                  <c:v>0.3394908325570638</c:v>
                </c:pt>
                <c:pt idx="6" formatCode="0.0000">
                  <c:v>0.29141519986800446</c:v>
                </c:pt>
                <c:pt idx="7" formatCode="0.0000">
                  <c:v>0.34866321030529046</c:v>
                </c:pt>
                <c:pt idx="8" formatCode="0.0000">
                  <c:v>0.35608237867361092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xVal>
            <c:numRef>
              <c:f>prekol!$B$14:$B$25</c:f>
              <c:numCache>
                <c:formatCode>General</c:formatCode>
                <c:ptCount val="12"/>
                <c:pt idx="0">
                  <c:v>3.3954848150963515E-2</c:v>
                </c:pt>
                <c:pt idx="1">
                  <c:v>9.0339991097610026E-2</c:v>
                </c:pt>
                <c:pt idx="2">
                  <c:v>0.15370149116973225</c:v>
                </c:pt>
                <c:pt idx="3">
                  <c:v>0.25473381272449258</c:v>
                </c:pt>
                <c:pt idx="4">
                  <c:v>0.38739855126072653</c:v>
                </c:pt>
                <c:pt idx="5">
                  <c:v>0.50264601561443056</c:v>
                </c:pt>
                <c:pt idx="6">
                  <c:v>0.22561279123789454</c:v>
                </c:pt>
                <c:pt idx="7">
                  <c:v>0.45953988416182567</c:v>
                </c:pt>
                <c:pt idx="8">
                  <c:v>0.54826517068730163</c:v>
                </c:pt>
                <c:pt idx="9">
                  <c:v>0.63266227357053428</c:v>
                </c:pt>
                <c:pt idx="10">
                  <c:v>0.68666866390004555</c:v>
                </c:pt>
                <c:pt idx="11">
                  <c:v>0.71593936342101161</c:v>
                </c:pt>
              </c:numCache>
            </c:numRef>
          </c:xVal>
          <c:yVal>
            <c:numRef>
              <c:f>prekol!$C$14:$C$25</c:f>
              <c:numCache>
                <c:formatCode>General</c:formatCode>
                <c:ptCount val="12"/>
                <c:pt idx="0">
                  <c:v>6.9431911568881334E-4</c:v>
                </c:pt>
                <c:pt idx="1">
                  <c:v>6.6884991193173348E-4</c:v>
                </c:pt>
                <c:pt idx="2">
                  <c:v>1.1129555499447348E-3</c:v>
                </c:pt>
                <c:pt idx="3">
                  <c:v>2.3238061904729624E-3</c:v>
                </c:pt>
                <c:pt idx="4">
                  <c:v>1.5649367729775911E-2</c:v>
                </c:pt>
                <c:pt idx="5">
                  <c:v>2.505526182831767E-2</c:v>
                </c:pt>
                <c:pt idx="6">
                  <c:v>0.75462858635133745</c:v>
                </c:pt>
                <c:pt idx="7">
                  <c:v>0.51406056565430569</c:v>
                </c:pt>
                <c:pt idx="8">
                  <c:v>0.41171545261812115</c:v>
                </c:pt>
                <c:pt idx="9">
                  <c:v>0.29963503825192322</c:v>
                </c:pt>
                <c:pt idx="10">
                  <c:v>0.19871086852135583</c:v>
                </c:pt>
                <c:pt idx="11">
                  <c:v>0.12811431635101259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03488"/>
        <c:axId val="90448640"/>
      </c:scatterChart>
      <c:valAx>
        <c:axId val="90303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0448640"/>
        <c:crosses val="autoZero"/>
        <c:crossBetween val="midCat"/>
      </c:valAx>
      <c:valAx>
        <c:axId val="904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303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_________1"/>
  <sheetViews>
    <sheetView tabSelected="1"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8</xdr:col>
      <xdr:colOff>324971</xdr:colOff>
      <xdr:row>18</xdr:row>
      <xdr:rowOff>26849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5658970" cy="37135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581025</xdr:colOff>
          <xdr:row>15</xdr:row>
          <xdr:rowOff>19050</xdr:rowOff>
        </xdr:from>
        <xdr:to>
          <xdr:col>20</xdr:col>
          <xdr:colOff>9525</xdr:colOff>
          <xdr:row>17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3</xdr:row>
      <xdr:rowOff>176212</xdr:rowOff>
    </xdr:from>
    <xdr:to>
      <xdr:col>15</xdr:col>
      <xdr:colOff>400050</xdr:colOff>
      <xdr:row>21</xdr:row>
      <xdr:rowOff>123826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G79"/>
  <sheetViews>
    <sheetView topLeftCell="A58" zoomScale="85" zoomScaleNormal="85" workbookViewId="0">
      <selection activeCell="B79" sqref="B79:D79"/>
    </sheetView>
  </sheetViews>
  <sheetFormatPr defaultRowHeight="15" x14ac:dyDescent="0.25"/>
  <cols>
    <col min="1" max="1" width="5.5703125" customWidth="1"/>
    <col min="2" max="3" width="16.42578125" bestFit="1" customWidth="1"/>
    <col min="4" max="4" width="9" customWidth="1"/>
    <col min="5" max="5" width="5.140625" customWidth="1"/>
    <col min="11" max="12" width="9.7109375" bestFit="1" customWidth="1"/>
    <col min="13" max="13" width="10.140625" customWidth="1"/>
    <col min="15" max="17" width="9.7109375" bestFit="1" customWidth="1"/>
    <col min="23" max="23" width="16.7109375" bestFit="1" customWidth="1"/>
  </cols>
  <sheetData>
    <row r="1" spans="10:33" ht="15.75" thickBot="1" x14ac:dyDescent="0.3"/>
    <row r="2" spans="10:33" ht="18.75" thickBot="1" x14ac:dyDescent="0.4">
      <c r="K2" s="1" t="s">
        <v>0</v>
      </c>
      <c r="L2" s="2" t="s">
        <v>1</v>
      </c>
      <c r="M2" s="2" t="s">
        <v>2</v>
      </c>
      <c r="N2" s="2" t="s">
        <v>3</v>
      </c>
      <c r="O2" s="2" t="s">
        <v>4</v>
      </c>
      <c r="P2" s="3" t="s">
        <v>5</v>
      </c>
    </row>
    <row r="3" spans="10:33" ht="15.75" thickBot="1" x14ac:dyDescent="0.3">
      <c r="K3">
        <f>(B22)/H22</f>
        <v>2.1071800296631609</v>
      </c>
      <c r="L3">
        <f>(C22)/H22</f>
        <v>2.8350922655412045</v>
      </c>
      <c r="M3">
        <f>(B23)/H22</f>
        <v>7.2849444468829168</v>
      </c>
      <c r="N3">
        <f>(C23)/H22</f>
        <v>6.1290709297054313</v>
      </c>
      <c r="O3">
        <f>(B24)/H22</f>
        <v>4.0246507210259157</v>
      </c>
      <c r="P3">
        <f>(C24)/H22</f>
        <v>0.21292207917654202</v>
      </c>
    </row>
    <row r="4" spans="10:33" ht="18.75" thickBot="1" x14ac:dyDescent="0.4">
      <c r="K4" s="1" t="s">
        <v>6</v>
      </c>
      <c r="L4" s="2" t="s">
        <v>7</v>
      </c>
      <c r="M4" s="2" t="s">
        <v>8</v>
      </c>
      <c r="N4" s="2" t="s">
        <v>9</v>
      </c>
      <c r="O4" s="2" t="s">
        <v>10</v>
      </c>
      <c r="P4" s="3" t="s">
        <v>11</v>
      </c>
    </row>
    <row r="5" spans="10:33" x14ac:dyDescent="0.25">
      <c r="K5">
        <f t="shared" ref="K5:P5" si="0">EXP(-K3*$E$22)</f>
        <v>0.43047242445194145</v>
      </c>
      <c r="L5">
        <f t="shared" si="0"/>
        <v>0.32173183009668638</v>
      </c>
      <c r="M5">
        <f t="shared" si="0"/>
        <v>5.425946787469077E-2</v>
      </c>
      <c r="N5">
        <f t="shared" si="0"/>
        <v>8.6153182795249569E-2</v>
      </c>
      <c r="O5">
        <f t="shared" si="0"/>
        <v>0.19991554264238187</v>
      </c>
      <c r="P5">
        <f t="shared" si="0"/>
        <v>0.91835722352796123</v>
      </c>
    </row>
    <row r="6" spans="10:33" ht="15.75" thickBot="1" x14ac:dyDescent="0.3"/>
    <row r="7" spans="10:33" ht="16.5" thickBot="1" x14ac:dyDescent="0.3">
      <c r="K7" s="16" t="s">
        <v>26</v>
      </c>
      <c r="L7" s="17" t="s">
        <v>27</v>
      </c>
      <c r="M7" s="18" t="s">
        <v>28</v>
      </c>
      <c r="O7" s="16" t="s">
        <v>29</v>
      </c>
      <c r="P7" s="17" t="s">
        <v>30</v>
      </c>
      <c r="Q7" s="18" t="s">
        <v>69</v>
      </c>
      <c r="S7" s="13" t="s">
        <v>32</v>
      </c>
      <c r="T7" s="14" t="s">
        <v>33</v>
      </c>
      <c r="U7" s="14" t="s">
        <v>34</v>
      </c>
      <c r="V7" s="14" t="s">
        <v>35</v>
      </c>
      <c r="W7" s="14" t="s">
        <v>36</v>
      </c>
      <c r="X7" s="14" t="s">
        <v>37</v>
      </c>
      <c r="Y7" s="14" t="s">
        <v>38</v>
      </c>
      <c r="Z7" s="14" t="s">
        <v>39</v>
      </c>
      <c r="AA7" s="14" t="s">
        <v>40</v>
      </c>
      <c r="AB7" s="14" t="s">
        <v>41</v>
      </c>
      <c r="AC7" s="14" t="s">
        <v>42</v>
      </c>
      <c r="AD7" s="14" t="s">
        <v>43</v>
      </c>
      <c r="AE7" s="14" t="s">
        <v>44</v>
      </c>
      <c r="AF7" s="14" t="s">
        <v>45</v>
      </c>
      <c r="AG7" s="15" t="s">
        <v>46</v>
      </c>
    </row>
    <row r="8" spans="10:33" ht="15.75" thickBot="1" x14ac:dyDescent="0.3">
      <c r="K8" s="21">
        <f>1-L8-M8</f>
        <v>0.85500086986024304</v>
      </c>
      <c r="L8" s="24">
        <v>0.14365561643165803</v>
      </c>
      <c r="M8" s="25">
        <v>1.3435137080988857E-3</v>
      </c>
      <c r="N8" s="21"/>
      <c r="O8" s="21">
        <v>3.6105125073231478E-2</v>
      </c>
      <c r="P8">
        <v>0.57268150644799598</v>
      </c>
      <c r="Q8" s="21">
        <f>1-O8-P8</f>
        <v>0.39121336847877253</v>
      </c>
      <c r="S8">
        <f>$K8+$L$5*$L8+$N$5*$M8</f>
        <v>0.90133520222054975</v>
      </c>
      <c r="T8">
        <f>$K$5*$K8+$L8+$P$5*$M8</f>
        <v>0.51294373930765713</v>
      </c>
      <c r="U8">
        <f>$M$5*$K8+$O$5*$L8+$M8</f>
        <v>7.6454396451674192E-2</v>
      </c>
      <c r="V8">
        <f>$L8*$L$3*$L$5+$M8*$N$3*$N$5</f>
        <v>0.13174337868711852</v>
      </c>
      <c r="W8">
        <f>$K8*$K$3*$K$5+$M8*$P$3*$P$5</f>
        <v>0.77581937391771161</v>
      </c>
      <c r="X8">
        <f>$K8*$M$3*$M$5+$L8*$O$3*$O$5</f>
        <v>0.45354626356223415</v>
      </c>
      <c r="Y8">
        <f>(V8/S8)-(K8*V8/S8^2)+(L8*$K$5/T8)*($K$3-W8/T8)+(M8*$M$5/U8)*($M$3-X8/U8)</f>
        <v>8.0499253974962853E-2</v>
      </c>
      <c r="Z8">
        <f>(W8/T8)-(L8*W8/T8^2)+(K8*$L$5/S8)*($L$3-V8/S8)+(M8*$O$5/U8)*($O$3-X8/U8)</f>
        <v>1.9028360019269517</v>
      </c>
      <c r="AA8">
        <f>(X8/U8)-(M8*X8/U8^2)+(K8*$N$5/S8)*($N$3-V8/S8)+(L8*$P$5/T8)*($P$3-W8/T8)</f>
        <v>5.982706589787063</v>
      </c>
      <c r="AB8">
        <f>EXP(Y8)</f>
        <v>1.0838280380790968</v>
      </c>
      <c r="AC8">
        <f>EXP(Z8)</f>
        <v>6.7048825642495773</v>
      </c>
      <c r="AD8">
        <f>EXP(AA8)</f>
        <v>396.5121127493851</v>
      </c>
      <c r="AE8">
        <f>AB8/AB10</f>
        <v>4.2228173442933066E-2</v>
      </c>
      <c r="AF8">
        <f t="shared" ref="AF8:AG8" si="1">AC8/AC10</f>
        <v>3.9864888034364769</v>
      </c>
      <c r="AG8">
        <f t="shared" si="1"/>
        <v>291.1867337926812</v>
      </c>
    </row>
    <row r="9" spans="10:33" ht="16.5" thickBot="1" x14ac:dyDescent="0.3">
      <c r="S9" s="13" t="s">
        <v>47</v>
      </c>
      <c r="T9" s="14" t="s">
        <v>48</v>
      </c>
      <c r="U9" s="14" t="s">
        <v>49</v>
      </c>
      <c r="V9" s="14" t="s">
        <v>50</v>
      </c>
      <c r="W9" s="14" t="s">
        <v>51</v>
      </c>
      <c r="X9" s="14" t="s">
        <v>52</v>
      </c>
      <c r="Y9" s="14" t="s">
        <v>53</v>
      </c>
      <c r="Z9" s="14" t="s">
        <v>54</v>
      </c>
      <c r="AA9" s="14" t="s">
        <v>55</v>
      </c>
      <c r="AB9" s="14" t="s">
        <v>56</v>
      </c>
      <c r="AC9" s="14" t="s">
        <v>57</v>
      </c>
      <c r="AD9" s="14" t="s">
        <v>58</v>
      </c>
      <c r="AE9" s="14" t="s">
        <v>59</v>
      </c>
      <c r="AF9" s="14" t="s">
        <v>60</v>
      </c>
      <c r="AG9" s="15" t="s">
        <v>61</v>
      </c>
    </row>
    <row r="10" spans="10:33" x14ac:dyDescent="0.25">
      <c r="S10">
        <f>$O8+$L$5*$P8+$N$5*$Q8</f>
        <v>0.25405927105176956</v>
      </c>
      <c r="T10">
        <f>$K$5*$O8+$P8+$P$5*$Q8</f>
        <v>0.94749739005659728</v>
      </c>
      <c r="U10">
        <f>$M$5*$O8+$O$5*$P8+$Q8</f>
        <v>0.50766034747560307</v>
      </c>
      <c r="V10">
        <f>$P8*$L$3*$L$5+$Q8*$N$3*$N$5</f>
        <v>0.72894128232983746</v>
      </c>
      <c r="W10">
        <f>$O8*$K$3*$K$5+$Q8*$P$3*$P$5</f>
        <v>0.10924762819398856</v>
      </c>
      <c r="X10">
        <f>$O8*$M$3*$M$5+$P8*$O$3*$O$5</f>
        <v>0.47504547969233213</v>
      </c>
      <c r="Y10">
        <f>(V10/S10)-(O8*V10/S10^2)+(P8*$K$5/T10)*($K$3-W10/T10)+(Q8*$M$5/U10)*($M$3-X10/U10)</f>
        <v>3.2451669175411966</v>
      </c>
      <c r="Z10">
        <f>(W10/T10)-(P8*W10/T10^2)+(O8*$L$5/S10)*($L$3-V10/S10)+(Q8*$O$5/U10)*($O$3-X10/U10)</f>
        <v>0.51992515759045588</v>
      </c>
      <c r="AA10">
        <f>(X10/U10)-(Q8*X10/U10^2)+(O8*$N$5/S10)*($N$3-V10/S10)+(P8*$P$5/T10)*($P$3-W10/T10)</f>
        <v>0.30874183153291285</v>
      </c>
      <c r="AB10">
        <f>EXP(Y10)</f>
        <v>25.665993807280735</v>
      </c>
      <c r="AC10">
        <f>EXP(Z10)</f>
        <v>1.6819017674073888</v>
      </c>
      <c r="AD10">
        <f>EXP(AA10)</f>
        <v>1.3617107743366266</v>
      </c>
      <c r="AE10">
        <f>AB10/AB8</f>
        <v>23.680872708155253</v>
      </c>
      <c r="AF10">
        <f t="shared" ref="AF10:AG10" si="2">AC10/AC8</f>
        <v>0.25084731183440651</v>
      </c>
      <c r="AG10">
        <f t="shared" si="2"/>
        <v>3.4342223870404026E-3</v>
      </c>
    </row>
    <row r="11" spans="10:33" ht="15.75" thickBot="1" x14ac:dyDescent="0.3"/>
    <row r="12" spans="10:33" ht="15.75" thickBot="1" x14ac:dyDescent="0.3">
      <c r="K12" s="41" t="s">
        <v>63</v>
      </c>
      <c r="L12" s="42"/>
      <c r="M12" s="42"/>
      <c r="N12" s="42"/>
      <c r="O12" s="42"/>
      <c r="P12" s="42"/>
      <c r="Q12" s="43"/>
    </row>
    <row r="13" spans="10:33" ht="15.75" thickBot="1" x14ac:dyDescent="0.3">
      <c r="J13" s="19" t="s">
        <v>62</v>
      </c>
      <c r="K13" s="17" t="s">
        <v>26</v>
      </c>
      <c r="L13" s="17" t="s">
        <v>27</v>
      </c>
      <c r="M13" s="17" t="s">
        <v>28</v>
      </c>
      <c r="N13" s="17"/>
      <c r="O13" s="17" t="s">
        <v>29</v>
      </c>
      <c r="P13" s="17" t="s">
        <v>30</v>
      </c>
      <c r="Q13" s="17" t="s">
        <v>31</v>
      </c>
      <c r="R13" s="19" t="s">
        <v>62</v>
      </c>
    </row>
    <row r="14" spans="10:33" x14ac:dyDescent="0.25">
      <c r="J14" s="20">
        <f>SUM(K14:M14)</f>
        <v>1.0000000011091166</v>
      </c>
      <c r="K14" s="22">
        <f>O8*AE10</f>
        <v>0.85500087097121924</v>
      </c>
      <c r="L14" s="22">
        <f>P8*AF10</f>
        <v>0.14365561642975813</v>
      </c>
      <c r="M14" s="22">
        <f t="shared" ref="M14" si="3">Q8*AG10</f>
        <v>1.3435137081392867E-3</v>
      </c>
      <c r="N14" s="22"/>
      <c r="O14" s="22">
        <f t="shared" ref="O14:P14" si="4">K8*AE8</f>
        <v>3.6105125026316985E-2</v>
      </c>
      <c r="P14" s="22">
        <f t="shared" si="4"/>
        <v>0.57268150645556992</v>
      </c>
      <c r="Q14" s="22">
        <f>M8*AG8</f>
        <v>0.39121336846700822</v>
      </c>
      <c r="R14" s="20">
        <f>SUM(O14:Q14)</f>
        <v>0.9999999999488951</v>
      </c>
    </row>
    <row r="15" spans="10:33" ht="15.75" thickBot="1" x14ac:dyDescent="0.3"/>
    <row r="16" spans="10:33" ht="15.75" thickBot="1" x14ac:dyDescent="0.3">
      <c r="K16" s="41" t="s">
        <v>67</v>
      </c>
      <c r="L16" s="42"/>
      <c r="M16" s="42"/>
      <c r="N16" s="42"/>
      <c r="O16" s="42"/>
      <c r="P16" s="42"/>
      <c r="Q16" s="43"/>
    </row>
    <row r="17" spans="1:31" ht="15.75" thickBot="1" x14ac:dyDescent="0.3">
      <c r="K17" s="16" t="s">
        <v>64</v>
      </c>
      <c r="L17" s="17" t="s">
        <v>65</v>
      </c>
      <c r="M17" s="18" t="s">
        <v>66</v>
      </c>
      <c r="O17" s="16" t="s">
        <v>64</v>
      </c>
      <c r="P17" s="17" t="s">
        <v>65</v>
      </c>
      <c r="Q17" s="18" t="s">
        <v>66</v>
      </c>
    </row>
    <row r="18" spans="1:31" ht="15.75" thickBot="1" x14ac:dyDescent="0.3">
      <c r="K18" s="22">
        <f>(K8+K14)/2</f>
        <v>0.85500087041573114</v>
      </c>
      <c r="L18" s="22">
        <f>(L8+L14)/2</f>
        <v>0.14365561643070807</v>
      </c>
      <c r="M18" s="22">
        <f t="shared" ref="M18" si="5">(M8+M14)/2</f>
        <v>1.3435137081190861E-3</v>
      </c>
      <c r="N18" s="22"/>
      <c r="O18" s="22">
        <f t="shared" ref="O18" si="6">(O8+O14)/2</f>
        <v>3.6105125049774228E-2</v>
      </c>
      <c r="P18" s="22">
        <f>(P8+P14)/2</f>
        <v>0.57268150645178295</v>
      </c>
      <c r="Q18" s="22">
        <f>(Q8+Q14)/2</f>
        <v>0.39121336847289034</v>
      </c>
    </row>
    <row r="19" spans="1:31" ht="15.75" thickBot="1" x14ac:dyDescent="0.3">
      <c r="A19" s="45" t="s">
        <v>16</v>
      </c>
      <c r="B19" s="12" t="s">
        <v>17</v>
      </c>
      <c r="C19" s="12" t="s">
        <v>18</v>
      </c>
      <c r="D19" s="45" t="s">
        <v>19</v>
      </c>
      <c r="E19" s="45" t="s">
        <v>20</v>
      </c>
      <c r="G19" s="4" t="s">
        <v>22</v>
      </c>
      <c r="H19">
        <f>8.314/1000</f>
        <v>8.3140000000000002E-3</v>
      </c>
      <c r="I19" t="s">
        <v>23</v>
      </c>
      <c r="S19" s="39" t="s">
        <v>85</v>
      </c>
      <c r="T19" s="39"/>
      <c r="U19" s="39"/>
      <c r="V19" s="39"/>
      <c r="W19" s="39"/>
      <c r="X19" s="39"/>
      <c r="Z19" s="39" t="s">
        <v>86</v>
      </c>
      <c r="AA19" s="39"/>
      <c r="AB19" s="39"/>
      <c r="AC19" s="39"/>
      <c r="AD19" s="39"/>
      <c r="AE19" s="39"/>
    </row>
    <row r="20" spans="1:31" ht="15.75" thickBot="1" x14ac:dyDescent="0.3">
      <c r="A20" s="46"/>
      <c r="B20" s="44" t="s">
        <v>21</v>
      </c>
      <c r="C20" s="44"/>
      <c r="D20" s="46"/>
      <c r="E20" s="46"/>
      <c r="G20" s="4" t="s">
        <v>24</v>
      </c>
      <c r="H20">
        <v>318.14999999999998</v>
      </c>
      <c r="I20" t="s">
        <v>25</v>
      </c>
      <c r="S20" s="36" t="s">
        <v>83</v>
      </c>
      <c r="T20" s="37"/>
      <c r="U20" s="38"/>
      <c r="V20" s="36" t="s">
        <v>84</v>
      </c>
      <c r="W20" s="37"/>
      <c r="X20" s="38"/>
      <c r="Z20" s="36" t="s">
        <v>83</v>
      </c>
      <c r="AA20" s="37"/>
      <c r="AB20" s="38"/>
      <c r="AC20" s="36" t="s">
        <v>84</v>
      </c>
      <c r="AD20" s="37"/>
      <c r="AE20" s="38"/>
    </row>
    <row r="21" spans="1:31" ht="15.75" thickBot="1" x14ac:dyDescent="0.3">
      <c r="A21" s="44" t="s">
        <v>12</v>
      </c>
      <c r="B21" s="44"/>
      <c r="C21" s="44"/>
      <c r="D21" s="44"/>
      <c r="E21" s="44"/>
      <c r="S21" s="26">
        <v>0.96535083273334765</v>
      </c>
      <c r="T21" s="24">
        <v>3.3954848150963515E-2</v>
      </c>
      <c r="U21" s="25">
        <v>6.9431911568881334E-4</v>
      </c>
      <c r="V21" s="26">
        <v>1.9758622410767951E-2</v>
      </c>
      <c r="W21" s="24">
        <v>0.22561279123789454</v>
      </c>
      <c r="X21" s="25">
        <v>0.75462858635133745</v>
      </c>
      <c r="Z21" s="26">
        <v>0.96543355817159615</v>
      </c>
      <c r="AA21" s="24">
        <v>3.3954848150963515E-2</v>
      </c>
      <c r="AB21" s="25">
        <v>6.1159367744037562E-4</v>
      </c>
      <c r="AC21" s="26">
        <v>1.6344487512453619E-2</v>
      </c>
      <c r="AD21" s="24">
        <v>0.22069409160203862</v>
      </c>
      <c r="AE21" s="25">
        <v>0.76296142088550778</v>
      </c>
    </row>
    <row r="22" spans="1:31" x14ac:dyDescent="0.25">
      <c r="A22" s="5" t="s">
        <v>13</v>
      </c>
      <c r="B22" s="6">
        <v>5.5736999999999997</v>
      </c>
      <c r="C22" s="6">
        <v>7.4991000000000003</v>
      </c>
      <c r="D22" s="5">
        <v>6.4999999999999997E-3</v>
      </c>
      <c r="E22" s="5">
        <v>0.4</v>
      </c>
      <c r="G22" t="s">
        <v>68</v>
      </c>
      <c r="H22">
        <f>H20*H19</f>
        <v>2.6450990999999999</v>
      </c>
      <c r="S22" s="26">
        <v>0.90899115899045813</v>
      </c>
      <c r="T22" s="24">
        <v>9.0339991097610026E-2</v>
      </c>
      <c r="U22" s="25">
        <v>6.6884991193173348E-4</v>
      </c>
      <c r="V22" s="26">
        <v>2.6399550183868581E-2</v>
      </c>
      <c r="W22" s="24">
        <v>0.45953988416182567</v>
      </c>
      <c r="X22" s="25">
        <v>0.51406056565430569</v>
      </c>
      <c r="Z22" s="26">
        <v>0.90872463799137526</v>
      </c>
      <c r="AA22" s="24">
        <v>9.0339991097610026E-2</v>
      </c>
      <c r="AB22" s="25">
        <v>9.3537091101472485E-4</v>
      </c>
      <c r="AC22" s="26">
        <v>3.7708803071371005E-2</v>
      </c>
      <c r="AD22" s="24">
        <v>0.44368236190625876</v>
      </c>
      <c r="AE22" s="25">
        <v>0.51860883502237021</v>
      </c>
    </row>
    <row r="23" spans="1:31" x14ac:dyDescent="0.25">
      <c r="A23" s="7" t="s">
        <v>14</v>
      </c>
      <c r="B23" s="8">
        <v>19.269400000000001</v>
      </c>
      <c r="C23" s="8">
        <v>16.212</v>
      </c>
      <c r="D23" s="7"/>
      <c r="E23" s="7"/>
      <c r="L23" s="21">
        <v>5.2245703272958369E-2</v>
      </c>
      <c r="M23" s="21">
        <v>7.2205676835397354E-4</v>
      </c>
      <c r="N23" s="21"/>
      <c r="O23" s="21">
        <v>3.2094569718673818E-2</v>
      </c>
      <c r="P23" s="21">
        <v>0.30794394361642397</v>
      </c>
      <c r="S23" s="26">
        <v>0.84518555328032308</v>
      </c>
      <c r="T23" s="24">
        <v>0.15370149116973225</v>
      </c>
      <c r="U23" s="25">
        <v>1.1129555499447348E-3</v>
      </c>
      <c r="V23" s="26">
        <v>4.0019376694577141E-2</v>
      </c>
      <c r="W23" s="24">
        <v>0.54826517068730163</v>
      </c>
      <c r="X23" s="25">
        <v>0.41171545261812115</v>
      </c>
      <c r="Z23" s="26">
        <v>0.8448657851540442</v>
      </c>
      <c r="AA23" s="24">
        <v>0.15370149116973225</v>
      </c>
      <c r="AB23" s="25">
        <v>1.4327236762235389E-3</v>
      </c>
      <c r="AC23" s="26">
        <v>3.6039282129925493E-2</v>
      </c>
      <c r="AD23" s="24">
        <v>0.59172377202958715</v>
      </c>
      <c r="AE23" s="25">
        <v>0.37223694584048739</v>
      </c>
    </row>
    <row r="24" spans="1:31" ht="15.75" thickBot="1" x14ac:dyDescent="0.3">
      <c r="A24" s="9" t="s">
        <v>15</v>
      </c>
      <c r="B24" s="10">
        <v>10.6456</v>
      </c>
      <c r="C24" s="10">
        <v>0.56320000000000003</v>
      </c>
      <c r="D24" s="11"/>
      <c r="E24" s="11"/>
      <c r="S24" s="26">
        <v>0.74294238108503441</v>
      </c>
      <c r="T24" s="24">
        <v>0.25473381272449258</v>
      </c>
      <c r="U24" s="25">
        <v>2.3238061904729624E-3</v>
      </c>
      <c r="V24" s="26">
        <v>6.7702688177542575E-2</v>
      </c>
      <c r="W24" s="24">
        <v>0.63266227357053428</v>
      </c>
      <c r="X24" s="25">
        <v>0.29963503825192322</v>
      </c>
      <c r="Z24" s="26"/>
      <c r="AA24" s="24"/>
      <c r="AB24" s="25"/>
      <c r="AC24" s="26"/>
      <c r="AD24" s="24"/>
      <c r="AE24" s="25"/>
    </row>
    <row r="25" spans="1:31" x14ac:dyDescent="0.25">
      <c r="S25" s="26">
        <v>0.59695208100949748</v>
      </c>
      <c r="T25" s="24">
        <v>0.38739855126072653</v>
      </c>
      <c r="U25" s="25">
        <v>1.5649367729775911E-2</v>
      </c>
      <c r="V25" s="26">
        <v>0.11462046757859846</v>
      </c>
      <c r="W25" s="24">
        <v>0.68666866390004555</v>
      </c>
      <c r="X25" s="25">
        <v>0.19871086852135583</v>
      </c>
      <c r="Z25" s="26"/>
      <c r="AA25" s="24"/>
      <c r="AB25" s="25"/>
      <c r="AC25" s="26"/>
      <c r="AD25" s="24"/>
      <c r="AE25" s="25"/>
    </row>
    <row r="26" spans="1:31" ht="15.75" thickBot="1" x14ac:dyDescent="0.3">
      <c r="S26" s="29">
        <v>0.47229872255725175</v>
      </c>
      <c r="T26" s="27">
        <v>0.50264601561443056</v>
      </c>
      <c r="U26" s="28">
        <v>2.505526182831767E-2</v>
      </c>
      <c r="V26" s="29">
        <v>0.1559463202279758</v>
      </c>
      <c r="W26" s="27">
        <v>0.71593936342101161</v>
      </c>
      <c r="X26" s="28">
        <v>0.12811431635101259</v>
      </c>
      <c r="Z26" s="29">
        <v>0.47524063905837155</v>
      </c>
      <c r="AA26" s="27">
        <v>0.51836390882122485</v>
      </c>
      <c r="AB26" s="28">
        <v>6.3954521204035789E-3</v>
      </c>
      <c r="AC26" s="29">
        <v>3.699046172898203E-2</v>
      </c>
      <c r="AD26" s="27">
        <v>0.69472245771424102</v>
      </c>
      <c r="AE26" s="28">
        <v>0.26828708055677697</v>
      </c>
    </row>
    <row r="27" spans="1:31" ht="15.75" thickBot="1" x14ac:dyDescent="0.3">
      <c r="B27" s="41" t="s">
        <v>72</v>
      </c>
      <c r="C27" s="42"/>
      <c r="D27" s="43"/>
      <c r="F27" s="41" t="s">
        <v>71</v>
      </c>
      <c r="G27" s="42"/>
      <c r="H27" s="43"/>
      <c r="I27" t="s">
        <v>70</v>
      </c>
      <c r="Z27" s="21">
        <f t="shared" ref="Z27:Z32" si="7">1-AA27-AB27</f>
        <v>0.46499020141521591</v>
      </c>
      <c r="AA27" s="24">
        <v>0.52846917367318436</v>
      </c>
      <c r="AB27" s="25">
        <v>6.5406249115997281E-3</v>
      </c>
      <c r="AC27" s="21">
        <v>3.7002454070340494E-2</v>
      </c>
      <c r="AD27">
        <v>0.68681584799384954</v>
      </c>
      <c r="AE27" s="21">
        <f t="shared" ref="AE27:AE32" si="8">1-AC27-AD27</f>
        <v>0.27618169793580993</v>
      </c>
    </row>
    <row r="28" spans="1:31" ht="15.75" thickBot="1" x14ac:dyDescent="0.3">
      <c r="B28" s="16" t="s">
        <v>64</v>
      </c>
      <c r="C28" s="17" t="s">
        <v>65</v>
      </c>
      <c r="D28" s="18" t="s">
        <v>66</v>
      </c>
      <c r="F28" s="16" t="s">
        <v>64</v>
      </c>
      <c r="G28" s="17" t="s">
        <v>65</v>
      </c>
      <c r="H28" s="18" t="s">
        <v>66</v>
      </c>
      <c r="M28" s="40" t="s">
        <v>73</v>
      </c>
      <c r="N28" s="40"/>
      <c r="O28" s="40"/>
      <c r="P28" s="40"/>
      <c r="Q28" s="40"/>
      <c r="R28" s="40"/>
      <c r="S28" s="40"/>
      <c r="Z28" s="21">
        <f t="shared" si="7"/>
        <v>0.32669041196455395</v>
      </c>
      <c r="AA28" s="24">
        <v>0.66483372962351095</v>
      </c>
      <c r="AB28" s="25">
        <v>8.4758584119350895E-3</v>
      </c>
      <c r="AC28" s="21">
        <v>4.051145646466172E-2</v>
      </c>
      <c r="AD28">
        <v>0.6199977109782745</v>
      </c>
      <c r="AE28" s="21">
        <f t="shared" si="8"/>
        <v>0.3394908325570638</v>
      </c>
    </row>
    <row r="29" spans="1:31" x14ac:dyDescent="0.25">
      <c r="B29">
        <f>1-C29-D29</f>
        <v>0.99954431642853281</v>
      </c>
      <c r="C29">
        <v>0</v>
      </c>
      <c r="D29">
        <v>4.5568357146722697E-4</v>
      </c>
      <c r="F29">
        <v>1.9085329986851794E-3</v>
      </c>
      <c r="G29">
        <v>0</v>
      </c>
      <c r="H29">
        <f>1-F29-G29</f>
        <v>0.99809146700131479</v>
      </c>
      <c r="M29">
        <f>1-N29-O29</f>
        <v>0.8782632671256867</v>
      </c>
      <c r="N29" s="21">
        <v>0.12092173931705019</v>
      </c>
      <c r="O29" s="21">
        <v>8.1499355726307224E-4</v>
      </c>
      <c r="P29" s="21"/>
      <c r="Q29" s="21">
        <v>0.62274998732338371</v>
      </c>
      <c r="R29" s="21">
        <v>0.13123258071881755</v>
      </c>
      <c r="S29">
        <f>1-Q29-R29</f>
        <v>0.24601743195779874</v>
      </c>
      <c r="Z29" s="21">
        <f t="shared" si="7"/>
        <v>0.43893781248572339</v>
      </c>
      <c r="AA29" s="24">
        <v>0.55415559514477164</v>
      </c>
      <c r="AB29" s="25">
        <v>6.9065923695049479E-3</v>
      </c>
      <c r="AC29" s="21">
        <v>3.7175425850562001E-2</v>
      </c>
      <c r="AD29">
        <v>0.67140937428143355</v>
      </c>
      <c r="AE29" s="21">
        <f t="shared" si="8"/>
        <v>0.29141519986800446</v>
      </c>
    </row>
    <row r="30" spans="1:31" x14ac:dyDescent="0.25">
      <c r="A30" t="s">
        <v>76</v>
      </c>
      <c r="B30">
        <v>0.9889606368191477</v>
      </c>
      <c r="C30">
        <v>1.0537624818827487E-2</v>
      </c>
      <c r="D30">
        <v>5.0173836202485871E-4</v>
      </c>
      <c r="F30">
        <v>4.6932362546667737E-3</v>
      </c>
      <c r="G30">
        <v>7.600175900385947E-2</v>
      </c>
      <c r="H30">
        <v>0.9193050047414737</v>
      </c>
      <c r="K30" s="21"/>
      <c r="L30" s="21"/>
      <c r="M30" s="21">
        <v>0.94910170446791431</v>
      </c>
      <c r="N30" s="21">
        <v>5.0500000000000003E-2</v>
      </c>
      <c r="O30" s="21">
        <v>3.982955320856813E-4</v>
      </c>
      <c r="Q30">
        <v>0.68002240244407464</v>
      </c>
      <c r="R30">
        <v>6.6593972489962211E-2</v>
      </c>
      <c r="S30">
        <v>0.25338362506596313</v>
      </c>
      <c r="Z30" s="21">
        <f t="shared" si="7"/>
        <v>0.30138550594193358</v>
      </c>
      <c r="AA30" s="24">
        <v>0.68978064810087114</v>
      </c>
      <c r="AB30" s="25">
        <v>8.8338459571952951E-3</v>
      </c>
      <c r="AC30" s="21">
        <v>4.2438224683678957E-2</v>
      </c>
      <c r="AD30">
        <v>0.60889856501103057</v>
      </c>
      <c r="AE30" s="21">
        <f t="shared" si="8"/>
        <v>0.34866321030529046</v>
      </c>
    </row>
    <row r="31" spans="1:31" x14ac:dyDescent="0.25">
      <c r="B31">
        <v>0.98872481036533066</v>
      </c>
      <c r="C31">
        <v>1.0772402756667777E-2</v>
      </c>
      <c r="D31">
        <v>5.0278687800149754E-4</v>
      </c>
      <c r="F31">
        <v>4.7722252586801153E-3</v>
      </c>
      <c r="G31">
        <v>7.7623257148904057E-2</v>
      </c>
      <c r="H31">
        <v>0.91760451759241579</v>
      </c>
      <c r="Z31" s="21">
        <f t="shared" si="7"/>
        <v>0.27916718332798279</v>
      </c>
      <c r="AA31" s="24">
        <v>0.71168405202190721</v>
      </c>
      <c r="AB31" s="25">
        <v>9.1487646501099921E-3</v>
      </c>
      <c r="AC31" s="21">
        <v>4.5010699352539055E-2</v>
      </c>
      <c r="AD31">
        <v>0.59890692197384998</v>
      </c>
      <c r="AE31" s="21">
        <f t="shared" si="8"/>
        <v>0.35608237867361092</v>
      </c>
    </row>
    <row r="32" spans="1:31" x14ac:dyDescent="0.25">
      <c r="B32">
        <v>0.9837599225160083</v>
      </c>
      <c r="C32">
        <v>1.57149828241974E-2</v>
      </c>
      <c r="D32">
        <v>5.2509465979438258E-4</v>
      </c>
      <c r="F32">
        <v>6.6117800748688085E-3</v>
      </c>
      <c r="G32">
        <v>0.11099382060186649</v>
      </c>
      <c r="H32">
        <v>0.88239439932326469</v>
      </c>
      <c r="Z32" s="21">
        <f t="shared" si="7"/>
        <v>4.4562375849613381E-2</v>
      </c>
      <c r="AA32" s="24">
        <v>0.94313789928629643</v>
      </c>
      <c r="AB32" s="25">
        <v>1.2299724864090183E-2</v>
      </c>
      <c r="AC32" s="21">
        <v>0.1013493808594996</v>
      </c>
      <c r="AD32">
        <v>0.50894601535211148</v>
      </c>
      <c r="AE32" s="21">
        <f t="shared" si="8"/>
        <v>0.38970460378838889</v>
      </c>
    </row>
    <row r="33" spans="1:16" x14ac:dyDescent="0.25">
      <c r="B33">
        <v>0.98323658057131269</v>
      </c>
      <c r="C33">
        <v>1.6235946991594565E-2</v>
      </c>
      <c r="D33">
        <v>5.274724370927051E-4</v>
      </c>
      <c r="F33">
        <v>6.8254153572289812E-3</v>
      </c>
      <c r="G33">
        <v>0.11442449236075998</v>
      </c>
      <c r="H33">
        <v>0.87875009228201095</v>
      </c>
    </row>
    <row r="34" spans="1:16" x14ac:dyDescent="0.25">
      <c r="A34" t="s">
        <v>76</v>
      </c>
      <c r="B34">
        <v>0.97871882185244075</v>
      </c>
      <c r="C34">
        <v>2.0732964257381477E-2</v>
      </c>
      <c r="D34">
        <v>5.4821389017774215E-4</v>
      </c>
      <c r="F34">
        <v>8.8265598301956356E-3</v>
      </c>
      <c r="G34">
        <v>0.14333106083663649</v>
      </c>
      <c r="H34">
        <v>0.84784237933316786</v>
      </c>
    </row>
    <row r="35" spans="1:16" x14ac:dyDescent="0.25">
      <c r="B35">
        <v>0.97359321620171402</v>
      </c>
      <c r="C35">
        <v>2.5834554215780046E-2</v>
      </c>
      <c r="D35">
        <v>5.7222958250596355E-4</v>
      </c>
      <c r="F35">
        <v>1.1437239041829087E-2</v>
      </c>
      <c r="G35">
        <v>0.17455157869093968</v>
      </c>
      <c r="H35">
        <v>0.81401118226723113</v>
      </c>
    </row>
    <row r="36" spans="1:16" x14ac:dyDescent="0.25">
      <c r="B36">
        <v>0.96837418730951452</v>
      </c>
      <c r="C36">
        <v>3.1028572089992067E-2</v>
      </c>
      <c r="D36">
        <v>5.9724060049341559E-4</v>
      </c>
      <c r="F36">
        <v>1.4467944208188793E-2</v>
      </c>
      <c r="G36">
        <v>0.20457475965042687</v>
      </c>
      <c r="H36">
        <v>0.78095729614138443</v>
      </c>
      <c r="P36" t="s">
        <v>82</v>
      </c>
    </row>
    <row r="37" spans="1:16" x14ac:dyDescent="0.25">
      <c r="B37">
        <v>0.96305198479547371</v>
      </c>
      <c r="C37">
        <v>3.6324653607152632E-2</v>
      </c>
      <c r="D37">
        <v>6.2336159737363007E-4</v>
      </c>
      <c r="F37">
        <v>1.7958001216552309E-2</v>
      </c>
      <c r="G37">
        <v>0.23332467660447825</v>
      </c>
      <c r="H37">
        <v>0.74871732217896936</v>
      </c>
      <c r="N37" t="s">
        <v>77</v>
      </c>
      <c r="O37">
        <v>25</v>
      </c>
      <c r="P37">
        <v>0.6</v>
      </c>
    </row>
    <row r="38" spans="1:16" x14ac:dyDescent="0.25">
      <c r="A38" t="s">
        <v>76</v>
      </c>
      <c r="B38">
        <v>0.95761547165211414</v>
      </c>
      <c r="C38">
        <v>4.1733801381140564E-2</v>
      </c>
      <c r="D38">
        <v>6.5072696674531891E-4</v>
      </c>
      <c r="F38">
        <v>2.2001549181613195E-2</v>
      </c>
      <c r="G38">
        <v>0.2607246843520038</v>
      </c>
      <c r="H38">
        <v>0.71727376646638297</v>
      </c>
      <c r="N38" t="s">
        <v>78</v>
      </c>
      <c r="O38">
        <f>(O37*(P37-P39)+O40*(P39-P40))/P39</f>
        <v>22.283861295521646</v>
      </c>
      <c r="P38">
        <v>0</v>
      </c>
    </row>
    <row r="39" spans="1:16" x14ac:dyDescent="0.25">
      <c r="B39">
        <v>0.95204646984387664</v>
      </c>
      <c r="C39">
        <v>4.7274008407342319E-2</v>
      </c>
      <c r="D39">
        <v>6.795217487810055E-4</v>
      </c>
      <c r="F39">
        <v>2.6988634777042289E-2</v>
      </c>
      <c r="G39">
        <v>0.28666592053170059</v>
      </c>
      <c r="H39">
        <v>0.68634544469125713</v>
      </c>
      <c r="N39" t="s">
        <v>79</v>
      </c>
      <c r="O39">
        <f>O38+O37-O40</f>
        <v>13.996949413179458</v>
      </c>
      <c r="P39">
        <f>B29</f>
        <v>0.99954431642853281</v>
      </c>
    </row>
    <row r="40" spans="1:16" x14ac:dyDescent="0.25">
      <c r="B40">
        <v>0.9568775895688002</v>
      </c>
      <c r="C40">
        <v>4.2467913585352304E-2</v>
      </c>
      <c r="D40">
        <v>6.544968458475004E-4</v>
      </c>
      <c r="F40">
        <v>2.2597458745040606E-2</v>
      </c>
      <c r="G40">
        <v>0.26428862035109812</v>
      </c>
      <c r="H40">
        <v>0.71311392090386128</v>
      </c>
      <c r="N40" t="s">
        <v>80</v>
      </c>
      <c r="O40">
        <f>O41*O37*0.4/G44</f>
        <v>33.286911882342189</v>
      </c>
      <c r="P40">
        <f>F44</f>
        <v>3.0325095048972031E-2</v>
      </c>
    </row>
    <row r="41" spans="1:16" x14ac:dyDescent="0.25">
      <c r="B41">
        <v>0.95265639784837197</v>
      </c>
      <c r="C41">
        <v>4.6667273131528603E-2</v>
      </c>
      <c r="D41">
        <v>6.7632902009941045E-4</v>
      </c>
      <c r="F41">
        <v>2.6363017326839634E-2</v>
      </c>
      <c r="G41">
        <v>0.28393748048390532</v>
      </c>
      <c r="H41">
        <v>0.68969950218925502</v>
      </c>
      <c r="N41" t="s">
        <v>81</v>
      </c>
      <c r="O41">
        <v>0.99</v>
      </c>
    </row>
    <row r="42" spans="1:16" x14ac:dyDescent="0.25">
      <c r="A42" t="s">
        <v>76</v>
      </c>
      <c r="B42">
        <v>0.95073859271644701</v>
      </c>
      <c r="C42">
        <v>4.8575006227730214E-2</v>
      </c>
      <c r="D42">
        <v>6.8640105582274367E-4</v>
      </c>
      <c r="F42">
        <v>2.8485035469661836E-2</v>
      </c>
      <c r="G42">
        <v>0.29240399154434576</v>
      </c>
      <c r="H42">
        <v>0.67911097298599232</v>
      </c>
    </row>
    <row r="43" spans="1:16" x14ac:dyDescent="0.25">
      <c r="B43">
        <v>0.94990511351498852</v>
      </c>
      <c r="C43">
        <v>4.9404077790703382E-2</v>
      </c>
      <c r="D43">
        <v>6.9080869430801278E-4</v>
      </c>
      <c r="F43">
        <v>2.9670508921486489E-2</v>
      </c>
      <c r="G43">
        <v>0.29595495612888334</v>
      </c>
      <c r="H43">
        <v>0.67437453494963018</v>
      </c>
    </row>
    <row r="44" spans="1:16" x14ac:dyDescent="0.25">
      <c r="B44">
        <v>0.94955201997519367</v>
      </c>
      <c r="C44">
        <v>4.9755298564812811E-2</v>
      </c>
      <c r="D44">
        <v>6.9268145999348385E-4</v>
      </c>
      <c r="F44">
        <v>3.0325095048972031E-2</v>
      </c>
      <c r="G44">
        <v>0.29741419195007046</v>
      </c>
      <c r="H44">
        <v>0.67226071300095747</v>
      </c>
    </row>
    <row r="45" spans="1:16" x14ac:dyDescent="0.25">
      <c r="B45">
        <v>0.94930271628292417</v>
      </c>
      <c r="C45">
        <v>5.0003278052025986E-2</v>
      </c>
      <c r="D45">
        <v>6.9400566504988672E-4</v>
      </c>
      <c r="F45">
        <v>3.0974847772594169E-2</v>
      </c>
      <c r="G45">
        <v>0.29840143684108122</v>
      </c>
      <c r="H45">
        <v>0.67062371538632459</v>
      </c>
    </row>
    <row r="46" spans="1:16" x14ac:dyDescent="0.25">
      <c r="B46">
        <v>0.92174713908464345</v>
      </c>
      <c r="C46">
        <v>7.7400817803338184E-2</v>
      </c>
      <c r="D46">
        <v>8.5204311201838646E-4</v>
      </c>
      <c r="F46">
        <v>4.0509651262690738E-2</v>
      </c>
      <c r="G46">
        <v>0.40150880984056481</v>
      </c>
      <c r="H46">
        <v>0.5579815388967444</v>
      </c>
    </row>
    <row r="47" spans="1:16" x14ac:dyDescent="0.25">
      <c r="B47">
        <v>0.92038657714314942</v>
      </c>
      <c r="C47">
        <v>7.8752940642814989E-2</v>
      </c>
      <c r="D47">
        <v>8.6048221403557125E-4</v>
      </c>
      <c r="F47">
        <v>3.9719699922162253E-2</v>
      </c>
      <c r="G47">
        <v>0.40635487177414509</v>
      </c>
      <c r="H47">
        <v>0.55392542830369262</v>
      </c>
    </row>
    <row r="48" spans="1:16" x14ac:dyDescent="0.25">
      <c r="B48">
        <v>0.91664133665329695</v>
      </c>
      <c r="C48">
        <v>8.2474632788971991E-2</v>
      </c>
      <c r="D48">
        <v>8.840305577309536E-4</v>
      </c>
      <c r="F48">
        <v>3.8682034101778104E-2</v>
      </c>
      <c r="G48">
        <v>0.41892975207902883</v>
      </c>
      <c r="H48">
        <v>0.54238821381919311</v>
      </c>
    </row>
    <row r="49" spans="1:12" x14ac:dyDescent="0.25">
      <c r="B49">
        <v>0.91207171951419153</v>
      </c>
      <c r="C49">
        <v>8.7014877439141228E-2</v>
      </c>
      <c r="D49">
        <v>9.1340304666724605E-4</v>
      </c>
      <c r="F49">
        <v>3.8029512239999334E-2</v>
      </c>
      <c r="G49">
        <v>0.43346738869330015</v>
      </c>
      <c r="H49">
        <v>0.52850309906670057</v>
      </c>
    </row>
    <row r="50" spans="1:12" x14ac:dyDescent="0.25">
      <c r="B50">
        <v>0.90716855027067222</v>
      </c>
      <c r="C50">
        <v>9.1885733804794853E-2</v>
      </c>
      <c r="D50">
        <v>9.4571592453300481E-4</v>
      </c>
      <c r="F50">
        <v>3.7585817495919945E-2</v>
      </c>
      <c r="G50">
        <v>0.44831826659701457</v>
      </c>
      <c r="H50">
        <v>0.51409591590706549</v>
      </c>
      <c r="J50" t="s">
        <v>74</v>
      </c>
      <c r="K50" t="s">
        <v>75</v>
      </c>
    </row>
    <row r="51" spans="1:12" x14ac:dyDescent="0.25">
      <c r="A51" t="s">
        <v>76</v>
      </c>
      <c r="B51">
        <v>0.90213296270110432</v>
      </c>
      <c r="C51">
        <v>9.6887263923445155E-2</v>
      </c>
      <c r="D51">
        <v>9.7977337545046821E-4</v>
      </c>
      <c r="F51">
        <v>3.7261369411239337E-2</v>
      </c>
      <c r="G51">
        <v>0.46286175639038729</v>
      </c>
      <c r="H51">
        <v>0.49987687419837334</v>
      </c>
      <c r="J51">
        <v>0</v>
      </c>
      <c r="K51">
        <v>1</v>
      </c>
    </row>
    <row r="52" spans="1:12" x14ac:dyDescent="0.25">
      <c r="B52">
        <v>0.88954043737139832</v>
      </c>
      <c r="C52">
        <v>0.10939066751330817</v>
      </c>
      <c r="D52">
        <v>1.0688951152935068E-3</v>
      </c>
      <c r="F52">
        <v>3.6731521795743821E-2</v>
      </c>
      <c r="G52">
        <v>0.49646363335234411</v>
      </c>
      <c r="H52">
        <v>0.46680484485191209</v>
      </c>
      <c r="J52">
        <v>1</v>
      </c>
      <c r="K52">
        <v>0</v>
      </c>
    </row>
    <row r="53" spans="1:12" x14ac:dyDescent="0.25">
      <c r="B53">
        <v>0.86410510795360929</v>
      </c>
      <c r="C53">
        <v>0.13462815098976205</v>
      </c>
      <c r="D53">
        <v>1.2667410566287475E-3</v>
      </c>
      <c r="F53">
        <v>3.6200686169545804E-2</v>
      </c>
      <c r="G53">
        <v>0.55447148808844093</v>
      </c>
      <c r="H53">
        <v>0.40932782574201321</v>
      </c>
    </row>
    <row r="54" spans="1:12" x14ac:dyDescent="0.25">
      <c r="B54">
        <v>0.83462960034052325</v>
      </c>
      <c r="C54">
        <v>0.16384357088930623</v>
      </c>
      <c r="D54">
        <v>1.5268287701705034E-3</v>
      </c>
      <c r="F54">
        <v>3.6010251062913036E-2</v>
      </c>
      <c r="G54">
        <v>0.60989996886273368</v>
      </c>
      <c r="H54">
        <v>0.35408978007435332</v>
      </c>
      <c r="J54">
        <v>0</v>
      </c>
      <c r="K54">
        <v>0</v>
      </c>
    </row>
    <row r="55" spans="1:12" x14ac:dyDescent="0.25">
      <c r="A55" t="s">
        <v>76</v>
      </c>
      <c r="B55">
        <v>0.81062073616947938</v>
      </c>
      <c r="C55">
        <v>0.18761619305553789</v>
      </c>
      <c r="D55">
        <v>1.7630707749827358E-3</v>
      </c>
      <c r="F55">
        <v>3.6078499368218095E-2</v>
      </c>
      <c r="G55">
        <v>0.65040096730407138</v>
      </c>
      <c r="H55">
        <v>0.31352053332771057</v>
      </c>
      <c r="J55">
        <v>1</v>
      </c>
      <c r="K55">
        <v>0</v>
      </c>
    </row>
    <row r="56" spans="1:12" x14ac:dyDescent="0.25">
      <c r="B56">
        <v>0.79619336154455245</v>
      </c>
      <c r="C56">
        <v>0.20189171685125484</v>
      </c>
      <c r="D56">
        <v>1.914921604192724E-3</v>
      </c>
      <c r="F56">
        <v>3.6237974258955863E-2</v>
      </c>
      <c r="G56">
        <v>0.67658588962882049</v>
      </c>
      <c r="H56">
        <v>0.2871761361122237</v>
      </c>
    </row>
    <row r="57" spans="1:12" x14ac:dyDescent="0.25">
      <c r="B57">
        <v>0.79134894562089397</v>
      </c>
      <c r="C57">
        <v>0.2066836916466761</v>
      </c>
      <c r="D57">
        <v>1.9673627324299382E-3</v>
      </c>
      <c r="F57">
        <v>3.6335504951248383E-2</v>
      </c>
      <c r="G57">
        <v>0.68744990243083715</v>
      </c>
      <c r="H57">
        <v>0.27621459261791448</v>
      </c>
    </row>
    <row r="58" spans="1:12" x14ac:dyDescent="0.25">
      <c r="B58">
        <v>0.78530311628183991</v>
      </c>
      <c r="C58">
        <v>0.21266340095393194</v>
      </c>
      <c r="D58">
        <v>2.033482764228245E-3</v>
      </c>
      <c r="F58">
        <v>3.6620719604614937E-2</v>
      </c>
      <c r="G58">
        <v>0.71118796674784468</v>
      </c>
      <c r="H58">
        <v>0.25219131364754044</v>
      </c>
    </row>
    <row r="62" spans="1:12" x14ac:dyDescent="0.25">
      <c r="B62" s="23">
        <v>0.96535083273334765</v>
      </c>
      <c r="C62" s="24">
        <v>3.3954848150963515E-2</v>
      </c>
      <c r="D62" s="25">
        <v>6.9431911568881334E-4</v>
      </c>
      <c r="H62">
        <v>0.84486578516060384</v>
      </c>
      <c r="L62">
        <v>3.6039283512810605E-2</v>
      </c>
    </row>
    <row r="63" spans="1:12" x14ac:dyDescent="0.25">
      <c r="B63" s="23">
        <v>0.90899115899045813</v>
      </c>
      <c r="C63" s="24">
        <v>9.0339991097610026E-2</v>
      </c>
      <c r="D63" s="25">
        <v>6.6884991193173348E-4</v>
      </c>
      <c r="H63">
        <v>0.86707874888388381</v>
      </c>
      <c r="L63">
        <v>3.6240504621222927E-2</v>
      </c>
    </row>
    <row r="64" spans="1:12" x14ac:dyDescent="0.25">
      <c r="B64" s="23">
        <v>0.84518555328032308</v>
      </c>
      <c r="C64" s="24">
        <v>0.15370149116973225</v>
      </c>
      <c r="D64" s="25">
        <v>1.1129555499447348E-3</v>
      </c>
    </row>
    <row r="65" spans="2:11" ht="15.75" thickBot="1" x14ac:dyDescent="0.3">
      <c r="B65" s="26">
        <v>1.9758622410767951E-2</v>
      </c>
      <c r="C65" s="24">
        <v>0.22561279123789454</v>
      </c>
      <c r="D65" s="25">
        <v>0.75462858635133745</v>
      </c>
    </row>
    <row r="66" spans="2:11" ht="15.75" thickBot="1" x14ac:dyDescent="0.3">
      <c r="B66" s="26">
        <v>2.6399550183868581E-2</v>
      </c>
      <c r="C66" s="24">
        <v>0.45953988416182567</v>
      </c>
      <c r="D66" s="25">
        <v>0.51406056565430569</v>
      </c>
      <c r="G66" s="35">
        <v>0.55567800775251652</v>
      </c>
      <c r="H66" s="34">
        <v>0.40812861722382998</v>
      </c>
      <c r="J66" s="31">
        <v>2.3349654310433073E-2</v>
      </c>
      <c r="K66" s="30">
        <v>0.97406229672629385</v>
      </c>
    </row>
    <row r="67" spans="2:11" x14ac:dyDescent="0.25">
      <c r="B67" s="26">
        <v>4.0019376694577141E-2</v>
      </c>
      <c r="C67" s="24">
        <v>0.54826517068730163</v>
      </c>
      <c r="D67" s="25">
        <v>0.41171545261812115</v>
      </c>
      <c r="G67" s="35">
        <v>0.13520891974273205</v>
      </c>
      <c r="H67" s="34">
        <v>1.2715838189929006E-3</v>
      </c>
      <c r="J67" s="31">
        <v>3.1480623640698273E-3</v>
      </c>
      <c r="K67" s="30">
        <v>4.6923835024904209E-4</v>
      </c>
    </row>
    <row r="69" spans="2:11" ht="15.75" thickBot="1" x14ac:dyDescent="0.3">
      <c r="B69" s="26">
        <v>0.96543355817159615</v>
      </c>
      <c r="C69" s="24">
        <v>3.3954848150963515E-2</v>
      </c>
      <c r="D69" s="25">
        <v>6.1159367744037562E-4</v>
      </c>
      <c r="G69" s="31">
        <v>0.16247304787227942</v>
      </c>
      <c r="H69" s="30">
        <v>0.82715981731269161</v>
      </c>
      <c r="J69" s="33">
        <v>2.0396642786847559E-2</v>
      </c>
      <c r="K69" s="32">
        <v>0.97710914174196639</v>
      </c>
    </row>
    <row r="70" spans="2:11" ht="15.75" thickBot="1" x14ac:dyDescent="0.3">
      <c r="B70" s="26">
        <v>0.90872463799137526</v>
      </c>
      <c r="C70" s="24">
        <v>9.0339991097610026E-2</v>
      </c>
      <c r="D70" s="25">
        <v>9.3537091101472485E-4</v>
      </c>
      <c r="G70" s="31">
        <v>2.3827766291886758E-2</v>
      </c>
      <c r="H70" s="30">
        <v>5.6271934778170029E-4</v>
      </c>
      <c r="J70" s="33">
        <v>2.7458997058687415E-3</v>
      </c>
      <c r="K70" s="32">
        <v>4.6749714150626177E-4</v>
      </c>
    </row>
    <row r="71" spans="2:11" x14ac:dyDescent="0.25">
      <c r="B71" s="26">
        <v>0.8448657851540442</v>
      </c>
      <c r="C71" s="24">
        <v>0.15370149116973225</v>
      </c>
      <c r="D71" s="25">
        <v>1.4327236762235389E-3</v>
      </c>
    </row>
    <row r="72" spans="2:11" x14ac:dyDescent="0.25">
      <c r="B72" s="26">
        <v>1.6344487512453619E-2</v>
      </c>
      <c r="C72" s="24">
        <v>0.22069409160203862</v>
      </c>
      <c r="D72" s="25">
        <v>0.76296142088550778</v>
      </c>
      <c r="G72" s="31">
        <v>4.2954139298477398E-2</v>
      </c>
      <c r="H72" s="30">
        <v>0.95377287486372897</v>
      </c>
    </row>
    <row r="73" spans="2:11" x14ac:dyDescent="0.25">
      <c r="B73" s="26">
        <v>3.7708803071371005E-2</v>
      </c>
      <c r="C73" s="24">
        <v>0.44368236190625876</v>
      </c>
      <c r="D73" s="25">
        <v>0.51860883502237021</v>
      </c>
      <c r="G73" s="31">
        <v>5.849352156483854E-3</v>
      </c>
      <c r="H73" s="30">
        <v>4.8100709364513801E-4</v>
      </c>
    </row>
    <row r="74" spans="2:11" x14ac:dyDescent="0.25">
      <c r="B74" s="26">
        <v>3.6039282129925493E-2</v>
      </c>
      <c r="C74" s="24">
        <v>0.59172377202958715</v>
      </c>
      <c r="D74" s="25">
        <v>0.37223694584048739</v>
      </c>
    </row>
    <row r="76" spans="2:11" x14ac:dyDescent="0.25">
      <c r="B76" s="21">
        <f>1-C76-D76</f>
        <v>0.86707875966419734</v>
      </c>
      <c r="C76" s="24">
        <v>0.13167888826102753</v>
      </c>
      <c r="D76" s="25">
        <v>1.2423520747751053E-3</v>
      </c>
      <c r="E76" s="21"/>
    </row>
    <row r="77" spans="2:11" x14ac:dyDescent="0.25">
      <c r="B77" s="21">
        <v>3.624050904986291E-2</v>
      </c>
      <c r="C77">
        <v>0.54826517068730163</v>
      </c>
      <c r="D77" s="21">
        <f>1-B77-C77</f>
        <v>0.4154943202628355</v>
      </c>
    </row>
    <row r="78" spans="2:11" x14ac:dyDescent="0.25">
      <c r="B78" s="21">
        <f>1-C78-D78</f>
        <v>0.85500086986024304</v>
      </c>
      <c r="C78" s="24">
        <v>0.14365561643165803</v>
      </c>
      <c r="D78" s="25">
        <v>1.3435137080988857E-3</v>
      </c>
      <c r="E78" s="21"/>
    </row>
    <row r="79" spans="2:11" x14ac:dyDescent="0.25">
      <c r="B79" s="21">
        <v>3.6105125073231478E-2</v>
      </c>
      <c r="C79">
        <v>0.57268150644799598</v>
      </c>
      <c r="D79" s="21">
        <f>1-B79-C79</f>
        <v>0.39121336847877253</v>
      </c>
    </row>
  </sheetData>
  <mergeCells count="16">
    <mergeCell ref="M28:S28"/>
    <mergeCell ref="K12:Q12"/>
    <mergeCell ref="K16:Q16"/>
    <mergeCell ref="B27:D27"/>
    <mergeCell ref="F27:H27"/>
    <mergeCell ref="A21:E21"/>
    <mergeCell ref="A19:A20"/>
    <mergeCell ref="D19:D20"/>
    <mergeCell ref="E19:E20"/>
    <mergeCell ref="B20:C20"/>
    <mergeCell ref="V20:X20"/>
    <mergeCell ref="S20:U20"/>
    <mergeCell ref="S19:X19"/>
    <mergeCell ref="Z19:AE19"/>
    <mergeCell ref="Z20:AB20"/>
    <mergeCell ref="AC20:AE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RTL_LLE">
                <anchor moveWithCells="1" sizeWithCells="1">
                  <from>
                    <xdr:col>17</xdr:col>
                    <xdr:colOff>581025</xdr:colOff>
                    <xdr:row>15</xdr:row>
                    <xdr:rowOff>19050</xdr:rowOff>
                  </from>
                  <to>
                    <xdr:col>20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"/>
  <dimension ref="A1:G25"/>
  <sheetViews>
    <sheetView zoomScale="85" zoomScaleNormal="85" workbookViewId="0">
      <selection activeCell="B22" sqref="B22"/>
    </sheetView>
  </sheetViews>
  <sheetFormatPr defaultRowHeight="15" x14ac:dyDescent="0.25"/>
  <sheetData>
    <row r="1" spans="1:7" x14ac:dyDescent="0.25">
      <c r="A1" s="26">
        <v>0.96543355817159615</v>
      </c>
      <c r="B1" s="24">
        <v>3.3954848150963515E-2</v>
      </c>
      <c r="C1" s="25">
        <v>6.1159367744037562E-4</v>
      </c>
      <c r="E1" s="26">
        <v>1.6344487512453619E-2</v>
      </c>
      <c r="F1" s="24">
        <v>0.22069409160203862</v>
      </c>
      <c r="G1" s="25">
        <v>0.76296142088550778</v>
      </c>
    </row>
    <row r="2" spans="1:7" x14ac:dyDescent="0.25">
      <c r="A2" s="26">
        <v>0.90872463799137526</v>
      </c>
      <c r="B2" s="24">
        <v>9.0339991097610026E-2</v>
      </c>
      <c r="C2" s="25">
        <v>9.3537091101472485E-4</v>
      </c>
      <c r="E2" s="26">
        <v>3.7708803071371005E-2</v>
      </c>
      <c r="F2" s="24">
        <v>0.44368236190625876</v>
      </c>
      <c r="G2" s="25">
        <v>0.51860883502237021</v>
      </c>
    </row>
    <row r="3" spans="1:7" x14ac:dyDescent="0.25">
      <c r="A3" s="26">
        <v>0.8448657851540442</v>
      </c>
      <c r="B3" s="24">
        <v>0.15370149116973225</v>
      </c>
      <c r="C3" s="25">
        <v>1.4327236762235389E-3</v>
      </c>
      <c r="E3" s="26">
        <v>3.6039282129925493E-2</v>
      </c>
      <c r="F3" s="24">
        <v>0.59172377202958715</v>
      </c>
      <c r="G3" s="25">
        <v>0.37223694584048739</v>
      </c>
    </row>
    <row r="4" spans="1:7" ht="15.75" thickBot="1" x14ac:dyDescent="0.3">
      <c r="A4" s="29">
        <v>0.47524063905837155</v>
      </c>
      <c r="B4" s="27">
        <v>0.51836390882122485</v>
      </c>
      <c r="C4" s="28">
        <v>6.3954521204035789E-3</v>
      </c>
      <c r="E4" s="29">
        <v>3.699046172898203E-2</v>
      </c>
      <c r="F4" s="27">
        <v>0.69472245771424102</v>
      </c>
      <c r="G4" s="28">
        <v>0.26828708055677697</v>
      </c>
    </row>
    <row r="5" spans="1:7" x14ac:dyDescent="0.25">
      <c r="A5" s="21">
        <f>1-B5-C5</f>
        <v>0.46499020141521591</v>
      </c>
      <c r="B5" s="24">
        <v>0.52846917367318436</v>
      </c>
      <c r="C5" s="25">
        <v>6.5406249115997281E-3</v>
      </c>
      <c r="E5" s="21">
        <v>3.7002454070340494E-2</v>
      </c>
      <c r="F5">
        <v>0.68681584799384954</v>
      </c>
      <c r="G5" s="21">
        <f>1-E5-F5</f>
        <v>0.27618169793580993</v>
      </c>
    </row>
    <row r="6" spans="1:7" x14ac:dyDescent="0.25">
      <c r="A6" s="21">
        <f>1-B6-C6</f>
        <v>0.32669041196455395</v>
      </c>
      <c r="B6" s="24">
        <v>0.66483372962351095</v>
      </c>
      <c r="C6" s="25">
        <v>8.4758584119350895E-3</v>
      </c>
      <c r="E6" s="21">
        <v>4.051145646466172E-2</v>
      </c>
      <c r="F6">
        <v>0.6199977109782745</v>
      </c>
      <c r="G6" s="21">
        <f>1-E6-F6</f>
        <v>0.3394908325570638</v>
      </c>
    </row>
    <row r="7" spans="1:7" x14ac:dyDescent="0.25">
      <c r="A7" s="21">
        <f>1-B7-C7</f>
        <v>0.43893781248572339</v>
      </c>
      <c r="B7" s="24">
        <v>0.55415559514477164</v>
      </c>
      <c r="C7" s="25">
        <v>6.9065923695049479E-3</v>
      </c>
      <c r="E7" s="21">
        <v>3.7175425850562001E-2</v>
      </c>
      <c r="F7">
        <v>0.67140937428143355</v>
      </c>
      <c r="G7" s="21">
        <f>1-E7-F7</f>
        <v>0.29141519986800446</v>
      </c>
    </row>
    <row r="8" spans="1:7" x14ac:dyDescent="0.25">
      <c r="A8" s="21">
        <f>1-B8-C8</f>
        <v>0.30138550594193358</v>
      </c>
      <c r="B8" s="24">
        <v>0.68978064810087114</v>
      </c>
      <c r="C8" s="25">
        <v>8.8338459571952951E-3</v>
      </c>
      <c r="E8" s="21">
        <v>4.2438224683678957E-2</v>
      </c>
      <c r="F8">
        <v>0.60889856501103057</v>
      </c>
      <c r="G8" s="21">
        <f>1-E8-F8</f>
        <v>0.34866321030529046</v>
      </c>
    </row>
    <row r="9" spans="1:7" x14ac:dyDescent="0.25">
      <c r="A9" s="21">
        <f>1-B9-C9</f>
        <v>0.27916718332798279</v>
      </c>
      <c r="B9" s="24">
        <v>0.71168405202190721</v>
      </c>
      <c r="C9" s="25">
        <v>9.1487646501099921E-3</v>
      </c>
      <c r="E9" s="21">
        <v>4.5010699352539055E-2</v>
      </c>
      <c r="F9">
        <v>0.59890692197384998</v>
      </c>
      <c r="G9" s="21">
        <f>1-E9-F9</f>
        <v>0.35608237867361092</v>
      </c>
    </row>
    <row r="10" spans="1:7" x14ac:dyDescent="0.25">
      <c r="A10" s="21"/>
      <c r="B10" s="24"/>
      <c r="C10" s="25"/>
      <c r="E10" s="21"/>
      <c r="G10" s="21"/>
    </row>
    <row r="14" spans="1:7" x14ac:dyDescent="0.25">
      <c r="A14" s="26">
        <v>0.96535083273334765</v>
      </c>
      <c r="B14" s="24">
        <v>3.3954848150963515E-2</v>
      </c>
      <c r="C14" s="25">
        <v>6.9431911568881334E-4</v>
      </c>
    </row>
    <row r="15" spans="1:7" x14ac:dyDescent="0.25">
      <c r="A15" s="26">
        <v>0.90899115899045813</v>
      </c>
      <c r="B15" s="24">
        <v>9.0339991097610026E-2</v>
      </c>
      <c r="C15" s="25">
        <v>6.6884991193173348E-4</v>
      </c>
    </row>
    <row r="16" spans="1:7" x14ac:dyDescent="0.25">
      <c r="A16" s="26">
        <v>0.84518555328032308</v>
      </c>
      <c r="B16" s="24">
        <v>0.15370149116973225</v>
      </c>
      <c r="C16" s="25">
        <v>1.1129555499447348E-3</v>
      </c>
    </row>
    <row r="17" spans="1:3" x14ac:dyDescent="0.25">
      <c r="A17" s="26">
        <v>0.74294238108503441</v>
      </c>
      <c r="B17" s="24">
        <v>0.25473381272449258</v>
      </c>
      <c r="C17" s="25">
        <v>2.3238061904729624E-3</v>
      </c>
    </row>
    <row r="18" spans="1:3" x14ac:dyDescent="0.25">
      <c r="A18" s="26">
        <v>0.59695208100949748</v>
      </c>
      <c r="B18" s="24">
        <v>0.38739855126072653</v>
      </c>
      <c r="C18" s="25">
        <v>1.5649367729775911E-2</v>
      </c>
    </row>
    <row r="19" spans="1:3" ht="15.75" thickBot="1" x14ac:dyDescent="0.3">
      <c r="A19" s="29">
        <v>0.47229872255725175</v>
      </c>
      <c r="B19" s="27">
        <v>0.50264601561443056</v>
      </c>
      <c r="C19" s="28">
        <v>2.505526182831767E-2</v>
      </c>
    </row>
    <row r="20" spans="1:3" x14ac:dyDescent="0.25">
      <c r="A20" s="26">
        <v>1.9758622410767951E-2</v>
      </c>
      <c r="B20" s="24">
        <v>0.22561279123789454</v>
      </c>
      <c r="C20" s="25">
        <v>0.75462858635133745</v>
      </c>
    </row>
    <row r="21" spans="1:3" x14ac:dyDescent="0.25">
      <c r="A21" s="26">
        <v>2.6399550183868581E-2</v>
      </c>
      <c r="B21" s="24">
        <v>0.45953988416182567</v>
      </c>
      <c r="C21" s="25">
        <v>0.51406056565430569</v>
      </c>
    </row>
    <row r="22" spans="1:3" x14ac:dyDescent="0.25">
      <c r="A22" s="26">
        <v>4.0019376694577141E-2</v>
      </c>
      <c r="B22" s="24">
        <v>0.54826517068730163</v>
      </c>
      <c r="C22" s="25">
        <v>0.41171545261812115</v>
      </c>
    </row>
    <row r="23" spans="1:3" x14ac:dyDescent="0.25">
      <c r="A23" s="26">
        <v>6.7702688177542575E-2</v>
      </c>
      <c r="B23" s="24">
        <v>0.63266227357053428</v>
      </c>
      <c r="C23" s="25">
        <v>0.29963503825192322</v>
      </c>
    </row>
    <row r="24" spans="1:3" x14ac:dyDescent="0.25">
      <c r="A24" s="26">
        <v>0.11462046757859846</v>
      </c>
      <c r="B24" s="24">
        <v>0.68666866390004555</v>
      </c>
      <c r="C24" s="25">
        <v>0.19871086852135583</v>
      </c>
    </row>
    <row r="25" spans="1:3" ht="15.75" thickBot="1" x14ac:dyDescent="0.3">
      <c r="A25" s="29">
        <v>0.1559463202279758</v>
      </c>
      <c r="B25" s="27">
        <v>0.71593936342101161</v>
      </c>
      <c r="C25" s="28">
        <v>0.12811431635101259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Диаграммы</vt:lpstr>
      </vt:variant>
      <vt:variant>
        <vt:i4>1</vt:i4>
      </vt:variant>
    </vt:vector>
  </HeadingPairs>
  <TitlesOfParts>
    <vt:vector size="3" baseType="lpstr">
      <vt:lpstr>NRTL</vt:lpstr>
      <vt:lpstr>prekol</vt:lpstr>
      <vt:lpstr>LLE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2025-06-23T11:33:28Z</dcterms:modified>
</cp:coreProperties>
</file>