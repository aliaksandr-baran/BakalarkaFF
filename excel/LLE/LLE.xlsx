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Workbook________" defaultThemeVersion="124226"/>
  <bookViews>
    <workbookView xWindow="240" yWindow="105" windowWidth="14805" windowHeight="8010"/>
  </bookViews>
  <sheets>
    <sheet name="NRTL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L18" i="1" l="1"/>
  <c r="S29" i="1"/>
  <c r="M29" i="1"/>
  <c r="H29" i="1"/>
  <c r="B29" i="1"/>
  <c r="Q8" i="1" l="1"/>
  <c r="K8" i="1"/>
  <c r="X10" i="1"/>
  <c r="V8" i="1"/>
  <c r="L5" i="1"/>
  <c r="M5" i="1"/>
  <c r="N5" i="1"/>
  <c r="O5" i="1"/>
  <c r="P5" i="1"/>
  <c r="K5" i="1"/>
  <c r="P3" i="1"/>
  <c r="O3" i="1"/>
  <c r="N3" i="1"/>
  <c r="M3" i="1"/>
  <c r="L3" i="1"/>
  <c r="K3" i="1"/>
  <c r="W8" i="1" l="1"/>
  <c r="W10" i="1"/>
  <c r="U8" i="1"/>
  <c r="T10" i="1"/>
  <c r="V10" i="1"/>
  <c r="S8" i="1"/>
  <c r="X8" i="1"/>
  <c r="S10" i="1"/>
  <c r="U10" i="1"/>
  <c r="T8" i="1"/>
  <c r="H22" i="1"/>
  <c r="AA8" i="1" l="1"/>
  <c r="AD8" i="1" s="1"/>
  <c r="AA10" i="1"/>
  <c r="AD10" i="1" s="1"/>
  <c r="Y10" i="1"/>
  <c r="AB10" i="1" s="1"/>
  <c r="Y8" i="1"/>
  <c r="AB8" i="1" s="1"/>
  <c r="Z8" i="1"/>
  <c r="AC8" i="1" s="1"/>
  <c r="Z10" i="1"/>
  <c r="AC10" i="1" s="1"/>
  <c r="H19" i="1"/>
  <c r="AG8" i="1" l="1"/>
  <c r="Q14" i="1" s="1"/>
  <c r="Q18" i="1" s="1"/>
  <c r="AE10" i="1"/>
  <c r="K14" i="1" s="1"/>
  <c r="K18" i="1" s="1"/>
  <c r="AE8" i="1"/>
  <c r="O14" i="1" s="1"/>
  <c r="AG10" i="1"/>
  <c r="M14" i="1" s="1"/>
  <c r="AF8" i="1"/>
  <c r="P14" i="1" s="1"/>
  <c r="AF10" i="1"/>
  <c r="L14" i="1" s="1"/>
  <c r="M18" i="1" l="1"/>
  <c r="P18" i="1"/>
  <c r="O18" i="1"/>
  <c r="R14" i="1" l="1"/>
  <c r="J14" i="1"/>
</calcChain>
</file>

<file path=xl/sharedStrings.xml><?xml version="1.0" encoding="utf-8"?>
<sst xmlns="http://schemas.openxmlformats.org/spreadsheetml/2006/main" count="95" uniqueCount="77">
  <si>
    <r>
      <t>τ</t>
    </r>
    <r>
      <rPr>
        <b/>
        <vertAlign val="subscript"/>
        <sz val="11"/>
        <color rgb="FF000000"/>
        <rFont val="Calibri"/>
        <family val="2"/>
      </rPr>
      <t>12</t>
    </r>
  </si>
  <si>
    <r>
      <t>τ</t>
    </r>
    <r>
      <rPr>
        <b/>
        <vertAlign val="subscript"/>
        <sz val="11"/>
        <color rgb="FF000000"/>
        <rFont val="Calibri"/>
        <family val="2"/>
      </rPr>
      <t>21</t>
    </r>
  </si>
  <si>
    <r>
      <t>τ</t>
    </r>
    <r>
      <rPr>
        <b/>
        <vertAlign val="subscript"/>
        <sz val="11"/>
        <color rgb="FF000000"/>
        <rFont val="Calibri"/>
        <family val="2"/>
      </rPr>
      <t>13</t>
    </r>
  </si>
  <si>
    <r>
      <t>τ</t>
    </r>
    <r>
      <rPr>
        <b/>
        <vertAlign val="subscript"/>
        <sz val="11"/>
        <color rgb="FF000000"/>
        <rFont val="Calibri"/>
        <family val="2"/>
      </rPr>
      <t>31</t>
    </r>
  </si>
  <si>
    <r>
      <t>τ</t>
    </r>
    <r>
      <rPr>
        <b/>
        <vertAlign val="subscript"/>
        <sz val="11"/>
        <color rgb="FF000000"/>
        <rFont val="Calibri"/>
        <family val="2"/>
      </rPr>
      <t>23</t>
    </r>
  </si>
  <si>
    <r>
      <t>τ</t>
    </r>
    <r>
      <rPr>
        <b/>
        <vertAlign val="subscript"/>
        <sz val="11"/>
        <color rgb="FF000000"/>
        <rFont val="Calibri"/>
        <family val="2"/>
      </rPr>
      <t>32</t>
    </r>
  </si>
  <si>
    <r>
      <t>G</t>
    </r>
    <r>
      <rPr>
        <b/>
        <vertAlign val="subscript"/>
        <sz val="11"/>
        <color rgb="FF000000"/>
        <rFont val="Calibri"/>
        <family val="2"/>
      </rPr>
      <t>12</t>
    </r>
  </si>
  <si>
    <r>
      <t>G</t>
    </r>
    <r>
      <rPr>
        <b/>
        <vertAlign val="subscript"/>
        <sz val="11"/>
        <color rgb="FF000000"/>
        <rFont val="Calibri"/>
        <family val="2"/>
      </rPr>
      <t>21</t>
    </r>
  </si>
  <si>
    <r>
      <t>G</t>
    </r>
    <r>
      <rPr>
        <b/>
        <vertAlign val="subscript"/>
        <sz val="11"/>
        <color rgb="FF000000"/>
        <rFont val="Calibri"/>
        <family val="2"/>
      </rPr>
      <t>13</t>
    </r>
  </si>
  <si>
    <r>
      <t>G</t>
    </r>
    <r>
      <rPr>
        <b/>
        <vertAlign val="subscript"/>
        <sz val="11"/>
        <color rgb="FF000000"/>
        <rFont val="Calibri"/>
        <family val="2"/>
      </rPr>
      <t>31</t>
    </r>
  </si>
  <si>
    <r>
      <t>G</t>
    </r>
    <r>
      <rPr>
        <b/>
        <vertAlign val="subscript"/>
        <sz val="11"/>
        <color rgb="FF000000"/>
        <rFont val="Calibri"/>
        <family val="2"/>
      </rPr>
      <t>23</t>
    </r>
  </si>
  <si>
    <r>
      <t>G</t>
    </r>
    <r>
      <rPr>
        <b/>
        <vertAlign val="subscript"/>
        <sz val="11"/>
        <color rgb="FF000000"/>
        <rFont val="Calibri"/>
        <family val="2"/>
      </rPr>
      <t>32</t>
    </r>
  </si>
  <si>
    <r>
      <t>MTBE (1) + methanol (2) + [BMIM][HSO</t>
    </r>
    <r>
      <rPr>
        <b/>
        <sz val="8"/>
        <color rgb="FF1F1F1F"/>
        <rFont val="Georgia"/>
        <family val="1"/>
      </rPr>
      <t>4</t>
    </r>
    <r>
      <rPr>
        <b/>
        <sz val="11"/>
        <color rgb="FF1F1F1F"/>
        <rFont val="Georgia"/>
        <family val="1"/>
      </rPr>
      <t>] (3) at 318.15 K</t>
    </r>
  </si>
  <si>
    <t>1–2</t>
  </si>
  <si>
    <t>1–3</t>
  </si>
  <si>
    <t>2–3</t>
  </si>
  <si>
    <r>
      <t>i</t>
    </r>
    <r>
      <rPr>
        <b/>
        <sz val="11"/>
        <color rgb="FF1F1F1F"/>
        <rFont val="Georgia"/>
        <family val="1"/>
      </rPr>
      <t>–</t>
    </r>
    <r>
      <rPr>
        <b/>
        <i/>
        <sz val="11"/>
        <color rgb="FF1F1F1F"/>
        <rFont val="Georgia"/>
        <family val="1"/>
      </rPr>
      <t>j</t>
    </r>
  </si>
  <si>
    <r>
      <t>Δgij</t>
    </r>
    <r>
      <rPr>
        <b/>
        <sz val="11"/>
        <color rgb="FF1F1F1F"/>
        <rFont val="Georgia"/>
        <family val="1"/>
      </rPr>
      <t>(kJ·mol</t>
    </r>
    <r>
      <rPr>
        <b/>
        <sz val="8"/>
        <color rgb="FF1F1F1F"/>
        <rFont val="Georgia"/>
        <family val="1"/>
      </rPr>
      <t>−1</t>
    </r>
    <r>
      <rPr>
        <b/>
        <sz val="11"/>
        <color rgb="FF1F1F1F"/>
        <rFont val="Georgia"/>
        <family val="1"/>
      </rPr>
      <t>)</t>
    </r>
  </si>
  <si>
    <r>
      <t>Δgji</t>
    </r>
    <r>
      <rPr>
        <b/>
        <sz val="11"/>
        <color rgb="FF1F1F1F"/>
        <rFont val="Georgia"/>
        <family val="1"/>
      </rPr>
      <t>(kJ·mol</t>
    </r>
    <r>
      <rPr>
        <b/>
        <sz val="8"/>
        <color rgb="FF1F1F1F"/>
        <rFont val="Georgia"/>
        <family val="1"/>
      </rPr>
      <t>−1</t>
    </r>
    <r>
      <rPr>
        <b/>
        <sz val="11"/>
        <color rgb="FF1F1F1F"/>
        <rFont val="Georgia"/>
        <family val="1"/>
      </rPr>
      <t>)</t>
    </r>
  </si>
  <si>
    <t>rmsd</t>
  </si>
  <si>
    <t>α</t>
  </si>
  <si>
    <t>NRTL parameters</t>
  </si>
  <si>
    <t>R</t>
  </si>
  <si>
    <t>kJ.mol^-1.K^-1</t>
  </si>
  <si>
    <t>T</t>
  </si>
  <si>
    <t>K</t>
  </si>
  <si>
    <t>x1.1</t>
  </si>
  <si>
    <t>x2.1</t>
  </si>
  <si>
    <t>x3.1</t>
  </si>
  <si>
    <t>x1.2</t>
  </si>
  <si>
    <t>x2.2</t>
  </si>
  <si>
    <t>x3.3</t>
  </si>
  <si>
    <t>φ1.1</t>
  </si>
  <si>
    <t>φ2.1</t>
  </si>
  <si>
    <t>φ3.1</t>
  </si>
  <si>
    <t>θ1.1</t>
  </si>
  <si>
    <t>θ2.1</t>
  </si>
  <si>
    <t>θ3.1</t>
  </si>
  <si>
    <t>lnγ1.1</t>
  </si>
  <si>
    <t>lnγ2.1</t>
  </si>
  <si>
    <t>lnγ3.1</t>
  </si>
  <si>
    <t>γ1.1</t>
  </si>
  <si>
    <t>γ2.1</t>
  </si>
  <si>
    <t>γ3.1</t>
  </si>
  <si>
    <t>γ1.1/γ1.2</t>
  </si>
  <si>
    <t>γ2.1/γ2.2</t>
  </si>
  <si>
    <t>γ3.1/γ3.2</t>
  </si>
  <si>
    <t>φ1.2</t>
  </si>
  <si>
    <t>φ2.2</t>
  </si>
  <si>
    <t>φ3.2</t>
  </si>
  <si>
    <t>θ1.2</t>
  </si>
  <si>
    <t>θ2.2</t>
  </si>
  <si>
    <t>θ3.2</t>
  </si>
  <si>
    <t>lnγ1.2</t>
  </si>
  <si>
    <t>lnγ2.2</t>
  </si>
  <si>
    <t>lnγ3.2</t>
  </si>
  <si>
    <t>γ1.2</t>
  </si>
  <si>
    <t>γ2.2</t>
  </si>
  <si>
    <t>γ3.2</t>
  </si>
  <si>
    <t>γ1.2/γ1.1</t>
  </si>
  <si>
    <t>γ2.2/γ2.1</t>
  </si>
  <si>
    <t>γ3.2/γ3.1</t>
  </si>
  <si>
    <t>Σxi</t>
  </si>
  <si>
    <t>Nove</t>
  </si>
  <si>
    <t>x1</t>
  </si>
  <si>
    <t>x2</t>
  </si>
  <si>
    <t>x3</t>
  </si>
  <si>
    <t>Step</t>
  </si>
  <si>
    <t>RT</t>
  </si>
  <si>
    <t>x3.2</t>
  </si>
  <si>
    <t>T=318.15K</t>
  </si>
  <si>
    <t>IL-reach phase</t>
  </si>
  <si>
    <t>MTBE-reach phase</t>
  </si>
  <si>
    <t>False</t>
  </si>
  <si>
    <t>x</t>
  </si>
  <si>
    <t>y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</si>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</sst>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vertAlign val="subscript"/>
      <sz val="11"/>
      <color rgb="FF000000"/>
      <name val="Calibri"/>
      <family val="2"/>
    </font>
    <font>
      <b/>
      <sz val="11"/>
      <color rgb="FF1F1F1F"/>
      <name val="Georgia"/>
      <family val="1"/>
    </font>
    <font>
      <b/>
      <sz val="8"/>
      <color rgb="FF1F1F1F"/>
      <name val="Georgia"/>
      <family val="1"/>
    </font>
    <font>
      <sz val="11"/>
      <color rgb="FF1F1F1F"/>
      <name val="Georgia"/>
      <family val="1"/>
    </font>
    <font>
      <b/>
      <i/>
      <sz val="11"/>
      <color rgb="FF1F1F1F"/>
      <name val="Georgia"/>
      <family val="1"/>
    </font>
    <font>
      <sz val="10"/>
      <color rgb="FF1F1F1F"/>
      <name val="Georgia"/>
      <family val="1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8E8E8E"/>
      </top>
      <bottom/>
      <diagonal/>
    </border>
    <border>
      <left/>
      <right/>
      <top/>
      <bottom style="medium">
        <color rgb="FF8E8E8E"/>
      </bottom>
      <diagonal/>
    </border>
    <border>
      <left/>
      <right/>
      <top style="medium">
        <color rgb="FF8E8E8E"/>
      </top>
      <bottom style="medium">
        <color rgb="FF8E8E8E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1" fillId="0" borderId="0" xfId="0" applyFont="1"/>
    <xf numFmtId="0" fontId="7" fillId="0" borderId="4" xfId="0" applyFont="1" applyBorder="1" applyAlignment="1">
      <alignment horizontal="left" vertical="center"/>
    </xf>
    <xf numFmtId="164" fontId="7" fillId="0" borderId="4" xfId="0" applyNumberFormat="1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4" fontId="7" fillId="0" borderId="5" xfId="0" applyNumberFormat="1" applyFont="1" applyBorder="1" applyAlignment="1">
      <alignment horizontal="left" vertical="center"/>
    </xf>
    <xf numFmtId="0" fontId="0" fillId="0" borderId="5" xfId="0" applyBorder="1" applyAlignment="1"/>
    <xf numFmtId="0" fontId="9" fillId="0" borderId="6" xfId="0" applyFont="1" applyBorder="1" applyAlignment="1">
      <alignment horizontal="left" vertical="center"/>
    </xf>
    <xf numFmtId="0" fontId="11" fillId="0" borderId="1" xfId="0" applyFont="1" applyBorder="1"/>
    <xf numFmtId="0" fontId="11" fillId="0" borderId="2" xfId="0" applyFont="1" applyBorder="1"/>
    <xf numFmtId="0" fontId="11" fillId="0" borderId="3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7" xfId="0" applyFont="1" applyBorder="1"/>
    <xf numFmtId="0" fontId="10" fillId="0" borderId="0" xfId="0" applyFont="1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5" fillId="0" borderId="6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</cellXfs>
  <cellStyles count="2">
    <cellStyle name="Normal 2" xfId="1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os1</c:v>
          </c:tx>
          <c:spPr>
            <a:ln w="3175"/>
          </c:spPr>
          <c:marker>
            <c:symbol val="none"/>
          </c:marker>
          <c:xVal>
            <c:numRef>
              <c:f>NRTL!$B$49:$B$50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NRTL!$C$49:$C$50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v>os2</c:v>
          </c:tx>
          <c:marker>
            <c:symbol val="none"/>
          </c:marker>
          <c:xVal>
            <c:numRef>
              <c:f>NRTL!$B$52:$B$53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NRTL!$C$52:$C$53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</c:ser>
        <c:ser>
          <c:idx val="2"/>
          <c:order val="2"/>
          <c:tx>
            <c:v>MTBE-reach</c:v>
          </c:tx>
          <c:marker>
            <c:symbol val="none"/>
          </c:marker>
          <c:xVal>
            <c:numRef>
              <c:f>NRTL!$C$29:$C$45</c:f>
              <c:numCache>
                <c:formatCode>General</c:formatCode>
                <c:ptCount val="17"/>
                <c:pt idx="0">
                  <c:v>0</c:v>
                </c:pt>
                <c:pt idx="1">
                  <c:v>1.0537624818827487E-2</c:v>
                </c:pt>
                <c:pt idx="2">
                  <c:v>1.0772402756667777E-2</c:v>
                </c:pt>
                <c:pt idx="3">
                  <c:v>1.57149828241974E-2</c:v>
                </c:pt>
                <c:pt idx="4">
                  <c:v>1.6235946991594565E-2</c:v>
                </c:pt>
                <c:pt idx="5">
                  <c:v>2.0732964257381477E-2</c:v>
                </c:pt>
                <c:pt idx="6">
                  <c:v>2.5834554215780046E-2</c:v>
                </c:pt>
                <c:pt idx="7">
                  <c:v>3.1028572089992067E-2</c:v>
                </c:pt>
                <c:pt idx="8">
                  <c:v>3.6324653607152632E-2</c:v>
                </c:pt>
                <c:pt idx="9">
                  <c:v>4.1733801381140564E-2</c:v>
                </c:pt>
                <c:pt idx="10">
                  <c:v>4.7274008407342319E-2</c:v>
                </c:pt>
                <c:pt idx="11">
                  <c:v>4.2467913585352304E-2</c:v>
                </c:pt>
                <c:pt idx="12">
                  <c:v>4.6667273131528603E-2</c:v>
                </c:pt>
                <c:pt idx="13">
                  <c:v>4.8575006227730214E-2</c:v>
                </c:pt>
                <c:pt idx="14">
                  <c:v>4.9404077790703382E-2</c:v>
                </c:pt>
                <c:pt idx="15">
                  <c:v>4.9755298564812811E-2</c:v>
                </c:pt>
                <c:pt idx="16">
                  <c:v>5.0003278052025986E-2</c:v>
                </c:pt>
              </c:numCache>
            </c:numRef>
          </c:xVal>
          <c:yVal>
            <c:numRef>
              <c:f>NRTL!$D$29:$D$45</c:f>
              <c:numCache>
                <c:formatCode>General</c:formatCode>
                <c:ptCount val="17"/>
                <c:pt idx="0">
                  <c:v>4.5568357146722697E-4</c:v>
                </c:pt>
                <c:pt idx="1">
                  <c:v>5.0173836202485871E-4</c:v>
                </c:pt>
                <c:pt idx="2">
                  <c:v>5.0278687800149754E-4</c:v>
                </c:pt>
                <c:pt idx="3">
                  <c:v>5.2509465979438258E-4</c:v>
                </c:pt>
                <c:pt idx="4">
                  <c:v>5.274724370927051E-4</c:v>
                </c:pt>
                <c:pt idx="5">
                  <c:v>5.4821389017774215E-4</c:v>
                </c:pt>
                <c:pt idx="6">
                  <c:v>5.7222958250596355E-4</c:v>
                </c:pt>
                <c:pt idx="7">
                  <c:v>5.9724060049341559E-4</c:v>
                </c:pt>
                <c:pt idx="8">
                  <c:v>6.2336159737363007E-4</c:v>
                </c:pt>
                <c:pt idx="9">
                  <c:v>6.5072696674531891E-4</c:v>
                </c:pt>
                <c:pt idx="10">
                  <c:v>6.795217487810055E-4</c:v>
                </c:pt>
                <c:pt idx="11">
                  <c:v>6.544968458475004E-4</c:v>
                </c:pt>
                <c:pt idx="12">
                  <c:v>6.7632902009941045E-4</c:v>
                </c:pt>
                <c:pt idx="13">
                  <c:v>6.8640105582274367E-4</c:v>
                </c:pt>
                <c:pt idx="14">
                  <c:v>6.9080869430801278E-4</c:v>
                </c:pt>
                <c:pt idx="15">
                  <c:v>6.9268145999348385E-4</c:v>
                </c:pt>
                <c:pt idx="16">
                  <c:v>6.9400566504988672E-4</c:v>
                </c:pt>
              </c:numCache>
            </c:numRef>
          </c:yVal>
          <c:smooth val="1"/>
        </c:ser>
        <c:ser>
          <c:idx val="3"/>
          <c:order val="3"/>
          <c:tx>
            <c:v>IL-reach</c:v>
          </c:tx>
          <c:marker>
            <c:symbol val="none"/>
          </c:marker>
          <c:xVal>
            <c:numRef>
              <c:f>NRTL!$G$29:$G$45</c:f>
              <c:numCache>
                <c:formatCode>General</c:formatCode>
                <c:ptCount val="17"/>
                <c:pt idx="0">
                  <c:v>0</c:v>
                </c:pt>
                <c:pt idx="1">
                  <c:v>7.600175900385947E-2</c:v>
                </c:pt>
                <c:pt idx="2">
                  <c:v>7.7623257148904057E-2</c:v>
                </c:pt>
                <c:pt idx="3">
                  <c:v>0.11099382060186649</c:v>
                </c:pt>
                <c:pt idx="4">
                  <c:v>0.11442449236075998</c:v>
                </c:pt>
                <c:pt idx="5">
                  <c:v>0.14333106083663649</c:v>
                </c:pt>
                <c:pt idx="6">
                  <c:v>0.17455157869093968</c:v>
                </c:pt>
                <c:pt idx="7">
                  <c:v>0.20457475965042687</c:v>
                </c:pt>
                <c:pt idx="8">
                  <c:v>0.23332467660447825</c:v>
                </c:pt>
                <c:pt idx="9">
                  <c:v>0.2607246843520038</c:v>
                </c:pt>
                <c:pt idx="10">
                  <c:v>0.28666592053170059</c:v>
                </c:pt>
                <c:pt idx="11">
                  <c:v>0.26428862035109812</c:v>
                </c:pt>
                <c:pt idx="12">
                  <c:v>0.28393748048390532</c:v>
                </c:pt>
                <c:pt idx="13">
                  <c:v>0.29240399154434576</c:v>
                </c:pt>
                <c:pt idx="14">
                  <c:v>0.29595495612888334</c:v>
                </c:pt>
                <c:pt idx="15">
                  <c:v>0.29741419195007046</c:v>
                </c:pt>
                <c:pt idx="16">
                  <c:v>0.29840143684108122</c:v>
                </c:pt>
              </c:numCache>
            </c:numRef>
          </c:xVal>
          <c:yVal>
            <c:numRef>
              <c:f>NRTL!$H$29:$H$45</c:f>
              <c:numCache>
                <c:formatCode>General</c:formatCode>
                <c:ptCount val="17"/>
                <c:pt idx="0">
                  <c:v>0.99809146700131479</c:v>
                </c:pt>
                <c:pt idx="1">
                  <c:v>0.9193050047414737</c:v>
                </c:pt>
                <c:pt idx="2">
                  <c:v>0.91760451759241579</c:v>
                </c:pt>
                <c:pt idx="3">
                  <c:v>0.88239439932326469</c:v>
                </c:pt>
                <c:pt idx="4">
                  <c:v>0.87875009228201095</c:v>
                </c:pt>
                <c:pt idx="5">
                  <c:v>0.84784237933316786</c:v>
                </c:pt>
                <c:pt idx="6">
                  <c:v>0.81401118226723113</c:v>
                </c:pt>
                <c:pt idx="7">
                  <c:v>0.78095729614138443</c:v>
                </c:pt>
                <c:pt idx="8">
                  <c:v>0.74871732217896936</c:v>
                </c:pt>
                <c:pt idx="9">
                  <c:v>0.71727376646638297</c:v>
                </c:pt>
                <c:pt idx="10">
                  <c:v>0.68634544469125713</c:v>
                </c:pt>
                <c:pt idx="11">
                  <c:v>0.71311392090386128</c:v>
                </c:pt>
                <c:pt idx="12">
                  <c:v>0.68969950218925502</c:v>
                </c:pt>
                <c:pt idx="13">
                  <c:v>0.67911097298599232</c:v>
                </c:pt>
                <c:pt idx="14">
                  <c:v>0.67437453494963018</c:v>
                </c:pt>
                <c:pt idx="15">
                  <c:v>0.67226071300095747</c:v>
                </c:pt>
                <c:pt idx="16">
                  <c:v>0.67062371538632459</c:v>
                </c:pt>
              </c:numCache>
            </c:numRef>
          </c:yVal>
          <c:smooth val="1"/>
        </c:ser>
        <c:ser>
          <c:idx val="4"/>
          <c:order val="4"/>
          <c:tx>
            <c:v>riziko</c:v>
          </c:tx>
          <c:spPr>
            <a:ln w="317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(NRTL!$C$45,NRTL!$G$45)</c:f>
              <c:numCache>
                <c:formatCode>General</c:formatCode>
                <c:ptCount val="2"/>
                <c:pt idx="0">
                  <c:v>5.0003278052025986E-2</c:v>
                </c:pt>
                <c:pt idx="1">
                  <c:v>0.29840143684108122</c:v>
                </c:pt>
              </c:numCache>
            </c:numRef>
          </c:xVal>
          <c:yVal>
            <c:numRef>
              <c:f>(NRTL!$D$45,NRTL!$H$45)</c:f>
              <c:numCache>
                <c:formatCode>General</c:formatCode>
                <c:ptCount val="2"/>
                <c:pt idx="0">
                  <c:v>6.9400566504988672E-4</c:v>
                </c:pt>
                <c:pt idx="1">
                  <c:v>0.67062371538632459</c:v>
                </c:pt>
              </c:numCache>
            </c:numRef>
          </c:yVal>
          <c:smooth val="1"/>
        </c:ser>
        <c:ser>
          <c:idx val="5"/>
          <c:order val="5"/>
          <c:tx>
            <c:v>kon1</c:v>
          </c:tx>
          <c:spPr>
            <a:ln>
              <a:prstDash val="sysDash"/>
            </a:ln>
          </c:spPr>
          <c:marker>
            <c:symbol val="none"/>
          </c:marker>
          <c:xVal>
            <c:numRef>
              <c:f>(NRTL!$C$30,NRTL!$G$30)</c:f>
              <c:numCache>
                <c:formatCode>General</c:formatCode>
                <c:ptCount val="2"/>
                <c:pt idx="0">
                  <c:v>1.0537624818827487E-2</c:v>
                </c:pt>
                <c:pt idx="1">
                  <c:v>7.600175900385947E-2</c:v>
                </c:pt>
              </c:numCache>
            </c:numRef>
          </c:xVal>
          <c:yVal>
            <c:numRef>
              <c:f>(NRTL!$D$30,NRTL!$H$30)</c:f>
              <c:numCache>
                <c:formatCode>General</c:formatCode>
                <c:ptCount val="2"/>
                <c:pt idx="0">
                  <c:v>5.0173836202485871E-4</c:v>
                </c:pt>
                <c:pt idx="1">
                  <c:v>0.9193050047414737</c:v>
                </c:pt>
              </c:numCache>
            </c:numRef>
          </c:yVal>
          <c:smooth val="1"/>
        </c:ser>
        <c:ser>
          <c:idx val="6"/>
          <c:order val="6"/>
          <c:tx>
            <c:v>kon2</c:v>
          </c:tx>
          <c:spPr>
            <a:ln>
              <a:prstDash val="sysDash"/>
            </a:ln>
          </c:spPr>
          <c:marker>
            <c:symbol val="none"/>
          </c:marker>
          <c:xVal>
            <c:numRef>
              <c:f>(NRTL!$C$34,NRTL!$G$34)</c:f>
              <c:numCache>
                <c:formatCode>General</c:formatCode>
                <c:ptCount val="2"/>
                <c:pt idx="0">
                  <c:v>2.0732964257381477E-2</c:v>
                </c:pt>
                <c:pt idx="1">
                  <c:v>0.14333106083663649</c:v>
                </c:pt>
              </c:numCache>
            </c:numRef>
          </c:xVal>
          <c:yVal>
            <c:numRef>
              <c:f>(NRTL!$D$34,NRTL!$H$34)</c:f>
              <c:numCache>
                <c:formatCode>General</c:formatCode>
                <c:ptCount val="2"/>
                <c:pt idx="0">
                  <c:v>5.4821389017774215E-4</c:v>
                </c:pt>
                <c:pt idx="1">
                  <c:v>0.84784237933316786</c:v>
                </c:pt>
              </c:numCache>
            </c:numRef>
          </c:yVal>
          <c:smooth val="1"/>
        </c:ser>
        <c:ser>
          <c:idx val="7"/>
          <c:order val="7"/>
          <c:tx>
            <c:v>kon3</c:v>
          </c:tx>
          <c:spPr>
            <a:ln>
              <a:prstDash val="sysDash"/>
            </a:ln>
          </c:spPr>
          <c:marker>
            <c:symbol val="none"/>
          </c:marker>
          <c:xVal>
            <c:numRef>
              <c:f>(NRTL!$C$38,NRTL!$G$38)</c:f>
              <c:numCache>
                <c:formatCode>General</c:formatCode>
                <c:ptCount val="2"/>
                <c:pt idx="0">
                  <c:v>4.1733801381140564E-2</c:v>
                </c:pt>
                <c:pt idx="1">
                  <c:v>0.2607246843520038</c:v>
                </c:pt>
              </c:numCache>
            </c:numRef>
          </c:xVal>
          <c:yVal>
            <c:numRef>
              <c:f>(NRTL!$D$38,NRTL!$H$38)</c:f>
              <c:numCache>
                <c:formatCode>General</c:formatCode>
                <c:ptCount val="2"/>
                <c:pt idx="0">
                  <c:v>6.5072696674531891E-4</c:v>
                </c:pt>
                <c:pt idx="1">
                  <c:v>0.71727376646638297</c:v>
                </c:pt>
              </c:numCache>
            </c:numRef>
          </c:yVal>
          <c:smooth val="1"/>
        </c:ser>
        <c:ser>
          <c:idx val="8"/>
          <c:order val="8"/>
          <c:tx>
            <c:v>kon4</c:v>
          </c:tx>
          <c:spPr>
            <a:ln w="3175">
              <a:prstDash val="sysDash"/>
            </a:ln>
          </c:spPr>
          <c:marker>
            <c:symbol val="none"/>
          </c:marker>
          <c:xVal>
            <c:numRef>
              <c:f>(NRTL!$C$42,NRTL!$G$42)</c:f>
              <c:numCache>
                <c:formatCode>General</c:formatCode>
                <c:ptCount val="2"/>
                <c:pt idx="0">
                  <c:v>4.8575006227730214E-2</c:v>
                </c:pt>
                <c:pt idx="1">
                  <c:v>0.29240399154434576</c:v>
                </c:pt>
              </c:numCache>
            </c:numRef>
          </c:xVal>
          <c:yVal>
            <c:numRef>
              <c:f>(NRTL!$D$42,NRTL!$H$42)</c:f>
              <c:numCache>
                <c:formatCode>General</c:formatCode>
                <c:ptCount val="2"/>
                <c:pt idx="0">
                  <c:v>6.8640105582274367E-4</c:v>
                </c:pt>
                <c:pt idx="1">
                  <c:v>0.67911097298599232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811200"/>
        <c:axId val="87813120"/>
      </c:scatterChart>
      <c:valAx>
        <c:axId val="87811200"/>
        <c:scaling>
          <c:orientation val="minMax"/>
          <c:max val="0.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Metanol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87813120"/>
        <c:crosses val="autoZero"/>
        <c:crossBetween val="midCat"/>
      </c:valAx>
      <c:valAx>
        <c:axId val="87813120"/>
        <c:scaling>
          <c:orientation val="minMax"/>
          <c:max val="1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IL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878112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8</xdr:col>
      <xdr:colOff>324971</xdr:colOff>
      <xdr:row>18</xdr:row>
      <xdr:rowOff>26849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5658970" cy="371358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581025</xdr:colOff>
          <xdr:row>15</xdr:row>
          <xdr:rowOff>19050</xdr:rowOff>
        </xdr:from>
        <xdr:to>
          <xdr:col>20</xdr:col>
          <xdr:colOff>9525</xdr:colOff>
          <xdr:row>17</xdr:row>
          <xdr:rowOff>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sk-SK" sz="1100" b="0" i="0" u="none" strike="noStrike" baseline="0">
                  <a:solidFill>
                    <a:srgbClr val="000000"/>
                  </a:solidFill>
                  <a:latin typeface="Calibri"/>
                </a:rPr>
                <a:t>NRTL</a:t>
              </a:r>
              <a:endParaRPr lang="sk-SK"/>
            </a:p>
          </xdr:txBody>
        </xdr:sp>
        <xdr:clientData fPrintsWithSheet="0"/>
      </xdr:twoCellAnchor>
    </mc:Choice>
    <mc:Fallback/>
  </mc:AlternateContent>
  <xdr:twoCellAnchor>
    <xdr:from>
      <xdr:col>7</xdr:col>
      <xdr:colOff>593912</xdr:colOff>
      <xdr:row>30</xdr:row>
      <xdr:rowOff>79561</xdr:rowOff>
    </xdr:from>
    <xdr:to>
      <xdr:col>16</xdr:col>
      <xdr:colOff>526677</xdr:colOff>
      <xdr:row>47</xdr:row>
      <xdr:rowOff>179295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Worksheet____1"/>
  <dimension ref="A1:AG53"/>
  <sheetViews>
    <sheetView tabSelected="1" topLeftCell="V1" zoomScale="85" zoomScaleNormal="85" workbookViewId="0">
      <selection activeCell="AD16" sqref="AD16"/>
    </sheetView>
  </sheetViews>
  <sheetFormatPr defaultRowHeight="15" x14ac:dyDescent="0.25"/>
  <cols>
    <col min="1" max="1" width="5.5703125" customWidth="1"/>
    <col min="2" max="3" width="16.42578125" bestFit="1" customWidth="1"/>
    <col min="4" max="4" width="9" customWidth="1"/>
    <col min="5" max="5" width="5.140625" customWidth="1"/>
    <col min="23" max="23" width="16.7109375" bestFit="1" customWidth="1"/>
  </cols>
  <sheetData>
    <row r="1" spans="10:33" ht="15.75" thickBot="1" x14ac:dyDescent="0.3"/>
    <row r="2" spans="10:33" ht="18.75" thickBot="1" x14ac:dyDescent="0.4">
      <c r="K2" s="1" t="s">
        <v>0</v>
      </c>
      <c r="L2" s="2" t="s">
        <v>1</v>
      </c>
      <c r="M2" s="2" t="s">
        <v>2</v>
      </c>
      <c r="N2" s="2" t="s">
        <v>3</v>
      </c>
      <c r="O2" s="2" t="s">
        <v>4</v>
      </c>
      <c r="P2" s="3" t="s">
        <v>5</v>
      </c>
    </row>
    <row r="3" spans="10:33" ht="15.75" thickBot="1" x14ac:dyDescent="0.3">
      <c r="K3">
        <f>(B22)/H22</f>
        <v>2.1071800296631609</v>
      </c>
      <c r="L3">
        <f>(C22)/H22</f>
        <v>2.8350922655412045</v>
      </c>
      <c r="M3">
        <f>(B23)/H22</f>
        <v>7.2849444468829168</v>
      </c>
      <c r="N3">
        <f>(C23)/H22</f>
        <v>6.1290709297054313</v>
      </c>
      <c r="O3">
        <f>(B24)/H22</f>
        <v>4.0246507210259157</v>
      </c>
      <c r="P3">
        <f>(C24)/H22</f>
        <v>0.21292207917654202</v>
      </c>
    </row>
    <row r="4" spans="10:33" ht="18.75" thickBot="1" x14ac:dyDescent="0.4">
      <c r="K4" s="1" t="s">
        <v>6</v>
      </c>
      <c r="L4" s="2" t="s">
        <v>7</v>
      </c>
      <c r="M4" s="2" t="s">
        <v>8</v>
      </c>
      <c r="N4" s="2" t="s">
        <v>9</v>
      </c>
      <c r="O4" s="2" t="s">
        <v>10</v>
      </c>
      <c r="P4" s="3" t="s">
        <v>11</v>
      </c>
    </row>
    <row r="5" spans="10:33" x14ac:dyDescent="0.25">
      <c r="K5">
        <f t="shared" ref="K5:P5" si="0">EXP(-K3*$E$22)</f>
        <v>0.43047242445194145</v>
      </c>
      <c r="L5">
        <f t="shared" si="0"/>
        <v>0.32173183009668638</v>
      </c>
      <c r="M5">
        <f t="shared" si="0"/>
        <v>5.425946787469077E-2</v>
      </c>
      <c r="N5">
        <f t="shared" si="0"/>
        <v>8.6153182795249569E-2</v>
      </c>
      <c r="O5">
        <f t="shared" si="0"/>
        <v>0.19991554264238187</v>
      </c>
      <c r="P5">
        <f t="shared" si="0"/>
        <v>0.91835722352796123</v>
      </c>
    </row>
    <row r="6" spans="10:33" ht="15.75" thickBot="1" x14ac:dyDescent="0.3"/>
    <row r="7" spans="10:33" ht="16.5" thickBot="1" x14ac:dyDescent="0.3">
      <c r="K7" s="16" t="s">
        <v>26</v>
      </c>
      <c r="L7" s="17" t="s">
        <v>27</v>
      </c>
      <c r="M7" s="18" t="s">
        <v>28</v>
      </c>
      <c r="O7" s="16" t="s">
        <v>29</v>
      </c>
      <c r="P7" s="17" t="s">
        <v>30</v>
      </c>
      <c r="Q7" s="18" t="s">
        <v>69</v>
      </c>
      <c r="S7" s="13" t="s">
        <v>32</v>
      </c>
      <c r="T7" s="14" t="s">
        <v>33</v>
      </c>
      <c r="U7" s="14" t="s">
        <v>34</v>
      </c>
      <c r="V7" s="14" t="s">
        <v>35</v>
      </c>
      <c r="W7" s="14" t="s">
        <v>36</v>
      </c>
      <c r="X7" s="14" t="s">
        <v>37</v>
      </c>
      <c r="Y7" s="14" t="s">
        <v>38</v>
      </c>
      <c r="Z7" s="14" t="s">
        <v>39</v>
      </c>
      <c r="AA7" s="14" t="s">
        <v>40</v>
      </c>
      <c r="AB7" s="14" t="s">
        <v>41</v>
      </c>
      <c r="AC7" s="14" t="s">
        <v>42</v>
      </c>
      <c r="AD7" s="14" t="s">
        <v>43</v>
      </c>
      <c r="AE7" s="14" t="s">
        <v>44</v>
      </c>
      <c r="AF7" s="14" t="s">
        <v>45</v>
      </c>
      <c r="AG7" s="15" t="s">
        <v>46</v>
      </c>
    </row>
    <row r="8" spans="10:33" ht="15.75" thickBot="1" x14ac:dyDescent="0.3">
      <c r="K8">
        <f>1-L8-M8</f>
        <v>0.94920547694598734</v>
      </c>
      <c r="L8" s="21">
        <v>5.0099999999999999E-2</v>
      </c>
      <c r="M8" s="21">
        <v>6.9452305401258635E-4</v>
      </c>
      <c r="N8" s="21"/>
      <c r="O8" s="21">
        <v>3.1340553936363938E-2</v>
      </c>
      <c r="P8" s="21">
        <v>0.29876219711196683</v>
      </c>
      <c r="Q8">
        <f>1-O8-P8</f>
        <v>0.66989724895166924</v>
      </c>
      <c r="S8">
        <f>$K8+$L$5*$L8+$N$5*$M8</f>
        <v>0.96538407700545925</v>
      </c>
      <c r="T8">
        <f>$K$5*$K8+$L8+$P$5*$M8</f>
        <v>0.45934460322755977</v>
      </c>
      <c r="U8">
        <f>$M$5*$K8+$O$5*$L8+$M8</f>
        <v>6.2213675823227253E-2</v>
      </c>
      <c r="V8">
        <f>$L8*$L$3*$L$5+$M8*$N$3*$N$5</f>
        <v>4.6064920333397617E-2</v>
      </c>
      <c r="W8">
        <f>$K8*$K$3*$K$5+$M8*$P$3*$P$5</f>
        <v>0.86114385906330948</v>
      </c>
      <c r="X8">
        <f>$K8*$M$3*$M$5+$L8*$O$3*$O$5</f>
        <v>0.41550926253518156</v>
      </c>
      <c r="Y8">
        <f>(V8/S8)-(K8*V8/S8^2)+(L8*$K$5/T8)*($K$3-W8/T8)+(M8*$M$5/U8)*($M$3-X8/U8)</f>
        <v>1.2080944670277512E-2</v>
      </c>
      <c r="Z8">
        <f>(W8/T8)-(L8*W8/T8^2)+(K8*$L$5/S8)*($L$3-V8/S8)+(M8*$O$5/U8)*($O$3-X8/U8)</f>
        <v>2.5460849605357287</v>
      </c>
      <c r="AA8">
        <f>(X8/U8)-(M8*X8/U8^2)+(K8*$N$5/S8)*($N$3-V8/S8)+(L8*$P$5/T8)*($P$3-W8/T8)</f>
        <v>6.9528819266261594</v>
      </c>
      <c r="AB8">
        <f>EXP(Y8)</f>
        <v>1.0121542140394553</v>
      </c>
      <c r="AC8">
        <f>EXP(Z8)</f>
        <v>12.757061488627635</v>
      </c>
      <c r="AD8">
        <f>EXP(AA8)</f>
        <v>1046.1603452620579</v>
      </c>
      <c r="AE8">
        <f>AB8/AB10</f>
        <v>3.3018186136109476E-2</v>
      </c>
      <c r="AF8">
        <f t="shared" ref="AF8:AG8" si="1">AC8/AC10</f>
        <v>5.9633154454590489</v>
      </c>
      <c r="AG8">
        <f t="shared" si="1"/>
        <v>964.54285908681402</v>
      </c>
    </row>
    <row r="9" spans="10:33" ht="16.5" thickBot="1" x14ac:dyDescent="0.3">
      <c r="S9" s="13" t="s">
        <v>47</v>
      </c>
      <c r="T9" s="14" t="s">
        <v>48</v>
      </c>
      <c r="U9" s="14" t="s">
        <v>49</v>
      </c>
      <c r="V9" s="14" t="s">
        <v>50</v>
      </c>
      <c r="W9" s="14" t="s">
        <v>51</v>
      </c>
      <c r="X9" s="14" t="s">
        <v>52</v>
      </c>
      <c r="Y9" s="14" t="s">
        <v>53</v>
      </c>
      <c r="Z9" s="14" t="s">
        <v>54</v>
      </c>
      <c r="AA9" s="14" t="s">
        <v>55</v>
      </c>
      <c r="AB9" s="14" t="s">
        <v>56</v>
      </c>
      <c r="AC9" s="14" t="s">
        <v>57</v>
      </c>
      <c r="AD9" s="14" t="s">
        <v>58</v>
      </c>
      <c r="AE9" s="14" t="s">
        <v>59</v>
      </c>
      <c r="AF9" s="14" t="s">
        <v>60</v>
      </c>
      <c r="AG9" s="15" t="s">
        <v>61</v>
      </c>
    </row>
    <row r="10" spans="10:33" x14ac:dyDescent="0.25">
      <c r="S10">
        <f>$O8+$L$5*$P8+$N$5*$Q8</f>
        <v>0.18517564251987195</v>
      </c>
      <c r="T10">
        <f>$K$5*$O8+$P8+$P$5*$Q8</f>
        <v>0.92745841894489467</v>
      </c>
      <c r="U10">
        <f>$M$5*$O8+$O$5*$P8+$Q8</f>
        <v>0.73132497748782355</v>
      </c>
      <c r="V10">
        <f>$P8*$L$3*$L$5+$Q8*$N$3*$N$5</f>
        <v>0.62624463023115107</v>
      </c>
      <c r="W10">
        <f>$O8*$K$3*$K$5+$Q8*$P$3*$P$5</f>
        <v>0.15941920338034099</v>
      </c>
      <c r="X10">
        <f>$O8*$M$3*$M$5+$P8*$O$3*$O$5</f>
        <v>0.25276935243235604</v>
      </c>
      <c r="Y10">
        <f>(V10/S10)-(O8*V10/S10^2)+(P8*$K$5/T10)*($K$3-W10/T10)+(Q8*$M$5/U10)*($M$3-X10/U10)</f>
        <v>3.4227777189494146</v>
      </c>
      <c r="Z10">
        <f>(W10/T10)-(P8*W10/T10^2)+(O8*$L$5/S10)*($L$3-V10/S10)+(Q8*$O$5/U10)*($O$3-X10/U10)</f>
        <v>0.76045835133124529</v>
      </c>
      <c r="AA10">
        <f>(X10/U10)-(Q8*X10/U10^2)+(O8*$N$5/S10)*($N$3-V10/S10)+(P8*$P$5/T10)*($P$3-W10/T10)</f>
        <v>8.1227658682048398E-2</v>
      </c>
      <c r="AB10">
        <f>EXP(Y10)</f>
        <v>30.654446306259668</v>
      </c>
      <c r="AC10">
        <f>EXP(Z10)</f>
        <v>2.139256526894262</v>
      </c>
      <c r="AD10">
        <f>EXP(AA10)</f>
        <v>1.0846177911187023</v>
      </c>
      <c r="AE10">
        <f>AB10/AB8</f>
        <v>30.286339651661731</v>
      </c>
      <c r="AF10">
        <f t="shared" ref="AF10:AG10" si="2">AC10/AC8</f>
        <v>0.1676919507522415</v>
      </c>
      <c r="AG10">
        <f t="shared" si="2"/>
        <v>1.0367605654628507E-3</v>
      </c>
    </row>
    <row r="11" spans="10:33" ht="15.75" thickBot="1" x14ac:dyDescent="0.3"/>
    <row r="12" spans="10:33" ht="15.75" thickBot="1" x14ac:dyDescent="0.3">
      <c r="K12" s="23" t="s">
        <v>63</v>
      </c>
      <c r="L12" s="24"/>
      <c r="M12" s="24"/>
      <c r="N12" s="24"/>
      <c r="O12" s="24"/>
      <c r="P12" s="24"/>
      <c r="Q12" s="25"/>
    </row>
    <row r="13" spans="10:33" ht="15.75" thickBot="1" x14ac:dyDescent="0.3">
      <c r="J13" s="19" t="s">
        <v>62</v>
      </c>
      <c r="K13" s="17" t="s">
        <v>26</v>
      </c>
      <c r="L13" s="17" t="s">
        <v>27</v>
      </c>
      <c r="M13" s="17" t="s">
        <v>28</v>
      </c>
      <c r="N13" s="17"/>
      <c r="O13" s="17" t="s">
        <v>29</v>
      </c>
      <c r="P13" s="17" t="s">
        <v>30</v>
      </c>
      <c r="Q13" s="17" t="s">
        <v>31</v>
      </c>
      <c r="R13" s="19" t="s">
        <v>62</v>
      </c>
    </row>
    <row r="14" spans="10:33" x14ac:dyDescent="0.25">
      <c r="J14" s="20">
        <f>SUM(K14:M14)</f>
        <v>0.99998520008329883</v>
      </c>
      <c r="K14">
        <f>O8*AE10</f>
        <v>0.94919066138794228</v>
      </c>
      <c r="L14">
        <f t="shared" ref="L14:M14" si="3">P8*AF10</f>
        <v>5.0100015644731412E-2</v>
      </c>
      <c r="M14">
        <f t="shared" si="3"/>
        <v>6.9452305062514064E-4</v>
      </c>
      <c r="O14">
        <f t="shared" ref="O14:P14" si="4">K8*AE8</f>
        <v>3.1341043119217184E-2</v>
      </c>
      <c r="P14">
        <f t="shared" si="4"/>
        <v>0.29876210381749835</v>
      </c>
      <c r="Q14">
        <f>M8*AG8</f>
        <v>0.66989725221900576</v>
      </c>
      <c r="R14" s="20">
        <f>SUM(O14:Q14)</f>
        <v>1.0000003991557214</v>
      </c>
    </row>
    <row r="15" spans="10:33" ht="15.75" thickBot="1" x14ac:dyDescent="0.3"/>
    <row r="16" spans="10:33" ht="15.75" thickBot="1" x14ac:dyDescent="0.3">
      <c r="K16" s="23" t="s">
        <v>67</v>
      </c>
      <c r="L16" s="24"/>
      <c r="M16" s="24"/>
      <c r="N16" s="24"/>
      <c r="O16" s="24"/>
      <c r="P16" s="24"/>
      <c r="Q16" s="25"/>
    </row>
    <row r="17" spans="1:19" ht="15.75" thickBot="1" x14ac:dyDescent="0.3">
      <c r="K17" s="16" t="s">
        <v>64</v>
      </c>
      <c r="L17" s="17" t="s">
        <v>65</v>
      </c>
      <c r="M17" s="18" t="s">
        <v>66</v>
      </c>
      <c r="O17" s="16" t="s">
        <v>64</v>
      </c>
      <c r="P17" s="17" t="s">
        <v>65</v>
      </c>
      <c r="Q17" s="18" t="s">
        <v>66</v>
      </c>
    </row>
    <row r="18" spans="1:19" ht="15.75" thickBot="1" x14ac:dyDescent="0.3">
      <c r="K18">
        <f>(K8+K14)/2</f>
        <v>0.94919806916696481</v>
      </c>
      <c r="L18" s="21">
        <f>L8</f>
        <v>5.0099999999999999E-2</v>
      </c>
      <c r="M18">
        <f t="shared" ref="M18" si="5">(M8+M14)/2</f>
        <v>6.9452305231886349E-4</v>
      </c>
      <c r="O18">
        <f t="shared" ref="O18:P18" si="6">(O8+O14)/2</f>
        <v>3.1340798527790564E-2</v>
      </c>
      <c r="P18">
        <f t="shared" si="6"/>
        <v>0.29876215046473259</v>
      </c>
      <c r="Q18">
        <f>(Q8+Q14)/2</f>
        <v>0.66989725058533756</v>
      </c>
    </row>
    <row r="19" spans="1:19" ht="15.75" thickBot="1" x14ac:dyDescent="0.3">
      <c r="A19" s="27" t="s">
        <v>16</v>
      </c>
      <c r="B19" s="12" t="s">
        <v>17</v>
      </c>
      <c r="C19" s="12" t="s">
        <v>18</v>
      </c>
      <c r="D19" s="27" t="s">
        <v>19</v>
      </c>
      <c r="E19" s="27" t="s">
        <v>20</v>
      </c>
      <c r="G19" s="4" t="s">
        <v>22</v>
      </c>
      <c r="H19">
        <f>8.314/1000</f>
        <v>8.3140000000000002E-3</v>
      </c>
      <c r="I19" t="s">
        <v>23</v>
      </c>
    </row>
    <row r="20" spans="1:19" ht="15.75" thickBot="1" x14ac:dyDescent="0.3">
      <c r="A20" s="28"/>
      <c r="B20" s="26" t="s">
        <v>21</v>
      </c>
      <c r="C20" s="26"/>
      <c r="D20" s="28"/>
      <c r="E20" s="28"/>
      <c r="G20" s="4" t="s">
        <v>24</v>
      </c>
      <c r="H20">
        <v>318.14999999999998</v>
      </c>
      <c r="I20" t="s">
        <v>25</v>
      </c>
    </row>
    <row r="21" spans="1:19" ht="15.75" thickBot="1" x14ac:dyDescent="0.3">
      <c r="A21" s="26" t="s">
        <v>12</v>
      </c>
      <c r="B21" s="26"/>
      <c r="C21" s="26"/>
      <c r="D21" s="26"/>
      <c r="E21" s="26"/>
    </row>
    <row r="22" spans="1:19" x14ac:dyDescent="0.25">
      <c r="A22" s="5" t="s">
        <v>13</v>
      </c>
      <c r="B22" s="6">
        <v>5.5736999999999997</v>
      </c>
      <c r="C22" s="6">
        <v>7.4991000000000003</v>
      </c>
      <c r="D22" s="5">
        <v>6.4999999999999997E-3</v>
      </c>
      <c r="E22" s="5">
        <v>0.4</v>
      </c>
      <c r="G22" t="s">
        <v>68</v>
      </c>
      <c r="H22">
        <f>H20*H19</f>
        <v>2.6450990999999999</v>
      </c>
    </row>
    <row r="23" spans="1:19" x14ac:dyDescent="0.25">
      <c r="A23" s="7" t="s">
        <v>14</v>
      </c>
      <c r="B23" s="8">
        <v>19.269400000000001</v>
      </c>
      <c r="C23" s="8">
        <v>16.212</v>
      </c>
      <c r="D23" s="7"/>
      <c r="E23" s="7"/>
      <c r="L23" s="21">
        <v>5.2245703272958369E-2</v>
      </c>
      <c r="M23" s="21">
        <v>7.2205676835397354E-4</v>
      </c>
      <c r="N23" s="21"/>
      <c r="O23" s="21">
        <v>3.2094569718673818E-2</v>
      </c>
      <c r="P23" s="21">
        <v>0.30794394361642397</v>
      </c>
    </row>
    <row r="24" spans="1:19" ht="15.75" thickBot="1" x14ac:dyDescent="0.3">
      <c r="A24" s="9" t="s">
        <v>15</v>
      </c>
      <c r="B24" s="10">
        <v>10.6456</v>
      </c>
      <c r="C24" s="10">
        <v>0.56320000000000003</v>
      </c>
      <c r="D24" s="11"/>
      <c r="E24" s="11"/>
    </row>
    <row r="26" spans="1:19" ht="15.75" thickBot="1" x14ac:dyDescent="0.3"/>
    <row r="27" spans="1:19" ht="15.75" thickBot="1" x14ac:dyDescent="0.3">
      <c r="B27" s="23" t="s">
        <v>72</v>
      </c>
      <c r="C27" s="24"/>
      <c r="D27" s="25"/>
      <c r="F27" s="23" t="s">
        <v>71</v>
      </c>
      <c r="G27" s="24"/>
      <c r="H27" s="25"/>
      <c r="I27" t="s">
        <v>70</v>
      </c>
    </row>
    <row r="28" spans="1:19" ht="15.75" thickBot="1" x14ac:dyDescent="0.3">
      <c r="B28" s="16" t="s">
        <v>64</v>
      </c>
      <c r="C28" s="17" t="s">
        <v>65</v>
      </c>
      <c r="D28" s="18" t="s">
        <v>66</v>
      </c>
      <c r="F28" s="16" t="s">
        <v>64</v>
      </c>
      <c r="G28" s="17" t="s">
        <v>65</v>
      </c>
      <c r="H28" s="18" t="s">
        <v>66</v>
      </c>
      <c r="M28" s="22" t="s">
        <v>73</v>
      </c>
      <c r="N28" s="22"/>
      <c r="O28" s="22"/>
      <c r="P28" s="22"/>
      <c r="Q28" s="22"/>
      <c r="R28" s="22"/>
      <c r="S28" s="22"/>
    </row>
    <row r="29" spans="1:19" x14ac:dyDescent="0.25">
      <c r="B29">
        <f>1-C29-D29</f>
        <v>0.99954431642853281</v>
      </c>
      <c r="C29">
        <v>0</v>
      </c>
      <c r="D29">
        <v>4.5568357146722697E-4</v>
      </c>
      <c r="F29">
        <v>1.9085329986851794E-3</v>
      </c>
      <c r="G29">
        <v>0</v>
      </c>
      <c r="H29">
        <f>1-F29-G29</f>
        <v>0.99809146700131479</v>
      </c>
      <c r="M29">
        <f>1-N29-O29</f>
        <v>0.8782632671256867</v>
      </c>
      <c r="N29" s="21">
        <v>0.12092173931705019</v>
      </c>
      <c r="O29" s="21">
        <v>8.1499355726307224E-4</v>
      </c>
      <c r="P29" s="21"/>
      <c r="Q29" s="21">
        <v>0.62274998732338371</v>
      </c>
      <c r="R29" s="21">
        <v>0.13123258071881755</v>
      </c>
      <c r="S29">
        <f>1-Q29-R29</f>
        <v>0.24601743195779874</v>
      </c>
    </row>
    <row r="30" spans="1:19" x14ac:dyDescent="0.25">
      <c r="A30" t="s">
        <v>76</v>
      </c>
      <c r="B30">
        <v>0.9889606368191477</v>
      </c>
      <c r="C30">
        <v>1.0537624818827487E-2</v>
      </c>
      <c r="D30">
        <v>5.0173836202485871E-4</v>
      </c>
      <c r="F30">
        <v>4.6932362546667737E-3</v>
      </c>
      <c r="G30">
        <v>7.600175900385947E-2</v>
      </c>
      <c r="H30">
        <v>0.9193050047414737</v>
      </c>
      <c r="K30" s="21"/>
      <c r="L30" s="21"/>
      <c r="M30" s="21">
        <v>0.94910170446791431</v>
      </c>
      <c r="N30" s="21">
        <v>5.0500000000000003E-2</v>
      </c>
      <c r="O30" s="21">
        <v>3.982955320856813E-4</v>
      </c>
      <c r="Q30">
        <v>0.68002240244407464</v>
      </c>
      <c r="R30">
        <v>6.6593972489962211E-2</v>
      </c>
      <c r="S30">
        <v>0.25338362506596313</v>
      </c>
    </row>
    <row r="31" spans="1:19" x14ac:dyDescent="0.25">
      <c r="B31">
        <v>0.98872481036533066</v>
      </c>
      <c r="C31">
        <v>1.0772402756667777E-2</v>
      </c>
      <c r="D31">
        <v>5.0278687800149754E-4</v>
      </c>
      <c r="F31">
        <v>4.7722252586801153E-3</v>
      </c>
      <c r="G31">
        <v>7.7623257148904057E-2</v>
      </c>
      <c r="H31">
        <v>0.91760451759241579</v>
      </c>
    </row>
    <row r="32" spans="1:19" x14ac:dyDescent="0.25">
      <c r="B32">
        <v>0.9837599225160083</v>
      </c>
      <c r="C32">
        <v>1.57149828241974E-2</v>
      </c>
      <c r="D32">
        <v>5.2509465979438258E-4</v>
      </c>
      <c r="F32">
        <v>6.6117800748688085E-3</v>
      </c>
      <c r="G32">
        <v>0.11099382060186649</v>
      </c>
      <c r="H32">
        <v>0.88239439932326469</v>
      </c>
    </row>
    <row r="33" spans="1:8" x14ac:dyDescent="0.25">
      <c r="B33">
        <v>0.98323658057131269</v>
      </c>
      <c r="C33">
        <v>1.6235946991594565E-2</v>
      </c>
      <c r="D33">
        <v>5.274724370927051E-4</v>
      </c>
      <c r="F33">
        <v>6.8254153572289812E-3</v>
      </c>
      <c r="G33">
        <v>0.11442449236075998</v>
      </c>
      <c r="H33">
        <v>0.87875009228201095</v>
      </c>
    </row>
    <row r="34" spans="1:8" x14ac:dyDescent="0.25">
      <c r="A34" t="s">
        <v>76</v>
      </c>
      <c r="B34">
        <v>0.97871882185244075</v>
      </c>
      <c r="C34">
        <v>2.0732964257381477E-2</v>
      </c>
      <c r="D34">
        <v>5.4821389017774215E-4</v>
      </c>
      <c r="F34">
        <v>8.8265598301956356E-3</v>
      </c>
      <c r="G34">
        <v>0.14333106083663649</v>
      </c>
      <c r="H34">
        <v>0.84784237933316786</v>
      </c>
    </row>
    <row r="35" spans="1:8" x14ac:dyDescent="0.25">
      <c r="B35">
        <v>0.97359321620171402</v>
      </c>
      <c r="C35">
        <v>2.5834554215780046E-2</v>
      </c>
      <c r="D35">
        <v>5.7222958250596355E-4</v>
      </c>
      <c r="F35">
        <v>1.1437239041829087E-2</v>
      </c>
      <c r="G35">
        <v>0.17455157869093968</v>
      </c>
      <c r="H35">
        <v>0.81401118226723113</v>
      </c>
    </row>
    <row r="36" spans="1:8" x14ac:dyDescent="0.25">
      <c r="B36">
        <v>0.96837418730951452</v>
      </c>
      <c r="C36">
        <v>3.1028572089992067E-2</v>
      </c>
      <c r="D36">
        <v>5.9724060049341559E-4</v>
      </c>
      <c r="F36">
        <v>1.4467944208188793E-2</v>
      </c>
      <c r="G36">
        <v>0.20457475965042687</v>
      </c>
      <c r="H36">
        <v>0.78095729614138443</v>
      </c>
    </row>
    <row r="37" spans="1:8" x14ac:dyDescent="0.25">
      <c r="B37">
        <v>0.96305198479547371</v>
      </c>
      <c r="C37">
        <v>3.6324653607152632E-2</v>
      </c>
      <c r="D37">
        <v>6.2336159737363007E-4</v>
      </c>
      <c r="F37">
        <v>1.7958001216552309E-2</v>
      </c>
      <c r="G37">
        <v>0.23332467660447825</v>
      </c>
      <c r="H37">
        <v>0.74871732217896936</v>
      </c>
    </row>
    <row r="38" spans="1:8" x14ac:dyDescent="0.25">
      <c r="A38" t="s">
        <v>76</v>
      </c>
      <c r="B38">
        <v>0.95761547165211414</v>
      </c>
      <c r="C38">
        <v>4.1733801381140564E-2</v>
      </c>
      <c r="D38">
        <v>6.5072696674531891E-4</v>
      </c>
      <c r="F38">
        <v>2.2001549181613195E-2</v>
      </c>
      <c r="G38">
        <v>0.2607246843520038</v>
      </c>
      <c r="H38">
        <v>0.71727376646638297</v>
      </c>
    </row>
    <row r="39" spans="1:8" x14ac:dyDescent="0.25">
      <c r="B39">
        <v>0.95204646984387664</v>
      </c>
      <c r="C39">
        <v>4.7274008407342319E-2</v>
      </c>
      <c r="D39">
        <v>6.795217487810055E-4</v>
      </c>
      <c r="F39">
        <v>2.6988634777042289E-2</v>
      </c>
      <c r="G39">
        <v>0.28666592053170059</v>
      </c>
      <c r="H39">
        <v>0.68634544469125713</v>
      </c>
    </row>
    <row r="40" spans="1:8" x14ac:dyDescent="0.25">
      <c r="B40">
        <v>0.9568775895688002</v>
      </c>
      <c r="C40">
        <v>4.2467913585352304E-2</v>
      </c>
      <c r="D40">
        <v>6.544968458475004E-4</v>
      </c>
      <c r="F40">
        <v>2.2597458745040606E-2</v>
      </c>
      <c r="G40">
        <v>0.26428862035109812</v>
      </c>
      <c r="H40">
        <v>0.71311392090386128</v>
      </c>
    </row>
    <row r="41" spans="1:8" x14ac:dyDescent="0.25">
      <c r="B41">
        <v>0.95265639784837197</v>
      </c>
      <c r="C41">
        <v>4.6667273131528603E-2</v>
      </c>
      <c r="D41">
        <v>6.7632902009941045E-4</v>
      </c>
      <c r="F41">
        <v>2.6363017326839634E-2</v>
      </c>
      <c r="G41">
        <v>0.28393748048390532</v>
      </c>
      <c r="H41">
        <v>0.68969950218925502</v>
      </c>
    </row>
    <row r="42" spans="1:8" x14ac:dyDescent="0.25">
      <c r="A42" t="s">
        <v>76</v>
      </c>
      <c r="B42">
        <v>0.95073859271644701</v>
      </c>
      <c r="C42">
        <v>4.8575006227730214E-2</v>
      </c>
      <c r="D42">
        <v>6.8640105582274367E-4</v>
      </c>
      <c r="F42">
        <v>2.8485035469661836E-2</v>
      </c>
      <c r="G42">
        <v>0.29240399154434576</v>
      </c>
      <c r="H42">
        <v>0.67911097298599232</v>
      </c>
    </row>
    <row r="43" spans="1:8" x14ac:dyDescent="0.25">
      <c r="B43">
        <v>0.94990511351498852</v>
      </c>
      <c r="C43">
        <v>4.9404077790703382E-2</v>
      </c>
      <c r="D43">
        <v>6.9080869430801278E-4</v>
      </c>
      <c r="F43">
        <v>2.9670508921486489E-2</v>
      </c>
      <c r="G43">
        <v>0.29595495612888334</v>
      </c>
      <c r="H43">
        <v>0.67437453494963018</v>
      </c>
    </row>
    <row r="44" spans="1:8" x14ac:dyDescent="0.25">
      <c r="B44">
        <v>0.94955201997519367</v>
      </c>
      <c r="C44">
        <v>4.9755298564812811E-2</v>
      </c>
      <c r="D44">
        <v>6.9268145999348385E-4</v>
      </c>
      <c r="F44">
        <v>3.0325095048972031E-2</v>
      </c>
      <c r="G44">
        <v>0.29741419195007046</v>
      </c>
      <c r="H44">
        <v>0.67226071300095747</v>
      </c>
    </row>
    <row r="45" spans="1:8" x14ac:dyDescent="0.25">
      <c r="B45">
        <v>0.94930271628292417</v>
      </c>
      <c r="C45">
        <v>5.0003278052025986E-2</v>
      </c>
      <c r="D45">
        <v>6.9400566504988672E-4</v>
      </c>
      <c r="F45">
        <v>3.0974847772594169E-2</v>
      </c>
      <c r="G45">
        <v>0.29840143684108122</v>
      </c>
      <c r="H45">
        <v>0.67062371538632459</v>
      </c>
    </row>
    <row r="48" spans="1:8" x14ac:dyDescent="0.25">
      <c r="B48" t="s">
        <v>74</v>
      </c>
      <c r="C48" t="s">
        <v>75</v>
      </c>
    </row>
    <row r="49" spans="2:3" x14ac:dyDescent="0.25">
      <c r="B49">
        <v>0</v>
      </c>
      <c r="C49">
        <v>1</v>
      </c>
    </row>
    <row r="50" spans="2:3" x14ac:dyDescent="0.25">
      <c r="B50">
        <v>1</v>
      </c>
      <c r="C50">
        <v>0</v>
      </c>
    </row>
    <row r="52" spans="2:3" x14ac:dyDescent="0.25">
      <c r="B52">
        <v>0</v>
      </c>
      <c r="C52">
        <v>0</v>
      </c>
    </row>
    <row r="53" spans="2:3" x14ac:dyDescent="0.25">
      <c r="B53">
        <v>1</v>
      </c>
      <c r="C53">
        <v>0</v>
      </c>
    </row>
  </sheetData>
  <mergeCells count="10">
    <mergeCell ref="M28:S28"/>
    <mergeCell ref="K12:Q12"/>
    <mergeCell ref="K16:Q16"/>
    <mergeCell ref="B27:D27"/>
    <mergeCell ref="F27:H27"/>
    <mergeCell ref="A21:E21"/>
    <mergeCell ref="A19:A20"/>
    <mergeCell ref="D19:D20"/>
    <mergeCell ref="E19:E20"/>
    <mergeCell ref="B20:C20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Button 2">
              <controlPr defaultSize="0" print="0" autoFill="0" autoPict="0" macro="[0]!NRTL_LLE">
                <anchor moveWithCells="1" sizeWithCells="1">
                  <from>
                    <xdr:col>17</xdr:col>
                    <xdr:colOff>581025</xdr:colOff>
                    <xdr:row>15</xdr:row>
                    <xdr:rowOff>19050</xdr:rowOff>
                  </from>
                  <to>
                    <xdr:col>20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NRTL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2025-02-21T22:37:28Z</dcterms:modified>
</cp:coreProperties>
</file>