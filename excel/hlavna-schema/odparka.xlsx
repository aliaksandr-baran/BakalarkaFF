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Workbook________" defaultThemeVersion="124226"/>
  <bookViews>
    <workbookView xWindow="240" yWindow="105" windowWidth="14805" windowHeight="8010" activeTab="1"/>
  </bookViews>
  <sheets>
    <sheet name="Vstup" sheetId="1" r:id="rId1"/>
    <sheet name="ODP.Extrakt" sheetId="2" r:id="rId2"/>
    <sheet name="Лист3" sheetId="3" r:id="rId3"/>
  </sheets>
  <definedNames>
    <definedName name="solver_adj" localSheetId="1" hidden="1">ODP.Extrakt!$T$10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ODP.Extrakt!$AE$10</definedName>
    <definedName name="solver_pre" localSheetId="1" hidden="1">0.000001</definedName>
    <definedName name="solver_rbv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3</definedName>
    <definedName name="solver_val" localSheetId="1" hidden="1">1</definedName>
    <definedName name="solver_ver" localSheetId="1" hidden="1">3</definedName>
  </definedNames>
  <calcPr calcId="145621"/>
</workbook>
</file>

<file path=xl/calcChain.xml><?xml version="1.0" encoding="utf-8"?>
<calcChain xmlns="http://schemas.openxmlformats.org/spreadsheetml/2006/main">
  <c r="I24" i="2" l="1"/>
  <c r="I22" i="2"/>
  <c r="B22" i="2"/>
  <c r="I20" i="2"/>
  <c r="U10" i="2"/>
  <c r="W10" i="2" s="1"/>
  <c r="O1" i="2"/>
  <c r="J14" i="2" s="1"/>
  <c r="P14" i="2" s="1"/>
  <c r="B26" i="1"/>
  <c r="B25" i="1" s="1"/>
  <c r="C20" i="1"/>
  <c r="B20" i="1"/>
  <c r="C19" i="1"/>
  <c r="H28" i="1" s="1"/>
  <c r="G30" i="1" s="1"/>
  <c r="H30" i="1" s="1"/>
  <c r="B19" i="1"/>
  <c r="B28" i="1" s="1"/>
  <c r="A30" i="1" s="1"/>
  <c r="B30" i="1" s="1"/>
  <c r="C18" i="1"/>
  <c r="B18" i="1"/>
  <c r="C17" i="1"/>
  <c r="B17" i="1"/>
  <c r="V10" i="2" l="1"/>
  <c r="G14" i="2"/>
  <c r="M14" i="2" s="1"/>
  <c r="I14" i="2"/>
  <c r="O14" i="2" s="1"/>
  <c r="K14" i="2"/>
  <c r="Q14" i="2" s="1"/>
  <c r="B21" i="2"/>
  <c r="H20" i="2" s="1"/>
  <c r="L20" i="2" s="1"/>
  <c r="K10" i="2" s="1"/>
  <c r="H22" i="2"/>
  <c r="L22" i="2" s="1"/>
  <c r="L10" i="2" s="1"/>
  <c r="F14" i="2"/>
  <c r="L14" i="2" s="1"/>
  <c r="H14" i="2"/>
  <c r="N14" i="2" s="1"/>
  <c r="H24" i="2" l="1"/>
  <c r="L24" i="2" s="1"/>
  <c r="M10" i="2" s="1"/>
  <c r="Q10" i="2" s="1"/>
  <c r="N10" i="2"/>
  <c r="O10" i="2"/>
  <c r="S14" i="2" l="1"/>
  <c r="P10" i="2"/>
  <c r="R14" i="2" l="1"/>
  <c r="W14" i="2"/>
  <c r="T14" i="2"/>
  <c r="U14" i="2"/>
  <c r="V14" i="2"/>
  <c r="Y14" i="2" s="1"/>
  <c r="AB14" i="2" s="1"/>
  <c r="Z10" i="2" l="1"/>
  <c r="AC10" i="2"/>
  <c r="Z14" i="2"/>
  <c r="AC14" i="2" s="1"/>
  <c r="X14" i="2"/>
  <c r="AA14" i="2" s="1"/>
  <c r="Y10" i="2" l="1"/>
  <c r="AB10" i="2"/>
  <c r="AE10" i="2" s="1"/>
  <c r="AA10" i="2"/>
  <c r="AD10" i="2"/>
</calcChain>
</file>

<file path=xl/sharedStrings.xml><?xml version="1.0" encoding="utf-8"?>
<sst xmlns="http://schemas.openxmlformats.org/spreadsheetml/2006/main" count="142" uniqueCount="96">
  <si>
    <t>A</t>
  </si>
  <si>
    <t>B</t>
  </si>
  <si>
    <t>C</t>
  </si>
  <si>
    <t>MTBE</t>
  </si>
  <si>
    <t>Metanol</t>
  </si>
  <si>
    <t>[BMIM][HSO4]</t>
  </si>
  <si>
    <t>t</t>
  </si>
  <si>
    <t>T</t>
  </si>
  <si>
    <t>PA0</t>
  </si>
  <si>
    <t>PB0</t>
  </si>
  <si>
    <t>PC0</t>
  </si>
  <si>
    <t>xA</t>
  </si>
  <si>
    <t>xB</t>
  </si>
  <si>
    <t>xC</t>
  </si>
  <si>
    <r>
      <rPr>
        <b/>
        <sz val="11"/>
        <color theme="1"/>
        <rFont val="Calibri"/>
        <family val="2"/>
        <charset val="238"/>
      </rPr>
      <t>τ</t>
    </r>
    <r>
      <rPr>
        <b/>
        <sz val="11"/>
        <color theme="1"/>
        <rFont val="Calibri"/>
        <family val="2"/>
        <charset val="238"/>
        <scheme val="minor"/>
      </rPr>
      <t>AB</t>
    </r>
  </si>
  <si>
    <r>
      <rPr>
        <b/>
        <sz val="11"/>
        <color theme="1"/>
        <rFont val="Calibri"/>
        <family val="2"/>
        <charset val="238"/>
      </rPr>
      <t>τ</t>
    </r>
    <r>
      <rPr>
        <b/>
        <sz val="11"/>
        <color theme="1"/>
        <rFont val="Calibri"/>
        <family val="2"/>
        <charset val="238"/>
        <scheme val="minor"/>
      </rPr>
      <t>BA</t>
    </r>
  </si>
  <si>
    <r>
      <rPr>
        <b/>
        <sz val="11"/>
        <color theme="1"/>
        <rFont val="Calibri"/>
        <family val="2"/>
        <charset val="238"/>
      </rPr>
      <t>τ</t>
    </r>
    <r>
      <rPr>
        <b/>
        <sz val="11"/>
        <color theme="1"/>
        <rFont val="Calibri"/>
        <family val="2"/>
        <charset val="238"/>
        <scheme val="minor"/>
      </rPr>
      <t>AC</t>
    </r>
  </si>
  <si>
    <r>
      <rPr>
        <b/>
        <sz val="11"/>
        <color theme="1"/>
        <rFont val="Calibri"/>
        <family val="2"/>
        <charset val="238"/>
      </rPr>
      <t>τ</t>
    </r>
    <r>
      <rPr>
        <b/>
        <sz val="11"/>
        <color theme="1"/>
        <rFont val="Calibri"/>
        <family val="2"/>
        <charset val="238"/>
        <scheme val="minor"/>
      </rPr>
      <t>CA</t>
    </r>
  </si>
  <si>
    <r>
      <rPr>
        <b/>
        <sz val="11"/>
        <color theme="1"/>
        <rFont val="Calibri"/>
        <family val="2"/>
        <charset val="238"/>
      </rPr>
      <t>τ</t>
    </r>
    <r>
      <rPr>
        <b/>
        <sz val="11"/>
        <color theme="1"/>
        <rFont val="Calibri"/>
        <family val="2"/>
        <charset val="238"/>
        <scheme val="minor"/>
      </rPr>
      <t>BC</t>
    </r>
  </si>
  <si>
    <r>
      <rPr>
        <b/>
        <sz val="11"/>
        <color theme="1"/>
        <rFont val="Calibri"/>
        <family val="2"/>
        <charset val="238"/>
      </rPr>
      <t>τ</t>
    </r>
    <r>
      <rPr>
        <b/>
        <sz val="11"/>
        <color theme="1"/>
        <rFont val="Calibri"/>
        <family val="2"/>
        <charset val="238"/>
        <scheme val="minor"/>
      </rPr>
      <t>CB</t>
    </r>
  </si>
  <si>
    <t>GAB</t>
  </si>
  <si>
    <t>GBA</t>
  </si>
  <si>
    <t>GAC</t>
  </si>
  <si>
    <t>GCA</t>
  </si>
  <si>
    <t>GBC</t>
  </si>
  <si>
    <t>GCB</t>
  </si>
  <si>
    <t>θ1</t>
  </si>
  <si>
    <t>θ2</t>
  </si>
  <si>
    <t>θ3</t>
  </si>
  <si>
    <t>φ1</t>
  </si>
  <si>
    <t>φ2</t>
  </si>
  <si>
    <t>φ3</t>
  </si>
  <si>
    <t>γA</t>
  </si>
  <si>
    <t>γB</t>
  </si>
  <si>
    <t>γC</t>
  </si>
  <si>
    <t>KA</t>
  </si>
  <si>
    <t>KB</t>
  </si>
  <si>
    <t>KC</t>
  </si>
  <si>
    <t>P[kPa]</t>
  </si>
  <si>
    <t>Antoine equation parameters (P = Pa)</t>
  </si>
  <si>
    <t>-</t>
  </si>
  <si>
    <r>
      <t>i</t>
    </r>
    <r>
      <rPr>
        <b/>
        <sz val="11"/>
        <color rgb="FF1F1F1F"/>
        <rFont val="Georgia"/>
        <family val="1"/>
      </rPr>
      <t>–</t>
    </r>
    <r>
      <rPr>
        <b/>
        <i/>
        <sz val="11"/>
        <color rgb="FF1F1F1F"/>
        <rFont val="Georgia"/>
        <family val="1"/>
      </rPr>
      <t>j</t>
    </r>
  </si>
  <si>
    <r>
      <t>Δgij</t>
    </r>
    <r>
      <rPr>
        <b/>
        <sz val="11"/>
        <color rgb="FF1F1F1F"/>
        <rFont val="Georgia"/>
        <family val="1"/>
      </rPr>
      <t>(kJ·mol</t>
    </r>
    <r>
      <rPr>
        <b/>
        <sz val="8"/>
        <color rgb="FF1F1F1F"/>
        <rFont val="Georgia"/>
        <family val="1"/>
      </rPr>
      <t>−1</t>
    </r>
    <r>
      <rPr>
        <b/>
        <sz val="11"/>
        <color rgb="FF1F1F1F"/>
        <rFont val="Georgia"/>
        <family val="1"/>
      </rPr>
      <t>)</t>
    </r>
  </si>
  <si>
    <r>
      <t>Δgji</t>
    </r>
    <r>
      <rPr>
        <b/>
        <sz val="11"/>
        <color rgb="FF1F1F1F"/>
        <rFont val="Georgia"/>
        <family val="1"/>
      </rPr>
      <t>(kJ·mol</t>
    </r>
    <r>
      <rPr>
        <b/>
        <sz val="8"/>
        <color rgb="FF1F1F1F"/>
        <rFont val="Georgia"/>
        <family val="1"/>
      </rPr>
      <t>−1</t>
    </r>
    <r>
      <rPr>
        <b/>
        <sz val="11"/>
        <color rgb="FF1F1F1F"/>
        <rFont val="Georgia"/>
        <family val="1"/>
      </rPr>
      <t>)</t>
    </r>
  </si>
  <si>
    <t>rmsd</t>
  </si>
  <si>
    <t>α</t>
  </si>
  <si>
    <t>R [kJ.mol^-1.K^-1]</t>
  </si>
  <si>
    <t>NRTL parameters</t>
  </si>
  <si>
    <r>
      <t>MTBE (1) + methanol (2) + [BMIM][HSO</t>
    </r>
    <r>
      <rPr>
        <b/>
        <sz val="8"/>
        <color rgb="FF1F1F1F"/>
        <rFont val="Georgia"/>
        <family val="1"/>
      </rPr>
      <t>4</t>
    </r>
    <r>
      <rPr>
        <b/>
        <sz val="11"/>
        <color rgb="FF1F1F1F"/>
        <rFont val="Georgia"/>
        <family val="1"/>
      </rPr>
      <t>] (3) at 318.15 K</t>
    </r>
  </si>
  <si>
    <t>1–2</t>
  </si>
  <si>
    <t>1–3</t>
  </si>
  <si>
    <t>2–3</t>
  </si>
  <si>
    <t>xEA</t>
  </si>
  <si>
    <t>xEB</t>
  </si>
  <si>
    <t>xEC</t>
  </si>
  <si>
    <t>n[kmol/h]</t>
  </si>
  <si>
    <t>ns</t>
  </si>
  <si>
    <t>F</t>
  </si>
  <si>
    <t>S</t>
  </si>
  <si>
    <t>nR [kmol/h][mol.h-1]</t>
  </si>
  <si>
    <t>nE [kmol/h]</t>
  </si>
  <si>
    <t>Kontakt</t>
  </si>
  <si>
    <t>xRA</t>
  </si>
  <si>
    <t>xRB</t>
  </si>
  <si>
    <t>xRC</t>
  </si>
  <si>
    <t>∑xRi</t>
  </si>
  <si>
    <t>∑xEi</t>
  </si>
  <si>
    <t>kA</t>
  </si>
  <si>
    <t>kB</t>
  </si>
  <si>
    <t>kC</t>
  </si>
  <si>
    <t>Extrakt</t>
  </si>
  <si>
    <t>Rafinat</t>
  </si>
  <si>
    <t>n</t>
  </si>
  <si>
    <t>XB</t>
  </si>
  <si>
    <t>XC</t>
  </si>
  <si>
    <t>D</t>
  </si>
  <si>
    <t>W</t>
  </si>
  <si>
    <t>nB/A</t>
  </si>
  <si>
    <t>xa</t>
  </si>
  <si>
    <t>xb</t>
  </si>
  <si>
    <t>xc</t>
  </si>
  <si>
    <t>Macro</t>
  </si>
  <si>
    <t>CTRL+Q</t>
  </si>
  <si>
    <t>Normalizacia</t>
  </si>
  <si>
    <t>SUMx</t>
  </si>
  <si>
    <t>yA</t>
  </si>
  <si>
    <t>yB</t>
  </si>
  <si>
    <t>yC</t>
  </si>
  <si>
    <t>SUMy</t>
  </si>
  <si>
    <t>NASTRELY</t>
  </si>
  <si>
    <t>Vypocitane</t>
  </si>
  <si>
    <t>lnγA</t>
  </si>
  <si>
    <t>lnγB</t>
  </si>
  <si>
    <t>lnγC</t>
  </si>
  <si>
    <t>ps</t>
  </si>
  <si>
    <t>inverzna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</si>
</sst>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000"/>
    <numFmt numFmtId="165" formatCode="_(* #,##0.0000_);_(* \(#,##0.0000\);_(* &quot;-&quot;??_);_(@_)"/>
    <numFmt numFmtId="166" formatCode="0.00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</font>
    <font>
      <b/>
      <i/>
      <sz val="11"/>
      <color rgb="FF1F1F1F"/>
      <name val="Georgia"/>
      <family val="1"/>
    </font>
    <font>
      <b/>
      <sz val="11"/>
      <color rgb="FF1F1F1F"/>
      <name val="Georgia"/>
      <family val="1"/>
    </font>
    <font>
      <sz val="10"/>
      <color rgb="FF1F1F1F"/>
      <name val="Georgia"/>
      <family val="1"/>
    </font>
    <font>
      <b/>
      <sz val="8"/>
      <color rgb="FF1F1F1F"/>
      <name val="Georgia"/>
      <family val="1"/>
    </font>
    <font>
      <sz val="11"/>
      <color rgb="FF1F1F1F"/>
      <name val="Georgia"/>
      <family val="1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8E8E8E"/>
      </top>
      <bottom/>
      <diagonal/>
    </border>
    <border>
      <left/>
      <right/>
      <top style="medium">
        <color rgb="FF8E8E8E"/>
      </top>
      <bottom style="medium">
        <color rgb="FF8E8E8E"/>
      </bottom>
      <diagonal/>
    </border>
    <border>
      <left/>
      <right/>
      <top/>
      <bottom style="medium">
        <color rgb="FF8E8E8E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43" fontId="10" fillId="0" borderId="0" applyFont="0" applyFill="0" applyBorder="0" applyAlignment="0" applyProtection="0"/>
  </cellStyleXfs>
  <cellXfs count="8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Border="1"/>
    <xf numFmtId="0" fontId="6" fillId="0" borderId="8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164" fontId="8" fillId="0" borderId="7" xfId="0" applyNumberFormat="1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164" fontId="8" fillId="0" borderId="9" xfId="0" applyNumberFormat="1" applyFont="1" applyBorder="1" applyAlignment="1">
      <alignment horizontal="left" vertical="center"/>
    </xf>
    <xf numFmtId="0" fontId="0" fillId="0" borderId="9" xfId="0" applyBorder="1" applyAlignment="1"/>
    <xf numFmtId="0" fontId="2" fillId="0" borderId="2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1" fillId="0" borderId="15" xfId="0" applyFont="1" applyBorder="1"/>
    <xf numFmtId="0" fontId="1" fillId="0" borderId="4" xfId="0" applyFont="1" applyBorder="1"/>
    <xf numFmtId="0" fontId="1" fillId="0" borderId="3" xfId="0" applyFont="1" applyBorder="1"/>
    <xf numFmtId="0" fontId="1" fillId="0" borderId="0" xfId="0" applyFont="1" applyFill="1" applyBorder="1"/>
    <xf numFmtId="0" fontId="1" fillId="0" borderId="13" xfId="0" applyFont="1" applyBorder="1"/>
    <xf numFmtId="164" fontId="0" fillId="0" borderId="0" xfId="0" applyNumberFormat="1"/>
    <xf numFmtId="0" fontId="0" fillId="0" borderId="10" xfId="0" applyBorder="1"/>
    <xf numFmtId="0" fontId="0" fillId="0" borderId="11" xfId="0" applyBorder="1"/>
    <xf numFmtId="0" fontId="11" fillId="0" borderId="5" xfId="0" applyFont="1" applyBorder="1"/>
    <xf numFmtId="0" fontId="1" fillId="0" borderId="14" xfId="0" applyFont="1" applyBorder="1"/>
    <xf numFmtId="0" fontId="0" fillId="0" borderId="6" xfId="0" applyBorder="1"/>
    <xf numFmtId="0" fontId="0" fillId="0" borderId="12" xfId="0" applyBorder="1"/>
    <xf numFmtId="0" fontId="1" fillId="0" borderId="17" xfId="0" applyFont="1" applyBorder="1"/>
    <xf numFmtId="0" fontId="1" fillId="0" borderId="10" xfId="0" applyFont="1" applyBorder="1"/>
    <xf numFmtId="0" fontId="12" fillId="0" borderId="11" xfId="0" applyFont="1" applyBorder="1"/>
    <xf numFmtId="0" fontId="12" fillId="0" borderId="10" xfId="0" applyFont="1" applyBorder="1"/>
    <xf numFmtId="2" fontId="1" fillId="0" borderId="17" xfId="0" applyNumberFormat="1" applyFont="1" applyBorder="1"/>
    <xf numFmtId="2" fontId="0" fillId="0" borderId="11" xfId="0" applyNumberFormat="1" applyBorder="1"/>
    <xf numFmtId="0" fontId="1" fillId="0" borderId="11" xfId="0" applyFont="1" applyBorder="1"/>
    <xf numFmtId="0" fontId="1" fillId="0" borderId="17" xfId="0" applyFont="1" applyBorder="1" applyAlignment="1">
      <alignment horizontal="left"/>
    </xf>
    <xf numFmtId="165" fontId="0" fillId="0" borderId="17" xfId="2" applyNumberFormat="1" applyFont="1" applyBorder="1"/>
    <xf numFmtId="165" fontId="0" fillId="0" borderId="10" xfId="2" applyNumberFormat="1" applyFont="1" applyBorder="1"/>
    <xf numFmtId="0" fontId="0" fillId="0" borderId="15" xfId="0" applyNumberFormat="1" applyBorder="1"/>
    <xf numFmtId="0" fontId="13" fillId="0" borderId="15" xfId="0" applyNumberFormat="1" applyFont="1" applyBorder="1"/>
    <xf numFmtId="2" fontId="0" fillId="0" borderId="0" xfId="0" applyNumberForma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 applyAlignment="1">
      <alignment horizontal="left"/>
    </xf>
    <xf numFmtId="165" fontId="0" fillId="0" borderId="21" xfId="2" applyNumberFormat="1" applyFont="1" applyBorder="1"/>
    <xf numFmtId="165" fontId="0" fillId="0" borderId="0" xfId="2" applyNumberFormat="1" applyFont="1" applyBorder="1"/>
    <xf numFmtId="0" fontId="0" fillId="0" borderId="13" xfId="0" applyNumberFormat="1" applyBorder="1"/>
    <xf numFmtId="0" fontId="13" fillId="0" borderId="13" xfId="0" applyNumberFormat="1" applyFont="1" applyBorder="1"/>
    <xf numFmtId="0" fontId="0" fillId="0" borderId="22" xfId="0" applyBorder="1"/>
    <xf numFmtId="0" fontId="0" fillId="0" borderId="23" xfId="0" applyBorder="1"/>
    <xf numFmtId="0" fontId="1" fillId="0" borderId="5" xfId="0" applyFont="1" applyBorder="1" applyAlignment="1">
      <alignment horizontal="left"/>
    </xf>
    <xf numFmtId="165" fontId="0" fillId="0" borderId="5" xfId="2" applyNumberFormat="1" applyFont="1" applyBorder="1"/>
    <xf numFmtId="165" fontId="0" fillId="0" borderId="6" xfId="2" applyNumberFormat="1" applyFont="1" applyBorder="1"/>
    <xf numFmtId="0" fontId="0" fillId="0" borderId="14" xfId="0" applyNumberFormat="1" applyBorder="1"/>
    <xf numFmtId="0" fontId="13" fillId="0" borderId="14" xfId="0" applyNumberFormat="1" applyFont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166" fontId="0" fillId="0" borderId="0" xfId="0" applyNumberFormat="1" applyBorder="1"/>
    <xf numFmtId="0" fontId="0" fillId="0" borderId="21" xfId="0" applyFill="1" applyBorder="1"/>
    <xf numFmtId="0" fontId="0" fillId="0" borderId="16" xfId="0" applyFill="1" applyBorder="1"/>
    <xf numFmtId="166" fontId="13" fillId="0" borderId="0" xfId="0" applyNumberFormat="1" applyFont="1" applyBorder="1"/>
    <xf numFmtId="2" fontId="0" fillId="0" borderId="5" xfId="0" applyNumberFormat="1" applyBorder="1"/>
    <xf numFmtId="2" fontId="1" fillId="0" borderId="12" xfId="0" applyNumberFormat="1" applyFont="1" applyBorder="1"/>
    <xf numFmtId="2" fontId="0" fillId="0" borderId="0" xfId="0" applyNumberFormat="1"/>
    <xf numFmtId="165" fontId="0" fillId="0" borderId="0" xfId="0" applyNumberFormat="1"/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3" fillId="0" borderId="2" xfId="0" applyFont="1" applyBorder="1" applyAlignment="1">
      <alignment horizontal="center"/>
    </xf>
    <xf numFmtId="43" fontId="0" fillId="0" borderId="0" xfId="0" applyNumberFormat="1"/>
  </cellXfs>
  <cellStyles count="3">
    <cellStyle name="Обычный" xfId="0" builtinId="0"/>
    <cellStyle name="Обычный 2" xfId="1"/>
    <cellStyle name="Финансовый" xfId="2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47625</xdr:colOff>
      <xdr:row>2</xdr:row>
      <xdr:rowOff>47625</xdr:rowOff>
    </xdr:from>
    <xdr:to>
      <xdr:col>18</xdr:col>
      <xdr:colOff>881192</xdr:colOff>
      <xdr:row>4</xdr:row>
      <xdr:rowOff>104717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72425" y="447675"/>
          <a:ext cx="4233992" cy="457142"/>
        </a:xfrm>
        <a:prstGeom prst="rect">
          <a:avLst/>
        </a:prstGeom>
      </xdr:spPr>
    </xdr:pic>
    <xdr:clientData/>
  </xdr:twoCellAnchor>
  <xdr:twoCellAnchor editAs="oneCell">
    <xdr:from>
      <xdr:col>8</xdr:col>
      <xdr:colOff>54429</xdr:colOff>
      <xdr:row>14</xdr:row>
      <xdr:rowOff>134711</xdr:rowOff>
    </xdr:from>
    <xdr:to>
      <xdr:col>18</xdr:col>
      <xdr:colOff>605277</xdr:colOff>
      <xdr:row>44</xdr:row>
      <xdr:rowOff>66401</xdr:rowOff>
    </xdr:to>
    <xdr:pic>
      <xdr:nvPicPr>
        <xdr:cNvPr id="3" name="Pictur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31229" y="2896961"/>
          <a:ext cx="6780198" cy="56466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1"/>
  <dimension ref="A1:N30"/>
  <sheetViews>
    <sheetView workbookViewId="0">
      <selection activeCell="H14" sqref="H14"/>
    </sheetView>
  </sheetViews>
  <sheetFormatPr defaultRowHeight="15" x14ac:dyDescent="0.25"/>
  <sheetData>
    <row r="1" spans="1:14" ht="15.75" thickBot="1" x14ac:dyDescent="0.3">
      <c r="A1" s="6"/>
      <c r="B1" s="6"/>
      <c r="C1" s="6"/>
      <c r="D1" s="6"/>
      <c r="E1" s="6"/>
      <c r="H1" s="23"/>
      <c r="I1" s="24" t="s">
        <v>55</v>
      </c>
      <c r="J1" s="25" t="s">
        <v>11</v>
      </c>
      <c r="K1" s="25" t="s">
        <v>12</v>
      </c>
      <c r="L1" s="2" t="s">
        <v>13</v>
      </c>
      <c r="N1" s="26" t="s">
        <v>56</v>
      </c>
    </row>
    <row r="2" spans="1:14" x14ac:dyDescent="0.25">
      <c r="A2" s="6"/>
      <c r="B2" s="6"/>
      <c r="C2" s="6"/>
      <c r="D2" s="6"/>
      <c r="E2" s="6"/>
      <c r="H2" s="27" t="s">
        <v>57</v>
      </c>
      <c r="I2" s="28">
        <v>25</v>
      </c>
      <c r="J2" s="29">
        <v>0.54</v>
      </c>
      <c r="K2" s="29">
        <v>0.46</v>
      </c>
      <c r="L2" s="30">
        <v>0</v>
      </c>
      <c r="N2">
        <v>8.4502747149440633</v>
      </c>
    </row>
    <row r="3" spans="1:14" ht="15.75" thickBot="1" x14ac:dyDescent="0.3">
      <c r="A3" s="6"/>
      <c r="B3" s="6"/>
      <c r="C3" s="6"/>
      <c r="D3" s="6"/>
      <c r="E3" s="6"/>
      <c r="F3" s="31"/>
      <c r="H3" s="32" t="s">
        <v>58</v>
      </c>
      <c r="I3" s="31">
        <v>8.4502747149440633</v>
      </c>
      <c r="J3" s="33">
        <v>0</v>
      </c>
      <c r="K3" s="33">
        <v>0</v>
      </c>
      <c r="L3" s="34">
        <v>1</v>
      </c>
    </row>
    <row r="4" spans="1:14" ht="15.75" thickBot="1" x14ac:dyDescent="0.3">
      <c r="A4" s="6"/>
      <c r="B4" s="6"/>
      <c r="C4" s="6"/>
      <c r="D4" s="6"/>
      <c r="E4" s="6"/>
    </row>
    <row r="5" spans="1:14" ht="15.75" thickBot="1" x14ac:dyDescent="0.3">
      <c r="A5" s="6"/>
      <c r="B5" s="6"/>
      <c r="C5" s="6"/>
      <c r="D5" s="6"/>
      <c r="E5" s="6"/>
      <c r="J5" s="24" t="s">
        <v>59</v>
      </c>
      <c r="K5" s="2" t="s">
        <v>60</v>
      </c>
    </row>
    <row r="6" spans="1:14" ht="15.75" thickBot="1" x14ac:dyDescent="0.3">
      <c r="A6" s="1" t="s">
        <v>61</v>
      </c>
      <c r="B6" s="35" t="s">
        <v>62</v>
      </c>
      <c r="C6" s="36" t="s">
        <v>63</v>
      </c>
      <c r="D6" s="36" t="s">
        <v>64</v>
      </c>
      <c r="E6" s="37" t="s">
        <v>65</v>
      </c>
      <c r="F6" s="35" t="s">
        <v>52</v>
      </c>
      <c r="G6" s="36" t="s">
        <v>53</v>
      </c>
      <c r="H6" s="36" t="s">
        <v>54</v>
      </c>
      <c r="I6" s="38" t="s">
        <v>66</v>
      </c>
      <c r="J6" s="39">
        <v>25</v>
      </c>
      <c r="K6" s="40"/>
      <c r="L6" s="36" t="s">
        <v>67</v>
      </c>
      <c r="M6" s="36" t="s">
        <v>68</v>
      </c>
      <c r="N6" s="41" t="s">
        <v>69</v>
      </c>
    </row>
    <row r="7" spans="1:14" x14ac:dyDescent="0.25">
      <c r="A7" s="42">
        <v>1</v>
      </c>
      <c r="B7" s="43">
        <v>0.86351676831488156</v>
      </c>
      <c r="C7" s="44">
        <v>0.13521162527751576</v>
      </c>
      <c r="D7" s="44">
        <v>1.2716064076026979E-3</v>
      </c>
      <c r="E7" s="45">
        <v>1</v>
      </c>
      <c r="F7" s="44">
        <v>3.6193341415735866E-2</v>
      </c>
      <c r="G7" s="44">
        <v>0.55568361686280054</v>
      </c>
      <c r="H7" s="44">
        <v>0.40812304172146363</v>
      </c>
      <c r="I7" s="46">
        <v>1</v>
      </c>
      <c r="J7" s="47">
        <v>14.925266372612336</v>
      </c>
      <c r="K7" s="47">
        <v>20.690942281580988</v>
      </c>
      <c r="L7" s="48">
        <v>4.1913883718049535E-2</v>
      </c>
      <c r="M7" s="49">
        <v>4.1097325449811359</v>
      </c>
      <c r="N7" s="50">
        <v>320.95075904098309</v>
      </c>
    </row>
    <row r="8" spans="1:14" x14ac:dyDescent="0.25">
      <c r="A8" s="51">
        <v>2</v>
      </c>
      <c r="B8" s="52">
        <v>0.97096969138501577</v>
      </c>
      <c r="C8" s="53">
        <v>2.8445578796682202E-2</v>
      </c>
      <c r="D8" s="53">
        <v>5.847298183020576E-4</v>
      </c>
      <c r="E8" s="54">
        <v>1</v>
      </c>
      <c r="F8" s="53">
        <v>1.2913472878415176E-2</v>
      </c>
      <c r="G8" s="53">
        <v>0.18986883480133471</v>
      </c>
      <c r="H8" s="53">
        <v>0.79721769232025008</v>
      </c>
      <c r="I8" s="55">
        <v>1</v>
      </c>
      <c r="J8" s="47">
        <v>13.161883808938983</v>
      </c>
      <c r="K8" s="47">
        <v>10.61620865419332</v>
      </c>
      <c r="L8" s="56">
        <v>1.32995633056219E-2</v>
      </c>
      <c r="M8" s="6">
        <v>6.6748100349246675</v>
      </c>
      <c r="N8" s="57">
        <v>1363.3949686971946</v>
      </c>
    </row>
    <row r="9" spans="1:14" x14ac:dyDescent="0.25">
      <c r="A9" s="51">
        <v>3</v>
      </c>
      <c r="B9" s="52">
        <v>0.99379989866545204</v>
      </c>
      <c r="C9" s="53">
        <v>5.719662185009744E-3</v>
      </c>
      <c r="D9" s="53">
        <v>4.8043914953820911E-4</v>
      </c>
      <c r="E9" s="54">
        <v>1</v>
      </c>
      <c r="F9" s="53">
        <v>3.2379036850344912E-3</v>
      </c>
      <c r="G9" s="53">
        <v>4.2022179405141018E-2</v>
      </c>
      <c r="H9" s="53">
        <v>0.95473991690982452</v>
      </c>
      <c r="I9" s="55">
        <v>1</v>
      </c>
      <c r="J9" s="47">
        <v>12.849021752159498</v>
      </c>
      <c r="K9" s="47">
        <v>8.8528260905199687</v>
      </c>
      <c r="L9" s="56">
        <v>3.2581042616150269E-3</v>
      </c>
      <c r="M9" s="6">
        <v>7.346968762468868</v>
      </c>
      <c r="N9" s="57">
        <v>1987.2233930717473</v>
      </c>
    </row>
    <row r="10" spans="1:14" x14ac:dyDescent="0.25">
      <c r="A10" s="51">
        <v>4</v>
      </c>
      <c r="B10" s="52">
        <v>0.99842514711185182</v>
      </c>
      <c r="C10" s="53">
        <v>1.1143907000439666E-3</v>
      </c>
      <c r="D10" s="53">
        <v>4.6046218810419728E-4</v>
      </c>
      <c r="E10" s="54">
        <v>1</v>
      </c>
      <c r="F10" s="53">
        <v>2.1347693485376604E-3</v>
      </c>
      <c r="G10" s="53">
        <v>8.326698656605425E-3</v>
      </c>
      <c r="H10" s="53">
        <v>0.98953853199485697</v>
      </c>
      <c r="I10" s="55">
        <v>1</v>
      </c>
      <c r="J10" s="47">
        <v>12.787758638771349</v>
      </c>
      <c r="K10" s="47">
        <v>8.5399640337404836</v>
      </c>
      <c r="L10" s="56">
        <v>2.1381365991360651E-3</v>
      </c>
      <c r="M10" s="6">
        <v>7.4719742871839356</v>
      </c>
      <c r="N10" s="57">
        <v>2149.0114879333714</v>
      </c>
    </row>
    <row r="11" spans="1:14" ht="15.75" thickBot="1" x14ac:dyDescent="0.3">
      <c r="A11" s="58">
        <v>5</v>
      </c>
      <c r="B11" s="59">
        <v>0.99935680243331848</v>
      </c>
      <c r="C11" s="60">
        <v>1.8671484542498028E-4</v>
      </c>
      <c r="D11" s="60">
        <v>4.5648272125653206E-4</v>
      </c>
      <c r="E11" s="61">
        <v>1</v>
      </c>
      <c r="F11" s="60">
        <v>1.945361501912396E-3</v>
      </c>
      <c r="G11" s="60">
        <v>1.3997666187213391E-3</v>
      </c>
      <c r="H11" s="60">
        <v>0.9966548718793663</v>
      </c>
      <c r="I11" s="62">
        <v>1</v>
      </c>
      <c r="J11" s="47">
        <v>12.759332433363076</v>
      </c>
      <c r="K11" s="47">
        <v>8.4787009203523365</v>
      </c>
      <c r="L11" s="63">
        <v>1.9466135590168248E-3</v>
      </c>
      <c r="M11" s="64">
        <v>7.4968148115664857</v>
      </c>
      <c r="N11" s="65">
        <v>2183.3353716783308</v>
      </c>
    </row>
    <row r="12" spans="1:14" ht="15.75" thickBot="1" x14ac:dyDescent="0.3">
      <c r="E12" s="66"/>
      <c r="F12" s="67">
        <v>0</v>
      </c>
      <c r="G12">
        <v>0</v>
      </c>
      <c r="H12" s="68">
        <v>1</v>
      </c>
      <c r="I12" s="69"/>
      <c r="J12" s="70"/>
      <c r="K12" s="71">
        <v>8.4502747149440633</v>
      </c>
    </row>
    <row r="16" spans="1:14" x14ac:dyDescent="0.25">
      <c r="B16" t="s">
        <v>70</v>
      </c>
      <c r="C16" t="s">
        <v>71</v>
      </c>
    </row>
    <row r="17" spans="1:9" x14ac:dyDescent="0.25">
      <c r="A17" t="s">
        <v>72</v>
      </c>
      <c r="B17" s="72">
        <f>K7</f>
        <v>20.690942281580988</v>
      </c>
      <c r="C17" s="72">
        <f>J11</f>
        <v>12.759332433363076</v>
      </c>
    </row>
    <row r="18" spans="1:9" x14ac:dyDescent="0.25">
      <c r="A18" t="s">
        <v>11</v>
      </c>
      <c r="B18" s="73">
        <f>F7</f>
        <v>3.6193341415735866E-2</v>
      </c>
      <c r="C18" s="73">
        <f>B11</f>
        <v>0.99935680243331848</v>
      </c>
    </row>
    <row r="19" spans="1:9" x14ac:dyDescent="0.25">
      <c r="A19" t="s">
        <v>73</v>
      </c>
      <c r="B19" s="73">
        <f>G7</f>
        <v>0.55568361686280054</v>
      </c>
      <c r="C19" s="73">
        <f>C11</f>
        <v>1.8671484542498028E-4</v>
      </c>
    </row>
    <row r="20" spans="1:9" x14ac:dyDescent="0.25">
      <c r="A20" t="s">
        <v>74</v>
      </c>
      <c r="B20" s="73">
        <f>H7</f>
        <v>0.40812304172146363</v>
      </c>
      <c r="C20" s="73">
        <f>D11</f>
        <v>4.5648272125653206E-4</v>
      </c>
    </row>
    <row r="23" spans="1:9" x14ac:dyDescent="0.25">
      <c r="B23" t="s">
        <v>72</v>
      </c>
      <c r="C23" t="s">
        <v>11</v>
      </c>
      <c r="D23" t="s">
        <v>12</v>
      </c>
      <c r="E23" t="s">
        <v>13</v>
      </c>
    </row>
    <row r="24" spans="1:9" x14ac:dyDescent="0.25">
      <c r="A24" t="s">
        <v>57</v>
      </c>
      <c r="B24">
        <v>20.690942281580988</v>
      </c>
      <c r="C24" s="73">
        <v>3.6193341415735866E-2</v>
      </c>
      <c r="D24">
        <v>0.55568361686280054</v>
      </c>
      <c r="E24">
        <v>0.40812304172146363</v>
      </c>
    </row>
    <row r="25" spans="1:9" x14ac:dyDescent="0.25">
      <c r="A25" t="s">
        <v>75</v>
      </c>
      <c r="B25">
        <f>B24-B26</f>
        <v>12.074156261129893</v>
      </c>
      <c r="E25">
        <v>0</v>
      </c>
    </row>
    <row r="26" spans="1:9" x14ac:dyDescent="0.25">
      <c r="A26" t="s">
        <v>76</v>
      </c>
      <c r="B26">
        <f>B24*E24/E26</f>
        <v>8.6167860204510944</v>
      </c>
      <c r="E26">
        <v>0.98</v>
      </c>
    </row>
    <row r="28" spans="1:9" x14ac:dyDescent="0.25">
      <c r="A28" t="s">
        <v>77</v>
      </c>
      <c r="B28">
        <f>B19/B18</f>
        <v>15.353200205527436</v>
      </c>
      <c r="G28" t="s">
        <v>77</v>
      </c>
      <c r="H28">
        <f>C19/C18</f>
        <v>1.8683501725344861E-4</v>
      </c>
    </row>
    <row r="29" spans="1:9" x14ac:dyDescent="0.25">
      <c r="A29" t="s">
        <v>78</v>
      </c>
      <c r="B29" t="s">
        <v>79</v>
      </c>
      <c r="C29" t="s">
        <v>80</v>
      </c>
      <c r="G29" t="s">
        <v>78</v>
      </c>
      <c r="H29" t="s">
        <v>79</v>
      </c>
      <c r="I29" t="s">
        <v>80</v>
      </c>
    </row>
    <row r="30" spans="1:9" x14ac:dyDescent="0.25">
      <c r="A30">
        <f>(1-C30)/(1+B28)</f>
        <v>1.2230022104933291E-3</v>
      </c>
      <c r="B30">
        <f>1-C30-A30</f>
        <v>1.8776997789506689E-2</v>
      </c>
      <c r="C30">
        <v>0.98</v>
      </c>
      <c r="G30">
        <f>(1-I30)/(1+H28)</f>
        <v>0.74985989991266222</v>
      </c>
      <c r="H30">
        <f>1-I30-G30</f>
        <v>1.4010008733778001E-4</v>
      </c>
      <c r="I30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2"/>
  <dimension ref="A1:AK24"/>
  <sheetViews>
    <sheetView tabSelected="1" zoomScale="55" zoomScaleNormal="55" workbookViewId="0">
      <selection activeCell="V20" sqref="V20"/>
    </sheetView>
  </sheetViews>
  <sheetFormatPr defaultRowHeight="15" x14ac:dyDescent="0.25"/>
  <cols>
    <col min="19" max="19" width="14.42578125" bestFit="1" customWidth="1"/>
    <col min="20" max="20" width="14.28515625" bestFit="1" customWidth="1"/>
    <col min="23" max="23" width="12" bestFit="1" customWidth="1"/>
    <col min="25" max="25" width="10.28515625" bestFit="1" customWidth="1"/>
  </cols>
  <sheetData>
    <row r="1" spans="1:37" ht="15.75" thickBot="1" x14ac:dyDescent="0.3">
      <c r="C1" s="18" t="s">
        <v>39</v>
      </c>
      <c r="D1" s="19"/>
      <c r="E1" s="19"/>
      <c r="H1" s="20" t="s">
        <v>41</v>
      </c>
      <c r="I1" s="7" t="s">
        <v>42</v>
      </c>
      <c r="J1" s="7" t="s">
        <v>43</v>
      </c>
      <c r="K1" s="20" t="s">
        <v>44</v>
      </c>
      <c r="L1" s="20" t="s">
        <v>45</v>
      </c>
      <c r="N1" t="s">
        <v>46</v>
      </c>
      <c r="O1">
        <f>8.314/1000</f>
        <v>8.3140000000000002E-3</v>
      </c>
    </row>
    <row r="2" spans="1:37" ht="15.75" thickBot="1" x14ac:dyDescent="0.3">
      <c r="C2" t="s">
        <v>0</v>
      </c>
      <c r="D2" t="s">
        <v>1</v>
      </c>
      <c r="E2" t="s">
        <v>2</v>
      </c>
      <c r="H2" s="21"/>
      <c r="I2" s="22" t="s">
        <v>47</v>
      </c>
      <c r="J2" s="22"/>
      <c r="K2" s="21"/>
      <c r="L2" s="21"/>
      <c r="U2" t="s">
        <v>81</v>
      </c>
      <c r="V2" t="s">
        <v>82</v>
      </c>
    </row>
    <row r="3" spans="1:37" ht="15.75" thickBot="1" x14ac:dyDescent="0.3">
      <c r="A3" t="s">
        <v>0</v>
      </c>
      <c r="B3" t="s">
        <v>3</v>
      </c>
      <c r="C3">
        <v>20.840540000000001</v>
      </c>
      <c r="D3">
        <v>-2624.5250000000001</v>
      </c>
      <c r="E3">
        <v>-46.151710000000001</v>
      </c>
      <c r="H3" s="22" t="s">
        <v>48</v>
      </c>
      <c r="I3" s="22"/>
      <c r="J3" s="22"/>
      <c r="K3" s="22"/>
      <c r="L3" s="22"/>
    </row>
    <row r="4" spans="1:37" x14ac:dyDescent="0.25">
      <c r="A4" t="s">
        <v>1</v>
      </c>
      <c r="B4" t="s">
        <v>4</v>
      </c>
      <c r="C4">
        <v>23.534700000000001</v>
      </c>
      <c r="D4">
        <v>-3661.4679999999998</v>
      </c>
      <c r="E4">
        <v>-32.770009999999999</v>
      </c>
      <c r="H4" s="8" t="s">
        <v>49</v>
      </c>
      <c r="I4" s="9">
        <v>5.5736999999999997</v>
      </c>
      <c r="J4" s="9">
        <v>7.4991000000000003</v>
      </c>
      <c r="K4" s="8">
        <v>6.4999999999999997E-3</v>
      </c>
      <c r="L4" s="8">
        <v>0.4</v>
      </c>
    </row>
    <row r="5" spans="1:37" x14ac:dyDescent="0.25">
      <c r="A5" t="s">
        <v>2</v>
      </c>
      <c r="B5" t="s">
        <v>5</v>
      </c>
      <c r="C5" t="s">
        <v>40</v>
      </c>
      <c r="D5" t="s">
        <v>40</v>
      </c>
      <c r="E5" t="s">
        <v>40</v>
      </c>
      <c r="H5" s="10" t="s">
        <v>50</v>
      </c>
      <c r="I5" s="11">
        <v>19.269400000000001</v>
      </c>
      <c r="J5" s="11">
        <v>16.212</v>
      </c>
      <c r="K5" s="10"/>
      <c r="L5" s="10"/>
    </row>
    <row r="6" spans="1:37" ht="15.75" thickBot="1" x14ac:dyDescent="0.3">
      <c r="A6" t="s">
        <v>38</v>
      </c>
      <c r="B6">
        <v>50</v>
      </c>
      <c r="H6" s="12" t="s">
        <v>51</v>
      </c>
      <c r="I6" s="13">
        <v>10.6456</v>
      </c>
      <c r="J6" s="13">
        <v>0.56320000000000003</v>
      </c>
      <c r="K6" s="14"/>
      <c r="L6" s="14"/>
    </row>
    <row r="7" spans="1:37" ht="15.75" thickBot="1" x14ac:dyDescent="0.3">
      <c r="AI7" s="5"/>
      <c r="AJ7" s="5"/>
      <c r="AK7" s="5"/>
    </row>
    <row r="8" spans="1:37" ht="15.75" thickBot="1" x14ac:dyDescent="0.3">
      <c r="O8" s="74" t="s">
        <v>83</v>
      </c>
      <c r="P8" s="75"/>
      <c r="Q8" s="76"/>
      <c r="AG8" s="77"/>
      <c r="AH8" s="77"/>
      <c r="AI8" s="77"/>
      <c r="AJ8" s="6"/>
    </row>
    <row r="9" spans="1:37" ht="15.75" thickBot="1" x14ac:dyDescent="0.3">
      <c r="B9" s="3"/>
      <c r="C9" s="3" t="s">
        <v>6</v>
      </c>
      <c r="D9" s="15" t="s">
        <v>7</v>
      </c>
      <c r="E9" s="16" t="s">
        <v>8</v>
      </c>
      <c r="F9" s="15" t="s">
        <v>9</v>
      </c>
      <c r="G9" s="15" t="s">
        <v>10</v>
      </c>
      <c r="H9" s="3" t="s">
        <v>35</v>
      </c>
      <c r="I9" s="15" t="s">
        <v>36</v>
      </c>
      <c r="J9" s="15" t="s">
        <v>37</v>
      </c>
      <c r="K9" s="3" t="s">
        <v>11</v>
      </c>
      <c r="L9" s="3" t="s">
        <v>12</v>
      </c>
      <c r="M9" s="15" t="s">
        <v>13</v>
      </c>
      <c r="N9" s="3" t="s">
        <v>84</v>
      </c>
      <c r="O9" s="3" t="s">
        <v>11</v>
      </c>
      <c r="P9" s="15" t="s">
        <v>12</v>
      </c>
      <c r="Q9" s="15" t="s">
        <v>13</v>
      </c>
      <c r="S9" s="3"/>
      <c r="T9" s="3" t="s">
        <v>6</v>
      </c>
      <c r="U9" s="15" t="s">
        <v>7</v>
      </c>
      <c r="V9" s="16" t="s">
        <v>8</v>
      </c>
      <c r="W9" s="78" t="s">
        <v>9</v>
      </c>
      <c r="X9" s="15" t="s">
        <v>10</v>
      </c>
      <c r="Y9" s="3" t="s">
        <v>35</v>
      </c>
      <c r="Z9" s="15" t="s">
        <v>36</v>
      </c>
      <c r="AA9" s="15" t="s">
        <v>37</v>
      </c>
      <c r="AB9" s="3" t="s">
        <v>85</v>
      </c>
      <c r="AC9" s="15" t="s">
        <v>86</v>
      </c>
      <c r="AD9" s="15" t="s">
        <v>87</v>
      </c>
      <c r="AE9" s="3" t="s">
        <v>88</v>
      </c>
      <c r="AG9" s="6"/>
      <c r="AH9" s="6"/>
      <c r="AI9" s="6"/>
      <c r="AJ9" s="6"/>
    </row>
    <row r="10" spans="1:37" x14ac:dyDescent="0.25">
      <c r="B10" s="79"/>
      <c r="C10" s="79">
        <v>47.451012628308064</v>
      </c>
      <c r="D10" s="80">
        <v>320.60101262830801</v>
      </c>
      <c r="E10" s="79">
        <v>79.036316017472245</v>
      </c>
      <c r="F10" s="17">
        <v>49.702219478439417</v>
      </c>
      <c r="G10" s="79">
        <v>0</v>
      </c>
      <c r="H10" s="79">
        <v>145.98212008795718</v>
      </c>
      <c r="I10" s="79">
        <v>1.966758868785246</v>
      </c>
      <c r="J10" s="79">
        <v>0</v>
      </c>
      <c r="K10" s="79">
        <f>MMULT(L20,I20)</f>
        <v>4.2279958231483764E-4</v>
      </c>
      <c r="L10" s="79">
        <f>MMULT(L22,I22)</f>
        <v>0.35526232963654814</v>
      </c>
      <c r="M10" s="79">
        <f>MMULT(L24,I24)</f>
        <v>0.98</v>
      </c>
      <c r="N10" s="16">
        <f>SUM(K10:M10)</f>
        <v>1.335685129218863</v>
      </c>
      <c r="O10" s="79">
        <f>K10/(K10+L10+M10)</f>
        <v>3.1654135624172128E-4</v>
      </c>
      <c r="P10" s="79">
        <f>L10/(K10+L10+M10)</f>
        <v>0.26597760345232946</v>
      </c>
      <c r="Q10" s="79">
        <f>M10/(K10+L10+M10)</f>
        <v>0.73370585519142884</v>
      </c>
      <c r="S10" s="79"/>
      <c r="T10" s="79">
        <v>47.451012628308064</v>
      </c>
      <c r="U10" s="80">
        <f>T10+273.15</f>
        <v>320.60101262830801</v>
      </c>
      <c r="V10" s="79">
        <f>EXP(C3+D3/(U10+E3))/1000</f>
        <v>79.036316017472245</v>
      </c>
      <c r="W10" s="79">
        <f>EXP(C4+D4/(U10+E4))/1000</f>
        <v>49.702219478439417</v>
      </c>
      <c r="X10" s="79">
        <v>0</v>
      </c>
      <c r="Y10" s="79">
        <f>V10*AA14/$B$6</f>
        <v>190.12257019397538</v>
      </c>
      <c r="Z10" s="79">
        <f t="shared" ref="Z10:AA10" si="0">W10*AB14/$B$6</f>
        <v>2.2333503471647056</v>
      </c>
      <c r="AA10" s="79">
        <f t="shared" si="0"/>
        <v>0</v>
      </c>
      <c r="AB10" s="79">
        <f>(O10*AA14*V10)/$B$6</f>
        <v>6.0181656221362817E-2</v>
      </c>
      <c r="AC10" s="79">
        <f t="shared" ref="AC10:AD10" si="1">(P10*AB14*W10)/$B$6</f>
        <v>0.59402117300829649</v>
      </c>
      <c r="AD10" s="79">
        <f t="shared" si="1"/>
        <v>0</v>
      </c>
      <c r="AE10" s="79">
        <f>SUM(AB10:AD10)</f>
        <v>0.65420282922965933</v>
      </c>
    </row>
    <row r="11" spans="1:37" ht="15.75" thickBot="1" x14ac:dyDescent="0.3"/>
    <row r="12" spans="1:37" ht="15.75" thickBot="1" x14ac:dyDescent="0.3">
      <c r="C12" s="74" t="s">
        <v>89</v>
      </c>
      <c r="D12" s="75"/>
      <c r="E12" s="76"/>
      <c r="AA12" s="74" t="s">
        <v>90</v>
      </c>
      <c r="AB12" s="75"/>
      <c r="AC12" s="76"/>
    </row>
    <row r="13" spans="1:37" ht="15.75" thickBot="1" x14ac:dyDescent="0.3">
      <c r="B13" s="3"/>
      <c r="C13" s="3" t="s">
        <v>32</v>
      </c>
      <c r="D13" s="15" t="s">
        <v>33</v>
      </c>
      <c r="E13" s="15" t="s">
        <v>34</v>
      </c>
      <c r="F13" s="3" t="s">
        <v>14</v>
      </c>
      <c r="G13" s="15" t="s">
        <v>15</v>
      </c>
      <c r="H13" s="15" t="s">
        <v>16</v>
      </c>
      <c r="I13" s="15" t="s">
        <v>17</v>
      </c>
      <c r="J13" s="15" t="s">
        <v>18</v>
      </c>
      <c r="K13" s="15" t="s">
        <v>19</v>
      </c>
      <c r="L13" s="3" t="s">
        <v>20</v>
      </c>
      <c r="M13" s="15" t="s">
        <v>21</v>
      </c>
      <c r="N13" s="15" t="s">
        <v>22</v>
      </c>
      <c r="O13" s="15" t="s">
        <v>23</v>
      </c>
      <c r="P13" s="15" t="s">
        <v>24</v>
      </c>
      <c r="Q13" s="15" t="s">
        <v>25</v>
      </c>
      <c r="R13" s="4" t="s">
        <v>26</v>
      </c>
      <c r="S13" s="81" t="s">
        <v>27</v>
      </c>
      <c r="T13" s="81" t="s">
        <v>28</v>
      </c>
      <c r="U13" s="4" t="s">
        <v>29</v>
      </c>
      <c r="V13" s="81" t="s">
        <v>30</v>
      </c>
      <c r="W13" s="81" t="s">
        <v>31</v>
      </c>
      <c r="X13" s="4" t="s">
        <v>91</v>
      </c>
      <c r="Y13" s="81" t="s">
        <v>92</v>
      </c>
      <c r="Z13" s="81" t="s">
        <v>93</v>
      </c>
      <c r="AA13" s="4" t="s">
        <v>32</v>
      </c>
      <c r="AB13" s="81" t="s">
        <v>33</v>
      </c>
      <c r="AC13" s="81" t="s">
        <v>34</v>
      </c>
    </row>
    <row r="14" spans="1:37" x14ac:dyDescent="0.25">
      <c r="B14" s="79"/>
      <c r="C14" s="79">
        <v>1</v>
      </c>
      <c r="D14" s="79">
        <v>1</v>
      </c>
      <c r="E14" s="79">
        <v>1</v>
      </c>
      <c r="F14" s="79">
        <f>I4/$O$1/$D$10</f>
        <v>2.0910705207739588</v>
      </c>
      <c r="G14" s="79">
        <f>J4/$O$1/$D$10</f>
        <v>2.8134178269975054</v>
      </c>
      <c r="H14" s="79">
        <f>I5/$O$1/$D$10</f>
        <v>7.2292506401495817</v>
      </c>
      <c r="I14" s="79">
        <f>J5/$O$1/$D$10</f>
        <v>6.0822138404986674</v>
      </c>
      <c r="J14" s="79">
        <f>I6/$O$1/$D$10</f>
        <v>3.9938820417229595</v>
      </c>
      <c r="K14" s="79">
        <f>J6/$O$1/$D$10</f>
        <v>0.21129427800202624</v>
      </c>
      <c r="L14" s="79">
        <f>EXP(-$L$4*F14)</f>
        <v>0.43325526058672725</v>
      </c>
      <c r="M14" s="79">
        <f t="shared" ref="M14:Q14" si="2">EXP(-$L$4*G14)</f>
        <v>0.32453329931507835</v>
      </c>
      <c r="N14" s="79">
        <f t="shared" si="2"/>
        <v>5.5481799105520417E-2</v>
      </c>
      <c r="O14" s="79">
        <f t="shared" si="2"/>
        <v>8.7783165274179453E-2</v>
      </c>
      <c r="P14" s="79">
        <f t="shared" si="2"/>
        <v>0.20239120082691361</v>
      </c>
      <c r="Q14" s="79">
        <f t="shared" si="2"/>
        <v>0.91895537942943784</v>
      </c>
      <c r="R14" s="79">
        <f>P10*G14*M14+Q10*I14*O14</f>
        <v>0.63458754039069787</v>
      </c>
      <c r="S14" s="79">
        <f>O10*F14*L14+Q10*K14*Q14</f>
        <v>0.14275045186236196</v>
      </c>
      <c r="T14" s="79">
        <f>O10*H14*N14+P10*J14*P14</f>
        <v>0.21512372934205259</v>
      </c>
      <c r="U14" s="79">
        <f>O10+M14*P10+Q10*O14</f>
        <v>0.15104215289744616</v>
      </c>
      <c r="V14" s="79">
        <f>O10*L14+P10+Q10*Q14</f>
        <v>0.94035768920715412</v>
      </c>
      <c r="W14" s="79">
        <f>O10*N14+P10*P14+Q10</f>
        <v>0.78755494403114601</v>
      </c>
      <c r="X14">
        <f>R14/U14-O10*R14/U14^2+P10*L14/V14*(F14-S14/V14)+Q10*N14/W14*(H14-T14/W14)</f>
        <v>4.7897845326184108</v>
      </c>
      <c r="Y14">
        <f>S14/V14-P10*S14/V14^2+O10*M14/U14*(G14-R14/U14)+Q10*P14/W14*(J14-T14/W14)</f>
        <v>0.80947627164205171</v>
      </c>
      <c r="Z14">
        <f>T14/W14-Q10*T14/W14^2+O10*O14/U14*(I14-R14/U14)+P10*Q14/V14*(K14-S14/V14)</f>
        <v>3.4485762011934047E-2</v>
      </c>
      <c r="AA14" s="16">
        <f>EXP(X14)</f>
        <v>120.2754504346747</v>
      </c>
      <c r="AB14" s="16">
        <f t="shared" ref="AB14:AC14" si="3">EXP(Y14)</f>
        <v>2.2467310017548838</v>
      </c>
      <c r="AC14" s="16">
        <f t="shared" si="3"/>
        <v>1.0350872907107049</v>
      </c>
    </row>
    <row r="19" spans="1:12" x14ac:dyDescent="0.25">
      <c r="B19" t="s">
        <v>72</v>
      </c>
      <c r="C19" t="s">
        <v>11</v>
      </c>
      <c r="D19" t="s">
        <v>12</v>
      </c>
      <c r="E19" t="s">
        <v>13</v>
      </c>
      <c r="G19" t="s">
        <v>0</v>
      </c>
      <c r="I19" t="s">
        <v>94</v>
      </c>
      <c r="K19" t="s">
        <v>95</v>
      </c>
    </row>
    <row r="20" spans="1:12" x14ac:dyDescent="0.25">
      <c r="A20" t="s">
        <v>57</v>
      </c>
      <c r="B20">
        <v>20.690942281580988</v>
      </c>
      <c r="C20" s="73">
        <v>3.6193341415735866E-2</v>
      </c>
      <c r="D20">
        <v>0.55568361686280054</v>
      </c>
      <c r="E20">
        <v>0.40812304172146363</v>
      </c>
      <c r="H20">
        <f>$B$22+$B$21*H10</f>
        <v>1771.2277152934753</v>
      </c>
      <c r="I20" s="82">
        <f>$B$20*C20</f>
        <v>0.7488743382105455</v>
      </c>
      <c r="L20">
        <f>MINVERSE(H20)</f>
        <v>5.6458014481458683E-4</v>
      </c>
    </row>
    <row r="21" spans="1:12" x14ac:dyDescent="0.25">
      <c r="A21" t="s">
        <v>75</v>
      </c>
      <c r="B21">
        <f>B20-B22</f>
        <v>12.074156261129893</v>
      </c>
      <c r="E21">
        <v>0</v>
      </c>
      <c r="G21" t="s">
        <v>1</v>
      </c>
      <c r="I21" t="s">
        <v>94</v>
      </c>
      <c r="K21" t="s">
        <v>95</v>
      </c>
    </row>
    <row r="22" spans="1:12" x14ac:dyDescent="0.25">
      <c r="A22" t="s">
        <v>76</v>
      </c>
      <c r="B22">
        <f>B20*E20/E22</f>
        <v>8.6167860204510944</v>
      </c>
      <c r="C22" s="82"/>
      <c r="E22">
        <v>0.98</v>
      </c>
      <c r="H22">
        <f>$B$22+$B$21*I10</f>
        <v>32.363739930127217</v>
      </c>
      <c r="I22" s="82">
        <f>$B$20*D20</f>
        <v>11.49761764332837</v>
      </c>
      <c r="L22">
        <f>MINVERSE(H22)</f>
        <v>3.0898777525681011E-2</v>
      </c>
    </row>
    <row r="23" spans="1:12" x14ac:dyDescent="0.25">
      <c r="G23" t="s">
        <v>2</v>
      </c>
      <c r="I23" t="s">
        <v>94</v>
      </c>
      <c r="K23" t="s">
        <v>95</v>
      </c>
    </row>
    <row r="24" spans="1:12" x14ac:dyDescent="0.25">
      <c r="H24">
        <f>$B$22+$B$21*J10</f>
        <v>8.6167860204510944</v>
      </c>
      <c r="I24" s="82">
        <f>$B$20*E20</f>
        <v>8.4444503000420728</v>
      </c>
      <c r="L24">
        <f>MINVERSE(H24)</f>
        <v>0.11605255110508701</v>
      </c>
    </row>
  </sheetData>
  <mergeCells count="9">
    <mergeCell ref="O8:Q8"/>
    <mergeCell ref="C12:E12"/>
    <mergeCell ref="AA12:AC12"/>
    <mergeCell ref="C1:E1"/>
    <mergeCell ref="H1:H2"/>
    <mergeCell ref="K1:K2"/>
    <mergeCell ref="L1:L2"/>
    <mergeCell ref="I2:J2"/>
    <mergeCell ref="H3:L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Vstup</vt:lpstr>
      <vt:lpstr>ODP.Extrakt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2025-03-04T10:50:29Z</dcterms:modified>
</cp:coreProperties>
</file>