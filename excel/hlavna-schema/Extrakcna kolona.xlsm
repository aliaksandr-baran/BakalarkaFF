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Workbook________" defaultThemeVersion="124226"/>
  <bookViews>
    <workbookView xWindow="240" yWindow="105" windowWidth="14805" windowHeight="8010"/>
  </bookViews>
  <sheets>
    <sheet name="Vytazky" sheetId="9" r:id="rId1"/>
    <sheet name="MB 5 PTE s ns=10" sheetId="3" r:id="rId2"/>
    <sheet name="MB 5 PTE s ns=7" sheetId="1" r:id="rId3"/>
    <sheet name="1 kontakt" sheetId="4" r:id="rId4"/>
    <sheet name="2 kontakty" sheetId="5" r:id="rId5"/>
    <sheet name="3 kontakty" sheetId="6" r:id="rId6"/>
    <sheet name="4 kont" sheetId="8" r:id="rId7"/>
    <sheet name="8 kont" sheetId="7" r:id="rId8"/>
  </sheets>
  <externalReferences>
    <externalReference r:id="rId9"/>
  </externalReferences>
  <definedNames>
    <definedName name="solver_adj" localSheetId="3" hidden="1">'1 kontakt'!$A$5:$B$5</definedName>
    <definedName name="solver_adj" localSheetId="7" hidden="1">'8 kont'!$I$16</definedName>
    <definedName name="solver_cvg" localSheetId="3" hidden="1">0.0001</definedName>
    <definedName name="solver_cvg" localSheetId="7" hidden="1">0.0001</definedName>
    <definedName name="solver_drv" localSheetId="3" hidden="1">1</definedName>
    <definedName name="solver_drv" localSheetId="7" hidden="1">1</definedName>
    <definedName name="solver_eng" localSheetId="3" hidden="1">1</definedName>
    <definedName name="solver_eng" localSheetId="7" hidden="1">1</definedName>
    <definedName name="solver_est" localSheetId="3" hidden="1">1</definedName>
    <definedName name="solver_est" localSheetId="7" hidden="1">1</definedName>
    <definedName name="solver_itr" localSheetId="3" hidden="1">2147483647</definedName>
    <definedName name="solver_itr" localSheetId="7" hidden="1">2147483647</definedName>
    <definedName name="solver_mip" localSheetId="3" hidden="1">2147483647</definedName>
    <definedName name="solver_mip" localSheetId="7" hidden="1">2147483647</definedName>
    <definedName name="solver_mni" localSheetId="3" hidden="1">30</definedName>
    <definedName name="solver_mni" localSheetId="7" hidden="1">30</definedName>
    <definedName name="solver_mrt" localSheetId="3" hidden="1">0.075</definedName>
    <definedName name="solver_mrt" localSheetId="7" hidden="1">0.075</definedName>
    <definedName name="solver_msl" localSheetId="3" hidden="1">2</definedName>
    <definedName name="solver_msl" localSheetId="7" hidden="1">2</definedName>
    <definedName name="solver_neg" localSheetId="3" hidden="1">1</definedName>
    <definedName name="solver_neg" localSheetId="7" hidden="1">1</definedName>
    <definedName name="solver_nod" localSheetId="3" hidden="1">2147483647</definedName>
    <definedName name="solver_nod" localSheetId="7" hidden="1">2147483647</definedName>
    <definedName name="solver_num" localSheetId="3" hidden="1">0</definedName>
    <definedName name="solver_num" localSheetId="7" hidden="1">0</definedName>
    <definedName name="solver_nwt" localSheetId="3" hidden="1">1</definedName>
    <definedName name="solver_nwt" localSheetId="7" hidden="1">1</definedName>
    <definedName name="solver_opt" localSheetId="3" hidden="1">'1 kontakt'!$W$6</definedName>
    <definedName name="solver_opt" localSheetId="7" hidden="1">'8 kont'!$N$17</definedName>
    <definedName name="solver_pre" localSheetId="3" hidden="1">0.000001</definedName>
    <definedName name="solver_pre" localSheetId="7" hidden="1">0.000001</definedName>
    <definedName name="solver_rbv" localSheetId="3" hidden="1">1</definedName>
    <definedName name="solver_rbv" localSheetId="7" hidden="1">1</definedName>
    <definedName name="solver_rlx" localSheetId="3" hidden="1">2</definedName>
    <definedName name="solver_rlx" localSheetId="7" hidden="1">2</definedName>
    <definedName name="solver_rsd" localSheetId="3" hidden="1">0</definedName>
    <definedName name="solver_rsd" localSheetId="7" hidden="1">0</definedName>
    <definedName name="solver_scl" localSheetId="3" hidden="1">1</definedName>
    <definedName name="solver_scl" localSheetId="7" hidden="1">1</definedName>
    <definedName name="solver_sho" localSheetId="3" hidden="1">2</definedName>
    <definedName name="solver_sho" localSheetId="7" hidden="1">2</definedName>
    <definedName name="solver_ssz" localSheetId="3" hidden="1">100</definedName>
    <definedName name="solver_ssz" localSheetId="7" hidden="1">100</definedName>
    <definedName name="solver_tim" localSheetId="3" hidden="1">2147483647</definedName>
    <definedName name="solver_tim" localSheetId="7" hidden="1">2147483647</definedName>
    <definedName name="solver_tol" localSheetId="3" hidden="1">0.01</definedName>
    <definedName name="solver_tol" localSheetId="7" hidden="1">0.01</definedName>
    <definedName name="solver_typ" localSheetId="3" hidden="1">3</definedName>
    <definedName name="solver_typ" localSheetId="7" hidden="1">2</definedName>
    <definedName name="solver_val" localSheetId="3" hidden="1">0</definedName>
    <definedName name="solver_val" localSheetId="7" hidden="1">0</definedName>
    <definedName name="solver_ver" localSheetId="3" hidden="1">3</definedName>
    <definedName name="solver_ver" localSheetId="7" hidden="1">3</definedName>
  </definedNames>
  <calcPr calcId="145621"/>
</workbook>
</file>

<file path=xl/calcChain.xml><?xml version="1.0" encoding="utf-8"?>
<calcChain xmlns="http://schemas.openxmlformats.org/spreadsheetml/2006/main">
  <c r="O41" i="1" l="1"/>
  <c r="AO33" i="1" s="1"/>
  <c r="R13" i="1" s="1"/>
  <c r="I41" i="1"/>
  <c r="L34" i="1" s="1"/>
  <c r="O40" i="1"/>
  <c r="AO32" i="1" s="1"/>
  <c r="R12" i="1" s="1"/>
  <c r="I40" i="1"/>
  <c r="L33" i="1" s="1"/>
  <c r="O39" i="1"/>
  <c r="AO31" i="1" s="1"/>
  <c r="R11" i="1" s="1"/>
  <c r="I39" i="1"/>
  <c r="AI31" i="1" s="1"/>
  <c r="P6" i="1" s="1"/>
  <c r="B39" i="1"/>
  <c r="O38" i="1"/>
  <c r="AO30" i="1" s="1"/>
  <c r="R10" i="1" s="1"/>
  <c r="I38" i="1"/>
  <c r="AI30" i="1" s="1"/>
  <c r="P5" i="1" s="1"/>
  <c r="O37" i="1"/>
  <c r="AO29" i="1" s="1"/>
  <c r="I37" i="1"/>
  <c r="AI29" i="1" s="1"/>
  <c r="P4" i="1" s="1"/>
  <c r="AR34" i="1"/>
  <c r="AN34" i="1"/>
  <c r="J34" i="1"/>
  <c r="AN33" i="1"/>
  <c r="Q13" i="1" s="1"/>
  <c r="AM33" i="1"/>
  <c r="P13" i="1" s="1"/>
  <c r="AL33" i="1"/>
  <c r="AK33" i="1"/>
  <c r="R8" i="1" s="1"/>
  <c r="AJ33" i="1"/>
  <c r="Q8" i="1" s="1"/>
  <c r="J33" i="1"/>
  <c r="AN32" i="1"/>
  <c r="Q12" i="1" s="1"/>
  <c r="AM32" i="1"/>
  <c r="P12" i="1" s="1"/>
  <c r="AL32" i="1"/>
  <c r="AK32" i="1"/>
  <c r="R7" i="1" s="1"/>
  <c r="AJ32" i="1"/>
  <c r="Q7" i="1" s="1"/>
  <c r="J32" i="1"/>
  <c r="AN31" i="1"/>
  <c r="Q11" i="1" s="1"/>
  <c r="AM31" i="1"/>
  <c r="P11" i="1" s="1"/>
  <c r="AL31" i="1"/>
  <c r="AK31" i="1"/>
  <c r="R6" i="1" s="1"/>
  <c r="AJ31" i="1"/>
  <c r="Q6" i="1" s="1"/>
  <c r="J31" i="1"/>
  <c r="AN30" i="1"/>
  <c r="Q10" i="1" s="1"/>
  <c r="AM30" i="1"/>
  <c r="P10" i="1" s="1"/>
  <c r="AL30" i="1"/>
  <c r="AK30" i="1"/>
  <c r="R5" i="1" s="1"/>
  <c r="AJ30" i="1"/>
  <c r="Q5" i="1" s="1"/>
  <c r="J30" i="1"/>
  <c r="AN29" i="1"/>
  <c r="Q9" i="1" s="1"/>
  <c r="AM29" i="1"/>
  <c r="P9" i="1" s="1"/>
  <c r="AL29" i="1"/>
  <c r="AK29" i="1"/>
  <c r="R4" i="1" s="1"/>
  <c r="AJ29" i="1"/>
  <c r="Q4" i="1" s="1"/>
  <c r="AQ28" i="1"/>
  <c r="L25" i="1"/>
  <c r="R25" i="1" s="1"/>
  <c r="K25" i="1"/>
  <c r="Q25" i="1" s="1"/>
  <c r="J25" i="1"/>
  <c r="P25" i="1" s="1"/>
  <c r="I25" i="1"/>
  <c r="H25" i="1"/>
  <c r="N25" i="1" s="1"/>
  <c r="G25" i="1"/>
  <c r="M19" i="1"/>
  <c r="K19" i="1"/>
  <c r="I19" i="1"/>
  <c r="G19" i="1"/>
  <c r="E19" i="1"/>
  <c r="C19" i="1"/>
  <c r="S14" i="1"/>
  <c r="AE20" i="1" s="1"/>
  <c r="R14" i="1"/>
  <c r="Q14" i="1"/>
  <c r="P14" i="1"/>
  <c r="AE13" i="1"/>
  <c r="M12" i="1"/>
  <c r="K12" i="1"/>
  <c r="I12" i="1"/>
  <c r="G12" i="1"/>
  <c r="E12" i="1"/>
  <c r="C12" i="1"/>
  <c r="S3" i="1"/>
  <c r="R3" i="1"/>
  <c r="Q3" i="1"/>
  <c r="P3" i="1"/>
  <c r="AE2" i="1"/>
  <c r="L32" i="1" l="1"/>
  <c r="AI32" i="1"/>
  <c r="P7" i="1" s="1"/>
  <c r="AI33" i="1"/>
  <c r="P8" i="1" s="1"/>
  <c r="AT30" i="1"/>
  <c r="V5" i="1" s="1"/>
  <c r="AT31" i="1"/>
  <c r="V6" i="1" s="1"/>
  <c r="AS32" i="1"/>
  <c r="U7" i="1" s="1"/>
  <c r="AS30" i="1"/>
  <c r="U5" i="1" s="1"/>
  <c r="AU30" i="1"/>
  <c r="W5" i="1" s="1"/>
  <c r="AS31" i="1"/>
  <c r="U6" i="1" s="1"/>
  <c r="AU31" i="1"/>
  <c r="W6" i="1" s="1"/>
  <c r="AT32" i="1"/>
  <c r="V7" i="1" s="1"/>
  <c r="AT33" i="1"/>
  <c r="V8" i="1" s="1"/>
  <c r="AU32" i="1"/>
  <c r="W7" i="1" s="1"/>
  <c r="AU33" i="1"/>
  <c r="W8" i="1" s="1"/>
  <c r="AU29" i="1"/>
  <c r="W4" i="1" s="1"/>
  <c r="R9" i="1"/>
  <c r="AT29" i="1"/>
  <c r="V4" i="1" s="1"/>
  <c r="AE16" i="1"/>
  <c r="B12" i="1"/>
  <c r="AE9" i="1"/>
  <c r="P46" i="1"/>
  <c r="P44" i="1"/>
  <c r="P45" i="1"/>
  <c r="P47" i="1"/>
  <c r="P43" i="1"/>
  <c r="AP29" i="1"/>
  <c r="AS29" i="1"/>
  <c r="U4" i="1" s="1"/>
  <c r="L19" i="1"/>
  <c r="AE6" i="1"/>
  <c r="S47" i="1"/>
  <c r="S45" i="1"/>
  <c r="S43" i="1"/>
  <c r="S40" i="1"/>
  <c r="S44" i="1"/>
  <c r="S39" i="1"/>
  <c r="S46" i="1"/>
  <c r="S41" i="1"/>
  <c r="S38" i="1"/>
  <c r="S37" i="1"/>
  <c r="T46" i="1"/>
  <c r="M25" i="1"/>
  <c r="O25" i="1"/>
  <c r="U37" i="1" s="1"/>
  <c r="L30" i="1"/>
  <c r="AP30" i="1"/>
  <c r="L31" i="1"/>
  <c r="AP31" i="1"/>
  <c r="AP32" i="1"/>
  <c r="AP33" i="1"/>
  <c r="U39" i="1"/>
  <c r="T43" i="1"/>
  <c r="U44" i="1"/>
  <c r="T47" i="1"/>
  <c r="P37" i="1"/>
  <c r="T37" i="1"/>
  <c r="P38" i="1"/>
  <c r="T38" i="1"/>
  <c r="U40" i="1"/>
  <c r="P40" i="1"/>
  <c r="T40" i="1"/>
  <c r="U41" i="1"/>
  <c r="T45" i="1"/>
  <c r="U46" i="1"/>
  <c r="P39" i="1"/>
  <c r="T39" i="1"/>
  <c r="P41" i="1"/>
  <c r="T41" i="1"/>
  <c r="B3" i="9"/>
  <c r="B4" i="9"/>
  <c r="B5" i="9"/>
  <c r="B6" i="9"/>
  <c r="B7" i="9"/>
  <c r="B8" i="9"/>
  <c r="D15" i="7"/>
  <c r="C15" i="7"/>
  <c r="B15" i="7"/>
  <c r="AW24" i="8"/>
  <c r="AV24" i="8"/>
  <c r="AU24" i="8"/>
  <c r="AA11" i="6"/>
  <c r="Z11" i="6"/>
  <c r="Y11" i="6"/>
  <c r="Y8" i="5"/>
  <c r="W8" i="5"/>
  <c r="X8" i="5"/>
  <c r="W6" i="4"/>
  <c r="U6" i="4"/>
  <c r="AY37" i="3"/>
  <c r="AW37" i="3"/>
  <c r="AX37" i="3"/>
  <c r="V6" i="4"/>
  <c r="F16" i="7"/>
  <c r="X24" i="6"/>
  <c r="S19" i="5"/>
  <c r="P16" i="4"/>
  <c r="AJ30" i="3"/>
  <c r="AK30" i="3"/>
  <c r="AL30" i="3"/>
  <c r="AM30" i="3"/>
  <c r="AN30" i="3"/>
  <c r="AJ31" i="3"/>
  <c r="AK31" i="3"/>
  <c r="AL31" i="3"/>
  <c r="AM31" i="3"/>
  <c r="AN31" i="3"/>
  <c r="AJ32" i="3"/>
  <c r="AK32" i="3"/>
  <c r="AL32" i="3"/>
  <c r="AM32" i="3"/>
  <c r="AN32" i="3"/>
  <c r="AJ33" i="3"/>
  <c r="AK33" i="3"/>
  <c r="AL33" i="3"/>
  <c r="AM33" i="3"/>
  <c r="AN33" i="3"/>
  <c r="AJ29" i="3"/>
  <c r="AK29" i="3"/>
  <c r="AL29" i="3"/>
  <c r="AM29" i="3"/>
  <c r="AN29" i="3"/>
  <c r="AQ33" i="1" l="1"/>
  <c r="AQ32" i="1" s="1"/>
  <c r="AS33" i="1"/>
  <c r="U8" i="1" s="1"/>
  <c r="Q47" i="1"/>
  <c r="Q45" i="1"/>
  <c r="Q43" i="1"/>
  <c r="Q40" i="1"/>
  <c r="Q46" i="1"/>
  <c r="Q41" i="1"/>
  <c r="Q44" i="1"/>
  <c r="Q39" i="1"/>
  <c r="Q38" i="1"/>
  <c r="Q37" i="1"/>
  <c r="U45" i="1"/>
  <c r="T44" i="1"/>
  <c r="B10" i="1"/>
  <c r="B11" i="1"/>
  <c r="B9" i="1"/>
  <c r="R46" i="1"/>
  <c r="R44" i="1"/>
  <c r="R41" i="1"/>
  <c r="X41" i="1" s="1"/>
  <c r="AA41" i="1" s="1"/>
  <c r="R39" i="1"/>
  <c r="R47" i="1"/>
  <c r="R43" i="1"/>
  <c r="R38" i="1"/>
  <c r="R37" i="1"/>
  <c r="R45" i="1"/>
  <c r="R40" i="1"/>
  <c r="U43" i="1"/>
  <c r="U47" i="1"/>
  <c r="U38" i="1"/>
  <c r="L17" i="1"/>
  <c r="L18" i="1"/>
  <c r="L16" i="1"/>
  <c r="Z2" i="7"/>
  <c r="C21" i="7"/>
  <c r="D21" i="7"/>
  <c r="E21" i="7"/>
  <c r="F21" i="7"/>
  <c r="G21" i="7"/>
  <c r="C22" i="7"/>
  <c r="D22" i="7"/>
  <c r="E22" i="7"/>
  <c r="F22" i="7"/>
  <c r="G22" i="7"/>
  <c r="C23" i="7"/>
  <c r="D23" i="7"/>
  <c r="E23" i="7"/>
  <c r="F23" i="7"/>
  <c r="G23" i="7"/>
  <c r="M23" i="7" s="1"/>
  <c r="C24" i="7"/>
  <c r="D24" i="7"/>
  <c r="E24" i="7"/>
  <c r="F24" i="7"/>
  <c r="G24" i="7"/>
  <c r="C25" i="7"/>
  <c r="D25" i="7"/>
  <c r="E25" i="7"/>
  <c r="F25" i="7"/>
  <c r="G25" i="7"/>
  <c r="C26" i="7"/>
  <c r="D26" i="7"/>
  <c r="E26" i="7"/>
  <c r="F26" i="7"/>
  <c r="G26" i="7"/>
  <c r="C27" i="7"/>
  <c r="D27" i="7"/>
  <c r="E27" i="7"/>
  <c r="F27" i="7"/>
  <c r="G27" i="7"/>
  <c r="C20" i="7"/>
  <c r="D20" i="7"/>
  <c r="E20" i="7"/>
  <c r="F20" i="7"/>
  <c r="G20" i="7"/>
  <c r="J32" i="7"/>
  <c r="J33" i="7"/>
  <c r="J34" i="7"/>
  <c r="J35" i="7"/>
  <c r="J36" i="7"/>
  <c r="J37" i="7"/>
  <c r="J38" i="7"/>
  <c r="J31" i="7"/>
  <c r="N16" i="7"/>
  <c r="AR29" i="1" l="1"/>
  <c r="S9" i="1" s="1"/>
  <c r="S8" i="1"/>
  <c r="L12" i="1" s="1"/>
  <c r="L9" i="1" s="1"/>
  <c r="V44" i="1"/>
  <c r="Y44" i="1" s="1"/>
  <c r="W46" i="1"/>
  <c r="Z46" i="1" s="1"/>
  <c r="V47" i="1"/>
  <c r="Y47" i="1" s="1"/>
  <c r="V38" i="1"/>
  <c r="Y38" i="1" s="1"/>
  <c r="X40" i="1"/>
  <c r="AA40" i="1" s="1"/>
  <c r="X37" i="1"/>
  <c r="AA37" i="1" s="1"/>
  <c r="X39" i="1"/>
  <c r="AA39" i="1" s="1"/>
  <c r="X44" i="1"/>
  <c r="AA44" i="1" s="1"/>
  <c r="X46" i="1"/>
  <c r="AA46" i="1" s="1"/>
  <c r="AD46" i="1" s="1"/>
  <c r="K53" i="1" s="1"/>
  <c r="K33" i="1" s="1"/>
  <c r="W44" i="1"/>
  <c r="Z44" i="1" s="1"/>
  <c r="W45" i="1"/>
  <c r="Z45" i="1" s="1"/>
  <c r="W47" i="1"/>
  <c r="Z47" i="1" s="1"/>
  <c r="W38" i="1"/>
  <c r="Z38" i="1" s="1"/>
  <c r="W39" i="1"/>
  <c r="Z39" i="1" s="1"/>
  <c r="W41" i="1"/>
  <c r="Z41" i="1" s="1"/>
  <c r="W40" i="1"/>
  <c r="Z40" i="1" s="1"/>
  <c r="AC40" i="1" s="1"/>
  <c r="N53" i="1" s="1"/>
  <c r="N33" i="1" s="1"/>
  <c r="V40" i="1"/>
  <c r="Y40" i="1" s="1"/>
  <c r="X43" i="1"/>
  <c r="AA43" i="1" s="1"/>
  <c r="AD37" i="1" s="1"/>
  <c r="O50" i="1" s="1"/>
  <c r="W43" i="1"/>
  <c r="Z43" i="1" s="1"/>
  <c r="V37" i="1"/>
  <c r="Y37" i="1" s="1"/>
  <c r="AD40" i="1"/>
  <c r="O53" i="1" s="1"/>
  <c r="L11" i="1"/>
  <c r="V41" i="1"/>
  <c r="Y41" i="1" s="1"/>
  <c r="V43" i="1"/>
  <c r="Y43" i="1" s="1"/>
  <c r="V46" i="1"/>
  <c r="Y46" i="1" s="1"/>
  <c r="X38" i="1"/>
  <c r="AA38" i="1" s="1"/>
  <c r="X47" i="1"/>
  <c r="AA47" i="1" s="1"/>
  <c r="AD47" i="1" s="1"/>
  <c r="K54" i="1" s="1"/>
  <c r="K34" i="1" s="1"/>
  <c r="W37" i="1"/>
  <c r="Z37" i="1" s="1"/>
  <c r="V45" i="1"/>
  <c r="Y45" i="1" s="1"/>
  <c r="V39" i="1"/>
  <c r="Y39" i="1" s="1"/>
  <c r="X45" i="1"/>
  <c r="AA45" i="1" s="1"/>
  <c r="AR33" i="1"/>
  <c r="S7" i="1"/>
  <c r="M20" i="7"/>
  <c r="M26" i="7"/>
  <c r="M24" i="7"/>
  <c r="M22" i="7"/>
  <c r="M27" i="7"/>
  <c r="M25" i="7"/>
  <c r="M21" i="7"/>
  <c r="I41" i="7"/>
  <c r="I42" i="7"/>
  <c r="I43" i="7"/>
  <c r="I44" i="7"/>
  <c r="I45" i="7"/>
  <c r="I46" i="7"/>
  <c r="I47" i="7"/>
  <c r="I48" i="7"/>
  <c r="B27" i="7" s="1"/>
  <c r="I12" i="7"/>
  <c r="O46" i="7"/>
  <c r="O47" i="7"/>
  <c r="O48" i="7"/>
  <c r="Z29" i="7"/>
  <c r="Z22" i="7"/>
  <c r="Z19" i="7"/>
  <c r="Z12" i="7"/>
  <c r="Z9" i="7"/>
  <c r="AU24" i="1" l="1"/>
  <c r="AD38" i="1"/>
  <c r="O51" i="1" s="1"/>
  <c r="L10" i="1"/>
  <c r="AD45" i="1"/>
  <c r="K52" i="1" s="1"/>
  <c r="K32" i="1" s="1"/>
  <c r="AB41" i="1"/>
  <c r="M54" i="1" s="1"/>
  <c r="AB46" i="1"/>
  <c r="I53" i="1" s="1"/>
  <c r="AB38" i="1"/>
  <c r="M51" i="1" s="1"/>
  <c r="M31" i="1" s="1"/>
  <c r="AB40" i="1"/>
  <c r="M53" i="1" s="1"/>
  <c r="P53" i="1" s="1"/>
  <c r="AB44" i="1"/>
  <c r="I51" i="1" s="1"/>
  <c r="AC37" i="1"/>
  <c r="N50" i="1" s="1"/>
  <c r="N30" i="1" s="1"/>
  <c r="AC39" i="1"/>
  <c r="N52" i="1" s="1"/>
  <c r="N32" i="1" s="1"/>
  <c r="AC38" i="1"/>
  <c r="N51" i="1" s="1"/>
  <c r="N31" i="1" s="1"/>
  <c r="AC47" i="1"/>
  <c r="J54" i="1" s="1"/>
  <c r="AC44" i="1"/>
  <c r="J51" i="1" s="1"/>
  <c r="AD43" i="1"/>
  <c r="K50" i="1" s="1"/>
  <c r="K30" i="1" s="1"/>
  <c r="AB47" i="1"/>
  <c r="I54" i="1" s="1"/>
  <c r="AC46" i="1"/>
  <c r="J53" i="1" s="1"/>
  <c r="AC45" i="1"/>
  <c r="J52" i="1" s="1"/>
  <c r="AC41" i="1"/>
  <c r="N54" i="1" s="1"/>
  <c r="N34" i="1" s="1"/>
  <c r="AB45" i="1"/>
  <c r="I52" i="1" s="1"/>
  <c r="AB43" i="1"/>
  <c r="I50" i="1" s="1"/>
  <c r="B19" i="1"/>
  <c r="M34" i="1"/>
  <c r="AD39" i="1"/>
  <c r="O52" i="1" s="1"/>
  <c r="AD41" i="1"/>
  <c r="O54" i="1" s="1"/>
  <c r="AC20" i="1"/>
  <c r="J12" i="1"/>
  <c r="AC6" i="1"/>
  <c r="AC13" i="1"/>
  <c r="AQ31" i="1"/>
  <c r="S6" i="1" s="1"/>
  <c r="S13" i="1"/>
  <c r="AB39" i="1"/>
  <c r="M52" i="1" s="1"/>
  <c r="AD44" i="1"/>
  <c r="K51" i="1" s="1"/>
  <c r="K31" i="1" s="1"/>
  <c r="AC43" i="1"/>
  <c r="J50" i="1" s="1"/>
  <c r="AB37" i="1"/>
  <c r="M50" i="1" s="1"/>
  <c r="H26" i="7"/>
  <c r="N26" i="7" s="1"/>
  <c r="L10" i="7" s="1"/>
  <c r="B26" i="7"/>
  <c r="L26" i="7" s="1"/>
  <c r="J10" i="7" s="1"/>
  <c r="B24" i="7"/>
  <c r="L24" i="7" s="1"/>
  <c r="J8" i="7" s="1"/>
  <c r="B22" i="7"/>
  <c r="L22" i="7" s="1"/>
  <c r="J6" i="7" s="1"/>
  <c r="B20" i="7"/>
  <c r="L20" i="7" s="1"/>
  <c r="J4" i="7" s="1"/>
  <c r="H27" i="7"/>
  <c r="N27" i="7" s="1"/>
  <c r="L11" i="7" s="1"/>
  <c r="H25" i="7"/>
  <c r="N25" i="7" s="1"/>
  <c r="L9" i="7" s="1"/>
  <c r="B25" i="7"/>
  <c r="L25" i="7" s="1"/>
  <c r="J9" i="7" s="1"/>
  <c r="B23" i="7"/>
  <c r="B21" i="7"/>
  <c r="L21" i="7" s="1"/>
  <c r="J5" i="7" s="1"/>
  <c r="L27" i="7"/>
  <c r="J11" i="7" s="1"/>
  <c r="J27" i="7"/>
  <c r="L36" i="7"/>
  <c r="L38" i="7"/>
  <c r="L37" i="7"/>
  <c r="K9" i="7"/>
  <c r="K10" i="7"/>
  <c r="K11" i="7"/>
  <c r="K28" i="7"/>
  <c r="G28" i="7"/>
  <c r="K8" i="7"/>
  <c r="K7" i="7"/>
  <c r="K6" i="7"/>
  <c r="K5" i="7"/>
  <c r="K4" i="7"/>
  <c r="J19" i="7"/>
  <c r="O45" i="7"/>
  <c r="L35" i="7"/>
  <c r="O44" i="7"/>
  <c r="L34" i="7"/>
  <c r="O43" i="7"/>
  <c r="L33" i="7"/>
  <c r="B44" i="7"/>
  <c r="T38" i="7" s="1"/>
  <c r="Z38" i="7" s="1"/>
  <c r="O42" i="7"/>
  <c r="L32" i="7"/>
  <c r="O41" i="7"/>
  <c r="L31" i="7"/>
  <c r="U38" i="7"/>
  <c r="AA38" i="7" s="1"/>
  <c r="S38" i="7"/>
  <c r="Y38" i="7" s="1"/>
  <c r="Q38" i="7"/>
  <c r="AQ32" i="8"/>
  <c r="AR29" i="8" s="1"/>
  <c r="F4" i="8" s="1"/>
  <c r="P19" i="8"/>
  <c r="P16" i="8"/>
  <c r="P12" i="8"/>
  <c r="P9" i="8"/>
  <c r="P5" i="8"/>
  <c r="P2" i="8"/>
  <c r="O40" i="8"/>
  <c r="I40" i="8"/>
  <c r="O39" i="8"/>
  <c r="I39" i="8"/>
  <c r="B39" i="8"/>
  <c r="O38" i="8"/>
  <c r="I38" i="8"/>
  <c r="O37" i="8"/>
  <c r="I37" i="8"/>
  <c r="AR33" i="8"/>
  <c r="AN33" i="8"/>
  <c r="L33" i="8"/>
  <c r="J33" i="8"/>
  <c r="AU32" i="8"/>
  <c r="I7" i="8" s="1"/>
  <c r="AT32" i="8"/>
  <c r="H7" i="8" s="1"/>
  <c r="AS32" i="8"/>
  <c r="G7" i="8" s="1"/>
  <c r="AP32" i="8"/>
  <c r="J32" i="8"/>
  <c r="AU31" i="8"/>
  <c r="I6" i="8" s="1"/>
  <c r="AT31" i="8"/>
  <c r="H6" i="8" s="1"/>
  <c r="AS31" i="8"/>
  <c r="G6" i="8" s="1"/>
  <c r="AP31" i="8"/>
  <c r="L31" i="8"/>
  <c r="J31" i="8"/>
  <c r="AU30" i="8"/>
  <c r="I5" i="8" s="1"/>
  <c r="AT30" i="8"/>
  <c r="H5" i="8" s="1"/>
  <c r="AS30" i="8"/>
  <c r="G5" i="8" s="1"/>
  <c r="AP30" i="8"/>
  <c r="L30" i="8"/>
  <c r="J30" i="8"/>
  <c r="AU29" i="8"/>
  <c r="I4" i="8" s="1"/>
  <c r="AT29" i="8"/>
  <c r="H4" i="8" s="1"/>
  <c r="AS29" i="8"/>
  <c r="G4" i="8" s="1"/>
  <c r="AP29" i="8"/>
  <c r="AQ28" i="8"/>
  <c r="R25" i="8"/>
  <c r="N25" i="8"/>
  <c r="L25" i="8"/>
  <c r="K25" i="8"/>
  <c r="Q25" i="8" s="1"/>
  <c r="J25" i="8"/>
  <c r="P25" i="8" s="1"/>
  <c r="I25" i="8"/>
  <c r="H25" i="8"/>
  <c r="G25" i="8"/>
  <c r="F8" i="8"/>
  <c r="E3" i="8"/>
  <c r="H52" i="1" l="1"/>
  <c r="M33" i="1"/>
  <c r="H50" i="1"/>
  <c r="P51" i="1"/>
  <c r="H53" i="1"/>
  <c r="H54" i="1"/>
  <c r="P54" i="1"/>
  <c r="H51" i="1"/>
  <c r="AD19" i="1"/>
  <c r="AD13" i="1"/>
  <c r="AD12" i="1"/>
  <c r="AD5" i="1"/>
  <c r="AD20" i="1"/>
  <c r="J19" i="1"/>
  <c r="AD6" i="1"/>
  <c r="AB12" i="1"/>
  <c r="H12" i="1"/>
  <c r="AB5" i="1"/>
  <c r="AB19" i="1"/>
  <c r="P50" i="1"/>
  <c r="M30" i="1"/>
  <c r="P52" i="1"/>
  <c r="M32" i="1"/>
  <c r="AR32" i="1"/>
  <c r="J10" i="1"/>
  <c r="J11" i="1"/>
  <c r="J9" i="1"/>
  <c r="B18" i="1"/>
  <c r="B17" i="1"/>
  <c r="B16" i="1"/>
  <c r="L23" i="7"/>
  <c r="J7" i="7" s="1"/>
  <c r="H20" i="7"/>
  <c r="N20" i="7" s="1"/>
  <c r="L4" i="7" s="1"/>
  <c r="H21" i="7"/>
  <c r="N21" i="7" s="1"/>
  <c r="L5" i="7" s="1"/>
  <c r="H22" i="7"/>
  <c r="N22" i="7" s="1"/>
  <c r="L6" i="7" s="1"/>
  <c r="H23" i="7"/>
  <c r="H24" i="7"/>
  <c r="N24" i="7" s="1"/>
  <c r="L8" i="7" s="1"/>
  <c r="H11" i="7"/>
  <c r="J26" i="7"/>
  <c r="K20" i="7"/>
  <c r="I4" i="7" s="1"/>
  <c r="P38" i="7"/>
  <c r="R38" i="7"/>
  <c r="V38" i="7"/>
  <c r="T43" i="7" s="1"/>
  <c r="X38" i="7"/>
  <c r="U57" i="7" s="1"/>
  <c r="T41" i="7"/>
  <c r="U43" i="7"/>
  <c r="T44" i="7"/>
  <c r="U45" i="7"/>
  <c r="W38" i="7"/>
  <c r="P45" i="7" s="1"/>
  <c r="U41" i="7"/>
  <c r="T42" i="7"/>
  <c r="U44" i="7"/>
  <c r="T45" i="7"/>
  <c r="AQ31" i="8"/>
  <c r="E6" i="8" s="1"/>
  <c r="N5" i="8" s="1"/>
  <c r="E7" i="8"/>
  <c r="P45" i="8"/>
  <c r="P43" i="8"/>
  <c r="P46" i="8"/>
  <c r="S37" i="8"/>
  <c r="P39" i="8"/>
  <c r="T40" i="8"/>
  <c r="S43" i="8"/>
  <c r="S46" i="8"/>
  <c r="S44" i="8"/>
  <c r="S39" i="8"/>
  <c r="S45" i="8"/>
  <c r="S40" i="8"/>
  <c r="L32" i="8"/>
  <c r="T37" i="8"/>
  <c r="S38" i="8"/>
  <c r="P44" i="8"/>
  <c r="T43" i="8"/>
  <c r="M25" i="8"/>
  <c r="O25" i="8"/>
  <c r="P37" i="8"/>
  <c r="U38" i="8"/>
  <c r="P38" i="8"/>
  <c r="T38" i="8"/>
  <c r="U43" i="8"/>
  <c r="T46" i="8"/>
  <c r="P40" i="8"/>
  <c r="AQ30" i="1" l="1"/>
  <c r="S5" i="1" s="1"/>
  <c r="S12" i="1"/>
  <c r="J18" i="1"/>
  <c r="J17" i="1"/>
  <c r="J16" i="1"/>
  <c r="H11" i="1"/>
  <c r="H9" i="1"/>
  <c r="H10" i="1"/>
  <c r="N23" i="7"/>
  <c r="L7" i="7" s="1"/>
  <c r="N15" i="7"/>
  <c r="N17" i="7" s="1"/>
  <c r="K27" i="7"/>
  <c r="H10" i="7"/>
  <c r="P44" i="7"/>
  <c r="P55" i="7"/>
  <c r="P56" i="7"/>
  <c r="P48" i="7"/>
  <c r="P57" i="7"/>
  <c r="P46" i="7"/>
  <c r="P47" i="7"/>
  <c r="S52" i="7"/>
  <c r="S51" i="7"/>
  <c r="T52" i="7"/>
  <c r="Q57" i="7"/>
  <c r="Q46" i="7"/>
  <c r="Q47" i="7"/>
  <c r="Q55" i="7"/>
  <c r="Q56" i="7"/>
  <c r="Q48" i="7"/>
  <c r="T56" i="7"/>
  <c r="S47" i="7"/>
  <c r="T48" i="7"/>
  <c r="U55" i="7"/>
  <c r="U56" i="7"/>
  <c r="S46" i="7"/>
  <c r="T47" i="7"/>
  <c r="U48" i="7"/>
  <c r="P43" i="7"/>
  <c r="P42" i="7"/>
  <c r="S41" i="7"/>
  <c r="S44" i="7"/>
  <c r="S43" i="7"/>
  <c r="R55" i="7"/>
  <c r="R56" i="7"/>
  <c r="R46" i="7"/>
  <c r="R48" i="7"/>
  <c r="R57" i="7"/>
  <c r="R47" i="7"/>
  <c r="U46" i="7"/>
  <c r="U47" i="7"/>
  <c r="S55" i="7"/>
  <c r="S56" i="7"/>
  <c r="T57" i="7"/>
  <c r="T46" i="7"/>
  <c r="S48" i="7"/>
  <c r="S57" i="7"/>
  <c r="T55" i="7"/>
  <c r="P54" i="7"/>
  <c r="P52" i="7"/>
  <c r="P50" i="7"/>
  <c r="P53" i="7"/>
  <c r="P51" i="7"/>
  <c r="S50" i="7"/>
  <c r="S54" i="7"/>
  <c r="S45" i="7"/>
  <c r="S53" i="7"/>
  <c r="P41" i="7"/>
  <c r="R54" i="7"/>
  <c r="R52" i="7"/>
  <c r="R50" i="7"/>
  <c r="R44" i="7"/>
  <c r="R53" i="7"/>
  <c r="R51" i="7"/>
  <c r="R45" i="7"/>
  <c r="R43" i="7"/>
  <c r="R42" i="7"/>
  <c r="R41" i="7"/>
  <c r="U50" i="7"/>
  <c r="U54" i="7"/>
  <c r="U53" i="7"/>
  <c r="T53" i="7"/>
  <c r="U42" i="7"/>
  <c r="Q53" i="7"/>
  <c r="Q51" i="7"/>
  <c r="Q45" i="7"/>
  <c r="Q43" i="7"/>
  <c r="Q54" i="7"/>
  <c r="Q52" i="7"/>
  <c r="Q50" i="7"/>
  <c r="Q44" i="7"/>
  <c r="Q41" i="7"/>
  <c r="Q42" i="7"/>
  <c r="U52" i="7"/>
  <c r="U51" i="7"/>
  <c r="T51" i="7"/>
  <c r="T50" i="7"/>
  <c r="T54" i="7"/>
  <c r="S42" i="7"/>
  <c r="R45" i="8"/>
  <c r="R43" i="8"/>
  <c r="R40" i="8"/>
  <c r="R44" i="8"/>
  <c r="R39" i="8"/>
  <c r="R38" i="8"/>
  <c r="R37" i="8"/>
  <c r="R46" i="8"/>
  <c r="U40" i="8"/>
  <c r="U37" i="8"/>
  <c r="U45" i="8"/>
  <c r="U44" i="8"/>
  <c r="U39" i="8"/>
  <c r="Q46" i="8"/>
  <c r="Q44" i="8"/>
  <c r="Q39" i="8"/>
  <c r="Q43" i="8"/>
  <c r="Q45" i="8"/>
  <c r="Q37" i="8"/>
  <c r="T44" i="8"/>
  <c r="Q40" i="8"/>
  <c r="W40" i="8" s="1"/>
  <c r="Z40" i="8" s="1"/>
  <c r="Q38" i="8"/>
  <c r="W38" i="8" s="1"/>
  <c r="Z38" i="8" s="1"/>
  <c r="U46" i="8"/>
  <c r="T45" i="8"/>
  <c r="T39" i="8"/>
  <c r="AR31" i="1" l="1"/>
  <c r="AC19" i="1"/>
  <c r="AC18" i="1"/>
  <c r="AC4" i="1"/>
  <c r="H19" i="1"/>
  <c r="AC12" i="1"/>
  <c r="AC11" i="1"/>
  <c r="AC5" i="1"/>
  <c r="AA18" i="1"/>
  <c r="F12" i="1"/>
  <c r="AA4" i="1"/>
  <c r="AA11" i="1"/>
  <c r="J25" i="7"/>
  <c r="K26" i="7" s="1"/>
  <c r="J24" i="7" s="1"/>
  <c r="K25" i="7" s="1"/>
  <c r="V56" i="7"/>
  <c r="Y56" i="7" s="1"/>
  <c r="W55" i="7"/>
  <c r="Z55" i="7" s="1"/>
  <c r="W44" i="7"/>
  <c r="Z44" i="7" s="1"/>
  <c r="W43" i="7"/>
  <c r="Z43" i="7" s="1"/>
  <c r="V57" i="7"/>
  <c r="Y57" i="7" s="1"/>
  <c r="W46" i="7"/>
  <c r="Z46" i="7" s="1"/>
  <c r="X47" i="7"/>
  <c r="AA47" i="7" s="1"/>
  <c r="X41" i="7"/>
  <c r="AA41" i="7" s="1"/>
  <c r="W54" i="7"/>
  <c r="Z54" i="7" s="1"/>
  <c r="W51" i="7"/>
  <c r="Z51" i="7" s="1"/>
  <c r="X52" i="7"/>
  <c r="AA52" i="7" s="1"/>
  <c r="W45" i="7"/>
  <c r="Z45" i="7" s="1"/>
  <c r="X57" i="7"/>
  <c r="AA57" i="7" s="1"/>
  <c r="V42" i="7"/>
  <c r="Y42" i="7" s="1"/>
  <c r="W42" i="7"/>
  <c r="Z42" i="7" s="1"/>
  <c r="W52" i="7"/>
  <c r="Z52" i="7" s="1"/>
  <c r="X43" i="7"/>
  <c r="AA43" i="7" s="1"/>
  <c r="X44" i="7"/>
  <c r="AA44" i="7" s="1"/>
  <c r="V41" i="7"/>
  <c r="Y41" i="7" s="1"/>
  <c r="V48" i="7"/>
  <c r="Y48" i="7" s="1"/>
  <c r="W57" i="7"/>
  <c r="Z57" i="7" s="1"/>
  <c r="V55" i="7"/>
  <c r="Y55" i="7" s="1"/>
  <c r="X48" i="7"/>
  <c r="AA48" i="7" s="1"/>
  <c r="V46" i="7"/>
  <c r="Y46" i="7" s="1"/>
  <c r="X55" i="7"/>
  <c r="AA55" i="7" s="1"/>
  <c r="V47" i="7"/>
  <c r="Y47" i="7" s="1"/>
  <c r="X46" i="7"/>
  <c r="AA46" i="7" s="1"/>
  <c r="X56" i="7"/>
  <c r="AA56" i="7" s="1"/>
  <c r="W47" i="7"/>
  <c r="Z47" i="7" s="1"/>
  <c r="W48" i="7"/>
  <c r="Z48" i="7" s="1"/>
  <c r="W56" i="7"/>
  <c r="Z56" i="7" s="1"/>
  <c r="W50" i="7"/>
  <c r="Z50" i="7" s="1"/>
  <c r="X51" i="7"/>
  <c r="AA51" i="7" s="1"/>
  <c r="W41" i="7"/>
  <c r="Z41" i="7" s="1"/>
  <c r="X45" i="7"/>
  <c r="AA45" i="7" s="1"/>
  <c r="V43" i="7"/>
  <c r="Y43" i="7" s="1"/>
  <c r="V44" i="7"/>
  <c r="Y44" i="7" s="1"/>
  <c r="W53" i="7"/>
  <c r="Z53" i="7" s="1"/>
  <c r="X54" i="7"/>
  <c r="AA54" i="7" s="1"/>
  <c r="V53" i="7"/>
  <c r="Y53" i="7" s="1"/>
  <c r="V54" i="7"/>
  <c r="Y54" i="7" s="1"/>
  <c r="V51" i="7"/>
  <c r="Y51" i="7" s="1"/>
  <c r="V52" i="7"/>
  <c r="Y52" i="7" s="1"/>
  <c r="X42" i="7"/>
  <c r="AA42" i="7" s="1"/>
  <c r="X53" i="7"/>
  <c r="AA53" i="7" s="1"/>
  <c r="X50" i="7"/>
  <c r="AA50" i="7" s="1"/>
  <c r="V45" i="7"/>
  <c r="Y45" i="7" s="1"/>
  <c r="V50" i="7"/>
  <c r="Y50" i="7" s="1"/>
  <c r="V45" i="8"/>
  <c r="Y45" i="8" s="1"/>
  <c r="W45" i="8"/>
  <c r="Z45" i="8" s="1"/>
  <c r="W44" i="8"/>
  <c r="Z44" i="8" s="1"/>
  <c r="AC38" i="8" s="1"/>
  <c r="N51" i="8" s="1"/>
  <c r="N31" i="8" s="1"/>
  <c r="V46" i="8"/>
  <c r="Y46" i="8" s="1"/>
  <c r="V37" i="8"/>
  <c r="Y37" i="8" s="1"/>
  <c r="X43" i="8"/>
  <c r="AA43" i="8" s="1"/>
  <c r="V43" i="8"/>
  <c r="Y43" i="8" s="1"/>
  <c r="AB37" i="8" s="1"/>
  <c r="M50" i="8" s="1"/>
  <c r="M30" i="8" s="1"/>
  <c r="W37" i="8"/>
  <c r="Z37" i="8" s="1"/>
  <c r="W43" i="8"/>
  <c r="Z43" i="8" s="1"/>
  <c r="W46" i="8"/>
  <c r="Z46" i="8" s="1"/>
  <c r="AC40" i="8" s="1"/>
  <c r="N53" i="8" s="1"/>
  <c r="N33" i="8" s="1"/>
  <c r="V39" i="8"/>
  <c r="Y39" i="8" s="1"/>
  <c r="AB39" i="8" s="1"/>
  <c r="M52" i="8" s="1"/>
  <c r="M32" i="8" s="1"/>
  <c r="V40" i="8"/>
  <c r="Y40" i="8" s="1"/>
  <c r="AB46" i="8" s="1"/>
  <c r="I53" i="8" s="1"/>
  <c r="X40" i="8"/>
  <c r="AA40" i="8" s="1"/>
  <c r="X39" i="8"/>
  <c r="AA39" i="8" s="1"/>
  <c r="N12" i="8"/>
  <c r="N19" i="8"/>
  <c r="V44" i="8"/>
  <c r="Y44" i="8" s="1"/>
  <c r="V38" i="8"/>
  <c r="Y38" i="8" s="1"/>
  <c r="X44" i="8"/>
  <c r="AA44" i="8" s="1"/>
  <c r="X45" i="8"/>
  <c r="AA45" i="8" s="1"/>
  <c r="X38" i="8"/>
  <c r="AA38" i="8" s="1"/>
  <c r="W39" i="8"/>
  <c r="Z39" i="8" s="1"/>
  <c r="X46" i="8"/>
  <c r="AA46" i="8" s="1"/>
  <c r="X37" i="8"/>
  <c r="AA37" i="8" s="1"/>
  <c r="F10" i="1" l="1"/>
  <c r="F11" i="1"/>
  <c r="F9" i="1"/>
  <c r="H17" i="1"/>
  <c r="H18" i="1"/>
  <c r="H16" i="1"/>
  <c r="AQ29" i="1"/>
  <c r="S4" i="1" s="1"/>
  <c r="S11" i="1"/>
  <c r="J23" i="7"/>
  <c r="AC46" i="7"/>
  <c r="L57" i="7" s="1"/>
  <c r="N36" i="7" s="1"/>
  <c r="AD43" i="7"/>
  <c r="M54" i="7" s="1"/>
  <c r="AC56" i="7"/>
  <c r="H58" i="7" s="1"/>
  <c r="AC52" i="7"/>
  <c r="H54" i="7" s="1"/>
  <c r="AD52" i="7"/>
  <c r="I54" i="7" s="1"/>
  <c r="K33" i="7" s="1"/>
  <c r="AB48" i="7"/>
  <c r="K59" i="7" s="1"/>
  <c r="M38" i="7" s="1"/>
  <c r="AC55" i="7"/>
  <c r="H57" i="7" s="1"/>
  <c r="AD54" i="7"/>
  <c r="I56" i="7" s="1"/>
  <c r="K35" i="7" s="1"/>
  <c r="AB45" i="7"/>
  <c r="K56" i="7" s="1"/>
  <c r="M35" i="7" s="1"/>
  <c r="AD46" i="7"/>
  <c r="M57" i="7" s="1"/>
  <c r="AC41" i="7"/>
  <c r="L52" i="7" s="1"/>
  <c r="N31" i="7" s="1"/>
  <c r="AB50" i="7"/>
  <c r="G52" i="7" s="1"/>
  <c r="AC53" i="7"/>
  <c r="H55" i="7" s="1"/>
  <c r="AC42" i="7"/>
  <c r="L53" i="7" s="1"/>
  <c r="N32" i="7" s="1"/>
  <c r="AD56" i="7"/>
  <c r="I58" i="7" s="1"/>
  <c r="K37" i="7" s="1"/>
  <c r="AD50" i="7"/>
  <c r="I52" i="7" s="1"/>
  <c r="K31" i="7" s="1"/>
  <c r="AD42" i="7"/>
  <c r="M53" i="7" s="1"/>
  <c r="AB51" i="7"/>
  <c r="G53" i="7" s="1"/>
  <c r="AC45" i="7"/>
  <c r="L56" i="7" s="1"/>
  <c r="N35" i="7" s="1"/>
  <c r="AC43" i="7"/>
  <c r="L54" i="7" s="1"/>
  <c r="N33" i="7" s="1"/>
  <c r="AC51" i="7"/>
  <c r="H53" i="7" s="1"/>
  <c r="AB46" i="7"/>
  <c r="K57" i="7" s="1"/>
  <c r="M36" i="7" s="1"/>
  <c r="AD53" i="7"/>
  <c r="I55" i="7" s="1"/>
  <c r="K34" i="7" s="1"/>
  <c r="AC54" i="7"/>
  <c r="H56" i="7" s="1"/>
  <c r="AB53" i="7"/>
  <c r="G55" i="7" s="1"/>
  <c r="AB57" i="7"/>
  <c r="G59" i="7" s="1"/>
  <c r="AD48" i="7"/>
  <c r="M59" i="7" s="1"/>
  <c r="AC57" i="7"/>
  <c r="H59" i="7" s="1"/>
  <c r="AC48" i="7"/>
  <c r="L59" i="7" s="1"/>
  <c r="N38" i="7" s="1"/>
  <c r="AD55" i="7"/>
  <c r="I57" i="7" s="1"/>
  <c r="K36" i="7" s="1"/>
  <c r="AB52" i="7"/>
  <c r="G54" i="7" s="1"/>
  <c r="AC47" i="7"/>
  <c r="L58" i="7" s="1"/>
  <c r="N37" i="7" s="1"/>
  <c r="AD47" i="7"/>
  <c r="M58" i="7" s="1"/>
  <c r="AB56" i="7"/>
  <c r="G58" i="7" s="1"/>
  <c r="AB47" i="7"/>
  <c r="K58" i="7" s="1"/>
  <c r="M37" i="7" s="1"/>
  <c r="AB55" i="7"/>
  <c r="G57" i="7" s="1"/>
  <c r="AD57" i="7"/>
  <c r="I59" i="7" s="1"/>
  <c r="K38" i="7" s="1"/>
  <c r="AB43" i="7"/>
  <c r="K54" i="7" s="1"/>
  <c r="M33" i="7" s="1"/>
  <c r="AC50" i="7"/>
  <c r="H52" i="7" s="1"/>
  <c r="AB41" i="7"/>
  <c r="K52" i="7" s="1"/>
  <c r="AB54" i="7"/>
  <c r="G56" i="7" s="1"/>
  <c r="AB44" i="7"/>
  <c r="K55" i="7" s="1"/>
  <c r="M34" i="7" s="1"/>
  <c r="AD45" i="7"/>
  <c r="M56" i="7" s="1"/>
  <c r="AD51" i="7"/>
  <c r="I53" i="7" s="1"/>
  <c r="K32" i="7" s="1"/>
  <c r="AB42" i="7"/>
  <c r="K53" i="7" s="1"/>
  <c r="M32" i="7" s="1"/>
  <c r="AD41" i="7"/>
  <c r="M52" i="7" s="1"/>
  <c r="AC44" i="7"/>
  <c r="L55" i="7" s="1"/>
  <c r="N34" i="7" s="1"/>
  <c r="AD44" i="7"/>
  <c r="M55" i="7" s="1"/>
  <c r="AC39" i="8"/>
  <c r="N52" i="8" s="1"/>
  <c r="N32" i="8" s="1"/>
  <c r="AC46" i="8"/>
  <c r="J53" i="8" s="1"/>
  <c r="AC44" i="8"/>
  <c r="J51" i="8" s="1"/>
  <c r="AC43" i="8"/>
  <c r="J50" i="8" s="1"/>
  <c r="AD37" i="8"/>
  <c r="O50" i="8" s="1"/>
  <c r="AD45" i="8"/>
  <c r="K52" i="8" s="1"/>
  <c r="K32" i="8" s="1"/>
  <c r="AD46" i="8"/>
  <c r="K53" i="8" s="1"/>
  <c r="K33" i="8" s="1"/>
  <c r="AB43" i="8"/>
  <c r="I50" i="8" s="1"/>
  <c r="AB45" i="8"/>
  <c r="I52" i="8" s="1"/>
  <c r="AC37" i="8"/>
  <c r="N50" i="8" s="1"/>
  <c r="N30" i="8" s="1"/>
  <c r="AB38" i="8"/>
  <c r="M51" i="8" s="1"/>
  <c r="M31" i="8" s="1"/>
  <c r="AD40" i="8"/>
  <c r="O53" i="8" s="1"/>
  <c r="AB40" i="8"/>
  <c r="M53" i="8" s="1"/>
  <c r="AD43" i="8"/>
  <c r="K50" i="8" s="1"/>
  <c r="K30" i="8" s="1"/>
  <c r="AD44" i="8"/>
  <c r="K51" i="8" s="1"/>
  <c r="K31" i="8" s="1"/>
  <c r="AB44" i="8"/>
  <c r="I51" i="8" s="1"/>
  <c r="AC45" i="8"/>
  <c r="J52" i="8" s="1"/>
  <c r="AD38" i="8"/>
  <c r="O51" i="8" s="1"/>
  <c r="M33" i="8"/>
  <c r="AD39" i="8"/>
  <c r="O52" i="8" s="1"/>
  <c r="D12" i="1" l="1"/>
  <c r="Z10" i="1"/>
  <c r="Z3" i="1"/>
  <c r="Z17" i="1"/>
  <c r="Z2" i="1"/>
  <c r="Z16" i="1"/>
  <c r="Z9" i="1"/>
  <c r="AB18" i="1"/>
  <c r="AB17" i="1"/>
  <c r="AB11" i="1"/>
  <c r="AB10" i="1"/>
  <c r="AB3" i="1"/>
  <c r="F19" i="1"/>
  <c r="AB4" i="1"/>
  <c r="AR30" i="1"/>
  <c r="S10" i="1" s="1"/>
  <c r="K24" i="7"/>
  <c r="J22" i="7" s="1"/>
  <c r="H7" i="7"/>
  <c r="F54" i="7"/>
  <c r="F55" i="7"/>
  <c r="N57" i="7"/>
  <c r="H9" i="7"/>
  <c r="F56" i="7"/>
  <c r="N56" i="7"/>
  <c r="F58" i="7"/>
  <c r="F52" i="7"/>
  <c r="F57" i="7"/>
  <c r="N58" i="7"/>
  <c r="N59" i="7"/>
  <c r="F59" i="7"/>
  <c r="N55" i="7"/>
  <c r="N52" i="7"/>
  <c r="M31" i="7"/>
  <c r="N54" i="7"/>
  <c r="F53" i="7"/>
  <c r="N53" i="7"/>
  <c r="P52" i="8"/>
  <c r="H53" i="8"/>
  <c r="P53" i="8"/>
  <c r="P51" i="8"/>
  <c r="H50" i="8"/>
  <c r="H51" i="8"/>
  <c r="H52" i="8"/>
  <c r="P50" i="8"/>
  <c r="F18" i="1" l="1"/>
  <c r="F16" i="1"/>
  <c r="F17" i="1"/>
  <c r="AA17" i="1"/>
  <c r="AA9" i="1"/>
  <c r="AA2" i="1"/>
  <c r="D19" i="1"/>
  <c r="AA16" i="1"/>
  <c r="AH16" i="1" s="1" a="1"/>
  <c r="AA10" i="1"/>
  <c r="AA3" i="1"/>
  <c r="AH9" i="1" a="1"/>
  <c r="AH2" i="1" a="1"/>
  <c r="D11" i="1"/>
  <c r="D9" i="1"/>
  <c r="D10" i="1"/>
  <c r="K23" i="7"/>
  <c r="J21" i="7" s="1"/>
  <c r="K22" i="7" s="1"/>
  <c r="J20" i="7" s="1"/>
  <c r="K21" i="7" s="1"/>
  <c r="H6" i="7"/>
  <c r="I10" i="7"/>
  <c r="W18" i="7"/>
  <c r="W8" i="7"/>
  <c r="W28" i="7"/>
  <c r="X29" i="7"/>
  <c r="X19" i="7"/>
  <c r="X9" i="7"/>
  <c r="I11" i="7"/>
  <c r="X11" i="4"/>
  <c r="I37" i="6"/>
  <c r="I38" i="6"/>
  <c r="AL20" i="1" l="1"/>
  <c r="AJ20" i="1"/>
  <c r="AH20" i="1"/>
  <c r="AK19" i="1"/>
  <c r="AI19" i="1"/>
  <c r="AL18" i="1"/>
  <c r="AJ18" i="1"/>
  <c r="AH18" i="1"/>
  <c r="AK17" i="1"/>
  <c r="AI17" i="1"/>
  <c r="AL16" i="1"/>
  <c r="AJ16" i="1"/>
  <c r="AH16" i="1"/>
  <c r="AK20" i="1"/>
  <c r="AI20" i="1"/>
  <c r="AL19" i="1"/>
  <c r="AJ19" i="1"/>
  <c r="AH19" i="1"/>
  <c r="AK18" i="1"/>
  <c r="AI18" i="1"/>
  <c r="AL17" i="1"/>
  <c r="AJ17" i="1"/>
  <c r="AH17" i="1"/>
  <c r="AK16" i="1"/>
  <c r="AI16" i="1"/>
  <c r="AK13" i="1"/>
  <c r="AI13" i="1"/>
  <c r="AL12" i="1"/>
  <c r="AJ12" i="1"/>
  <c r="AH12" i="1"/>
  <c r="AK11" i="1"/>
  <c r="AI11" i="1"/>
  <c r="AL10" i="1"/>
  <c r="AJ10" i="1"/>
  <c r="AH10" i="1"/>
  <c r="AK9" i="1"/>
  <c r="AI9" i="1"/>
  <c r="AL13" i="1"/>
  <c r="AJ13" i="1"/>
  <c r="AH13" i="1"/>
  <c r="AK12" i="1"/>
  <c r="AI12" i="1"/>
  <c r="AL11" i="1"/>
  <c r="AJ11" i="1"/>
  <c r="AH11" i="1"/>
  <c r="AK10" i="1"/>
  <c r="AI10" i="1"/>
  <c r="AL9" i="1"/>
  <c r="AJ9" i="1"/>
  <c r="AH9" i="1"/>
  <c r="D17" i="1"/>
  <c r="D18" i="1"/>
  <c r="D16" i="1"/>
  <c r="AK6" i="1"/>
  <c r="AI6" i="1"/>
  <c r="AL5" i="1"/>
  <c r="AJ5" i="1"/>
  <c r="AH5" i="1"/>
  <c r="AK4" i="1"/>
  <c r="AI4" i="1"/>
  <c r="AL3" i="1"/>
  <c r="AJ3" i="1"/>
  <c r="AH3" i="1"/>
  <c r="AK2" i="1"/>
  <c r="AI2" i="1"/>
  <c r="AL6" i="1"/>
  <c r="AH6" i="1"/>
  <c r="AI5" i="1"/>
  <c r="AJ4" i="1"/>
  <c r="AK3" i="1"/>
  <c r="AL2" i="1"/>
  <c r="AH2" i="1"/>
  <c r="AJ6" i="1"/>
  <c r="AK5" i="1"/>
  <c r="AL4" i="1"/>
  <c r="AH4" i="1"/>
  <c r="AI3" i="1"/>
  <c r="AJ2" i="1"/>
  <c r="H8" i="7"/>
  <c r="Y28" i="7"/>
  <c r="Y18" i="7"/>
  <c r="Y8" i="7"/>
  <c r="Y29" i="7"/>
  <c r="Y19" i="7"/>
  <c r="Y9" i="7"/>
  <c r="J31" i="3"/>
  <c r="J32" i="3"/>
  <c r="J33" i="3"/>
  <c r="J34" i="3"/>
  <c r="J30" i="3"/>
  <c r="U44" i="3"/>
  <c r="U45" i="3"/>
  <c r="U46" i="3"/>
  <c r="U47" i="3"/>
  <c r="O38" i="3"/>
  <c r="O39" i="3"/>
  <c r="O40" i="3"/>
  <c r="O41" i="3"/>
  <c r="S38" i="3"/>
  <c r="S39" i="3"/>
  <c r="S40" i="3"/>
  <c r="S41" i="3"/>
  <c r="I38" i="3"/>
  <c r="I39" i="3"/>
  <c r="I40" i="3"/>
  <c r="I41" i="3"/>
  <c r="U38" i="6"/>
  <c r="I39" i="6"/>
  <c r="R39" i="6" s="1"/>
  <c r="J33" i="6"/>
  <c r="J34" i="6"/>
  <c r="O38" i="6"/>
  <c r="T42" i="6" s="1"/>
  <c r="O39" i="6"/>
  <c r="T43" i="6" s="1"/>
  <c r="U43" i="6"/>
  <c r="U42" i="6"/>
  <c r="S38" i="6"/>
  <c r="S39" i="6"/>
  <c r="O37" i="6"/>
  <c r="R41" i="6" s="1"/>
  <c r="AE18" i="6"/>
  <c r="D7" i="6" s="1"/>
  <c r="AF18" i="6"/>
  <c r="E7" i="6" s="1"/>
  <c r="AD18" i="6"/>
  <c r="C7" i="6" s="1"/>
  <c r="B39" i="6"/>
  <c r="J32" i="6"/>
  <c r="L30" i="6"/>
  <c r="R30" i="6" s="1"/>
  <c r="K30" i="6"/>
  <c r="Q30" i="6" s="1"/>
  <c r="J30" i="6"/>
  <c r="P30" i="6" s="1"/>
  <c r="I30" i="6"/>
  <c r="O30" i="6" s="1"/>
  <c r="H30" i="6"/>
  <c r="G30" i="6"/>
  <c r="K19" i="6"/>
  <c r="K17" i="6"/>
  <c r="AC19" i="6"/>
  <c r="AF17" i="6"/>
  <c r="E6" i="6" s="1"/>
  <c r="AE17" i="6"/>
  <c r="D6" i="6" s="1"/>
  <c r="AD17" i="6"/>
  <c r="C6" i="6" s="1"/>
  <c r="AF16" i="6"/>
  <c r="E5" i="6" s="1"/>
  <c r="AE16" i="6"/>
  <c r="D5" i="6" s="1"/>
  <c r="AD16" i="6"/>
  <c r="C5" i="6" s="1"/>
  <c r="AB15" i="6"/>
  <c r="K12" i="6"/>
  <c r="K10" i="6"/>
  <c r="B8" i="6"/>
  <c r="K5" i="6"/>
  <c r="A4" i="6"/>
  <c r="K3" i="6"/>
  <c r="I37" i="3"/>
  <c r="AD14" i="5"/>
  <c r="E6" i="5" s="1"/>
  <c r="AC14" i="5"/>
  <c r="D6" i="5" s="1"/>
  <c r="AB14" i="5"/>
  <c r="C6" i="5" s="1"/>
  <c r="Z14" i="5"/>
  <c r="A6" i="5" s="1"/>
  <c r="J18" i="5"/>
  <c r="J17" i="5"/>
  <c r="J11" i="5"/>
  <c r="J10" i="5"/>
  <c r="J4" i="5"/>
  <c r="J3" i="5"/>
  <c r="AA15" i="5"/>
  <c r="AD13" i="5"/>
  <c r="E5" i="5" s="1"/>
  <c r="AC13" i="5"/>
  <c r="D5" i="5" s="1"/>
  <c r="AB13" i="5"/>
  <c r="C5" i="5" s="1"/>
  <c r="Z12" i="5"/>
  <c r="B7" i="5"/>
  <c r="A4" i="5"/>
  <c r="AN2" i="1" l="1" a="1"/>
  <c r="AN9" i="1" a="1"/>
  <c r="AN16" i="1" a="1"/>
  <c r="Q47" i="3"/>
  <c r="AO33" i="3"/>
  <c r="P45" i="3"/>
  <c r="AO31" i="3"/>
  <c r="Q46" i="3"/>
  <c r="AO32" i="3"/>
  <c r="P44" i="3"/>
  <c r="AO30" i="3"/>
  <c r="P41" i="3"/>
  <c r="AI33" i="3"/>
  <c r="AQ33" i="3" s="1"/>
  <c r="Q39" i="3"/>
  <c r="AI31" i="3"/>
  <c r="L30" i="3"/>
  <c r="AI29" i="3"/>
  <c r="Q40" i="3"/>
  <c r="AI32" i="3"/>
  <c r="P38" i="3"/>
  <c r="AI30" i="3"/>
  <c r="V27" i="7"/>
  <c r="I9" i="7"/>
  <c r="X17" i="7"/>
  <c r="X7" i="7"/>
  <c r="X27" i="7"/>
  <c r="X28" i="7"/>
  <c r="X8" i="7"/>
  <c r="X18" i="7"/>
  <c r="L32" i="3"/>
  <c r="L34" i="3"/>
  <c r="U41" i="3"/>
  <c r="Q41" i="3"/>
  <c r="T40" i="3"/>
  <c r="R40" i="3"/>
  <c r="P40" i="3"/>
  <c r="T39" i="3"/>
  <c r="R39" i="3"/>
  <c r="P39" i="3"/>
  <c r="U38" i="3"/>
  <c r="Q38" i="3"/>
  <c r="T47" i="3"/>
  <c r="R47" i="3"/>
  <c r="P47" i="3"/>
  <c r="T46" i="3"/>
  <c r="R46" i="3"/>
  <c r="P46" i="3"/>
  <c r="S45" i="3"/>
  <c r="Q45" i="3"/>
  <c r="S44" i="3"/>
  <c r="Q44" i="3"/>
  <c r="L33" i="3"/>
  <c r="L31" i="3"/>
  <c r="T41" i="3"/>
  <c r="R41" i="3"/>
  <c r="U40" i="3"/>
  <c r="U39" i="3"/>
  <c r="T38" i="3"/>
  <c r="R38" i="3"/>
  <c r="S47" i="3"/>
  <c r="S46" i="3"/>
  <c r="T45" i="3"/>
  <c r="R45" i="3"/>
  <c r="T44" i="3"/>
  <c r="R44" i="3"/>
  <c r="P42" i="6"/>
  <c r="U39" i="6"/>
  <c r="Q42" i="6"/>
  <c r="R38" i="6"/>
  <c r="P38" i="6"/>
  <c r="S42" i="6"/>
  <c r="Q43" i="6"/>
  <c r="Q39" i="6"/>
  <c r="Q38" i="6"/>
  <c r="T39" i="6"/>
  <c r="P39" i="6"/>
  <c r="P43" i="6"/>
  <c r="R43" i="6"/>
  <c r="T38" i="6"/>
  <c r="S43" i="6"/>
  <c r="R42" i="6"/>
  <c r="Q41" i="6"/>
  <c r="P41" i="6"/>
  <c r="R37" i="6"/>
  <c r="N30" i="6"/>
  <c r="U37" i="6"/>
  <c r="U41" i="6"/>
  <c r="M30" i="6"/>
  <c r="AA13" i="5"/>
  <c r="Z13" i="5"/>
  <c r="A5" i="4"/>
  <c r="AN20" i="1" l="1"/>
  <c r="AF33" i="1" s="1"/>
  <c r="AN18" i="1"/>
  <c r="AF31" i="1" s="1"/>
  <c r="AN16" i="1"/>
  <c r="AF29" i="1" s="1"/>
  <c r="AN19" i="1"/>
  <c r="AF32" i="1" s="1"/>
  <c r="AN17" i="1"/>
  <c r="AF30" i="1" s="1"/>
  <c r="AN5" i="1"/>
  <c r="AD32" i="1" s="1"/>
  <c r="AN3" i="1"/>
  <c r="AD30" i="1" s="1"/>
  <c r="AN4" i="1"/>
  <c r="AD31" i="1" s="1"/>
  <c r="AN6" i="1"/>
  <c r="AD33" i="1" s="1"/>
  <c r="AN2" i="1"/>
  <c r="AD29" i="1" s="1"/>
  <c r="AN12" i="1"/>
  <c r="AE32" i="1" s="1"/>
  <c r="AN10" i="1"/>
  <c r="AE30" i="1" s="1"/>
  <c r="AN13" i="1"/>
  <c r="AE33" i="1" s="1"/>
  <c r="AN11" i="1"/>
  <c r="AE31" i="1" s="1"/>
  <c r="AN9" i="1"/>
  <c r="AE29" i="1" s="1"/>
  <c r="V7" i="7"/>
  <c r="V17" i="7"/>
  <c r="W27" i="7"/>
  <c r="V47" i="3"/>
  <c r="Y47" i="3" s="1"/>
  <c r="V46" i="3"/>
  <c r="Y46" i="3" s="1"/>
  <c r="X39" i="3"/>
  <c r="AA39" i="3" s="1"/>
  <c r="V41" i="3"/>
  <c r="Y41" i="3" s="1"/>
  <c r="X40" i="3"/>
  <c r="AA40" i="3" s="1"/>
  <c r="X44" i="3"/>
  <c r="AA44" i="3" s="1"/>
  <c r="X45" i="3"/>
  <c r="AA45" i="3" s="1"/>
  <c r="X47" i="3"/>
  <c r="AA47" i="3" s="1"/>
  <c r="W38" i="3"/>
  <c r="Z38" i="3" s="1"/>
  <c r="V40" i="3"/>
  <c r="Y40" i="3" s="1"/>
  <c r="V39" i="3"/>
  <c r="Y39" i="3" s="1"/>
  <c r="X46" i="3"/>
  <c r="AA46" i="3" s="1"/>
  <c r="W47" i="3"/>
  <c r="Z47" i="3" s="1"/>
  <c r="V38" i="3"/>
  <c r="Y38" i="3" s="1"/>
  <c r="W39" i="3"/>
  <c r="Z39" i="3" s="1"/>
  <c r="W44" i="3"/>
  <c r="Z44" i="3" s="1"/>
  <c r="W45" i="3"/>
  <c r="Z45" i="3" s="1"/>
  <c r="W41" i="3"/>
  <c r="Z41" i="3" s="1"/>
  <c r="V44" i="3"/>
  <c r="Y44" i="3" s="1"/>
  <c r="V45" i="3"/>
  <c r="Y45" i="3" s="1"/>
  <c r="W46" i="3"/>
  <c r="Z46" i="3" s="1"/>
  <c r="X38" i="3"/>
  <c r="AA38" i="3" s="1"/>
  <c r="W40" i="3"/>
  <c r="Z40" i="3" s="1"/>
  <c r="X41" i="3"/>
  <c r="AA41" i="3" s="1"/>
  <c r="X39" i="6"/>
  <c r="AA39" i="6" s="1"/>
  <c r="X42" i="6"/>
  <c r="AA42" i="6" s="1"/>
  <c r="V43" i="6"/>
  <c r="Y43" i="6" s="1"/>
  <c r="V39" i="6"/>
  <c r="Y39" i="6" s="1"/>
  <c r="V38" i="6"/>
  <c r="Y38" i="6" s="1"/>
  <c r="V42" i="6"/>
  <c r="Y42" i="6" s="1"/>
  <c r="W43" i="6"/>
  <c r="Z43" i="6" s="1"/>
  <c r="W42" i="6"/>
  <c r="Z42" i="6" s="1"/>
  <c r="X43" i="6"/>
  <c r="AA43" i="6" s="1"/>
  <c r="X38" i="6"/>
  <c r="AA38" i="6" s="1"/>
  <c r="W38" i="6"/>
  <c r="Z38" i="6" s="1"/>
  <c r="W39" i="6"/>
  <c r="Z39" i="6" s="1"/>
  <c r="P37" i="6"/>
  <c r="S37" i="6"/>
  <c r="Q37" i="6"/>
  <c r="T37" i="6"/>
  <c r="T41" i="6"/>
  <c r="S41" i="6"/>
  <c r="B5" i="5"/>
  <c r="AA14" i="5"/>
  <c r="B6" i="5" s="1"/>
  <c r="A5" i="5"/>
  <c r="S3" i="3"/>
  <c r="Y12" i="4"/>
  <c r="AC29" i="1" l="1"/>
  <c r="AC31" i="1"/>
  <c r="AC32" i="1"/>
  <c r="AC33" i="1"/>
  <c r="AC30" i="1"/>
  <c r="U6" i="7"/>
  <c r="W17" i="7"/>
  <c r="W6" i="7"/>
  <c r="W26" i="7"/>
  <c r="W7" i="7"/>
  <c r="W16" i="7"/>
  <c r="U26" i="7"/>
  <c r="U16" i="7"/>
  <c r="I8" i="7"/>
  <c r="V5" i="7" s="1"/>
  <c r="AD39" i="6"/>
  <c r="O49" i="6" s="1"/>
  <c r="AB45" i="3"/>
  <c r="I52" i="3" s="1"/>
  <c r="AB47" i="3"/>
  <c r="I54" i="3" s="1"/>
  <c r="AB41" i="3"/>
  <c r="M54" i="3" s="1"/>
  <c r="M34" i="3" s="1"/>
  <c r="AD45" i="3"/>
  <c r="K52" i="3" s="1"/>
  <c r="K32" i="3" s="1"/>
  <c r="AC44" i="3"/>
  <c r="J51" i="3" s="1"/>
  <c r="AC40" i="3"/>
  <c r="N53" i="3" s="1"/>
  <c r="N33" i="3" s="1"/>
  <c r="AC39" i="3"/>
  <c r="N52" i="3" s="1"/>
  <c r="AB39" i="3"/>
  <c r="M52" i="3" s="1"/>
  <c r="M32" i="3" s="1"/>
  <c r="AC38" i="3"/>
  <c r="AD40" i="3"/>
  <c r="O53" i="3" s="1"/>
  <c r="AD41" i="3"/>
  <c r="O54" i="3" s="1"/>
  <c r="AD38" i="3"/>
  <c r="O51" i="3" s="1"/>
  <c r="AC41" i="3"/>
  <c r="N54" i="3" s="1"/>
  <c r="AB38" i="3"/>
  <c r="M51" i="3" s="1"/>
  <c r="AB46" i="3"/>
  <c r="I53" i="3" s="1"/>
  <c r="AB40" i="3"/>
  <c r="M53" i="3" s="1"/>
  <c r="AD39" i="3"/>
  <c r="O52" i="3" s="1"/>
  <c r="AB44" i="3"/>
  <c r="I51" i="3" s="1"/>
  <c r="AC46" i="3"/>
  <c r="J53" i="3" s="1"/>
  <c r="AC47" i="3"/>
  <c r="AD47" i="3"/>
  <c r="AC45" i="3"/>
  <c r="J52" i="3" s="1"/>
  <c r="N51" i="3"/>
  <c r="N31" i="3" s="1"/>
  <c r="AD46" i="3"/>
  <c r="AD44" i="3"/>
  <c r="K51" i="3" s="1"/>
  <c r="K31" i="3" s="1"/>
  <c r="AD43" i="6"/>
  <c r="K49" i="6" s="1"/>
  <c r="K34" i="6" s="1"/>
  <c r="AD38" i="6"/>
  <c r="O48" i="6" s="1"/>
  <c r="AB43" i="6"/>
  <c r="I49" i="6" s="1"/>
  <c r="AB38" i="6"/>
  <c r="M48" i="6" s="1"/>
  <c r="M33" i="6" s="1"/>
  <c r="AC42" i="6"/>
  <c r="J48" i="6" s="1"/>
  <c r="AB42" i="6"/>
  <c r="I48" i="6" s="1"/>
  <c r="AC43" i="6"/>
  <c r="J49" i="6" s="1"/>
  <c r="AC38" i="6"/>
  <c r="N48" i="6" s="1"/>
  <c r="N33" i="6" s="1"/>
  <c r="AB39" i="6"/>
  <c r="M49" i="6" s="1"/>
  <c r="M34" i="6" s="1"/>
  <c r="AD42" i="6"/>
  <c r="K48" i="6" s="1"/>
  <c r="K33" i="6" s="1"/>
  <c r="AC39" i="6"/>
  <c r="N49" i="6" s="1"/>
  <c r="V41" i="6"/>
  <c r="Y41" i="6" s="1"/>
  <c r="W41" i="6"/>
  <c r="Z41" i="6" s="1"/>
  <c r="W37" i="6"/>
  <c r="Z37" i="6" s="1"/>
  <c r="X37" i="6"/>
  <c r="AA37" i="6" s="1"/>
  <c r="V37" i="6"/>
  <c r="Y37" i="6" s="1"/>
  <c r="X41" i="6"/>
  <c r="AA41" i="6" s="1"/>
  <c r="H18" i="5"/>
  <c r="H4" i="5"/>
  <c r="H11" i="5"/>
  <c r="I17" i="5"/>
  <c r="I3" i="5"/>
  <c r="I10" i="5"/>
  <c r="I18" i="5"/>
  <c r="I11" i="5"/>
  <c r="I4" i="5"/>
  <c r="H17" i="5"/>
  <c r="H3" i="5"/>
  <c r="H10" i="5"/>
  <c r="X10" i="4"/>
  <c r="B6" i="4"/>
  <c r="A4" i="4"/>
  <c r="I10" i="4" s="1"/>
  <c r="T5" i="7" l="1"/>
  <c r="M10" i="5" a="1"/>
  <c r="N11" i="5" s="1"/>
  <c r="M17" i="5" a="1"/>
  <c r="M18" i="5" s="1"/>
  <c r="M3" i="5" a="1"/>
  <c r="M3" i="5" s="1"/>
  <c r="P48" i="6"/>
  <c r="K53" i="3"/>
  <c r="K33" i="3" s="1"/>
  <c r="K54" i="3"/>
  <c r="K34" i="3" s="1"/>
  <c r="J54" i="3"/>
  <c r="H51" i="3"/>
  <c r="N34" i="3"/>
  <c r="P54" i="3"/>
  <c r="M33" i="3"/>
  <c r="P53" i="3"/>
  <c r="P51" i="3"/>
  <c r="M31" i="3"/>
  <c r="N32" i="3"/>
  <c r="P52" i="3"/>
  <c r="H52" i="3"/>
  <c r="H49" i="6"/>
  <c r="H48" i="6"/>
  <c r="N34" i="6"/>
  <c r="P49" i="6"/>
  <c r="AC37" i="6"/>
  <c r="N47" i="6" s="1"/>
  <c r="N32" i="6" s="1"/>
  <c r="AC41" i="6"/>
  <c r="J47" i="6" s="1"/>
  <c r="AB37" i="6"/>
  <c r="M47" i="6" s="1"/>
  <c r="AD41" i="6"/>
  <c r="K47" i="6" s="1"/>
  <c r="K32" i="6" s="1"/>
  <c r="AD37" i="6"/>
  <c r="O47" i="6" s="1"/>
  <c r="AB41" i="6"/>
  <c r="I47" i="6" s="1"/>
  <c r="N18" i="5"/>
  <c r="I3" i="4"/>
  <c r="I17" i="4"/>
  <c r="S8" i="3"/>
  <c r="V26" i="7" l="1"/>
  <c r="V6" i="7"/>
  <c r="V16" i="7"/>
  <c r="V15" i="7"/>
  <c r="V25" i="7"/>
  <c r="I7" i="7"/>
  <c r="U5" i="7" s="1"/>
  <c r="M17" i="5"/>
  <c r="M11" i="5"/>
  <c r="M10" i="5"/>
  <c r="N10" i="5"/>
  <c r="N17" i="5"/>
  <c r="M4" i="5"/>
  <c r="N3" i="5"/>
  <c r="N4" i="5"/>
  <c r="H53" i="3"/>
  <c r="H54" i="3"/>
  <c r="H47" i="6"/>
  <c r="P47" i="6"/>
  <c r="M32" i="6"/>
  <c r="S4" i="5" a="1"/>
  <c r="C12" i="3"/>
  <c r="L12" i="3"/>
  <c r="L9" i="3" s="1"/>
  <c r="B12" i="3"/>
  <c r="B11" i="3" s="1"/>
  <c r="P4" i="3"/>
  <c r="T15" i="7" l="1"/>
  <c r="T25" i="7"/>
  <c r="H5" i="7"/>
  <c r="R4" i="5" a="1"/>
  <c r="R4" i="5" s="1"/>
  <c r="Q4" i="5" a="1"/>
  <c r="Q4" i="5" s="1"/>
  <c r="S4" i="5"/>
  <c r="S5" i="5"/>
  <c r="L10" i="3"/>
  <c r="L11" i="3"/>
  <c r="B9" i="3"/>
  <c r="B10" i="3"/>
  <c r="AR29" i="3"/>
  <c r="AN34" i="3"/>
  <c r="S14" i="7" l="1"/>
  <c r="U4" i="7"/>
  <c r="U24" i="7"/>
  <c r="U14" i="7"/>
  <c r="U25" i="7"/>
  <c r="U15" i="7"/>
  <c r="I6" i="7"/>
  <c r="R5" i="5"/>
  <c r="Q5" i="5"/>
  <c r="T4" i="5"/>
  <c r="AU24" i="3"/>
  <c r="S9" i="3"/>
  <c r="B19" i="3" s="1"/>
  <c r="AT33" i="3"/>
  <c r="V8" i="3" s="1"/>
  <c r="B39" i="3"/>
  <c r="O37" i="3"/>
  <c r="AO29" i="3" s="1"/>
  <c r="AU29" i="3" s="1"/>
  <c r="W4" i="3" s="1"/>
  <c r="AR34" i="3"/>
  <c r="AQ32" i="3" s="1"/>
  <c r="AU33" i="3"/>
  <c r="W8" i="3" s="1"/>
  <c r="AS33" i="3"/>
  <c r="U8" i="3" s="1"/>
  <c r="AP33" i="3"/>
  <c r="AU32" i="3"/>
  <c r="W7" i="3" s="1"/>
  <c r="AT32" i="3"/>
  <c r="V7" i="3" s="1"/>
  <c r="AS32" i="3"/>
  <c r="U7" i="3" s="1"/>
  <c r="AP32" i="3"/>
  <c r="L25" i="3"/>
  <c r="R25" i="3" s="1"/>
  <c r="K25" i="3"/>
  <c r="Q25" i="3" s="1"/>
  <c r="J25" i="3"/>
  <c r="P25" i="3" s="1"/>
  <c r="I25" i="3"/>
  <c r="H25" i="3"/>
  <c r="N25" i="3" s="1"/>
  <c r="G25" i="3"/>
  <c r="AU31" i="3"/>
  <c r="W6" i="3" s="1"/>
  <c r="AT31" i="3"/>
  <c r="V6" i="3" s="1"/>
  <c r="AS31" i="3"/>
  <c r="U6" i="3" s="1"/>
  <c r="AP31" i="3"/>
  <c r="AU30" i="3"/>
  <c r="W5" i="3" s="1"/>
  <c r="AT30" i="3"/>
  <c r="V5" i="3" s="1"/>
  <c r="AS30" i="3"/>
  <c r="U5" i="3" s="1"/>
  <c r="AP30" i="3"/>
  <c r="AT29" i="3"/>
  <c r="V4" i="3" s="1"/>
  <c r="AS29" i="3"/>
  <c r="U4" i="3" s="1"/>
  <c r="AQ28" i="3"/>
  <c r="M19" i="3"/>
  <c r="K19" i="3"/>
  <c r="I19" i="3"/>
  <c r="G19" i="3"/>
  <c r="E19" i="3"/>
  <c r="C19" i="3"/>
  <c r="R14" i="3"/>
  <c r="Q14" i="3"/>
  <c r="P14" i="3"/>
  <c r="R13" i="3"/>
  <c r="Q13" i="3"/>
  <c r="P13" i="3"/>
  <c r="R12" i="3"/>
  <c r="Q12" i="3"/>
  <c r="P12" i="3"/>
  <c r="M12" i="3"/>
  <c r="K12" i="3"/>
  <c r="I12" i="3"/>
  <c r="G12" i="3"/>
  <c r="E12" i="3"/>
  <c r="R11" i="3"/>
  <c r="Q11" i="3"/>
  <c r="P11" i="3"/>
  <c r="R10" i="3"/>
  <c r="Q10" i="3"/>
  <c r="P10" i="3"/>
  <c r="S14" i="3"/>
  <c r="L19" i="3" s="1"/>
  <c r="Q9" i="3"/>
  <c r="P9" i="3"/>
  <c r="R8" i="3"/>
  <c r="Q8" i="3"/>
  <c r="P8" i="3"/>
  <c r="R7" i="3"/>
  <c r="Q7" i="3"/>
  <c r="P7" i="3"/>
  <c r="R6" i="3"/>
  <c r="Q6" i="3"/>
  <c r="P6" i="3"/>
  <c r="R5" i="3"/>
  <c r="Q5" i="3"/>
  <c r="P5" i="3"/>
  <c r="R4" i="3"/>
  <c r="Q4" i="3"/>
  <c r="AE9" i="3"/>
  <c r="R3" i="3"/>
  <c r="AE16" i="3" s="1"/>
  <c r="Q3" i="3"/>
  <c r="P3" i="3"/>
  <c r="AP29" i="3" l="1"/>
  <c r="R9" i="3"/>
  <c r="S24" i="7"/>
  <c r="S4" i="7"/>
  <c r="H4" i="7"/>
  <c r="T5" i="5"/>
  <c r="P43" i="3"/>
  <c r="S37" i="3"/>
  <c r="P37" i="3"/>
  <c r="B17" i="3"/>
  <c r="B16" i="3"/>
  <c r="B18" i="3"/>
  <c r="L16" i="3"/>
  <c r="L18" i="3"/>
  <c r="L17" i="3"/>
  <c r="AE13" i="3"/>
  <c r="AE2" i="3"/>
  <c r="AE6" i="3"/>
  <c r="AE20" i="3"/>
  <c r="M25" i="3"/>
  <c r="O25" i="3"/>
  <c r="S43" i="3"/>
  <c r="R13" i="7" l="1"/>
  <c r="T13" i="7"/>
  <c r="T14" i="7"/>
  <c r="T24" i="7"/>
  <c r="T23" i="7"/>
  <c r="T3" i="7"/>
  <c r="T4" i="7"/>
  <c r="I5" i="7"/>
  <c r="Q37" i="3"/>
  <c r="Q43" i="3"/>
  <c r="T37" i="3"/>
  <c r="R43" i="3"/>
  <c r="U37" i="3"/>
  <c r="R37" i="3"/>
  <c r="AR33" i="3"/>
  <c r="AQ31" i="3" s="1"/>
  <c r="S7" i="3"/>
  <c r="T43" i="3"/>
  <c r="U43" i="3"/>
  <c r="R2" i="7" l="1"/>
  <c r="R12" i="7"/>
  <c r="R3" i="7"/>
  <c r="R22" i="7"/>
  <c r="R23" i="7"/>
  <c r="S12" i="7"/>
  <c r="S23" i="7"/>
  <c r="S3" i="7"/>
  <c r="S22" i="7"/>
  <c r="S2" i="7"/>
  <c r="S13" i="7"/>
  <c r="X37" i="3"/>
  <c r="AA37" i="3" s="1"/>
  <c r="V37" i="3"/>
  <c r="Y37" i="3" s="1"/>
  <c r="W37" i="3"/>
  <c r="Z37" i="3" s="1"/>
  <c r="V43" i="3"/>
  <c r="Y43" i="3" s="1"/>
  <c r="J12" i="3"/>
  <c r="AC13" i="3"/>
  <c r="AC6" i="3"/>
  <c r="AC20" i="3"/>
  <c r="S6" i="3"/>
  <c r="S13" i="3"/>
  <c r="X43" i="3"/>
  <c r="AA43" i="3" s="1"/>
  <c r="W43" i="3"/>
  <c r="Z43" i="3" s="1"/>
  <c r="AC2" i="7" l="1" a="1"/>
  <c r="AJ9" i="7" s="1"/>
  <c r="AC22" i="7" a="1"/>
  <c r="AF29" i="7" s="1"/>
  <c r="AC12" i="7" a="1"/>
  <c r="AB37" i="3"/>
  <c r="M50" i="3" s="1"/>
  <c r="M30" i="3" s="1"/>
  <c r="AC37" i="3"/>
  <c r="N50" i="3" s="1"/>
  <c r="N30" i="3" s="1"/>
  <c r="AD37" i="3"/>
  <c r="O50" i="3" s="1"/>
  <c r="J19" i="3"/>
  <c r="AD19" i="3"/>
  <c r="AD13" i="3"/>
  <c r="AD20" i="3"/>
  <c r="AD12" i="3"/>
  <c r="AD6" i="3"/>
  <c r="AD5" i="3"/>
  <c r="H12" i="3"/>
  <c r="AB19" i="3"/>
  <c r="AB12" i="3"/>
  <c r="AB5" i="3"/>
  <c r="J10" i="3"/>
  <c r="J11" i="3"/>
  <c r="J9" i="3"/>
  <c r="AC43" i="3"/>
  <c r="J50" i="3" s="1"/>
  <c r="AB43" i="3"/>
  <c r="I50" i="3" s="1"/>
  <c r="AD43" i="3"/>
  <c r="AR32" i="3"/>
  <c r="AQ30" i="3" s="1"/>
  <c r="AI3" i="7" l="1"/>
  <c r="AG3" i="7"/>
  <c r="AC3" i="7"/>
  <c r="AJ8" i="7"/>
  <c r="AJ3" i="7"/>
  <c r="AH3" i="7"/>
  <c r="AE3" i="7"/>
  <c r="AE2" i="7"/>
  <c r="AF8" i="7"/>
  <c r="AJ7" i="7"/>
  <c r="AI7" i="7"/>
  <c r="AH7" i="7"/>
  <c r="AG7" i="7"/>
  <c r="AF3" i="7"/>
  <c r="AD3" i="7"/>
  <c r="AF2" i="7"/>
  <c r="AD2" i="7"/>
  <c r="AJ5" i="7"/>
  <c r="AI9" i="7"/>
  <c r="AI5" i="7"/>
  <c r="AH9" i="7"/>
  <c r="AH5" i="7"/>
  <c r="AG9" i="7"/>
  <c r="AG5" i="7"/>
  <c r="AF7" i="7"/>
  <c r="AE7" i="7"/>
  <c r="AD7" i="7"/>
  <c r="AC7" i="7"/>
  <c r="AF6" i="7"/>
  <c r="AE6" i="7"/>
  <c r="AD6" i="7"/>
  <c r="AC6" i="7"/>
  <c r="AF9" i="7"/>
  <c r="AJ6" i="7"/>
  <c r="AJ4" i="7"/>
  <c r="AJ2" i="7"/>
  <c r="AI8" i="7"/>
  <c r="AI6" i="7"/>
  <c r="AI4" i="7"/>
  <c r="AI2" i="7"/>
  <c r="AH8" i="7"/>
  <c r="AH6" i="7"/>
  <c r="AH4" i="7"/>
  <c r="AH2" i="7"/>
  <c r="AG8" i="7"/>
  <c r="AG6" i="7"/>
  <c r="AG4" i="7"/>
  <c r="AG2" i="7"/>
  <c r="AF5" i="7"/>
  <c r="AE9" i="7"/>
  <c r="AE5" i="7"/>
  <c r="AD9" i="7"/>
  <c r="AD5" i="7"/>
  <c r="AC9" i="7"/>
  <c r="AC5" i="7"/>
  <c r="AC2" i="7"/>
  <c r="AF4" i="7"/>
  <c r="AE8" i="7"/>
  <c r="AE4" i="7"/>
  <c r="AD8" i="7"/>
  <c r="AD4" i="7"/>
  <c r="AC8" i="7"/>
  <c r="AC4" i="7"/>
  <c r="AH28" i="7"/>
  <c r="AC28" i="7"/>
  <c r="AJ28" i="7"/>
  <c r="AC23" i="7"/>
  <c r="AG28" i="7"/>
  <c r="AI28" i="7"/>
  <c r="AE23" i="7"/>
  <c r="AG24" i="7"/>
  <c r="AH24" i="7"/>
  <c r="AI24" i="7"/>
  <c r="AJ24" i="7"/>
  <c r="AD23" i="7"/>
  <c r="AF23" i="7"/>
  <c r="AG22" i="7"/>
  <c r="AG26" i="7"/>
  <c r="AH22" i="7"/>
  <c r="AH26" i="7"/>
  <c r="AI22" i="7"/>
  <c r="AI26" i="7"/>
  <c r="AJ22" i="7"/>
  <c r="AJ26" i="7"/>
  <c r="AC27" i="7"/>
  <c r="AD27" i="7"/>
  <c r="AE27" i="7"/>
  <c r="AF27" i="7"/>
  <c r="AG23" i="7"/>
  <c r="AG25" i="7"/>
  <c r="AG27" i="7"/>
  <c r="AG29" i="7"/>
  <c r="AH23" i="7"/>
  <c r="AH25" i="7"/>
  <c r="AH27" i="7"/>
  <c r="AH29" i="7"/>
  <c r="AI23" i="7"/>
  <c r="AI25" i="7"/>
  <c r="AI27" i="7"/>
  <c r="AI29" i="7"/>
  <c r="AJ23" i="7"/>
  <c r="AJ25" i="7"/>
  <c r="AJ27" i="7"/>
  <c r="AC25" i="7"/>
  <c r="AC29" i="7"/>
  <c r="AD25" i="7"/>
  <c r="AD29" i="7"/>
  <c r="AE25" i="7"/>
  <c r="AE29" i="7"/>
  <c r="AF25" i="7"/>
  <c r="AJ29" i="7"/>
  <c r="AC24" i="7"/>
  <c r="AD22" i="7"/>
  <c r="AD26" i="7"/>
  <c r="AE22" i="7"/>
  <c r="AE26" i="7"/>
  <c r="AF22" i="7"/>
  <c r="AF26" i="7"/>
  <c r="AC22" i="7"/>
  <c r="AC26" i="7"/>
  <c r="AD24" i="7"/>
  <c r="AD28" i="7"/>
  <c r="AE24" i="7"/>
  <c r="AE28" i="7"/>
  <c r="AF24" i="7"/>
  <c r="AF28" i="7"/>
  <c r="AJ19" i="7"/>
  <c r="AI12" i="7"/>
  <c r="AI13" i="7"/>
  <c r="AI14" i="7"/>
  <c r="AI15" i="7"/>
  <c r="AI16" i="7"/>
  <c r="AI17" i="7"/>
  <c r="AI18" i="7"/>
  <c r="AI19" i="7"/>
  <c r="AJ12" i="7"/>
  <c r="AJ13" i="7"/>
  <c r="AJ14" i="7"/>
  <c r="AJ15" i="7"/>
  <c r="AJ16" i="7"/>
  <c r="AJ17" i="7"/>
  <c r="AJ18" i="7"/>
  <c r="AD15" i="7"/>
  <c r="AH17" i="7"/>
  <c r="AH19" i="7"/>
  <c r="AG12" i="7"/>
  <c r="AG13" i="7"/>
  <c r="AG14" i="7"/>
  <c r="AG15" i="7"/>
  <c r="AG16" i="7"/>
  <c r="AG17" i="7"/>
  <c r="AG18" i="7"/>
  <c r="AG19" i="7"/>
  <c r="AH12" i="7"/>
  <c r="AH13" i="7"/>
  <c r="AH14" i="7"/>
  <c r="AD16" i="7"/>
  <c r="AE12" i="7"/>
  <c r="AE13" i="7"/>
  <c r="AE14" i="7"/>
  <c r="AE15" i="7"/>
  <c r="AE16" i="7"/>
  <c r="AE17" i="7"/>
  <c r="AE18" i="7"/>
  <c r="AE19" i="7"/>
  <c r="AF12" i="7"/>
  <c r="AF13" i="7"/>
  <c r="AF14" i="7"/>
  <c r="AF15" i="7"/>
  <c r="AF16" i="7"/>
  <c r="AF17" i="7"/>
  <c r="AF18" i="7"/>
  <c r="AF19" i="7"/>
  <c r="AH16" i="7"/>
  <c r="AH18" i="7"/>
  <c r="AC12" i="7"/>
  <c r="AC13" i="7"/>
  <c r="AC14" i="7"/>
  <c r="AC15" i="7"/>
  <c r="AC16" i="7"/>
  <c r="AC17" i="7"/>
  <c r="AC18" i="7"/>
  <c r="AC19" i="7"/>
  <c r="AD12" i="7"/>
  <c r="AD13" i="7"/>
  <c r="AD14" i="7"/>
  <c r="AH15" i="7"/>
  <c r="AD17" i="7"/>
  <c r="AD19" i="7"/>
  <c r="AD18" i="7"/>
  <c r="K50" i="3"/>
  <c r="K30" i="3" s="1"/>
  <c r="H9" i="3"/>
  <c r="H10" i="3"/>
  <c r="H11" i="3"/>
  <c r="S5" i="3"/>
  <c r="S12" i="3"/>
  <c r="J18" i="3"/>
  <c r="J16" i="3"/>
  <c r="J17" i="3"/>
  <c r="P50" i="3"/>
  <c r="C3" i="7" l="1" a="1"/>
  <c r="D3" i="7" a="1"/>
  <c r="B3" i="7" a="1"/>
  <c r="B8" i="7" s="1"/>
  <c r="H50" i="3"/>
  <c r="F12" i="3"/>
  <c r="AA11" i="3"/>
  <c r="AA4" i="3"/>
  <c r="AA18" i="3"/>
  <c r="H19" i="3"/>
  <c r="AC19" i="3"/>
  <c r="AC12" i="3"/>
  <c r="AC5" i="3"/>
  <c r="AC4" i="3"/>
  <c r="AC18" i="3"/>
  <c r="AC11" i="3"/>
  <c r="AR31" i="3"/>
  <c r="AQ29" i="3" s="1"/>
  <c r="D4" i="7" l="1"/>
  <c r="D6" i="7"/>
  <c r="D8" i="7"/>
  <c r="D10" i="7"/>
  <c r="D3" i="7"/>
  <c r="D5" i="7"/>
  <c r="D7" i="7"/>
  <c r="D9" i="7"/>
  <c r="C3" i="7"/>
  <c r="C5" i="7"/>
  <c r="C7" i="7"/>
  <c r="C9" i="7"/>
  <c r="C10" i="7"/>
  <c r="C4" i="7"/>
  <c r="C6" i="7"/>
  <c r="C8" i="7"/>
  <c r="B6" i="7"/>
  <c r="B9" i="7"/>
  <c r="E9" i="7" s="1"/>
  <c r="B5" i="7"/>
  <c r="B7" i="7"/>
  <c r="B4" i="7"/>
  <c r="B10" i="7"/>
  <c r="B3" i="7"/>
  <c r="E3" i="7" s="1"/>
  <c r="S4" i="3"/>
  <c r="S11" i="3"/>
  <c r="H16" i="3"/>
  <c r="H17" i="3"/>
  <c r="H18" i="3"/>
  <c r="F10" i="3"/>
  <c r="F9" i="3"/>
  <c r="F11" i="3"/>
  <c r="E4" i="7" l="1"/>
  <c r="E6" i="7"/>
  <c r="E10" i="7"/>
  <c r="E7" i="7"/>
  <c r="E8" i="7"/>
  <c r="E5" i="7"/>
  <c r="F19" i="3"/>
  <c r="AB18" i="3"/>
  <c r="AB11" i="3"/>
  <c r="AB17" i="3"/>
  <c r="AB10" i="3"/>
  <c r="AB4" i="3"/>
  <c r="AB3" i="3"/>
  <c r="D12" i="3"/>
  <c r="Z3" i="3"/>
  <c r="Z17" i="3"/>
  <c r="Z16" i="3"/>
  <c r="Z10" i="3"/>
  <c r="Z9" i="3"/>
  <c r="Z2" i="3"/>
  <c r="AR30" i="3"/>
  <c r="S10" i="3" s="1"/>
  <c r="D19" i="3" l="1"/>
  <c r="AA17" i="3"/>
  <c r="AA16" i="3"/>
  <c r="AA10" i="3"/>
  <c r="AA9" i="3"/>
  <c r="AA3" i="3"/>
  <c r="AA2" i="3"/>
  <c r="D9" i="3"/>
  <c r="D11" i="3"/>
  <c r="D10" i="3"/>
  <c r="F16" i="3"/>
  <c r="F17" i="3"/>
  <c r="F18" i="3"/>
  <c r="AH9" i="3" l="1" a="1"/>
  <c r="AJ13" i="3" s="1"/>
  <c r="AH16" i="3" a="1"/>
  <c r="AJ16" i="3" s="1"/>
  <c r="AH2" i="3" a="1"/>
  <c r="AL2" i="3" s="1"/>
  <c r="D17" i="3"/>
  <c r="D18" i="3"/>
  <c r="D16" i="3"/>
  <c r="AH19" i="3" l="1"/>
  <c r="AL20" i="3"/>
  <c r="AK17" i="3"/>
  <c r="AK18" i="3"/>
  <c r="AI17" i="3"/>
  <c r="AK19" i="3"/>
  <c r="AI18" i="3"/>
  <c r="AH20" i="3"/>
  <c r="AL16" i="3"/>
  <c r="AH17" i="3"/>
  <c r="AJ19" i="3"/>
  <c r="AI16" i="3"/>
  <c r="AK20" i="3"/>
  <c r="AJ17" i="3"/>
  <c r="AI19" i="3"/>
  <c r="AH16" i="3"/>
  <c r="AJ20" i="3"/>
  <c r="AH18" i="3"/>
  <c r="AL19" i="3"/>
  <c r="AK16" i="3"/>
  <c r="AJ18" i="3"/>
  <c r="AI20" i="3"/>
  <c r="AL18" i="3"/>
  <c r="AL17" i="3"/>
  <c r="AI10" i="3"/>
  <c r="AI9" i="3"/>
  <c r="AK10" i="3"/>
  <c r="AH10" i="3"/>
  <c r="AJ9" i="3"/>
  <c r="AJ10" i="3"/>
  <c r="AI11" i="3"/>
  <c r="AH12" i="3"/>
  <c r="AJ11" i="3"/>
  <c r="AL12" i="3"/>
  <c r="AL13" i="3"/>
  <c r="AL10" i="3"/>
  <c r="AK12" i="3"/>
  <c r="AL11" i="3"/>
  <c r="AK13" i="3"/>
  <c r="AK11" i="3"/>
  <c r="AI12" i="3"/>
  <c r="AH9" i="3"/>
  <c r="AJ12" i="3"/>
  <c r="AH11" i="3"/>
  <c r="AI13" i="3"/>
  <c r="AH13" i="3"/>
  <c r="AL9" i="3"/>
  <c r="AK9" i="3"/>
  <c r="AJ5" i="3"/>
  <c r="AH6" i="3"/>
  <c r="AH3" i="3"/>
  <c r="AL5" i="3"/>
  <c r="AJ3" i="3"/>
  <c r="AK5" i="3"/>
  <c r="AI6" i="3"/>
  <c r="AK3" i="3"/>
  <c r="AL6" i="3"/>
  <c r="AL4" i="3"/>
  <c r="AH4" i="3"/>
  <c r="AH2" i="3"/>
  <c r="AJ4" i="3"/>
  <c r="AI2" i="3"/>
  <c r="AI4" i="3"/>
  <c r="AH5" i="3"/>
  <c r="AK4" i="3"/>
  <c r="AJ6" i="3"/>
  <c r="AJ2" i="3"/>
  <c r="AK2" i="3"/>
  <c r="AK6" i="3"/>
  <c r="AI5" i="3"/>
  <c r="AL3" i="3"/>
  <c r="AI3" i="3"/>
  <c r="AN16" i="3" l="1" a="1"/>
  <c r="AN17" i="3" s="1"/>
  <c r="AF30" i="3" s="1"/>
  <c r="AN9" i="3" a="1"/>
  <c r="AN11" i="3" s="1"/>
  <c r="AE31" i="3" s="1"/>
  <c r="AN2" i="3" a="1"/>
  <c r="AN5" i="3" s="1"/>
  <c r="AD32" i="3" s="1"/>
  <c r="AN19" i="3" l="1"/>
  <c r="AF32" i="3" s="1"/>
  <c r="AN16" i="3"/>
  <c r="AF29" i="3" s="1"/>
  <c r="AN18" i="3"/>
  <c r="AF31" i="3" s="1"/>
  <c r="AN20" i="3"/>
  <c r="AF33" i="3" s="1"/>
  <c r="AN13" i="3"/>
  <c r="AE33" i="3" s="1"/>
  <c r="AN12" i="3"/>
  <c r="AE32" i="3" s="1"/>
  <c r="AN9" i="3"/>
  <c r="AE29" i="3" s="1"/>
  <c r="AN10" i="3"/>
  <c r="AE30" i="3" s="1"/>
  <c r="AN2" i="3"/>
  <c r="AD29" i="3" s="1"/>
  <c r="AN3" i="3"/>
  <c r="AD30" i="3" s="1"/>
  <c r="AN4" i="3"/>
  <c r="AD31" i="3" s="1"/>
  <c r="AN6" i="3"/>
  <c r="AD33" i="3" s="1"/>
  <c r="AC29" i="3" l="1"/>
  <c r="AC32" i="3"/>
  <c r="AC30" i="3"/>
  <c r="AC33" i="3"/>
  <c r="AC31" i="3"/>
  <c r="Y11" i="4" l="1"/>
  <c r="B5" i="4" s="1"/>
  <c r="Z11" i="4"/>
  <c r="C5" i="4" s="1"/>
  <c r="AA11" i="4"/>
  <c r="D5" i="4" s="1"/>
  <c r="AB11" i="4"/>
  <c r="E5" i="4" s="1"/>
  <c r="H10" i="4" l="1"/>
  <c r="L10" i="4" s="1"/>
  <c r="P3" i="4" s="1"/>
  <c r="H3" i="4"/>
  <c r="L3" i="4" s="1"/>
  <c r="O3" i="4" s="1"/>
  <c r="H17" i="4"/>
  <c r="L17" i="4" s="1"/>
  <c r="Q3" i="4" s="1"/>
  <c r="R3" i="4" l="1"/>
  <c r="AB18" i="6"/>
  <c r="AB17" i="6" l="1"/>
  <c r="A6" i="6" s="1"/>
  <c r="I5" i="6" s="1"/>
  <c r="A7" i="6"/>
  <c r="AC16" i="6"/>
  <c r="I12" i="6" l="1"/>
  <c r="AC18" i="6"/>
  <c r="B7" i="6" s="1"/>
  <c r="J19" i="6" s="1"/>
  <c r="I19" i="6"/>
  <c r="B5" i="6"/>
  <c r="AB16" i="6" l="1"/>
  <c r="A5" i="6" s="1"/>
  <c r="H11" i="6" s="1"/>
  <c r="J4" i="6"/>
  <c r="J18" i="6"/>
  <c r="J11" i="6"/>
  <c r="J5" i="6"/>
  <c r="J12" i="6"/>
  <c r="H10" i="6" l="1"/>
  <c r="H3" i="6"/>
  <c r="H4" i="6"/>
  <c r="H17" i="6"/>
  <c r="H18" i="6"/>
  <c r="AC17" i="6"/>
  <c r="B6" i="6" s="1"/>
  <c r="I4" i="6" s="1"/>
  <c r="I3" i="6" l="1"/>
  <c r="O3" i="6" s="1" a="1"/>
  <c r="O4" i="6" s="1"/>
  <c r="I11" i="6"/>
  <c r="I18" i="6"/>
  <c r="I17" i="6"/>
  <c r="I10" i="6"/>
  <c r="O10" i="6" l="1" a="1"/>
  <c r="Q12" i="6" s="1"/>
  <c r="O17" i="6" a="1"/>
  <c r="P18" i="6" s="1"/>
  <c r="O5" i="6"/>
  <c r="Q4" i="6"/>
  <c r="P4" i="6"/>
  <c r="P5" i="6"/>
  <c r="Q5" i="6"/>
  <c r="O3" i="6"/>
  <c r="Q3" i="6"/>
  <c r="P3" i="6"/>
  <c r="O18" i="6" l="1"/>
  <c r="P17" i="6"/>
  <c r="Q18" i="6"/>
  <c r="O17" i="6"/>
  <c r="O19" i="6"/>
  <c r="Q17" i="6"/>
  <c r="P19" i="6"/>
  <c r="Q19" i="6"/>
  <c r="P12" i="6"/>
  <c r="Q10" i="6"/>
  <c r="Q11" i="6"/>
  <c r="O11" i="6"/>
  <c r="O12" i="6"/>
  <c r="O10" i="6"/>
  <c r="P11" i="6"/>
  <c r="P10" i="6"/>
  <c r="S4" i="6" a="1"/>
  <c r="S4" i="6" s="1"/>
  <c r="T22" i="6" s="1"/>
  <c r="U4" i="6" a="1"/>
  <c r="T4" i="6" a="1"/>
  <c r="S6" i="6" l="1"/>
  <c r="T24" i="6" s="1"/>
  <c r="S5" i="6"/>
  <c r="T23" i="6" s="1"/>
  <c r="T4" i="6"/>
  <c r="U22" i="6" s="1"/>
  <c r="T6" i="6"/>
  <c r="T5" i="6"/>
  <c r="U4" i="6"/>
  <c r="V22" i="6" s="1"/>
  <c r="U6" i="6"/>
  <c r="V24" i="6" s="1"/>
  <c r="U5" i="6"/>
  <c r="V23" i="6" s="1"/>
  <c r="U23" i="6"/>
  <c r="V6" i="6" l="1"/>
  <c r="U24" i="6"/>
  <c r="V4" i="6"/>
  <c r="V5" i="6"/>
  <c r="AR32" i="8" l="1"/>
  <c r="AQ30" i="8" l="1"/>
  <c r="E5" i="8" s="1"/>
  <c r="F7" i="8"/>
  <c r="M4" i="8" l="1"/>
  <c r="M18" i="8"/>
  <c r="M11" i="8"/>
  <c r="O5" i="8"/>
  <c r="O4" i="8"/>
  <c r="O19" i="8"/>
  <c r="O12" i="8"/>
  <c r="O18" i="8"/>
  <c r="O11" i="8"/>
  <c r="AR31" i="8"/>
  <c r="AQ29" i="8" l="1"/>
  <c r="E4" i="8" s="1"/>
  <c r="F6" i="8"/>
  <c r="AR30" i="8" l="1"/>
  <c r="F5" i="8" s="1"/>
  <c r="N4" i="8"/>
  <c r="N3" i="8"/>
  <c r="N11" i="8"/>
  <c r="N18" i="8"/>
  <c r="N10" i="8"/>
  <c r="N17" i="8"/>
  <c r="L9" i="8"/>
  <c r="L3" i="8"/>
  <c r="L10" i="8"/>
  <c r="L2" i="8"/>
  <c r="L17" i="8"/>
  <c r="L16" i="8"/>
  <c r="M3" i="8" l="1"/>
  <c r="M9" i="8"/>
  <c r="M2" i="8"/>
  <c r="T2" i="8" s="1" a="1"/>
  <c r="M17" i="8"/>
  <c r="M16" i="8"/>
  <c r="M10" i="8"/>
  <c r="T9" i="8" s="1" a="1"/>
  <c r="W12" i="8" l="1"/>
  <c r="V12" i="8"/>
  <c r="T9" i="8"/>
  <c r="U9" i="8"/>
  <c r="V9" i="8"/>
  <c r="W9" i="8"/>
  <c r="T10" i="8"/>
  <c r="U10" i="8"/>
  <c r="V10" i="8"/>
  <c r="W10" i="8"/>
  <c r="T11" i="8"/>
  <c r="U11" i="8"/>
  <c r="V11" i="8"/>
  <c r="W11" i="8"/>
  <c r="T12" i="8"/>
  <c r="U12" i="8"/>
  <c r="T16" i="8" a="1"/>
  <c r="T2" i="8"/>
  <c r="W4" i="8"/>
  <c r="W2" i="8"/>
  <c r="V4" i="8"/>
  <c r="V2" i="8"/>
  <c r="U4" i="8"/>
  <c r="U2" i="8"/>
  <c r="T4" i="8"/>
  <c r="W5" i="8"/>
  <c r="W3" i="8"/>
  <c r="V5" i="8"/>
  <c r="V3" i="8"/>
  <c r="U5" i="8"/>
  <c r="U3" i="8"/>
  <c r="T5" i="8"/>
  <c r="T3" i="8"/>
  <c r="Z2" i="8" l="1" a="1"/>
  <c r="W19" i="8"/>
  <c r="T19" i="8"/>
  <c r="U19" i="8"/>
  <c r="V19" i="8"/>
  <c r="T16" i="8"/>
  <c r="V16" i="8"/>
  <c r="T18" i="8"/>
  <c r="V18" i="8"/>
  <c r="T17" i="8"/>
  <c r="U17" i="8"/>
  <c r="V17" i="8"/>
  <c r="W17" i="8"/>
  <c r="U16" i="8"/>
  <c r="W16" i="8"/>
  <c r="U18" i="8"/>
  <c r="W18" i="8"/>
  <c r="Z9" i="8" a="1"/>
  <c r="Z12" i="8" l="1"/>
  <c r="AE32" i="8" s="1"/>
  <c r="Z9" i="8"/>
  <c r="AE29" i="8" s="1"/>
  <c r="Z11" i="8"/>
  <c r="AE31" i="8" s="1"/>
  <c r="Z10" i="8"/>
  <c r="AE30" i="8" s="1"/>
  <c r="Z16" i="8" a="1"/>
  <c r="Z2" i="8"/>
  <c r="AD29" i="8" s="1"/>
  <c r="Z5" i="8"/>
  <c r="AD32" i="8" s="1"/>
  <c r="Z3" i="8"/>
  <c r="AD30" i="8" s="1"/>
  <c r="Z4" i="8"/>
  <c r="AD31" i="8" s="1"/>
  <c r="Z18" i="8" l="1"/>
  <c r="AF31" i="8" s="1"/>
  <c r="AC31" i="8" s="1"/>
  <c r="Z19" i="8"/>
  <c r="AF32" i="8" s="1"/>
  <c r="AC32" i="8" s="1"/>
  <c r="Z16" i="8"/>
  <c r="AF29" i="8" s="1"/>
  <c r="AC29" i="8" s="1"/>
  <c r="Z17" i="8"/>
  <c r="AF30" i="8" s="1"/>
  <c r="AC30" i="8" s="1"/>
</calcChain>
</file>

<file path=xl/sharedStrings.xml><?xml version="1.0" encoding="utf-8"?>
<sst xmlns="http://schemas.openxmlformats.org/spreadsheetml/2006/main" count="894" uniqueCount="132">
  <si>
    <t>A</t>
  </si>
  <si>
    <t>B</t>
  </si>
  <si>
    <t>C</t>
  </si>
  <si>
    <t>MTBE</t>
  </si>
  <si>
    <t>Methanol</t>
  </si>
  <si>
    <t>[BMIM][HSO4]</t>
  </si>
  <si>
    <t>Kontakt</t>
  </si>
  <si>
    <t>F</t>
  </si>
  <si>
    <t>R1</t>
  </si>
  <si>
    <t>R2</t>
  </si>
  <si>
    <t>R3</t>
  </si>
  <si>
    <t>R4</t>
  </si>
  <si>
    <t>R5</t>
  </si>
  <si>
    <t>E1</t>
  </si>
  <si>
    <t>E2</t>
  </si>
  <si>
    <t>E3</t>
  </si>
  <si>
    <t>E4</t>
  </si>
  <si>
    <t>E5</t>
  </si>
  <si>
    <t>S</t>
  </si>
  <si>
    <t>A(zlozka A)</t>
  </si>
  <si>
    <t>A(zlozka B)</t>
  </si>
  <si>
    <t>A(zlozka C)</t>
  </si>
  <si>
    <t>psB</t>
  </si>
  <si>
    <t>psA</t>
  </si>
  <si>
    <t>psC</t>
  </si>
  <si>
    <t>n</t>
  </si>
  <si>
    <t>xi</t>
  </si>
  <si>
    <t>inverz</t>
  </si>
  <si>
    <t>xA</t>
  </si>
  <si>
    <t>xB</t>
  </si>
  <si>
    <t>xC</t>
  </si>
  <si>
    <t>'=xe/xr</t>
  </si>
  <si>
    <t>A+B+C</t>
  </si>
  <si>
    <t>1–2</t>
  </si>
  <si>
    <t>1–3</t>
  </si>
  <si>
    <t>2–3</t>
  </si>
  <si>
    <t>rmsd</t>
  </si>
  <si>
    <t>α</t>
  </si>
  <si>
    <t>NRTL parameters</t>
  </si>
  <si>
    <t>x1.1</t>
  </si>
  <si>
    <t>x2.1</t>
  </si>
  <si>
    <t>x3.1</t>
  </si>
  <si>
    <t>x1.2</t>
  </si>
  <si>
    <t>x2.2</t>
  </si>
  <si>
    <t>x3.3</t>
  </si>
  <si>
    <t>lnγ1.1</t>
  </si>
  <si>
    <t>lnγ2.1</t>
  </si>
  <si>
    <t>lnγ3.1</t>
  </si>
  <si>
    <t>γ1.1/γ1.2</t>
  </si>
  <si>
    <t>γ2.1/γ2.2</t>
  </si>
  <si>
    <t>γ3.1/γ3.2</t>
  </si>
  <si>
    <t>lnγ1.2</t>
  </si>
  <si>
    <t>lnγ2.2</t>
  </si>
  <si>
    <t>lnγ3.2</t>
  </si>
  <si>
    <t>γ1.2/γ1.1</t>
  </si>
  <si>
    <t>γ2.2/γ2.1</t>
  </si>
  <si>
    <t>γ3.2/γ3.1</t>
  </si>
  <si>
    <t>R</t>
  </si>
  <si>
    <t>kJ.mol^-1.K^-1</t>
  </si>
  <si>
    <t>T</t>
  </si>
  <si>
    <t>K</t>
  </si>
  <si>
    <t>Σxi</t>
  </si>
  <si>
    <t>kA</t>
  </si>
  <si>
    <t>kB</t>
  </si>
  <si>
    <t>kC</t>
  </si>
  <si>
    <t>-</t>
  </si>
  <si>
    <t>Meth</t>
  </si>
  <si>
    <t>Ils</t>
  </si>
  <si>
    <t>xRA</t>
  </si>
  <si>
    <t>xRB</t>
  </si>
  <si>
    <t>xRC</t>
  </si>
  <si>
    <t>xEA</t>
  </si>
  <si>
    <t>xEB</t>
  </si>
  <si>
    <t>xEC</t>
  </si>
  <si>
    <t>nR</t>
  </si>
  <si>
    <t>nE</t>
  </si>
  <si>
    <t>∑xRi</t>
  </si>
  <si>
    <t>∑xEi</t>
  </si>
  <si>
    <t>MTBE (1) + methanol (2) + [BMIM][HSO4] (3) at 318.15 K</t>
  </si>
  <si>
    <t>τ12</t>
  </si>
  <si>
    <t>τ21</t>
  </si>
  <si>
    <t>τ13</t>
  </si>
  <si>
    <t>τ31</t>
  </si>
  <si>
    <t>τ23</t>
  </si>
  <si>
    <t>τ32</t>
  </si>
  <si>
    <t>G12</t>
  </si>
  <si>
    <t>G21</t>
  </si>
  <si>
    <t>G13</t>
  </si>
  <si>
    <t>G31</t>
  </si>
  <si>
    <t>G23</t>
  </si>
  <si>
    <t>G32</t>
  </si>
  <si>
    <t>i–j</t>
  </si>
  <si>
    <t>Δgij(kJ·mol−1)</t>
  </si>
  <si>
    <t>Δgji(kJ·mol−1)</t>
  </si>
  <si>
    <t>φ1.1</t>
  </si>
  <si>
    <t>φ2.1</t>
  </si>
  <si>
    <t>φ3.1</t>
  </si>
  <si>
    <t>θ1.1</t>
  </si>
  <si>
    <t>θ2.1</t>
  </si>
  <si>
    <t>θ3.1</t>
  </si>
  <si>
    <t>γ1.1</t>
  </si>
  <si>
    <t>γ2.1</t>
  </si>
  <si>
    <t>γ3.1</t>
  </si>
  <si>
    <t>φ1.2</t>
  </si>
  <si>
    <t>φ2.2</t>
  </si>
  <si>
    <t>φ3.2</t>
  </si>
  <si>
    <t>θ1.2</t>
  </si>
  <si>
    <t>θ2.2</t>
  </si>
  <si>
    <t>θ3.2</t>
  </si>
  <si>
    <t>γ1.2</t>
  </si>
  <si>
    <t>γ2.2</t>
  </si>
  <si>
    <t>γ3.2</t>
  </si>
  <si>
    <t>Vysledne</t>
  </si>
  <si>
    <t>XA</t>
  </si>
  <si>
    <t>XB</t>
  </si>
  <si>
    <t>XC</t>
  </si>
  <si>
    <t>Yb</t>
  </si>
  <si>
    <t>sum x</t>
  </si>
  <si>
    <t>Pocet kontaktov</t>
  </si>
  <si>
    <t>ns/nf</t>
  </si>
  <si>
    <t>Ya</t>
  </si>
  <si>
    <t>Yc</t>
  </si>
  <si>
    <t>Ya v extrakte</t>
  </si>
  <si>
    <t>Yc straty do Raf</t>
  </si>
  <si>
    <t>n[kmol/h]</t>
  </si>
  <si>
    <t>nR [kmol/h][mol.h-1]</t>
  </si>
  <si>
    <t>nE [kmol/h]</t>
  </si>
  <si>
    <t>∑n [kmol/h]</t>
  </si>
  <si>
    <t>n [kmol/h]</t>
  </si>
  <si>
    <t>nR [kmol/h]</t>
  </si>
  <si>
    <t>nf [kmol/h]</t>
  </si>
  <si>
    <t>ns [kmol/h]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</si>
</sst>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0.000"/>
    <numFmt numFmtId="166" formatCode="0.000000"/>
    <numFmt numFmtId="167" formatCode="0.00000"/>
    <numFmt numFmtId="168" formatCode="0.0000%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1F1F1F"/>
      <name val="Georgia"/>
      <family val="1"/>
    </font>
    <font>
      <sz val="11"/>
      <color rgb="FF1F1F1F"/>
      <name val="Georgia"/>
      <family val="1"/>
    </font>
    <font>
      <b/>
      <sz val="11"/>
      <color rgb="FF000000"/>
      <name val="Calibri"/>
      <family val="2"/>
    </font>
    <font>
      <b/>
      <i/>
      <sz val="11"/>
      <color rgb="FF1F1F1F"/>
      <name val="Georgia"/>
      <family val="1"/>
    </font>
    <font>
      <sz val="10"/>
      <color rgb="FF1F1F1F"/>
      <name val="Georgia"/>
      <family val="1"/>
    </font>
    <font>
      <sz val="11"/>
      <color rgb="FF7030A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8E8E8E"/>
      </top>
      <bottom/>
      <diagonal/>
    </border>
    <border>
      <left/>
      <right/>
      <top/>
      <bottom style="medium">
        <color rgb="FF8E8E8E"/>
      </bottom>
      <diagonal/>
    </border>
    <border>
      <left/>
      <right/>
      <top style="medium">
        <color rgb="FF8E8E8E"/>
      </top>
      <bottom style="medium">
        <color rgb="FF8E8E8E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9" fontId="13" fillId="0" borderId="0" applyFont="0" applyFill="0" applyBorder="0" applyAlignment="0" applyProtection="0"/>
  </cellStyleXfs>
  <cellXfs count="147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0" borderId="13" xfId="0" applyBorder="1"/>
    <xf numFmtId="0" fontId="1" fillId="0" borderId="1" xfId="0" applyFont="1" applyBorder="1"/>
    <xf numFmtId="0" fontId="1" fillId="0" borderId="10" xfId="0" applyFont="1" applyBorder="1"/>
    <xf numFmtId="0" fontId="1" fillId="0" borderId="13" xfId="0" applyFont="1" applyBorder="1"/>
    <xf numFmtId="0" fontId="1" fillId="0" borderId="5" xfId="0" applyFont="1" applyBorder="1"/>
    <xf numFmtId="0" fontId="2" fillId="0" borderId="13" xfId="0" applyFont="1" applyBorder="1"/>
    <xf numFmtId="0" fontId="1" fillId="0" borderId="15" xfId="0" applyFont="1" applyBorder="1"/>
    <xf numFmtId="0" fontId="0" fillId="0" borderId="0" xfId="0" quotePrefix="1"/>
    <xf numFmtId="2" fontId="0" fillId="0" borderId="6" xfId="0" applyNumberFormat="1" applyBorder="1"/>
    <xf numFmtId="164" fontId="3" fillId="0" borderId="0" xfId="0" applyNumberFormat="1" applyFont="1"/>
    <xf numFmtId="0" fontId="6" fillId="0" borderId="16" xfId="0" applyFont="1" applyBorder="1" applyAlignment="1">
      <alignment horizontal="left" vertical="center" wrapText="1"/>
    </xf>
    <xf numFmtId="164" fontId="6" fillId="0" borderId="16" xfId="0" applyNumberFormat="1" applyFont="1" applyBorder="1" applyAlignment="1">
      <alignment horizontal="left" vertical="center" wrapText="1"/>
    </xf>
    <xf numFmtId="0" fontId="7" fillId="0" borderId="13" xfId="1" applyFont="1" applyBorder="1" applyAlignment="1">
      <alignment horizontal="center"/>
    </xf>
    <xf numFmtId="0" fontId="7" fillId="0" borderId="14" xfId="1" applyFont="1" applyBorder="1" applyAlignment="1">
      <alignment horizontal="center"/>
    </xf>
    <xf numFmtId="0" fontId="7" fillId="0" borderId="15" xfId="1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164" fontId="6" fillId="0" borderId="0" xfId="0" applyNumberFormat="1" applyFont="1" applyAlignment="1">
      <alignment horizontal="left" vertical="center" wrapText="1"/>
    </xf>
    <xf numFmtId="164" fontId="0" fillId="0" borderId="0" xfId="0" applyNumberFormat="1"/>
    <xf numFmtId="0" fontId="6" fillId="0" borderId="17" xfId="0" applyFont="1" applyBorder="1" applyAlignment="1">
      <alignment horizontal="left" vertical="center" wrapText="1"/>
    </xf>
    <xf numFmtId="164" fontId="6" fillId="0" borderId="17" xfId="0" applyNumberFormat="1" applyFont="1" applyBorder="1" applyAlignment="1">
      <alignment horizontal="left" vertical="center" wrapText="1"/>
    </xf>
    <xf numFmtId="0" fontId="0" fillId="0" borderId="17" xfId="0" applyBorder="1"/>
    <xf numFmtId="0" fontId="9" fillId="0" borderId="18" xfId="0" applyFont="1" applyBorder="1" applyAlignment="1">
      <alignment horizontal="left" vertical="center" wrapText="1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13" xfId="1" applyFont="1" applyBorder="1" applyAlignment="1">
      <alignment horizontal="center" vertical="center"/>
    </xf>
    <xf numFmtId="0" fontId="7" fillId="0" borderId="14" xfId="1" applyFont="1" applyBorder="1" applyAlignment="1">
      <alignment horizontal="center" vertical="center"/>
    </xf>
    <xf numFmtId="0" fontId="7" fillId="0" borderId="15" xfId="1" applyFont="1" applyBorder="1" applyAlignment="1">
      <alignment horizontal="center" vertical="center"/>
    </xf>
    <xf numFmtId="0" fontId="7" fillId="0" borderId="13" xfId="1" applyFont="1" applyFill="1" applyBorder="1" applyAlignment="1">
      <alignment horizontal="center" vertical="center"/>
    </xf>
    <xf numFmtId="0" fontId="7" fillId="0" borderId="14" xfId="1" applyFont="1" applyFill="1" applyBorder="1" applyAlignment="1">
      <alignment horizontal="center" vertical="center"/>
    </xf>
    <xf numFmtId="0" fontId="7" fillId="0" borderId="15" xfId="1" applyFont="1" applyFill="1" applyBorder="1" applyAlignment="1">
      <alignment horizontal="center" vertical="center"/>
    </xf>
    <xf numFmtId="164" fontId="10" fillId="0" borderId="0" xfId="0" applyNumberFormat="1" applyFont="1"/>
    <xf numFmtId="0" fontId="1" fillId="0" borderId="0" xfId="0" applyFont="1"/>
    <xf numFmtId="0" fontId="11" fillId="0" borderId="1" xfId="0" applyFont="1" applyBorder="1"/>
    <xf numFmtId="165" fontId="0" fillId="0" borderId="0" xfId="0" applyNumberFormat="1"/>
    <xf numFmtId="0" fontId="1" fillId="0" borderId="0" xfId="0" applyFont="1" applyBorder="1"/>
    <xf numFmtId="0" fontId="12" fillId="0" borderId="0" xfId="0" applyFont="1"/>
    <xf numFmtId="164" fontId="12" fillId="0" borderId="0" xfId="0" applyNumberFormat="1" applyFont="1"/>
    <xf numFmtId="0" fontId="3" fillId="0" borderId="3" xfId="0" applyFont="1" applyBorder="1"/>
    <xf numFmtId="0" fontId="3" fillId="0" borderId="0" xfId="0" applyFont="1" applyBorder="1"/>
    <xf numFmtId="0" fontId="3" fillId="0" borderId="8" xfId="0" applyFont="1" applyBorder="1"/>
    <xf numFmtId="0" fontId="0" fillId="0" borderId="0" xfId="0" applyNumberFormat="1"/>
    <xf numFmtId="164" fontId="0" fillId="0" borderId="2" xfId="0" applyNumberFormat="1" applyFill="1" applyBorder="1"/>
    <xf numFmtId="164" fontId="0" fillId="0" borderId="3" xfId="0" applyNumberFormat="1" applyFill="1" applyBorder="1"/>
    <xf numFmtId="164" fontId="0" fillId="0" borderId="5" xfId="0" applyNumberFormat="1" applyFill="1" applyBorder="1"/>
    <xf numFmtId="164" fontId="0" fillId="0" borderId="0" xfId="0" applyNumberFormat="1" applyFill="1" applyBorder="1"/>
    <xf numFmtId="164" fontId="0" fillId="0" borderId="7" xfId="0" applyNumberFormat="1" applyFill="1" applyBorder="1"/>
    <xf numFmtId="164" fontId="0" fillId="0" borderId="8" xfId="0" applyNumberFormat="1" applyFill="1" applyBorder="1"/>
    <xf numFmtId="2" fontId="0" fillId="0" borderId="9" xfId="0" applyNumberFormat="1" applyBorder="1"/>
    <xf numFmtId="2" fontId="0" fillId="0" borderId="5" xfId="0" applyNumberFormat="1" applyBorder="1"/>
    <xf numFmtId="2" fontId="0" fillId="0" borderId="8" xfId="0" applyNumberFormat="1" applyBorder="1"/>
    <xf numFmtId="2" fontId="0" fillId="0" borderId="0" xfId="0" applyNumberFormat="1" applyBorder="1"/>
    <xf numFmtId="0" fontId="10" fillId="0" borderId="0" xfId="0" applyNumberFormat="1" applyFont="1"/>
    <xf numFmtId="0" fontId="0" fillId="0" borderId="5" xfId="0" applyFill="1" applyBorder="1"/>
    <xf numFmtId="0" fontId="0" fillId="0" borderId="6" xfId="0" applyFill="1" applyBorder="1"/>
    <xf numFmtId="166" fontId="0" fillId="0" borderId="2" xfId="0" applyNumberFormat="1" applyBorder="1"/>
    <xf numFmtId="166" fontId="0" fillId="0" borderId="3" xfId="0" applyNumberFormat="1" applyBorder="1"/>
    <xf numFmtId="166" fontId="0" fillId="0" borderId="4" xfId="0" applyNumberFormat="1" applyBorder="1"/>
    <xf numFmtId="166" fontId="0" fillId="0" borderId="5" xfId="0" applyNumberFormat="1" applyBorder="1"/>
    <xf numFmtId="166" fontId="0" fillId="0" borderId="0" xfId="0" applyNumberFormat="1" applyBorder="1"/>
    <xf numFmtId="166" fontId="0" fillId="0" borderId="6" xfId="0" applyNumberFormat="1" applyBorder="1"/>
    <xf numFmtId="166" fontId="0" fillId="0" borderId="7" xfId="0" applyNumberFormat="1" applyBorder="1"/>
    <xf numFmtId="166" fontId="0" fillId="0" borderId="8" xfId="0" applyNumberFormat="1" applyBorder="1"/>
    <xf numFmtId="166" fontId="0" fillId="0" borderId="9" xfId="0" applyNumberFormat="1" applyBorder="1"/>
    <xf numFmtId="2" fontId="0" fillId="0" borderId="13" xfId="0" applyNumberFormat="1" applyBorder="1"/>
    <xf numFmtId="0" fontId="3" fillId="0" borderId="10" xfId="0" applyNumberFormat="1" applyFont="1" applyBorder="1"/>
    <xf numFmtId="0" fontId="3" fillId="0" borderId="11" xfId="0" applyNumberFormat="1" applyFont="1" applyBorder="1"/>
    <xf numFmtId="0" fontId="3" fillId="0" borderId="12" xfId="0" applyNumberFormat="1" applyFont="1" applyBorder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" fontId="0" fillId="0" borderId="11" xfId="0" applyNumberFormat="1" applyBorder="1"/>
    <xf numFmtId="2" fontId="0" fillId="0" borderId="12" xfId="0" applyNumberFormat="1" applyBorder="1"/>
    <xf numFmtId="2" fontId="0" fillId="0" borderId="10" xfId="0" applyNumberFormat="1" applyBorder="1"/>
    <xf numFmtId="0" fontId="1" fillId="0" borderId="11" xfId="0" applyFont="1" applyBorder="1"/>
    <xf numFmtId="0" fontId="1" fillId="0" borderId="12" xfId="0" applyFont="1" applyBorder="1"/>
    <xf numFmtId="0" fontId="1" fillId="0" borderId="14" xfId="0" applyFont="1" applyBorder="1"/>
    <xf numFmtId="0" fontId="1" fillId="0" borderId="0" xfId="0" applyFont="1" applyFill="1" applyBorder="1"/>
    <xf numFmtId="0" fontId="1" fillId="0" borderId="2" xfId="0" applyFont="1" applyBorder="1"/>
    <xf numFmtId="0" fontId="1" fillId="0" borderId="3" xfId="0" applyFont="1" applyBorder="1"/>
    <xf numFmtId="0" fontId="2" fillId="0" borderId="4" xfId="0" applyFont="1" applyBorder="1"/>
    <xf numFmtId="0" fontId="1" fillId="0" borderId="2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2" fillId="0" borderId="14" xfId="0" applyFont="1" applyBorder="1"/>
    <xf numFmtId="0" fontId="0" fillId="0" borderId="5" xfId="0" applyNumberFormat="1" applyBorder="1"/>
    <xf numFmtId="0" fontId="1" fillId="0" borderId="9" xfId="0" applyFont="1" applyBorder="1"/>
    <xf numFmtId="167" fontId="0" fillId="0" borderId="0" xfId="0" applyNumberFormat="1"/>
    <xf numFmtId="167" fontId="0" fillId="0" borderId="6" xfId="0" applyNumberFormat="1" applyBorder="1"/>
    <xf numFmtId="0" fontId="0" fillId="0" borderId="6" xfId="0" applyNumberFormat="1" applyBorder="1"/>
    <xf numFmtId="164" fontId="0" fillId="0" borderId="5" xfId="0" applyNumberFormat="1" applyBorder="1"/>
    <xf numFmtId="0" fontId="3" fillId="0" borderId="0" xfId="0" applyFont="1"/>
    <xf numFmtId="0" fontId="3" fillId="0" borderId="7" xfId="0" applyFont="1" applyBorder="1"/>
    <xf numFmtId="0" fontId="8" fillId="0" borderId="16" xfId="0" applyFont="1" applyBorder="1" applyAlignment="1">
      <alignment horizontal="left" vertical="center" wrapText="1"/>
    </xf>
    <xf numFmtId="0" fontId="8" fillId="0" borderId="17" xfId="0" applyFont="1" applyBorder="1" applyAlignment="1">
      <alignment horizontal="left" vertical="center" wrapText="1"/>
    </xf>
    <xf numFmtId="0" fontId="5" fillId="0" borderId="18" xfId="0" applyFont="1" applyBorder="1" applyAlignment="1">
      <alignment horizontal="left" vertical="center" wrapText="1"/>
    </xf>
    <xf numFmtId="0" fontId="0" fillId="0" borderId="0" xfId="0" applyFill="1" applyBorder="1"/>
    <xf numFmtId="2" fontId="0" fillId="0" borderId="4" xfId="0" applyNumberFormat="1" applyBorder="1"/>
    <xf numFmtId="0" fontId="0" fillId="0" borderId="0" xfId="0" applyBorder="1" applyAlignment="1">
      <alignment horizontal="center"/>
    </xf>
    <xf numFmtId="0" fontId="0" fillId="0" borderId="11" xfId="0" applyFill="1" applyBorder="1"/>
    <xf numFmtId="0" fontId="1" fillId="0" borderId="4" xfId="0" applyFont="1" applyBorder="1"/>
    <xf numFmtId="0" fontId="1" fillId="0" borderId="19" xfId="0" applyFont="1" applyBorder="1"/>
    <xf numFmtId="2" fontId="0" fillId="0" borderId="2" xfId="0" applyNumberFormat="1" applyBorder="1"/>
    <xf numFmtId="2" fontId="0" fillId="0" borderId="3" xfId="0" applyNumberFormat="1" applyBorder="1"/>
    <xf numFmtId="2" fontId="0" fillId="0" borderId="3" xfId="0" applyNumberFormat="1" applyFill="1" applyBorder="1"/>
    <xf numFmtId="2" fontId="0" fillId="0" borderId="4" xfId="0" applyNumberFormat="1" applyFill="1" applyBorder="1"/>
    <xf numFmtId="2" fontId="0" fillId="0" borderId="0" xfId="0" applyNumberFormat="1" applyFill="1" applyBorder="1"/>
    <xf numFmtId="2" fontId="0" fillId="0" borderId="6" xfId="0" applyNumberFormat="1" applyFill="1" applyBorder="1"/>
    <xf numFmtId="2" fontId="0" fillId="0" borderId="7" xfId="0" applyNumberFormat="1" applyBorder="1"/>
    <xf numFmtId="11" fontId="0" fillId="0" borderId="0" xfId="0" applyNumberFormat="1"/>
    <xf numFmtId="0" fontId="1" fillId="0" borderId="5" xfId="0" applyFont="1" applyFill="1" applyBorder="1" applyAlignment="1">
      <alignment horizontal="left"/>
    </xf>
    <xf numFmtId="0" fontId="2" fillId="0" borderId="10" xfId="0" applyFont="1" applyBorder="1"/>
    <xf numFmtId="166" fontId="0" fillId="0" borderId="10" xfId="0" applyNumberFormat="1" applyBorder="1"/>
    <xf numFmtId="166" fontId="0" fillId="0" borderId="11" xfId="0" applyNumberFormat="1" applyBorder="1"/>
    <xf numFmtId="166" fontId="0" fillId="0" borderId="12" xfId="0" applyNumberFormat="1" applyBorder="1"/>
    <xf numFmtId="11" fontId="0" fillId="0" borderId="0" xfId="0" applyNumberFormat="1" applyBorder="1"/>
    <xf numFmtId="0" fontId="1" fillId="0" borderId="0" xfId="0" applyFont="1" applyFill="1" applyBorder="1" applyAlignment="1">
      <alignment horizontal="left"/>
    </xf>
    <xf numFmtId="167" fontId="10" fillId="0" borderId="0" xfId="0" applyNumberFormat="1" applyFont="1"/>
    <xf numFmtId="168" fontId="0" fillId="0" borderId="0" xfId="2" applyNumberFormat="1" applyFont="1"/>
    <xf numFmtId="0" fontId="5" fillId="0" borderId="16" xfId="0" applyFont="1" applyBorder="1" applyAlignment="1">
      <alignment horizontal="left" vertical="center" wrapText="1"/>
    </xf>
    <xf numFmtId="0" fontId="8" fillId="0" borderId="16" xfId="0" applyFont="1" applyBorder="1" applyAlignment="1">
      <alignment horizontal="left" vertical="center" wrapText="1"/>
    </xf>
    <xf numFmtId="0" fontId="8" fillId="0" borderId="17" xfId="0" applyFont="1" applyBorder="1" applyAlignment="1">
      <alignment horizontal="left" vertical="center" wrapText="1"/>
    </xf>
    <xf numFmtId="0" fontId="5" fillId="0" borderId="18" xfId="0" applyFont="1" applyBorder="1" applyAlignment="1">
      <alignment horizontal="left" vertical="center" wrapText="1"/>
    </xf>
    <xf numFmtId="0" fontId="1" fillId="2" borderId="13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5" xfId="0" applyFont="1" applyBorder="1" applyAlignment="1">
      <alignment horizontal="center"/>
    </xf>
  </cellXfs>
  <cellStyles count="3">
    <cellStyle name="Normal 2" xfId="1"/>
    <cellStyle name="Обычный" xfId="0" builtinId="0"/>
    <cellStyle name="Процентный" xfId="2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ns/nf=f(PTE)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Vytazky!$A$3:$A$8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</c:numCache>
            </c:numRef>
          </c:xVal>
          <c:yVal>
            <c:numRef>
              <c:f>Vytazky!$C$3:$C$8</c:f>
              <c:numCache>
                <c:formatCode>General</c:formatCode>
                <c:ptCount val="6"/>
                <c:pt idx="0">
                  <c:v>1.2</c:v>
                </c:pt>
                <c:pt idx="1">
                  <c:v>0.36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252416"/>
        <c:axId val="152253952"/>
      </c:scatterChart>
      <c:valAx>
        <c:axId val="152252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2253952"/>
        <c:crosses val="autoZero"/>
        <c:crossBetween val="midCat"/>
      </c:valAx>
      <c:valAx>
        <c:axId val="152253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225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Y_B=f(PTE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Vytazky!$A$3:$A$8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</c:numCache>
            </c:numRef>
          </c:xVal>
          <c:yVal>
            <c:numRef>
              <c:f>Vytazky!$E$3:$E$8</c:f>
              <c:numCache>
                <c:formatCode>0.0000%</c:formatCode>
                <c:ptCount val="6"/>
                <c:pt idx="0">
                  <c:v>0.97319815661960429</c:v>
                </c:pt>
                <c:pt idx="1">
                  <c:v>0.99030742097478597</c:v>
                </c:pt>
                <c:pt idx="2">
                  <c:v>0.9979007815220996</c:v>
                </c:pt>
                <c:pt idx="3">
                  <c:v>0.9996804952484204</c:v>
                </c:pt>
                <c:pt idx="4">
                  <c:v>0.999955712509774</c:v>
                </c:pt>
                <c:pt idx="5">
                  <c:v>0.99999856822041333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278144"/>
        <c:axId val="152279680"/>
      </c:scatterChart>
      <c:valAx>
        <c:axId val="152278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2279680"/>
        <c:crosses val="autoZero"/>
        <c:crossBetween val="midCat"/>
      </c:valAx>
      <c:valAx>
        <c:axId val="152279680"/>
        <c:scaling>
          <c:orientation val="minMax"/>
          <c:max val="1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52278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Vytazky!$D$2</c:f>
          <c:strCache>
            <c:ptCount val="1"/>
            <c:pt idx="0">
              <c:v>Ya v extrakte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Vytazky!$A$3:$A$8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</c:numCache>
            </c:numRef>
          </c:xVal>
          <c:yVal>
            <c:numRef>
              <c:f>Vytazky!$D$3:$D$8</c:f>
              <c:numCache>
                <c:formatCode>0.0000%</c:formatCode>
                <c:ptCount val="6"/>
                <c:pt idx="0">
                  <c:v>0.18239062135830861</c:v>
                </c:pt>
                <c:pt idx="1">
                  <c:v>0.10710030565808287</c:v>
                </c:pt>
                <c:pt idx="2">
                  <c:v>9.9670893249547129E-2</c:v>
                </c:pt>
                <c:pt idx="3">
                  <c:v>9.9806409682483041E-2</c:v>
                </c:pt>
                <c:pt idx="4">
                  <c:v>9.9826632965374779E-2</c:v>
                </c:pt>
                <c:pt idx="5">
                  <c:v>9.6371108859619359E-2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761088"/>
        <c:axId val="89419136"/>
      </c:scatterChart>
      <c:valAx>
        <c:axId val="110761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9419136"/>
        <c:crosses val="autoZero"/>
        <c:crossBetween val="midCat"/>
      </c:valAx>
      <c:valAx>
        <c:axId val="89419136"/>
        <c:scaling>
          <c:orientation val="minMax"/>
          <c:max val="0.2"/>
          <c:min val="9.0000000000000024E-2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107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Vytazky!$F$2</c:f>
          <c:strCache>
            <c:ptCount val="1"/>
            <c:pt idx="0">
              <c:v>Yc straty do Raf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Vytazky!$A$3:$A$8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</c:numCache>
            </c:numRef>
          </c:xVal>
          <c:yVal>
            <c:numRef>
              <c:f>Vytazky!$F$3:$F$8</c:f>
              <c:numCache>
                <c:formatCode>0.0000%</c:formatCode>
                <c:ptCount val="6"/>
                <c:pt idx="0">
                  <c:v>1.8765533371944388E-4</c:v>
                </c:pt>
                <c:pt idx="1">
                  <c:v>4.8187011178687844E-4</c:v>
                </c:pt>
                <c:pt idx="2">
                  <c:v>5.3688871151275639E-4</c:v>
                </c:pt>
                <c:pt idx="3">
                  <c:v>5.1650477122133786E-4</c:v>
                </c:pt>
                <c:pt idx="4">
                  <c:v>5.1350255431998465E-4</c:v>
                </c:pt>
                <c:pt idx="5">
                  <c:v>6.0077637590993645E-4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680896"/>
        <c:axId val="175679360"/>
      </c:scatterChart>
      <c:valAx>
        <c:axId val="175680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5679360"/>
        <c:crosses val="autoZero"/>
        <c:crossBetween val="midCat"/>
      </c:valAx>
      <c:valAx>
        <c:axId val="17567936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75680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581024</xdr:colOff>
      <xdr:row>0</xdr:row>
      <xdr:rowOff>157162</xdr:rowOff>
    </xdr:from>
    <xdr:to>
      <xdr:col>14</xdr:col>
      <xdr:colOff>304799</xdr:colOff>
      <xdr:row>12</xdr:row>
      <xdr:rowOff>66675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71437</xdr:rowOff>
    </xdr:from>
    <xdr:to>
      <xdr:col>6</xdr:col>
      <xdr:colOff>361950</xdr:colOff>
      <xdr:row>25</xdr:row>
      <xdr:rowOff>171450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409575</xdr:colOff>
      <xdr:row>12</xdr:row>
      <xdr:rowOff>100012</xdr:rowOff>
    </xdr:from>
    <xdr:to>
      <xdr:col>14</xdr:col>
      <xdr:colOff>104775</xdr:colOff>
      <xdr:row>26</xdr:row>
      <xdr:rowOff>176212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304800</xdr:colOff>
      <xdr:row>0</xdr:row>
      <xdr:rowOff>147637</xdr:rowOff>
    </xdr:from>
    <xdr:to>
      <xdr:col>22</xdr:col>
      <xdr:colOff>0</xdr:colOff>
      <xdr:row>15</xdr:row>
      <xdr:rowOff>33337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152400</xdr:rowOff>
        </xdr:from>
        <xdr:to>
          <xdr:col>6</xdr:col>
          <xdr:colOff>561975</xdr:colOff>
          <xdr:row>36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NRTL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152400</xdr:rowOff>
        </xdr:from>
        <xdr:to>
          <xdr:col>6</xdr:col>
          <xdr:colOff>561975</xdr:colOff>
          <xdr:row>36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NRTL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40</xdr:row>
          <xdr:rowOff>9525</xdr:rowOff>
        </xdr:from>
        <xdr:to>
          <xdr:col>8</xdr:col>
          <xdr:colOff>76200</xdr:colOff>
          <xdr:row>41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NRTL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152400</xdr:rowOff>
        </xdr:from>
        <xdr:to>
          <xdr:col>6</xdr:col>
          <xdr:colOff>561975</xdr:colOff>
          <xdr:row>36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NRTL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152400</xdr:rowOff>
        </xdr:from>
        <xdr:to>
          <xdr:col>6</xdr:col>
          <xdr:colOff>561975</xdr:colOff>
          <xdr:row>36</xdr:row>
          <xdr:rowOff>133350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NRTL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TBE-methan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BMIM+MTBE LLE"/>
      <sheetName val="BMIM wi=xi"/>
      <sheetName val="MIM"/>
      <sheetName val="MIM LLE"/>
    </sheetNames>
    <definedNames>
      <definedName name="NRTL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2"/>
  <sheetViews>
    <sheetView tabSelected="1" workbookViewId="0">
      <selection activeCell="G6" sqref="G6"/>
    </sheetView>
  </sheetViews>
  <sheetFormatPr defaultRowHeight="15" x14ac:dyDescent="0.25"/>
  <cols>
    <col min="1" max="1" width="15.42578125" bestFit="1" customWidth="1"/>
  </cols>
  <sheetData>
    <row r="2" spans="1:6" x14ac:dyDescent="0.25">
      <c r="A2" t="s">
        <v>118</v>
      </c>
      <c r="B2" t="s">
        <v>131</v>
      </c>
      <c r="C2" t="s">
        <v>119</v>
      </c>
      <c r="D2" t="s">
        <v>122</v>
      </c>
      <c r="E2" t="s">
        <v>116</v>
      </c>
      <c r="F2" t="s">
        <v>123</v>
      </c>
    </row>
    <row r="3" spans="1:6" x14ac:dyDescent="0.25">
      <c r="A3">
        <v>1</v>
      </c>
      <c r="B3">
        <f t="shared" ref="B3:B7" si="0">C3*$B$10</f>
        <v>30</v>
      </c>
      <c r="C3">
        <v>1.2</v>
      </c>
      <c r="D3" s="135">
        <v>0.18239062135830861</v>
      </c>
      <c r="E3" s="135">
        <v>0.97319815661960429</v>
      </c>
      <c r="F3" s="135">
        <v>1.8765533371944388E-4</v>
      </c>
    </row>
    <row r="4" spans="1:6" x14ac:dyDescent="0.25">
      <c r="A4">
        <v>2</v>
      </c>
      <c r="B4">
        <f t="shared" si="0"/>
        <v>9</v>
      </c>
      <c r="C4">
        <v>0.36</v>
      </c>
      <c r="D4" s="135">
        <v>0.10710030565808287</v>
      </c>
      <c r="E4" s="135">
        <v>0.99030742097478597</v>
      </c>
      <c r="F4" s="135">
        <v>4.8187011178687844E-4</v>
      </c>
    </row>
    <row r="5" spans="1:6" x14ac:dyDescent="0.25">
      <c r="A5">
        <v>3</v>
      </c>
      <c r="B5">
        <f t="shared" si="0"/>
        <v>7.0000000000000009</v>
      </c>
      <c r="C5">
        <v>0.28000000000000003</v>
      </c>
      <c r="D5" s="135">
        <v>9.9670893249547129E-2</v>
      </c>
      <c r="E5" s="135">
        <v>0.9979007815220996</v>
      </c>
      <c r="F5" s="135">
        <v>5.3688871151275639E-4</v>
      </c>
    </row>
    <row r="6" spans="1:6" x14ac:dyDescent="0.25">
      <c r="A6">
        <v>4</v>
      </c>
      <c r="B6">
        <f t="shared" si="0"/>
        <v>7.0000000000000009</v>
      </c>
      <c r="C6">
        <v>0.28000000000000003</v>
      </c>
      <c r="D6" s="135">
        <v>9.9806409682483041E-2</v>
      </c>
      <c r="E6" s="135">
        <v>0.9996804952484204</v>
      </c>
      <c r="F6" s="135">
        <v>5.1650477122133786E-4</v>
      </c>
    </row>
    <row r="7" spans="1:6" x14ac:dyDescent="0.25">
      <c r="A7">
        <v>5</v>
      </c>
      <c r="B7">
        <f t="shared" si="0"/>
        <v>7.0000000000000009</v>
      </c>
      <c r="C7">
        <v>0.28000000000000003</v>
      </c>
      <c r="D7" s="135">
        <v>9.9826632965374779E-2</v>
      </c>
      <c r="E7" s="135">
        <v>0.999955712509774</v>
      </c>
      <c r="F7" s="135">
        <v>5.1350255431998465E-4</v>
      </c>
    </row>
    <row r="8" spans="1:6" x14ac:dyDescent="0.25">
      <c r="A8">
        <v>8</v>
      </c>
      <c r="B8">
        <f>C8*$B$10</f>
        <v>6</v>
      </c>
      <c r="C8">
        <v>0.24</v>
      </c>
      <c r="D8" s="135">
        <v>9.6371108859619359E-2</v>
      </c>
      <c r="E8" s="135">
        <v>0.99999856822041333</v>
      </c>
      <c r="F8" s="135">
        <v>6.0077637590993645E-4</v>
      </c>
    </row>
    <row r="10" spans="1:6" x14ac:dyDescent="0.25">
      <c r="A10" t="s">
        <v>130</v>
      </c>
      <c r="B10">
        <v>25</v>
      </c>
    </row>
    <row r="11" spans="1:6" x14ac:dyDescent="0.25">
      <c r="A11" t="s">
        <v>28</v>
      </c>
      <c r="B11">
        <v>0.35</v>
      </c>
      <c r="C11" t="s">
        <v>30</v>
      </c>
      <c r="D11" s="135">
        <v>0</v>
      </c>
    </row>
    <row r="12" spans="1:6" x14ac:dyDescent="0.25">
      <c r="A12" t="s">
        <v>29</v>
      </c>
      <c r="B12">
        <v>0.65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"/>
  <dimension ref="A1:AY57"/>
  <sheetViews>
    <sheetView topLeftCell="AC16" zoomScale="85" zoomScaleNormal="85" workbookViewId="0">
      <selection activeCell="AR28" sqref="AR28"/>
    </sheetView>
  </sheetViews>
  <sheetFormatPr defaultRowHeight="15" x14ac:dyDescent="0.25"/>
  <cols>
    <col min="2" max="2" width="13.85546875" bestFit="1" customWidth="1"/>
    <col min="3" max="3" width="14" bestFit="1" customWidth="1"/>
    <col min="25" max="25" width="13.42578125" bestFit="1" customWidth="1"/>
    <col min="31" max="31" width="10" bestFit="1" customWidth="1"/>
    <col min="36" max="36" width="11" bestFit="1" customWidth="1"/>
    <col min="37" max="37" width="12.85546875" bestFit="1" customWidth="1"/>
    <col min="44" max="44" width="11" bestFit="1" customWidth="1"/>
  </cols>
  <sheetData>
    <row r="1" spans="1:51" ht="15.75" thickBot="1" x14ac:dyDescent="0.3">
      <c r="P1" s="142" t="s">
        <v>26</v>
      </c>
      <c r="Q1" s="143"/>
      <c r="R1" s="144"/>
      <c r="S1" s="10" t="s">
        <v>128</v>
      </c>
      <c r="V1" t="s">
        <v>31</v>
      </c>
      <c r="Z1">
        <v>1</v>
      </c>
      <c r="AA1">
        <v>2</v>
      </c>
      <c r="AB1">
        <v>3</v>
      </c>
      <c r="AC1">
        <v>4</v>
      </c>
      <c r="AD1">
        <v>5</v>
      </c>
      <c r="AE1" s="18" t="s">
        <v>23</v>
      </c>
      <c r="AG1" s="17" t="s">
        <v>27</v>
      </c>
      <c r="AN1" s="17" t="s">
        <v>28</v>
      </c>
    </row>
    <row r="2" spans="1:51" ht="15.75" thickBot="1" x14ac:dyDescent="0.3">
      <c r="A2" t="s">
        <v>0</v>
      </c>
      <c r="B2" t="s">
        <v>3</v>
      </c>
      <c r="D2" s="23"/>
      <c r="E2" s="23"/>
      <c r="F2" s="23"/>
      <c r="G2" s="23"/>
      <c r="H2" s="23"/>
      <c r="I2" s="23"/>
      <c r="J2" s="23"/>
      <c r="K2" s="23"/>
      <c r="L2" s="23"/>
      <c r="P2" s="16" t="s">
        <v>0</v>
      </c>
      <c r="Q2" s="14" t="s">
        <v>1</v>
      </c>
      <c r="R2" s="15" t="s">
        <v>2</v>
      </c>
      <c r="S2" s="13" t="s">
        <v>32</v>
      </c>
      <c r="U2" s="16" t="s">
        <v>62</v>
      </c>
      <c r="V2" s="14" t="s">
        <v>63</v>
      </c>
      <c r="W2" s="15" t="s">
        <v>64</v>
      </c>
      <c r="Y2" s="17" t="s">
        <v>19</v>
      </c>
      <c r="Z2" s="1">
        <f>S$9*$U$4+S$4</f>
        <v>10.495748222107421</v>
      </c>
      <c r="AA2" s="2">
        <f>-$S$10*$U$5</f>
        <v>-8.9562616406168957E-2</v>
      </c>
      <c r="AB2" s="2">
        <v>0</v>
      </c>
      <c r="AC2" s="2">
        <v>0</v>
      </c>
      <c r="AD2" s="2">
        <v>0</v>
      </c>
      <c r="AE2" s="11">
        <f>$S$3*$P$3</f>
        <v>8.75</v>
      </c>
      <c r="AH2" s="1">
        <f t="array" ref="AH2:AL6">MINVERSE(Z2:AD6)</f>
        <v>9.6233763054703284E-2</v>
      </c>
      <c r="AI2" s="2">
        <v>1.0765789356732738E-3</v>
      </c>
      <c r="AJ2" s="2">
        <v>3.2332150496652991E-6</v>
      </c>
      <c r="AK2" s="2">
        <v>8.1096215179804477E-9</v>
      </c>
      <c r="AL2" s="3">
        <v>1.9951157209818843E-11</v>
      </c>
      <c r="AN2" s="53">
        <f t="array" ref="AN2:AN6">MMULT(AH2:AL6,AE2:AE6)</f>
        <v>0.84204542672865368</v>
      </c>
    </row>
    <row r="3" spans="1:51" x14ac:dyDescent="0.25">
      <c r="A3" t="s">
        <v>1</v>
      </c>
      <c r="B3" t="s">
        <v>4</v>
      </c>
      <c r="D3" s="23"/>
      <c r="E3" s="23"/>
      <c r="F3" s="23"/>
      <c r="G3" s="23"/>
      <c r="H3" s="23"/>
      <c r="I3" s="23"/>
      <c r="J3" s="23"/>
      <c r="K3" s="23"/>
      <c r="L3" s="23"/>
      <c r="O3" s="11" t="s">
        <v>7</v>
      </c>
      <c r="P3" s="59">
        <f>AQ24</f>
        <v>0.35</v>
      </c>
      <c r="Q3" s="59">
        <f t="shared" ref="Q3:R3" si="0">AR24</f>
        <v>0.65</v>
      </c>
      <c r="R3" s="59">
        <f t="shared" si="0"/>
        <v>0</v>
      </c>
      <c r="S3" s="90">
        <f>AP24</f>
        <v>25</v>
      </c>
      <c r="U3" s="85" t="s">
        <v>65</v>
      </c>
      <c r="V3" s="86" t="s">
        <v>65</v>
      </c>
      <c r="W3" s="87" t="s">
        <v>65</v>
      </c>
      <c r="Z3" s="66">
        <f>-$S$4</f>
        <v>-9.3308044168879807</v>
      </c>
      <c r="AA3" s="5">
        <f>$S$10*$U$5+$S$5</f>
        <v>8.0297129480181795</v>
      </c>
      <c r="AB3" s="5">
        <f>-$S$11*$U$6</f>
        <v>-2.345782429171938E-2</v>
      </c>
      <c r="AC3" s="5">
        <v>0</v>
      </c>
      <c r="AD3" s="5">
        <v>0</v>
      </c>
      <c r="AE3" s="12">
        <v>0</v>
      </c>
      <c r="AH3" s="4">
        <v>0.11216004948485218</v>
      </c>
      <c r="AI3" s="5">
        <v>0.1261631460028759</v>
      </c>
      <c r="AJ3" s="5">
        <v>3.7889704958282266E-4</v>
      </c>
      <c r="AK3" s="5">
        <v>9.5035796233666808E-7</v>
      </c>
      <c r="AL3" s="6">
        <v>2.3380549967890219E-9</v>
      </c>
      <c r="AN3" s="54">
        <v>0.98140043299245661</v>
      </c>
      <c r="AV3" s="25"/>
      <c r="AW3" s="25"/>
      <c r="AX3" s="25"/>
      <c r="AY3" s="25"/>
    </row>
    <row r="4" spans="1:51" x14ac:dyDescent="0.25">
      <c r="A4" t="s">
        <v>2</v>
      </c>
      <c r="B4" t="s">
        <v>5</v>
      </c>
      <c r="D4" s="23"/>
      <c r="E4" s="23"/>
      <c r="F4" s="23"/>
      <c r="G4" s="23"/>
      <c r="H4" s="23"/>
      <c r="I4" s="23"/>
      <c r="J4" s="23"/>
      <c r="K4" s="23"/>
      <c r="L4" s="23"/>
      <c r="O4" s="12" t="s">
        <v>8</v>
      </c>
      <c r="P4" s="61">
        <f>AI29</f>
        <v>0.84204542672865368</v>
      </c>
      <c r="Q4" s="62">
        <f t="shared" ref="Q4:R8" si="1">AJ29</f>
        <v>0.15649632203148184</v>
      </c>
      <c r="R4" s="62">
        <f t="shared" si="1"/>
        <v>1.4582512398644391E-3</v>
      </c>
      <c r="S4" s="88">
        <f>AQ29</f>
        <v>9.3308044168879807</v>
      </c>
      <c r="U4" s="66">
        <f>AS29</f>
        <v>4.2785950043349584E-2</v>
      </c>
      <c r="V4" s="66">
        <f t="shared" ref="V4:W8" si="2">AT29</f>
        <v>3.8136721091876451</v>
      </c>
      <c r="W4" s="66">
        <f t="shared" si="2"/>
        <v>251.77186062257491</v>
      </c>
      <c r="Z4" s="4">
        <v>0</v>
      </c>
      <c r="AA4" s="68">
        <f>-$S$5</f>
        <v>-7.9401503316120108</v>
      </c>
      <c r="AB4" s="5">
        <f>$S$11*$U$6+$S$6</f>
        <v>7.830444566155033</v>
      </c>
      <c r="AC4" s="5">
        <f>-$S$12*$U$7</f>
        <v>-1.9548263091563135E-2</v>
      </c>
      <c r="AD4" s="5">
        <v>0</v>
      </c>
      <c r="AE4" s="12">
        <v>0</v>
      </c>
      <c r="AH4" s="4">
        <v>0.11401655162216703</v>
      </c>
      <c r="AI4" s="5">
        <v>0.12825143101416542</v>
      </c>
      <c r="AJ4" s="5">
        <v>0.12841199636738018</v>
      </c>
      <c r="AK4" s="5">
        <v>3.2208581022642946E-4</v>
      </c>
      <c r="AL4" s="6">
        <v>7.9239020225935827E-7</v>
      </c>
      <c r="AN4" s="54">
        <v>0.99764482669396159</v>
      </c>
      <c r="AV4" s="25"/>
      <c r="AW4" s="25"/>
      <c r="AX4" s="25"/>
      <c r="AY4" s="25"/>
    </row>
    <row r="5" spans="1:51" x14ac:dyDescent="0.25">
      <c r="O5" s="12" t="s">
        <v>9</v>
      </c>
      <c r="P5" s="61">
        <f t="shared" ref="P5:P8" si="3">AI30</f>
        <v>0.9814004329924565</v>
      </c>
      <c r="Q5" s="62">
        <f t="shared" si="1"/>
        <v>1.8063711535249834E-2</v>
      </c>
      <c r="R5" s="62">
        <f t="shared" si="1"/>
        <v>5.358554722936738E-4</v>
      </c>
      <c r="S5" s="88">
        <f t="shared" ref="S5" si="4">AQ30</f>
        <v>7.9401503316120108</v>
      </c>
      <c r="U5" s="66">
        <f t="shared" ref="U5:U8" si="5">AS30</f>
        <v>7.7489346114324167E-3</v>
      </c>
      <c r="V5" s="66">
        <f t="shared" si="2"/>
        <v>6.9934210531552949</v>
      </c>
      <c r="W5" s="66">
        <f t="shared" si="2"/>
        <v>1616.2344073137019</v>
      </c>
      <c r="Z5" s="4">
        <v>0</v>
      </c>
      <c r="AA5" s="5">
        <v>0</v>
      </c>
      <c r="AB5" s="68">
        <f>-$S$6</f>
        <v>-7.8069867418633141</v>
      </c>
      <c r="AC5" s="5">
        <f>$S$12*$U$7+$S$7</f>
        <v>7.8128459619914246</v>
      </c>
      <c r="AD5" s="5">
        <f>-$S$13*$U$8</f>
        <v>-1.9169549365609984E-2</v>
      </c>
      <c r="AE5" s="12">
        <v>0</v>
      </c>
      <c r="AH5" s="4">
        <v>0.11421132303707263</v>
      </c>
      <c r="AI5" s="5">
        <v>0.1284705194914689</v>
      </c>
      <c r="AJ5" s="5">
        <v>0.12863135913416693</v>
      </c>
      <c r="AK5" s="5">
        <v>0.128631842412569</v>
      </c>
      <c r="AL5" s="6">
        <v>3.1645793881647272E-4</v>
      </c>
      <c r="AN5" s="54">
        <v>0.99934907657438543</v>
      </c>
      <c r="AV5" s="33"/>
      <c r="AW5" s="33"/>
      <c r="AX5" s="33"/>
      <c r="AY5" s="33"/>
    </row>
    <row r="6" spans="1:51" ht="15.75" thickBot="1" x14ac:dyDescent="0.3">
      <c r="O6" s="12" t="s">
        <v>10</v>
      </c>
      <c r="P6" s="61">
        <f t="shared" si="3"/>
        <v>0.99764482669396148</v>
      </c>
      <c r="Q6" s="62">
        <f t="shared" si="1"/>
        <v>1.8913666198813075E-3</v>
      </c>
      <c r="R6" s="62">
        <f t="shared" si="1"/>
        <v>4.6380668615719496E-4</v>
      </c>
      <c r="S6" s="88">
        <f t="shared" ref="S6" si="6">AQ31</f>
        <v>7.8069867418633141</v>
      </c>
      <c r="U6" s="66">
        <f t="shared" si="5"/>
        <v>2.3071602373807352E-3</v>
      </c>
      <c r="V6" s="66">
        <f t="shared" si="2"/>
        <v>7.4510921964772558</v>
      </c>
      <c r="W6" s="66">
        <f t="shared" si="2"/>
        <v>2120.7230422059524</v>
      </c>
      <c r="Z6" s="7">
        <v>0</v>
      </c>
      <c r="AA6" s="8">
        <v>0</v>
      </c>
      <c r="AB6" s="8">
        <v>0</v>
      </c>
      <c r="AC6" s="67">
        <f>-$S$7</f>
        <v>-7.7932976988998615</v>
      </c>
      <c r="AD6" s="8">
        <f>$S$13*$U$8+$S$8</f>
        <v>7.7919184531728094</v>
      </c>
      <c r="AE6" s="13">
        <f>$S$14*$P$14</f>
        <v>0</v>
      </c>
      <c r="AH6" s="7">
        <v>0.1142315395575902</v>
      </c>
      <c r="AI6" s="8">
        <v>0.12849326002913311</v>
      </c>
      <c r="AJ6" s="8">
        <v>0.12865412814202001</v>
      </c>
      <c r="AK6" s="8">
        <v>0.12865461150596705</v>
      </c>
      <c r="AL6" s="9">
        <v>0.12865461271840961</v>
      </c>
      <c r="AN6" s="54">
        <v>0.99952597112891428</v>
      </c>
      <c r="AO6" s="5"/>
      <c r="AP6" s="5"/>
      <c r="AQ6" s="5"/>
      <c r="AR6" s="5"/>
      <c r="AS6" s="5"/>
      <c r="AV6" s="33"/>
      <c r="AW6" s="33"/>
      <c r="AX6" s="33"/>
      <c r="AY6" s="33"/>
    </row>
    <row r="7" spans="1:51" ht="15.75" thickBot="1" x14ac:dyDescent="0.3">
      <c r="B7" s="140" t="s">
        <v>7</v>
      </c>
      <c r="C7" s="141"/>
      <c r="D7" s="145" t="s">
        <v>8</v>
      </c>
      <c r="E7" s="146"/>
      <c r="F7" s="145" t="s">
        <v>9</v>
      </c>
      <c r="G7" s="146"/>
      <c r="H7" s="145" t="s">
        <v>10</v>
      </c>
      <c r="I7" s="146"/>
      <c r="J7" s="145" t="s">
        <v>11</v>
      </c>
      <c r="K7" s="146"/>
      <c r="L7" s="140" t="s">
        <v>12</v>
      </c>
      <c r="M7" s="141"/>
      <c r="O7" s="12" t="s">
        <v>11</v>
      </c>
      <c r="P7" s="61">
        <f t="shared" si="3"/>
        <v>0.99934907657438543</v>
      </c>
      <c r="Q7" s="62">
        <f t="shared" si="1"/>
        <v>1.9440776527489408E-4</v>
      </c>
      <c r="R7" s="62">
        <f t="shared" si="1"/>
        <v>4.5651566033969547E-4</v>
      </c>
      <c r="S7" s="88">
        <f t="shared" ref="S7" si="7">AQ32</f>
        <v>7.7932976988998615</v>
      </c>
      <c r="U7" s="66">
        <f t="shared" si="5"/>
        <v>1.9481562433594983E-3</v>
      </c>
      <c r="V7" s="66">
        <f t="shared" si="2"/>
        <v>7.4966091973724183</v>
      </c>
      <c r="W7" s="66">
        <f t="shared" si="2"/>
        <v>2183.0482487159456</v>
      </c>
      <c r="AU7" s="33"/>
      <c r="AV7" s="33"/>
      <c r="AW7" s="33"/>
      <c r="AX7" s="33"/>
      <c r="AY7" s="33"/>
    </row>
    <row r="8" spans="1:51" ht="15.75" thickBot="1" x14ac:dyDescent="0.3">
      <c r="A8" s="19" t="s">
        <v>6</v>
      </c>
      <c r="B8" s="19" t="s">
        <v>25</v>
      </c>
      <c r="C8" s="22" t="s">
        <v>26</v>
      </c>
      <c r="D8" s="19" t="s">
        <v>25</v>
      </c>
      <c r="E8" s="22" t="s">
        <v>26</v>
      </c>
      <c r="F8" s="19" t="s">
        <v>25</v>
      </c>
      <c r="G8" s="22" t="s">
        <v>26</v>
      </c>
      <c r="H8" s="19" t="s">
        <v>25</v>
      </c>
      <c r="I8" s="22" t="s">
        <v>26</v>
      </c>
      <c r="J8" s="19" t="s">
        <v>25</v>
      </c>
      <c r="K8" s="22" t="s">
        <v>26</v>
      </c>
      <c r="L8" s="19" t="s">
        <v>25</v>
      </c>
      <c r="M8" s="22" t="s">
        <v>26</v>
      </c>
      <c r="O8" s="12" t="s">
        <v>12</v>
      </c>
      <c r="P8" s="63">
        <f t="shared" si="3"/>
        <v>0.99952597112891417</v>
      </c>
      <c r="Q8" s="64">
        <f t="shared" si="1"/>
        <v>1.8267141919972515E-5</v>
      </c>
      <c r="R8" s="64">
        <f t="shared" si="1"/>
        <v>4.5576172916578282E-4</v>
      </c>
      <c r="S8" s="88">
        <f t="shared" ref="S8" si="8">AQ33</f>
        <v>7.7727489038071997</v>
      </c>
      <c r="U8" s="66">
        <f t="shared" si="5"/>
        <v>1.9130239029421059E-3</v>
      </c>
      <c r="V8" s="66">
        <f t="shared" si="2"/>
        <v>7.5013155267440537</v>
      </c>
      <c r="W8" s="66">
        <f t="shared" si="2"/>
        <v>2189.6328530193505</v>
      </c>
      <c r="Z8">
        <v>1</v>
      </c>
      <c r="AA8">
        <v>2</v>
      </c>
      <c r="AB8">
        <v>3</v>
      </c>
      <c r="AC8">
        <v>4</v>
      </c>
      <c r="AD8">
        <v>5</v>
      </c>
      <c r="AE8" s="17" t="s">
        <v>22</v>
      </c>
      <c r="AG8" s="17" t="s">
        <v>27</v>
      </c>
      <c r="AN8" s="17" t="s">
        <v>29</v>
      </c>
    </row>
    <row r="9" spans="1:51" ht="15.75" thickBot="1" x14ac:dyDescent="0.3">
      <c r="A9" s="20" t="s">
        <v>0</v>
      </c>
      <c r="B9" s="102">
        <f>$B$12*C9</f>
        <v>8.75</v>
      </c>
      <c r="C9" s="104">
        <v>0.35</v>
      </c>
      <c r="D9" s="107">
        <f t="shared" ref="D9:D10" si="9">$D$12*E9</f>
        <v>7.8551713856480232</v>
      </c>
      <c r="E9" s="105">
        <v>0.84185361033083228</v>
      </c>
      <c r="F9" s="107">
        <f t="shared" ref="F9:F10" si="10">$F$12*G9</f>
        <v>7.7920514575194941</v>
      </c>
      <c r="G9" s="105">
        <v>0.9813481019996696</v>
      </c>
      <c r="H9" s="107">
        <f t="shared" ref="H9:H10" si="11">$H$12*I9</f>
        <v>7.7885560948207182</v>
      </c>
      <c r="I9" s="105">
        <v>0.99763921117685961</v>
      </c>
      <c r="J9" s="107">
        <f t="shared" ref="J9:J10" si="12">$J$12*K9</f>
        <v>7.7882203293982073</v>
      </c>
      <c r="K9" s="105">
        <v>0.99934849537412496</v>
      </c>
      <c r="L9" s="107">
        <f t="shared" ref="L9:L10" si="13">$L$12*M9</f>
        <v>7.7690639711507128</v>
      </c>
      <c r="M9" s="105">
        <v>0.99952591641617528</v>
      </c>
      <c r="O9" s="1" t="s">
        <v>13</v>
      </c>
      <c r="P9" s="59">
        <f>AM29</f>
        <v>3.6027713562243158E-2</v>
      </c>
      <c r="Q9" s="60">
        <f t="shared" ref="Q9:R13" si="14">AN29</f>
        <v>0.59682565852191027</v>
      </c>
      <c r="R9" s="60">
        <f t="shared" si="14"/>
        <v>0.36714662791584662</v>
      </c>
      <c r="S9" s="88">
        <f>AR29</f>
        <v>27.227251096192802</v>
      </c>
      <c r="Y9" s="17" t="s">
        <v>20</v>
      </c>
      <c r="Z9" s="1">
        <f>S$9*$V$4+S$4</f>
        <v>113.16661253228722</v>
      </c>
      <c r="AA9" s="2">
        <f>-$S$10*$V$5</f>
        <v>-80.830348758716781</v>
      </c>
      <c r="AB9" s="2">
        <v>0</v>
      </c>
      <c r="AC9" s="2">
        <v>0</v>
      </c>
      <c r="AD9" s="2">
        <v>0</v>
      </c>
      <c r="AE9" s="11">
        <f>$S$3*$Q$3</f>
        <v>16.25</v>
      </c>
      <c r="AH9" s="1">
        <f t="array" ref="AH9:AL13">MINVERSE(Z9:AD13)</f>
        <v>9.6305049346683824E-3</v>
      </c>
      <c r="AI9" s="2">
        <v>9.6295685149367025E-3</v>
      </c>
      <c r="AJ9" s="2">
        <v>9.6200358070741374E-3</v>
      </c>
      <c r="AK9" s="2">
        <v>9.5275313305312713E-3</v>
      </c>
      <c r="AL9" s="3">
        <v>8.6346561606350444E-3</v>
      </c>
      <c r="AN9">
        <f t="array" ref="AN9:AN13">MMULT(AH9:AL13,AE9:AE13)</f>
        <v>0.1564957051883612</v>
      </c>
    </row>
    <row r="10" spans="1:51" x14ac:dyDescent="0.25">
      <c r="A10" s="20" t="s">
        <v>1</v>
      </c>
      <c r="B10" s="102">
        <f t="shared" ref="B10:B11" si="15">$B$12*C10</f>
        <v>16.25</v>
      </c>
      <c r="C10" s="104">
        <v>0.65</v>
      </c>
      <c r="D10" s="107">
        <f t="shared" si="9"/>
        <v>1.4620100849841398</v>
      </c>
      <c r="E10" s="105">
        <v>0.15668639269064766</v>
      </c>
      <c r="F10" s="107">
        <f t="shared" si="10"/>
        <v>0.1438421785388099</v>
      </c>
      <c r="G10" s="105">
        <v>1.8115800398152793E-2</v>
      </c>
      <c r="H10" s="107">
        <f t="shared" si="11"/>
        <v>1.4809519123599438E-2</v>
      </c>
      <c r="I10" s="105">
        <v>1.8969571248515801E-3</v>
      </c>
      <c r="J10" s="107">
        <f t="shared" si="12"/>
        <v>1.5195806664337773E-3</v>
      </c>
      <c r="K10" s="105">
        <v>1.949855792944094E-4</v>
      </c>
      <c r="L10" s="107">
        <f t="shared" si="13"/>
        <v>1.4240937857338962E-4</v>
      </c>
      <c r="M10" s="105">
        <v>1.8321623448254651E-5</v>
      </c>
      <c r="O10" s="4" t="s">
        <v>14</v>
      </c>
      <c r="P10" s="61">
        <f t="shared" ref="P10:P13" si="16">AM30</f>
        <v>7.6048077828900062E-3</v>
      </c>
      <c r="Q10" s="62">
        <f t="shared" si="14"/>
        <v>0.12632714054874034</v>
      </c>
      <c r="R10" s="62">
        <f t="shared" si="14"/>
        <v>0.86606805166836964</v>
      </c>
      <c r="S10" s="88">
        <f>AR30</f>
        <v>11.558055513080784</v>
      </c>
      <c r="Z10" s="66">
        <f>-$S$4</f>
        <v>-9.3308044168879807</v>
      </c>
      <c r="AA10" s="5">
        <f>$S$10*$V$5+$S$5</f>
        <v>88.770499090328798</v>
      </c>
      <c r="AB10" s="5">
        <f>-$S$11*$V$6</f>
        <v>-75.758245437168156</v>
      </c>
      <c r="AC10" s="5">
        <v>0</v>
      </c>
      <c r="AD10" s="5">
        <v>0</v>
      </c>
      <c r="AE10" s="12">
        <v>0</v>
      </c>
      <c r="AH10" s="4">
        <v>1.1116074817406649E-3</v>
      </c>
      <c r="AI10" s="5">
        <v>1.3481887257914814E-2</v>
      </c>
      <c r="AJ10" s="5">
        <v>1.3468540980512415E-2</v>
      </c>
      <c r="AK10" s="5">
        <v>1.333902999342417E-2</v>
      </c>
      <c r="AL10" s="6">
        <v>1.2088959197701544E-2</v>
      </c>
      <c r="AN10">
        <v>1.8063621578285803E-2</v>
      </c>
    </row>
    <row r="11" spans="1:51" ht="15.75" thickBot="1" x14ac:dyDescent="0.3">
      <c r="A11" s="20" t="s">
        <v>2</v>
      </c>
      <c r="B11" s="102">
        <f t="shared" si="15"/>
        <v>0</v>
      </c>
      <c r="C11" s="104">
        <v>0</v>
      </c>
      <c r="D11" s="107">
        <f>$D$12*E11</f>
        <v>1.3622946255818438E-2</v>
      </c>
      <c r="E11" s="105">
        <v>1.4599969785200981E-3</v>
      </c>
      <c r="F11" s="107">
        <f>$F$12*G11</f>
        <v>4.2566955537073443E-3</v>
      </c>
      <c r="G11" s="105">
        <v>5.3609760217765922E-4</v>
      </c>
      <c r="H11" s="107">
        <f>$H$12*I11</f>
        <v>3.6211279189963534E-3</v>
      </c>
      <c r="I11" s="105">
        <v>4.6383169828876757E-4</v>
      </c>
      <c r="J11" s="107">
        <f>$J$12*K11</f>
        <v>3.5577888352203348E-3</v>
      </c>
      <c r="K11" s="105">
        <v>4.5651904658057258E-4</v>
      </c>
      <c r="L11" s="107">
        <f>$L$12*M11</f>
        <v>3.5425232779130902E-3</v>
      </c>
      <c r="M11" s="105">
        <v>4.557619603764523E-4</v>
      </c>
      <c r="O11" s="4" t="s">
        <v>15</v>
      </c>
      <c r="P11" s="61">
        <f t="shared" si="16"/>
        <v>2.3017264751769026E-3</v>
      </c>
      <c r="Q11" s="62">
        <f t="shared" si="14"/>
        <v>1.4092747062075174E-2</v>
      </c>
      <c r="R11" s="62">
        <f t="shared" si="14"/>
        <v>0.9836055264627479</v>
      </c>
      <c r="S11" s="88">
        <f>AR31</f>
        <v>10.167401427804814</v>
      </c>
      <c r="Z11" s="4">
        <v>0</v>
      </c>
      <c r="AA11" s="68">
        <f>-$S$5</f>
        <v>-7.9401503316120108</v>
      </c>
      <c r="AB11" s="5">
        <f>$S$11*$V$6+$S$6</f>
        <v>83.565232179031469</v>
      </c>
      <c r="AC11" s="5">
        <f>-$S$12*$V$7</f>
        <v>-75.222759665393809</v>
      </c>
      <c r="AD11" s="5">
        <v>0</v>
      </c>
      <c r="AE11" s="12">
        <v>0</v>
      </c>
      <c r="AH11" s="4">
        <v>1.1639119827174718E-4</v>
      </c>
      <c r="AI11" s="5">
        <v>1.411625091310234E-3</v>
      </c>
      <c r="AJ11" s="5">
        <v>1.4597043871304076E-2</v>
      </c>
      <c r="AK11" s="5">
        <v>1.4456681410137841E-2</v>
      </c>
      <c r="AL11" s="6">
        <v>1.3101869610270198E-2</v>
      </c>
      <c r="AN11">
        <v>1.8913569719158918E-3</v>
      </c>
    </row>
    <row r="12" spans="1:51" ht="15.75" thickBot="1" x14ac:dyDescent="0.3">
      <c r="A12" s="21" t="s">
        <v>127</v>
      </c>
      <c r="B12" s="81">
        <f>S3</f>
        <v>25</v>
      </c>
      <c r="C12" s="15">
        <f>SUM(C9:C11)</f>
        <v>1</v>
      </c>
      <c r="D12" s="81">
        <f>S4</f>
        <v>9.3308044168879807</v>
      </c>
      <c r="E12" s="15">
        <f t="shared" ref="E12:M12" si="17">SUM(E9:E11)</f>
        <v>1</v>
      </c>
      <c r="F12" s="81">
        <f>S5</f>
        <v>7.9401503316120108</v>
      </c>
      <c r="G12" s="15">
        <f t="shared" si="17"/>
        <v>1</v>
      </c>
      <c r="H12" s="81">
        <f>S6</f>
        <v>7.8069867418633141</v>
      </c>
      <c r="I12" s="15">
        <f t="shared" si="17"/>
        <v>1</v>
      </c>
      <c r="J12" s="81">
        <f>S7</f>
        <v>7.7932976988998615</v>
      </c>
      <c r="K12" s="15">
        <f t="shared" si="17"/>
        <v>1</v>
      </c>
      <c r="L12" s="81">
        <f>S8</f>
        <v>7.7727489038071997</v>
      </c>
      <c r="M12" s="15">
        <f t="shared" si="17"/>
        <v>1</v>
      </c>
      <c r="O12" s="4" t="s">
        <v>16</v>
      </c>
      <c r="P12" s="61">
        <f t="shared" si="16"/>
        <v>1.9468881428239384E-3</v>
      </c>
      <c r="Q12" s="62">
        <f t="shared" si="14"/>
        <v>1.4573990412003893E-3</v>
      </c>
      <c r="R12" s="62">
        <f t="shared" si="14"/>
        <v>0.9965957128159757</v>
      </c>
      <c r="S12" s="88">
        <f>AR32</f>
        <v>10.034237838056116</v>
      </c>
      <c r="Z12" s="4">
        <v>0</v>
      </c>
      <c r="AA12" s="5">
        <v>0</v>
      </c>
      <c r="AB12" s="5">
        <f>-$S$6</f>
        <v>-7.8069867418633141</v>
      </c>
      <c r="AC12" s="5">
        <f>$S$12*$V$7+$S$7</f>
        <v>83.016057364293673</v>
      </c>
      <c r="AD12" s="5">
        <f>-$S$13*$V$8</f>
        <v>-75.167298263125019</v>
      </c>
      <c r="AE12" s="12">
        <v>0</v>
      </c>
      <c r="AH12" s="4">
        <v>1.1963493448150083E-5</v>
      </c>
      <c r="AI12" s="5">
        <v>1.45096603367762E-4</v>
      </c>
      <c r="AJ12" s="5">
        <v>1.5003852637463205E-3</v>
      </c>
      <c r="AK12" s="5">
        <v>1.4651975546409476E-2</v>
      </c>
      <c r="AL12" s="6">
        <v>1.3278861703855865E-2</v>
      </c>
      <c r="AN12">
        <v>1.9440676853243886E-4</v>
      </c>
    </row>
    <row r="13" spans="1:51" ht="15.75" thickBot="1" x14ac:dyDescent="0.3">
      <c r="O13" s="4" t="s">
        <v>17</v>
      </c>
      <c r="P13" s="61">
        <f t="shared" si="16"/>
        <v>1.912117074381034E-3</v>
      </c>
      <c r="Q13" s="62">
        <f t="shared" si="14"/>
        <v>1.37027595313527E-4</v>
      </c>
      <c r="R13" s="62">
        <f t="shared" si="14"/>
        <v>0.99795085533030548</v>
      </c>
      <c r="S13" s="88">
        <f>AR33</f>
        <v>10.020548795092663</v>
      </c>
      <c r="V13" s="58"/>
      <c r="Z13" s="7">
        <v>0</v>
      </c>
      <c r="AA13" s="8">
        <v>0</v>
      </c>
      <c r="AB13" s="8">
        <v>0</v>
      </c>
      <c r="AC13" s="67">
        <f>-$S$7</f>
        <v>-7.7932976988998615</v>
      </c>
      <c r="AD13" s="8">
        <f>$S$13*$V$8+$S$8</f>
        <v>82.940047166932217</v>
      </c>
      <c r="AE13" s="13">
        <f>$S$14*$Q$14</f>
        <v>0</v>
      </c>
      <c r="AH13" s="7">
        <v>1.1241260301265414E-6</v>
      </c>
      <c r="AI13" s="8">
        <v>1.3633715723217028E-5</v>
      </c>
      <c r="AJ13" s="8">
        <v>1.4098073756677802E-4</v>
      </c>
      <c r="AK13" s="8">
        <v>1.3767439398768015E-3</v>
      </c>
      <c r="AL13" s="9">
        <v>1.3304623762025347E-2</v>
      </c>
      <c r="AN13">
        <v>1.8267047989556298E-5</v>
      </c>
      <c r="AO13" s="5"/>
      <c r="AP13" s="5"/>
      <c r="AQ13" s="5"/>
      <c r="AR13" s="5"/>
      <c r="AS13" s="5"/>
    </row>
    <row r="14" spans="1:51" ht="15.75" thickBot="1" x14ac:dyDescent="0.3">
      <c r="B14" s="140" t="s">
        <v>13</v>
      </c>
      <c r="C14" s="141"/>
      <c r="D14" s="145" t="s">
        <v>14</v>
      </c>
      <c r="E14" s="146"/>
      <c r="F14" s="145" t="s">
        <v>15</v>
      </c>
      <c r="G14" s="146"/>
      <c r="H14" s="145" t="s">
        <v>16</v>
      </c>
      <c r="I14" s="146"/>
      <c r="J14" s="145" t="s">
        <v>17</v>
      </c>
      <c r="K14" s="146"/>
      <c r="L14" s="140" t="s">
        <v>18</v>
      </c>
      <c r="M14" s="141"/>
      <c r="O14" s="7" t="s">
        <v>18</v>
      </c>
      <c r="P14" s="63">
        <f>AQ25</f>
        <v>0</v>
      </c>
      <c r="Q14" s="63">
        <f t="shared" ref="Q14:R14" si="18">AR25</f>
        <v>0</v>
      </c>
      <c r="R14" s="63">
        <f t="shared" si="18"/>
        <v>1</v>
      </c>
      <c r="S14" s="89">
        <f>AP25</f>
        <v>10</v>
      </c>
      <c r="T14" t="s">
        <v>65</v>
      </c>
      <c r="U14" t="s">
        <v>65</v>
      </c>
      <c r="V14" t="s">
        <v>65</v>
      </c>
    </row>
    <row r="15" spans="1:51" ht="15.75" thickBot="1" x14ac:dyDescent="0.3">
      <c r="A15" s="19" t="s">
        <v>6</v>
      </c>
      <c r="B15" s="19" t="s">
        <v>25</v>
      </c>
      <c r="C15" s="22" t="s">
        <v>26</v>
      </c>
      <c r="D15" s="19" t="s">
        <v>25</v>
      </c>
      <c r="E15" s="22" t="s">
        <v>26</v>
      </c>
      <c r="F15" s="19" t="s">
        <v>25</v>
      </c>
      <c r="G15" s="22" t="s">
        <v>26</v>
      </c>
      <c r="H15" s="19" t="s">
        <v>25</v>
      </c>
      <c r="I15" s="22" t="s">
        <v>26</v>
      </c>
      <c r="J15" s="19" t="s">
        <v>25</v>
      </c>
      <c r="K15" s="22" t="s">
        <v>26</v>
      </c>
      <c r="L15" s="19" t="s">
        <v>25</v>
      </c>
      <c r="M15" s="22" t="s">
        <v>26</v>
      </c>
      <c r="Z15">
        <v>1</v>
      </c>
      <c r="AA15">
        <v>2</v>
      </c>
      <c r="AB15">
        <v>3</v>
      </c>
      <c r="AC15">
        <v>4</v>
      </c>
      <c r="AD15">
        <v>5</v>
      </c>
      <c r="AE15" s="17" t="s">
        <v>24</v>
      </c>
      <c r="AG15" s="17" t="s">
        <v>27</v>
      </c>
      <c r="AN15" s="17" t="s">
        <v>30</v>
      </c>
    </row>
    <row r="16" spans="1:51" ht="15.75" thickBot="1" x14ac:dyDescent="0.3">
      <c r="A16" s="20" t="s">
        <v>0</v>
      </c>
      <c r="B16" s="107">
        <f t="shared" ref="B16:B17" si="19">$B$19*C16</f>
        <v>0.98091617975947876</v>
      </c>
      <c r="C16" s="105">
        <v>3.6027000165897785E-2</v>
      </c>
      <c r="D16" s="107">
        <f t="shared" ref="D16:D17" si="20">$D$19*E16</f>
        <v>8.8136546791472245E-2</v>
      </c>
      <c r="E16" s="105">
        <v>7.6255514339521949E-3</v>
      </c>
      <c r="F16" s="107">
        <f t="shared" ref="F16:F17" si="21">$F$19*G16</f>
        <v>2.3412961516679088E-2</v>
      </c>
      <c r="G16" s="105">
        <v>2.3027478243016564E-3</v>
      </c>
      <c r="H16" s="107">
        <f t="shared" ref="H16:H17" si="22">$H$19*I16</f>
        <v>1.953539490132384E-2</v>
      </c>
      <c r="I16" s="105">
        <v>1.9468738150927004E-3</v>
      </c>
      <c r="J16" s="107">
        <f t="shared" ref="J16:J17" si="23">$J$19*K16</f>
        <v>1.9160576706164063E-2</v>
      </c>
      <c r="K16" s="105">
        <v>1.9121284769899548E-3</v>
      </c>
      <c r="L16" s="4">
        <f t="shared" ref="L16:L17" si="24">$L$19*M16</f>
        <v>0</v>
      </c>
      <c r="M16" s="106">
        <v>0</v>
      </c>
      <c r="P16" t="s">
        <v>3</v>
      </c>
      <c r="Q16" t="s">
        <v>66</v>
      </c>
      <c r="R16" t="s">
        <v>67</v>
      </c>
      <c r="Y16" s="17" t="s">
        <v>21</v>
      </c>
      <c r="Z16" s="1">
        <f>S$9*$W$4+S$4</f>
        <v>6864.3864725433923</v>
      </c>
      <c r="AA16" s="2">
        <f>-$S$10*$W$5</f>
        <v>-18680.527001882987</v>
      </c>
      <c r="AB16" s="2">
        <v>0</v>
      </c>
      <c r="AC16" s="2">
        <v>0</v>
      </c>
      <c r="AD16" s="2">
        <v>0</v>
      </c>
      <c r="AE16" s="11">
        <f>$S$3*$R$3</f>
        <v>0</v>
      </c>
      <c r="AH16" s="1">
        <f t="array" ref="AH16:AL20">MINVERSE(Z16:AD20)</f>
        <v>1.4587773585116653E-4</v>
      </c>
      <c r="AI16" s="2">
        <v>1.4587773585116368E-4</v>
      </c>
      <c r="AJ16" s="2">
        <v>1.4587773584450928E-4</v>
      </c>
      <c r="AK16" s="2">
        <v>1.4587771746556719E-4</v>
      </c>
      <c r="AL16" s="3">
        <v>1.4582605834988449E-4</v>
      </c>
      <c r="AN16">
        <f t="array" ref="AN16:AN20">MMULT(AH16:AL20,AE16:AE20)</f>
        <v>1.458260583498845E-3</v>
      </c>
    </row>
    <row r="17" spans="1:49" x14ac:dyDescent="0.25">
      <c r="A17" s="20" t="s">
        <v>1</v>
      </c>
      <c r="B17" s="107">
        <f t="shared" si="19"/>
        <v>16.259309748857792</v>
      </c>
      <c r="C17" s="105">
        <v>0.59717044851183443</v>
      </c>
      <c r="D17" s="107">
        <f t="shared" si="20"/>
        <v>1.4639612234212145</v>
      </c>
      <c r="E17" s="105">
        <v>0.12666154975327659</v>
      </c>
      <c r="F17" s="107">
        <f t="shared" si="21"/>
        <v>0.14370617777525907</v>
      </c>
      <c r="G17" s="105">
        <v>1.413401239202236E-2</v>
      </c>
      <c r="H17" s="107">
        <f t="shared" si="22"/>
        <v>1.4666845385554126E-2</v>
      </c>
      <c r="I17" s="105">
        <v>1.4616800620300488E-3</v>
      </c>
      <c r="J17" s="107">
        <f t="shared" si="23"/>
        <v>1.3771867112479907E-3</v>
      </c>
      <c r="K17" s="105">
        <v>1.3743625617814831E-4</v>
      </c>
      <c r="L17" s="4">
        <f t="shared" si="24"/>
        <v>0</v>
      </c>
      <c r="M17" s="6">
        <v>0</v>
      </c>
      <c r="Z17" s="66">
        <f>-$S$4</f>
        <v>-9.3308044168879807</v>
      </c>
      <c r="AA17" s="5">
        <f>$S$10*$W$5+$S$5</f>
        <v>18688.467152214598</v>
      </c>
      <c r="AB17" s="5">
        <f>-$S$11*$W$6</f>
        <v>-21562.242487303371</v>
      </c>
      <c r="AC17" s="5">
        <v>0</v>
      </c>
      <c r="AD17" s="5">
        <v>0</v>
      </c>
      <c r="AE17" s="12">
        <v>0</v>
      </c>
      <c r="AH17" s="4">
        <v>7.2865001178417089E-8</v>
      </c>
      <c r="AI17" s="5">
        <v>5.3604545338632552E-5</v>
      </c>
      <c r="AJ17" s="5">
        <v>5.360454533618731E-5</v>
      </c>
      <c r="AK17" s="5">
        <v>5.3604538582621884E-5</v>
      </c>
      <c r="AL17" s="6">
        <v>5.3585555813300634E-5</v>
      </c>
      <c r="AN17">
        <v>5.358555581330063E-4</v>
      </c>
    </row>
    <row r="18" spans="1:49" ht="15.75" thickBot="1" x14ac:dyDescent="0.3">
      <c r="A18" s="20" t="s">
        <v>2</v>
      </c>
      <c r="B18" s="107">
        <f>$B$19*C18</f>
        <v>9.987025167575533</v>
      </c>
      <c r="C18" s="105">
        <v>0.3668025513222678</v>
      </c>
      <c r="D18" s="107">
        <f>$D$19*E18</f>
        <v>10.005957742868098</v>
      </c>
      <c r="E18" s="105">
        <v>0.86571289881277125</v>
      </c>
      <c r="F18" s="107">
        <f>$F$19*G18</f>
        <v>10.000282288512876</v>
      </c>
      <c r="G18" s="105">
        <v>0.98356323978367599</v>
      </c>
      <c r="H18" s="107">
        <f>$H$19*I18</f>
        <v>10.000035597769237</v>
      </c>
      <c r="I18" s="105">
        <v>0.9965914461228772</v>
      </c>
      <c r="J18" s="107">
        <f>$J$19*K18</f>
        <v>10.000011031675252</v>
      </c>
      <c r="K18" s="105">
        <v>0.99795043526683191</v>
      </c>
      <c r="L18" s="4">
        <f>$L$19*M18</f>
        <v>10</v>
      </c>
      <c r="M18" s="6">
        <v>1</v>
      </c>
      <c r="Z18" s="4">
        <v>0</v>
      </c>
      <c r="AA18" s="68">
        <f>-$S$5</f>
        <v>-7.9401503316120108</v>
      </c>
      <c r="AB18" s="5">
        <f>$S$11*$W$6+$S$6</f>
        <v>21570.049474045234</v>
      </c>
      <c r="AC18" s="5">
        <f>-$S$12*$W$7</f>
        <v>-21905.225339567682</v>
      </c>
      <c r="AD18" s="5">
        <v>0</v>
      </c>
      <c r="AE18" s="12">
        <v>0</v>
      </c>
      <c r="AH18" s="4">
        <v>2.6832045117014279E-11</v>
      </c>
      <c r="AI18" s="5">
        <v>1.9739512190240139E-8</v>
      </c>
      <c r="AJ18" s="5">
        <v>4.6397104971427631E-5</v>
      </c>
      <c r="AK18" s="5">
        <v>4.6397099125918035E-5</v>
      </c>
      <c r="AL18" s="6">
        <v>4.6380668699443515E-5</v>
      </c>
      <c r="AN18">
        <v>4.6380668699443517E-4</v>
      </c>
    </row>
    <row r="19" spans="1:49" ht="15.75" thickBot="1" x14ac:dyDescent="0.3">
      <c r="A19" s="21" t="s">
        <v>127</v>
      </c>
      <c r="B19" s="81">
        <f>S9</f>
        <v>27.227251096192802</v>
      </c>
      <c r="C19" s="15">
        <f t="shared" ref="C19:M19" si="25">SUM(C16:C18)</f>
        <v>1</v>
      </c>
      <c r="D19" s="81">
        <f>S10</f>
        <v>11.558055513080784</v>
      </c>
      <c r="E19" s="15">
        <f t="shared" si="25"/>
        <v>1</v>
      </c>
      <c r="F19" s="81">
        <f>S11</f>
        <v>10.167401427804814</v>
      </c>
      <c r="G19" s="15">
        <f t="shared" si="25"/>
        <v>1</v>
      </c>
      <c r="H19" s="81">
        <f>S12</f>
        <v>10.034237838056116</v>
      </c>
      <c r="I19" s="15">
        <f t="shared" si="25"/>
        <v>1</v>
      </c>
      <c r="J19" s="81">
        <f>S13</f>
        <v>10.020548795092663</v>
      </c>
      <c r="K19" s="15">
        <f t="shared" si="25"/>
        <v>1</v>
      </c>
      <c r="L19" s="81">
        <f>S14</f>
        <v>10</v>
      </c>
      <c r="M19" s="15">
        <f t="shared" si="25"/>
        <v>1</v>
      </c>
      <c r="Z19" s="4">
        <v>0</v>
      </c>
      <c r="AA19" s="5">
        <v>0</v>
      </c>
      <c r="AB19" s="5">
        <f>-$S$6</f>
        <v>-7.8069867418633141</v>
      </c>
      <c r="AC19" s="5">
        <f>$S$12*$W$7+$S$7</f>
        <v>21913.018637266581</v>
      </c>
      <c r="AD19" s="5">
        <f>-$S$13*$W$8</f>
        <v>-21941.322847018364</v>
      </c>
      <c r="AE19" s="12">
        <v>0</v>
      </c>
      <c r="AH19" s="4">
        <v>9.5628961056814756E-15</v>
      </c>
      <c r="AI19" s="5">
        <v>7.035129205727288E-12</v>
      </c>
      <c r="AJ19" s="5">
        <v>1.6535850790024733E-8</v>
      </c>
      <c r="AK19" s="5">
        <v>4.5667738176446132E-5</v>
      </c>
      <c r="AL19" s="6">
        <v>4.5651566035762743E-5</v>
      </c>
      <c r="AN19">
        <v>4.5651566035762741E-4</v>
      </c>
    </row>
    <row r="20" spans="1:49" ht="15.75" thickBot="1" x14ac:dyDescent="0.3">
      <c r="Z20" s="7">
        <v>0</v>
      </c>
      <c r="AA20" s="8">
        <v>0</v>
      </c>
      <c r="AB20" s="8">
        <v>0</v>
      </c>
      <c r="AC20" s="67">
        <f>-$S$7</f>
        <v>-7.7932976988998615</v>
      </c>
      <c r="AD20" s="8">
        <f>$S$13*$W$8+$S$8</f>
        <v>21949.095595922172</v>
      </c>
      <c r="AE20" s="13">
        <f>$S$14*$R$14</f>
        <v>10</v>
      </c>
      <c r="AH20" s="7">
        <v>3.3954244670141137E-18</v>
      </c>
      <c r="AI20" s="8">
        <v>2.497909584057929E-15</v>
      </c>
      <c r="AJ20" s="8">
        <v>5.871258218730122E-12</v>
      </c>
      <c r="AK20" s="8">
        <v>1.6214894927633396E-8</v>
      </c>
      <c r="AL20" s="9">
        <v>4.5576172916682246E-5</v>
      </c>
      <c r="AN20">
        <v>4.5576172916682246E-4</v>
      </c>
      <c r="AO20" s="5"/>
      <c r="AP20" s="5"/>
      <c r="AQ20" s="5"/>
      <c r="AR20" s="5"/>
      <c r="AS20" s="5"/>
    </row>
    <row r="22" spans="1:49" ht="15.75" thickBot="1" x14ac:dyDescent="0.3"/>
    <row r="23" spans="1:49" ht="15.75" thickBot="1" x14ac:dyDescent="0.3">
      <c r="Y23" s="5"/>
      <c r="Z23" s="5"/>
      <c r="AA23" s="5"/>
      <c r="AB23" s="5"/>
      <c r="AC23" s="5"/>
      <c r="AD23" s="5"/>
      <c r="AE23" s="52"/>
      <c r="AF23" s="5"/>
      <c r="AG23" s="5"/>
      <c r="AH23" s="5"/>
      <c r="AI23" s="5"/>
      <c r="AJ23" s="5"/>
      <c r="AK23" s="5"/>
      <c r="AL23" s="5"/>
      <c r="AO23" s="18"/>
      <c r="AP23" s="19" t="s">
        <v>128</v>
      </c>
      <c r="AQ23" s="93" t="s">
        <v>28</v>
      </c>
      <c r="AR23" s="93" t="s">
        <v>29</v>
      </c>
      <c r="AS23" s="22" t="s">
        <v>30</v>
      </c>
      <c r="AU23" s="94" t="s">
        <v>116</v>
      </c>
    </row>
    <row r="24" spans="1:49" ht="15.75" thickBot="1" x14ac:dyDescent="0.3">
      <c r="G24" s="28" t="s">
        <v>79</v>
      </c>
      <c r="H24" s="29" t="s">
        <v>80</v>
      </c>
      <c r="I24" s="29" t="s">
        <v>81</v>
      </c>
      <c r="J24" s="29" t="s">
        <v>82</v>
      </c>
      <c r="K24" s="29" t="s">
        <v>83</v>
      </c>
      <c r="L24" s="29" t="s">
        <v>84</v>
      </c>
      <c r="M24" s="29" t="s">
        <v>85</v>
      </c>
      <c r="N24" s="29" t="s">
        <v>86</v>
      </c>
      <c r="O24" s="29" t="s">
        <v>87</v>
      </c>
      <c r="P24" s="29" t="s">
        <v>88</v>
      </c>
      <c r="Q24" s="29" t="s">
        <v>89</v>
      </c>
      <c r="R24" s="30" t="s">
        <v>90</v>
      </c>
      <c r="Y24" s="52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O24" s="91" t="s">
        <v>7</v>
      </c>
      <c r="AP24" s="1">
        <v>25</v>
      </c>
      <c r="AQ24" s="2">
        <v>0.35</v>
      </c>
      <c r="AR24" s="2">
        <v>0.65</v>
      </c>
      <c r="AS24" s="3">
        <v>0</v>
      </c>
      <c r="AU24">
        <f>AR29*AN29/AP24/AR24</f>
        <v>0.99999520401394915</v>
      </c>
    </row>
    <row r="25" spans="1:49" ht="15.75" thickBot="1" x14ac:dyDescent="0.3">
      <c r="G25">
        <f>B31/$B$39/$B$40</f>
        <v>2.1071800296631609</v>
      </c>
      <c r="H25">
        <f>C31/$B$39/$B$40</f>
        <v>2.8350922655412045</v>
      </c>
      <c r="I25">
        <f>B32/$B$39/$B$40</f>
        <v>7.2849444468829168</v>
      </c>
      <c r="J25">
        <f>C32/$B$39/$B$40</f>
        <v>6.1290709297054313</v>
      </c>
      <c r="K25">
        <f>B33/$B$39/$B$40</f>
        <v>4.0246507210259157</v>
      </c>
      <c r="L25">
        <f>C33/$B$39/$B$40</f>
        <v>0.21292207917654202</v>
      </c>
      <c r="M25">
        <f>EXP(-$E$31*G25)</f>
        <v>0.43047242445194145</v>
      </c>
      <c r="N25">
        <f t="shared" ref="N25:R25" si="26">EXP(-$E$31*H25)</f>
        <v>0.32173183009668638</v>
      </c>
      <c r="O25">
        <f t="shared" si="26"/>
        <v>5.425946787469077E-2</v>
      </c>
      <c r="P25">
        <f t="shared" si="26"/>
        <v>8.6153182795249569E-2</v>
      </c>
      <c r="Q25">
        <f t="shared" si="26"/>
        <v>0.19991554264238187</v>
      </c>
      <c r="R25">
        <f t="shared" si="26"/>
        <v>0.91835722352796123</v>
      </c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O25" s="92" t="s">
        <v>18</v>
      </c>
      <c r="AP25" s="109">
        <v>10</v>
      </c>
      <c r="AQ25" s="8">
        <v>0</v>
      </c>
      <c r="AR25" s="8">
        <v>0</v>
      </c>
      <c r="AS25" s="9">
        <v>1</v>
      </c>
    </row>
    <row r="26" spans="1:49" ht="15.75" thickBot="1" x14ac:dyDescent="0.3"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W26" s="33"/>
    </row>
    <row r="27" spans="1:49" ht="15.75" thickBot="1" x14ac:dyDescent="0.3"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Q27" s="19" t="s">
        <v>129</v>
      </c>
      <c r="AR27" s="22" t="s">
        <v>126</v>
      </c>
    </row>
    <row r="28" spans="1:49" ht="15.75" thickBot="1" x14ac:dyDescent="0.3">
      <c r="Y28" s="5"/>
      <c r="Z28" s="5"/>
      <c r="AA28" s="5"/>
      <c r="AB28" s="5"/>
      <c r="AC28" s="52" t="s">
        <v>112</v>
      </c>
      <c r="AD28" s="52" t="s">
        <v>113</v>
      </c>
      <c r="AE28" s="52" t="s">
        <v>114</v>
      </c>
      <c r="AF28" s="94" t="s">
        <v>115</v>
      </c>
      <c r="AG28" s="5"/>
      <c r="AH28" s="17" t="s">
        <v>6</v>
      </c>
      <c r="AI28" s="95" t="s">
        <v>68</v>
      </c>
      <c r="AJ28" s="96" t="s">
        <v>69</v>
      </c>
      <c r="AK28" s="96" t="s">
        <v>70</v>
      </c>
      <c r="AL28" s="97" t="s">
        <v>76</v>
      </c>
      <c r="AM28" s="95" t="s">
        <v>71</v>
      </c>
      <c r="AN28" s="96" t="s">
        <v>72</v>
      </c>
      <c r="AO28" s="96" t="s">
        <v>73</v>
      </c>
      <c r="AP28" s="101" t="s">
        <v>77</v>
      </c>
      <c r="AQ28" s="95">
        <f>AP24</f>
        <v>25</v>
      </c>
      <c r="AR28" s="3"/>
      <c r="AS28" s="93" t="s">
        <v>62</v>
      </c>
      <c r="AT28" s="93" t="s">
        <v>63</v>
      </c>
      <c r="AU28" s="22" t="s">
        <v>64</v>
      </c>
    </row>
    <row r="29" spans="1:49" ht="15.75" thickBot="1" x14ac:dyDescent="0.3">
      <c r="AC29" s="33">
        <f>SUM(AD29:AF29)</f>
        <v>0.99999939250051373</v>
      </c>
      <c r="AD29" s="72">
        <f>AN2</f>
        <v>0.84204542672865368</v>
      </c>
      <c r="AE29" s="73">
        <f>AN9</f>
        <v>0.1564957051883612</v>
      </c>
      <c r="AF29" s="74">
        <f>AN16</f>
        <v>1.458260583498845E-3</v>
      </c>
      <c r="AH29" s="98">
        <v>1</v>
      </c>
      <c r="AI29" s="72">
        <f>I37</f>
        <v>0.84204542672865368</v>
      </c>
      <c r="AJ29" s="73">
        <f t="shared" ref="AJ29:AO29" si="27">J37</f>
        <v>0.15649632203148184</v>
      </c>
      <c r="AK29" s="73">
        <f t="shared" si="27"/>
        <v>1.4582512398644391E-3</v>
      </c>
      <c r="AL29" s="129">
        <f t="shared" si="27"/>
        <v>0.99999999999999989</v>
      </c>
      <c r="AM29" s="73">
        <f t="shared" si="27"/>
        <v>3.6027713562243158E-2</v>
      </c>
      <c r="AN29" s="73">
        <f t="shared" si="27"/>
        <v>0.59682565852191027</v>
      </c>
      <c r="AO29" s="74">
        <f t="shared" si="27"/>
        <v>0.36714662791584662</v>
      </c>
      <c r="AP29" s="55">
        <f>SUM(AM29:AO29)</f>
        <v>1</v>
      </c>
      <c r="AQ29" s="102">
        <f>(AR31*(AM30-AM31)+AQ30*(AI30-AM30))/(AI29-AM30)</f>
        <v>9.3308044168879807</v>
      </c>
      <c r="AR29" s="6">
        <f>AP24+AP25-AQ33</f>
        <v>27.227251096192802</v>
      </c>
      <c r="AS29" s="1">
        <f>AM29/AI29</f>
        <v>4.2785950043349584E-2</v>
      </c>
      <c r="AT29" s="2">
        <f t="shared" ref="AT29:AU33" si="28">AN29/AJ29</f>
        <v>3.8136721091876451</v>
      </c>
      <c r="AU29" s="3">
        <f t="shared" si="28"/>
        <v>251.77186062257491</v>
      </c>
    </row>
    <row r="30" spans="1:49" ht="15.75" thickBot="1" x14ac:dyDescent="0.3">
      <c r="A30" s="136" t="s">
        <v>78</v>
      </c>
      <c r="B30" s="136"/>
      <c r="C30" s="136"/>
      <c r="D30" s="136"/>
      <c r="E30" s="136"/>
      <c r="J30" s="33">
        <f>J37</f>
        <v>0.15649632203148184</v>
      </c>
      <c r="K30" s="33">
        <f>(K37+K50)/2</f>
        <v>1.4582512402420925E-3</v>
      </c>
      <c r="L30" s="33">
        <f>SUM(I37:K37)</f>
        <v>1</v>
      </c>
      <c r="M30" s="33">
        <f t="shared" ref="M30:N34" si="29">(M37+M50)/2</f>
        <v>3.6027713547358509E-2</v>
      </c>
      <c r="N30" s="33">
        <f t="shared" si="29"/>
        <v>0.59682565839511725</v>
      </c>
      <c r="T30" s="25"/>
      <c r="U30" s="25"/>
      <c r="V30" s="25"/>
      <c r="W30" s="25"/>
      <c r="X30" s="25"/>
      <c r="Y30" s="25"/>
      <c r="Z30" s="25"/>
      <c r="AC30" s="33">
        <f t="shared" ref="AC30:AC33" si="30">SUM(AD30:AF30)</f>
        <v>0.99999991012887535</v>
      </c>
      <c r="AD30" s="72">
        <f t="shared" ref="AD30:AD33" si="31">AN3</f>
        <v>0.98140043299245661</v>
      </c>
      <c r="AE30" s="73">
        <f t="shared" ref="AE30:AE32" si="32">AN10</f>
        <v>1.8063621578285803E-2</v>
      </c>
      <c r="AF30" s="74">
        <f t="shared" ref="AF30:AF33" si="33">AN17</f>
        <v>5.358555581330063E-4</v>
      </c>
      <c r="AH30" s="99">
        <v>2</v>
      </c>
      <c r="AI30" s="75">
        <f t="shared" ref="AI30:AI33" si="34">I38</f>
        <v>0.9814004329924565</v>
      </c>
      <c r="AJ30" s="76">
        <f t="shared" ref="AJ30:AJ33" si="35">J38</f>
        <v>1.8063711535249834E-2</v>
      </c>
      <c r="AK30" s="76">
        <f t="shared" ref="AK30:AK33" si="36">K38</f>
        <v>5.358554722936738E-4</v>
      </c>
      <c r="AL30" s="130">
        <f t="shared" ref="AL30:AL33" si="37">L38</f>
        <v>1</v>
      </c>
      <c r="AM30" s="76">
        <f t="shared" ref="AM30:AM33" si="38">M38</f>
        <v>7.6048077828900062E-3</v>
      </c>
      <c r="AN30" s="76">
        <f t="shared" ref="AN30:AN33" si="39">N38</f>
        <v>0.12632714054874034</v>
      </c>
      <c r="AO30" s="77">
        <f t="shared" ref="AO30:AO33" si="40">O38</f>
        <v>0.86606805166836964</v>
      </c>
      <c r="AP30" s="56">
        <f t="shared" ref="AP30:AP33" si="41">SUM(AM30:AO30)</f>
        <v>1</v>
      </c>
      <c r="AQ30" s="102">
        <f>(AR32*(AM31-AM32)+AQ31*(AI31-AM31))/(AI30-AM31)</f>
        <v>7.9401503316120108</v>
      </c>
      <c r="AR30" s="6">
        <f t="shared" ref="AR30:AR32" si="42">AR31+AQ29-AQ30</f>
        <v>11.558055513080784</v>
      </c>
      <c r="AS30" s="4">
        <f t="shared" ref="AS30:AS33" si="43">AM30/AI30</f>
        <v>7.7489346114324167E-3</v>
      </c>
      <c r="AT30" s="5">
        <f t="shared" si="28"/>
        <v>6.9934210531552949</v>
      </c>
      <c r="AU30" s="6">
        <f t="shared" si="28"/>
        <v>1616.2344073137019</v>
      </c>
    </row>
    <row r="31" spans="1:49" ht="15.75" thickBot="1" x14ac:dyDescent="0.3">
      <c r="A31" s="26" t="s">
        <v>33</v>
      </c>
      <c r="B31" s="27">
        <v>5.5736999999999997</v>
      </c>
      <c r="C31" s="27">
        <v>7.4991000000000003</v>
      </c>
      <c r="D31" s="26">
        <v>6.4999999999999997E-3</v>
      </c>
      <c r="E31" s="26">
        <v>0.4</v>
      </c>
      <c r="J31" s="33">
        <f t="shared" ref="J31:J34" si="44">J38</f>
        <v>1.8063711535249834E-2</v>
      </c>
      <c r="K31" s="33">
        <f t="shared" ref="K31" si="45">(K38+K51)/2</f>
        <v>5.358554722943614E-4</v>
      </c>
      <c r="L31" s="33">
        <f t="shared" ref="L31:L34" si="46">SUM(I38:K38)</f>
        <v>1</v>
      </c>
      <c r="M31" s="33">
        <f t="shared" si="29"/>
        <v>7.6048077822444948E-3</v>
      </c>
      <c r="N31" s="33">
        <f t="shared" si="29"/>
        <v>0.12632714054821909</v>
      </c>
      <c r="T31" s="25"/>
      <c r="U31" s="25"/>
      <c r="V31" s="25"/>
      <c r="W31" s="25"/>
      <c r="X31" s="25"/>
      <c r="Y31" s="25"/>
      <c r="Z31" s="25"/>
      <c r="AC31" s="33">
        <f t="shared" si="30"/>
        <v>0.9999999903528719</v>
      </c>
      <c r="AD31" s="72">
        <f t="shared" si="31"/>
        <v>0.99764482669396159</v>
      </c>
      <c r="AE31" s="73">
        <f t="shared" si="32"/>
        <v>1.8913569719158918E-3</v>
      </c>
      <c r="AF31" s="74">
        <f t="shared" si="33"/>
        <v>4.6380668699443517E-4</v>
      </c>
      <c r="AH31" s="99">
        <v>3</v>
      </c>
      <c r="AI31" s="75">
        <f t="shared" si="34"/>
        <v>0.99764482669396148</v>
      </c>
      <c r="AJ31" s="76">
        <f t="shared" si="35"/>
        <v>1.8913666198813075E-3</v>
      </c>
      <c r="AK31" s="76">
        <f t="shared" si="36"/>
        <v>4.6380668615719496E-4</v>
      </c>
      <c r="AL31" s="130">
        <f t="shared" si="37"/>
        <v>1</v>
      </c>
      <c r="AM31" s="76">
        <f t="shared" si="38"/>
        <v>2.3017264751769026E-3</v>
      </c>
      <c r="AN31" s="76">
        <f t="shared" si="39"/>
        <v>1.4092747062075174E-2</v>
      </c>
      <c r="AO31" s="77">
        <f t="shared" si="40"/>
        <v>0.9836055264627479</v>
      </c>
      <c r="AP31" s="56">
        <f t="shared" si="41"/>
        <v>1</v>
      </c>
      <c r="AQ31" s="102">
        <f>(AR33*(AM32-AM33)+AQ32*(AI32-AM32))/(AI31-AM32)</f>
        <v>7.8069867418633141</v>
      </c>
      <c r="AR31" s="6">
        <f t="shared" si="42"/>
        <v>10.167401427804814</v>
      </c>
      <c r="AS31" s="4">
        <f t="shared" si="43"/>
        <v>2.3071602373807352E-3</v>
      </c>
      <c r="AT31" s="5">
        <f t="shared" si="28"/>
        <v>7.4510921964772558</v>
      </c>
      <c r="AU31" s="6">
        <f t="shared" si="28"/>
        <v>2120.7230422059524</v>
      </c>
    </row>
    <row r="32" spans="1:49" ht="15.75" thickBot="1" x14ac:dyDescent="0.3">
      <c r="A32" s="31" t="s">
        <v>34</v>
      </c>
      <c r="B32" s="32">
        <v>19.269400000000001</v>
      </c>
      <c r="C32" s="32">
        <v>16.212</v>
      </c>
      <c r="D32" s="31"/>
      <c r="E32" s="31"/>
      <c r="J32" s="33">
        <f t="shared" si="44"/>
        <v>1.8913666198813075E-3</v>
      </c>
      <c r="K32" s="33">
        <f t="shared" ref="K32" si="47">(K39+K52)/2</f>
        <v>4.6380668615719501E-4</v>
      </c>
      <c r="L32" s="33">
        <f t="shared" si="46"/>
        <v>1</v>
      </c>
      <c r="M32" s="33">
        <f t="shared" si="29"/>
        <v>2.3017264751768862E-3</v>
      </c>
      <c r="N32" s="33">
        <f t="shared" si="29"/>
        <v>1.4092747062075167E-2</v>
      </c>
      <c r="T32" s="33"/>
      <c r="U32" s="33"/>
      <c r="V32" s="33"/>
      <c r="W32" s="33"/>
      <c r="X32" s="33"/>
      <c r="Y32" s="33"/>
      <c r="Z32" s="33"/>
      <c r="AC32" s="33">
        <f t="shared" si="30"/>
        <v>0.99999999900327552</v>
      </c>
      <c r="AD32" s="72">
        <f t="shared" si="31"/>
        <v>0.99934907657438543</v>
      </c>
      <c r="AE32" s="73">
        <f t="shared" si="32"/>
        <v>1.9440676853243886E-4</v>
      </c>
      <c r="AF32" s="74">
        <f t="shared" si="33"/>
        <v>4.5651566035762741E-4</v>
      </c>
      <c r="AH32" s="99">
        <v>4</v>
      </c>
      <c r="AI32" s="75">
        <f t="shared" si="34"/>
        <v>0.99934907657438543</v>
      </c>
      <c r="AJ32" s="76">
        <f t="shared" si="35"/>
        <v>1.9440776527489408E-4</v>
      </c>
      <c r="AK32" s="76">
        <f t="shared" si="36"/>
        <v>4.5651566033969547E-4</v>
      </c>
      <c r="AL32" s="130">
        <f t="shared" si="37"/>
        <v>1</v>
      </c>
      <c r="AM32" s="76">
        <f t="shared" si="38"/>
        <v>1.9468881428239384E-3</v>
      </c>
      <c r="AN32" s="76">
        <f t="shared" si="39"/>
        <v>1.4573990412003893E-3</v>
      </c>
      <c r="AO32" s="77">
        <f t="shared" si="40"/>
        <v>0.9965957128159757</v>
      </c>
      <c r="AP32" s="56">
        <f t="shared" si="41"/>
        <v>1</v>
      </c>
      <c r="AQ32" s="102">
        <f>(AR34*(AM33-AM34)+AQ33*(AI33-AM33))/(AI32-AM33)</f>
        <v>7.7932976988998615</v>
      </c>
      <c r="AR32" s="6">
        <f t="shared" si="42"/>
        <v>10.034237838056116</v>
      </c>
      <c r="AS32" s="4">
        <f t="shared" si="43"/>
        <v>1.9481562433594983E-3</v>
      </c>
      <c r="AT32" s="5">
        <f t="shared" si="28"/>
        <v>7.4966091973724183</v>
      </c>
      <c r="AU32" s="6">
        <f t="shared" si="28"/>
        <v>2183.0482487159456</v>
      </c>
    </row>
    <row r="33" spans="1:51" ht="15.75" thickBot="1" x14ac:dyDescent="0.3">
      <c r="A33" s="34" t="s">
        <v>35</v>
      </c>
      <c r="B33" s="35">
        <v>10.6456</v>
      </c>
      <c r="C33" s="35">
        <v>0.56320000000000003</v>
      </c>
      <c r="D33" s="36"/>
      <c r="E33" s="36"/>
      <c r="J33" s="33">
        <f t="shared" si="44"/>
        <v>1.9440776527489408E-4</v>
      </c>
      <c r="K33" s="33">
        <f t="shared" ref="K33" si="48">(K40+K53)/2</f>
        <v>4.5651566033969547E-4</v>
      </c>
      <c r="L33" s="33">
        <f t="shared" si="46"/>
        <v>1</v>
      </c>
      <c r="M33" s="33">
        <f t="shared" si="29"/>
        <v>1.9468881428239381E-3</v>
      </c>
      <c r="N33" s="33">
        <f t="shared" si="29"/>
        <v>1.4573990412003893E-3</v>
      </c>
      <c r="T33" s="33"/>
      <c r="U33" s="33"/>
      <c r="V33" s="33"/>
      <c r="W33" s="33"/>
      <c r="X33" s="33"/>
      <c r="Y33" s="33"/>
      <c r="Z33" s="33"/>
      <c r="AC33" s="33">
        <f t="shared" si="30"/>
        <v>0.99999999990607069</v>
      </c>
      <c r="AD33" s="72">
        <f t="shared" si="31"/>
        <v>0.99952597112891428</v>
      </c>
      <c r="AE33" s="73">
        <f>AN13</f>
        <v>1.8267047989556298E-5</v>
      </c>
      <c r="AF33" s="74">
        <f t="shared" si="33"/>
        <v>4.5576172916682246E-4</v>
      </c>
      <c r="AH33" s="100">
        <v>5</v>
      </c>
      <c r="AI33" s="78">
        <f t="shared" si="34"/>
        <v>0.99952597112891417</v>
      </c>
      <c r="AJ33" s="79">
        <f t="shared" si="35"/>
        <v>1.8267141919972515E-5</v>
      </c>
      <c r="AK33" s="79">
        <f t="shared" si="36"/>
        <v>4.5576172916578282E-4</v>
      </c>
      <c r="AL33" s="131">
        <f t="shared" si="37"/>
        <v>1</v>
      </c>
      <c r="AM33" s="79">
        <f t="shared" si="38"/>
        <v>1.912117074381034E-3</v>
      </c>
      <c r="AN33" s="79">
        <f t="shared" si="39"/>
        <v>1.37027595313527E-4</v>
      </c>
      <c r="AO33" s="80">
        <f t="shared" si="40"/>
        <v>0.99795085533030548</v>
      </c>
      <c r="AP33" s="57">
        <f t="shared" si="41"/>
        <v>1</v>
      </c>
      <c r="AQ33" s="4">
        <f>(AP24*AQ24+AP25*AQ25-(AP24+AP25)*AM29)/(AI33-AM29)</f>
        <v>7.7727489038071997</v>
      </c>
      <c r="AR33" s="6">
        <f>AR34+AQ32-AQ33</f>
        <v>10.020548795092663</v>
      </c>
      <c r="AS33" s="7">
        <f t="shared" si="43"/>
        <v>1.9130239029421059E-3</v>
      </c>
      <c r="AT33" s="8">
        <f t="shared" si="28"/>
        <v>7.5013155267440537</v>
      </c>
      <c r="AU33" s="9">
        <f t="shared" si="28"/>
        <v>2189.6328530193505</v>
      </c>
    </row>
    <row r="34" spans="1:51" ht="15.75" thickBot="1" x14ac:dyDescent="0.3">
      <c r="J34" s="33">
        <f t="shared" si="44"/>
        <v>1.8267141919972515E-5</v>
      </c>
      <c r="K34" s="33">
        <f t="shared" ref="K34" si="49">(K41+K54)/2</f>
        <v>4.5576172916578282E-4</v>
      </c>
      <c r="L34" s="33">
        <f t="shared" si="46"/>
        <v>1</v>
      </c>
      <c r="M34" s="33">
        <f t="shared" si="29"/>
        <v>1.912117074381034E-3</v>
      </c>
      <c r="N34" s="33">
        <f t="shared" si="29"/>
        <v>1.37027595313527E-4</v>
      </c>
      <c r="T34" s="33"/>
      <c r="U34" s="33"/>
      <c r="V34" s="33"/>
      <c r="W34" s="33"/>
      <c r="X34" s="33"/>
      <c r="Y34" s="33"/>
      <c r="Z34" s="33"/>
      <c r="AM34" s="70">
        <v>0</v>
      </c>
      <c r="AN34">
        <f>AR25</f>
        <v>0</v>
      </c>
      <c r="AO34" s="71">
        <v>1</v>
      </c>
      <c r="AQ34" s="7"/>
      <c r="AR34" s="103">
        <f>AP25</f>
        <v>10</v>
      </c>
    </row>
    <row r="35" spans="1:51" ht="26.25" thickBot="1" x14ac:dyDescent="0.3">
      <c r="A35" s="137" t="s">
        <v>91</v>
      </c>
      <c r="B35" s="37" t="s">
        <v>92</v>
      </c>
      <c r="C35" s="37" t="s">
        <v>93</v>
      </c>
      <c r="D35" s="137" t="s">
        <v>36</v>
      </c>
      <c r="E35" s="137" t="s">
        <v>37</v>
      </c>
    </row>
    <row r="36" spans="1:51" ht="15.75" thickBot="1" x14ac:dyDescent="0.3">
      <c r="A36" s="138"/>
      <c r="B36" s="139" t="s">
        <v>38</v>
      </c>
      <c r="C36" s="139"/>
      <c r="D36" s="138"/>
      <c r="E36" s="138"/>
      <c r="I36" s="38" t="s">
        <v>39</v>
      </c>
      <c r="J36" s="39" t="s">
        <v>40</v>
      </c>
      <c r="K36" s="40" t="s">
        <v>41</v>
      </c>
      <c r="L36" s="41"/>
      <c r="M36" s="38" t="s">
        <v>42</v>
      </c>
      <c r="N36" s="39" t="s">
        <v>43</v>
      </c>
      <c r="O36" s="40" t="s">
        <v>44</v>
      </c>
      <c r="P36" s="42" t="s">
        <v>94</v>
      </c>
      <c r="Q36" s="43" t="s">
        <v>95</v>
      </c>
      <c r="R36" s="44" t="s">
        <v>96</v>
      </c>
      <c r="S36" s="42" t="s">
        <v>97</v>
      </c>
      <c r="T36" s="43" t="s">
        <v>98</v>
      </c>
      <c r="U36" s="44" t="s">
        <v>99</v>
      </c>
      <c r="V36" s="45" t="s">
        <v>45</v>
      </c>
      <c r="W36" s="46" t="s">
        <v>46</v>
      </c>
      <c r="X36" s="47" t="s">
        <v>47</v>
      </c>
      <c r="Y36" s="42" t="s">
        <v>100</v>
      </c>
      <c r="Z36" s="43" t="s">
        <v>101</v>
      </c>
      <c r="AA36" s="43" t="s">
        <v>102</v>
      </c>
      <c r="AB36" s="19" t="s">
        <v>48</v>
      </c>
      <c r="AC36" s="93" t="s">
        <v>49</v>
      </c>
      <c r="AD36" s="22" t="s">
        <v>50</v>
      </c>
      <c r="AH36" s="133">
        <v>-7</v>
      </c>
      <c r="AW36" t="s">
        <v>120</v>
      </c>
      <c r="AX36" t="s">
        <v>116</v>
      </c>
      <c r="AY36" t="s">
        <v>121</v>
      </c>
    </row>
    <row r="37" spans="1:51" x14ac:dyDescent="0.25">
      <c r="I37" s="33">
        <f>1-J37-K37</f>
        <v>0.84204542672865368</v>
      </c>
      <c r="J37">
        <v>0.15649632203148184</v>
      </c>
      <c r="K37" s="6">
        <v>1.4582512398644391E-3</v>
      </c>
      <c r="L37" s="48">
        <v>0.99999999999999989</v>
      </c>
      <c r="M37" s="48">
        <v>3.6027713562243158E-2</v>
      </c>
      <c r="N37" s="69">
        <v>0.59682565852191027</v>
      </c>
      <c r="O37" s="33">
        <f>1-M37-N37</f>
        <v>0.36714662791584662</v>
      </c>
      <c r="P37">
        <f>I37+$N$25*J37+$P$25*K37</f>
        <v>0.89252090780487214</v>
      </c>
      <c r="Q37">
        <f>$M$25*I37+J37+$R$25*K37</f>
        <v>0.52031285393388305</v>
      </c>
      <c r="R37">
        <f>$O$25*I37+$Q$25*J37+K37</f>
        <v>7.8433235160938738E-2</v>
      </c>
      <c r="S37">
        <f>J37*$H$25*$N$25+K37*$J$25*$P$25</f>
        <v>0.14351647837283704</v>
      </c>
      <c r="T37">
        <f>I37*$G$25*$M$25+K37*$L$25*$R$25</f>
        <v>0.7640901486495516</v>
      </c>
      <c r="U37">
        <f>I37*$I$25*$O$25+J37*$K$25*$Q$25</f>
        <v>0.45875677846582186</v>
      </c>
      <c r="V37">
        <f>S37/P37-I37*S37/P37^2+J37*$M$25/Q37*($G$25-T37/Q37)+K37*$O$25/R37*($I$25-U37/R37)</f>
        <v>9.3232618058039604E-2</v>
      </c>
      <c r="W37">
        <f>T37/Q37-J37*T37/Q37^2+(I37*$N$25/P37)*($H$25-S37/P37)+(K37*$Q$25/R37)*($K$25-U37/R37)</f>
        <v>1.8317936307816329</v>
      </c>
      <c r="X37">
        <f>U37/R37-K37*U37/R37^2+I37*$P$25/P37*($J$25-S37/P37)+J37*$R$25/Q37*($L$25-T37/Q37)</f>
        <v>5.8785518325175659</v>
      </c>
      <c r="Y37">
        <f>EXP(V37)</f>
        <v>1.0977170543804795</v>
      </c>
      <c r="Z37">
        <f t="shared" ref="Z37:AA37" si="50">EXP(W37)</f>
        <v>6.245077983076448</v>
      </c>
      <c r="AA37">
        <f t="shared" si="50"/>
        <v>357.29144901585818</v>
      </c>
      <c r="AB37">
        <f>Y37/Y43</f>
        <v>4.2785950007996017E-2</v>
      </c>
      <c r="AC37">
        <f t="shared" ref="AC37:AC41" si="51">Z37/Z43</f>
        <v>3.8136721075672497</v>
      </c>
      <c r="AD37">
        <f t="shared" ref="AD37:AD41" si="52">AA37/AA43</f>
        <v>251.77186049216871</v>
      </c>
      <c r="AH37" t="s">
        <v>6</v>
      </c>
      <c r="AI37" t="s">
        <v>68</v>
      </c>
      <c r="AJ37" t="s">
        <v>69</v>
      </c>
      <c r="AK37" t="s">
        <v>70</v>
      </c>
      <c r="AL37" t="s">
        <v>76</v>
      </c>
      <c r="AM37" t="s">
        <v>71</v>
      </c>
      <c r="AN37" t="s">
        <v>72</v>
      </c>
      <c r="AO37" t="s">
        <v>73</v>
      </c>
      <c r="AP37" t="s">
        <v>77</v>
      </c>
      <c r="AQ37">
        <v>25</v>
      </c>
      <c r="AS37" t="s">
        <v>62</v>
      </c>
      <c r="AT37" t="s">
        <v>63</v>
      </c>
      <c r="AU37" t="s">
        <v>64</v>
      </c>
      <c r="AW37">
        <f>AR38*AM38/AP24/AQ24</f>
        <v>9.9826632965374779E-2</v>
      </c>
      <c r="AX37">
        <f>AR38*AN38/AQ37/AR24</f>
        <v>0.999955712509774</v>
      </c>
      <c r="AY37">
        <f>AQ42*AK42/AR43/AS25</f>
        <v>5.1350255431998465E-4</v>
      </c>
    </row>
    <row r="38" spans="1:51" x14ac:dyDescent="0.25">
      <c r="I38" s="33">
        <f t="shared" ref="I38:I41" si="53">1-J38-K38</f>
        <v>0.9814004329924565</v>
      </c>
      <c r="J38">
        <v>1.8063711535249834E-2</v>
      </c>
      <c r="K38">
        <v>5.358554722936738E-4</v>
      </c>
      <c r="L38">
        <v>1</v>
      </c>
      <c r="M38" s="48">
        <v>7.6048077828900062E-3</v>
      </c>
      <c r="N38">
        <v>0.12632714054874034</v>
      </c>
      <c r="O38" s="33">
        <f t="shared" ref="O38:O41" si="54">1-M38-N38</f>
        <v>0.86606805166836964</v>
      </c>
      <c r="P38">
        <f t="shared" ref="P38:P41" si="55">I38+$N$25*J38+$P$25*K38</f>
        <v>0.98725826961748742</v>
      </c>
      <c r="Q38">
        <f t="shared" ref="Q38:Q41" si="56">$M$25*I38+J38+$R$25*K38</f>
        <v>0.44102164202744559</v>
      </c>
      <c r="R38">
        <f t="shared" ref="R38:R41" si="57">$O$25*I38+$Q$25*J38+K38</f>
        <v>5.7397337432160397E-2</v>
      </c>
      <c r="S38">
        <f t="shared" ref="S38:S41" si="58">J38*$H$25*$N$25+K38*$J$25*$P$25</f>
        <v>1.6759575989225513E-2</v>
      </c>
      <c r="T38">
        <f t="shared" ref="T38:T41" si="59">I38*$G$25*$M$25+K38*$L$25*$R$25</f>
        <v>0.89031632740898148</v>
      </c>
      <c r="U38">
        <f t="shared" ref="U38:U41" si="60">I38*$I$25*$O$25+J38*$K$25*$Q$25</f>
        <v>0.40245911011586805</v>
      </c>
      <c r="V38">
        <f t="shared" ref="V38:V41" si="61">S38/P38-I38*S38/P38^2+J38*$M$25/Q38*($G$25-T38/Q38)+K38*$O$25/R38*($I$25-U38/R38)</f>
        <v>1.798095508802594E-3</v>
      </c>
      <c r="W38">
        <f t="shared" ref="W38:W41" si="62">T38/Q38-J38*T38/Q38^2+(I38*$N$25/P38)*($H$25-S38/P38)+(K38*$Q$25/R38)*($K$25-U38/R38)</f>
        <v>2.8317957266438647</v>
      </c>
      <c r="X38">
        <f t="shared" ref="X38:X41" si="63">U38/R38-K38*U38/R38^2+I38*$P$25/P38*($J$25-S38/P38)+J38*$R$25/Q38*($L$25-T38/Q38)</f>
        <v>7.4018723568268001</v>
      </c>
      <c r="Y38">
        <f t="shared" ref="Y38:Y41" si="64">EXP(V38)</f>
        <v>1.0017997130518856</v>
      </c>
      <c r="Z38">
        <f t="shared" ref="Z38:Z41" si="65">EXP(W38)</f>
        <v>16.97591757785359</v>
      </c>
      <c r="AA38">
        <f t="shared" ref="AA38:AA41" si="66">EXP(X38)</f>
        <v>1639.0504460543009</v>
      </c>
      <c r="AB38">
        <f>Y38/Y44</f>
        <v>7.7489346101169265E-3</v>
      </c>
      <c r="AC38">
        <f t="shared" si="51"/>
        <v>6.9934210530975829</v>
      </c>
      <c r="AD38">
        <f t="shared" si="52"/>
        <v>1616.2344073095542</v>
      </c>
      <c r="AH38">
        <v>1</v>
      </c>
      <c r="AI38">
        <v>0.7976259415797109</v>
      </c>
      <c r="AJ38">
        <v>0.20047451700830898</v>
      </c>
      <c r="AK38">
        <v>1.8995414119801297E-3</v>
      </c>
      <c r="AL38">
        <v>1</v>
      </c>
      <c r="AM38">
        <v>3.6215390806816142E-2</v>
      </c>
      <c r="AN38">
        <v>0.67370974766099634</v>
      </c>
      <c r="AO38">
        <v>0.29007486153218753</v>
      </c>
      <c r="AP38">
        <v>1</v>
      </c>
      <c r="AQ38">
        <v>10.061575038681639</v>
      </c>
      <c r="AR38">
        <v>24.11911121176221</v>
      </c>
      <c r="AS38">
        <v>4.5403978129260669E-2</v>
      </c>
      <c r="AT38">
        <v>3.3605754871731324</v>
      </c>
      <c r="AU38">
        <v>152.70783764056304</v>
      </c>
    </row>
    <row r="39" spans="1:51" x14ac:dyDescent="0.25">
      <c r="A39" s="49" t="s">
        <v>57</v>
      </c>
      <c r="B39">
        <f>8.314/1000</f>
        <v>8.3140000000000002E-3</v>
      </c>
      <c r="C39" t="s">
        <v>58</v>
      </c>
      <c r="I39" s="33">
        <f t="shared" si="53"/>
        <v>0.99764482669396148</v>
      </c>
      <c r="J39">
        <v>1.8913666198813075E-3</v>
      </c>
      <c r="K39">
        <v>4.6380668615719496E-4</v>
      </c>
      <c r="L39">
        <v>1</v>
      </c>
      <c r="M39" s="48">
        <v>2.3017264751769026E-3</v>
      </c>
      <c r="N39">
        <v>1.4092747062075174E-2</v>
      </c>
      <c r="O39" s="33">
        <f t="shared" si="54"/>
        <v>0.9836055264627479</v>
      </c>
      <c r="P39">
        <f t="shared" si="55"/>
        <v>0.99829329796017385</v>
      </c>
      <c r="Q39">
        <f t="shared" si="56"/>
        <v>0.43177589412932088</v>
      </c>
      <c r="R39">
        <f t="shared" si="57"/>
        <v>5.4973597694658899E-2</v>
      </c>
      <c r="S39">
        <f t="shared" si="58"/>
        <v>1.9700980614914721E-3</v>
      </c>
      <c r="T39">
        <f t="shared" si="59"/>
        <v>0.90503725077986019</v>
      </c>
      <c r="U39">
        <f t="shared" si="60"/>
        <v>0.39586803796206971</v>
      </c>
      <c r="V39">
        <f t="shared" si="61"/>
        <v>6.0612777648357243E-5</v>
      </c>
      <c r="W39">
        <f t="shared" si="62"/>
        <v>2.9924541181131783</v>
      </c>
      <c r="X39">
        <f t="shared" si="63"/>
        <v>7.6602533792165408</v>
      </c>
      <c r="Y39">
        <f t="shared" si="64"/>
        <v>1.0000606146146398</v>
      </c>
      <c r="Z39">
        <f t="shared" si="65"/>
        <v>19.934544236884019</v>
      </c>
      <c r="AA39">
        <f t="shared" si="66"/>
        <v>2122.2951059286693</v>
      </c>
      <c r="AB39">
        <f>Y39/Y45</f>
        <v>2.3071602373807023E-3</v>
      </c>
      <c r="AC39">
        <f t="shared" si="51"/>
        <v>7.4510921964772479</v>
      </c>
      <c r="AD39">
        <f t="shared" si="52"/>
        <v>2120.723042205952</v>
      </c>
      <c r="AH39">
        <v>2</v>
      </c>
      <c r="AI39">
        <v>0.96563174973024146</v>
      </c>
      <c r="AJ39">
        <v>3.3757630050776213E-2</v>
      </c>
      <c r="AK39">
        <v>6.1062021898224085E-4</v>
      </c>
      <c r="AL39">
        <v>1</v>
      </c>
      <c r="AM39">
        <v>1.6214071409224998E-2</v>
      </c>
      <c r="AN39">
        <v>0.21962585145662708</v>
      </c>
      <c r="AO39">
        <v>0.76416007713414791</v>
      </c>
      <c r="AP39">
        <v>1</v>
      </c>
      <c r="AQ39">
        <v>8.1801315980314975</v>
      </c>
      <c r="AR39">
        <v>9.1806862504438449</v>
      </c>
      <c r="AS39">
        <v>1.6791153991937976E-2</v>
      </c>
      <c r="AT39">
        <v>6.5059617966746766</v>
      </c>
      <c r="AU39">
        <v>1251.4490240886907</v>
      </c>
    </row>
    <row r="40" spans="1:51" x14ac:dyDescent="0.25">
      <c r="A40" s="49" t="s">
        <v>59</v>
      </c>
      <c r="B40">
        <v>318.14999999999998</v>
      </c>
      <c r="C40" t="s">
        <v>60</v>
      </c>
      <c r="I40" s="33">
        <f t="shared" si="53"/>
        <v>0.99934907657438543</v>
      </c>
      <c r="J40">
        <v>1.9440776527489408E-4</v>
      </c>
      <c r="K40">
        <v>4.5651566033969547E-4</v>
      </c>
      <c r="L40">
        <v>1</v>
      </c>
      <c r="M40" s="48">
        <v>1.9468881428239384E-3</v>
      </c>
      <c r="N40">
        <v>1.4573990412003893E-3</v>
      </c>
      <c r="O40" s="33">
        <f t="shared" si="54"/>
        <v>0.9965957128159757</v>
      </c>
      <c r="P40">
        <f t="shared" si="55"/>
        <v>0.9994509540176264</v>
      </c>
      <c r="Q40">
        <f t="shared" si="56"/>
        <v>0.4308058720863861</v>
      </c>
      <c r="R40">
        <f t="shared" si="57"/>
        <v>5.4719529910218272E-2</v>
      </c>
      <c r="S40">
        <f t="shared" si="58"/>
        <v>4.1838504510130427E-4</v>
      </c>
      <c r="T40">
        <f t="shared" si="59"/>
        <v>0.9065817210206506</v>
      </c>
      <c r="U40">
        <f t="shared" si="60"/>
        <v>0.39517633257860918</v>
      </c>
      <c r="V40">
        <f t="shared" si="61"/>
        <v>2.9146130587740967E-5</v>
      </c>
      <c r="W40">
        <f t="shared" si="62"/>
        <v>3.010015364022113</v>
      </c>
      <c r="X40">
        <f t="shared" si="63"/>
        <v>7.6887662901311353</v>
      </c>
      <c r="Y40">
        <f t="shared" si="64"/>
        <v>1.0000291465553404</v>
      </c>
      <c r="Z40">
        <f t="shared" si="65"/>
        <v>20.287711623696463</v>
      </c>
      <c r="AA40">
        <f t="shared" si="66"/>
        <v>2183.6788735445625</v>
      </c>
      <c r="AB40">
        <f>Y40/Y46</f>
        <v>1.9481562433594979E-3</v>
      </c>
      <c r="AC40">
        <f t="shared" si="51"/>
        <v>7.4966091973724192</v>
      </c>
      <c r="AD40">
        <f t="shared" si="52"/>
        <v>2183.0482487159456</v>
      </c>
      <c r="AH40">
        <v>3</v>
      </c>
      <c r="AI40">
        <v>0.99439879916335161</v>
      </c>
      <c r="AJ40">
        <v>5.1233691974359712E-3</v>
      </c>
      <c r="AK40">
        <v>4.7783163921246016E-4</v>
      </c>
      <c r="AL40">
        <v>1</v>
      </c>
      <c r="AM40">
        <v>3.0794737294752485E-3</v>
      </c>
      <c r="AN40">
        <v>3.7725088771859622E-2</v>
      </c>
      <c r="AO40">
        <v>0.95919543749866509</v>
      </c>
      <c r="AP40">
        <v>1</v>
      </c>
      <c r="AQ40">
        <v>7.9354994388385895</v>
      </c>
      <c r="AR40">
        <v>7.2992428097937045</v>
      </c>
      <c r="AS40">
        <v>3.0968196382238169E-3</v>
      </c>
      <c r="AT40">
        <v>7.3633359842073114</v>
      </c>
      <c r="AU40">
        <v>2007.3920577539955</v>
      </c>
    </row>
    <row r="41" spans="1:51" ht="15.75" thickBot="1" x14ac:dyDescent="0.3">
      <c r="I41" s="33">
        <f t="shared" si="53"/>
        <v>0.99952597112891417</v>
      </c>
      <c r="J41">
        <v>1.8267141919972515E-5</v>
      </c>
      <c r="K41">
        <v>4.5576172916578282E-4</v>
      </c>
      <c r="L41">
        <v>1</v>
      </c>
      <c r="M41" s="48">
        <v>1.912117074381034E-3</v>
      </c>
      <c r="N41">
        <v>1.37027595313527E-4</v>
      </c>
      <c r="O41" s="33">
        <f t="shared" si="54"/>
        <v>0.99795085533030548</v>
      </c>
      <c r="P41">
        <f t="shared" si="55"/>
        <v>0.99957111357347861</v>
      </c>
      <c r="Q41">
        <f t="shared" si="56"/>
        <v>0.43070518731265195</v>
      </c>
      <c r="R41">
        <f t="shared" si="57"/>
        <v>5.4693160935143648E-2</v>
      </c>
      <c r="S41">
        <f t="shared" si="58"/>
        <v>2.5732213349327453E-4</v>
      </c>
      <c r="T41">
        <f t="shared" si="59"/>
        <v>0.90674203162288836</v>
      </c>
      <c r="U41">
        <f t="shared" si="60"/>
        <v>0.39510453393928552</v>
      </c>
      <c r="V41">
        <f t="shared" si="61"/>
        <v>2.7593340654195531E-5</v>
      </c>
      <c r="W41">
        <f t="shared" si="62"/>
        <v>3.01184611109242</v>
      </c>
      <c r="X41">
        <f t="shared" si="63"/>
        <v>7.6917418260283572</v>
      </c>
      <c r="Y41">
        <f t="shared" si="64"/>
        <v>1.0000275937213539</v>
      </c>
      <c r="Z41">
        <f t="shared" si="65"/>
        <v>20.324887311572333</v>
      </c>
      <c r="AA41">
        <f t="shared" si="66"/>
        <v>2190.1861649592038</v>
      </c>
      <c r="AB41">
        <f>Y41/Y47</f>
        <v>1.9130239029421059E-3</v>
      </c>
      <c r="AC41">
        <f t="shared" si="51"/>
        <v>7.5013155267440528</v>
      </c>
      <c r="AD41">
        <f t="shared" si="52"/>
        <v>2189.63285301935</v>
      </c>
      <c r="AH41">
        <v>4</v>
      </c>
      <c r="AI41">
        <v>0.99878550116698417</v>
      </c>
      <c r="AJ41">
        <v>7.5557762158256646E-4</v>
      </c>
      <c r="AK41">
        <v>4.589212114332864E-4</v>
      </c>
      <c r="AL41">
        <v>1</v>
      </c>
      <c r="AM41">
        <v>2.0602343501885572E-3</v>
      </c>
      <c r="AN41">
        <v>5.6529246615080169E-3</v>
      </c>
      <c r="AO41">
        <v>0.99228684098830344</v>
      </c>
      <c r="AP41">
        <v>1</v>
      </c>
      <c r="AQ41">
        <v>7.899642762408182</v>
      </c>
      <c r="AR41">
        <v>7.0546106506007957</v>
      </c>
      <c r="AS41">
        <v>2.0627395449587253E-3</v>
      </c>
      <c r="AT41">
        <v>7.4815935517887597</v>
      </c>
      <c r="AU41">
        <v>2162.2161196019433</v>
      </c>
    </row>
    <row r="42" spans="1:51" ht="15.75" thickBot="1" x14ac:dyDescent="0.3">
      <c r="P42" s="42" t="s">
        <v>103</v>
      </c>
      <c r="Q42" s="43" t="s">
        <v>104</v>
      </c>
      <c r="R42" s="44" t="s">
        <v>105</v>
      </c>
      <c r="S42" s="42" t="s">
        <v>106</v>
      </c>
      <c r="T42" s="43" t="s">
        <v>107</v>
      </c>
      <c r="U42" s="44" t="s">
        <v>108</v>
      </c>
      <c r="V42" s="45" t="s">
        <v>51</v>
      </c>
      <c r="W42" s="46" t="s">
        <v>52</v>
      </c>
      <c r="X42" s="47" t="s">
        <v>53</v>
      </c>
      <c r="Y42" s="42" t="s">
        <v>109</v>
      </c>
      <c r="Z42" s="43" t="s">
        <v>110</v>
      </c>
      <c r="AA42" s="43" t="s">
        <v>111</v>
      </c>
      <c r="AB42" s="19" t="s">
        <v>54</v>
      </c>
      <c r="AC42" s="93" t="s">
        <v>55</v>
      </c>
      <c r="AD42" s="22" t="s">
        <v>56</v>
      </c>
      <c r="AH42">
        <v>5</v>
      </c>
      <c r="AI42">
        <v>0.99944526222837382</v>
      </c>
      <c r="AJ42">
        <v>9.8632124556983068E-5</v>
      </c>
      <c r="AK42">
        <v>4.5610564706923689E-4</v>
      </c>
      <c r="AL42">
        <v>1</v>
      </c>
      <c r="AM42">
        <v>1.92793393084047E-3</v>
      </c>
      <c r="AN42">
        <v>7.3965893450619272E-4</v>
      </c>
      <c r="AO42">
        <v>0.99733240713465332</v>
      </c>
      <c r="AP42">
        <v>1</v>
      </c>
      <c r="AQ42">
        <v>7.880888788237792</v>
      </c>
      <c r="AR42">
        <v>7.018753974170389</v>
      </c>
      <c r="AS42">
        <v>1.9290040222332216E-3</v>
      </c>
      <c r="AT42">
        <v>7.4991686311985211</v>
      </c>
      <c r="AU42">
        <v>2186.6258695614397</v>
      </c>
    </row>
    <row r="43" spans="1:51" x14ac:dyDescent="0.25">
      <c r="P43">
        <f>M37+$N$25*N37+$P$25*O37</f>
        <v>0.25967637547465078</v>
      </c>
      <c r="Q43">
        <f>$M$25*M37+N37+$R$25*O37</f>
        <v>0.94950635356695956</v>
      </c>
      <c r="R43">
        <f>$O$25*M37+$Q$25*N37+O37</f>
        <v>0.48841619786878032</v>
      </c>
      <c r="S43">
        <f>N37*$H$25*$N$25+O37*$J$25*$P$25</f>
        <v>0.73825593841931714</v>
      </c>
      <c r="T43">
        <f>M37*$G$25*$M$25+O37*$L$25*$R$25</f>
        <v>0.10447143447782903</v>
      </c>
      <c r="U43">
        <f>M37*$I$25*$O$25+N37*$K$25*$Q$25</f>
        <v>0.49444102962518371</v>
      </c>
      <c r="V43">
        <f>S43/P43-M37*S43/P43^2+N37*$M$25/Q43*($G$25-T43/Q43)+O37*$O$25/R43*($I$25-U43/R43)</f>
        <v>3.2447781191863072</v>
      </c>
      <c r="W43">
        <f>T43/Q43-N37*T43/Q43^2+(M37*$N$25/P43)*($H$25-S43/P43)+(O37*$Q$25/R43)*($K$25-U43/R43)</f>
        <v>0.49320109804707024</v>
      </c>
      <c r="X43">
        <f>U43/R43-O37*U43/R43^2+M37*$P$25/P43*($J$25-S43/P43)+N37*$R$25/Q43*($L$25-T43/Q43)</f>
        <v>0.35002847055899255</v>
      </c>
      <c r="Y43">
        <f>EXP(V43)</f>
        <v>25.656016850749687</v>
      </c>
      <c r="Z43">
        <f t="shared" ref="Z43:AA43" si="67">EXP(W43)</f>
        <v>1.6375497963458105</v>
      </c>
      <c r="AA43">
        <f t="shared" si="67"/>
        <v>1.4191079508147482</v>
      </c>
      <c r="AB43">
        <f>Y43/Y37</f>
        <v>23.372158379400616</v>
      </c>
      <c r="AC43">
        <f>Z43/Z37</f>
        <v>0.26221446726260433</v>
      </c>
      <c r="AD43">
        <f>AA43/AA37</f>
        <v>3.9718497454210326E-3</v>
      </c>
      <c r="AM43">
        <v>0</v>
      </c>
      <c r="AN43">
        <v>0</v>
      </c>
      <c r="AO43">
        <v>1</v>
      </c>
      <c r="AR43">
        <v>7</v>
      </c>
    </row>
    <row r="44" spans="1:51" x14ac:dyDescent="0.25">
      <c r="P44">
        <f>M38+$N$25*N38+$P$25*O38</f>
        <v>0.12286278907102825</v>
      </c>
      <c r="Q44">
        <f t="shared" ref="Q44:Q47" si="68">$M$25*M38+N38+$R$25*O38</f>
        <v>0.92496065190896681</v>
      </c>
      <c r="R44">
        <f t="shared" ref="R44:R47" si="69">$O$25*M38+$Q$25*N38+O38</f>
        <v>0.89173544334522048</v>
      </c>
      <c r="S44">
        <f t="shared" ref="S44:S47" si="70">N38*$H$25*$N$25+O38*$J$25*$P$25</f>
        <v>0.57254564546984055</v>
      </c>
      <c r="T44">
        <f t="shared" ref="T44:T47" si="71">M38*$G$25*$M$25+O38*$L$25*$R$25</f>
        <v>0.17624786430402464</v>
      </c>
      <c r="U44">
        <f t="shared" ref="U44:U47" si="72">M38*$I$25*$O$25+N38*$K$25*$Q$25</f>
        <v>0.10464759062492172</v>
      </c>
      <c r="V44">
        <f t="shared" ref="V44:V47" si="73">S44/P44-M38*S44/P44^2+N38*$M$25/Q44*($G$25-T44/Q44)+O38*$O$25/R44*($I$25-U44/R44)</f>
        <v>4.8619980102378362</v>
      </c>
      <c r="W44">
        <f t="shared" ref="W44:W47" si="74">T44/Q44-N38*T44/Q44^2+(M38*$N$25/P44)*($H$25-S44/P44)+(O38*$Q$25/R44)*($K$25-U44/R44)</f>
        <v>0.88682586908155836</v>
      </c>
      <c r="X44">
        <f t="shared" ref="X44:X47" si="75">U44/R44-O38*U44/R44^2+M38*$P$25/P44*($J$25-S44/P44)+N38*$R$25/Q44*($L$25-T44/Q44)</f>
        <v>1.4018074236888224E-2</v>
      </c>
      <c r="Y44">
        <f t="shared" ref="Y44:Y47" si="76">EXP(V44)</f>
        <v>129.28225149092711</v>
      </c>
      <c r="Z44">
        <f t="shared" ref="Z44:Z47" si="77">EXP(W44)</f>
        <v>2.4274124851004757</v>
      </c>
      <c r="AA44">
        <f t="shared" ref="AA44:AA47" si="78">EXP(X44)</f>
        <v>1.01411678815991</v>
      </c>
      <c r="AB44">
        <f t="shared" ref="AB44:AD44" si="79">Y44/Y38</f>
        <v>129.04999852423722</v>
      </c>
      <c r="AC44">
        <f t="shared" si="79"/>
        <v>0.14299153338652074</v>
      </c>
      <c r="AD44">
        <f t="shared" si="79"/>
        <v>6.1872213305038987E-4</v>
      </c>
    </row>
    <row r="45" spans="1:51" x14ac:dyDescent="0.25">
      <c r="P45">
        <f t="shared" ref="P45:P47" si="80">M39+$N$25*N39+$P$25*O39</f>
        <v>9.1576558498310853E-2</v>
      </c>
      <c r="Q45">
        <f t="shared" si="68"/>
        <v>0.91838481716735754</v>
      </c>
      <c r="R45">
        <f t="shared" si="69"/>
        <v>0.98654777609272071</v>
      </c>
      <c r="S45">
        <f t="shared" si="70"/>
        <v>0.53223659745652074</v>
      </c>
      <c r="T45">
        <f t="shared" si="71"/>
        <v>0.19442063493081155</v>
      </c>
      <c r="U45">
        <f t="shared" si="72"/>
        <v>1.2248706657443697E-2</v>
      </c>
      <c r="V45">
        <f t="shared" si="73"/>
        <v>6.0717984579447819</v>
      </c>
      <c r="W45">
        <f t="shared" si="74"/>
        <v>0.98409349291296788</v>
      </c>
      <c r="X45">
        <f t="shared" si="75"/>
        <v>7.4101205310330885E-4</v>
      </c>
      <c r="Y45">
        <f t="shared" si="76"/>
        <v>433.45953974570892</v>
      </c>
      <c r="Z45">
        <f t="shared" si="77"/>
        <v>2.6753855288904811</v>
      </c>
      <c r="AA45">
        <f t="shared" si="78"/>
        <v>1.0007412866703622</v>
      </c>
      <c r="AB45">
        <f t="shared" ref="AB45:AD45" si="81">Y45/Y39</f>
        <v>433.43326735523613</v>
      </c>
      <c r="AC45">
        <f t="shared" si="81"/>
        <v>0.1342085124745582</v>
      </c>
      <c r="AD45">
        <f t="shared" si="81"/>
        <v>4.71537291809595E-4</v>
      </c>
    </row>
    <row r="46" spans="1:51" x14ac:dyDescent="0.25">
      <c r="P46">
        <f t="shared" si="80"/>
        <v>8.8275672422727297E-2</v>
      </c>
      <c r="Q46">
        <f t="shared" si="68"/>
        <v>0.91752635250172743</v>
      </c>
      <c r="R46">
        <f t="shared" si="69"/>
        <v>0.99699270665078499</v>
      </c>
      <c r="S46">
        <f t="shared" si="70"/>
        <v>0.52757072300059493</v>
      </c>
      <c r="T46">
        <f t="shared" si="71"/>
        <v>0.19663884908557072</v>
      </c>
      <c r="U46">
        <f t="shared" si="72"/>
        <v>1.9421695455900791E-3</v>
      </c>
      <c r="V46">
        <f t="shared" si="73"/>
        <v>6.2409010160453988</v>
      </c>
      <c r="W46">
        <f t="shared" si="74"/>
        <v>0.99556455272805067</v>
      </c>
      <c r="X46">
        <f t="shared" si="75"/>
        <v>2.8883180255806815E-4</v>
      </c>
      <c r="Y46">
        <f t="shared" si="76"/>
        <v>513.32081292968587</v>
      </c>
      <c r="Z46">
        <f t="shared" si="77"/>
        <v>2.7062517318906472</v>
      </c>
      <c r="AA46">
        <f t="shared" si="78"/>
        <v>1.0002888735184794</v>
      </c>
      <c r="AB46">
        <f t="shared" ref="AB46:AD46" si="82">Y46/Y40</f>
        <v>513.3058518322689</v>
      </c>
      <c r="AC46">
        <f t="shared" si="82"/>
        <v>0.13339364153469579</v>
      </c>
      <c r="AD46">
        <f t="shared" si="82"/>
        <v>4.5807507946202898E-4</v>
      </c>
    </row>
    <row r="47" spans="1:51" x14ac:dyDescent="0.25">
      <c r="P47">
        <f t="shared" si="80"/>
        <v>8.7932845673342461E-2</v>
      </c>
      <c r="Q47">
        <f t="shared" si="68"/>
        <v>0.91743551798665168</v>
      </c>
      <c r="R47">
        <f t="shared" si="69"/>
        <v>0.99808199973134959</v>
      </c>
      <c r="S47">
        <f t="shared" si="70"/>
        <v>0.52708192820667776</v>
      </c>
      <c r="T47">
        <f t="shared" si="71"/>
        <v>0.19687229141856744</v>
      </c>
      <c r="U47">
        <f t="shared" si="72"/>
        <v>8.6606736561427181E-4</v>
      </c>
      <c r="V47">
        <f t="shared" si="73"/>
        <v>6.2590976869390227</v>
      </c>
      <c r="W47">
        <f t="shared" si="74"/>
        <v>0.99676770236568846</v>
      </c>
      <c r="X47">
        <f t="shared" si="75"/>
        <v>2.5266429527145506E-4</v>
      </c>
      <c r="Y47">
        <f t="shared" si="76"/>
        <v>522.74704575482656</v>
      </c>
      <c r="Z47">
        <f t="shared" si="77"/>
        <v>2.709509717210143</v>
      </c>
      <c r="AA47">
        <f t="shared" si="78"/>
        <v>1.0002526962175831</v>
      </c>
      <c r="AB47">
        <f t="shared" ref="AB47:AD47" si="83">Y47/Y41</f>
        <v>522.73262161652315</v>
      </c>
      <c r="AC47">
        <f t="shared" si="83"/>
        <v>0.13330995029268555</v>
      </c>
      <c r="AD47">
        <f t="shared" si="83"/>
        <v>4.566975685540478E-4</v>
      </c>
    </row>
    <row r="48" spans="1:51" ht="15.75" thickBot="1" x14ac:dyDescent="0.3">
      <c r="AO48" t="s">
        <v>18</v>
      </c>
      <c r="AP48">
        <v>10</v>
      </c>
      <c r="AQ48">
        <v>0</v>
      </c>
      <c r="AR48">
        <v>0</v>
      </c>
      <c r="AS48">
        <v>1</v>
      </c>
    </row>
    <row r="49" spans="8:47" ht="15.75" thickBot="1" x14ac:dyDescent="0.3">
      <c r="H49" s="50" t="s">
        <v>61</v>
      </c>
      <c r="I49" s="38" t="s">
        <v>39</v>
      </c>
      <c r="J49" s="39" t="s">
        <v>40</v>
      </c>
      <c r="K49" s="40" t="s">
        <v>41</v>
      </c>
      <c r="L49" s="41"/>
      <c r="M49" s="38" t="s">
        <v>42</v>
      </c>
      <c r="N49" s="39" t="s">
        <v>43</v>
      </c>
      <c r="O49" s="40" t="s">
        <v>44</v>
      </c>
      <c r="P49" s="50" t="s">
        <v>61</v>
      </c>
    </row>
    <row r="50" spans="8:47" x14ac:dyDescent="0.25">
      <c r="H50" s="51">
        <f>SUM(I50:K50)</f>
        <v>1.0000000007630221</v>
      </c>
      <c r="I50" s="33">
        <f t="shared" ref="I50:K53" si="84">M37*AB43</f>
        <v>0.84204542742442667</v>
      </c>
      <c r="J50" s="33">
        <f t="shared" si="84"/>
        <v>0.1564963220979757</v>
      </c>
      <c r="K50" s="33">
        <f t="shared" si="84"/>
        <v>1.458251240619746E-3</v>
      </c>
      <c r="L50" s="33"/>
      <c r="M50" s="33">
        <f t="shared" ref="M50:O54" si="85">I37*AB37</f>
        <v>3.6027713532473853E-2</v>
      </c>
      <c r="N50" s="33">
        <f t="shared" si="85"/>
        <v>0.59682565826832434</v>
      </c>
      <c r="O50" s="33">
        <f t="shared" si="85"/>
        <v>0.36714662772568163</v>
      </c>
      <c r="P50" s="51">
        <f>SUM(M50:O50)</f>
        <v>0.99999999952647978</v>
      </c>
      <c r="AQ50" t="s">
        <v>74</v>
      </c>
      <c r="AR50" t="s">
        <v>75</v>
      </c>
    </row>
    <row r="51" spans="8:47" x14ac:dyDescent="0.25">
      <c r="H51" s="51">
        <f>SUM(I51:K51)</f>
        <v>1.0000000001667571</v>
      </c>
      <c r="I51" s="33">
        <f t="shared" si="84"/>
        <v>0.98140043315906311</v>
      </c>
      <c r="J51" s="33">
        <f t="shared" si="84"/>
        <v>1.8063711535398902E-2</v>
      </c>
      <c r="K51" s="33">
        <f t="shared" si="84"/>
        <v>5.3585547229504889E-4</v>
      </c>
      <c r="L51" s="33"/>
      <c r="M51" s="33">
        <f t="shared" si="85"/>
        <v>7.6048077815989833E-3</v>
      </c>
      <c r="N51" s="33">
        <f t="shared" si="85"/>
        <v>0.12632714054769784</v>
      </c>
      <c r="O51" s="33">
        <f t="shared" si="85"/>
        <v>0.86606805166614709</v>
      </c>
      <c r="P51" s="51">
        <f>SUM(M51:O51)</f>
        <v>0.99999999999544387</v>
      </c>
      <c r="AH51" t="s">
        <v>6</v>
      </c>
      <c r="AI51" t="s">
        <v>68</v>
      </c>
      <c r="AJ51" t="s">
        <v>69</v>
      </c>
      <c r="AK51" t="s">
        <v>70</v>
      </c>
      <c r="AL51" t="s">
        <v>76</v>
      </c>
      <c r="AM51" t="s">
        <v>71</v>
      </c>
      <c r="AN51" t="s">
        <v>72</v>
      </c>
      <c r="AO51" t="s">
        <v>73</v>
      </c>
      <c r="AP51" t="s">
        <v>77</v>
      </c>
      <c r="AQ51">
        <v>25</v>
      </c>
      <c r="AS51" t="s">
        <v>62</v>
      </c>
      <c r="AT51" t="s">
        <v>63</v>
      </c>
      <c r="AU51" t="s">
        <v>64</v>
      </c>
    </row>
    <row r="52" spans="8:47" x14ac:dyDescent="0.25">
      <c r="H52" s="51">
        <f>SUM(I52:K52)</f>
        <v>1.0000000000000142</v>
      </c>
      <c r="I52" s="33">
        <f t="shared" si="84"/>
        <v>0.99764482669397569</v>
      </c>
      <c r="J52" s="33">
        <f t="shared" si="84"/>
        <v>1.8913666198813095E-3</v>
      </c>
      <c r="K52" s="33">
        <f t="shared" si="84"/>
        <v>4.6380668615719507E-4</v>
      </c>
      <c r="L52" s="33"/>
      <c r="M52" s="33">
        <f t="shared" si="85"/>
        <v>2.3017264751768697E-3</v>
      </c>
      <c r="N52" s="33">
        <f t="shared" si="85"/>
        <v>1.409274706207516E-2</v>
      </c>
      <c r="O52" s="33">
        <f t="shared" si="85"/>
        <v>0.98360552646274768</v>
      </c>
      <c r="P52" s="51">
        <f>SUM(M52:O52)</f>
        <v>0.99999999999999967</v>
      </c>
      <c r="AH52">
        <v>1</v>
      </c>
      <c r="AI52">
        <v>0.84204542672865368</v>
      </c>
      <c r="AJ52">
        <v>0.15649632203148184</v>
      </c>
      <c r="AK52">
        <v>1.4582512398644391E-3</v>
      </c>
      <c r="AL52">
        <v>0.99999999999999989</v>
      </c>
      <c r="AM52">
        <v>3.6027713562243158E-2</v>
      </c>
      <c r="AN52">
        <v>0.59682565852191027</v>
      </c>
      <c r="AO52">
        <v>0.36714662791584662</v>
      </c>
      <c r="AP52">
        <v>1</v>
      </c>
      <c r="AQ52">
        <v>9.3308044168879807</v>
      </c>
      <c r="AR52">
        <v>27.227251096192802</v>
      </c>
      <c r="AS52">
        <v>4.2785950043349584E-2</v>
      </c>
      <c r="AT52">
        <v>3.8136721091876451</v>
      </c>
      <c r="AU52">
        <v>251.77186062257491</v>
      </c>
    </row>
    <row r="53" spans="8:47" x14ac:dyDescent="0.25">
      <c r="H53" s="51">
        <f>SUM(I53:K53)</f>
        <v>1.0000000000000002</v>
      </c>
      <c r="I53" s="33">
        <f t="shared" si="84"/>
        <v>0.99934907657438565</v>
      </c>
      <c r="J53" s="33">
        <f t="shared" si="84"/>
        <v>1.9440776527489408E-4</v>
      </c>
      <c r="K53" s="33">
        <f t="shared" si="84"/>
        <v>4.5651566033969547E-4</v>
      </c>
      <c r="L53" s="33"/>
      <c r="M53" s="33">
        <f t="shared" si="85"/>
        <v>1.9468881428239379E-3</v>
      </c>
      <c r="N53" s="33">
        <f t="shared" si="85"/>
        <v>1.4573990412003893E-3</v>
      </c>
      <c r="O53" s="33">
        <f t="shared" si="85"/>
        <v>0.9965957128159757</v>
      </c>
      <c r="P53" s="51">
        <f>SUM(M53:O53)</f>
        <v>1</v>
      </c>
      <c r="AH53">
        <v>2</v>
      </c>
      <c r="AI53">
        <v>0.9814004329924565</v>
      </c>
      <c r="AJ53">
        <v>1.8063711535249834E-2</v>
      </c>
      <c r="AK53">
        <v>5.358554722936738E-4</v>
      </c>
      <c r="AL53">
        <v>1</v>
      </c>
      <c r="AM53">
        <v>7.6048077828900062E-3</v>
      </c>
      <c r="AN53">
        <v>0.12632714054874034</v>
      </c>
      <c r="AO53">
        <v>0.86606805166836964</v>
      </c>
      <c r="AP53">
        <v>1</v>
      </c>
      <c r="AQ53">
        <v>7.9401503316120108</v>
      </c>
      <c r="AR53">
        <v>11.558055513080784</v>
      </c>
      <c r="AS53">
        <v>7.7489346114324167E-3</v>
      </c>
      <c r="AT53">
        <v>6.9934210531552949</v>
      </c>
      <c r="AU53">
        <v>1616.2344073137019</v>
      </c>
    </row>
    <row r="54" spans="8:47" x14ac:dyDescent="0.25">
      <c r="H54" s="51">
        <f>SUM(I54:K54)</f>
        <v>1</v>
      </c>
      <c r="I54" s="33">
        <f>M41*AB47</f>
        <v>0.99952597112891428</v>
      </c>
      <c r="J54" s="33">
        <f t="shared" ref="J54:K54" si="86">N41*AC47</f>
        <v>1.8267141919972518E-5</v>
      </c>
      <c r="K54" s="33">
        <f t="shared" si="86"/>
        <v>4.5576172916578282E-4</v>
      </c>
      <c r="L54" s="33"/>
      <c r="M54" s="33">
        <f t="shared" si="85"/>
        <v>1.912117074381034E-3</v>
      </c>
      <c r="N54" s="33">
        <f t="shared" si="85"/>
        <v>1.37027595313527E-4</v>
      </c>
      <c r="O54" s="33">
        <f t="shared" si="85"/>
        <v>0.99795085533030536</v>
      </c>
      <c r="P54" s="51">
        <f>SUM(M54:O54)</f>
        <v>0.99999999999999989</v>
      </c>
      <c r="AH54">
        <v>3</v>
      </c>
      <c r="AI54">
        <v>0.99764482669396148</v>
      </c>
      <c r="AJ54">
        <v>1.8913666198813075E-3</v>
      </c>
      <c r="AK54">
        <v>4.6380668615719496E-4</v>
      </c>
      <c r="AL54">
        <v>1</v>
      </c>
      <c r="AM54">
        <v>2.3017264751769026E-3</v>
      </c>
      <c r="AN54">
        <v>1.4092747062075174E-2</v>
      </c>
      <c r="AO54">
        <v>0.9836055264627479</v>
      </c>
      <c r="AP54">
        <v>1</v>
      </c>
      <c r="AQ54">
        <v>7.8069867418633141</v>
      </c>
      <c r="AR54">
        <v>10.167401427804814</v>
      </c>
      <c r="AS54">
        <v>2.3071602373807352E-3</v>
      </c>
      <c r="AT54">
        <v>7.4510921964772558</v>
      </c>
      <c r="AU54">
        <v>2120.7230422059524</v>
      </c>
    </row>
    <row r="55" spans="8:47" x14ac:dyDescent="0.25">
      <c r="AH55">
        <v>4</v>
      </c>
      <c r="AI55">
        <v>0.99934907657438543</v>
      </c>
      <c r="AJ55">
        <v>1.9440776527489408E-4</v>
      </c>
      <c r="AK55">
        <v>4.5651566033969547E-4</v>
      </c>
      <c r="AL55">
        <v>1</v>
      </c>
      <c r="AM55">
        <v>1.9468881428239384E-3</v>
      </c>
      <c r="AN55">
        <v>1.4573990412003893E-3</v>
      </c>
      <c r="AO55">
        <v>0.9965957128159757</v>
      </c>
      <c r="AP55">
        <v>1</v>
      </c>
      <c r="AQ55">
        <v>7.7932976988998615</v>
      </c>
      <c r="AR55">
        <v>10.034237838056116</v>
      </c>
      <c r="AS55">
        <v>1.9481562433594983E-3</v>
      </c>
      <c r="AT55">
        <v>7.4966091973724183</v>
      </c>
      <c r="AU55">
        <v>2183.0482487159456</v>
      </c>
    </row>
    <row r="56" spans="8:47" x14ac:dyDescent="0.25">
      <c r="H56" s="51"/>
      <c r="I56" s="33"/>
      <c r="J56" s="58"/>
      <c r="K56" s="33"/>
      <c r="L56" s="33"/>
      <c r="M56" s="33"/>
      <c r="N56" s="33"/>
      <c r="O56" s="33"/>
      <c r="P56" s="51"/>
      <c r="AH56">
        <v>5</v>
      </c>
      <c r="AI56">
        <v>0.99952597112891417</v>
      </c>
      <c r="AJ56">
        <v>1.8267141919972515E-5</v>
      </c>
      <c r="AK56">
        <v>4.5576172916578282E-4</v>
      </c>
      <c r="AL56">
        <v>1</v>
      </c>
      <c r="AM56">
        <v>1.912117074381034E-3</v>
      </c>
      <c r="AN56">
        <v>1.37027595313527E-4</v>
      </c>
      <c r="AO56">
        <v>0.99795085533030548</v>
      </c>
      <c r="AP56">
        <v>1</v>
      </c>
      <c r="AQ56">
        <v>7.7727489038071997</v>
      </c>
      <c r="AR56">
        <v>10.020548795092663</v>
      </c>
      <c r="AS56">
        <v>1.9130239029421059E-3</v>
      </c>
      <c r="AT56">
        <v>7.5013155267440537</v>
      </c>
      <c r="AU56">
        <v>2189.6328530193505</v>
      </c>
    </row>
    <row r="57" spans="8:47" x14ac:dyDescent="0.25">
      <c r="AM57">
        <v>0</v>
      </c>
      <c r="AN57">
        <v>0</v>
      </c>
      <c r="AO57">
        <v>1</v>
      </c>
      <c r="AR57">
        <v>10</v>
      </c>
    </row>
  </sheetData>
  <mergeCells count="18">
    <mergeCell ref="L14:M14"/>
    <mergeCell ref="P1:R1"/>
    <mergeCell ref="B7:C7"/>
    <mergeCell ref="D7:E7"/>
    <mergeCell ref="F7:G7"/>
    <mergeCell ref="H7:I7"/>
    <mergeCell ref="J7:K7"/>
    <mergeCell ref="L7:M7"/>
    <mergeCell ref="B14:C14"/>
    <mergeCell ref="D14:E14"/>
    <mergeCell ref="F14:G14"/>
    <mergeCell ref="H14:I14"/>
    <mergeCell ref="J14:K14"/>
    <mergeCell ref="A30:E30"/>
    <mergeCell ref="A35:A36"/>
    <mergeCell ref="D35:D36"/>
    <mergeCell ref="E35:E36"/>
    <mergeCell ref="B36:C3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RTL_5">
                <anchor moveWithCells="1" sizeWithCells="1">
                  <from>
                    <xdr:col>5</xdr:col>
                    <xdr:colOff>0</xdr:colOff>
                    <xdr:row>35</xdr:row>
                    <xdr:rowOff>152400</xdr:rowOff>
                  </from>
                  <to>
                    <xdr:col>6</xdr:col>
                    <xdr:colOff>561975</xdr:colOff>
                    <xdr:row>36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2"/>
  <dimension ref="A1:AY56"/>
  <sheetViews>
    <sheetView topLeftCell="I1" workbookViewId="0">
      <selection activeCell="J23" sqref="J23"/>
    </sheetView>
  </sheetViews>
  <sheetFormatPr defaultRowHeight="15" x14ac:dyDescent="0.25"/>
  <cols>
    <col min="2" max="2" width="13.85546875" bestFit="1" customWidth="1"/>
    <col min="3" max="3" width="14" bestFit="1" customWidth="1"/>
    <col min="25" max="25" width="13.42578125" bestFit="1" customWidth="1"/>
    <col min="31" max="31" width="10" bestFit="1" customWidth="1"/>
    <col min="36" max="36" width="11" bestFit="1" customWidth="1"/>
    <col min="37" max="37" width="12.85546875" bestFit="1" customWidth="1"/>
    <col min="44" max="44" width="11" bestFit="1" customWidth="1"/>
  </cols>
  <sheetData>
    <row r="1" spans="1:51" ht="15.75" thickBot="1" x14ac:dyDescent="0.3">
      <c r="P1" s="142" t="s">
        <v>26</v>
      </c>
      <c r="Q1" s="143"/>
      <c r="R1" s="144"/>
      <c r="S1" s="10" t="s">
        <v>128</v>
      </c>
      <c r="V1" t="s">
        <v>31</v>
      </c>
      <c r="Z1">
        <v>1</v>
      </c>
      <c r="AA1">
        <v>2</v>
      </c>
      <c r="AB1">
        <v>3</v>
      </c>
      <c r="AC1">
        <v>4</v>
      </c>
      <c r="AD1">
        <v>5</v>
      </c>
      <c r="AE1" s="18" t="s">
        <v>23</v>
      </c>
      <c r="AG1" s="17" t="s">
        <v>27</v>
      </c>
      <c r="AN1" s="17" t="s">
        <v>28</v>
      </c>
    </row>
    <row r="2" spans="1:51" ht="15.75" thickBot="1" x14ac:dyDescent="0.3">
      <c r="A2" t="s">
        <v>0</v>
      </c>
      <c r="B2" t="s">
        <v>3</v>
      </c>
      <c r="D2" s="23"/>
      <c r="E2" s="23"/>
      <c r="F2" s="23"/>
      <c r="G2" s="23"/>
      <c r="H2" s="23"/>
      <c r="I2" s="23"/>
      <c r="J2" s="23"/>
      <c r="K2" s="23"/>
      <c r="L2" s="23"/>
      <c r="P2" s="16" t="s">
        <v>0</v>
      </c>
      <c r="Q2" s="14" t="s">
        <v>1</v>
      </c>
      <c r="R2" s="15" t="s">
        <v>2</v>
      </c>
      <c r="S2" s="13" t="s">
        <v>32</v>
      </c>
      <c r="U2" s="16" t="s">
        <v>62</v>
      </c>
      <c r="V2" s="14" t="s">
        <v>63</v>
      </c>
      <c r="W2" s="15" t="s">
        <v>64</v>
      </c>
      <c r="Y2" s="17" t="s">
        <v>19</v>
      </c>
      <c r="Z2" s="1">
        <f>S$9*$U$4+S$4</f>
        <v>11.156678621008407</v>
      </c>
      <c r="AA2" s="2">
        <f>-$S$10*$U$5</f>
        <v>-0.15415429577071169</v>
      </c>
      <c r="AB2" s="2">
        <v>0</v>
      </c>
      <c r="AC2" s="2">
        <v>0</v>
      </c>
      <c r="AD2" s="2">
        <v>0</v>
      </c>
      <c r="AE2" s="11">
        <f>$S$3*$P$3</f>
        <v>8.75</v>
      </c>
      <c r="AH2" s="1">
        <f t="array" ref="AH2:AL6">MINVERSE(Z2:AD6)</f>
        <v>9.1157250388086281E-2</v>
      </c>
      <c r="AI2" s="2">
        <v>1.6908034736850069E-3</v>
      </c>
      <c r="AJ2" s="2">
        <v>4.8114458730731261E-6</v>
      </c>
      <c r="AK2" s="2">
        <v>8.8619726886986463E-9</v>
      </c>
      <c r="AL2" s="3">
        <v>1.5198575239286217E-11</v>
      </c>
      <c r="AN2" s="53">
        <f t="array" ref="AN2:AN6">MMULT(AH2:AL6,AE2:AE6)</f>
        <v>0.797625940895755</v>
      </c>
    </row>
    <row r="3" spans="1:51" ht="26.25" customHeight="1" x14ac:dyDescent="0.25">
      <c r="A3" t="s">
        <v>1</v>
      </c>
      <c r="B3" t="s">
        <v>4</v>
      </c>
      <c r="D3" s="23"/>
      <c r="E3" s="23"/>
      <c r="F3" s="23"/>
      <c r="G3" s="23"/>
      <c r="H3" s="23"/>
      <c r="I3" s="23"/>
      <c r="J3" s="23"/>
      <c r="K3" s="23"/>
      <c r="L3" s="23"/>
      <c r="O3" s="11" t="s">
        <v>7</v>
      </c>
      <c r="P3" s="59">
        <f>AQ24</f>
        <v>0.35</v>
      </c>
      <c r="Q3" s="59">
        <f t="shared" ref="Q3:R3" si="0">AR24</f>
        <v>0.65</v>
      </c>
      <c r="R3" s="59">
        <f t="shared" si="0"/>
        <v>0</v>
      </c>
      <c r="S3" s="90">
        <f>AP24</f>
        <v>25</v>
      </c>
      <c r="U3" s="85" t="s">
        <v>65</v>
      </c>
      <c r="V3" s="86" t="s">
        <v>65</v>
      </c>
      <c r="W3" s="87" t="s">
        <v>65</v>
      </c>
      <c r="Z3" s="66">
        <f>-$S$4</f>
        <v>-10.061575351270955</v>
      </c>
      <c r="AA3" s="5">
        <f>$S$10*$U$5+$S$5</f>
        <v>8.3342861657273914</v>
      </c>
      <c r="AB3" s="5">
        <f>-$S$11*$U$6</f>
        <v>-2.2604438506120525E-2</v>
      </c>
      <c r="AC3" s="5">
        <v>0</v>
      </c>
      <c r="AD3" s="5">
        <v>0</v>
      </c>
      <c r="AE3" s="12">
        <v>0</v>
      </c>
      <c r="AH3" s="4">
        <v>0.11035791425479412</v>
      </c>
      <c r="AI3" s="5">
        <v>0.12236928509112788</v>
      </c>
      <c r="AJ3" s="5">
        <v>3.4822094992472395E-4</v>
      </c>
      <c r="AK3" s="5">
        <v>6.4137156049821395E-7</v>
      </c>
      <c r="AL3" s="6">
        <v>1.0999733649598926E-9</v>
      </c>
      <c r="AN3" s="54">
        <v>0.96563174972944854</v>
      </c>
      <c r="AV3" s="25"/>
      <c r="AW3" s="25"/>
      <c r="AX3" s="25"/>
      <c r="AY3" s="25"/>
    </row>
    <row r="4" spans="1:51" x14ac:dyDescent="0.25">
      <c r="A4" t="s">
        <v>2</v>
      </c>
      <c r="B4" t="s">
        <v>5</v>
      </c>
      <c r="D4" s="23"/>
      <c r="E4" s="23"/>
      <c r="F4" s="23"/>
      <c r="G4" s="23"/>
      <c r="H4" s="23"/>
      <c r="I4" s="23"/>
      <c r="J4" s="23"/>
      <c r="K4" s="23"/>
      <c r="L4" s="23"/>
      <c r="O4" s="12" t="s">
        <v>8</v>
      </c>
      <c r="P4" s="61">
        <f>AI29</f>
        <v>0.79762594089575489</v>
      </c>
      <c r="Q4" s="62">
        <f t="shared" ref="Q4:R8" si="1">AJ29</f>
        <v>0.20047451700830898</v>
      </c>
      <c r="R4" s="62">
        <f t="shared" si="1"/>
        <v>1.8995420959361745E-3</v>
      </c>
      <c r="S4" s="88">
        <f>AQ29</f>
        <v>10.061575351270955</v>
      </c>
      <c r="U4" s="66">
        <f>AS29</f>
        <v>4.5403965015534523E-2</v>
      </c>
      <c r="V4" s="66">
        <f t="shared" ref="V4:W8" si="2">AT29</f>
        <v>3.360572992715567</v>
      </c>
      <c r="W4" s="66">
        <f t="shared" si="2"/>
        <v>152.70805143978882</v>
      </c>
      <c r="Z4" s="4">
        <v>0</v>
      </c>
      <c r="AA4" s="68">
        <f>-$S$5</f>
        <v>-8.1801318699566803</v>
      </c>
      <c r="AB4" s="5">
        <f>$S$11*$U$6+$S$6</f>
        <v>7.9581041413710034</v>
      </c>
      <c r="AC4" s="5">
        <f>-$S$12*$U$7</f>
        <v>-1.4551824366036768E-2</v>
      </c>
      <c r="AD4" s="5">
        <v>0</v>
      </c>
      <c r="AE4" s="12">
        <v>0</v>
      </c>
      <c r="AH4" s="4">
        <v>0.11364557704724018</v>
      </c>
      <c r="AI4" s="5">
        <v>0.12601477756213883</v>
      </c>
      <c r="AJ4" s="5">
        <v>0.12624787470836257</v>
      </c>
      <c r="AK4" s="5">
        <v>2.3252993947891259E-4</v>
      </c>
      <c r="AL4" s="6">
        <v>3.9879651006641711E-7</v>
      </c>
      <c r="AN4" s="54">
        <v>0.99439879916335161</v>
      </c>
      <c r="AV4" s="25"/>
      <c r="AW4" s="25"/>
      <c r="AX4" s="25"/>
      <c r="AY4" s="25"/>
    </row>
    <row r="5" spans="1:51" x14ac:dyDescent="0.25">
      <c r="O5" s="12" t="s">
        <v>9</v>
      </c>
      <c r="P5" s="61">
        <f t="shared" ref="P5:P8" si="3">AI30</f>
        <v>0.96563174972944854</v>
      </c>
      <c r="Q5" s="62">
        <f t="shared" si="1"/>
        <v>3.3757630050776213E-2</v>
      </c>
      <c r="R5" s="62">
        <f t="shared" si="1"/>
        <v>6.1062021977524865E-4</v>
      </c>
      <c r="S5" s="88">
        <f t="shared" ref="S5:S8" si="4">AQ30</f>
        <v>8.1801318699566803</v>
      </c>
      <c r="U5" s="66">
        <f t="shared" ref="U5:U8" si="5">AS30</f>
        <v>1.679115163372441E-2</v>
      </c>
      <c r="V5" s="66">
        <f t="shared" si="2"/>
        <v>6.50596177785423</v>
      </c>
      <c r="W5" s="66">
        <f t="shared" si="2"/>
        <v>1251.449027233205</v>
      </c>
      <c r="Z5" s="4">
        <v>0</v>
      </c>
      <c r="AA5" s="5">
        <v>0</v>
      </c>
      <c r="AB5" s="68">
        <f>-$S$6</f>
        <v>-7.9354997028648828</v>
      </c>
      <c r="AC5" s="5">
        <f>$S$12*$U$7+$S$7</f>
        <v>7.9141948496384789</v>
      </c>
      <c r="AD5" s="5">
        <f>-$S$13*$U$8</f>
        <v>-1.3539204647575444E-2</v>
      </c>
      <c r="AE5" s="12">
        <v>0</v>
      </c>
      <c r="AH5" s="4">
        <v>0.11414691441908391</v>
      </c>
      <c r="AI5" s="5">
        <v>0.12657068056371548</v>
      </c>
      <c r="AJ5" s="5">
        <v>0.12680480599730165</v>
      </c>
      <c r="AK5" s="5">
        <v>0.12680547290854413</v>
      </c>
      <c r="AL5" s="6">
        <v>2.174755653683684E-4</v>
      </c>
      <c r="AN5" s="54">
        <v>0.99878550116698417</v>
      </c>
      <c r="AV5" s="33"/>
      <c r="AW5" s="33"/>
      <c r="AX5" s="33"/>
      <c r="AY5" s="33"/>
    </row>
    <row r="6" spans="1:51" ht="15.75" thickBot="1" x14ac:dyDescent="0.3">
      <c r="O6" s="12" t="s">
        <v>10</v>
      </c>
      <c r="P6" s="61">
        <f t="shared" si="3"/>
        <v>0.99439879916335161</v>
      </c>
      <c r="Q6" s="62">
        <f t="shared" si="1"/>
        <v>5.1233691974359712E-3</v>
      </c>
      <c r="R6" s="62">
        <f t="shared" si="1"/>
        <v>4.7783163921246363E-4</v>
      </c>
      <c r="S6" s="88">
        <f t="shared" si="4"/>
        <v>7.9354997028648828</v>
      </c>
      <c r="U6" s="66">
        <f t="shared" si="5"/>
        <v>3.0968196382223003E-3</v>
      </c>
      <c r="V6" s="66">
        <f t="shared" si="2"/>
        <v>7.3633359842070689</v>
      </c>
      <c r="W6" s="66">
        <f t="shared" si="2"/>
        <v>2007.3920577539866</v>
      </c>
      <c r="Z6" s="7">
        <v>0</v>
      </c>
      <c r="AA6" s="8">
        <v>0</v>
      </c>
      <c r="AB6" s="8">
        <v>0</v>
      </c>
      <c r="AC6" s="67">
        <f>-$S$7</f>
        <v>-7.8996430252724421</v>
      </c>
      <c r="AD6" s="8">
        <f>$S$13*$U$8+$S$8</f>
        <v>7.8944282555757681</v>
      </c>
      <c r="AE6" s="13">
        <f>$S$14*$P$14</f>
        <v>0</v>
      </c>
      <c r="AH6" s="7">
        <v>0.11422231568324272</v>
      </c>
      <c r="AI6" s="8">
        <v>0.12665428851202065</v>
      </c>
      <c r="AJ6" s="8">
        <v>0.12688856860027931</v>
      </c>
      <c r="AK6" s="8">
        <v>0.12688923595205887</v>
      </c>
      <c r="AL6" s="9">
        <v>0.12688923718137846</v>
      </c>
      <c r="AN6" s="54">
        <v>0.99944526222837382</v>
      </c>
      <c r="AO6" s="5"/>
      <c r="AP6" s="5"/>
      <c r="AQ6" s="5"/>
      <c r="AR6" s="5"/>
      <c r="AS6" s="5"/>
      <c r="AV6" s="33"/>
      <c r="AW6" s="33"/>
      <c r="AX6" s="33"/>
      <c r="AY6" s="33"/>
    </row>
    <row r="7" spans="1:51" ht="15.75" thickBot="1" x14ac:dyDescent="0.3">
      <c r="B7" s="140" t="s">
        <v>7</v>
      </c>
      <c r="C7" s="141"/>
      <c r="D7" s="145" t="s">
        <v>8</v>
      </c>
      <c r="E7" s="146"/>
      <c r="F7" s="145" t="s">
        <v>9</v>
      </c>
      <c r="G7" s="146"/>
      <c r="H7" s="145" t="s">
        <v>10</v>
      </c>
      <c r="I7" s="146"/>
      <c r="J7" s="145" t="s">
        <v>11</v>
      </c>
      <c r="K7" s="146"/>
      <c r="L7" s="140" t="s">
        <v>12</v>
      </c>
      <c r="M7" s="141"/>
      <c r="O7" s="12" t="s">
        <v>11</v>
      </c>
      <c r="P7" s="61">
        <f t="shared" si="3"/>
        <v>0.99878550116698417</v>
      </c>
      <c r="Q7" s="62">
        <f t="shared" si="1"/>
        <v>7.5557762158256646E-4</v>
      </c>
      <c r="R7" s="62">
        <f t="shared" si="1"/>
        <v>4.589212114332864E-4</v>
      </c>
      <c r="S7" s="88">
        <f t="shared" si="4"/>
        <v>7.8996430252724421</v>
      </c>
      <c r="U7" s="66">
        <f t="shared" si="5"/>
        <v>2.0627395449587115E-3</v>
      </c>
      <c r="V7" s="66">
        <f t="shared" si="2"/>
        <v>7.4815935517887553</v>
      </c>
      <c r="W7" s="66">
        <f t="shared" si="2"/>
        <v>2162.2161196019433</v>
      </c>
      <c r="AU7" s="33"/>
      <c r="AV7" s="33"/>
      <c r="AW7" s="33"/>
      <c r="AX7" s="33"/>
      <c r="AY7" s="33"/>
    </row>
    <row r="8" spans="1:51" ht="15.75" thickBot="1" x14ac:dyDescent="0.3">
      <c r="A8" s="19" t="s">
        <v>6</v>
      </c>
      <c r="B8" s="19" t="s">
        <v>25</v>
      </c>
      <c r="C8" s="22" t="s">
        <v>26</v>
      </c>
      <c r="D8" s="19" t="s">
        <v>25</v>
      </c>
      <c r="E8" s="22" t="s">
        <v>26</v>
      </c>
      <c r="F8" s="19" t="s">
        <v>25</v>
      </c>
      <c r="G8" s="22" t="s">
        <v>26</v>
      </c>
      <c r="H8" s="19" t="s">
        <v>25</v>
      </c>
      <c r="I8" s="22" t="s">
        <v>26</v>
      </c>
      <c r="J8" s="19" t="s">
        <v>25</v>
      </c>
      <c r="K8" s="22" t="s">
        <v>26</v>
      </c>
      <c r="L8" s="19" t="s">
        <v>25</v>
      </c>
      <c r="M8" s="22" t="s">
        <v>26</v>
      </c>
      <c r="O8" s="12" t="s">
        <v>12</v>
      </c>
      <c r="P8" s="63">
        <f t="shared" si="3"/>
        <v>0.99944526222837382</v>
      </c>
      <c r="Q8" s="64">
        <f t="shared" si="1"/>
        <v>9.8632124556983068E-5</v>
      </c>
      <c r="R8" s="64">
        <f t="shared" si="1"/>
        <v>4.5610564706923689E-4</v>
      </c>
      <c r="S8" s="88">
        <f t="shared" si="4"/>
        <v>7.880889050928193</v>
      </c>
      <c r="U8" s="66">
        <f t="shared" si="5"/>
        <v>1.9290040222332181E-3</v>
      </c>
      <c r="V8" s="66">
        <f t="shared" si="2"/>
        <v>7.4991686311985184</v>
      </c>
      <c r="W8" s="66">
        <f t="shared" si="2"/>
        <v>2186.6258695614397</v>
      </c>
      <c r="Z8">
        <v>1</v>
      </c>
      <c r="AA8">
        <v>2</v>
      </c>
      <c r="AB8">
        <v>3</v>
      </c>
      <c r="AC8">
        <v>4</v>
      </c>
      <c r="AD8">
        <v>5</v>
      </c>
      <c r="AE8" s="17" t="s">
        <v>22</v>
      </c>
      <c r="AG8" s="17" t="s">
        <v>27</v>
      </c>
      <c r="AN8" s="17" t="s">
        <v>29</v>
      </c>
    </row>
    <row r="9" spans="1:51" ht="32.25" customHeight="1" thickBot="1" x14ac:dyDescent="0.3">
      <c r="A9" s="20" t="s">
        <v>0</v>
      </c>
      <c r="B9" s="102">
        <f>$B$12*C9</f>
        <v>8.75</v>
      </c>
      <c r="C9" s="104">
        <v>0.35</v>
      </c>
      <c r="D9" s="107">
        <f t="shared" ref="D9:D10" si="6">$D$12*E9</f>
        <v>8.4703735350831657</v>
      </c>
      <c r="E9" s="105">
        <v>0.84185361033083228</v>
      </c>
      <c r="F9" s="107">
        <f t="shared" ref="F9:F10" si="7">$F$12*G9</f>
        <v>8.0275568846889964</v>
      </c>
      <c r="G9" s="105">
        <v>0.9813481019996696</v>
      </c>
      <c r="H9" s="107">
        <f t="shared" ref="H9:H10" si="8">$H$12*I9</f>
        <v>7.9167656638603257</v>
      </c>
      <c r="I9" s="105">
        <v>0.99763921117685961</v>
      </c>
      <c r="J9" s="107">
        <f t="shared" ref="J9:J10" si="9">$J$12*K9</f>
        <v>7.8944963712987155</v>
      </c>
      <c r="K9" s="105">
        <v>0.99934849537412496</v>
      </c>
      <c r="L9" s="107">
        <f t="shared" ref="L9:L10" si="10">$L$12*M9</f>
        <v>7.8771528508032036</v>
      </c>
      <c r="M9" s="105">
        <v>0.99952591641617528</v>
      </c>
      <c r="O9" s="1" t="s">
        <v>13</v>
      </c>
      <c r="P9" s="59">
        <f>AM29</f>
        <v>3.6215380315913662E-2</v>
      </c>
      <c r="Q9" s="60">
        <f t="shared" ref="Q9:R13" si="11">AN29</f>
        <v>0.67370924758582074</v>
      </c>
      <c r="R9" s="60">
        <f t="shared" si="11"/>
        <v>0.29007537209826562</v>
      </c>
      <c r="S9" s="88">
        <f>AR29</f>
        <v>24.119110949071807</v>
      </c>
      <c r="Y9" s="17" t="s">
        <v>20</v>
      </c>
      <c r="Z9" s="1">
        <f>S$9*$V$4+S$4</f>
        <v>91.115608215031997</v>
      </c>
      <c r="AA9" s="2">
        <f>-$S$10*$V$5</f>
        <v>-59.729194164499965</v>
      </c>
      <c r="AB9" s="2">
        <v>0</v>
      </c>
      <c r="AC9" s="2">
        <v>0</v>
      </c>
      <c r="AD9" s="2">
        <v>0</v>
      </c>
      <c r="AE9" s="11">
        <f>$S$3*$Q$3</f>
        <v>16.25</v>
      </c>
      <c r="AH9" s="1">
        <f t="array" ref="AH9:AL13">MINVERSE(Z9:AD13)</f>
        <v>1.2336858889097474E-2</v>
      </c>
      <c r="AI9" s="2">
        <v>1.2332104746148584E-2</v>
      </c>
      <c r="AJ9" s="2">
        <v>1.2297391231526286E-2</v>
      </c>
      <c r="AK9" s="2">
        <v>1.2062278181333848E-2</v>
      </c>
      <c r="AL9" s="3">
        <v>1.0491421983603979E-2</v>
      </c>
      <c r="AN9">
        <f t="array" ref="AN9:AN13">MMULT(AH9:AL13,AE9:AE13)</f>
        <v>0.20047395694783396</v>
      </c>
    </row>
    <row r="10" spans="1:51" x14ac:dyDescent="0.25">
      <c r="A10" s="20" t="s">
        <v>1</v>
      </c>
      <c r="B10" s="102">
        <f t="shared" ref="B10:B11" si="12">$B$12*C10</f>
        <v>16.25</v>
      </c>
      <c r="C10" s="104">
        <v>0.65</v>
      </c>
      <c r="D10" s="107">
        <f t="shared" si="6"/>
        <v>1.576511946575782</v>
      </c>
      <c r="E10" s="105">
        <v>0.15668639269064766</v>
      </c>
      <c r="F10" s="107">
        <f t="shared" si="7"/>
        <v>0.14818963618670358</v>
      </c>
      <c r="G10" s="105">
        <v>1.8115800398152793E-2</v>
      </c>
      <c r="H10" s="107">
        <f t="shared" si="8"/>
        <v>1.5053302700607136E-2</v>
      </c>
      <c r="I10" s="105">
        <v>1.8969571248515801E-3</v>
      </c>
      <c r="J10" s="107">
        <f t="shared" si="9"/>
        <v>1.540316471501788E-3</v>
      </c>
      <c r="K10" s="105">
        <v>1.949855792944094E-4</v>
      </c>
      <c r="L10" s="107">
        <f t="shared" si="10"/>
        <v>1.4439068162857931E-4</v>
      </c>
      <c r="M10" s="105">
        <v>1.8321623448254651E-5</v>
      </c>
      <c r="O10" s="4" t="s">
        <v>14</v>
      </c>
      <c r="P10" s="61">
        <f t="shared" ref="P10:P13" si="13">AM30</f>
        <v>1.6214069132045792E-2</v>
      </c>
      <c r="Q10" s="62">
        <f t="shared" si="11"/>
        <v>0.21962585082129341</v>
      </c>
      <c r="R10" s="62">
        <f t="shared" si="11"/>
        <v>0.76416008004666081</v>
      </c>
      <c r="S10" s="88">
        <f>AR30</f>
        <v>9.1806863003427619</v>
      </c>
      <c r="Z10" s="66">
        <f>-$S$4</f>
        <v>-10.061575351270955</v>
      </c>
      <c r="AA10" s="5">
        <f>$S$10*$V$5+$S$5</f>
        <v>67.90932603445664</v>
      </c>
      <c r="AB10" s="5">
        <f>-$S$11*$V$6</f>
        <v>-53.746777306817506</v>
      </c>
      <c r="AC10" s="5">
        <v>0</v>
      </c>
      <c r="AD10" s="5">
        <v>0</v>
      </c>
      <c r="AE10" s="12">
        <v>0</v>
      </c>
      <c r="AH10" s="4">
        <v>2.0773828088390196E-3</v>
      </c>
      <c r="AI10" s="5">
        <v>1.8812362032244703E-2</v>
      </c>
      <c r="AJ10" s="5">
        <v>1.8759407308138076E-2</v>
      </c>
      <c r="AK10" s="5">
        <v>1.8400747378647386E-2</v>
      </c>
      <c r="AL10" s="6">
        <v>1.600443984634891E-2</v>
      </c>
      <c r="AN10">
        <v>3.3757470643634067E-2</v>
      </c>
    </row>
    <row r="11" spans="1:51" ht="15.75" thickBot="1" x14ac:dyDescent="0.3">
      <c r="A11" s="20" t="s">
        <v>2</v>
      </c>
      <c r="B11" s="102">
        <f t="shared" si="12"/>
        <v>0</v>
      </c>
      <c r="C11" s="104">
        <v>0</v>
      </c>
      <c r="D11" s="107">
        <f>$D$12*E11</f>
        <v>1.468986961200789E-2</v>
      </c>
      <c r="E11" s="105">
        <v>1.4599969785200981E-3</v>
      </c>
      <c r="F11" s="107">
        <f>$F$12*G11</f>
        <v>4.3853490809808281E-3</v>
      </c>
      <c r="G11" s="105">
        <v>5.3609760217765922E-4</v>
      </c>
      <c r="H11" s="107">
        <f>$H$12*I11</f>
        <v>3.6807363039498288E-3</v>
      </c>
      <c r="I11" s="105">
        <v>4.6383169828876757E-4</v>
      </c>
      <c r="J11" s="107">
        <f>$J$12*K11</f>
        <v>3.6063375022242451E-3</v>
      </c>
      <c r="K11" s="105">
        <v>4.5651904658057258E-4</v>
      </c>
      <c r="L11" s="107">
        <f>$L$12*M11</f>
        <v>3.591809443360352E-3</v>
      </c>
      <c r="M11" s="105">
        <v>4.557619603764523E-4</v>
      </c>
      <c r="O11" s="4" t="s">
        <v>15</v>
      </c>
      <c r="P11" s="61">
        <f t="shared" si="13"/>
        <v>3.0794737294737402E-3</v>
      </c>
      <c r="Q11" s="62">
        <f t="shared" si="11"/>
        <v>3.772508877185838E-2</v>
      </c>
      <c r="R11" s="62">
        <f t="shared" si="11"/>
        <v>0.95919543749866787</v>
      </c>
      <c r="S11" s="88">
        <f>AR31</f>
        <v>7.2992428190284873</v>
      </c>
      <c r="Z11" s="4">
        <v>0</v>
      </c>
      <c r="AA11" s="68">
        <f>-$S$5</f>
        <v>-8.1801318699566803</v>
      </c>
      <c r="AB11" s="5">
        <f>$S$11*$V$6+$S$6</f>
        <v>61.682277009682387</v>
      </c>
      <c r="AC11" s="5">
        <f>-$S$12*$V$7</f>
        <v>-52.779729563909811</v>
      </c>
      <c r="AD11" s="5">
        <v>0</v>
      </c>
      <c r="AE11" s="12">
        <v>0</v>
      </c>
      <c r="AH11" s="4">
        <v>3.1528273884104624E-4</v>
      </c>
      <c r="AI11" s="5">
        <v>2.855137243053522E-3</v>
      </c>
      <c r="AJ11" s="5">
        <v>2.1400493875854371E-2</v>
      </c>
      <c r="AK11" s="5">
        <v>2.099133917824033E-2</v>
      </c>
      <c r="AL11" s="6">
        <v>1.8257661944878569E-2</v>
      </c>
      <c r="AN11">
        <v>5.1233445061670017E-3</v>
      </c>
    </row>
    <row r="12" spans="1:51" ht="15.75" thickBot="1" x14ac:dyDescent="0.3">
      <c r="A12" s="21" t="s">
        <v>127</v>
      </c>
      <c r="B12" s="81">
        <f>S3</f>
        <v>25</v>
      </c>
      <c r="C12" s="15">
        <f>SUM(C9:C11)</f>
        <v>1</v>
      </c>
      <c r="D12" s="81">
        <f>S4</f>
        <v>10.061575351270955</v>
      </c>
      <c r="E12" s="15">
        <f t="shared" ref="E12:M12" si="14">SUM(E9:E11)</f>
        <v>1</v>
      </c>
      <c r="F12" s="81">
        <f>S5</f>
        <v>8.1801318699566803</v>
      </c>
      <c r="G12" s="15">
        <f t="shared" si="14"/>
        <v>1</v>
      </c>
      <c r="H12" s="81">
        <f>S6</f>
        <v>7.9354997028648828</v>
      </c>
      <c r="I12" s="15">
        <f t="shared" si="14"/>
        <v>1</v>
      </c>
      <c r="J12" s="81">
        <f>S7</f>
        <v>7.8996430252724421</v>
      </c>
      <c r="K12" s="15">
        <f t="shared" si="14"/>
        <v>1</v>
      </c>
      <c r="L12" s="81">
        <f>S8</f>
        <v>7.880889050928193</v>
      </c>
      <c r="M12" s="15">
        <f t="shared" si="14"/>
        <v>1</v>
      </c>
      <c r="O12" s="4" t="s">
        <v>16</v>
      </c>
      <c r="P12" s="61">
        <f t="shared" si="13"/>
        <v>2.0602343501885433E-3</v>
      </c>
      <c r="Q12" s="62">
        <f t="shared" si="11"/>
        <v>5.6529246615080134E-3</v>
      </c>
      <c r="R12" s="62">
        <f t="shared" si="11"/>
        <v>0.99228684098830344</v>
      </c>
      <c r="S12" s="88">
        <f>AR32</f>
        <v>7.0546106519366907</v>
      </c>
      <c r="Z12" s="4">
        <v>0</v>
      </c>
      <c r="AA12" s="5">
        <v>0</v>
      </c>
      <c r="AB12" s="5">
        <f>-$S$6</f>
        <v>-7.9354997028648828</v>
      </c>
      <c r="AC12" s="5">
        <f>$S$12*$V$7+$S$7</f>
        <v>60.67937258918225</v>
      </c>
      <c r="AD12" s="5">
        <f>-$S$13*$V$8</f>
        <v>-52.634819634502328</v>
      </c>
      <c r="AE12" s="12">
        <v>0</v>
      </c>
      <c r="AH12" s="4">
        <v>4.6496864102135362E-5</v>
      </c>
      <c r="AI12" s="5">
        <v>4.2106627489726006E-4</v>
      </c>
      <c r="AJ12" s="5">
        <v>3.1560746367591363E-3</v>
      </c>
      <c r="AK12" s="5">
        <v>2.1680161444323966E-2</v>
      </c>
      <c r="AL12" s="6">
        <v>1.8856779703277558E-2</v>
      </c>
      <c r="AN12">
        <v>7.5557404165969963E-4</v>
      </c>
    </row>
    <row r="13" spans="1:51" ht="15.75" thickBot="1" x14ac:dyDescent="0.3">
      <c r="O13" s="4" t="s">
        <v>17</v>
      </c>
      <c r="P13" s="61">
        <f t="shared" si="13"/>
        <v>1.9279339308404665E-3</v>
      </c>
      <c r="Q13" s="62">
        <f t="shared" si="11"/>
        <v>7.3965893450619251E-4</v>
      </c>
      <c r="R13" s="62">
        <f t="shared" si="11"/>
        <v>0.99733240713465332</v>
      </c>
      <c r="S13" s="88">
        <f>AR33</f>
        <v>7.01875397434425</v>
      </c>
      <c r="V13" s="58"/>
      <c r="Z13" s="7">
        <v>0</v>
      </c>
      <c r="AA13" s="8">
        <v>0</v>
      </c>
      <c r="AB13" s="8">
        <v>0</v>
      </c>
      <c r="AC13" s="67">
        <f>-$S$7</f>
        <v>-7.8996430252724421</v>
      </c>
      <c r="AD13" s="8">
        <f>$S$13*$V$8+$S$8</f>
        <v>60.515708685430525</v>
      </c>
      <c r="AE13" s="13">
        <f>$S$14*$Q$14</f>
        <v>0</v>
      </c>
      <c r="AH13" s="7">
        <v>6.0696410267753458E-6</v>
      </c>
      <c r="AI13" s="8">
        <v>5.4965451680654399E-5</v>
      </c>
      <c r="AJ13" s="8">
        <v>4.1198993671400311E-4</v>
      </c>
      <c r="AK13" s="8">
        <v>2.8301004790458224E-3</v>
      </c>
      <c r="AL13" s="9">
        <v>1.8986174882864987E-2</v>
      </c>
      <c r="AN13">
        <v>9.8631666685099364E-5</v>
      </c>
      <c r="AO13" s="5"/>
      <c r="AP13" s="5"/>
      <c r="AQ13" s="5"/>
      <c r="AR13" s="5"/>
      <c r="AS13" s="5"/>
    </row>
    <row r="14" spans="1:51" ht="15.75" thickBot="1" x14ac:dyDescent="0.3">
      <c r="B14" s="140" t="s">
        <v>13</v>
      </c>
      <c r="C14" s="141"/>
      <c r="D14" s="145" t="s">
        <v>14</v>
      </c>
      <c r="E14" s="146"/>
      <c r="F14" s="145" t="s">
        <v>15</v>
      </c>
      <c r="G14" s="146"/>
      <c r="H14" s="145" t="s">
        <v>16</v>
      </c>
      <c r="I14" s="146"/>
      <c r="J14" s="145" t="s">
        <v>17</v>
      </c>
      <c r="K14" s="146"/>
      <c r="L14" s="140" t="s">
        <v>18</v>
      </c>
      <c r="M14" s="141"/>
      <c r="O14" s="7" t="s">
        <v>18</v>
      </c>
      <c r="P14" s="63">
        <f>AQ25</f>
        <v>0</v>
      </c>
      <c r="Q14" s="63">
        <f t="shared" ref="Q14:R14" si="15">AR25</f>
        <v>0</v>
      </c>
      <c r="R14" s="63">
        <f t="shared" si="15"/>
        <v>1</v>
      </c>
      <c r="S14" s="89">
        <f>AP25</f>
        <v>7</v>
      </c>
      <c r="T14" t="s">
        <v>65</v>
      </c>
      <c r="U14" t="s">
        <v>65</v>
      </c>
      <c r="V14" t="s">
        <v>65</v>
      </c>
    </row>
    <row r="15" spans="1:51" ht="15.75" thickBot="1" x14ac:dyDescent="0.3">
      <c r="A15" s="19" t="s">
        <v>6</v>
      </c>
      <c r="B15" s="19" t="s">
        <v>25</v>
      </c>
      <c r="C15" s="22" t="s">
        <v>26</v>
      </c>
      <c r="D15" s="19" t="s">
        <v>25</v>
      </c>
      <c r="E15" s="22" t="s">
        <v>26</v>
      </c>
      <c r="F15" s="19" t="s">
        <v>25</v>
      </c>
      <c r="G15" s="22" t="s">
        <v>26</v>
      </c>
      <c r="H15" s="19" t="s">
        <v>25</v>
      </c>
      <c r="I15" s="22" t="s">
        <v>26</v>
      </c>
      <c r="J15" s="19" t="s">
        <v>25</v>
      </c>
      <c r="K15" s="22" t="s">
        <v>26</v>
      </c>
      <c r="L15" s="19" t="s">
        <v>25</v>
      </c>
      <c r="M15" s="22" t="s">
        <v>26</v>
      </c>
      <c r="Z15">
        <v>1</v>
      </c>
      <c r="AA15">
        <v>2</v>
      </c>
      <c r="AB15">
        <v>3</v>
      </c>
      <c r="AC15">
        <v>4</v>
      </c>
      <c r="AD15">
        <v>5</v>
      </c>
      <c r="AE15" s="17" t="s">
        <v>24</v>
      </c>
      <c r="AG15" s="17" t="s">
        <v>27</v>
      </c>
      <c r="AN15" s="17" t="s">
        <v>30</v>
      </c>
    </row>
    <row r="16" spans="1:51" ht="15.75" thickBot="1" x14ac:dyDescent="0.3">
      <c r="A16" s="20" t="s">
        <v>0</v>
      </c>
      <c r="B16" s="107">
        <f t="shared" ref="B16:B17" si="16">$B$19*C16</f>
        <v>0.86893921416351705</v>
      </c>
      <c r="C16" s="105">
        <v>3.6027000165897785E-2</v>
      </c>
      <c r="D16" s="107">
        <f t="shared" ref="D16:D17" si="17">$D$19*E16</f>
        <v>7.0007795582244015E-2</v>
      </c>
      <c r="E16" s="105">
        <v>7.6255514339521949E-3</v>
      </c>
      <c r="F16" s="107">
        <f t="shared" ref="F16:F17" si="18">$F$19*G16</f>
        <v>1.6808315520567337E-2</v>
      </c>
      <c r="G16" s="105">
        <v>2.3027478243016564E-3</v>
      </c>
      <c r="H16" s="107">
        <f t="shared" ref="H16:H17" si="19">$H$19*I16</f>
        <v>1.3734436753929586E-2</v>
      </c>
      <c r="I16" s="105">
        <v>1.9468738150927004E-3</v>
      </c>
      <c r="J16" s="107">
        <f t="shared" ref="J16:J17" si="20">$J$19*K16</f>
        <v>1.3420759347330063E-2</v>
      </c>
      <c r="K16" s="105">
        <v>1.9121284769899548E-3</v>
      </c>
      <c r="L16" s="4">
        <f t="shared" ref="L16:L17" si="21">$L$19*M16</f>
        <v>0</v>
      </c>
      <c r="M16" s="106">
        <v>0</v>
      </c>
      <c r="P16" t="s">
        <v>3</v>
      </c>
      <c r="Q16" t="s">
        <v>66</v>
      </c>
      <c r="R16" t="s">
        <v>67</v>
      </c>
      <c r="Y16" s="17" t="s">
        <v>21</v>
      </c>
      <c r="Z16" s="1">
        <f>S$9*$W$4+S$4</f>
        <v>3693.2440108441024</v>
      </c>
      <c r="AA16" s="2">
        <f>-$S$10*$W$5</f>
        <v>-11489.160939897161</v>
      </c>
      <c r="AB16" s="2">
        <v>0</v>
      </c>
      <c r="AC16" s="2">
        <v>0</v>
      </c>
      <c r="AD16" s="2">
        <v>0</v>
      </c>
      <c r="AE16" s="11">
        <f>$S$3*$R$3</f>
        <v>0</v>
      </c>
      <c r="AH16" s="1">
        <f t="array" ref="AH16:AL20">MINVERSE(Z16:AD20)</f>
        <v>2.7150433558857743E-4</v>
      </c>
      <c r="AI16" s="2">
        <v>2.7150433558854967E-4</v>
      </c>
      <c r="AJ16" s="2">
        <v>2.7150433554946608E-4</v>
      </c>
      <c r="AK16" s="2">
        <v>2.7150426338394876E-4</v>
      </c>
      <c r="AL16" s="3">
        <v>2.7136491741410813E-4</v>
      </c>
      <c r="AN16">
        <f t="array" ref="AN16:AN20">MMULT(AH16:AL20,AE16:AE20)</f>
        <v>1.8995544218987569E-3</v>
      </c>
    </row>
    <row r="17" spans="1:49" x14ac:dyDescent="0.25">
      <c r="A17" s="20" t="s">
        <v>1</v>
      </c>
      <c r="B17" s="107">
        <f t="shared" si="16"/>
        <v>14.403220303163907</v>
      </c>
      <c r="C17" s="105">
        <v>0.59717044851183443</v>
      </c>
      <c r="D17" s="107">
        <f t="shared" si="17"/>
        <v>1.1628399546000896</v>
      </c>
      <c r="E17" s="105">
        <v>0.12666154975327659</v>
      </c>
      <c r="F17" s="107">
        <f t="shared" si="18"/>
        <v>0.10316758845652886</v>
      </c>
      <c r="G17" s="105">
        <v>1.413401239202236E-2</v>
      </c>
      <c r="H17" s="107">
        <f t="shared" si="19"/>
        <v>1.0311583735320665E-2</v>
      </c>
      <c r="I17" s="105">
        <v>1.4616800620300488E-3</v>
      </c>
      <c r="J17" s="107">
        <f t="shared" si="20"/>
        <v>9.6463126926937294E-4</v>
      </c>
      <c r="K17" s="105">
        <v>1.3743625617814831E-4</v>
      </c>
      <c r="L17" s="4">
        <f t="shared" si="21"/>
        <v>0</v>
      </c>
      <c r="M17" s="6">
        <v>0</v>
      </c>
      <c r="Z17" s="66">
        <f>-$S$4</f>
        <v>-10.061575351270955</v>
      </c>
      <c r="AA17" s="5">
        <f>$S$10*$W$5+$S$5</f>
        <v>11497.341071767118</v>
      </c>
      <c r="AB17" s="5">
        <f>-$S$11*$W$6</f>
        <v>-14652.442062535605</v>
      </c>
      <c r="AC17" s="5">
        <v>0</v>
      </c>
      <c r="AD17" s="5">
        <v>0</v>
      </c>
      <c r="AE17" s="12">
        <v>0</v>
      </c>
      <c r="AH17" s="4">
        <v>2.3776856682672602E-7</v>
      </c>
      <c r="AI17" s="5">
        <v>8.7276326493829554E-5</v>
      </c>
      <c r="AJ17" s="5">
        <v>8.7276326481265954E-5</v>
      </c>
      <c r="AK17" s="5">
        <v>8.7276303283326102E-5</v>
      </c>
      <c r="AL17" s="6">
        <v>8.7231509875762087E-5</v>
      </c>
      <c r="AN17">
        <v>6.1062056913033463E-4</v>
      </c>
    </row>
    <row r="18" spans="1:49" ht="15.75" thickBot="1" x14ac:dyDescent="0.3">
      <c r="A18" s="20" t="s">
        <v>2</v>
      </c>
      <c r="B18" s="107">
        <f>$B$19*C18</f>
        <v>8.8469514317443831</v>
      </c>
      <c r="C18" s="105">
        <v>0.3668025513222678</v>
      </c>
      <c r="D18" s="107">
        <f>$D$19*E18</f>
        <v>7.9478385501604283</v>
      </c>
      <c r="E18" s="105">
        <v>0.86571289881277125</v>
      </c>
      <c r="F18" s="107">
        <f>$F$19*G18</f>
        <v>7.1792669150513913</v>
      </c>
      <c r="G18" s="105">
        <v>0.98356323978367599</v>
      </c>
      <c r="H18" s="107">
        <f>$H$19*I18</f>
        <v>7.0305646314474401</v>
      </c>
      <c r="I18" s="105">
        <v>0.9965914461228772</v>
      </c>
      <c r="J18" s="107">
        <f>$J$19*K18</f>
        <v>7.0043685837276506</v>
      </c>
      <c r="K18" s="105">
        <v>0.99795043526683191</v>
      </c>
      <c r="L18" s="4">
        <f>$L$19*M18</f>
        <v>7</v>
      </c>
      <c r="M18" s="6">
        <v>1</v>
      </c>
      <c r="Z18" s="4">
        <v>0</v>
      </c>
      <c r="AA18" s="68">
        <f>-$S$5</f>
        <v>-8.1801318699566803</v>
      </c>
      <c r="AB18" s="5">
        <f>$S$11*$W$6+$S$6</f>
        <v>14660.377562238469</v>
      </c>
      <c r="AC18" s="5">
        <f>-$S$12*$W$7</f>
        <v>-15253.592869133086</v>
      </c>
      <c r="AD18" s="5">
        <v>0</v>
      </c>
      <c r="AE18" s="12">
        <v>0</v>
      </c>
      <c r="AH18" s="4">
        <v>1.327408921046888E-10</v>
      </c>
      <c r="AI18" s="5">
        <v>4.8724428098410912E-8</v>
      </c>
      <c r="AJ18" s="5">
        <v>6.8296733571421745E-5</v>
      </c>
      <c r="AK18" s="5">
        <v>6.8296715418234255E-5</v>
      </c>
      <c r="AL18" s="6">
        <v>6.8261663032948399E-5</v>
      </c>
      <c r="AN18">
        <v>4.778316412306388E-4</v>
      </c>
    </row>
    <row r="19" spans="1:49" ht="15.75" thickBot="1" x14ac:dyDescent="0.3">
      <c r="A19" s="21" t="s">
        <v>127</v>
      </c>
      <c r="B19" s="81">
        <f>S9</f>
        <v>24.119110949071807</v>
      </c>
      <c r="C19" s="15">
        <f t="shared" ref="C19:M19" si="22">SUM(C16:C18)</f>
        <v>1</v>
      </c>
      <c r="D19" s="81">
        <f>S10</f>
        <v>9.1806863003427619</v>
      </c>
      <c r="E19" s="15">
        <f t="shared" si="22"/>
        <v>1</v>
      </c>
      <c r="F19" s="81">
        <f>S11</f>
        <v>7.2992428190284873</v>
      </c>
      <c r="G19" s="15">
        <f t="shared" si="22"/>
        <v>1</v>
      </c>
      <c r="H19" s="81">
        <f>S12</f>
        <v>7.0546106519366907</v>
      </c>
      <c r="I19" s="15">
        <f t="shared" si="22"/>
        <v>1</v>
      </c>
      <c r="J19" s="81">
        <f>S13</f>
        <v>7.01875397434425</v>
      </c>
      <c r="K19" s="15">
        <f t="shared" si="22"/>
        <v>1</v>
      </c>
      <c r="L19" s="81">
        <f>S14</f>
        <v>7</v>
      </c>
      <c r="M19" s="15">
        <f t="shared" si="22"/>
        <v>1</v>
      </c>
      <c r="Z19" s="4">
        <v>0</v>
      </c>
      <c r="AA19" s="5">
        <v>0</v>
      </c>
      <c r="AB19" s="5">
        <f>-$S$6</f>
        <v>-7.9354997028648828</v>
      </c>
      <c r="AC19" s="5">
        <f>$S$12*$W$7+$S$7</f>
        <v>15261.492512158358</v>
      </c>
      <c r="AD19" s="5">
        <f>-$S$13*$W$8</f>
        <v>-15347.389012388307</v>
      </c>
      <c r="AE19" s="12">
        <v>0</v>
      </c>
      <c r="AH19" s="4">
        <v>6.905684705949838E-14</v>
      </c>
      <c r="AI19" s="5">
        <v>2.5348295660087967E-11</v>
      </c>
      <c r="AJ19" s="5">
        <v>3.5530551363066996E-8</v>
      </c>
      <c r="AK19" s="5">
        <v>6.5593838199704883E-5</v>
      </c>
      <c r="AL19" s="6">
        <v>6.5560173030379022E-5</v>
      </c>
      <c r="AN19">
        <v>4.5892121121265315E-4</v>
      </c>
    </row>
    <row r="20" spans="1:49" ht="15.75" thickBot="1" x14ac:dyDescent="0.3">
      <c r="Z20" s="7">
        <v>0</v>
      </c>
      <c r="AA20" s="8">
        <v>0</v>
      </c>
      <c r="AB20" s="8">
        <v>0</v>
      </c>
      <c r="AC20" s="67">
        <f>-$S$7</f>
        <v>-7.8996430252724421</v>
      </c>
      <c r="AD20" s="8">
        <f>$S$13*$W$8+$S$8</f>
        <v>15355.269901439235</v>
      </c>
      <c r="AE20" s="13">
        <f>$S$14*$R$14</f>
        <v>7</v>
      </c>
      <c r="AH20" s="7">
        <v>3.5526854540651269E-17</v>
      </c>
      <c r="AI20" s="8">
        <v>1.3040636100768838E-14</v>
      </c>
      <c r="AJ20" s="8">
        <v>1.8278980054465126E-11</v>
      </c>
      <c r="AK20" s="8">
        <v>3.3745281571806203E-8</v>
      </c>
      <c r="AL20" s="9">
        <v>6.5157949575984819E-5</v>
      </c>
      <c r="AN20">
        <v>4.5610564703189372E-4</v>
      </c>
      <c r="AO20" s="5"/>
      <c r="AP20" s="5"/>
      <c r="AQ20" s="5"/>
      <c r="AR20" s="5"/>
      <c r="AS20" s="5"/>
    </row>
    <row r="22" spans="1:49" ht="15.75" thickBot="1" x14ac:dyDescent="0.3"/>
    <row r="23" spans="1:49" ht="18" thickBot="1" x14ac:dyDescent="0.3">
      <c r="Y23" s="5"/>
      <c r="Z23" s="5"/>
      <c r="AA23" s="5"/>
      <c r="AB23" s="5"/>
      <c r="AC23" s="5"/>
      <c r="AD23" s="5"/>
      <c r="AE23" s="52"/>
      <c r="AF23" s="5"/>
      <c r="AG23" s="5"/>
      <c r="AH23" s="5"/>
      <c r="AI23" s="5"/>
      <c r="AJ23" s="5"/>
      <c r="AK23" s="5"/>
      <c r="AL23" s="5"/>
      <c r="AO23" s="18"/>
      <c r="AP23" s="19" t="s">
        <v>124</v>
      </c>
      <c r="AQ23" s="93" t="s">
        <v>28</v>
      </c>
      <c r="AR23" s="93" t="s">
        <v>29</v>
      </c>
      <c r="AS23" s="22" t="s">
        <v>30</v>
      </c>
      <c r="AU23" s="94" t="s">
        <v>116</v>
      </c>
    </row>
    <row r="24" spans="1:49" ht="15.75" thickBot="1" x14ac:dyDescent="0.3">
      <c r="G24" s="28" t="s">
        <v>79</v>
      </c>
      <c r="H24" s="29" t="s">
        <v>80</v>
      </c>
      <c r="I24" s="29" t="s">
        <v>81</v>
      </c>
      <c r="J24" s="29" t="s">
        <v>82</v>
      </c>
      <c r="K24" s="29" t="s">
        <v>83</v>
      </c>
      <c r="L24" s="29" t="s">
        <v>84</v>
      </c>
      <c r="M24" s="29" t="s">
        <v>85</v>
      </c>
      <c r="N24" s="29" t="s">
        <v>86</v>
      </c>
      <c r="O24" s="29" t="s">
        <v>87</v>
      </c>
      <c r="P24" s="29" t="s">
        <v>88</v>
      </c>
      <c r="Q24" s="29" t="s">
        <v>89</v>
      </c>
      <c r="R24" s="30" t="s">
        <v>90</v>
      </c>
      <c r="Y24" s="52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O24" s="91" t="s">
        <v>7</v>
      </c>
      <c r="AP24" s="1">
        <v>25</v>
      </c>
      <c r="AQ24" s="2">
        <v>0.35</v>
      </c>
      <c r="AR24" s="2">
        <v>0.65</v>
      </c>
      <c r="AS24" s="3">
        <v>0</v>
      </c>
      <c r="AU24">
        <f>AR29*AN29/AP24/AR24</f>
        <v>0.99995495938080603</v>
      </c>
    </row>
    <row r="25" spans="1:49" ht="15.75" thickBot="1" x14ac:dyDescent="0.3">
      <c r="G25">
        <f>B31/$B$39/$B$40</f>
        <v>2.1071800296631609</v>
      </c>
      <c r="H25">
        <f>C31/$B$39/$B$40</f>
        <v>2.8350922655412045</v>
      </c>
      <c r="I25">
        <f>B32/$B$39/$B$40</f>
        <v>7.2849444468829168</v>
      </c>
      <c r="J25">
        <f>C32/$B$39/$B$40</f>
        <v>6.1290709297054313</v>
      </c>
      <c r="K25">
        <f>B33/$B$39/$B$40</f>
        <v>4.0246507210259157</v>
      </c>
      <c r="L25">
        <f>C33/$B$39/$B$40</f>
        <v>0.21292207917654202</v>
      </c>
      <c r="M25">
        <f>EXP(-$E$31*G25)</f>
        <v>0.43047242445194145</v>
      </c>
      <c r="N25">
        <f t="shared" ref="N25:R25" si="23">EXP(-$E$31*H25)</f>
        <v>0.32173183009668638</v>
      </c>
      <c r="O25">
        <f t="shared" si="23"/>
        <v>5.425946787469077E-2</v>
      </c>
      <c r="P25">
        <f t="shared" si="23"/>
        <v>8.6153182795249569E-2</v>
      </c>
      <c r="Q25">
        <f t="shared" si="23"/>
        <v>0.19991554264238187</v>
      </c>
      <c r="R25">
        <f t="shared" si="23"/>
        <v>0.91835722352796123</v>
      </c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O25" s="92" t="s">
        <v>18</v>
      </c>
      <c r="AP25" s="109">
        <v>7</v>
      </c>
      <c r="AQ25" s="8">
        <v>0</v>
      </c>
      <c r="AR25" s="8">
        <v>0</v>
      </c>
      <c r="AS25" s="9">
        <v>1</v>
      </c>
    </row>
    <row r="26" spans="1:49" ht="15.75" thickBot="1" x14ac:dyDescent="0.3"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W26" s="33"/>
    </row>
    <row r="27" spans="1:49" ht="15.75" thickBot="1" x14ac:dyDescent="0.3"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Q27" s="19" t="s">
        <v>125</v>
      </c>
      <c r="AR27" s="22" t="s">
        <v>126</v>
      </c>
    </row>
    <row r="28" spans="1:49" ht="15.75" thickBot="1" x14ac:dyDescent="0.3">
      <c r="Y28" s="5"/>
      <c r="Z28" s="5"/>
      <c r="AA28" s="5"/>
      <c r="AB28" s="5"/>
      <c r="AC28" s="52" t="s">
        <v>112</v>
      </c>
      <c r="AD28" s="52" t="s">
        <v>113</v>
      </c>
      <c r="AE28" s="52" t="s">
        <v>114</v>
      </c>
      <c r="AF28" s="94" t="s">
        <v>115</v>
      </c>
      <c r="AG28" s="5"/>
      <c r="AH28" s="17" t="s">
        <v>6</v>
      </c>
      <c r="AI28" s="95" t="s">
        <v>68</v>
      </c>
      <c r="AJ28" s="96" t="s">
        <v>69</v>
      </c>
      <c r="AK28" s="96" t="s">
        <v>70</v>
      </c>
      <c r="AL28" s="97" t="s">
        <v>76</v>
      </c>
      <c r="AM28" s="95" t="s">
        <v>71</v>
      </c>
      <c r="AN28" s="96" t="s">
        <v>72</v>
      </c>
      <c r="AO28" s="96" t="s">
        <v>73</v>
      </c>
      <c r="AP28" s="101" t="s">
        <v>77</v>
      </c>
      <c r="AQ28" s="95">
        <f>AP24</f>
        <v>25</v>
      </c>
      <c r="AR28" s="3"/>
      <c r="AS28" s="93" t="s">
        <v>62</v>
      </c>
      <c r="AT28" s="93" t="s">
        <v>63</v>
      </c>
      <c r="AU28" s="22" t="s">
        <v>64</v>
      </c>
    </row>
    <row r="29" spans="1:49" ht="15.75" thickBot="1" x14ac:dyDescent="0.3">
      <c r="AC29" s="33">
        <f>SUM(AD29:AF29)</f>
        <v>0.9999994522654877</v>
      </c>
      <c r="AD29" s="72">
        <f>AN2</f>
        <v>0.797625940895755</v>
      </c>
      <c r="AE29" s="73">
        <f>AN9</f>
        <v>0.20047395694783396</v>
      </c>
      <c r="AF29" s="74">
        <f>AN16</f>
        <v>1.8995544218987569E-3</v>
      </c>
      <c r="AH29" s="98">
        <v>1</v>
      </c>
      <c r="AI29" s="72">
        <f>I37</f>
        <v>0.79762594089575489</v>
      </c>
      <c r="AJ29" s="73">
        <f t="shared" ref="AJ29:AO33" si="24">J37</f>
        <v>0.20047451700830898</v>
      </c>
      <c r="AK29" s="73">
        <f t="shared" si="24"/>
        <v>1.8995420959361745E-3</v>
      </c>
      <c r="AL29" s="129">
        <f t="shared" si="24"/>
        <v>1</v>
      </c>
      <c r="AM29" s="73">
        <f t="shared" si="24"/>
        <v>3.6215380315913662E-2</v>
      </c>
      <c r="AN29" s="73">
        <f t="shared" si="24"/>
        <v>0.67370924758582074</v>
      </c>
      <c r="AO29" s="74">
        <f t="shared" si="24"/>
        <v>0.29007537209826562</v>
      </c>
      <c r="AP29" s="55">
        <f>SUM(AM29:AO29)</f>
        <v>1</v>
      </c>
      <c r="AQ29" s="102">
        <f>(AR31*(AM30-AM31)+AQ30*(AI30-AM30))/(AI29-AM30)</f>
        <v>10.061575351270955</v>
      </c>
      <c r="AR29" s="6">
        <f>AP24+AP25-AQ33</f>
        <v>24.119110949071807</v>
      </c>
      <c r="AS29" s="1">
        <f>AM29/AI29</f>
        <v>4.5403965015534523E-2</v>
      </c>
      <c r="AT29" s="2">
        <f t="shared" ref="AT29:AU33" si="25">AN29/AJ29</f>
        <v>3.360572992715567</v>
      </c>
      <c r="AU29" s="3">
        <f t="shared" si="25"/>
        <v>152.70805143978882</v>
      </c>
    </row>
    <row r="30" spans="1:49" ht="15.75" thickBot="1" x14ac:dyDescent="0.3">
      <c r="A30" s="136" t="s">
        <v>78</v>
      </c>
      <c r="B30" s="136"/>
      <c r="C30" s="136"/>
      <c r="D30" s="136"/>
      <c r="E30" s="136"/>
      <c r="J30" s="33">
        <f>J37</f>
        <v>0.20047451700830898</v>
      </c>
      <c r="K30" s="33">
        <f>(K37+K50)/2</f>
        <v>1.8995420680097091E-3</v>
      </c>
      <c r="L30" s="33">
        <f>SUM(I37:K37)</f>
        <v>1</v>
      </c>
      <c r="M30" s="33">
        <f t="shared" ref="M30:N34" si="26">(M37+M50)/2</f>
        <v>3.6215380744704248E-2</v>
      </c>
      <c r="N30" s="33">
        <f t="shared" si="26"/>
        <v>0.67370926800348618</v>
      </c>
      <c r="T30" s="25"/>
      <c r="U30" s="25"/>
      <c r="V30" s="25"/>
      <c r="W30" s="25"/>
      <c r="X30" s="25"/>
      <c r="Y30" s="25"/>
      <c r="Z30" s="25"/>
      <c r="AC30" s="33">
        <f t="shared" ref="AC30:AC33" si="27">SUM(AD30:AF30)</f>
        <v>0.99999984094221295</v>
      </c>
      <c r="AD30" s="72">
        <f t="shared" ref="AD30:AD33" si="28">AN3</f>
        <v>0.96563174972944854</v>
      </c>
      <c r="AE30" s="73">
        <f t="shared" ref="AE30:AE32" si="29">AN10</f>
        <v>3.3757470643634067E-2</v>
      </c>
      <c r="AF30" s="74">
        <f t="shared" ref="AF30:AF33" si="30">AN17</f>
        <v>6.1062056913033463E-4</v>
      </c>
      <c r="AH30" s="99">
        <v>2</v>
      </c>
      <c r="AI30" s="75">
        <f t="shared" ref="AI30:AI33" si="31">I38</f>
        <v>0.96563174972944854</v>
      </c>
      <c r="AJ30" s="76">
        <f t="shared" si="24"/>
        <v>3.3757630050776213E-2</v>
      </c>
      <c r="AK30" s="76">
        <f t="shared" si="24"/>
        <v>6.1062021977524865E-4</v>
      </c>
      <c r="AL30" s="130">
        <f t="shared" si="24"/>
        <v>1</v>
      </c>
      <c r="AM30" s="76">
        <f t="shared" si="24"/>
        <v>1.6214069132045792E-2</v>
      </c>
      <c r="AN30" s="76">
        <f t="shared" si="24"/>
        <v>0.21962585082129341</v>
      </c>
      <c r="AO30" s="77">
        <f t="shared" si="24"/>
        <v>0.76416008004666081</v>
      </c>
      <c r="AP30" s="56">
        <f t="shared" ref="AP30:AP33" si="32">SUM(AM30:AO30)</f>
        <v>1</v>
      </c>
      <c r="AQ30" s="102">
        <f>(AR32*(AM31-AM32)+AQ31*(AI31-AM31))/(AI30-AM31)</f>
        <v>8.1801318699566803</v>
      </c>
      <c r="AR30" s="6">
        <f t="shared" ref="AR30:AR32" si="33">AR31+AQ29-AQ30</f>
        <v>9.1806863003427619</v>
      </c>
      <c r="AS30" s="4">
        <f t="shared" ref="AS30:AS33" si="34">AM30/AI30</f>
        <v>1.679115163372441E-2</v>
      </c>
      <c r="AT30" s="5">
        <f t="shared" si="25"/>
        <v>6.50596177785423</v>
      </c>
      <c r="AU30" s="6">
        <f t="shared" si="25"/>
        <v>1251.449027233205</v>
      </c>
    </row>
    <row r="31" spans="1:49" ht="15.75" thickBot="1" x14ac:dyDescent="0.3">
      <c r="A31" s="26" t="s">
        <v>33</v>
      </c>
      <c r="B31" s="27">
        <v>5.5736999999999997</v>
      </c>
      <c r="C31" s="27">
        <v>7.4991000000000003</v>
      </c>
      <c r="D31" s="26">
        <v>6.4999999999999997E-3</v>
      </c>
      <c r="E31" s="26">
        <v>0.4</v>
      </c>
      <c r="J31" s="33">
        <f t="shared" ref="J31:J34" si="35">J38</f>
        <v>3.3757630050776213E-2</v>
      </c>
      <c r="K31" s="33">
        <f t="shared" ref="K31:K34" si="36">(K38+K51)/2</f>
        <v>6.1062021977519878E-4</v>
      </c>
      <c r="L31" s="33">
        <f t="shared" ref="L31:L34" si="37">SUM(I38:K38)</f>
        <v>1</v>
      </c>
      <c r="M31" s="33">
        <f t="shared" si="26"/>
        <v>1.6214069132189438E-2</v>
      </c>
      <c r="N31" s="33">
        <f t="shared" si="26"/>
        <v>0.21962585082133351</v>
      </c>
      <c r="T31" s="25"/>
      <c r="U31" s="25"/>
      <c r="V31" s="25"/>
      <c r="W31" s="25"/>
      <c r="X31" s="25"/>
      <c r="Y31" s="25"/>
      <c r="Z31" s="25"/>
      <c r="AC31" s="33">
        <f t="shared" si="27"/>
        <v>0.99999997531074925</v>
      </c>
      <c r="AD31" s="72">
        <f t="shared" si="28"/>
        <v>0.99439879916335161</v>
      </c>
      <c r="AE31" s="73">
        <f t="shared" si="29"/>
        <v>5.1233445061670017E-3</v>
      </c>
      <c r="AF31" s="74">
        <f t="shared" si="30"/>
        <v>4.778316412306388E-4</v>
      </c>
      <c r="AH31" s="99">
        <v>3</v>
      </c>
      <c r="AI31" s="75">
        <f t="shared" si="31"/>
        <v>0.99439879916335161</v>
      </c>
      <c r="AJ31" s="76">
        <f t="shared" si="24"/>
        <v>5.1233691974359712E-3</v>
      </c>
      <c r="AK31" s="76">
        <f t="shared" si="24"/>
        <v>4.7783163921246363E-4</v>
      </c>
      <c r="AL31" s="130">
        <f t="shared" si="24"/>
        <v>1</v>
      </c>
      <c r="AM31" s="76">
        <f t="shared" si="24"/>
        <v>3.0794737294737402E-3</v>
      </c>
      <c r="AN31" s="76">
        <f t="shared" si="24"/>
        <v>3.772508877185838E-2</v>
      </c>
      <c r="AO31" s="77">
        <f t="shared" si="24"/>
        <v>0.95919543749866787</v>
      </c>
      <c r="AP31" s="56">
        <f t="shared" si="32"/>
        <v>1</v>
      </c>
      <c r="AQ31" s="102">
        <f>(AR33*(AM32-AM33)+AQ32*(AI32-AM32))/(AI31-AM32)</f>
        <v>7.9354997028648828</v>
      </c>
      <c r="AR31" s="6">
        <f t="shared" si="33"/>
        <v>7.2992428190284873</v>
      </c>
      <c r="AS31" s="4">
        <f t="shared" si="34"/>
        <v>3.0968196382223003E-3</v>
      </c>
      <c r="AT31" s="5">
        <f t="shared" si="25"/>
        <v>7.3633359842070689</v>
      </c>
      <c r="AU31" s="6">
        <f t="shared" si="25"/>
        <v>2007.3920577539866</v>
      </c>
    </row>
    <row r="32" spans="1:49" ht="15.75" thickBot="1" x14ac:dyDescent="0.3">
      <c r="A32" s="31" t="s">
        <v>34</v>
      </c>
      <c r="B32" s="32">
        <v>19.269400000000001</v>
      </c>
      <c r="C32" s="32">
        <v>16.212</v>
      </c>
      <c r="D32" s="31"/>
      <c r="E32" s="31"/>
      <c r="J32" s="33">
        <f t="shared" si="35"/>
        <v>5.1233691974359712E-3</v>
      </c>
      <c r="K32" s="33">
        <f t="shared" si="36"/>
        <v>4.7783163921246363E-4</v>
      </c>
      <c r="L32" s="33">
        <f t="shared" si="37"/>
        <v>1</v>
      </c>
      <c r="M32" s="33">
        <f t="shared" si="26"/>
        <v>3.0794737294737402E-3</v>
      </c>
      <c r="N32" s="33">
        <f t="shared" si="26"/>
        <v>3.772508877185838E-2</v>
      </c>
      <c r="T32" s="33"/>
      <c r="U32" s="33"/>
      <c r="V32" s="33"/>
      <c r="W32" s="33"/>
      <c r="X32" s="33"/>
      <c r="Y32" s="33"/>
      <c r="Z32" s="33"/>
      <c r="AC32" s="33">
        <f t="shared" si="27"/>
        <v>0.99999999641985649</v>
      </c>
      <c r="AD32" s="72">
        <f t="shared" si="28"/>
        <v>0.99878550116698417</v>
      </c>
      <c r="AE32" s="73">
        <f t="shared" si="29"/>
        <v>7.5557404165969963E-4</v>
      </c>
      <c r="AF32" s="74">
        <f t="shared" si="30"/>
        <v>4.5892121121265315E-4</v>
      </c>
      <c r="AH32" s="99">
        <v>4</v>
      </c>
      <c r="AI32" s="75">
        <f t="shared" si="31"/>
        <v>0.99878550116698417</v>
      </c>
      <c r="AJ32" s="76">
        <f t="shared" si="24"/>
        <v>7.5557762158256646E-4</v>
      </c>
      <c r="AK32" s="76">
        <f t="shared" si="24"/>
        <v>4.589212114332864E-4</v>
      </c>
      <c r="AL32" s="130">
        <f t="shared" si="24"/>
        <v>1</v>
      </c>
      <c r="AM32" s="76">
        <f t="shared" si="24"/>
        <v>2.0602343501885433E-3</v>
      </c>
      <c r="AN32" s="76">
        <f t="shared" si="24"/>
        <v>5.6529246615080134E-3</v>
      </c>
      <c r="AO32" s="77">
        <f t="shared" si="24"/>
        <v>0.99228684098830344</v>
      </c>
      <c r="AP32" s="56">
        <f t="shared" si="32"/>
        <v>1</v>
      </c>
      <c r="AQ32" s="102">
        <f>(AR34*(AM33-AM34)+AQ33*(AI33-AM33))/(AI32-AM33)</f>
        <v>7.8996430252724421</v>
      </c>
      <c r="AR32" s="6">
        <f t="shared" si="33"/>
        <v>7.0546106519366907</v>
      </c>
      <c r="AS32" s="4">
        <f t="shared" si="34"/>
        <v>2.0627395449587115E-3</v>
      </c>
      <c r="AT32" s="5">
        <f t="shared" si="25"/>
        <v>7.4815935517887553</v>
      </c>
      <c r="AU32" s="6">
        <f t="shared" si="25"/>
        <v>2162.2161196019433</v>
      </c>
    </row>
    <row r="33" spans="1:47" ht="15.75" thickBot="1" x14ac:dyDescent="0.3">
      <c r="A33" s="34" t="s">
        <v>35</v>
      </c>
      <c r="B33" s="35">
        <v>10.6456</v>
      </c>
      <c r="C33" s="35">
        <v>0.56320000000000003</v>
      </c>
      <c r="D33" s="36"/>
      <c r="E33" s="36"/>
      <c r="J33" s="33">
        <f t="shared" si="35"/>
        <v>7.5557762158256646E-4</v>
      </c>
      <c r="K33" s="33">
        <f t="shared" si="36"/>
        <v>4.589212114332864E-4</v>
      </c>
      <c r="L33" s="33">
        <f t="shared" si="37"/>
        <v>1</v>
      </c>
      <c r="M33" s="33">
        <f t="shared" si="26"/>
        <v>2.0602343501885433E-3</v>
      </c>
      <c r="N33" s="33">
        <f t="shared" si="26"/>
        <v>5.6529246615080134E-3</v>
      </c>
      <c r="T33" s="33"/>
      <c r="U33" s="33"/>
      <c r="V33" s="33"/>
      <c r="W33" s="33"/>
      <c r="X33" s="33"/>
      <c r="Y33" s="33"/>
      <c r="Z33" s="33"/>
      <c r="AC33" s="33">
        <f t="shared" si="27"/>
        <v>0.99999999954209084</v>
      </c>
      <c r="AD33" s="72">
        <f t="shared" si="28"/>
        <v>0.99944526222837382</v>
      </c>
      <c r="AE33" s="73">
        <f>AN13</f>
        <v>9.8631666685099364E-5</v>
      </c>
      <c r="AF33" s="74">
        <f t="shared" si="30"/>
        <v>4.5610564703189372E-4</v>
      </c>
      <c r="AH33" s="100">
        <v>5</v>
      </c>
      <c r="AI33" s="78">
        <f t="shared" si="31"/>
        <v>0.99944526222837382</v>
      </c>
      <c r="AJ33" s="79">
        <f t="shared" si="24"/>
        <v>9.8632124556983068E-5</v>
      </c>
      <c r="AK33" s="79">
        <f t="shared" si="24"/>
        <v>4.5610564706923689E-4</v>
      </c>
      <c r="AL33" s="131">
        <f t="shared" si="24"/>
        <v>1</v>
      </c>
      <c r="AM33" s="79">
        <f t="shared" si="24"/>
        <v>1.9279339308404665E-3</v>
      </c>
      <c r="AN33" s="79">
        <f t="shared" si="24"/>
        <v>7.3965893450619251E-4</v>
      </c>
      <c r="AO33" s="80">
        <f t="shared" si="24"/>
        <v>0.99733240713465332</v>
      </c>
      <c r="AP33" s="57">
        <f t="shared" si="32"/>
        <v>1</v>
      </c>
      <c r="AQ33" s="4">
        <f>(AP24*AQ24+AP25*AQ25-(AP24+AP25)*AM29)/(AI33-AM29)</f>
        <v>7.880889050928193</v>
      </c>
      <c r="AR33" s="6">
        <f>AR34+AQ32-AQ33</f>
        <v>7.01875397434425</v>
      </c>
      <c r="AS33" s="7">
        <f t="shared" si="34"/>
        <v>1.9290040222332181E-3</v>
      </c>
      <c r="AT33" s="8">
        <f t="shared" si="25"/>
        <v>7.4991686311985184</v>
      </c>
      <c r="AU33" s="9">
        <f t="shared" si="25"/>
        <v>2186.6258695614397</v>
      </c>
    </row>
    <row r="34" spans="1:47" ht="15.75" thickBot="1" x14ac:dyDescent="0.3">
      <c r="J34" s="33">
        <f t="shared" si="35"/>
        <v>9.8632124556983068E-5</v>
      </c>
      <c r="K34" s="33">
        <f t="shared" si="36"/>
        <v>4.5610564706923689E-4</v>
      </c>
      <c r="L34" s="33">
        <f t="shared" si="37"/>
        <v>1</v>
      </c>
      <c r="M34" s="33">
        <f t="shared" si="26"/>
        <v>1.9279339308404665E-3</v>
      </c>
      <c r="N34" s="33">
        <f t="shared" si="26"/>
        <v>7.3965893450619251E-4</v>
      </c>
      <c r="T34" s="33"/>
      <c r="U34" s="33"/>
      <c r="V34" s="33"/>
      <c r="W34" s="33"/>
      <c r="X34" s="33"/>
      <c r="Y34" s="33"/>
      <c r="Z34" s="33"/>
      <c r="AM34" s="70">
        <v>0</v>
      </c>
      <c r="AN34">
        <f>AR25</f>
        <v>0</v>
      </c>
      <c r="AO34" s="71">
        <v>1</v>
      </c>
      <c r="AQ34" s="7"/>
      <c r="AR34" s="103">
        <f>AP25</f>
        <v>7</v>
      </c>
    </row>
    <row r="35" spans="1:47" ht="26.25" thickBot="1" x14ac:dyDescent="0.3">
      <c r="A35" s="137" t="s">
        <v>91</v>
      </c>
      <c r="B35" s="37" t="s">
        <v>92</v>
      </c>
      <c r="C35" s="37" t="s">
        <v>93</v>
      </c>
      <c r="D35" s="137" t="s">
        <v>36</v>
      </c>
      <c r="E35" s="137" t="s">
        <v>37</v>
      </c>
    </row>
    <row r="36" spans="1:47" ht="15.75" thickBot="1" x14ac:dyDescent="0.3">
      <c r="A36" s="138"/>
      <c r="B36" s="139" t="s">
        <v>38</v>
      </c>
      <c r="C36" s="139"/>
      <c r="D36" s="138"/>
      <c r="E36" s="138"/>
      <c r="I36" s="38" t="s">
        <v>39</v>
      </c>
      <c r="J36" s="39" t="s">
        <v>40</v>
      </c>
      <c r="K36" s="40" t="s">
        <v>41</v>
      </c>
      <c r="L36" s="41"/>
      <c r="M36" s="38" t="s">
        <v>42</v>
      </c>
      <c r="N36" s="39" t="s">
        <v>43</v>
      </c>
      <c r="O36" s="40" t="s">
        <v>44</v>
      </c>
      <c r="P36" s="42" t="s">
        <v>94</v>
      </c>
      <c r="Q36" s="43" t="s">
        <v>95</v>
      </c>
      <c r="R36" s="44" t="s">
        <v>96</v>
      </c>
      <c r="S36" s="42" t="s">
        <v>97</v>
      </c>
      <c r="T36" s="43" t="s">
        <v>98</v>
      </c>
      <c r="U36" s="44" t="s">
        <v>99</v>
      </c>
      <c r="V36" s="45" t="s">
        <v>45</v>
      </c>
      <c r="W36" s="46" t="s">
        <v>46</v>
      </c>
      <c r="X36" s="47" t="s">
        <v>47</v>
      </c>
      <c r="Y36" s="42" t="s">
        <v>100</v>
      </c>
      <c r="Z36" s="43" t="s">
        <v>101</v>
      </c>
      <c r="AA36" s="43" t="s">
        <v>102</v>
      </c>
      <c r="AB36" s="19" t="s">
        <v>48</v>
      </c>
      <c r="AC36" s="93" t="s">
        <v>49</v>
      </c>
      <c r="AD36" s="22" t="s">
        <v>50</v>
      </c>
      <c r="AH36" s="133"/>
    </row>
    <row r="37" spans="1:47" x14ac:dyDescent="0.25">
      <c r="I37" s="33">
        <f>1-J37-K37</f>
        <v>0.79762594089575489</v>
      </c>
      <c r="J37">
        <v>0.20047451700830898</v>
      </c>
      <c r="K37" s="6">
        <v>1.8995420959361745E-3</v>
      </c>
      <c r="L37" s="48">
        <v>1</v>
      </c>
      <c r="M37" s="48">
        <v>3.6215380315913662E-2</v>
      </c>
      <c r="N37" s="69">
        <v>0.67370924758582074</v>
      </c>
      <c r="O37" s="33">
        <f>1-M37-N37</f>
        <v>0.29007537209826562</v>
      </c>
      <c r="P37">
        <f>I37+$N$25*J37+$P$25*K37</f>
        <v>0.86228862573800591</v>
      </c>
      <c r="Q37">
        <f>$M$25*I37+J37+$R$25*K37</f>
        <v>0.54557494779666404</v>
      </c>
      <c r="R37">
        <f>$O$25*I37+$Q$25*J37+K37</f>
        <v>8.525627306567489E-2</v>
      </c>
      <c r="S37">
        <f>J37*$H$25*$N$25+K37*$J$25*$P$25</f>
        <v>0.18386374253564708</v>
      </c>
      <c r="T37">
        <f>I37*$G$25*$M$25+K37*$L$25*$R$25</f>
        <v>0.72388428216088674</v>
      </c>
      <c r="U37">
        <f>I37*$I$25*$O$25+J37*$K$25*$Q$25</f>
        <v>0.47658319420866696</v>
      </c>
      <c r="V37">
        <f>S37/P37-I37*S37/P37^2+J37*$M$25/Q37*($G$25-T37/Q37)+K37*$O$25/R37*($I$25-U37/R37)</f>
        <v>0.14147451628552837</v>
      </c>
      <c r="W37">
        <f>T37/Q37-J37*T37/Q37^2+(I37*$N$25/P37)*($H$25-S37/P37)+(K37*$Q$25/R37)*($K$25-U37/R37)</f>
        <v>1.6125863215132958</v>
      </c>
      <c r="X37">
        <f>U37/R37-K37*U37/R37^2+I37*$P$25/P37*($J$25-S37/P37)+J37*$R$25/Q37*($L$25-T37/Q37)</f>
        <v>5.5610150647984327</v>
      </c>
      <c r="Y37">
        <f>EXP(V37)</f>
        <v>1.1519711473829495</v>
      </c>
      <c r="Z37">
        <f t="shared" ref="Z37:AA41" si="38">EXP(W37)</f>
        <v>5.0157668526229031</v>
      </c>
      <c r="AA37">
        <f t="shared" si="38"/>
        <v>260.08670723831318</v>
      </c>
      <c r="AB37">
        <f>Y37/Y43</f>
        <v>4.5403966090701631E-2</v>
      </c>
      <c r="AC37">
        <f t="shared" ref="AC37:AD41" si="39">Z37/Z43</f>
        <v>3.3605731964089416</v>
      </c>
      <c r="AD37">
        <f t="shared" si="39"/>
        <v>152.70805592991965</v>
      </c>
    </row>
    <row r="38" spans="1:47" x14ac:dyDescent="0.25">
      <c r="I38" s="33">
        <f t="shared" ref="I38:I41" si="40">1-J38-K38</f>
        <v>0.96563174972944854</v>
      </c>
      <c r="J38">
        <v>3.3757630050776213E-2</v>
      </c>
      <c r="K38">
        <v>6.1062021977524865E-4</v>
      </c>
      <c r="L38">
        <v>1</v>
      </c>
      <c r="M38" s="48">
        <v>1.6214069132045792E-2</v>
      </c>
      <c r="N38">
        <v>0.21962585082129341</v>
      </c>
      <c r="O38" s="33">
        <f t="shared" ref="O38:O41" si="41">1-M38-N38</f>
        <v>0.76416008004666081</v>
      </c>
      <c r="P38">
        <f t="shared" ref="P38:P41" si="42">I38+$N$25*J38+$P$25*K38</f>
        <v>0.97654526070082437</v>
      </c>
      <c r="Q38">
        <f t="shared" ref="Q38:Q41" si="43">$M$25*I38+J38+$R$25*K38</f>
        <v>0.44999623797424509</v>
      </c>
      <c r="R38">
        <f t="shared" ref="R38:R41" si="44">$O$25*I38+$Q$25*J38+K38</f>
        <v>5.9753960052923404E-2</v>
      </c>
      <c r="S38">
        <f t="shared" ref="S38:S41" si="45">J38*$H$25*$N$25+K38*$J$25*$P$25</f>
        <v>3.1114096470044907E-2</v>
      </c>
      <c r="T38">
        <f t="shared" ref="T38:T41" si="46">I38*$G$25*$M$25+K38*$L$25*$R$25</f>
        <v>0.87602744391545984</v>
      </c>
      <c r="U38">
        <f t="shared" ref="U38:U41" si="47">I38*$I$25*$O$25+J38*$K$25*$Q$25</f>
        <v>0.40885328255572967</v>
      </c>
      <c r="V38">
        <f t="shared" ref="V38:V41" si="48">S38/P38-I38*S38/P38^2+J38*$M$25/Q38*($G$25-T38/Q38)+K38*$O$25/R38*($I$25-U38/R38)</f>
        <v>5.7824800857083037E-3</v>
      </c>
      <c r="W38">
        <f t="shared" ref="W38:W41" si="49">T38/Q38-J38*T38/Q38^2+(I38*$N$25/P38)*($H$25-S38/P38)+(K38*$Q$25/R38)*($K$25-U38/R38)</f>
        <v>2.686757140488492</v>
      </c>
      <c r="X38">
        <f t="shared" ref="X38:X41" si="50">U38/R38-K38*U38/R38^2+I38*$P$25/P38*($J$25-S38/P38)+J38*$R$25/Q38*($L$25-T38/Q38)</f>
        <v>7.1723340856858071</v>
      </c>
      <c r="Y38">
        <f t="shared" ref="Y38:Y41" si="51">EXP(V38)</f>
        <v>1.0057992308951889</v>
      </c>
      <c r="Z38">
        <f t="shared" si="38"/>
        <v>14.683980541567621</v>
      </c>
      <c r="AA38">
        <f t="shared" si="38"/>
        <v>1302.882094989711</v>
      </c>
      <c r="AB38">
        <f>Y38/Y44</f>
        <v>1.6791151634021922E-2</v>
      </c>
      <c r="AC38">
        <f t="shared" si="39"/>
        <v>6.5059617778566077</v>
      </c>
      <c r="AD38">
        <f t="shared" si="39"/>
        <v>1251.4490272334094</v>
      </c>
    </row>
    <row r="39" spans="1:47" x14ac:dyDescent="0.25">
      <c r="A39" s="49" t="s">
        <v>57</v>
      </c>
      <c r="B39">
        <f>8.314/1000</f>
        <v>8.3140000000000002E-3</v>
      </c>
      <c r="C39" t="s">
        <v>58</v>
      </c>
      <c r="I39" s="33">
        <f t="shared" si="40"/>
        <v>0.99439879916335161</v>
      </c>
      <c r="J39">
        <v>5.1233691974359712E-3</v>
      </c>
      <c r="K39">
        <v>4.7783163921246363E-4</v>
      </c>
      <c r="L39">
        <v>1</v>
      </c>
      <c r="M39" s="48">
        <v>3.0794737294737402E-3</v>
      </c>
      <c r="N39">
        <v>3.772508877185838E-2</v>
      </c>
      <c r="O39" s="33">
        <f t="shared" si="41"/>
        <v>0.95919543749866787</v>
      </c>
      <c r="P39">
        <f t="shared" si="42"/>
        <v>0.99608831682806209</v>
      </c>
      <c r="Q39">
        <f t="shared" si="43"/>
        <v>0.4336234512828841</v>
      </c>
      <c r="R39">
        <f t="shared" si="44"/>
        <v>5.5457622470310095E-2</v>
      </c>
      <c r="S39">
        <f t="shared" si="45"/>
        <v>4.9255407497331019E-3</v>
      </c>
      <c r="T39">
        <f t="shared" si="46"/>
        <v>0.90209557714518662</v>
      </c>
      <c r="U39">
        <f t="shared" si="47"/>
        <v>0.39718539496524802</v>
      </c>
      <c r="V39">
        <f t="shared" si="48"/>
        <v>2.0226128680511489E-4</v>
      </c>
      <c r="W39">
        <f t="shared" si="49"/>
        <v>2.9593862036174077</v>
      </c>
      <c r="X39">
        <f t="shared" si="50"/>
        <v>7.6067086991586894</v>
      </c>
      <c r="Y39">
        <f t="shared" si="51"/>
        <v>1.0002022817429983</v>
      </c>
      <c r="Z39">
        <f t="shared" si="38"/>
        <v>19.286130364721043</v>
      </c>
      <c r="AA39">
        <f t="shared" si="38"/>
        <v>2011.6462569939802</v>
      </c>
      <c r="AB39">
        <f>Y39/Y45</f>
        <v>3.0968196382223008E-3</v>
      </c>
      <c r="AC39">
        <f t="shared" si="39"/>
        <v>7.3633359842070698</v>
      </c>
      <c r="AD39">
        <f t="shared" si="39"/>
        <v>2007.3920577539864</v>
      </c>
    </row>
    <row r="40" spans="1:47" x14ac:dyDescent="0.25">
      <c r="A40" s="49" t="s">
        <v>59</v>
      </c>
      <c r="B40">
        <v>318.14999999999998</v>
      </c>
      <c r="C40" t="s">
        <v>60</v>
      </c>
      <c r="I40" s="33">
        <f t="shared" si="40"/>
        <v>0.99878550116698417</v>
      </c>
      <c r="J40">
        <v>7.5557762158256646E-4</v>
      </c>
      <c r="K40">
        <v>4.589212114332864E-4</v>
      </c>
      <c r="L40">
        <v>1</v>
      </c>
      <c r="M40" s="48">
        <v>2.0602343501885433E-3</v>
      </c>
      <c r="N40">
        <v>5.6529246615080134E-3</v>
      </c>
      <c r="O40" s="33">
        <f t="shared" si="41"/>
        <v>0.99228684098830344</v>
      </c>
      <c r="P40">
        <f t="shared" si="42"/>
        <v>0.99906813206097322</v>
      </c>
      <c r="Q40">
        <f t="shared" si="43"/>
        <v>0.4311266474259316</v>
      </c>
      <c r="R40">
        <f t="shared" si="44"/>
        <v>5.4803542735937308E-2</v>
      </c>
      <c r="S40">
        <f t="shared" si="45"/>
        <v>9.3152041880412042E-4</v>
      </c>
      <c r="T40">
        <f t="shared" si="46"/>
        <v>0.90607098178584322</v>
      </c>
      <c r="U40">
        <f t="shared" si="47"/>
        <v>0.39540507584975593</v>
      </c>
      <c r="V40">
        <f t="shared" si="48"/>
        <v>3.62478053690656E-5</v>
      </c>
      <c r="W40">
        <f t="shared" si="49"/>
        <v>3.0041927158610306</v>
      </c>
      <c r="X40">
        <f t="shared" si="50"/>
        <v>7.6793065424829239</v>
      </c>
      <c r="Y40">
        <f t="shared" si="51"/>
        <v>1.0000362484623286</v>
      </c>
      <c r="Z40">
        <f t="shared" si="38"/>
        <v>20.169926659893676</v>
      </c>
      <c r="AA40">
        <f t="shared" si="38"/>
        <v>2163.119220339574</v>
      </c>
      <c r="AB40">
        <f>Y40/Y46</f>
        <v>2.0627395449587115E-3</v>
      </c>
      <c r="AC40">
        <f t="shared" si="39"/>
        <v>7.4815935517887553</v>
      </c>
      <c r="AD40">
        <f t="shared" si="39"/>
        <v>2162.2161196019433</v>
      </c>
    </row>
    <row r="41" spans="1:47" ht="15.75" thickBot="1" x14ac:dyDescent="0.3">
      <c r="I41" s="33">
        <f t="shared" si="40"/>
        <v>0.99944526222837382</v>
      </c>
      <c r="J41">
        <v>9.8632124556983068E-5</v>
      </c>
      <c r="K41">
        <v>4.5610564706923689E-4</v>
      </c>
      <c r="L41">
        <v>1</v>
      </c>
      <c r="M41" s="48">
        <v>1.9279339308404665E-3</v>
      </c>
      <c r="N41">
        <v>7.3965893450619251E-4</v>
      </c>
      <c r="O41" s="33">
        <f t="shared" si="41"/>
        <v>0.99733240713465332</v>
      </c>
      <c r="P41">
        <f t="shared" si="42"/>
        <v>0.99951629027549971</v>
      </c>
      <c r="Q41">
        <f t="shared" si="43"/>
        <v>0.43075112517868935</v>
      </c>
      <c r="R41">
        <f t="shared" si="44"/>
        <v>5.4705191840164362E-2</v>
      </c>
      <c r="S41">
        <f t="shared" si="45"/>
        <v>3.3080780444695194E-4</v>
      </c>
      <c r="T41">
        <f t="shared" si="46"/>
        <v>0.90666888920884414</v>
      </c>
      <c r="U41">
        <f t="shared" si="47"/>
        <v>0.39513729243041573</v>
      </c>
      <c r="V41">
        <f t="shared" si="48"/>
        <v>2.8261662899290523E-5</v>
      </c>
      <c r="W41">
        <f t="shared" si="49"/>
        <v>3.0110106385733495</v>
      </c>
      <c r="X41">
        <f t="shared" si="50"/>
        <v>7.690383849881516</v>
      </c>
      <c r="Y41">
        <f t="shared" si="51"/>
        <v>1.0000282620622638</v>
      </c>
      <c r="Z41">
        <f t="shared" si="38"/>
        <v>20.30791351832654</v>
      </c>
      <c r="AA41">
        <f t="shared" si="38"/>
        <v>2187.2139629365256</v>
      </c>
      <c r="AB41">
        <f>Y41/Y47</f>
        <v>1.9290040222332181E-3</v>
      </c>
      <c r="AC41">
        <f t="shared" si="39"/>
        <v>7.4991686311985193</v>
      </c>
      <c r="AD41">
        <f t="shared" si="39"/>
        <v>2186.6258695614397</v>
      </c>
    </row>
    <row r="42" spans="1:47" ht="15.75" thickBot="1" x14ac:dyDescent="0.3">
      <c r="P42" s="42" t="s">
        <v>103</v>
      </c>
      <c r="Q42" s="43" t="s">
        <v>104</v>
      </c>
      <c r="R42" s="44" t="s">
        <v>105</v>
      </c>
      <c r="S42" s="42" t="s">
        <v>106</v>
      </c>
      <c r="T42" s="43" t="s">
        <v>107</v>
      </c>
      <c r="U42" s="44" t="s">
        <v>108</v>
      </c>
      <c r="V42" s="45" t="s">
        <v>51</v>
      </c>
      <c r="W42" s="46" t="s">
        <v>52</v>
      </c>
      <c r="X42" s="47" t="s">
        <v>53</v>
      </c>
      <c r="Y42" s="42" t="s">
        <v>109</v>
      </c>
      <c r="Z42" s="43" t="s">
        <v>110</v>
      </c>
      <c r="AA42" s="43" t="s">
        <v>111</v>
      </c>
      <c r="AB42" s="19" t="s">
        <v>54</v>
      </c>
      <c r="AC42" s="93" t="s">
        <v>55</v>
      </c>
      <c r="AD42" s="22" t="s">
        <v>56</v>
      </c>
    </row>
    <row r="43" spans="1:47" x14ac:dyDescent="0.25">
      <c r="P43">
        <f>M37+$N$25*N37+$P$25*O37</f>
        <v>0.27796000605154331</v>
      </c>
      <c r="Q43">
        <f>$M$25*M37+N37+$R$25*O37</f>
        <v>0.95569178348686468</v>
      </c>
      <c r="R43">
        <f>$O$25*M37+$Q$25*N37+O37</f>
        <v>0.4267253491773968</v>
      </c>
      <c r="S43">
        <f>N37*$H$25*$N$25+O37*$J$25*$P$25</f>
        <v>0.76768786459518479</v>
      </c>
      <c r="T43">
        <f>M37*$G$25*$M$25+O37*$L$25*$R$25</f>
        <v>8.9571263754021246E-2</v>
      </c>
      <c r="U43">
        <f>M37*$I$25*$O$25+N37*$K$25*$Q$25</f>
        <v>0.55637499484233399</v>
      </c>
      <c r="V43">
        <f>S43/P43-M37*S43/P43^2+N37*$M$25/Q43*($G$25-T43/Q43)+O37*$O$25/R43*($I$25-U43/R43)</f>
        <v>3.2336303352098961</v>
      </c>
      <c r="W43">
        <f>T43/Q43-N37*T43/Q43^2+(M37*$N$25/P43)*($H$25-S43/P43)+(O37*$Q$25/R43)*($K$25-U43/R43)</f>
        <v>0.40047476791838571</v>
      </c>
      <c r="X43">
        <f>U43/R43-O37*U43/R43^2+M37*$P$25/P43*($J$25-S43/P43)+N37*$R$25/Q43*($L$25-T43/Q43)</f>
        <v>0.53248709738441913</v>
      </c>
      <c r="Y43">
        <f>EXP(V43)</f>
        <v>25.371597386045622</v>
      </c>
      <c r="Z43">
        <f t="shared" ref="Z43:AA47" si="52">EXP(W43)</f>
        <v>1.492533136306234</v>
      </c>
      <c r="AA43">
        <f t="shared" si="52"/>
        <v>1.7031629775816899</v>
      </c>
      <c r="AB43">
        <f>Y43/Y37</f>
        <v>22.024507682926668</v>
      </c>
      <c r="AC43">
        <f>Z43/Z37</f>
        <v>0.29756828420478537</v>
      </c>
      <c r="AD43">
        <f>AA43/AA37</f>
        <v>6.5484430006686562E-3</v>
      </c>
    </row>
    <row r="44" spans="1:47" x14ac:dyDescent="0.25">
      <c r="P44">
        <f>M38+$N$25*N38+$P$25*O38</f>
        <v>0.15270951911441485</v>
      </c>
      <c r="Q44">
        <f t="shared" ref="Q44:Q47" si="53">$M$25*M38+N38+$R$25*O38</f>
        <v>0.92837748991335256</v>
      </c>
      <c r="R44">
        <f t="shared" ref="R44:R47" si="54">$O$25*M38+$Q$25*N38+O38</f>
        <v>0.80894646795508274</v>
      </c>
      <c r="S44">
        <f t="shared" ref="S44:S47" si="55">N38*$H$25*$N$25+O38*$J$25*$P$25</f>
        <v>0.60383569704884665</v>
      </c>
      <c r="T44">
        <f t="shared" ref="T44:T47" si="56">M38*$G$25*$M$25+O38*$L$25*$R$25</f>
        <v>0.16413024311092284</v>
      </c>
      <c r="U44">
        <f t="shared" ref="U44:U47" si="57">M38*$I$25*$O$25+N38*$K$25*$Q$25</f>
        <v>0.18311786644601688</v>
      </c>
      <c r="V44">
        <f t="shared" ref="V44:V47" si="58">S44/P44-M38*S44/P44^2+N38*$M$25/Q44*($G$25-T44/Q44)+O38*$O$25/R44*($I$25-U44/R44)</f>
        <v>4.0926856998587908</v>
      </c>
      <c r="W44">
        <f t="shared" ref="W44:W47" si="59">T44/Q44-N38*T44/Q44^2+(M38*$N$25/P44)*($H$25-S44/P44)+(O38*$Q$25/R44)*($K$25-U44/R44)</f>
        <v>0.81403818736135136</v>
      </c>
      <c r="X44">
        <f t="shared" ref="X44:X47" si="60">U44/R44-O38*U44/R44^2+M38*$P$25/P44*($J$25-S44/P44)+N38*$R$25/Q44*($L$25-T44/Q44)</f>
        <v>4.0276704981507025E-2</v>
      </c>
      <c r="Y44">
        <f t="shared" ref="Y44:Y47" si="61">EXP(V44)</f>
        <v>59.900550767301567</v>
      </c>
      <c r="Z44">
        <f t="shared" si="52"/>
        <v>2.2570038132632968</v>
      </c>
      <c r="AA44">
        <f t="shared" si="52"/>
        <v>1.0410988115672639</v>
      </c>
      <c r="AB44">
        <f t="shared" ref="AB44:AD47" si="62">Y44/Y38</f>
        <v>59.555176547498888</v>
      </c>
      <c r="AC44">
        <f t="shared" si="62"/>
        <v>0.15370517598236652</v>
      </c>
      <c r="AD44">
        <f t="shared" si="62"/>
        <v>7.990736963619763E-4</v>
      </c>
    </row>
    <row r="45" spans="1:47" x14ac:dyDescent="0.25">
      <c r="P45">
        <f t="shared" ref="P45:P47" si="63">M39+$N$25*N39+$P$25*O39</f>
        <v>9.7854575443795805E-2</v>
      </c>
      <c r="Q45">
        <f t="shared" si="53"/>
        <v>0.91993477609618579</v>
      </c>
      <c r="R45">
        <f t="shared" si="54"/>
        <v>0.96690435969762134</v>
      </c>
      <c r="S45">
        <f t="shared" si="55"/>
        <v>0.5409031098002639</v>
      </c>
      <c r="T45">
        <f t="shared" si="56"/>
        <v>0.19035300326266005</v>
      </c>
      <c r="U45">
        <f t="shared" si="57"/>
        <v>3.1570483740400813E-2</v>
      </c>
      <c r="V45">
        <f t="shared" si="58"/>
        <v>5.7775818785513087</v>
      </c>
      <c r="W45">
        <f t="shared" si="59"/>
        <v>0.96287311484354243</v>
      </c>
      <c r="X45">
        <f t="shared" si="60"/>
        <v>2.1170242708324449E-3</v>
      </c>
      <c r="Y45">
        <f t="shared" si="61"/>
        <v>322.97724717257177</v>
      </c>
      <c r="Z45">
        <f t="shared" si="52"/>
        <v>2.6192109671602735</v>
      </c>
      <c r="AA45">
        <f t="shared" si="52"/>
        <v>1.002119266748895</v>
      </c>
      <c r="AB45">
        <f t="shared" si="62"/>
        <v>322.91192798494404</v>
      </c>
      <c r="AC45">
        <f t="shared" si="62"/>
        <v>0.13580800905252816</v>
      </c>
      <c r="AD45">
        <f t="shared" si="62"/>
        <v>4.9815879072415549E-4</v>
      </c>
    </row>
    <row r="46" spans="1:47" x14ac:dyDescent="0.25">
      <c r="P46">
        <f t="shared" si="63"/>
        <v>8.9367629743920249E-2</v>
      </c>
      <c r="Q46">
        <f t="shared" si="53"/>
        <v>0.91781358697052273</v>
      </c>
      <c r="R46">
        <f t="shared" si="54"/>
        <v>0.99352873570906375</v>
      </c>
      <c r="S46">
        <f t="shared" si="55"/>
        <v>0.52912237508557369</v>
      </c>
      <c r="T46">
        <f t="shared" si="56"/>
        <v>0.1958991130307956</v>
      </c>
      <c r="U46">
        <f t="shared" si="57"/>
        <v>5.3626516538380986E-3</v>
      </c>
      <c r="V46">
        <f t="shared" si="58"/>
        <v>6.1837565512946</v>
      </c>
      <c r="W46">
        <f t="shared" si="59"/>
        <v>0.99174690488181283</v>
      </c>
      <c r="X46">
        <f t="shared" si="60"/>
        <v>4.1758646660978999E-4</v>
      </c>
      <c r="Y46">
        <f t="shared" si="61"/>
        <v>484.80975259644123</v>
      </c>
      <c r="Z46">
        <f t="shared" si="52"/>
        <v>2.6959399117680349</v>
      </c>
      <c r="AA46">
        <f t="shared" si="52"/>
        <v>1.000417673667976</v>
      </c>
      <c r="AB46">
        <f t="shared" si="62"/>
        <v>484.79217962538087</v>
      </c>
      <c r="AC46">
        <f t="shared" si="62"/>
        <v>0.13366136413022764</v>
      </c>
      <c r="AD46">
        <f t="shared" si="62"/>
        <v>4.6248845845441977E-4</v>
      </c>
    </row>
    <row r="47" spans="1:47" x14ac:dyDescent="0.25">
      <c r="P47">
        <f t="shared" si="63"/>
        <v>8.8089266932984564E-2</v>
      </c>
      <c r="Q47">
        <f t="shared" si="53"/>
        <v>0.91747700167853663</v>
      </c>
      <c r="R47">
        <f t="shared" si="54"/>
        <v>0.99758488512110033</v>
      </c>
      <c r="S47">
        <f t="shared" si="55"/>
        <v>0.52730504726164229</v>
      </c>
      <c r="T47">
        <f t="shared" si="56"/>
        <v>0.196765708167807</v>
      </c>
      <c r="U47">
        <f t="shared" si="57"/>
        <v>1.3571906980113062E-3</v>
      </c>
      <c r="V47">
        <f t="shared" si="58"/>
        <v>6.2507797215845731</v>
      </c>
      <c r="W47">
        <f t="shared" si="59"/>
        <v>0.99621847334883928</v>
      </c>
      <c r="X47">
        <f t="shared" si="60"/>
        <v>2.6891399829519875E-4</v>
      </c>
      <c r="Y47">
        <f t="shared" si="61"/>
        <v>518.41688795678397</v>
      </c>
      <c r="Z47">
        <f t="shared" si="52"/>
        <v>2.7080219844424174</v>
      </c>
      <c r="AA47">
        <f t="shared" si="52"/>
        <v>1.0002689501589057</v>
      </c>
      <c r="AB47">
        <f t="shared" si="62"/>
        <v>518.40223684048874</v>
      </c>
      <c r="AC47">
        <f t="shared" si="62"/>
        <v>0.13334811486165765</v>
      </c>
      <c r="AD47">
        <f t="shared" si="62"/>
        <v>4.5732560559185408E-4</v>
      </c>
    </row>
    <row r="48" spans="1:47" ht="15.75" thickBot="1" x14ac:dyDescent="0.3"/>
    <row r="49" spans="8:16" ht="15.75" thickBot="1" x14ac:dyDescent="0.3">
      <c r="H49" s="50" t="s">
        <v>61</v>
      </c>
      <c r="I49" s="38" t="s">
        <v>39</v>
      </c>
      <c r="J49" s="39" t="s">
        <v>40</v>
      </c>
      <c r="K49" s="40" t="s">
        <v>41</v>
      </c>
      <c r="L49" s="41"/>
      <c r="M49" s="38" t="s">
        <v>42</v>
      </c>
      <c r="N49" s="39" t="s">
        <v>43</v>
      </c>
      <c r="O49" s="40" t="s">
        <v>44</v>
      </c>
      <c r="P49" s="50" t="s">
        <v>61</v>
      </c>
    </row>
    <row r="50" spans="8:16" x14ac:dyDescent="0.25">
      <c r="H50" s="51">
        <f>SUM(I50:K50)</f>
        <v>0.99999996890504461</v>
      </c>
      <c r="I50" s="33">
        <f t="shared" ref="I50:K54" si="64">M37*AB43</f>
        <v>0.79762592200795168</v>
      </c>
      <c r="J50" s="33">
        <f t="shared" si="64"/>
        <v>0.20047450485700963</v>
      </c>
      <c r="K50" s="33">
        <f t="shared" si="64"/>
        <v>1.8995420400832435E-3</v>
      </c>
      <c r="L50" s="33"/>
      <c r="M50" s="33">
        <f t="shared" ref="M50:O54" si="65">I37*AB37</f>
        <v>3.6215381173494841E-2</v>
      </c>
      <c r="N50" s="33">
        <f t="shared" si="65"/>
        <v>0.67370928842115163</v>
      </c>
      <c r="O50" s="33">
        <f t="shared" si="65"/>
        <v>0.29007538062745813</v>
      </c>
      <c r="P50" s="51">
        <f>SUM(M50:O50)</f>
        <v>1.0000000502221047</v>
      </c>
    </row>
    <row r="51" spans="8:16" x14ac:dyDescent="0.25">
      <c r="H51" s="51">
        <f>SUM(I51:K51)</f>
        <v>0.99999999998287836</v>
      </c>
      <c r="I51" s="33">
        <f t="shared" si="64"/>
        <v>0.96563174971233923</v>
      </c>
      <c r="J51" s="33">
        <f t="shared" si="64"/>
        <v>3.3757630050763883E-2</v>
      </c>
      <c r="K51" s="33">
        <f t="shared" si="64"/>
        <v>6.106202197751489E-4</v>
      </c>
      <c r="L51" s="33"/>
      <c r="M51" s="33">
        <f t="shared" si="65"/>
        <v>1.621406913233308E-2</v>
      </c>
      <c r="N51" s="33">
        <f t="shared" si="65"/>
        <v>0.21962585082137365</v>
      </c>
      <c r="O51" s="33">
        <f t="shared" si="65"/>
        <v>0.76416008004678559</v>
      </c>
      <c r="P51" s="51">
        <f>SUM(M51:O51)</f>
        <v>1.0000000000004923</v>
      </c>
    </row>
    <row r="52" spans="8:16" x14ac:dyDescent="0.25">
      <c r="H52" s="51">
        <f>SUM(I52:K52)</f>
        <v>0.99999999999999989</v>
      </c>
      <c r="I52" s="33">
        <f t="shared" si="64"/>
        <v>0.9943987991633515</v>
      </c>
      <c r="J52" s="33">
        <f t="shared" si="64"/>
        <v>5.1233691974359712E-3</v>
      </c>
      <c r="K52" s="33">
        <f t="shared" si="64"/>
        <v>4.7783163921246363E-4</v>
      </c>
      <c r="L52" s="33"/>
      <c r="M52" s="33">
        <f t="shared" si="65"/>
        <v>3.0794737294737406E-3</v>
      </c>
      <c r="N52" s="33">
        <f t="shared" si="65"/>
        <v>3.772508877185838E-2</v>
      </c>
      <c r="O52" s="33">
        <f t="shared" si="65"/>
        <v>0.95919543749866776</v>
      </c>
      <c r="P52" s="51">
        <f>SUM(M52:O52)</f>
        <v>0.99999999999999989</v>
      </c>
    </row>
    <row r="53" spans="8:16" x14ac:dyDescent="0.25">
      <c r="H53" s="51">
        <f>SUM(I53:K53)</f>
        <v>0.99999999999999989</v>
      </c>
      <c r="I53" s="33">
        <f t="shared" si="64"/>
        <v>0.99878550116698406</v>
      </c>
      <c r="J53" s="33">
        <f t="shared" si="64"/>
        <v>7.5557762158256646E-4</v>
      </c>
      <c r="K53" s="33">
        <f t="shared" si="64"/>
        <v>4.589212114332864E-4</v>
      </c>
      <c r="L53" s="33"/>
      <c r="M53" s="33">
        <f t="shared" si="65"/>
        <v>2.0602343501885433E-3</v>
      </c>
      <c r="N53" s="33">
        <f t="shared" si="65"/>
        <v>5.6529246615080134E-3</v>
      </c>
      <c r="O53" s="33">
        <f t="shared" si="65"/>
        <v>0.99228684098830355</v>
      </c>
      <c r="P53" s="51">
        <f>SUM(M53:O53)</f>
        <v>1</v>
      </c>
    </row>
    <row r="54" spans="8:16" x14ac:dyDescent="0.25">
      <c r="H54" s="51">
        <f>SUM(I54:K54)</f>
        <v>1.0000000000000002</v>
      </c>
      <c r="I54" s="33">
        <f>M41*AB47</f>
        <v>0.99944526222837393</v>
      </c>
      <c r="J54" s="33">
        <f t="shared" si="64"/>
        <v>9.8632124556983068E-5</v>
      </c>
      <c r="K54" s="33">
        <f t="shared" si="64"/>
        <v>4.5610564706923689E-4</v>
      </c>
      <c r="L54" s="33"/>
      <c r="M54" s="33">
        <f t="shared" si="65"/>
        <v>1.9279339308404665E-3</v>
      </c>
      <c r="N54" s="33">
        <f t="shared" si="65"/>
        <v>7.3965893450619262E-4</v>
      </c>
      <c r="O54" s="33">
        <f t="shared" si="65"/>
        <v>0.99733240713465321</v>
      </c>
      <c r="P54" s="51">
        <f>SUM(M54:O54)</f>
        <v>0.99999999999999989</v>
      </c>
    </row>
    <row r="56" spans="8:16" x14ac:dyDescent="0.25">
      <c r="H56" s="51"/>
      <c r="I56" s="33"/>
      <c r="J56" s="58"/>
      <c r="K56" s="33"/>
      <c r="L56" s="33"/>
      <c r="M56" s="33"/>
      <c r="N56" s="33"/>
      <c r="O56" s="33"/>
      <c r="P56" s="51"/>
    </row>
  </sheetData>
  <mergeCells count="18">
    <mergeCell ref="P1:R1"/>
    <mergeCell ref="L14:M14"/>
    <mergeCell ref="B7:C7"/>
    <mergeCell ref="D7:E7"/>
    <mergeCell ref="F7:G7"/>
    <mergeCell ref="H7:I7"/>
    <mergeCell ref="J7:K7"/>
    <mergeCell ref="L7:M7"/>
    <mergeCell ref="B14:C14"/>
    <mergeCell ref="D14:E14"/>
    <mergeCell ref="F14:G14"/>
    <mergeCell ref="H14:I14"/>
    <mergeCell ref="J14:K14"/>
    <mergeCell ref="A30:E30"/>
    <mergeCell ref="A35:A36"/>
    <mergeCell ref="D35:D36"/>
    <mergeCell ref="E35:E36"/>
    <mergeCell ref="B36:C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NRTL_5">
                <anchor moveWithCells="1" sizeWithCells="1">
                  <from>
                    <xdr:col>5</xdr:col>
                    <xdr:colOff>0</xdr:colOff>
                    <xdr:row>35</xdr:row>
                    <xdr:rowOff>152400</xdr:rowOff>
                  </from>
                  <to>
                    <xdr:col>6</xdr:col>
                    <xdr:colOff>561975</xdr:colOff>
                    <xdr:row>36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/>
  <dimension ref="A2:AB17"/>
  <sheetViews>
    <sheetView topLeftCell="I1" workbookViewId="0">
      <selection activeCell="X9" sqref="X9"/>
    </sheetView>
  </sheetViews>
  <sheetFormatPr defaultRowHeight="15" x14ac:dyDescent="0.25"/>
  <cols>
    <col min="18" max="18" width="9.5703125" bestFit="1" customWidth="1"/>
  </cols>
  <sheetData>
    <row r="2" spans="1:28" x14ac:dyDescent="0.25">
      <c r="A2" t="s">
        <v>25</v>
      </c>
      <c r="D2" t="s">
        <v>31</v>
      </c>
      <c r="H2">
        <v>1</v>
      </c>
      <c r="I2" t="s">
        <v>23</v>
      </c>
      <c r="K2" t="s">
        <v>27</v>
      </c>
      <c r="O2" t="s">
        <v>28</v>
      </c>
      <c r="P2" t="s">
        <v>29</v>
      </c>
      <c r="Q2" t="s">
        <v>30</v>
      </c>
    </row>
    <row r="3" spans="1:28" x14ac:dyDescent="0.25">
      <c r="A3" t="s">
        <v>32</v>
      </c>
      <c r="C3" t="s">
        <v>62</v>
      </c>
      <c r="D3" t="s">
        <v>63</v>
      </c>
      <c r="E3" t="s">
        <v>64</v>
      </c>
      <c r="G3" t="s">
        <v>19</v>
      </c>
      <c r="H3">
        <f>A5+B5*C5</f>
        <v>9.3003578839582079</v>
      </c>
      <c r="I3">
        <f>$A$4*$Q$6+$P$7*$Q$7</f>
        <v>8.75</v>
      </c>
      <c r="L3">
        <f>MINVERSE(H3)</f>
        <v>0.10752274401449191</v>
      </c>
      <c r="O3">
        <f>MMULT(L3,I3)</f>
        <v>0.94082401012680417</v>
      </c>
      <c r="P3">
        <f>MMULT(L10,I10)</f>
        <v>5.8403947394848651E-2</v>
      </c>
      <c r="Q3">
        <f>MMULT(L17,I17)</f>
        <v>7.4056693357379521E-4</v>
      </c>
      <c r="R3" s="33">
        <f>SUM(O3:Q3)</f>
        <v>0.99996852445522666</v>
      </c>
    </row>
    <row r="4" spans="1:28" x14ac:dyDescent="0.25">
      <c r="A4">
        <f>P6</f>
        <v>25</v>
      </c>
      <c r="C4" t="s">
        <v>65</v>
      </c>
      <c r="D4" t="s">
        <v>65</v>
      </c>
      <c r="E4" t="s">
        <v>65</v>
      </c>
    </row>
    <row r="5" spans="1:28" x14ac:dyDescent="0.25">
      <c r="A5">
        <f>X11</f>
        <v>7.6040598306484268</v>
      </c>
      <c r="B5">
        <f t="shared" ref="B5:E5" si="0">Y11</f>
        <v>47.395940169351576</v>
      </c>
      <c r="C5">
        <f t="shared" si="0"/>
        <v>3.5789944186120123E-2</v>
      </c>
      <c r="D5">
        <f t="shared" si="0"/>
        <v>5.7099945126214431</v>
      </c>
      <c r="E5">
        <f t="shared" si="0"/>
        <v>854.54367890131653</v>
      </c>
      <c r="P5" t="s">
        <v>25</v>
      </c>
      <c r="Q5" t="s">
        <v>28</v>
      </c>
      <c r="R5" t="s">
        <v>29</v>
      </c>
      <c r="S5" t="s">
        <v>30</v>
      </c>
      <c r="U5" t="s">
        <v>120</v>
      </c>
      <c r="V5" t="s">
        <v>116</v>
      </c>
      <c r="W5" t="s">
        <v>121</v>
      </c>
    </row>
    <row r="6" spans="1:28" x14ac:dyDescent="0.25">
      <c r="B6">
        <f>P7</f>
        <v>30</v>
      </c>
      <c r="C6" t="s">
        <v>65</v>
      </c>
      <c r="D6" t="s">
        <v>65</v>
      </c>
      <c r="E6" t="s">
        <v>65</v>
      </c>
      <c r="O6" t="s">
        <v>7</v>
      </c>
      <c r="P6">
        <v>25</v>
      </c>
      <c r="Q6">
        <v>0.35</v>
      </c>
      <c r="R6">
        <v>0.65</v>
      </c>
      <c r="S6">
        <v>0</v>
      </c>
      <c r="U6">
        <f>Y11*T11/P6/Q6</f>
        <v>0.18239062135830861</v>
      </c>
      <c r="V6">
        <f>Y11*U11/P6/R6</f>
        <v>0.97319815661960429</v>
      </c>
      <c r="W6">
        <f>X11*R11/Y12</f>
        <v>1.8765533371944388E-4</v>
      </c>
    </row>
    <row r="7" spans="1:28" x14ac:dyDescent="0.25">
      <c r="O7" t="s">
        <v>18</v>
      </c>
      <c r="P7">
        <v>30</v>
      </c>
      <c r="Q7">
        <v>0</v>
      </c>
      <c r="R7">
        <v>0</v>
      </c>
      <c r="S7">
        <v>1</v>
      </c>
    </row>
    <row r="9" spans="1:28" x14ac:dyDescent="0.25">
      <c r="H9">
        <v>1</v>
      </c>
      <c r="I9" t="s">
        <v>22</v>
      </c>
      <c r="K9" t="s">
        <v>27</v>
      </c>
      <c r="X9" t="s">
        <v>74</v>
      </c>
      <c r="Y9" t="s">
        <v>75</v>
      </c>
    </row>
    <row r="10" spans="1:28" x14ac:dyDescent="0.25">
      <c r="G10" t="s">
        <v>20</v>
      </c>
      <c r="H10">
        <f>A5+B5*D5</f>
        <v>278.23461811818021</v>
      </c>
      <c r="I10">
        <f>$A$4*$R$6+$P$7*$R$7</f>
        <v>16.25</v>
      </c>
      <c r="L10">
        <f>MINVERSE(H10)</f>
        <v>3.5940890704522247E-3</v>
      </c>
      <c r="O10" t="s">
        <v>6</v>
      </c>
      <c r="P10" t="s">
        <v>68</v>
      </c>
      <c r="Q10" t="s">
        <v>69</v>
      </c>
      <c r="R10" t="s">
        <v>70</v>
      </c>
      <c r="S10" t="s">
        <v>76</v>
      </c>
      <c r="T10" t="s">
        <v>71</v>
      </c>
      <c r="U10" t="s">
        <v>72</v>
      </c>
      <c r="V10" t="s">
        <v>73</v>
      </c>
      <c r="W10" t="s">
        <v>77</v>
      </c>
      <c r="X10">
        <f>P6</f>
        <v>25</v>
      </c>
      <c r="Z10" t="s">
        <v>62</v>
      </c>
      <c r="AA10" t="s">
        <v>63</v>
      </c>
      <c r="AB10" t="s">
        <v>64</v>
      </c>
    </row>
    <row r="11" spans="1:28" x14ac:dyDescent="0.25">
      <c r="O11">
        <v>1</v>
      </c>
      <c r="P11">
        <v>0.94082401012680417</v>
      </c>
      <c r="Q11">
        <v>5.8435640620696172E-2</v>
      </c>
      <c r="R11">
        <v>7.4034925249966826E-4</v>
      </c>
      <c r="T11">
        <v>3.3672038811400032E-2</v>
      </c>
      <c r="U11">
        <v>0.33366718728569383</v>
      </c>
      <c r="V11">
        <v>0.6326607739029062</v>
      </c>
      <c r="X11">
        <f>(P6*Q6+P7*Q7-(P6+P7)*T11)/(P11-T11)</f>
        <v>7.6040598306484268</v>
      </c>
      <c r="Y11">
        <f>X10-X11+Y12</f>
        <v>47.395940169351576</v>
      </c>
      <c r="Z11">
        <f>T11/P11</f>
        <v>3.5789944186120123E-2</v>
      </c>
      <c r="AA11">
        <f t="shared" ref="AA11:AB11" si="1">U11/Q11</f>
        <v>5.7099945126214431</v>
      </c>
      <c r="AB11">
        <f t="shared" si="1"/>
        <v>854.54367890131653</v>
      </c>
    </row>
    <row r="12" spans="1:28" x14ac:dyDescent="0.25">
      <c r="Y12">
        <f>P7</f>
        <v>30</v>
      </c>
    </row>
    <row r="16" spans="1:28" x14ac:dyDescent="0.25">
      <c r="H16">
        <v>1</v>
      </c>
      <c r="I16" t="s">
        <v>24</v>
      </c>
      <c r="K16" t="s">
        <v>27</v>
      </c>
      <c r="P16">
        <f>P7/P6</f>
        <v>1.2</v>
      </c>
    </row>
    <row r="17" spans="7:12" x14ac:dyDescent="0.25">
      <c r="G17" t="s">
        <v>21</v>
      </c>
      <c r="H17">
        <f>A5+B5*E5</f>
        <v>40509.505137135035</v>
      </c>
      <c r="I17">
        <f>$A$4*$S$6+$P$7*$S$7</f>
        <v>30</v>
      </c>
      <c r="L17">
        <f>MINVERSE(H17)</f>
        <v>2.4685564452459841E-5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"/>
  <dimension ref="A2:AD19"/>
  <sheetViews>
    <sheetView topLeftCell="J1" workbookViewId="0">
      <selection activeCell="W7" sqref="W7:Y8"/>
    </sheetView>
  </sheetViews>
  <sheetFormatPr defaultRowHeight="15" x14ac:dyDescent="0.25"/>
  <cols>
    <col min="20" max="20" width="9.5703125" bestFit="1" customWidth="1"/>
  </cols>
  <sheetData>
    <row r="2" spans="1:30" x14ac:dyDescent="0.25">
      <c r="A2" t="s">
        <v>25</v>
      </c>
      <c r="D2" t="s">
        <v>31</v>
      </c>
      <c r="H2">
        <v>1</v>
      </c>
      <c r="J2" t="s">
        <v>23</v>
      </c>
      <c r="L2" t="s">
        <v>27</v>
      </c>
    </row>
    <row r="3" spans="1:30" x14ac:dyDescent="0.25">
      <c r="A3" t="s">
        <v>32</v>
      </c>
      <c r="C3" t="s">
        <v>62</v>
      </c>
      <c r="D3" t="s">
        <v>63</v>
      </c>
      <c r="E3" t="s">
        <v>64</v>
      </c>
      <c r="G3" t="s">
        <v>19</v>
      </c>
      <c r="H3">
        <f>$A$5+$B$5*C5</f>
        <v>10.652384494318323</v>
      </c>
      <c r="I3">
        <f>-$B$6*C6</f>
        <v>-9.0234987339645259E-2</v>
      </c>
      <c r="J3">
        <f>$R$8*$S$8</f>
        <v>8.75</v>
      </c>
      <c r="M3">
        <f t="array" ref="M3:N4">MINVERSE(H3:I4)</f>
        <v>9.4824115560593419E-2</v>
      </c>
      <c r="N3">
        <v>1.0609074135943127E-3</v>
      </c>
      <c r="Q3" t="s">
        <v>28</v>
      </c>
      <c r="R3" t="s">
        <v>29</v>
      </c>
      <c r="S3" t="s">
        <v>30</v>
      </c>
    </row>
    <row r="4" spans="1:30" x14ac:dyDescent="0.25">
      <c r="A4">
        <f>R8</f>
        <v>25</v>
      </c>
      <c r="C4" t="s">
        <v>65</v>
      </c>
      <c r="D4" t="s">
        <v>65</v>
      </c>
      <c r="E4" t="s">
        <v>65</v>
      </c>
      <c r="H4">
        <f>-$A$5</f>
        <v>-9.5229217513766837</v>
      </c>
      <c r="I4">
        <f>$A$6+$B$6*$C$6</f>
        <v>8.0652211092712403</v>
      </c>
      <c r="J4">
        <f>$R$9*$S$9</f>
        <v>0</v>
      </c>
      <c r="M4">
        <v>0.11196253895494565</v>
      </c>
      <c r="N4">
        <v>0.12524181601468645</v>
      </c>
      <c r="Q4">
        <f t="array" ref="Q4:Q5">MMULT(M3:N4,J3:J4)</f>
        <v>0.82971101115519241</v>
      </c>
      <c r="R4">
        <f t="array" ref="R4:R5">MMULT(M10:N11,J10:J11)</f>
        <v>0.16871242883258336</v>
      </c>
      <c r="S4">
        <f t="array" ref="S4:S5">MMULT(M17:N18,J17:J18)</f>
        <v>1.5735144826232966E-3</v>
      </c>
      <c r="T4" s="33">
        <f>SUM(Q4:S4)</f>
        <v>0.99999695447039916</v>
      </c>
    </row>
    <row r="5" spans="1:30" x14ac:dyDescent="0.25">
      <c r="A5">
        <f>Z13</f>
        <v>9.5229217513766837</v>
      </c>
      <c r="B5">
        <f t="shared" ref="B5:E5" si="0">AA13</f>
        <v>26.025013878068403</v>
      </c>
      <c r="C5">
        <f t="shared" si="0"/>
        <v>4.3399121638642117E-2</v>
      </c>
      <c r="D5">
        <f t="shared" si="0"/>
        <v>3.6650287765385774</v>
      </c>
      <c r="E5">
        <f t="shared" si="0"/>
        <v>219.67036779685836</v>
      </c>
      <c r="Q5">
        <v>0.97967221585577446</v>
      </c>
      <c r="R5">
        <v>1.978679914975055E-2</v>
      </c>
      <c r="S5">
        <v>5.4378864971372609E-4</v>
      </c>
      <c r="T5" s="33">
        <f>SUM(Q5:S5)</f>
        <v>1.0000028036552389</v>
      </c>
    </row>
    <row r="6" spans="1:30" x14ac:dyDescent="0.25">
      <c r="A6">
        <f>Z14</f>
        <v>7.9749861219315958</v>
      </c>
      <c r="B6">
        <f t="shared" ref="B6:E6" si="1">AA14</f>
        <v>10.547935629445089</v>
      </c>
      <c r="C6">
        <f t="shared" si="1"/>
        <v>8.5547533194789121E-3</v>
      </c>
      <c r="D6">
        <f t="shared" si="1"/>
        <v>6.9418648683429556</v>
      </c>
      <c r="E6">
        <f t="shared" si="1"/>
        <v>1570.9356771195171</v>
      </c>
    </row>
    <row r="7" spans="1:30" x14ac:dyDescent="0.25">
      <c r="B7">
        <f>R9</f>
        <v>9</v>
      </c>
      <c r="C7" t="s">
        <v>65</v>
      </c>
      <c r="D7" t="s">
        <v>65</v>
      </c>
      <c r="E7" t="s">
        <v>65</v>
      </c>
      <c r="R7" t="s">
        <v>25</v>
      </c>
      <c r="S7" t="s">
        <v>28</v>
      </c>
      <c r="T7" t="s">
        <v>29</v>
      </c>
      <c r="U7" t="s">
        <v>30</v>
      </c>
      <c r="W7" t="s">
        <v>120</v>
      </c>
      <c r="X7" t="s">
        <v>116</v>
      </c>
      <c r="Y7" t="s">
        <v>121</v>
      </c>
    </row>
    <row r="8" spans="1:30" x14ac:dyDescent="0.25">
      <c r="Q8" t="s">
        <v>7</v>
      </c>
      <c r="R8">
        <v>25</v>
      </c>
      <c r="S8">
        <v>0.35</v>
      </c>
      <c r="T8">
        <v>0.65</v>
      </c>
      <c r="U8">
        <v>0</v>
      </c>
      <c r="W8">
        <f>AA13*V13/R8/S8</f>
        <v>0.10710030565808287</v>
      </c>
      <c r="X8">
        <f>AA13*W13/R8/T8</f>
        <v>0.99030742097478597</v>
      </c>
      <c r="Y8">
        <f>Z14*T14/AA15</f>
        <v>4.8187011178687844E-4</v>
      </c>
    </row>
    <row r="9" spans="1:30" x14ac:dyDescent="0.25">
      <c r="H9">
        <v>1</v>
      </c>
      <c r="J9" t="s">
        <v>22</v>
      </c>
      <c r="L9" t="s">
        <v>27</v>
      </c>
      <c r="Q9" t="s">
        <v>18</v>
      </c>
      <c r="R9">
        <v>9</v>
      </c>
      <c r="S9">
        <v>0</v>
      </c>
      <c r="T9">
        <v>0</v>
      </c>
      <c r="U9">
        <v>1</v>
      </c>
    </row>
    <row r="10" spans="1:30" x14ac:dyDescent="0.25">
      <c r="G10" t="s">
        <v>20</v>
      </c>
      <c r="H10">
        <f>$A$5+$B$5*D5</f>
        <v>104.90534652431322</v>
      </c>
      <c r="I10">
        <f>-$B$6*D6</f>
        <v>-73.222343779587803</v>
      </c>
      <c r="J10">
        <f>$R$8*$T$8</f>
        <v>16.25</v>
      </c>
      <c r="M10">
        <f t="array" ref="M10:N11">MINVERSE(H10:I11)</f>
        <v>1.0382303312774361E-2</v>
      </c>
      <c r="N10">
        <v>9.3625810517901278E-3</v>
      </c>
    </row>
    <row r="11" spans="1:30" x14ac:dyDescent="0.25">
      <c r="H11">
        <f>-$A$5</f>
        <v>-9.5229217513766837</v>
      </c>
      <c r="I11">
        <f>$A$6+$B$6*$D$6</f>
        <v>81.197329901519396</v>
      </c>
      <c r="J11">
        <f>$R$9*$T$9</f>
        <v>0</v>
      </c>
      <c r="M11">
        <v>1.2176491784461876E-3</v>
      </c>
      <c r="N11">
        <v>1.3413730821790712E-2</v>
      </c>
      <c r="Z11" t="s">
        <v>74</v>
      </c>
      <c r="AA11" t="s">
        <v>75</v>
      </c>
    </row>
    <row r="12" spans="1:30" x14ac:dyDescent="0.25">
      <c r="Q12" t="s">
        <v>6</v>
      </c>
      <c r="R12" t="s">
        <v>68</v>
      </c>
      <c r="S12" t="s">
        <v>69</v>
      </c>
      <c r="T12" t="s">
        <v>70</v>
      </c>
      <c r="U12" t="s">
        <v>76</v>
      </c>
      <c r="V12" t="s">
        <v>71</v>
      </c>
      <c r="W12" t="s">
        <v>72</v>
      </c>
      <c r="X12" t="s">
        <v>73</v>
      </c>
      <c r="Y12" t="s">
        <v>77</v>
      </c>
      <c r="Z12">
        <f>R8</f>
        <v>25</v>
      </c>
      <c r="AB12" t="s">
        <v>62</v>
      </c>
      <c r="AC12" t="s">
        <v>63</v>
      </c>
      <c r="AD12" t="s">
        <v>64</v>
      </c>
    </row>
    <row r="13" spans="1:30" x14ac:dyDescent="0.25">
      <c r="Q13">
        <v>1</v>
      </c>
      <c r="R13">
        <v>0.8297110111551923</v>
      </c>
      <c r="S13">
        <v>0.16871552205922005</v>
      </c>
      <c r="T13">
        <v>1.5734667855876721E-3</v>
      </c>
      <c r="V13">
        <v>3.6008729098044936E-2</v>
      </c>
      <c r="W13">
        <v>0.61834724339577063</v>
      </c>
      <c r="X13">
        <v>0.34564402750618439</v>
      </c>
      <c r="Z13">
        <f>(AA15*(V14-V15)+Z14*(R14-V14))/(R13-V14)</f>
        <v>9.5229217513766837</v>
      </c>
      <c r="AA13">
        <f>Z12-Z14+AA15</f>
        <v>26.025013878068403</v>
      </c>
      <c r="AB13">
        <f>V13/R13</f>
        <v>4.3399121638642117E-2</v>
      </c>
      <c r="AC13">
        <f t="shared" ref="AC13:AD14" si="2">W13/S13</f>
        <v>3.6650287765385774</v>
      </c>
      <c r="AD13">
        <f t="shared" si="2"/>
        <v>219.67036779685836</v>
      </c>
    </row>
    <row r="14" spans="1:30" x14ac:dyDescent="0.25">
      <c r="Q14">
        <v>2</v>
      </c>
      <c r="R14">
        <v>0.97967221585577435</v>
      </c>
      <c r="S14">
        <v>1.9783979936948703E-2</v>
      </c>
      <c r="T14">
        <v>5.4380420727697721E-4</v>
      </c>
      <c r="V14">
        <v>8.3808541405934467E-3</v>
      </c>
      <c r="W14">
        <v>0.13733771528030608</v>
      </c>
      <c r="X14">
        <v>0.85428143057910044</v>
      </c>
      <c r="Z14">
        <f>(R8*S8+R9*S9-(R8+R9)*V13)/(R14-V13)</f>
        <v>7.9749861219315958</v>
      </c>
      <c r="AA14">
        <f>Z13+AA15-Z14</f>
        <v>10.547935629445089</v>
      </c>
      <c r="AB14">
        <f>V14/R14</f>
        <v>8.5547533194789121E-3</v>
      </c>
      <c r="AC14">
        <f t="shared" si="2"/>
        <v>6.9418648683429556</v>
      </c>
      <c r="AD14">
        <f t="shared" si="2"/>
        <v>1570.9356771195171</v>
      </c>
    </row>
    <row r="15" spans="1:30" x14ac:dyDescent="0.25">
      <c r="V15">
        <v>0</v>
      </c>
      <c r="W15">
        <v>0</v>
      </c>
      <c r="X15">
        <v>1</v>
      </c>
      <c r="AA15">
        <f>R9</f>
        <v>9</v>
      </c>
    </row>
    <row r="16" spans="1:30" x14ac:dyDescent="0.25">
      <c r="H16">
        <v>1</v>
      </c>
      <c r="J16" t="s">
        <v>24</v>
      </c>
      <c r="L16" t="s">
        <v>27</v>
      </c>
    </row>
    <row r="17" spans="7:19" x14ac:dyDescent="0.25">
      <c r="G17" t="s">
        <v>21</v>
      </c>
      <c r="H17">
        <f>$A$5+$B$5*E5</f>
        <v>5726.4472922650066</v>
      </c>
      <c r="I17">
        <f>-$B$6*E6</f>
        <v>-16570.128400255402</v>
      </c>
      <c r="J17">
        <f>$R$8*$U$8</f>
        <v>0</v>
      </c>
      <c r="M17">
        <f t="array" ref="M17:N18">MINVERSE(H17:I18)</f>
        <v>1.7491908828532523E-4</v>
      </c>
      <c r="N17">
        <v>1.7483494251369961E-4</v>
      </c>
    </row>
    <row r="18" spans="7:19" x14ac:dyDescent="0.25">
      <c r="H18">
        <f>-$A$5</f>
        <v>-9.5229217513766837</v>
      </c>
      <c r="I18">
        <f>$A$6+$B$6*$E$6</f>
        <v>16578.103386377334</v>
      </c>
      <c r="J18">
        <f>$R$9*$U$9</f>
        <v>9</v>
      </c>
      <c r="M18">
        <v>1.0047836907158423E-7</v>
      </c>
      <c r="N18">
        <v>6.0420961079302894E-5</v>
      </c>
    </row>
    <row r="19" spans="7:19" x14ac:dyDescent="0.25">
      <c r="S19">
        <f>R9/R8</f>
        <v>0.36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3"/>
  <dimension ref="A2:AF49"/>
  <sheetViews>
    <sheetView zoomScale="70" zoomScaleNormal="70" workbookViewId="0">
      <selection activeCell="Y10" sqref="Y10:AA11"/>
    </sheetView>
  </sheetViews>
  <sheetFormatPr defaultRowHeight="15" x14ac:dyDescent="0.25"/>
  <sheetData>
    <row r="2" spans="1:32" x14ac:dyDescent="0.25">
      <c r="A2" t="s">
        <v>25</v>
      </c>
      <c r="D2" t="s">
        <v>31</v>
      </c>
      <c r="H2">
        <v>1</v>
      </c>
      <c r="I2">
        <v>2</v>
      </c>
      <c r="J2">
        <v>3</v>
      </c>
      <c r="K2" t="s">
        <v>23</v>
      </c>
      <c r="N2" t="s">
        <v>27</v>
      </c>
    </row>
    <row r="3" spans="1:32" x14ac:dyDescent="0.25">
      <c r="A3" t="s">
        <v>32</v>
      </c>
      <c r="C3" t="s">
        <v>62</v>
      </c>
      <c r="D3" t="s">
        <v>63</v>
      </c>
      <c r="E3" t="s">
        <v>64</v>
      </c>
      <c r="G3" t="s">
        <v>19</v>
      </c>
      <c r="H3">
        <f>$A$5+$B$5*C5</f>
        <v>11.148821238297456</v>
      </c>
      <c r="I3">
        <f>-$B$6*C6</f>
        <v>-0.14986283652522434</v>
      </c>
      <c r="J3">
        <v>0</v>
      </c>
      <c r="K3">
        <f>$T$11*$U$11</f>
        <v>8.75</v>
      </c>
      <c r="O3">
        <f t="array" ref="O3:Q5">MINVERSE(H3:J5)</f>
        <v>9.1179888189715896E-2</v>
      </c>
      <c r="P3">
        <v>1.6456614599838779E-3</v>
      </c>
      <c r="Q3">
        <v>4.3804413574491066E-6</v>
      </c>
      <c r="S3" t="s">
        <v>28</v>
      </c>
      <c r="T3" t="s">
        <v>29</v>
      </c>
      <c r="U3" t="s">
        <v>30</v>
      </c>
    </row>
    <row r="4" spans="1:32" x14ac:dyDescent="0.25">
      <c r="A4">
        <f>T11</f>
        <v>25</v>
      </c>
      <c r="C4" t="s">
        <v>65</v>
      </c>
      <c r="D4" t="s">
        <v>65</v>
      </c>
      <c r="E4" t="s">
        <v>65</v>
      </c>
      <c r="H4">
        <f>-$A$5</f>
        <v>-10.055697576617106</v>
      </c>
      <c r="I4">
        <f>$A$6+$B$6*$C$6</f>
        <v>8.3250948848672355</v>
      </c>
      <c r="J4">
        <f>-$B$7*C7</f>
        <v>-2.1128648375681597E-2</v>
      </c>
      <c r="K4">
        <v>0</v>
      </c>
      <c r="O4">
        <v>0.11042279953313647</v>
      </c>
      <c r="P4">
        <v>0.12242651921931111</v>
      </c>
      <c r="Q4">
        <v>3.2587637316490486E-4</v>
      </c>
      <c r="S4">
        <f t="array" ref="S4:S6">MMULT(O3:Q5,K3:K5)</f>
        <v>0.79782402166001409</v>
      </c>
      <c r="T4">
        <f t="array" ref="T4:T6">MMULT(O10:Q12,K10:K12)</f>
        <v>0.20026853400784958</v>
      </c>
      <c r="U4">
        <f t="array" ref="U4:U6">MMULT(O17:Q19,K17:K19)</f>
        <v>1.8976392773426849E-3</v>
      </c>
      <c r="V4" s="25">
        <f>SUM(S4:U4)</f>
        <v>0.99999019494520636</v>
      </c>
    </row>
    <row r="5" spans="1:32" x14ac:dyDescent="0.25">
      <c r="A5">
        <f>AB16</f>
        <v>10.055697576617106</v>
      </c>
      <c r="B5">
        <f t="shared" ref="B5:E5" si="0">AC16</f>
        <v>24.08343481889856</v>
      </c>
      <c r="C5">
        <f t="shared" si="0"/>
        <v>4.5389026519695709E-2</v>
      </c>
      <c r="D5">
        <f t="shared" si="0"/>
        <v>3.3619236079094512</v>
      </c>
      <c r="E5">
        <f t="shared" si="0"/>
        <v>153.08502940791095</v>
      </c>
      <c r="H5">
        <v>0</v>
      </c>
      <c r="I5">
        <f>-$A$6</f>
        <v>-8.1752320483420107</v>
      </c>
      <c r="J5">
        <f>$A$7+$B$7*$C$7</f>
        <v>7.9376938294771229</v>
      </c>
      <c r="K5">
        <f>$T$12*$U$12</f>
        <v>0</v>
      </c>
      <c r="O5">
        <v>0.11372723980088408</v>
      </c>
      <c r="P5">
        <v>0.12609017492862926</v>
      </c>
      <c r="Q5">
        <v>0.12631680391176581</v>
      </c>
      <c r="S5">
        <v>0.96619949591494414</v>
      </c>
      <c r="T5">
        <v>3.3189746049839153E-2</v>
      </c>
      <c r="U5">
        <v>6.0784336224848105E-4</v>
      </c>
      <c r="V5" s="25">
        <f>SUM(S5:U5)</f>
        <v>0.9999970853270318</v>
      </c>
    </row>
    <row r="6" spans="1:32" x14ac:dyDescent="0.25">
      <c r="A6">
        <f t="shared" ref="A6:A7" si="1">AB17</f>
        <v>8.1752320483420107</v>
      </c>
      <c r="B6">
        <f t="shared" ref="B6:B7" si="2">AC17</f>
        <v>9.1391323955156665</v>
      </c>
      <c r="C6">
        <f t="shared" ref="C6:C7" si="3">AD17</f>
        <v>1.6397928166437124E-2</v>
      </c>
      <c r="D6">
        <f t="shared" ref="D6:D7" si="4">AE17</f>
        <v>6.5240668529972368</v>
      </c>
      <c r="E6">
        <f t="shared" ref="E6:E7" si="5">AF17</f>
        <v>1262.8479915312221</v>
      </c>
      <c r="S6">
        <v>0.99511334825773567</v>
      </c>
      <c r="T6">
        <v>4.4115193747995413E-3</v>
      </c>
      <c r="U6">
        <v>4.7472880344008958E-4</v>
      </c>
      <c r="V6" s="25">
        <f>SUM(S6:U6)</f>
        <v>0.99999959643597536</v>
      </c>
    </row>
    <row r="7" spans="1:32" x14ac:dyDescent="0.25">
      <c r="A7">
        <f t="shared" si="1"/>
        <v>7.9165651811014417</v>
      </c>
      <c r="B7">
        <f t="shared" si="2"/>
        <v>7.258666867240569</v>
      </c>
      <c r="C7">
        <f t="shared" si="3"/>
        <v>2.9108166502361879E-3</v>
      </c>
      <c r="D7">
        <f t="shared" si="4"/>
        <v>7.3827882126390545</v>
      </c>
      <c r="E7">
        <f t="shared" si="5"/>
        <v>2031.752117619561</v>
      </c>
    </row>
    <row r="8" spans="1:32" x14ac:dyDescent="0.25">
      <c r="B8">
        <f>T12</f>
        <v>7</v>
      </c>
      <c r="C8" t="s">
        <v>65</v>
      </c>
      <c r="D8" t="s">
        <v>65</v>
      </c>
      <c r="E8" t="s">
        <v>65</v>
      </c>
    </row>
    <row r="9" spans="1:32" x14ac:dyDescent="0.25">
      <c r="H9">
        <v>1</v>
      </c>
      <c r="I9">
        <v>2</v>
      </c>
      <c r="J9">
        <v>3</v>
      </c>
      <c r="K9" t="s">
        <v>22</v>
      </c>
      <c r="N9" t="s">
        <v>27</v>
      </c>
    </row>
    <row r="10" spans="1:32" x14ac:dyDescent="0.25">
      <c r="G10" t="s">
        <v>20</v>
      </c>
      <c r="H10">
        <f>$A$5+$B$5*D5</f>
        <v>91.022365653820657</v>
      </c>
      <c r="I10">
        <f>-$B$6*D6</f>
        <v>-59.624310726736994</v>
      </c>
      <c r="J10">
        <v>0</v>
      </c>
      <c r="K10">
        <f>$T$11*$V$11</f>
        <v>16.25</v>
      </c>
      <c r="O10">
        <f t="array" ref="O10:Q12">MINVERSE(H10:J12)</f>
        <v>1.2324217477406129E-2</v>
      </c>
      <c r="P10">
        <v>1.2110490465509431E-2</v>
      </c>
      <c r="Q10">
        <v>1.0551718103737744E-2</v>
      </c>
      <c r="T10" t="s">
        <v>25</v>
      </c>
      <c r="U10" t="s">
        <v>28</v>
      </c>
      <c r="V10" t="s">
        <v>29</v>
      </c>
      <c r="W10" t="s">
        <v>30</v>
      </c>
      <c r="Y10" t="s">
        <v>120</v>
      </c>
      <c r="Z10" t="s">
        <v>116</v>
      </c>
      <c r="AA10" t="s">
        <v>121</v>
      </c>
    </row>
    <row r="11" spans="1:32" x14ac:dyDescent="0.25">
      <c r="H11">
        <f>-$A$5</f>
        <v>-10.055697576617106</v>
      </c>
      <c r="I11">
        <f>$A$6+$B$6*$D$6</f>
        <v>67.799542775079004</v>
      </c>
      <c r="J11">
        <f>-$B$7*D7</f>
        <v>-53.589200186937326</v>
      </c>
      <c r="K11">
        <v>0</v>
      </c>
      <c r="O11">
        <v>2.0424459107593325E-3</v>
      </c>
      <c r="P11">
        <v>1.8487852990884113E-2</v>
      </c>
      <c r="Q11">
        <v>1.6108233903386164E-2</v>
      </c>
      <c r="S11" t="s">
        <v>7</v>
      </c>
      <c r="T11">
        <v>25</v>
      </c>
      <c r="U11">
        <v>0.35</v>
      </c>
      <c r="V11">
        <v>0.65</v>
      </c>
      <c r="W11">
        <v>0</v>
      </c>
      <c r="Y11">
        <f>AC16*X16/T11/U11</f>
        <v>9.9670893249547129E-2</v>
      </c>
      <c r="Z11">
        <f>AC16*Y16/T11/V11</f>
        <v>0.9979007815220996</v>
      </c>
      <c r="AA11">
        <f>AB18*V18/AC19</f>
        <v>5.3688871151275639E-4</v>
      </c>
    </row>
    <row r="12" spans="1:32" x14ac:dyDescent="0.25">
      <c r="H12">
        <v>0</v>
      </c>
      <c r="I12">
        <f>-$A$6</f>
        <v>-8.1752320483420107</v>
      </c>
      <c r="J12">
        <f>$A$7+$B$7*$D$7</f>
        <v>61.505765368038766</v>
      </c>
      <c r="K12">
        <f>$T$12*$V$12</f>
        <v>0</v>
      </c>
      <c r="O12">
        <v>2.7147811537227946E-4</v>
      </c>
      <c r="P12">
        <v>2.4573710671138499E-3</v>
      </c>
      <c r="Q12">
        <v>1.8399714941800066E-2</v>
      </c>
      <c r="S12" t="s">
        <v>18</v>
      </c>
      <c r="T12" s="108">
        <v>7</v>
      </c>
      <c r="U12">
        <v>0</v>
      </c>
      <c r="V12">
        <v>0</v>
      </c>
      <c r="W12">
        <v>1</v>
      </c>
    </row>
    <row r="14" spans="1:32" ht="15.75" thickBot="1" x14ac:dyDescent="0.3">
      <c r="AB14" t="s">
        <v>74</v>
      </c>
      <c r="AC14" t="s">
        <v>75</v>
      </c>
    </row>
    <row r="15" spans="1:32" ht="15.75" thickBot="1" x14ac:dyDescent="0.3">
      <c r="S15" t="s">
        <v>6</v>
      </c>
      <c r="T15" s="16" t="s">
        <v>68</v>
      </c>
      <c r="U15" s="14" t="s">
        <v>69</v>
      </c>
      <c r="V15" s="14" t="s">
        <v>70</v>
      </c>
      <c r="W15" s="14" t="s">
        <v>76</v>
      </c>
      <c r="X15" s="14" t="s">
        <v>71</v>
      </c>
      <c r="Y15" s="14" t="s">
        <v>72</v>
      </c>
      <c r="Z15" s="14" t="s">
        <v>73</v>
      </c>
      <c r="AA15" s="15" t="s">
        <v>77</v>
      </c>
      <c r="AB15">
        <f>T11</f>
        <v>25</v>
      </c>
      <c r="AD15" t="s">
        <v>62</v>
      </c>
      <c r="AE15" t="s">
        <v>63</v>
      </c>
      <c r="AF15" t="s">
        <v>64</v>
      </c>
    </row>
    <row r="16" spans="1:32" x14ac:dyDescent="0.25">
      <c r="H16">
        <v>1</v>
      </c>
      <c r="I16">
        <v>2</v>
      </c>
      <c r="J16">
        <v>3</v>
      </c>
      <c r="K16" t="s">
        <v>24</v>
      </c>
      <c r="N16" t="s">
        <v>27</v>
      </c>
      <c r="S16">
        <v>1</v>
      </c>
      <c r="T16">
        <v>0.7978240216600142</v>
      </c>
      <c r="U16">
        <v>0.20027856011404471</v>
      </c>
      <c r="V16">
        <v>1.8974182259411305E-3</v>
      </c>
      <c r="X16">
        <v>3.6212455677176666E-2</v>
      </c>
      <c r="Y16">
        <v>0.67332121940551914</v>
      </c>
      <c r="Z16">
        <v>0.29046632491730418</v>
      </c>
      <c r="AB16" s="102">
        <f>(AC18*(X17-X18)+AB17*(T17-X17))/(T16-X17)</f>
        <v>10.055697576617106</v>
      </c>
      <c r="AC16">
        <f>AB15-AB18+AC19</f>
        <v>24.08343481889856</v>
      </c>
      <c r="AD16">
        <f>X16/T16</f>
        <v>4.5389026519695709E-2</v>
      </c>
      <c r="AE16">
        <f t="shared" ref="AE16:AF18" si="6">Y16/U16</f>
        <v>3.3619236079094512</v>
      </c>
      <c r="AF16">
        <f t="shared" si="6"/>
        <v>153.08502940791095</v>
      </c>
    </row>
    <row r="17" spans="1:32" x14ac:dyDescent="0.25">
      <c r="G17" t="s">
        <v>21</v>
      </c>
      <c r="H17">
        <f>$A$5+$B$5*E5</f>
        <v>3696.8690250712098</v>
      </c>
      <c r="I17">
        <f>-$B$6*E6</f>
        <v>-11541.334990014886</v>
      </c>
      <c r="J17">
        <v>0</v>
      </c>
      <c r="K17">
        <f>$T$11*$W$11</f>
        <v>0</v>
      </c>
      <c r="O17">
        <f t="array" ref="O17:Q19">MINVERSE(H17:J19)</f>
        <v>2.7123694913054651E-4</v>
      </c>
      <c r="P17">
        <v>2.7123684605186182E-4</v>
      </c>
      <c r="Q17">
        <v>2.7109132533466925E-4</v>
      </c>
      <c r="S17">
        <v>2</v>
      </c>
      <c r="T17">
        <v>0.96619949591494425</v>
      </c>
      <c r="U17">
        <v>3.3192667549624695E-2</v>
      </c>
      <c r="V17">
        <v>6.0783653543111139E-4</v>
      </c>
      <c r="X17">
        <v>1.5843669928461014E-2</v>
      </c>
      <c r="Y17">
        <v>0.21655118212306348</v>
      </c>
      <c r="Z17">
        <v>0.76760514794847556</v>
      </c>
      <c r="AB17" s="102">
        <f>(AC19*(X18-X19)+AB18*(T18-X18))/(T17-X18)</f>
        <v>8.1752320483420107</v>
      </c>
      <c r="AC17">
        <f>AB16+AC18-AB17</f>
        <v>9.1391323955156665</v>
      </c>
      <c r="AD17">
        <f>X17/T17</f>
        <v>1.6397928166437124E-2</v>
      </c>
      <c r="AE17">
        <f t="shared" si="6"/>
        <v>6.5240668529972368</v>
      </c>
      <c r="AF17">
        <f t="shared" si="6"/>
        <v>1262.8479915312221</v>
      </c>
    </row>
    <row r="18" spans="1:32" x14ac:dyDescent="0.25">
      <c r="H18">
        <f>-$A$5</f>
        <v>-10.055697576617106</v>
      </c>
      <c r="I18">
        <f>$A$6+$B$6*$E$6</f>
        <v>11549.510222063229</v>
      </c>
      <c r="J18">
        <f>-$B$7*E7</f>
        <v>-14747.811778610971</v>
      </c>
      <c r="K18">
        <v>0</v>
      </c>
      <c r="O18">
        <v>2.3632237500191093E-7</v>
      </c>
      <c r="P18">
        <v>8.6881378583556984E-5</v>
      </c>
      <c r="Q18">
        <v>8.6834766035497285E-5</v>
      </c>
      <c r="S18">
        <v>3</v>
      </c>
      <c r="T18">
        <v>0.99511334825773556</v>
      </c>
      <c r="U18">
        <v>4.4119230064282085E-3</v>
      </c>
      <c r="V18">
        <v>4.7472873583621639E-4</v>
      </c>
      <c r="X18">
        <v>2.896592502980899E-3</v>
      </c>
      <c r="Y18">
        <v>3.2572293166929236E-2</v>
      </c>
      <c r="Z18">
        <v>0.96453111433008987</v>
      </c>
      <c r="AB18">
        <f>(T11*U11+T12*U12-(T11+T12)*X16)/(T18-X16)</f>
        <v>7.9165651811014417</v>
      </c>
      <c r="AC18">
        <f>AB17+AC19-AB18</f>
        <v>7.258666867240569</v>
      </c>
      <c r="AD18">
        <f>X18/T18</f>
        <v>2.9108166502361879E-3</v>
      </c>
      <c r="AE18">
        <f t="shared" si="6"/>
        <v>7.3827882126390545</v>
      </c>
      <c r="AF18">
        <f t="shared" si="6"/>
        <v>2031.752117619561</v>
      </c>
    </row>
    <row r="19" spans="1:32" x14ac:dyDescent="0.25">
      <c r="H19">
        <v>0</v>
      </c>
      <c r="I19">
        <f>-$A$6</f>
        <v>-8.1752320483420107</v>
      </c>
      <c r="J19">
        <f>$A$7+$B$7*$E$7</f>
        <v>14755.728343792072</v>
      </c>
      <c r="K19">
        <f>$T$12*$W$12</f>
        <v>7</v>
      </c>
      <c r="O19">
        <v>1.3093154121861661E-10</v>
      </c>
      <c r="P19">
        <v>4.8135572440194212E-8</v>
      </c>
      <c r="Q19">
        <v>6.7818400491441368E-5</v>
      </c>
      <c r="X19">
        <v>0</v>
      </c>
      <c r="Y19">
        <v>0</v>
      </c>
      <c r="Z19">
        <v>1</v>
      </c>
      <c r="AC19">
        <f>T12</f>
        <v>7</v>
      </c>
    </row>
    <row r="22" spans="1:32" x14ac:dyDescent="0.25">
      <c r="T22">
        <f>T16-S4</f>
        <v>0</v>
      </c>
      <c r="U22">
        <f t="shared" ref="U22:V22" si="7">U16-T4</f>
        <v>1.0026106195132334E-5</v>
      </c>
      <c r="V22">
        <f t="shared" si="7"/>
        <v>-2.2105140155435563E-7</v>
      </c>
    </row>
    <row r="23" spans="1:32" x14ac:dyDescent="0.25">
      <c r="T23">
        <f t="shared" ref="T23:V23" si="8">T17-S5</f>
        <v>0</v>
      </c>
      <c r="U23">
        <f t="shared" si="8"/>
        <v>2.9214997855422919E-6</v>
      </c>
      <c r="V23">
        <f t="shared" si="8"/>
        <v>-6.8268173696560408E-9</v>
      </c>
    </row>
    <row r="24" spans="1:32" x14ac:dyDescent="0.25">
      <c r="T24">
        <f t="shared" ref="T24:V24" si="9">T18-S6</f>
        <v>0</v>
      </c>
      <c r="U24">
        <f t="shared" si="9"/>
        <v>4.0363162866728641E-7</v>
      </c>
      <c r="V24">
        <f t="shared" si="9"/>
        <v>-6.7603873183091218E-11</v>
      </c>
      <c r="X24">
        <f>T12/T11</f>
        <v>0.28000000000000003</v>
      </c>
    </row>
    <row r="28" spans="1:32" ht="15.75" thickBot="1" x14ac:dyDescent="0.3"/>
    <row r="29" spans="1:32" ht="15.75" thickBot="1" x14ac:dyDescent="0.3">
      <c r="G29" s="28" t="s">
        <v>79</v>
      </c>
      <c r="H29" s="29" t="s">
        <v>80</v>
      </c>
      <c r="I29" s="29" t="s">
        <v>81</v>
      </c>
      <c r="J29" s="29" t="s">
        <v>82</v>
      </c>
      <c r="K29" s="29" t="s">
        <v>83</v>
      </c>
      <c r="L29" s="29" t="s">
        <v>84</v>
      </c>
      <c r="M29" s="29" t="s">
        <v>85</v>
      </c>
      <c r="N29" s="29" t="s">
        <v>86</v>
      </c>
      <c r="O29" s="29" t="s">
        <v>87</v>
      </c>
      <c r="P29" s="29" t="s">
        <v>88</v>
      </c>
      <c r="Q29" s="29" t="s">
        <v>89</v>
      </c>
      <c r="R29" s="30" t="s">
        <v>90</v>
      </c>
    </row>
    <row r="30" spans="1:32" ht="15.75" thickBot="1" x14ac:dyDescent="0.3">
      <c r="A30" s="136" t="s">
        <v>78</v>
      </c>
      <c r="B30" s="136"/>
      <c r="C30" s="136"/>
      <c r="D30" s="136"/>
      <c r="E30" s="136"/>
      <c r="G30">
        <f>B31/$B$39/$B$40</f>
        <v>2.1071800296631609</v>
      </c>
      <c r="H30">
        <f>C31/$B$39/$B$40</f>
        <v>2.8350922655412045</v>
      </c>
      <c r="I30">
        <f>B32/$B$39/$B$40</f>
        <v>7.2849444468829168</v>
      </c>
      <c r="J30">
        <f>C32/$B$39/$B$40</f>
        <v>6.1290709297054313</v>
      </c>
      <c r="K30">
        <f>B33/$B$39/$B$40</f>
        <v>4.0246507210259157</v>
      </c>
      <c r="L30">
        <f>C33/$B$39/$B$40</f>
        <v>0.21292207917654202</v>
      </c>
      <c r="M30">
        <f>EXP(-$E$31*G30)</f>
        <v>0.43047242445194145</v>
      </c>
      <c r="N30">
        <f t="shared" ref="N30:R30" si="10">EXP(-$E$31*H30)</f>
        <v>0.32173183009668638</v>
      </c>
      <c r="O30">
        <f t="shared" si="10"/>
        <v>5.425946787469077E-2</v>
      </c>
      <c r="P30">
        <f t="shared" si="10"/>
        <v>8.6153182795249569E-2</v>
      </c>
      <c r="Q30">
        <f t="shared" si="10"/>
        <v>0.19991554264238187</v>
      </c>
      <c r="R30">
        <f t="shared" si="10"/>
        <v>0.91835722352796123</v>
      </c>
      <c r="T30" s="25"/>
      <c r="U30" s="25"/>
      <c r="V30" s="25"/>
      <c r="W30" s="25"/>
      <c r="X30" s="25"/>
      <c r="Y30" s="25"/>
      <c r="Z30" s="25"/>
      <c r="AC30" s="51"/>
      <c r="AD30" s="72"/>
      <c r="AE30" s="73"/>
    </row>
    <row r="31" spans="1:32" ht="15.75" thickBot="1" x14ac:dyDescent="0.3">
      <c r="A31" s="26" t="s">
        <v>33</v>
      </c>
      <c r="B31" s="27">
        <v>5.5736999999999997</v>
      </c>
      <c r="C31" s="27">
        <v>7.4991000000000003</v>
      </c>
      <c r="D31" s="26">
        <v>6.4999999999999997E-3</v>
      </c>
      <c r="E31" s="26">
        <v>0.4</v>
      </c>
      <c r="T31" s="25"/>
      <c r="U31" s="25"/>
      <c r="V31" s="25"/>
      <c r="W31" s="25"/>
      <c r="X31" s="25"/>
      <c r="Y31" s="25"/>
      <c r="Z31" s="25"/>
      <c r="AC31" s="51"/>
      <c r="AD31" s="72"/>
      <c r="AE31" s="73"/>
    </row>
    <row r="32" spans="1:32" ht="15.75" thickBot="1" x14ac:dyDescent="0.3">
      <c r="A32" s="31" t="s">
        <v>34</v>
      </c>
      <c r="B32" s="32">
        <v>19.269400000000001</v>
      </c>
      <c r="C32" s="32">
        <v>16.212</v>
      </c>
      <c r="D32" s="31"/>
      <c r="E32" s="31"/>
      <c r="J32" s="33">
        <f>J37</f>
        <v>0.10661835678758311</v>
      </c>
      <c r="K32" s="33">
        <f>(K37+K47)/2</f>
        <v>1.048636644509467E-3</v>
      </c>
      <c r="L32" s="33"/>
      <c r="M32" s="33">
        <f>(M37+M47)/2</f>
        <v>3.6824455583448691E-2</v>
      </c>
      <c r="N32" s="33">
        <f>(N37+N47)/2</f>
        <v>0.48932951362651661</v>
      </c>
      <c r="T32" s="33"/>
      <c r="U32" s="33"/>
      <c r="V32" s="33"/>
      <c r="W32" s="33"/>
      <c r="X32" s="33"/>
      <c r="Y32" s="33"/>
      <c r="Z32" s="33"/>
      <c r="AC32" s="51"/>
      <c r="AD32" s="72"/>
      <c r="AE32" s="73"/>
    </row>
    <row r="33" spans="1:31" ht="15.75" thickBot="1" x14ac:dyDescent="0.3">
      <c r="A33" s="34" t="s">
        <v>35</v>
      </c>
      <c r="B33" s="35">
        <v>10.6456</v>
      </c>
      <c r="C33" s="35">
        <v>0.56320000000000003</v>
      </c>
      <c r="D33" s="36"/>
      <c r="E33" s="36"/>
      <c r="J33" s="33">
        <f t="shared" ref="J33:J34" si="11">J38</f>
        <v>1.9783979936948703E-2</v>
      </c>
      <c r="K33" s="33">
        <f t="shared" ref="K33:K34" si="12">(K38+K48)/2</f>
        <v>5.4380422196146304E-4</v>
      </c>
      <c r="M33" s="33">
        <f t="shared" ref="M33:N34" si="13">(M38+M48)/2</f>
        <v>8.3808386625454818E-3</v>
      </c>
      <c r="N33" s="33">
        <f t="shared" si="13"/>
        <v>0.13733770365650128</v>
      </c>
      <c r="T33" s="33"/>
      <c r="U33" s="33"/>
      <c r="V33" s="33"/>
      <c r="W33" s="33"/>
      <c r="X33" s="33"/>
      <c r="Y33" s="33"/>
      <c r="Z33" s="33"/>
      <c r="AC33" s="51"/>
      <c r="AD33" s="72"/>
      <c r="AE33" s="73"/>
    </row>
    <row r="34" spans="1:31" ht="15.75" thickBot="1" x14ac:dyDescent="0.3">
      <c r="J34" s="33">
        <f t="shared" si="11"/>
        <v>4.4119230064282085E-3</v>
      </c>
      <c r="K34" s="33">
        <f t="shared" si="12"/>
        <v>4.7472873583621639E-4</v>
      </c>
      <c r="M34" s="33">
        <f t="shared" si="13"/>
        <v>2.89659250298086E-3</v>
      </c>
      <c r="N34" s="33">
        <f t="shared" si="13"/>
        <v>3.2572293166929209E-2</v>
      </c>
      <c r="T34" s="33"/>
      <c r="U34" s="33"/>
      <c r="V34" s="33"/>
      <c r="W34" s="33"/>
      <c r="X34" s="33"/>
      <c r="Y34" s="33"/>
      <c r="Z34" s="33"/>
    </row>
    <row r="35" spans="1:31" ht="26.25" thickBot="1" x14ac:dyDescent="0.3">
      <c r="A35" s="137" t="s">
        <v>91</v>
      </c>
      <c r="B35" s="37" t="s">
        <v>92</v>
      </c>
      <c r="C35" s="37" t="s">
        <v>93</v>
      </c>
      <c r="D35" s="137" t="s">
        <v>36</v>
      </c>
      <c r="E35" s="137" t="s">
        <v>37</v>
      </c>
    </row>
    <row r="36" spans="1:31" ht="15.75" thickBot="1" x14ac:dyDescent="0.3">
      <c r="A36" s="138"/>
      <c r="B36" s="139" t="s">
        <v>38</v>
      </c>
      <c r="C36" s="139"/>
      <c r="D36" s="138"/>
      <c r="E36" s="138"/>
      <c r="I36" s="38" t="s">
        <v>39</v>
      </c>
      <c r="J36" s="39" t="s">
        <v>40</v>
      </c>
      <c r="K36" s="40" t="s">
        <v>41</v>
      </c>
      <c r="L36" s="41"/>
      <c r="M36" s="38" t="s">
        <v>42</v>
      </c>
      <c r="N36" s="39" t="s">
        <v>43</v>
      </c>
      <c r="O36" s="39" t="s">
        <v>44</v>
      </c>
      <c r="P36" s="42" t="s">
        <v>94</v>
      </c>
      <c r="Q36" s="43" t="s">
        <v>95</v>
      </c>
      <c r="R36" s="44" t="s">
        <v>96</v>
      </c>
      <c r="S36" s="42" t="s">
        <v>97</v>
      </c>
      <c r="T36" s="43" t="s">
        <v>98</v>
      </c>
      <c r="U36" s="44" t="s">
        <v>99</v>
      </c>
      <c r="V36" s="45" t="s">
        <v>45</v>
      </c>
      <c r="W36" s="46" t="s">
        <v>46</v>
      </c>
      <c r="X36" s="47" t="s">
        <v>47</v>
      </c>
      <c r="Y36" s="42" t="s">
        <v>100</v>
      </c>
      <c r="Z36" s="43" t="s">
        <v>101</v>
      </c>
      <c r="AA36" s="43" t="s">
        <v>102</v>
      </c>
      <c r="AB36" s="19" t="s">
        <v>48</v>
      </c>
      <c r="AC36" s="93" t="s">
        <v>49</v>
      </c>
      <c r="AD36" s="22" t="s">
        <v>50</v>
      </c>
    </row>
    <row r="37" spans="1:31" x14ac:dyDescent="0.25">
      <c r="I37" s="33">
        <f>1-J37-K37</f>
        <v>0.89233300682023675</v>
      </c>
      <c r="J37" s="5">
        <v>0.10661835678758311</v>
      </c>
      <c r="K37" s="6">
        <v>1.0486363921800618E-3</v>
      </c>
      <c r="L37" s="48"/>
      <c r="M37" s="33">
        <v>3.6824328122408323E-2</v>
      </c>
      <c r="N37" s="69">
        <v>0.48932964808868595</v>
      </c>
      <c r="O37" s="33">
        <f>1-M37-N37</f>
        <v>0.47384602378890572</v>
      </c>
      <c r="P37" s="4">
        <f>I37+N30*J37+P30*K37</f>
        <v>0.92672586923418854</v>
      </c>
      <c r="Q37" s="5">
        <f>M30*I37+J37+R30*K37</f>
        <v>0.49170613245759404</v>
      </c>
      <c r="R37" s="5">
        <f>O30*I37+Q30*J37+K37</f>
        <v>7.0780817162097664E-2</v>
      </c>
      <c r="S37" s="5">
        <f>J37*$H$30*$N$30+K37*$J$30*$P$30</f>
        <v>9.7804527329067859E-2</v>
      </c>
      <c r="T37" s="5">
        <f>I37*$G$30*$M$30+K37*$L$30*$R$30</f>
        <v>0.80962505695322218</v>
      </c>
      <c r="U37" s="5">
        <f>I37*$I$30*$O$30+J37*$K$30*$Q$30</f>
        <v>0.43850298911189595</v>
      </c>
      <c r="V37" s="5">
        <f>S37/P37-I37*S37/P37^2+J37*$M$30/Q37*($G$30-T37/Q37)+K37*$O$30/R37*($I$30-U37/R37)</f>
        <v>4.7787124148414913E-2</v>
      </c>
      <c r="W37" s="5">
        <f>T37/Q37-J37*T37/Q37^2+(I37*$N$30/P37)*($H$30-S37/P37)+(K37*$Q$30/R37)*($K$30-U37/R37)</f>
        <v>2.1286972798857473</v>
      </c>
      <c r="X37" s="5">
        <f>U37/R37-K37*U37/R37^2+I37*$P$30/P37*($J$30-S37/P37)+J37*$R$30/Q37*($L$30-T37/Q37)</f>
        <v>6.3176452813809201</v>
      </c>
      <c r="Y37" s="5">
        <f>EXP(V37)</f>
        <v>1.0489473359982495</v>
      </c>
      <c r="Z37" s="5">
        <f t="shared" ref="Z37:AA37" si="14">EXP(W37)</f>
        <v>8.4039117324362973</v>
      </c>
      <c r="AA37" s="5">
        <f t="shared" si="14"/>
        <v>554.26631341630798</v>
      </c>
      <c r="AB37" s="5">
        <f t="shared" ref="AB37:AD39" si="15">Y37/Y41</f>
        <v>4.1267758519558481E-2</v>
      </c>
      <c r="AC37" s="5">
        <f t="shared" si="15"/>
        <v>4.5895415565186717</v>
      </c>
      <c r="AD37" s="6">
        <f t="shared" si="15"/>
        <v>451.86854021379554</v>
      </c>
    </row>
    <row r="38" spans="1:31" x14ac:dyDescent="0.25">
      <c r="I38" s="33">
        <f t="shared" ref="I38:I39" si="16">1-J38-K38</f>
        <v>0.97967221584108988</v>
      </c>
      <c r="J38">
        <v>1.9783979936948703E-2</v>
      </c>
      <c r="K38">
        <v>5.4380422196146304E-4</v>
      </c>
      <c r="M38">
        <v>8.3808386625454836E-3</v>
      </c>
      <c r="N38">
        <v>0.13733770365650125</v>
      </c>
      <c r="O38" s="33">
        <f t="shared" ref="O38:O39" si="17">1-M38-N38</f>
        <v>0.85428145768095332</v>
      </c>
      <c r="P38" s="4">
        <f>I38+$N$30*J38+$P$30*K38</f>
        <v>0.98608420237733996</v>
      </c>
      <c r="Q38" s="5">
        <f>$M$30*I38+J38+$R$30*K38</f>
        <v>0.44200526039369165</v>
      </c>
      <c r="R38" s="5">
        <f>$O$30*I38+$Q$30*J38+K38</f>
        <v>5.7655422429839301E-2</v>
      </c>
      <c r="S38" s="5">
        <f>J38*$H$30*$N$30+K38*$J$30*$P$30</f>
        <v>1.8332897866276229E-2</v>
      </c>
      <c r="T38" s="5">
        <f>I38*$G$30*$M$30+K38*$L$30*$R$30</f>
        <v>0.88875024547700687</v>
      </c>
      <c r="U38" s="5">
        <f>I38*$I$30*$O$30+J38*$K$30*$Q$30</f>
        <v>0.40316009641728112</v>
      </c>
      <c r="V38" s="5">
        <f>S38/P38-I38*S38/P38^2+J38*$M$30/Q38*($G$30-T38/Q38)+K38*$O$30/R38*($I$30-U38/R38)</f>
        <v>2.129024289483463E-3</v>
      </c>
      <c r="W38" s="5">
        <f>T38/Q38-J38*T38/Q38^2+(I38*$N$30/P38)*($H$30-S38/P38)+(K38*$Q$30/R38)*($K$30-U38/R38)</f>
        <v>2.8153933809264617</v>
      </c>
      <c r="X38" s="5">
        <f>U38/R38-K38*U38/R38^2+I38*$P$30/P38*($J$30-S38/P38)+J38*$R$30/Q38*($L$30-T38/Q38)</f>
        <v>7.3757401419084943</v>
      </c>
      <c r="Y38" s="5">
        <f>EXP(V38)</f>
        <v>1.0021312922709398</v>
      </c>
      <c r="Z38" s="5">
        <f>EXP(W38)</f>
        <v>16.699743849077155</v>
      </c>
      <c r="AA38" s="5">
        <f>EXP(X38)</f>
        <v>1596.7732320301125</v>
      </c>
      <c r="AB38" s="5">
        <f t="shared" si="15"/>
        <v>8.5547375203962224E-3</v>
      </c>
      <c r="AC38" s="5">
        <f t="shared" si="15"/>
        <v>6.9418642808067341</v>
      </c>
      <c r="AD38" s="6">
        <f t="shared" si="15"/>
        <v>1570.9356845366535</v>
      </c>
    </row>
    <row r="39" spans="1:31" ht="15.75" thickBot="1" x14ac:dyDescent="0.3">
      <c r="A39" s="49" t="s">
        <v>57</v>
      </c>
      <c r="B39">
        <f>8.314/1000</f>
        <v>8.3140000000000002E-3</v>
      </c>
      <c r="C39" t="s">
        <v>58</v>
      </c>
      <c r="I39" s="33">
        <f t="shared" si="16"/>
        <v>0.99511334825773556</v>
      </c>
      <c r="J39">
        <v>4.4119230064282085E-3</v>
      </c>
      <c r="K39">
        <v>4.7472873583621639E-4</v>
      </c>
      <c r="M39">
        <v>2.89659250298086E-3</v>
      </c>
      <c r="N39">
        <v>3.2572293166929209E-2</v>
      </c>
      <c r="O39" s="33">
        <f t="shared" si="17"/>
        <v>0.96453111433008987</v>
      </c>
      <c r="P39" s="4">
        <f>I39+$N$30*J39+$P$30*K39</f>
        <v>0.99657370371239595</v>
      </c>
      <c r="Q39" s="5">
        <f>$M$30*I39+J39+$R$30*K39</f>
        <v>0.43321674919919628</v>
      </c>
      <c r="R39" s="5">
        <f>$O$30*I39+$Q$30*J39+K39</f>
        <v>5.5351061469229294E-2</v>
      </c>
      <c r="S39" s="5">
        <f>J39*$H$30*$N$30+K39*$J$30*$P$30</f>
        <v>4.2749641776137492E-3</v>
      </c>
      <c r="T39" s="5">
        <f>I39*$G$30*$M$30+K39*$L$30*$R$30</f>
        <v>0.90274312566998116</v>
      </c>
      <c r="U39" s="5">
        <f>I39*$I$30*$O$30+J39*$K$30*$Q$30</f>
        <v>0.39689541728062544</v>
      </c>
      <c r="V39" s="5">
        <f>S39/P39-I39*S39/P39^2+J39*$M$30/Q39*($G$30-T39/Q39)+K39*$O$30/R39*($I$30-U39/R39)</f>
        <v>1.619753651074462E-4</v>
      </c>
      <c r="W39" s="5">
        <f>T39/Q39-J39*T39/Q39^2+(I39*$N$30/P39)*($H$30-S39/P39)+(K39*$Q$30/R39)*($K$30-U39/R39)</f>
        <v>2.9666229887364226</v>
      </c>
      <c r="X39" s="5">
        <f>U39/R39-K39*U39/R39^2+I39*$P$30/P39*($J$30-S39/P39)+J39*$R$30/Q39*($L$30-T39/Q39)</f>
        <v>7.6184105502405854</v>
      </c>
      <c r="Y39" s="5">
        <f>EXP(V39)</f>
        <v>1.0001619884838251</v>
      </c>
      <c r="Z39" s="5">
        <f t="shared" ref="Z39" si="18">EXP(W39)</f>
        <v>19.42620618392376</v>
      </c>
      <c r="AA39" s="5">
        <f t="shared" ref="AA39" si="19">EXP(X39)</f>
        <v>2035.3245114318863</v>
      </c>
      <c r="AB39" s="5">
        <f t="shared" si="15"/>
        <v>2.9108166502361484E-3</v>
      </c>
      <c r="AC39" s="5">
        <f t="shared" si="15"/>
        <v>7.3827882126390474</v>
      </c>
      <c r="AD39" s="6">
        <f t="shared" si="15"/>
        <v>2031.752117619561</v>
      </c>
    </row>
    <row r="40" spans="1:31" ht="15.75" thickBot="1" x14ac:dyDescent="0.3">
      <c r="A40" s="49" t="s">
        <v>59</v>
      </c>
      <c r="B40">
        <v>318.14999999999998</v>
      </c>
      <c r="C40" t="s">
        <v>60</v>
      </c>
      <c r="P40" s="42" t="s">
        <v>103</v>
      </c>
      <c r="Q40" s="43" t="s">
        <v>104</v>
      </c>
      <c r="R40" s="44" t="s">
        <v>105</v>
      </c>
      <c r="S40" s="42" t="s">
        <v>106</v>
      </c>
      <c r="T40" s="43" t="s">
        <v>107</v>
      </c>
      <c r="U40" s="44" t="s">
        <v>108</v>
      </c>
      <c r="V40" s="45" t="s">
        <v>51</v>
      </c>
      <c r="W40" s="46" t="s">
        <v>52</v>
      </c>
      <c r="X40" s="47" t="s">
        <v>53</v>
      </c>
      <c r="Y40" s="42" t="s">
        <v>109</v>
      </c>
      <c r="Z40" s="43" t="s">
        <v>110</v>
      </c>
      <c r="AA40" s="43" t="s">
        <v>111</v>
      </c>
      <c r="AB40" s="19" t="s">
        <v>54</v>
      </c>
      <c r="AC40" s="93" t="s">
        <v>55</v>
      </c>
      <c r="AD40" s="22" t="s">
        <v>56</v>
      </c>
    </row>
    <row r="41" spans="1:31" x14ac:dyDescent="0.25">
      <c r="P41" s="4">
        <f>M37+$N$30*N37+$P$30*O37</f>
        <v>0.23508059442683654</v>
      </c>
      <c r="Q41" s="5">
        <f>$M$30*M37+N37+$R$30*O37</f>
        <v>0.94034142468089654</v>
      </c>
      <c r="R41" s="5">
        <f>$O$30*M37+$Q$30*N37+O37</f>
        <v>0.57366869436632606</v>
      </c>
      <c r="S41" s="5">
        <f>N37*$H$30*$N$30+O37*$J$30*$P$30</f>
        <v>0.69654602838014157</v>
      </c>
      <c r="T41" s="5">
        <f>M37*$G$30*$M$30+O37*$L$30*$R$30</f>
        <v>0.12605787288348749</v>
      </c>
      <c r="U41" s="5">
        <f>M37*$I$30*$O$30+N37*$K$30*$Q$30</f>
        <v>0.40826567314148804</v>
      </c>
      <c r="V41" s="5">
        <f>S41/P41-M37*S41/P41^2+N37*$M$30/Q41*($G$30-T41/Q41)+O37*$O$30/R41*($I$30-U41/R41)</f>
        <v>3.2354608734274626</v>
      </c>
      <c r="W41" s="5">
        <f>T41/Q41-N37*T41/Q41^2+(M37*$N$30/P41)*($H$30-S41/P41)+(O37*$Q$30/R41)*($K$30-U41/R41)</f>
        <v>0.60491713955561033</v>
      </c>
      <c r="X41" s="5">
        <f>U41/R41-O37*U41/R41^2+M37*$P$30/P41*($J$30-S41/P41)+N37*$R$30/Q41*($L$30-T41/Q41)</f>
        <v>0.20425398408587803</v>
      </c>
      <c r="Y41" s="5">
        <f>EXP(V41)</f>
        <v>25.418083599115526</v>
      </c>
      <c r="Z41" s="5">
        <f t="shared" ref="Z41:AA41" si="20">EXP(W41)</f>
        <v>1.8311004768003363</v>
      </c>
      <c r="AA41" s="5">
        <f t="shared" si="20"/>
        <v>1.2266096532280479</v>
      </c>
      <c r="AB41" s="5">
        <f t="shared" ref="AB41:AD43" si="21">Y41/Y37</f>
        <v>24.231992138028506</v>
      </c>
      <c r="AC41" s="5">
        <f t="shared" si="21"/>
        <v>0.21788668599800959</v>
      </c>
      <c r="AD41" s="6">
        <f t="shared" si="21"/>
        <v>2.213033019574373E-3</v>
      </c>
    </row>
    <row r="42" spans="1:31" x14ac:dyDescent="0.25">
      <c r="P42" s="4">
        <f>M38+$N$30*N38+$P$30*O38</f>
        <v>0.12616581598340743</v>
      </c>
      <c r="Q42" s="5">
        <f>$M$30*M38+N38+$R$30*O38</f>
        <v>0.92548097118180761</v>
      </c>
      <c r="R42" s="5">
        <f>$O$30*M38+$Q$30*N38+O38</f>
        <v>0.88219213907887473</v>
      </c>
      <c r="S42" s="5">
        <f>N38*$H$30*$N$30+O38*$J$30*$P$30</f>
        <v>0.57636503322342336</v>
      </c>
      <c r="T42" s="5">
        <f>M38*$G$30*$M$30+O38*$L$30*$R$30</f>
        <v>0.17464705538617975</v>
      </c>
      <c r="U42" s="5">
        <f>M38*$I$30*$O$30+N38*$K$30*$Q$30</f>
        <v>0.11381332947984527</v>
      </c>
      <c r="V42" s="5">
        <f>S42/P42-M38*S42/P42^2+N38*$M$30/Q42*($G$30-T42/Q42)+O38*$O$30/R42*($I$30-U42/R42)</f>
        <v>4.7633990778246567</v>
      </c>
      <c r="W42" s="5">
        <f>T42/Q42-N38*T42/Q42^2+(M38*$N$30/P42)*($H$30-S42/P42)+(O38*$Q$30/R42)*($K$30-U42/R42)</f>
        <v>0.87782301412356689</v>
      </c>
      <c r="X42" s="5">
        <f>U42/R42-O38*U42/R42^2+M38*$P$30/P42*($J$30-S42/P42)+N38*$R$30/Q42*($L$30-T42/Q42)</f>
        <v>1.6313443678266887E-2</v>
      </c>
      <c r="Y42" s="5">
        <f>EXP(V42)</f>
        <v>117.14342957708011</v>
      </c>
      <c r="Z42" s="5">
        <f t="shared" ref="Z42:Z43" si="22">EXP(W42)</f>
        <v>2.4056569206127478</v>
      </c>
      <c r="AA42" s="5">
        <f t="shared" ref="AA42:AA43" si="23">EXP(X42)</f>
        <v>1.0164472344398234</v>
      </c>
      <c r="AB42" s="5">
        <f t="shared" si="21"/>
        <v>116.89429367245904</v>
      </c>
      <c r="AC42" s="5">
        <f t="shared" si="21"/>
        <v>0.14405352215900527</v>
      </c>
      <c r="AD42" s="6">
        <f t="shared" si="21"/>
        <v>6.3656329781250679E-4</v>
      </c>
    </row>
    <row r="43" spans="1:31" ht="15.75" thickBot="1" x14ac:dyDescent="0.3">
      <c r="P43" s="7">
        <f>M39+$N$30*N39+$P$30*O39</f>
        <v>9.6473561398608784E-2</v>
      </c>
      <c r="Q43" s="8">
        <f>$M$30*M39+N39+$R$30*O39</f>
        <v>0.91960331252684857</v>
      </c>
      <c r="R43" s="8">
        <f>$O$30*M39+$Q$30*N39+O39</f>
        <v>0.97119998956152487</v>
      </c>
      <c r="S43" s="8">
        <f>N39*$H$30*$N$30+O39*$J$30*$P$30</f>
        <v>0.53902048707846928</v>
      </c>
      <c r="T43" s="8">
        <f>M39*$G$30*$M$30+O39*$L$30*$R$30</f>
        <v>0.19123044523137783</v>
      </c>
      <c r="U43" s="8">
        <f>M39*$I$30*$O$30+N39*$K$30*$Q$30</f>
        <v>2.7352305944033831E-2</v>
      </c>
      <c r="V43" s="8">
        <f>S43/P43-M39*S43/P43^2+N39*$M$30/Q43*($G$30-T43/Q43)+O39*$O$30/R43*($I$30-U43/R43)</f>
        <v>5.8394835767147271</v>
      </c>
      <c r="W43" s="8">
        <f>T43/Q43-N39*T43/Q43^2+(M39*$N$30/P43)*($H$30-S43/P43)+(O39*$Q$30/R43)*($K$30-U43/R43)</f>
        <v>0.96747161488432387</v>
      </c>
      <c r="X43" s="8">
        <f>U43/R43-O39*U43/R43^2+M39*$P$30/P43*($J$30-S43/P43)+N39*$R$30/Q43*($L$30-T43/Q43)</f>
        <v>1.7567383439725324E-3</v>
      </c>
      <c r="Y43" s="8">
        <f>EXP(V43)</f>
        <v>343.60185084233461</v>
      </c>
      <c r="Z43" s="8">
        <f t="shared" si="22"/>
        <v>2.6312831445803697</v>
      </c>
      <c r="AA43" s="8">
        <f t="shared" si="23"/>
        <v>1.0017582823127611</v>
      </c>
      <c r="AB43" s="8">
        <f t="shared" si="21"/>
        <v>343.54620031422184</v>
      </c>
      <c r="AC43" s="8">
        <f t="shared" si="21"/>
        <v>0.13545018104244663</v>
      </c>
      <c r="AD43" s="9">
        <f t="shared" si="21"/>
        <v>4.9218602571046851E-4</v>
      </c>
    </row>
    <row r="45" spans="1:31" ht="15.75" thickBot="1" x14ac:dyDescent="0.3"/>
    <row r="46" spans="1:31" ht="15.75" thickBot="1" x14ac:dyDescent="0.3">
      <c r="H46" s="50" t="s">
        <v>61</v>
      </c>
      <c r="I46" s="38" t="s">
        <v>39</v>
      </c>
      <c r="J46" s="39" t="s">
        <v>40</v>
      </c>
      <c r="K46" s="40" t="s">
        <v>41</v>
      </c>
      <c r="L46" s="41"/>
      <c r="M46" s="38" t="s">
        <v>42</v>
      </c>
      <c r="N46" s="39" t="s">
        <v>43</v>
      </c>
      <c r="O46" s="40" t="s">
        <v>44</v>
      </c>
      <c r="P46" s="50" t="s">
        <v>61</v>
      </c>
    </row>
    <row r="47" spans="1:31" x14ac:dyDescent="0.25">
      <c r="H47" s="51">
        <f>SUM(I47:K47)</f>
        <v>0.9999938818298354</v>
      </c>
      <c r="I47" s="33">
        <f>M37*AB41</f>
        <v>0.89232682955038045</v>
      </c>
      <c r="J47" s="58">
        <f>N37*AC41</f>
        <v>0.10661841538261604</v>
      </c>
      <c r="K47" s="33">
        <f>O37*AD41</f>
        <v>1.0486368968388722E-3</v>
      </c>
      <c r="L47" s="33"/>
      <c r="M47" s="33">
        <f>I37*AB37</f>
        <v>3.6824583044489059E-2</v>
      </c>
      <c r="N47" s="33">
        <f>J37*AC37</f>
        <v>0.48932937916434727</v>
      </c>
      <c r="O47" s="33">
        <f>K37*AD37</f>
        <v>0.47384579574946573</v>
      </c>
      <c r="P47" s="51">
        <f>SUM(M47:O47)</f>
        <v>0.99999975795830209</v>
      </c>
    </row>
    <row r="48" spans="1:31" x14ac:dyDescent="0.25">
      <c r="H48" s="51">
        <f t="shared" ref="H48:H49" si="24">SUM(I48:K48)</f>
        <v>1.0000000000000009</v>
      </c>
      <c r="I48" s="33">
        <f t="shared" ref="I48:K48" si="25">M38*AB42</f>
        <v>0.97967221584109065</v>
      </c>
      <c r="J48" s="58">
        <f t="shared" si="25"/>
        <v>1.9783979936948703E-2</v>
      </c>
      <c r="K48" s="33">
        <f t="shared" si="25"/>
        <v>5.4380422196146315E-4</v>
      </c>
      <c r="M48" s="33">
        <f t="shared" ref="M48:O48" si="26">I38*AB38</f>
        <v>8.3808386625454784E-3</v>
      </c>
      <c r="N48" s="33">
        <f t="shared" si="26"/>
        <v>0.13733770365650128</v>
      </c>
      <c r="O48" s="33">
        <f t="shared" si="26"/>
        <v>0.8542814576809532</v>
      </c>
      <c r="P48" s="51">
        <f>SUM(M48:O48)</f>
        <v>1</v>
      </c>
    </row>
    <row r="49" spans="8:16" x14ac:dyDescent="0.25">
      <c r="H49" s="51">
        <f t="shared" si="24"/>
        <v>1.0000000000000002</v>
      </c>
      <c r="I49" s="33">
        <f t="shared" ref="I49:K49" si="27">M39*AB43</f>
        <v>0.99511334825773579</v>
      </c>
      <c r="J49" s="58">
        <f t="shared" si="27"/>
        <v>4.4119230064282085E-3</v>
      </c>
      <c r="K49" s="33">
        <f t="shared" si="27"/>
        <v>4.7472873583621645E-4</v>
      </c>
      <c r="M49" s="33">
        <f t="shared" ref="M49:O49" si="28">I39*AB39</f>
        <v>2.8965925029808596E-3</v>
      </c>
      <c r="N49" s="33">
        <f t="shared" si="28"/>
        <v>3.2572293166929209E-2</v>
      </c>
      <c r="O49" s="33">
        <f t="shared" si="28"/>
        <v>0.96453111433008987</v>
      </c>
      <c r="P49" s="51">
        <f t="shared" ref="P49" si="29">SUM(M49:O49)</f>
        <v>0.99999999999999989</v>
      </c>
    </row>
  </sheetData>
  <mergeCells count="5">
    <mergeCell ref="A30:E30"/>
    <mergeCell ref="A35:A36"/>
    <mergeCell ref="D35:D36"/>
    <mergeCell ref="E35:E36"/>
    <mergeCell ref="B36:C3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RTLM">
                <anchor moveWithCells="1" sizeWithCells="1">
                  <from>
                    <xdr:col>6</xdr:col>
                    <xdr:colOff>123825</xdr:colOff>
                    <xdr:row>40</xdr:row>
                    <xdr:rowOff>9525</xdr:rowOff>
                  </from>
                  <to>
                    <xdr:col>8</xdr:col>
                    <xdr:colOff>76200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4"/>
  <dimension ref="A1:AW54"/>
  <sheetViews>
    <sheetView topLeftCell="AC19" zoomScale="85" zoomScaleNormal="85" workbookViewId="0">
      <selection activeCell="AU23" sqref="AU23:AW24"/>
    </sheetView>
  </sheetViews>
  <sheetFormatPr defaultRowHeight="15" x14ac:dyDescent="0.25"/>
  <cols>
    <col min="20" max="21" width="12" bestFit="1" customWidth="1"/>
    <col min="22" max="23" width="12.140625" bestFit="1" customWidth="1"/>
    <col min="24" max="24" width="9.42578125" bestFit="1" customWidth="1"/>
  </cols>
  <sheetData>
    <row r="1" spans="1:48" ht="15.75" thickBot="1" x14ac:dyDescent="0.3">
      <c r="A1" s="5"/>
      <c r="B1" s="115"/>
      <c r="C1" s="115"/>
      <c r="D1" s="115"/>
      <c r="E1" s="15" t="s">
        <v>25</v>
      </c>
      <c r="H1" t="s">
        <v>31</v>
      </c>
      <c r="L1">
        <v>1</v>
      </c>
      <c r="M1">
        <v>2</v>
      </c>
      <c r="N1">
        <v>3</v>
      </c>
      <c r="O1">
        <v>4</v>
      </c>
      <c r="P1" s="18" t="s">
        <v>23</v>
      </c>
      <c r="S1" s="17" t="s">
        <v>27</v>
      </c>
      <c r="Z1" s="17" t="s">
        <v>28</v>
      </c>
    </row>
    <row r="2" spans="1:48" ht="15.75" thickBot="1" x14ac:dyDescent="0.3">
      <c r="A2" s="5"/>
      <c r="B2" s="5"/>
      <c r="C2" s="5"/>
      <c r="D2" s="5"/>
      <c r="E2" s="9" t="s">
        <v>32</v>
      </c>
      <c r="G2" s="16" t="s">
        <v>62</v>
      </c>
      <c r="H2" s="14" t="s">
        <v>63</v>
      </c>
      <c r="I2" s="15" t="s">
        <v>64</v>
      </c>
      <c r="K2" s="17" t="s">
        <v>19</v>
      </c>
      <c r="L2" s="1">
        <f>F$4*$G$4+E$4</f>
        <v>11.15559637957778</v>
      </c>
      <c r="M2" s="2">
        <f>-$F$5*$G$5</f>
        <v>-0.15358950176365377</v>
      </c>
      <c r="N2" s="2">
        <v>0</v>
      </c>
      <c r="O2" s="2">
        <v>0</v>
      </c>
      <c r="P2" s="11">
        <f>$E$3*$AQ$24</f>
        <v>8.75</v>
      </c>
      <c r="T2" s="1">
        <f t="array" ref="T2:W5">MINVERSE(L2:O5)</f>
        <v>9.1160623412487374E-2</v>
      </c>
      <c r="U2" s="2">
        <v>1.6848755644879234E-3</v>
      </c>
      <c r="V2" s="2">
        <v>4.7538081943701703E-6</v>
      </c>
      <c r="W2" s="3">
        <v>8.664574226413682E-9</v>
      </c>
      <c r="X2" s="5"/>
      <c r="Z2" s="53">
        <f t="array" ref="Z2:Z5">MMULT(T2:W5,P2:P5)</f>
        <v>0.79765545485926448</v>
      </c>
    </row>
    <row r="3" spans="1:48" x14ac:dyDescent="0.25">
      <c r="A3" s="5"/>
      <c r="B3" s="62"/>
      <c r="C3" s="62"/>
      <c r="D3" s="62"/>
      <c r="E3" s="114">
        <f>AP24</f>
        <v>25</v>
      </c>
      <c r="G3" s="85" t="s">
        <v>65</v>
      </c>
      <c r="H3" s="86" t="s">
        <v>65</v>
      </c>
      <c r="I3" s="87" t="s">
        <v>65</v>
      </c>
      <c r="L3" s="66">
        <f>-$E$4</f>
        <v>-10.060755142798662</v>
      </c>
      <c r="M3" s="5">
        <f>$F$5*$G$5+$E$5</f>
        <v>8.3330773754409702</v>
      </c>
      <c r="N3" s="5">
        <f>-$F$6*$G$6</f>
        <v>-2.2410109595175927E-2</v>
      </c>
      <c r="O3" s="5">
        <v>0</v>
      </c>
      <c r="P3" s="12">
        <v>0</v>
      </c>
      <c r="T3" s="4">
        <v>0.11036640073539894</v>
      </c>
      <c r="U3" s="5">
        <v>0.1223768000508514</v>
      </c>
      <c r="V3" s="5">
        <v>3.4528118701712413E-4</v>
      </c>
      <c r="W3" s="6">
        <v>6.2933007634534295E-7</v>
      </c>
      <c r="X3" s="5"/>
      <c r="Z3" s="54">
        <v>0.96570600643474069</v>
      </c>
      <c r="AV3" s="25"/>
    </row>
    <row r="4" spans="1:48" x14ac:dyDescent="0.25">
      <c r="A4" s="5"/>
      <c r="B4" s="62"/>
      <c r="C4" s="62"/>
      <c r="D4" s="62"/>
      <c r="E4" s="24">
        <f>AQ29</f>
        <v>10.060755142798662</v>
      </c>
      <c r="F4" s="24">
        <f t="shared" ref="F4:I4" si="0">AR29</f>
        <v>24.114499255291811</v>
      </c>
      <c r="G4" s="24">
        <f t="shared" si="0"/>
        <v>4.5401781939919811E-2</v>
      </c>
      <c r="H4" s="24">
        <f t="shared" si="0"/>
        <v>3.3607825281983614</v>
      </c>
      <c r="I4" s="24">
        <f t="shared" si="0"/>
        <v>152.76345345978643</v>
      </c>
      <c r="L4" s="4">
        <v>0</v>
      </c>
      <c r="M4" s="68">
        <f>-$E$5</f>
        <v>-8.1794878736773171</v>
      </c>
      <c r="N4" s="5">
        <f>$F$6*$G$6+$E$6</f>
        <v>7.9571989602300714</v>
      </c>
      <c r="O4" s="5">
        <f>-$F$7*$G$7</f>
        <v>-1.4398827935348038E-2</v>
      </c>
      <c r="P4" s="12">
        <v>0</v>
      </c>
      <c r="T4" s="4">
        <v>0.11365612239746531</v>
      </c>
      <c r="U4" s="5">
        <v>0.12602451898867234</v>
      </c>
      <c r="V4" s="5">
        <v>0.12625676529790303</v>
      </c>
      <c r="W4" s="6">
        <v>2.3012310757639014E-4</v>
      </c>
      <c r="X4" s="5"/>
      <c r="Z4" s="54">
        <v>0.99449107097782141</v>
      </c>
      <c r="AV4" s="25"/>
    </row>
    <row r="5" spans="1:48" ht="15.75" thickBot="1" x14ac:dyDescent="0.3">
      <c r="A5" s="5"/>
      <c r="B5" s="62"/>
      <c r="C5" s="62"/>
      <c r="D5" s="62"/>
      <c r="E5" s="24">
        <f t="shared" ref="E5:E7" si="1">AQ30</f>
        <v>8.1794878736773171</v>
      </c>
      <c r="F5" s="24">
        <f t="shared" ref="F5:F7" si="2">AR30</f>
        <v>9.1752543980904733</v>
      </c>
      <c r="G5" s="24">
        <f t="shared" ref="G5:G7" si="3">AS30</f>
        <v>1.6739536049879811E-2</v>
      </c>
      <c r="H5" s="24">
        <f t="shared" ref="H5:H7" si="4">AT30</f>
        <v>6.5083325560302834</v>
      </c>
      <c r="I5" s="24">
        <f t="shared" ref="I5:I7" si="5">AU30</f>
        <v>1252.9331385640228</v>
      </c>
      <c r="L5" s="4">
        <v>0</v>
      </c>
      <c r="M5" s="5">
        <v>0</v>
      </c>
      <c r="N5" s="68">
        <f>-$E$6</f>
        <v>-7.9347888506348951</v>
      </c>
      <c r="O5" s="5">
        <f>$F$7*$G$7+$E$7</f>
        <v>7.8998995726435348</v>
      </c>
      <c r="P5" s="12">
        <f>$F$8*$AQ$25</f>
        <v>0</v>
      </c>
      <c r="T5" s="7">
        <v>0.114158075620197</v>
      </c>
      <c r="U5" s="8">
        <v>0.12658109625098959</v>
      </c>
      <c r="V5" s="8">
        <v>0.12681436825756878</v>
      </c>
      <c r="W5" s="9">
        <v>0.12681502708432921</v>
      </c>
      <c r="X5" s="5"/>
      <c r="Z5" s="54">
        <v>0.99888316167672375</v>
      </c>
      <c r="AV5" s="33"/>
    </row>
    <row r="6" spans="1:48" x14ac:dyDescent="0.25">
      <c r="A6" s="5"/>
      <c r="B6" s="62"/>
      <c r="C6" s="62"/>
      <c r="D6" s="62"/>
      <c r="E6" s="24">
        <f t="shared" si="1"/>
        <v>7.9347888506348951</v>
      </c>
      <c r="F6" s="24">
        <f t="shared" si="2"/>
        <v>7.29398712896913</v>
      </c>
      <c r="G6" s="24">
        <f t="shared" si="3"/>
        <v>3.072408711302892E-3</v>
      </c>
      <c r="H6" s="24">
        <f t="shared" si="4"/>
        <v>7.3658525072733818</v>
      </c>
      <c r="I6" s="24">
        <f t="shared" si="5"/>
        <v>2010.5195015240909</v>
      </c>
      <c r="L6" s="5"/>
      <c r="M6" s="5"/>
      <c r="N6" s="5"/>
      <c r="O6" s="68"/>
      <c r="P6" s="5"/>
      <c r="T6" s="5"/>
      <c r="U6" s="5"/>
      <c r="V6" s="5"/>
      <c r="W6" s="5"/>
      <c r="X6" s="5"/>
      <c r="Z6" s="54"/>
      <c r="AA6" s="5"/>
      <c r="AB6" s="5"/>
      <c r="AC6" s="5"/>
      <c r="AD6" s="5"/>
      <c r="AS6" s="5"/>
      <c r="AV6" s="33"/>
    </row>
    <row r="7" spans="1:48" ht="15.75" thickBot="1" x14ac:dyDescent="0.3">
      <c r="A7" s="5"/>
      <c r="B7" s="62"/>
      <c r="C7" s="62"/>
      <c r="D7" s="62"/>
      <c r="E7" s="24">
        <f t="shared" si="1"/>
        <v>7.8855007447081871</v>
      </c>
      <c r="F7" s="24">
        <f t="shared" si="2"/>
        <v>7.0492881059267081</v>
      </c>
      <c r="G7" s="24">
        <f t="shared" si="3"/>
        <v>2.0425931979205368E-3</v>
      </c>
      <c r="H7" s="24">
        <f t="shared" si="4"/>
        <v>7.4841980082405328</v>
      </c>
      <c r="I7" s="24">
        <f t="shared" si="5"/>
        <v>2165.810217385465</v>
      </c>
      <c r="L7" s="5"/>
      <c r="M7" s="5"/>
      <c r="N7" s="5"/>
      <c r="O7" s="5"/>
      <c r="P7" s="5"/>
      <c r="AU7" s="33"/>
      <c r="AV7" s="33"/>
    </row>
    <row r="8" spans="1:48" ht="15.75" thickBot="1" x14ac:dyDescent="0.3">
      <c r="A8" s="5"/>
      <c r="B8" s="62"/>
      <c r="C8" s="62"/>
      <c r="D8" s="62"/>
      <c r="E8" s="24"/>
      <c r="F8" s="89">
        <f>AP25</f>
        <v>7</v>
      </c>
      <c r="G8" s="66"/>
      <c r="H8" s="66"/>
      <c r="I8" s="66"/>
      <c r="L8">
        <v>1</v>
      </c>
      <c r="M8">
        <v>2</v>
      </c>
      <c r="N8">
        <v>3</v>
      </c>
      <c r="O8">
        <v>4</v>
      </c>
      <c r="P8" s="17" t="s">
        <v>22</v>
      </c>
      <c r="S8" s="17" t="s">
        <v>27</v>
      </c>
      <c r="Z8" s="17" t="s">
        <v>29</v>
      </c>
    </row>
    <row r="9" spans="1:48" ht="15.75" thickBot="1" x14ac:dyDescent="0.3">
      <c r="A9" s="5"/>
      <c r="B9" s="62"/>
      <c r="C9" s="62"/>
      <c r="D9" s="62"/>
      <c r="K9" s="17" t="s">
        <v>20</v>
      </c>
      <c r="L9" s="1">
        <f>F$4*$H$4+E$4</f>
        <v>91.104342916235765</v>
      </c>
      <c r="M9" s="2">
        <f>-$F$5*$H$5</f>
        <v>-59.715606908952267</v>
      </c>
      <c r="N9" s="2">
        <v>0</v>
      </c>
      <c r="O9" s="2">
        <v>0</v>
      </c>
      <c r="P9" s="11">
        <f>$E$3*$AR$24</f>
        <v>16.25</v>
      </c>
      <c r="T9" s="1">
        <f t="array" ref="T9:W12">MINVERSE(L9:O12)</f>
        <v>1.2335097246779706E-2</v>
      </c>
      <c r="U9" s="2">
        <v>1.2303343806586367E-2</v>
      </c>
      <c r="V9" s="2">
        <v>1.2071522941774736E-2</v>
      </c>
      <c r="W9" s="3">
        <v>1.0501864506711431E-2</v>
      </c>
      <c r="X9" s="5"/>
      <c r="Z9" s="53">
        <f t="array" ref="Z9:Z12">MMULT(T9:W12,P9:P12)</f>
        <v>0.20044533026017022</v>
      </c>
    </row>
    <row r="10" spans="1:48" x14ac:dyDescent="0.25">
      <c r="A10" s="5"/>
      <c r="B10" s="62"/>
      <c r="C10" s="62"/>
      <c r="D10" s="62"/>
      <c r="L10" s="66">
        <f>-$E$4</f>
        <v>-10.060755142798662</v>
      </c>
      <c r="M10" s="5">
        <f>$F$5*$H$5+$E$5</f>
        <v>67.895094782629585</v>
      </c>
      <c r="N10" s="5">
        <f>-$F$6*$H$6</f>
        <v>-53.726433381937042</v>
      </c>
      <c r="O10" s="5">
        <v>0</v>
      </c>
      <c r="P10" s="12">
        <v>0</v>
      </c>
      <c r="T10" s="4">
        <v>2.0728405166250976E-3</v>
      </c>
      <c r="U10" s="5">
        <v>1.8770437264090705E-2</v>
      </c>
      <c r="V10" s="5">
        <v>1.8416762761625401E-2</v>
      </c>
      <c r="W10" s="6">
        <v>1.6022033682719716E-2</v>
      </c>
      <c r="X10" s="5"/>
      <c r="Z10" s="54">
        <v>3.3683658395157835E-2</v>
      </c>
    </row>
    <row r="11" spans="1:48" x14ac:dyDescent="0.25">
      <c r="A11" s="5"/>
      <c r="B11" s="62"/>
      <c r="C11" s="62"/>
      <c r="D11" s="62"/>
      <c r="L11" s="4">
        <v>0</v>
      </c>
      <c r="M11" s="68">
        <f>-$E$5</f>
        <v>-8.1794878736773171</v>
      </c>
      <c r="N11" s="5">
        <f>$F$6*$H$6+$E$6</f>
        <v>61.661222232571937</v>
      </c>
      <c r="O11" s="5">
        <f>-$F$7*$H$7</f>
        <v>-52.75826800189035</v>
      </c>
      <c r="P11" s="12">
        <v>0</v>
      </c>
      <c r="T11" s="4">
        <v>3.0962990163177658E-4</v>
      </c>
      <c r="U11" s="5">
        <v>2.8038281754201155E-3</v>
      </c>
      <c r="V11" s="5">
        <v>2.1013105574051491E-2</v>
      </c>
      <c r="W11" s="6">
        <v>1.8280774403388406E-2</v>
      </c>
      <c r="X11" s="5"/>
      <c r="Z11" s="54">
        <v>5.031485901516369E-3</v>
      </c>
    </row>
    <row r="12" spans="1:48" ht="15.75" thickBot="1" x14ac:dyDescent="0.3">
      <c r="A12" s="5"/>
      <c r="B12" s="62"/>
      <c r="C12" s="62"/>
      <c r="D12" s="62"/>
      <c r="L12" s="4">
        <v>0</v>
      </c>
      <c r="M12" s="5">
        <v>0</v>
      </c>
      <c r="N12" s="5">
        <f>-$E$6</f>
        <v>-7.9347888506348951</v>
      </c>
      <c r="O12" s="5">
        <f>$F$7*$H$7+$E$7</f>
        <v>60.643768746598539</v>
      </c>
      <c r="P12" s="12">
        <f>$F$8*$AR$25</f>
        <v>0</v>
      </c>
      <c r="T12" s="7">
        <v>4.0512783787514893E-5</v>
      </c>
      <c r="U12" s="8">
        <v>3.6686019034177147E-4</v>
      </c>
      <c r="V12" s="8">
        <v>2.7494095316355112E-3</v>
      </c>
      <c r="W12" s="9">
        <v>1.8881644537984014E-2</v>
      </c>
      <c r="X12" s="5"/>
      <c r="Z12" s="54">
        <v>6.58332736547117E-4</v>
      </c>
    </row>
    <row r="13" spans="1:48" x14ac:dyDescent="0.25">
      <c r="A13" s="5"/>
      <c r="B13" s="62"/>
      <c r="C13" s="62"/>
      <c r="D13" s="62"/>
      <c r="H13" s="58"/>
      <c r="L13" s="5"/>
      <c r="M13" s="5"/>
      <c r="N13" s="5"/>
      <c r="O13" s="68"/>
      <c r="P13" s="5"/>
      <c r="T13" s="5"/>
      <c r="U13" s="5"/>
      <c r="V13" s="5"/>
      <c r="W13" s="5"/>
      <c r="X13" s="5"/>
      <c r="AA13" s="5"/>
      <c r="AB13" s="5"/>
      <c r="AC13" s="5"/>
      <c r="AD13" s="5"/>
      <c r="AS13" s="5"/>
    </row>
    <row r="14" spans="1:48" ht="15.75" thickBot="1" x14ac:dyDescent="0.3">
      <c r="A14" s="5"/>
      <c r="B14" s="62"/>
      <c r="C14" s="62"/>
      <c r="D14" s="62"/>
      <c r="F14" t="s">
        <v>65</v>
      </c>
      <c r="G14" t="s">
        <v>65</v>
      </c>
      <c r="H14" t="s">
        <v>65</v>
      </c>
      <c r="L14" s="5"/>
      <c r="M14" s="5"/>
      <c r="N14" s="5"/>
      <c r="O14" s="5"/>
      <c r="P14" s="5"/>
    </row>
    <row r="15" spans="1:48" ht="15.75" thickBot="1" x14ac:dyDescent="0.3">
      <c r="L15">
        <v>1</v>
      </c>
      <c r="M15">
        <v>2</v>
      </c>
      <c r="N15">
        <v>3</v>
      </c>
      <c r="O15">
        <v>4</v>
      </c>
      <c r="P15" s="17" t="s">
        <v>24</v>
      </c>
      <c r="S15" s="17" t="s">
        <v>27</v>
      </c>
      <c r="Z15" s="17" t="s">
        <v>30</v>
      </c>
    </row>
    <row r="16" spans="1:48" ht="15.75" thickBot="1" x14ac:dyDescent="0.3">
      <c r="B16" t="s">
        <v>3</v>
      </c>
      <c r="C16" t="s">
        <v>66</v>
      </c>
      <c r="D16" t="s">
        <v>67</v>
      </c>
      <c r="K16" s="17" t="s">
        <v>21</v>
      </c>
      <c r="L16" s="1">
        <f>F$4*$I$4+E$4</f>
        <v>3693.874939834624</v>
      </c>
      <c r="M16" s="2">
        <f>-$F$5*$I$5</f>
        <v>-11495.98029012285</v>
      </c>
      <c r="N16" s="2">
        <v>0</v>
      </c>
      <c r="O16" s="2">
        <v>0</v>
      </c>
      <c r="P16" s="11">
        <f>$E$3*$AS$24</f>
        <v>0</v>
      </c>
      <c r="T16" s="1">
        <f t="array" ref="T16:W19">MINVERSE(L16:O19)</f>
        <v>2.7145777443253797E-4</v>
      </c>
      <c r="U16" s="2">
        <v>2.7145777437858888E-4</v>
      </c>
      <c r="V16" s="2">
        <v>2.7145769855512495E-4</v>
      </c>
      <c r="W16" s="3">
        <v>2.7131756519705455E-4</v>
      </c>
      <c r="X16" s="5"/>
      <c r="Z16" s="53">
        <f t="array" ref="Z16:Z19">MMULT(T16:W19,P16:P19)</f>
        <v>1.8992229563793818E-3</v>
      </c>
    </row>
    <row r="17" spans="1:49" x14ac:dyDescent="0.25">
      <c r="L17" s="66">
        <f>-$E$4</f>
        <v>-10.060755142798662</v>
      </c>
      <c r="M17" s="5">
        <f>$F$5*$I$5+$E$5</f>
        <v>11504.159777996527</v>
      </c>
      <c r="N17" s="5">
        <f>-$F$6*$I$6</f>
        <v>-14664.70336665815</v>
      </c>
      <c r="O17" s="5">
        <v>0</v>
      </c>
      <c r="P17" s="12">
        <v>0</v>
      </c>
      <c r="T17" s="4">
        <v>2.3756740449342595E-7</v>
      </c>
      <c r="U17" s="5">
        <v>8.7224494535875321E-5</v>
      </c>
      <c r="V17" s="5">
        <v>8.7224470172368585E-5</v>
      </c>
      <c r="W17" s="6">
        <v>8.7179442685669087E-5</v>
      </c>
      <c r="X17" s="5"/>
      <c r="Z17" s="54">
        <v>6.102560987996836E-4</v>
      </c>
    </row>
    <row r="18" spans="1:49" x14ac:dyDescent="0.25">
      <c r="L18" s="4">
        <v>0</v>
      </c>
      <c r="M18" s="68">
        <f>-$E$5</f>
        <v>-8.1794878736773171</v>
      </c>
      <c r="N18" s="5">
        <f>$F$6*$I$6+$E$6</f>
        <v>14672.638155508785</v>
      </c>
      <c r="O18" s="5">
        <f>-$F$7*$I$7</f>
        <v>-15267.420205109896</v>
      </c>
      <c r="P18" s="12">
        <v>0</v>
      </c>
      <c r="T18" s="4">
        <v>1.325072258798581E-10</v>
      </c>
      <c r="U18" s="5">
        <v>4.865093266631835E-8</v>
      </c>
      <c r="V18" s="5">
        <v>6.8239578186931731E-5</v>
      </c>
      <c r="W18" s="6">
        <v>6.8204351183624986E-5</v>
      </c>
      <c r="X18" s="5"/>
      <c r="Z18" s="54">
        <v>4.7743045828537491E-4</v>
      </c>
    </row>
    <row r="19" spans="1:49" ht="15.75" thickBot="1" x14ac:dyDescent="0.3">
      <c r="L19" s="4">
        <v>0</v>
      </c>
      <c r="M19" s="5">
        <v>0</v>
      </c>
      <c r="N19" s="5">
        <f>-$E$6</f>
        <v>-7.9347888506348951</v>
      </c>
      <c r="O19" s="5">
        <f>$F$7*$I$7+$E$7</f>
        <v>15275.305705854604</v>
      </c>
      <c r="P19" s="12">
        <f>$F$8*$AS$25</f>
        <v>7</v>
      </c>
      <c r="T19" s="7">
        <v>6.8831150013389169E-14</v>
      </c>
      <c r="U19" s="8">
        <v>2.5271826667647992E-11</v>
      </c>
      <c r="V19" s="8">
        <v>3.54471887238345E-8</v>
      </c>
      <c r="W19" s="9">
        <v>6.5500567150145918E-5</v>
      </c>
      <c r="X19" s="5"/>
      <c r="Z19" s="54">
        <v>4.5850397005102141E-4</v>
      </c>
    </row>
    <row r="20" spans="1:49" x14ac:dyDescent="0.25">
      <c r="L20" s="5"/>
      <c r="M20" s="5"/>
      <c r="N20" s="5"/>
      <c r="O20" s="68"/>
      <c r="P20" s="5"/>
      <c r="T20" s="5"/>
      <c r="U20" s="5"/>
      <c r="V20" s="5"/>
      <c r="W20" s="5"/>
      <c r="X20" s="5"/>
      <c r="AA20" s="5"/>
      <c r="AB20" s="5"/>
      <c r="AC20" s="5"/>
      <c r="AD20" s="5"/>
      <c r="AS20" s="5"/>
    </row>
    <row r="21" spans="1:49" x14ac:dyDescent="0.25">
      <c r="L21" s="5"/>
      <c r="M21" s="5"/>
      <c r="N21" s="5"/>
      <c r="O21" s="5"/>
      <c r="P21" s="5"/>
    </row>
    <row r="22" spans="1:49" ht="15.75" thickBot="1" x14ac:dyDescent="0.3"/>
    <row r="23" spans="1:49" ht="15.75" thickBot="1" x14ac:dyDescent="0.3">
      <c r="Y23" s="5"/>
      <c r="Z23" s="5"/>
      <c r="AA23" s="5"/>
      <c r="AB23" s="5"/>
      <c r="AC23" s="5"/>
      <c r="AD23" s="5"/>
      <c r="AE23" s="52"/>
      <c r="AF23" s="5"/>
      <c r="AG23" s="5"/>
      <c r="AH23" s="5"/>
      <c r="AI23" s="5"/>
      <c r="AJ23" s="5"/>
      <c r="AK23" s="5"/>
      <c r="AL23" s="5"/>
      <c r="AO23" s="18"/>
      <c r="AP23" s="19" t="s">
        <v>25</v>
      </c>
      <c r="AQ23" s="93" t="s">
        <v>28</v>
      </c>
      <c r="AR23" s="93" t="s">
        <v>29</v>
      </c>
      <c r="AS23" s="22" t="s">
        <v>30</v>
      </c>
      <c r="AU23" t="s">
        <v>120</v>
      </c>
      <c r="AV23" t="s">
        <v>116</v>
      </c>
      <c r="AW23" t="s">
        <v>121</v>
      </c>
    </row>
    <row r="24" spans="1:49" ht="15.75" thickBot="1" x14ac:dyDescent="0.3">
      <c r="G24" s="28" t="s">
        <v>79</v>
      </c>
      <c r="H24" s="29" t="s">
        <v>80</v>
      </c>
      <c r="I24" s="29" t="s">
        <v>81</v>
      </c>
      <c r="J24" s="29" t="s">
        <v>82</v>
      </c>
      <c r="K24" s="29" t="s">
        <v>83</v>
      </c>
      <c r="L24" s="29" t="s">
        <v>84</v>
      </c>
      <c r="M24" s="29" t="s">
        <v>85</v>
      </c>
      <c r="N24" s="29" t="s">
        <v>86</v>
      </c>
      <c r="O24" s="29" t="s">
        <v>87</v>
      </c>
      <c r="P24" s="29" t="s">
        <v>88</v>
      </c>
      <c r="Q24" s="29" t="s">
        <v>89</v>
      </c>
      <c r="R24" s="30" t="s">
        <v>90</v>
      </c>
      <c r="Y24" s="52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O24" s="91" t="s">
        <v>7</v>
      </c>
      <c r="AP24" s="1">
        <v>25</v>
      </c>
      <c r="AQ24" s="2">
        <v>0.35</v>
      </c>
      <c r="AR24" s="2">
        <v>0.65</v>
      </c>
      <c r="AS24" s="3">
        <v>0</v>
      </c>
      <c r="AU24">
        <f>AM29*AR29/AP24/AQ24</f>
        <v>9.9806409682483041E-2</v>
      </c>
      <c r="AV24">
        <f>AN29*AR29/AP24/AR24</f>
        <v>0.9996804952484204</v>
      </c>
      <c r="AW24">
        <f>AQ32*AK32/AR33</f>
        <v>5.1650477122133786E-4</v>
      </c>
    </row>
    <row r="25" spans="1:49" ht="15.75" thickBot="1" x14ac:dyDescent="0.3">
      <c r="G25">
        <f>B31/$B$39/$B$40</f>
        <v>2.1071800296631609</v>
      </c>
      <c r="H25">
        <f>C31/$B$39/$B$40</f>
        <v>2.8350922655412045</v>
      </c>
      <c r="I25">
        <f>B32/$B$39/$B$40</f>
        <v>7.2849444468829168</v>
      </c>
      <c r="J25">
        <f>C32/$B$39/$B$40</f>
        <v>6.1290709297054313</v>
      </c>
      <c r="K25">
        <f>B33/$B$39/$B$40</f>
        <v>4.0246507210259157</v>
      </c>
      <c r="L25">
        <f>C33/$B$39/$B$40</f>
        <v>0.21292207917654202</v>
      </c>
      <c r="M25">
        <f>EXP(-$E$31*G25)</f>
        <v>0.43047242445194145</v>
      </c>
      <c r="N25">
        <f t="shared" ref="N25:R25" si="6">EXP(-$E$31*H25)</f>
        <v>0.32173183009668638</v>
      </c>
      <c r="O25">
        <f t="shared" si="6"/>
        <v>5.425946787469077E-2</v>
      </c>
      <c r="P25">
        <f t="shared" si="6"/>
        <v>8.6153182795249569E-2</v>
      </c>
      <c r="Q25">
        <f t="shared" si="6"/>
        <v>0.19991554264238187</v>
      </c>
      <c r="R25">
        <f t="shared" si="6"/>
        <v>0.91835722352796123</v>
      </c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O25" s="92" t="s">
        <v>18</v>
      </c>
      <c r="AP25" s="109">
        <v>7</v>
      </c>
      <c r="AQ25" s="8">
        <v>0</v>
      </c>
      <c r="AR25" s="8">
        <v>0</v>
      </c>
      <c r="AS25" s="9">
        <v>1</v>
      </c>
    </row>
    <row r="26" spans="1:49" ht="15.75" thickBot="1" x14ac:dyDescent="0.3"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</row>
    <row r="27" spans="1:49" ht="15.75" thickBot="1" x14ac:dyDescent="0.3"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Q27" s="19" t="s">
        <v>74</v>
      </c>
      <c r="AR27" s="22" t="s">
        <v>75</v>
      </c>
    </row>
    <row r="28" spans="1:49" ht="15.75" thickBot="1" x14ac:dyDescent="0.3">
      <c r="Y28" s="5"/>
      <c r="Z28" s="5"/>
      <c r="AA28" s="5"/>
      <c r="AB28" s="5"/>
      <c r="AC28" s="52" t="s">
        <v>112</v>
      </c>
      <c r="AD28" s="52" t="s">
        <v>113</v>
      </c>
      <c r="AE28" s="52" t="s">
        <v>114</v>
      </c>
      <c r="AF28" s="94" t="s">
        <v>115</v>
      </c>
      <c r="AG28" s="5"/>
      <c r="AH28" s="17" t="s">
        <v>6</v>
      </c>
      <c r="AI28" s="95" t="s">
        <v>68</v>
      </c>
      <c r="AJ28" s="96" t="s">
        <v>69</v>
      </c>
      <c r="AK28" s="96" t="s">
        <v>70</v>
      </c>
      <c r="AL28" s="97" t="s">
        <v>76</v>
      </c>
      <c r="AM28" s="95" t="s">
        <v>71</v>
      </c>
      <c r="AN28" s="96" t="s">
        <v>72</v>
      </c>
      <c r="AO28" s="96" t="s">
        <v>73</v>
      </c>
      <c r="AP28" s="101" t="s">
        <v>77</v>
      </c>
      <c r="AQ28" s="95">
        <f>AP24</f>
        <v>25</v>
      </c>
      <c r="AR28" s="3"/>
      <c r="AS28" s="93" t="s">
        <v>62</v>
      </c>
      <c r="AT28" s="93" t="s">
        <v>63</v>
      </c>
      <c r="AU28" s="22" t="s">
        <v>64</v>
      </c>
    </row>
    <row r="29" spans="1:49" ht="15.75" thickBot="1" x14ac:dyDescent="0.3">
      <c r="AC29" s="33">
        <f>SUM(AD29:AF29)</f>
        <v>1.000000008075814</v>
      </c>
      <c r="AD29" s="72">
        <f>Z2</f>
        <v>0.79765545485926448</v>
      </c>
      <c r="AE29" s="73">
        <f>Z9</f>
        <v>0.20044533026017022</v>
      </c>
      <c r="AF29" s="74">
        <f>Z16</f>
        <v>1.8992229563793818E-3</v>
      </c>
      <c r="AH29" s="98">
        <v>1</v>
      </c>
      <c r="AI29" s="72">
        <v>0.79765545485926448</v>
      </c>
      <c r="AJ29" s="73">
        <v>0.2004453220062308</v>
      </c>
      <c r="AK29" s="73">
        <v>1.8992231345046917E-3</v>
      </c>
      <c r="AL29" s="82">
        <v>1</v>
      </c>
      <c r="AM29" s="73">
        <v>3.6214979024707876E-2</v>
      </c>
      <c r="AN29" s="73">
        <v>0.67365313605763499</v>
      </c>
      <c r="AO29" s="74">
        <v>0.29013188491765718</v>
      </c>
      <c r="AP29" s="55">
        <f>SUM(AM29:AO29)</f>
        <v>1</v>
      </c>
      <c r="AQ29" s="102">
        <f t="shared" ref="AQ29:AQ30" si="7">(AR31*(AM30-AM31)+AQ30*(AI30-AM30))/(AI29-AM30)</f>
        <v>10.060755142798662</v>
      </c>
      <c r="AR29" s="6">
        <f>AQ28+AR33-AQ32</f>
        <v>24.114499255291811</v>
      </c>
      <c r="AS29" s="1">
        <f>AM29/AI29</f>
        <v>4.5401781939919811E-2</v>
      </c>
      <c r="AT29" s="2">
        <f t="shared" ref="AT29:AU32" si="8">AN29/AJ29</f>
        <v>3.3607825281983614</v>
      </c>
      <c r="AU29" s="3">
        <f t="shared" si="8"/>
        <v>152.76345345978643</v>
      </c>
    </row>
    <row r="30" spans="1:49" ht="15.75" thickBot="1" x14ac:dyDescent="0.3">
      <c r="A30" s="136" t="s">
        <v>78</v>
      </c>
      <c r="B30" s="136"/>
      <c r="C30" s="136"/>
      <c r="D30" s="136"/>
      <c r="E30" s="136"/>
      <c r="J30" s="33">
        <f>J37</f>
        <v>0.2004453220062308</v>
      </c>
      <c r="K30" s="33">
        <f>(K37+K50)/2</f>
        <v>1.8992232729437672E-3</v>
      </c>
      <c r="L30" s="33">
        <f>SUM(I37:K37)</f>
        <v>1</v>
      </c>
      <c r="M30" s="33">
        <f t="shared" ref="M30:N33" si="9">(M37+M50)/2</f>
        <v>3.6214976963045376E-2</v>
      </c>
      <c r="N30" s="33">
        <f t="shared" si="9"/>
        <v>0.67365302793111637</v>
      </c>
      <c r="T30" s="25"/>
      <c r="U30" s="25"/>
      <c r="V30" s="25"/>
      <c r="W30" s="25"/>
      <c r="X30" s="25"/>
      <c r="Y30" s="25"/>
      <c r="Z30" s="25"/>
      <c r="AC30" s="33">
        <f t="shared" ref="AC30:AC32" si="10">SUM(AD30:AF30)</f>
        <v>0.99999992092869827</v>
      </c>
      <c r="AD30" s="72">
        <f>Z3</f>
        <v>0.96570600643474069</v>
      </c>
      <c r="AE30" s="73">
        <f>Z10</f>
        <v>3.3683658395157835E-2</v>
      </c>
      <c r="AF30" s="74">
        <f>Z17</f>
        <v>6.102560987996836E-4</v>
      </c>
      <c r="AH30" s="99">
        <v>2</v>
      </c>
      <c r="AI30" s="75">
        <v>0.96570600643474047</v>
      </c>
      <c r="AJ30" s="76">
        <v>3.3683737887557873E-2</v>
      </c>
      <c r="AK30" s="76">
        <v>6.1025567770170864E-4</v>
      </c>
      <c r="AL30" s="83">
        <v>1</v>
      </c>
      <c r="AM30" s="76">
        <v>1.6165470508299803E-2</v>
      </c>
      <c r="AN30" s="76">
        <v>0.21922496790238363</v>
      </c>
      <c r="AO30" s="77">
        <v>0.76460956158931659</v>
      </c>
      <c r="AP30" s="56">
        <f t="shared" ref="AP30:AP32" si="11">SUM(AM30:AO30)</f>
        <v>1</v>
      </c>
      <c r="AQ30" s="102">
        <f t="shared" si="7"/>
        <v>8.1794878736773171</v>
      </c>
      <c r="AR30" s="6">
        <f t="shared" ref="AR30:AR31" si="12">AR31+AQ29-AQ30</f>
        <v>9.1752543980904733</v>
      </c>
      <c r="AS30" s="4">
        <f t="shared" ref="AS30:AS32" si="13">AM30/AI30</f>
        <v>1.6739536049879811E-2</v>
      </c>
      <c r="AT30" s="5">
        <f t="shared" si="8"/>
        <v>6.5083325560302834</v>
      </c>
      <c r="AU30" s="6">
        <f t="shared" si="8"/>
        <v>1252.9331385640228</v>
      </c>
    </row>
    <row r="31" spans="1:49" ht="15.75" thickBot="1" x14ac:dyDescent="0.3">
      <c r="A31" s="26" t="s">
        <v>33</v>
      </c>
      <c r="B31" s="27">
        <v>5.5736999999999997</v>
      </c>
      <c r="C31" s="27">
        <v>7.4991000000000003</v>
      </c>
      <c r="D31" s="26">
        <v>6.4999999999999997E-3</v>
      </c>
      <c r="E31" s="26">
        <v>0.4</v>
      </c>
      <c r="J31" s="33">
        <f t="shared" ref="J31:J33" si="14">J38</f>
        <v>3.3683737887557873E-2</v>
      </c>
      <c r="K31" s="33">
        <f t="shared" ref="K31:K33" si="15">(K38+K51)/2</f>
        <v>6.1025568372044959E-4</v>
      </c>
      <c r="L31" s="33">
        <f t="shared" ref="L31:L33" si="16">SUM(I38:K38)</f>
        <v>1</v>
      </c>
      <c r="M31" s="33">
        <f t="shared" si="9"/>
        <v>1.616545777321466E-2</v>
      </c>
      <c r="N31" s="33">
        <f t="shared" si="9"/>
        <v>0.21922496406128877</v>
      </c>
      <c r="T31" s="25"/>
      <c r="U31" s="25"/>
      <c r="V31" s="25"/>
      <c r="W31" s="25"/>
      <c r="X31" s="25"/>
      <c r="Y31" s="25"/>
      <c r="Z31" s="25"/>
      <c r="AC31" s="33">
        <f t="shared" si="10"/>
        <v>0.99999998733762319</v>
      </c>
      <c r="AD31" s="72">
        <f>Z4</f>
        <v>0.99449107097782141</v>
      </c>
      <c r="AE31" s="73">
        <f>Z11</f>
        <v>5.031485901516369E-3</v>
      </c>
      <c r="AF31" s="74">
        <f>Z18</f>
        <v>4.7743045828537491E-4</v>
      </c>
      <c r="AH31" s="99">
        <v>3</v>
      </c>
      <c r="AI31" s="75">
        <v>0.99449107097782119</v>
      </c>
      <c r="AJ31" s="76">
        <v>5.0314985670616517E-3</v>
      </c>
      <c r="AK31" s="76">
        <v>4.7743045511721419E-4</v>
      </c>
      <c r="AL31" s="83">
        <v>1</v>
      </c>
      <c r="AM31" s="76">
        <v>3.0554830297852007E-3</v>
      </c>
      <c r="AN31" s="76">
        <v>3.7061276335533494E-2</v>
      </c>
      <c r="AO31" s="77">
        <v>0.95988324063468133</v>
      </c>
      <c r="AP31" s="56">
        <f t="shared" si="11"/>
        <v>1</v>
      </c>
      <c r="AQ31" s="102">
        <f>(AR33*(AM32-AM33)+AQ32*(AI32-AM32))/(AI31-AM32)</f>
        <v>7.9347888506348951</v>
      </c>
      <c r="AR31" s="6">
        <f t="shared" si="12"/>
        <v>7.29398712896913</v>
      </c>
      <c r="AS31" s="4">
        <f t="shared" si="13"/>
        <v>3.072408711302892E-3</v>
      </c>
      <c r="AT31" s="5">
        <f t="shared" si="8"/>
        <v>7.3658525072733818</v>
      </c>
      <c r="AU31" s="6">
        <f t="shared" si="8"/>
        <v>2010.5195015240909</v>
      </c>
    </row>
    <row r="32" spans="1:49" ht="15.75" thickBot="1" x14ac:dyDescent="0.3">
      <c r="A32" s="31" t="s">
        <v>34</v>
      </c>
      <c r="B32" s="32">
        <v>19.269400000000001</v>
      </c>
      <c r="C32" s="32">
        <v>16.212</v>
      </c>
      <c r="D32" s="31"/>
      <c r="E32" s="31"/>
      <c r="J32" s="33">
        <f t="shared" si="14"/>
        <v>5.0314985670616517E-3</v>
      </c>
      <c r="K32" s="33">
        <f t="shared" si="15"/>
        <v>4.7743045536191505E-4</v>
      </c>
      <c r="L32" s="33">
        <f t="shared" si="16"/>
        <v>1</v>
      </c>
      <c r="M32" s="33">
        <f t="shared" si="9"/>
        <v>3.0554829683261892E-3</v>
      </c>
      <c r="N32" s="33">
        <f t="shared" si="9"/>
        <v>3.7061276275166678E-2</v>
      </c>
      <c r="T32" s="33"/>
      <c r="U32" s="33"/>
      <c r="V32" s="33"/>
      <c r="W32" s="33"/>
      <c r="X32" s="33"/>
      <c r="Y32" s="33"/>
      <c r="Z32" s="33"/>
      <c r="AC32" s="33">
        <f t="shared" si="10"/>
        <v>0.99999999838332188</v>
      </c>
      <c r="AD32" s="72">
        <f>Z5</f>
        <v>0.99888316167672375</v>
      </c>
      <c r="AE32" s="73">
        <f>Z12</f>
        <v>6.58332736547117E-4</v>
      </c>
      <c r="AF32" s="74">
        <f>Z19</f>
        <v>4.5850397005102141E-4</v>
      </c>
      <c r="AH32" s="99">
        <v>4</v>
      </c>
      <c r="AI32" s="75">
        <v>0.99888316167672364</v>
      </c>
      <c r="AJ32" s="132">
        <v>6.583343530654921E-4</v>
      </c>
      <c r="AK32" s="76">
        <v>4.5850397021085596E-4</v>
      </c>
      <c r="AL32" s="83">
        <v>1</v>
      </c>
      <c r="AM32" s="76">
        <v>2.0403119515582354E-3</v>
      </c>
      <c r="AN32" s="76">
        <v>4.9271046539690758E-3</v>
      </c>
      <c r="AO32" s="77">
        <v>0.99303258339447276</v>
      </c>
      <c r="AP32" s="56">
        <f t="shared" si="11"/>
        <v>1</v>
      </c>
      <c r="AQ32" s="4">
        <f>(AP24*AQ24+AP25*AQ25-(AP24+AP25)*AM29)/(AI32-AM29)</f>
        <v>7.8855007447081871</v>
      </c>
      <c r="AR32" s="6">
        <f>AR33+AQ31-AQ32</f>
        <v>7.0492881059267081</v>
      </c>
      <c r="AS32" s="4">
        <f t="shared" si="13"/>
        <v>2.0425931979205368E-3</v>
      </c>
      <c r="AT32" s="5">
        <f t="shared" si="8"/>
        <v>7.4841980082405328</v>
      </c>
      <c r="AU32" s="6">
        <f t="shared" si="8"/>
        <v>2165.810217385465</v>
      </c>
    </row>
    <row r="33" spans="1:47" ht="15.75" thickBot="1" x14ac:dyDescent="0.3">
      <c r="A33" s="34" t="s">
        <v>35</v>
      </c>
      <c r="B33" s="35">
        <v>10.6456</v>
      </c>
      <c r="C33" s="35">
        <v>0.56320000000000003</v>
      </c>
      <c r="D33" s="36"/>
      <c r="E33" s="36"/>
      <c r="J33" s="33">
        <f t="shared" si="14"/>
        <v>6.583343530654921E-4</v>
      </c>
      <c r="K33" s="33">
        <f t="shared" si="15"/>
        <v>4.5850397023179478E-4</v>
      </c>
      <c r="L33" s="33">
        <f t="shared" si="16"/>
        <v>1</v>
      </c>
      <c r="M33" s="33">
        <f t="shared" si="9"/>
        <v>2.0403119482253268E-3</v>
      </c>
      <c r="N33" s="33">
        <f t="shared" si="9"/>
        <v>4.9271046521027952E-3</v>
      </c>
      <c r="T33" s="33"/>
      <c r="U33" s="33"/>
      <c r="V33" s="33"/>
      <c r="W33" s="33"/>
      <c r="X33" s="33"/>
      <c r="Y33" s="33"/>
      <c r="Z33" s="33"/>
      <c r="AC33" s="33"/>
      <c r="AD33" s="72"/>
      <c r="AE33" s="73"/>
      <c r="AF33" s="74"/>
      <c r="AH33" s="100"/>
      <c r="AI33" s="78"/>
      <c r="AJ33" s="79"/>
      <c r="AK33" s="79"/>
      <c r="AL33" s="84"/>
      <c r="AM33" s="70">
        <v>0</v>
      </c>
      <c r="AN33">
        <f>AR25</f>
        <v>0</v>
      </c>
      <c r="AO33" s="71">
        <v>1</v>
      </c>
      <c r="AP33" s="57"/>
      <c r="AR33" s="103">
        <f>AP25</f>
        <v>7</v>
      </c>
      <c r="AS33" s="7"/>
      <c r="AT33" s="8"/>
      <c r="AU33" s="9"/>
    </row>
    <row r="34" spans="1:47" ht="15.75" thickBot="1" x14ac:dyDescent="0.3">
      <c r="J34" s="33"/>
      <c r="K34" s="33"/>
      <c r="L34" s="33"/>
      <c r="M34" s="33"/>
      <c r="N34" s="33"/>
      <c r="T34" s="33"/>
      <c r="U34" s="33"/>
      <c r="V34" s="33"/>
      <c r="W34" s="33"/>
      <c r="X34" s="33"/>
      <c r="Y34" s="33"/>
      <c r="Z34" s="33"/>
      <c r="AQ34" s="5"/>
    </row>
    <row r="35" spans="1:47" ht="26.25" thickBot="1" x14ac:dyDescent="0.3">
      <c r="A35" s="137" t="s">
        <v>91</v>
      </c>
      <c r="B35" s="37" t="s">
        <v>92</v>
      </c>
      <c r="C35" s="37" t="s">
        <v>93</v>
      </c>
      <c r="D35" s="137" t="s">
        <v>36</v>
      </c>
      <c r="E35" s="137" t="s">
        <v>37</v>
      </c>
    </row>
    <row r="36" spans="1:47" ht="15.75" thickBot="1" x14ac:dyDescent="0.3">
      <c r="A36" s="138"/>
      <c r="B36" s="139" t="s">
        <v>38</v>
      </c>
      <c r="C36" s="139"/>
      <c r="D36" s="138"/>
      <c r="E36" s="138"/>
      <c r="I36" s="38" t="s">
        <v>39</v>
      </c>
      <c r="J36" s="39" t="s">
        <v>40</v>
      </c>
      <c r="K36" s="40" t="s">
        <v>41</v>
      </c>
      <c r="L36" s="41"/>
      <c r="M36" s="38" t="s">
        <v>42</v>
      </c>
      <c r="N36" s="39" t="s">
        <v>43</v>
      </c>
      <c r="O36" s="39" t="s">
        <v>44</v>
      </c>
      <c r="P36" s="42" t="s">
        <v>94</v>
      </c>
      <c r="Q36" s="43" t="s">
        <v>95</v>
      </c>
      <c r="R36" s="44" t="s">
        <v>96</v>
      </c>
      <c r="S36" s="42" t="s">
        <v>97</v>
      </c>
      <c r="T36" s="43" t="s">
        <v>98</v>
      </c>
      <c r="U36" s="44" t="s">
        <v>99</v>
      </c>
      <c r="V36" s="45" t="s">
        <v>45</v>
      </c>
      <c r="W36" s="46" t="s">
        <v>46</v>
      </c>
      <c r="X36" s="47" t="s">
        <v>47</v>
      </c>
      <c r="Y36" s="42" t="s">
        <v>100</v>
      </c>
      <c r="Z36" s="43" t="s">
        <v>101</v>
      </c>
      <c r="AA36" s="43" t="s">
        <v>102</v>
      </c>
      <c r="AB36" s="19" t="s">
        <v>48</v>
      </c>
      <c r="AC36" s="93" t="s">
        <v>49</v>
      </c>
      <c r="AD36" s="22" t="s">
        <v>50</v>
      </c>
    </row>
    <row r="37" spans="1:47" x14ac:dyDescent="0.25">
      <c r="I37" s="33">
        <f>1-J37-K37</f>
        <v>0.79765545485926448</v>
      </c>
      <c r="J37">
        <v>0.2004453220062308</v>
      </c>
      <c r="K37" s="6">
        <v>1.8992231345046917E-3</v>
      </c>
      <c r="L37" s="48">
        <v>1</v>
      </c>
      <c r="M37" s="48">
        <v>3.6214979024707876E-2</v>
      </c>
      <c r="N37" s="69">
        <v>0.67365313605763499</v>
      </c>
      <c r="O37" s="33">
        <f>1-M37-N37</f>
        <v>0.29013188491765718</v>
      </c>
      <c r="P37" s="4">
        <f>I37+$N$25*J37+$P$25*K37</f>
        <v>0.86230871926052466</v>
      </c>
      <c r="Q37" s="5">
        <f>$M$25*I37+J37+$R$25*K37</f>
        <v>0.54555816482147834</v>
      </c>
      <c r="R37" s="5">
        <f>$O$25*I37+$Q$25*J37+K37</f>
        <v>8.5251718981515401E-2</v>
      </c>
      <c r="S37" s="5">
        <f>J37*$H$25*$N$25+K37*$J$25*$P$25</f>
        <v>0.18383694419922933</v>
      </c>
      <c r="T37" s="5">
        <f>I37*$G$25*$M$25+K37*$L$25*$R$25</f>
        <v>0.72391099140313386</v>
      </c>
      <c r="U37" s="5">
        <f>I37*$I$25*$O$25+J37*$K$25*$Q$25</f>
        <v>0.47657137039227515</v>
      </c>
      <c r="V37" s="5">
        <f>S37/P37-I37*S37/P37^2+J37*$M$25/Q37*($G$25-T37/Q37)+K37*$O$25/R37*($I$25-U37/R37)</f>
        <v>0.14144030561731305</v>
      </c>
      <c r="W37" s="5">
        <f>T37/Q37-J37*T37/Q37^2+(I37*$N$25/P37)*($H$25-S37/P37)+(K37*$Q$25/R37)*($K$25-U37/R37)</f>
        <v>1.6127206204144997</v>
      </c>
      <c r="X37" s="5">
        <f>U37/R37-K37*U37/R37^2+I37*$P$25/P37*($J$25-S37/P37)+J37*$R$25/Q37*($L$25-T37/Q37)</f>
        <v>5.5612079034450588</v>
      </c>
      <c r="Y37" s="5">
        <f>EXP(V37)</f>
        <v>1.1519317383543413</v>
      </c>
      <c r="Z37" s="5">
        <f t="shared" ref="Z37:AA40" si="17">EXP(W37)</f>
        <v>5.0164405098346041</v>
      </c>
      <c r="AA37" s="5">
        <f t="shared" si="17"/>
        <v>260.13686684314217</v>
      </c>
      <c r="AB37" s="5">
        <f>Y37/Y43</f>
        <v>4.5401776770613973E-2</v>
      </c>
      <c r="AC37" s="5">
        <f t="shared" ref="AC37:AD40" si="18">Z37/Z43</f>
        <v>3.360781449335382</v>
      </c>
      <c r="AD37" s="6">
        <f t="shared" si="18"/>
        <v>152.76343118917714</v>
      </c>
    </row>
    <row r="38" spans="1:47" x14ac:dyDescent="0.25">
      <c r="I38" s="33">
        <f t="shared" ref="I38:I40" si="19">1-J38-K38</f>
        <v>0.96570600643474047</v>
      </c>
      <c r="J38">
        <v>3.3683737887557873E-2</v>
      </c>
      <c r="K38">
        <v>6.1025567770170864E-4</v>
      </c>
      <c r="L38">
        <v>1</v>
      </c>
      <c r="M38" s="48">
        <v>1.6165470508299803E-2</v>
      </c>
      <c r="N38">
        <v>0.21922496790238363</v>
      </c>
      <c r="O38" s="33">
        <f t="shared" ref="O38:O40" si="20">1-M38-N38</f>
        <v>0.76460956158931659</v>
      </c>
      <c r="P38" s="4">
        <f t="shared" ref="P38:P40" si="21">I38+$N$25*J38+$P$25*K38</f>
        <v>0.97659571253875443</v>
      </c>
      <c r="Q38" s="5">
        <f t="shared" ref="Q38:Q40" si="22">$M$25*I38+J38+$R$25*K38</f>
        <v>0.44995397649513907</v>
      </c>
      <c r="R38" s="5">
        <f t="shared" ref="R38:R40" si="23">$O$25*I38+$Q$25*J38+K38</f>
        <v>5.9742852448258325E-2</v>
      </c>
      <c r="S38" s="5">
        <f t="shared" ref="S38:S40" si="24">J38*$H$25*$N$25+K38*$J$25*$P$25</f>
        <v>3.1046504022496021E-2</v>
      </c>
      <c r="T38" s="5">
        <f t="shared" ref="T38:T40" si="25">I38*$G$25*$M$25+K38*$L$25*$R$25</f>
        <v>0.87609472962073165</v>
      </c>
      <c r="U38" s="5">
        <f t="shared" ref="U38:U40" si="26">I38*$I$25*$O$25+J38*$K$25*$Q$25</f>
        <v>0.40882318162615189</v>
      </c>
      <c r="V38" s="5">
        <f t="shared" ref="V38:V40" si="27">S38/P38-I38*S38/P38^2+J38*$M$25/Q38*($G$25-T38/Q38)+K38*$O$25/R38*($I$25-U38/R38)</f>
        <v>5.7588018948812672E-3</v>
      </c>
      <c r="W38" s="5">
        <f t="shared" ref="W38:W40" si="28">T38/Q38-J38*T38/Q38^2+(I38*$N$25/P38)*($H$25-S38/P38)+(K38*$Q$25/R38)*($K$25-U38/R38)</f>
        <v>2.6874164694989378</v>
      </c>
      <c r="X38" s="5">
        <f t="shared" ref="X38:X40" si="29">U38/R38-K38*U38/R38^2+I38*$P$25/P38*($J$25-S38/P38)+J38*$R$25/Q38*($L$25-T38/Q38)</f>
        <v>7.1733698467432196</v>
      </c>
      <c r="Y38" s="5">
        <f t="shared" ref="Y38:Y40" si="30">EXP(V38)</f>
        <v>1.0057754156710179</v>
      </c>
      <c r="Z38" s="5">
        <f t="shared" si="17"/>
        <v>14.693665308300488</v>
      </c>
      <c r="AA38" s="5">
        <f t="shared" si="17"/>
        <v>1304.2322686340365</v>
      </c>
      <c r="AB38" s="5">
        <f>Y38/Y44</f>
        <v>1.673950967521701E-2</v>
      </c>
      <c r="AC38" s="5">
        <f t="shared" si="18"/>
        <v>6.5083323279620773</v>
      </c>
      <c r="AD38" s="6">
        <f t="shared" si="18"/>
        <v>1252.9331138495299</v>
      </c>
    </row>
    <row r="39" spans="1:47" x14ac:dyDescent="0.25">
      <c r="A39" s="49" t="s">
        <v>57</v>
      </c>
      <c r="B39">
        <f>8.314/1000</f>
        <v>8.3140000000000002E-3</v>
      </c>
      <c r="C39" t="s">
        <v>58</v>
      </c>
      <c r="I39" s="33">
        <f t="shared" si="19"/>
        <v>0.99449107097782119</v>
      </c>
      <c r="J39">
        <v>5.0314985670616517E-3</v>
      </c>
      <c r="K39">
        <v>4.7743045511721419E-4</v>
      </c>
      <c r="L39">
        <v>1</v>
      </c>
      <c r="M39" s="48">
        <v>3.0554830297852007E-3</v>
      </c>
      <c r="N39">
        <v>3.7061276335533494E-2</v>
      </c>
      <c r="O39" s="33">
        <f t="shared" si="20"/>
        <v>0.95988324063468133</v>
      </c>
      <c r="P39" s="4">
        <f t="shared" si="21"/>
        <v>0.99615099637320248</v>
      </c>
      <c r="Q39" s="5">
        <f t="shared" si="22"/>
        <v>0.43357093269388125</v>
      </c>
      <c r="R39" s="5">
        <f t="shared" si="23"/>
        <v>5.544386153884362E-2</v>
      </c>
      <c r="S39" s="5">
        <f t="shared" si="24"/>
        <v>4.8415300851092627E-3</v>
      </c>
      <c r="T39" s="5">
        <f t="shared" si="25"/>
        <v>0.90217919688293846</v>
      </c>
      <c r="U39" s="5">
        <f t="shared" si="26"/>
        <v>0.39714794969867395</v>
      </c>
      <c r="V39" s="5">
        <f t="shared" si="27"/>
        <v>1.9677223247315382E-4</v>
      </c>
      <c r="W39" s="5">
        <f t="shared" si="28"/>
        <v>2.9603193712185933</v>
      </c>
      <c r="X39" s="5">
        <f t="shared" si="29"/>
        <v>7.6082171184816305</v>
      </c>
      <c r="Y39" s="5">
        <f t="shared" si="30"/>
        <v>1.0001967915933987</v>
      </c>
      <c r="Z39" s="5">
        <f t="shared" si="17"/>
        <v>19.304135956540499</v>
      </c>
      <c r="AA39" s="5">
        <f t="shared" si="17"/>
        <v>2014.6829528084841</v>
      </c>
      <c r="AB39" s="5">
        <f>Y39/Y45</f>
        <v>3.072408587703971E-3</v>
      </c>
      <c r="AC39" s="5">
        <f t="shared" si="18"/>
        <v>7.3658524832778207</v>
      </c>
      <c r="AD39" s="6">
        <f t="shared" si="18"/>
        <v>2010.519499463159</v>
      </c>
    </row>
    <row r="40" spans="1:47" x14ac:dyDescent="0.25">
      <c r="A40" s="49" t="s">
        <v>59</v>
      </c>
      <c r="B40">
        <v>318.14999999999998</v>
      </c>
      <c r="C40" t="s">
        <v>60</v>
      </c>
      <c r="I40" s="33">
        <f t="shared" si="19"/>
        <v>0.99888316167672364</v>
      </c>
      <c r="J40">
        <v>6.583343530654921E-4</v>
      </c>
      <c r="K40">
        <v>4.5850397021085596E-4</v>
      </c>
      <c r="L40">
        <v>1</v>
      </c>
      <c r="M40" s="48">
        <v>2.0403119515582354E-3</v>
      </c>
      <c r="N40">
        <v>4.9271046539690758E-3</v>
      </c>
      <c r="O40" s="33">
        <f t="shared" si="20"/>
        <v>0.99303258339447276</v>
      </c>
      <c r="P40" s="4">
        <f t="shared" si="21"/>
        <v>0.9991344703693088</v>
      </c>
      <c r="Q40" s="5">
        <f t="shared" si="22"/>
        <v>0.43107106113732474</v>
      </c>
      <c r="R40" s="5">
        <f t="shared" si="23"/>
        <v>5.4788984061211798E-2</v>
      </c>
      <c r="S40" s="5">
        <f t="shared" si="24"/>
        <v>8.426006803354337E-4</v>
      </c>
      <c r="T40" s="5">
        <f t="shared" si="25"/>
        <v>0.90615948637711985</v>
      </c>
      <c r="U40" s="5">
        <f t="shared" si="26"/>
        <v>0.39536543783943501</v>
      </c>
      <c r="V40" s="5">
        <f t="shared" si="27"/>
        <v>3.4782616122080519E-5</v>
      </c>
      <c r="W40" s="5">
        <f t="shared" si="28"/>
        <v>3.0052006181775375</v>
      </c>
      <c r="X40" s="5">
        <f t="shared" si="29"/>
        <v>7.6809436060761538</v>
      </c>
      <c r="Y40" s="5">
        <f t="shared" si="30"/>
        <v>1.0000347832210443</v>
      </c>
      <c r="Z40" s="5">
        <f t="shared" si="17"/>
        <v>20.19026622412305</v>
      </c>
      <c r="AA40" s="5">
        <f t="shared" si="17"/>
        <v>2166.663284200466</v>
      </c>
      <c r="AB40" s="5">
        <f>Y40/Y46</f>
        <v>2.0425931912472668E-3</v>
      </c>
      <c r="AC40" s="5">
        <f t="shared" si="18"/>
        <v>7.484198002570829</v>
      </c>
      <c r="AD40" s="6">
        <f t="shared" si="18"/>
        <v>2165.8102171876499</v>
      </c>
    </row>
    <row r="41" spans="1:47" ht="15.75" thickBot="1" x14ac:dyDescent="0.3">
      <c r="I41" s="33"/>
      <c r="M41" s="48"/>
      <c r="O41" s="33"/>
      <c r="P41" s="4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6"/>
    </row>
    <row r="42" spans="1:47" ht="15.75" thickBot="1" x14ac:dyDescent="0.3">
      <c r="P42" s="42" t="s">
        <v>103</v>
      </c>
      <c r="Q42" s="43" t="s">
        <v>104</v>
      </c>
      <c r="R42" s="44" t="s">
        <v>105</v>
      </c>
      <c r="S42" s="42" t="s">
        <v>106</v>
      </c>
      <c r="T42" s="43" t="s">
        <v>107</v>
      </c>
      <c r="U42" s="44" t="s">
        <v>108</v>
      </c>
      <c r="V42" s="45" t="s">
        <v>51</v>
      </c>
      <c r="W42" s="46" t="s">
        <v>52</v>
      </c>
      <c r="X42" s="47" t="s">
        <v>53</v>
      </c>
      <c r="Y42" s="42" t="s">
        <v>109</v>
      </c>
      <c r="Z42" s="43" t="s">
        <v>110</v>
      </c>
      <c r="AA42" s="43" t="s">
        <v>111</v>
      </c>
      <c r="AB42" s="19" t="s">
        <v>54</v>
      </c>
      <c r="AC42" s="93" t="s">
        <v>55</v>
      </c>
      <c r="AD42" s="22" t="s">
        <v>56</v>
      </c>
    </row>
    <row r="43" spans="1:47" x14ac:dyDescent="0.25">
      <c r="P43" s="4">
        <f>M37+$N$25*N37+$P$25*O37</f>
        <v>0.27794642065494407</v>
      </c>
      <c r="Q43" s="5">
        <f>$M$25*M37+N37+$R$25*O37</f>
        <v>0.95568739816979087</v>
      </c>
      <c r="R43" s="5">
        <f>$O$25*M37+$Q$25*N37+O37</f>
        <v>0.42677062265633531</v>
      </c>
      <c r="S43" s="5">
        <f>N37*$H$25*$N$25+O37*$J$25*$P$25</f>
        <v>0.76766652402907709</v>
      </c>
      <c r="T43" s="5">
        <f>M37*$G$25*$M$25+O37*$L$25*$R$25</f>
        <v>8.9581950183231604E-2</v>
      </c>
      <c r="U43" s="5">
        <f>M37*$I$25*$O$25+N37*$K$25*$Q$25</f>
        <v>0.55632968943353811</v>
      </c>
      <c r="V43" s="5">
        <f>S43/P43-M37*S43/P43^2+N37*$M$25/Q43*($G$25-T43/Q43)+O37*$O$25/R43*($I$25-U43/R43)</f>
        <v>3.2336443444013305</v>
      </c>
      <c r="W43" s="5">
        <f>T43/Q43-N37*T43/Q43^2+(M37*$N$25/P43)*($H$25-S43/P43)+(O37*$Q$25/R43)*($K$25-U43/R43)</f>
        <v>0.40054709927361609</v>
      </c>
      <c r="X43" s="5">
        <f>U43/R43-O37*U43/R43^2+M37*$P$25/P43*($J$25-S43/P43)+N37*$R$25/Q43*($L$25-T43/Q43)</f>
        <v>0.53231738003351947</v>
      </c>
      <c r="Y43" s="5">
        <f>EXP(V43)</f>
        <v>25.371952824100095</v>
      </c>
      <c r="Z43" s="5">
        <f t="shared" ref="Z43:AA46" si="31">EXP(W43)</f>
        <v>1.4926410971551394</v>
      </c>
      <c r="AA43" s="5">
        <f t="shared" si="31"/>
        <v>1.7028739458005322</v>
      </c>
      <c r="AB43" s="5">
        <f>Y43/Y37</f>
        <v>22.025569727201603</v>
      </c>
      <c r="AC43" s="5">
        <f>Z43/Z37</f>
        <v>0.29754984519976951</v>
      </c>
      <c r="AD43" s="6">
        <f>AA43/AA37</f>
        <v>6.5460692537184064E-3</v>
      </c>
    </row>
    <row r="44" spans="1:47" x14ac:dyDescent="0.25">
      <c r="P44" s="4">
        <f>M38+$N$25*N38+$P$25*O38</f>
        <v>0.15257066796102103</v>
      </c>
      <c r="Q44" s="5">
        <f t="shared" ref="Q44:Q46" si="32">$M$25*M38+N38+$R$25*O38</f>
        <v>0.92836847124859423</v>
      </c>
      <c r="R44" s="5">
        <f t="shared" ref="R44:R46" si="33">$O$25*M38+$Q$25*N38+O38</f>
        <v>0.80931316983600476</v>
      </c>
      <c r="S44" s="5">
        <f t="shared" ref="S44:S46" si="34">N38*$H$25*$N$25+O38*$J$25*$P$25</f>
        <v>0.60370737970446364</v>
      </c>
      <c r="T44" s="5">
        <f t="shared" ref="T44:T46" si="35">M38*$G$25*$M$25+O38*$L$25*$R$25</f>
        <v>0.16417405109041808</v>
      </c>
      <c r="U44" s="5">
        <f t="shared" ref="U44:U46" si="36">M38*$I$25*$O$25+N38*$K$25*$Q$25</f>
        <v>0.18277611003658517</v>
      </c>
      <c r="V44" s="5">
        <f t="shared" ref="V44:V46" si="37">S44/P44-M38*S44/P44^2+N38*$M$25/Q44*($G$25-T44/Q44)+O38*$O$25/R44*($I$25-U44/R44)</f>
        <v>4.0957423068529701</v>
      </c>
      <c r="W44" s="5">
        <f t="shared" ref="W44:W46" si="38">T44/Q44-N38*T44/Q44^2+(M38*$N$25/P44)*($H$25-S44/P44)+(O38*$Q$25/R44)*($K$25-U44/R44)</f>
        <v>0.81433321691576643</v>
      </c>
      <c r="X44" s="5">
        <f t="shared" ref="X44:X46" si="39">U44/R44-O38*U44/R44^2+M38*$P$25/P44*($J$25-S44/P44)+N38*$R$25/Q44*($L$25-T44/Q44)</f>
        <v>4.0127274078397779E-2</v>
      </c>
      <c r="Y44" s="5">
        <f t="shared" ref="Y44:Y46" si="40">EXP(V44)</f>
        <v>60.083923315870905</v>
      </c>
      <c r="Z44" s="5">
        <f t="shared" si="31"/>
        <v>2.2576697943298547</v>
      </c>
      <c r="AA44" s="5">
        <f t="shared" si="31"/>
        <v>1.0409432508547038</v>
      </c>
      <c r="AB44" s="5">
        <f t="shared" ref="AB44:AD46" si="41">Y44/Y38</f>
        <v>59.738906300254939</v>
      </c>
      <c r="AC44" s="5">
        <f t="shared" si="41"/>
        <v>0.15364919146855016</v>
      </c>
      <c r="AD44" s="6">
        <f t="shared" si="41"/>
        <v>7.9812720164094432E-4</v>
      </c>
    </row>
    <row r="45" spans="1:47" x14ac:dyDescent="0.25">
      <c r="P45" s="4">
        <f t="shared" ref="P45:P46" si="42">M39+$N$25*N39+$P$25*O39</f>
        <v>9.7676271583431645E-2</v>
      </c>
      <c r="Q45" s="5">
        <f t="shared" si="32"/>
        <v>0.91989228530352474</v>
      </c>
      <c r="R45" s="5">
        <f t="shared" si="33"/>
        <v>0.96745815468761509</v>
      </c>
      <c r="S45" s="5">
        <f t="shared" si="34"/>
        <v>0.54066080716580345</v>
      </c>
      <c r="T45" s="5">
        <f t="shared" si="35"/>
        <v>0.19046573372308076</v>
      </c>
      <c r="U45" s="5">
        <f t="shared" si="36"/>
        <v>3.1026903760876849E-2</v>
      </c>
      <c r="V45" s="5">
        <f t="shared" si="37"/>
        <v>5.7854902409635205</v>
      </c>
      <c r="W45" s="5">
        <f t="shared" si="38"/>
        <v>0.96346458010304215</v>
      </c>
      <c r="X45" s="5">
        <f t="shared" si="39"/>
        <v>2.0686933785226875E-3</v>
      </c>
      <c r="Y45" s="5">
        <f t="shared" si="40"/>
        <v>325.54159482442134</v>
      </c>
      <c r="Z45" s="5">
        <f t="shared" si="31"/>
        <v>2.6207605976857842</v>
      </c>
      <c r="AA45" s="5">
        <f t="shared" si="31"/>
        <v>1.0020708346009262</v>
      </c>
      <c r="AB45" s="5">
        <f t="shared" si="41"/>
        <v>325.47754358000475</v>
      </c>
      <c r="AC45" s="5">
        <f t="shared" si="41"/>
        <v>0.13576161106541706</v>
      </c>
      <c r="AD45" s="6">
        <f t="shared" si="41"/>
        <v>4.9738388524310062E-4</v>
      </c>
    </row>
    <row r="46" spans="1:47" ht="15.75" thickBot="1" x14ac:dyDescent="0.3">
      <c r="P46" s="7">
        <f t="shared" si="42"/>
        <v>8.9178436027780528E-2</v>
      </c>
      <c r="Q46" s="8">
        <f t="shared" si="32"/>
        <v>0.91776404884534124</v>
      </c>
      <c r="R46" s="8">
        <f t="shared" si="33"/>
        <v>0.99412829443581674</v>
      </c>
      <c r="S46" s="8">
        <f t="shared" si="34"/>
        <v>0.52885410709330882</v>
      </c>
      <c r="T46" s="8">
        <f t="shared" si="35"/>
        <v>0.19602686313720685</v>
      </c>
      <c r="U46" s="8">
        <f t="shared" si="36"/>
        <v>4.7707890948416008E-3</v>
      </c>
      <c r="V46" s="8">
        <f t="shared" si="37"/>
        <v>6.1935698888174224</v>
      </c>
      <c r="W46" s="8">
        <f t="shared" si="38"/>
        <v>0.99240675333175266</v>
      </c>
      <c r="X46" s="8">
        <f t="shared" si="39"/>
        <v>3.9380138092806529E-4</v>
      </c>
      <c r="Y46" s="8">
        <f t="shared" si="40"/>
        <v>489.59077485732439</v>
      </c>
      <c r="Z46" s="8">
        <f t="shared" si="31"/>
        <v>2.6977194105751443</v>
      </c>
      <c r="AA46" s="8">
        <f t="shared" si="31"/>
        <v>1.0003938789308713</v>
      </c>
      <c r="AB46" s="8">
        <f t="shared" si="41"/>
        <v>489.57374590550307</v>
      </c>
      <c r="AC46" s="8">
        <f t="shared" si="41"/>
        <v>0.13361485087066097</v>
      </c>
      <c r="AD46" s="9">
        <f t="shared" si="41"/>
        <v>4.6172097262451786E-4</v>
      </c>
    </row>
    <row r="48" spans="1:47" ht="15.75" thickBot="1" x14ac:dyDescent="0.3"/>
    <row r="49" spans="8:16" ht="15.75" thickBot="1" x14ac:dyDescent="0.3">
      <c r="H49" s="50" t="s">
        <v>61</v>
      </c>
      <c r="I49" s="38" t="s">
        <v>39</v>
      </c>
      <c r="J49" s="39" t="s">
        <v>40</v>
      </c>
      <c r="K49" s="40" t="s">
        <v>41</v>
      </c>
      <c r="L49" s="41"/>
      <c r="M49" s="38" t="s">
        <v>42</v>
      </c>
      <c r="N49" s="39" t="s">
        <v>43</v>
      </c>
      <c r="O49" s="40" t="s">
        <v>44</v>
      </c>
      <c r="P49" s="50" t="s">
        <v>61</v>
      </c>
    </row>
    <row r="50" spans="8:16" x14ac:dyDescent="0.25">
      <c r="H50" s="51">
        <f>SUM(I50:K50)</f>
        <v>1.0000001554415183</v>
      </c>
      <c r="I50" s="33">
        <f t="shared" ref="I50:K53" si="43">M37*AB43</f>
        <v>0.7976555456778468</v>
      </c>
      <c r="J50" s="33">
        <f t="shared" si="43"/>
        <v>0.20044538635228856</v>
      </c>
      <c r="K50" s="33">
        <f t="shared" si="43"/>
        <v>1.8992234113828427E-3</v>
      </c>
      <c r="L50" s="33"/>
      <c r="M50" s="33">
        <f t="shared" ref="M50:O53" si="44">I37*AB37</f>
        <v>3.6214974901382875E-2</v>
      </c>
      <c r="N50" s="33">
        <f t="shared" si="44"/>
        <v>0.67365291980459774</v>
      </c>
      <c r="O50" s="33">
        <f t="shared" si="44"/>
        <v>0.29013184262080077</v>
      </c>
      <c r="P50" s="51">
        <f>SUM(M50:O50)</f>
        <v>0.99999973732678149</v>
      </c>
    </row>
    <row r="51" spans="8:16" x14ac:dyDescent="0.25">
      <c r="H51" s="51">
        <f>SUM(I51:K51)</f>
        <v>1.0000015227525159</v>
      </c>
      <c r="I51" s="33">
        <f t="shared" si="43"/>
        <v>0.96570752799485648</v>
      </c>
      <c r="J51" s="33">
        <f t="shared" si="43"/>
        <v>3.3683739067920104E-2</v>
      </c>
      <c r="K51" s="33">
        <f t="shared" si="43"/>
        <v>6.1025568973919054E-4</v>
      </c>
      <c r="L51" s="33"/>
      <c r="M51" s="33">
        <f t="shared" si="44"/>
        <v>1.6165445038129517E-2</v>
      </c>
      <c r="N51" s="33">
        <f t="shared" si="44"/>
        <v>0.21922496022019394</v>
      </c>
      <c r="O51" s="33">
        <f t="shared" si="44"/>
        <v>0.76460954650715696</v>
      </c>
      <c r="P51" s="51">
        <f>SUM(M51:O51)</f>
        <v>0.9999999517654804</v>
      </c>
    </row>
    <row r="52" spans="8:16" x14ac:dyDescent="0.25">
      <c r="H52" s="51">
        <f>SUM(I52:K52)</f>
        <v>1.0000000400239368</v>
      </c>
      <c r="I52" s="33">
        <f t="shared" si="43"/>
        <v>0.99449111098487764</v>
      </c>
      <c r="J52" s="33">
        <f t="shared" si="43"/>
        <v>5.0314985834526435E-3</v>
      </c>
      <c r="K52" s="33">
        <f t="shared" si="43"/>
        <v>4.774304556066159E-4</v>
      </c>
      <c r="L52" s="33"/>
      <c r="M52" s="33">
        <f t="shared" si="44"/>
        <v>3.0554829068671773E-3</v>
      </c>
      <c r="N52" s="33">
        <f t="shared" si="44"/>
        <v>3.7061276214799863E-2</v>
      </c>
      <c r="O52" s="33">
        <f t="shared" si="44"/>
        <v>0.95988323965072975</v>
      </c>
      <c r="P52" s="51">
        <f>SUM(M52:O52)</f>
        <v>0.99999999877239676</v>
      </c>
    </row>
    <row r="53" spans="8:16" x14ac:dyDescent="0.25">
      <c r="H53" s="51">
        <f>SUM(I53:K53)</f>
        <v>1.0000000032639496</v>
      </c>
      <c r="I53" s="33">
        <f t="shared" si="43"/>
        <v>0.99888316494013263</v>
      </c>
      <c r="J53" s="33">
        <f t="shared" si="43"/>
        <v>6.5833435356421762E-4</v>
      </c>
      <c r="K53" s="33">
        <f t="shared" si="43"/>
        <v>4.585039702527336E-4</v>
      </c>
      <c r="L53" s="33"/>
      <c r="M53" s="33">
        <f t="shared" si="44"/>
        <v>2.0403119448924186E-3</v>
      </c>
      <c r="N53" s="33">
        <f t="shared" si="44"/>
        <v>4.9271046502365147E-3</v>
      </c>
      <c r="O53" s="33">
        <f t="shared" si="44"/>
        <v>0.99303258330377364</v>
      </c>
      <c r="P53" s="51">
        <f>SUM(M53:O53)</f>
        <v>0.99999999989890254</v>
      </c>
    </row>
    <row r="54" spans="8:16" x14ac:dyDescent="0.25">
      <c r="H54" s="51"/>
      <c r="I54" s="33"/>
      <c r="J54" s="33"/>
      <c r="K54" s="33"/>
      <c r="L54" s="33"/>
      <c r="M54" s="33"/>
      <c r="N54" s="33"/>
      <c r="O54" s="33"/>
      <c r="P54" s="51"/>
    </row>
  </sheetData>
  <mergeCells count="5">
    <mergeCell ref="A30:E30"/>
    <mergeCell ref="A35:A36"/>
    <mergeCell ref="D35:D36"/>
    <mergeCell ref="E35:E36"/>
    <mergeCell ref="B36:C3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RTL_5">
                <anchor moveWithCells="1" sizeWithCells="1">
                  <from>
                    <xdr:col>5</xdr:col>
                    <xdr:colOff>0</xdr:colOff>
                    <xdr:row>35</xdr:row>
                    <xdr:rowOff>152400</xdr:rowOff>
                  </from>
                  <to>
                    <xdr:col>6</xdr:col>
                    <xdr:colOff>561975</xdr:colOff>
                    <xdr:row>36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5"/>
  <dimension ref="A1:AJ80"/>
  <sheetViews>
    <sheetView zoomScale="85" zoomScaleNormal="85" workbookViewId="0">
      <selection activeCell="B15" sqref="B15:D15"/>
    </sheetView>
  </sheetViews>
  <sheetFormatPr defaultRowHeight="15" x14ac:dyDescent="0.25"/>
  <cols>
    <col min="2" max="2" width="10" bestFit="1" customWidth="1"/>
    <col min="3" max="3" width="14" bestFit="1" customWidth="1"/>
    <col min="14" max="14" width="12.7109375" bestFit="1" customWidth="1"/>
  </cols>
  <sheetData>
    <row r="1" spans="1:36" ht="15.75" thickBot="1" x14ac:dyDescent="0.3">
      <c r="H1" s="15" t="s">
        <v>25</v>
      </c>
      <c r="K1" t="s">
        <v>31</v>
      </c>
      <c r="R1" s="16">
        <v>1</v>
      </c>
      <c r="S1" s="14">
        <v>2</v>
      </c>
      <c r="T1" s="14">
        <v>3</v>
      </c>
      <c r="U1" s="14">
        <v>4</v>
      </c>
      <c r="V1" s="14">
        <v>5</v>
      </c>
      <c r="W1" s="14">
        <v>6</v>
      </c>
      <c r="X1" s="14">
        <v>7</v>
      </c>
      <c r="Y1" s="15">
        <v>8</v>
      </c>
      <c r="Z1" s="117" t="s">
        <v>23</v>
      </c>
      <c r="AB1" s="10" t="s">
        <v>27</v>
      </c>
    </row>
    <row r="2" spans="1:36" ht="15.75" thickBot="1" x14ac:dyDescent="0.3">
      <c r="B2" s="19" t="s">
        <v>28</v>
      </c>
      <c r="C2" s="93" t="s">
        <v>29</v>
      </c>
      <c r="D2" s="22" t="s">
        <v>30</v>
      </c>
      <c r="E2" s="15" t="s">
        <v>117</v>
      </c>
      <c r="H2" s="9" t="s">
        <v>32</v>
      </c>
      <c r="J2" s="16" t="s">
        <v>62</v>
      </c>
      <c r="K2" s="14" t="s">
        <v>63</v>
      </c>
      <c r="L2" s="15" t="s">
        <v>64</v>
      </c>
      <c r="P2" s="11">
        <v>1</v>
      </c>
      <c r="Q2" s="93" t="s">
        <v>21</v>
      </c>
      <c r="R2" s="119">
        <f>$H$4+$I$4*$J$4</f>
        <v>11.359754555347736</v>
      </c>
      <c r="S2" s="120">
        <f>-$I$5*$J$5</f>
        <v>-0.19117569161515444</v>
      </c>
      <c r="T2" s="120">
        <v>0</v>
      </c>
      <c r="U2" s="120">
        <v>0</v>
      </c>
      <c r="V2" s="121">
        <v>0</v>
      </c>
      <c r="W2" s="121">
        <v>0</v>
      </c>
      <c r="X2" s="121">
        <v>0</v>
      </c>
      <c r="Y2" s="122">
        <v>0</v>
      </c>
      <c r="Z2" s="11">
        <f>$I$15*$J$15</f>
        <v>8.75</v>
      </c>
      <c r="AC2" s="1">
        <f t="array" ref="AC2:AJ9">MINVERSE(R2:Y9)</f>
        <v>8.9872235842069104E-2</v>
      </c>
      <c r="AD2" s="2">
        <v>2.0341830455585116E-3</v>
      </c>
      <c r="AE2" s="2">
        <v>6.0606670725305758E-6</v>
      </c>
      <c r="AF2" s="2">
        <v>1.0104719520878787E-8</v>
      </c>
      <c r="AG2" s="2">
        <v>1.5013774004519268E-11</v>
      </c>
      <c r="AH2" s="2">
        <v>2.1850334089275789E-14</v>
      </c>
      <c r="AI2" s="2">
        <v>3.1683940010326131E-17</v>
      </c>
      <c r="AJ2" s="3">
        <v>4.5913593296830842E-20</v>
      </c>
    </row>
    <row r="3" spans="1:36" x14ac:dyDescent="0.25">
      <c r="B3" s="4">
        <f t="array" ref="B3:B10">MMULT(AC2:AJ9,Z2:Z9)</f>
        <v>0.7863820636181047</v>
      </c>
      <c r="C3" s="5">
        <f t="array" ref="C3:C10">MMULT(AC12:AJ19,Z12:Z19)</f>
        <v>0.2115964631519002</v>
      </c>
      <c r="D3" s="6">
        <f t="array" ref="D3:D10">MMULT(AC22:AJ29,Z22:Z29)</f>
        <v>2.0216656784751239E-3</v>
      </c>
      <c r="E3">
        <f>SUM(B3:D3)</f>
        <v>1.00000019244848</v>
      </c>
      <c r="H3" s="114">
        <v>25</v>
      </c>
      <c r="J3" s="85" t="s">
        <v>65</v>
      </c>
      <c r="K3" s="86" t="s">
        <v>65</v>
      </c>
      <c r="L3" s="87" t="s">
        <v>65</v>
      </c>
      <c r="P3" s="12">
        <v>2</v>
      </c>
      <c r="R3" s="66">
        <f>-$H$4</f>
        <v>-10.287442200406767</v>
      </c>
      <c r="S3" s="68">
        <f>$H$5+$I$5*$J$5</f>
        <v>8.4710017374365005</v>
      </c>
      <c r="T3" s="68">
        <f>-$I$6*$J$6</f>
        <v>-2.3815691993497451E-2</v>
      </c>
      <c r="U3" s="68">
        <v>0</v>
      </c>
      <c r="V3" s="123">
        <v>0</v>
      </c>
      <c r="W3" s="123">
        <v>0</v>
      </c>
      <c r="X3" s="123">
        <v>0</v>
      </c>
      <c r="Y3" s="24">
        <v>0</v>
      </c>
      <c r="Z3" s="12">
        <v>0</v>
      </c>
      <c r="AC3" s="4">
        <v>0.10946235020484034</v>
      </c>
      <c r="AD3" s="5">
        <v>0.12087216697356874</v>
      </c>
      <c r="AE3" s="5">
        <v>3.6012784786581989E-4</v>
      </c>
      <c r="AF3" s="5">
        <v>6.0042745308271632E-7</v>
      </c>
      <c r="AG3" s="5">
        <v>8.9212590889499638E-10</v>
      </c>
      <c r="AH3" s="5">
        <v>1.2983577049439307E-12</v>
      </c>
      <c r="AI3" s="5">
        <v>1.8826754532590156E-15</v>
      </c>
      <c r="AJ3" s="6">
        <v>2.7282085196061243E-18</v>
      </c>
    </row>
    <row r="4" spans="1:36" x14ac:dyDescent="0.25">
      <c r="B4" s="4">
        <v>0.95779556429235302</v>
      </c>
      <c r="C4" s="5">
        <v>4.1554663250772172E-2</v>
      </c>
      <c r="D4" s="6">
        <v>6.4980893168934794E-4</v>
      </c>
      <c r="E4">
        <f t="shared" ref="E4:E10" si="0">SUM(B4:D4)</f>
        <v>1.0000000364748145</v>
      </c>
      <c r="G4" s="118">
        <v>1</v>
      </c>
      <c r="H4" s="24">
        <f>J20</f>
        <v>10.287442200406767</v>
      </c>
      <c r="I4" s="24">
        <f t="shared" ref="I4:L4" si="1">K20</f>
        <v>23.089634450179656</v>
      </c>
      <c r="J4" s="24">
        <f t="shared" si="1"/>
        <v>4.6441287637302819E-2</v>
      </c>
      <c r="K4" s="24">
        <f t="shared" si="1"/>
        <v>3.3260416820504508</v>
      </c>
      <c r="L4" s="24">
        <f t="shared" si="1"/>
        <v>128.4588005513003</v>
      </c>
      <c r="P4" s="12">
        <v>3</v>
      </c>
      <c r="R4" s="66">
        <v>0</v>
      </c>
      <c r="S4" s="68">
        <f>-$H$5</f>
        <v>-8.2798260458213466</v>
      </c>
      <c r="T4" s="68">
        <f>$H$6+$I$6*$J$6</f>
        <v>8.0067328281362933</v>
      </c>
      <c r="U4" s="68">
        <f>-$I$7*$J$7</f>
        <v>-1.3227974040660732E-2</v>
      </c>
      <c r="V4" s="123">
        <v>0</v>
      </c>
      <c r="W4" s="123">
        <v>0</v>
      </c>
      <c r="X4" s="123">
        <v>0</v>
      </c>
      <c r="Y4" s="124">
        <v>0</v>
      </c>
      <c r="Z4" s="12">
        <v>0</v>
      </c>
      <c r="AC4" s="4">
        <v>0.11338436536763717</v>
      </c>
      <c r="AD4" s="5">
        <v>0.12520299369840446</v>
      </c>
      <c r="AE4" s="5">
        <v>0.12547587798758794</v>
      </c>
      <c r="AF4" s="5">
        <v>2.0920115533935526E-4</v>
      </c>
      <c r="AG4" s="5">
        <v>3.108348392312677E-7</v>
      </c>
      <c r="AH4" s="5">
        <v>4.5237427190159699E-10</v>
      </c>
      <c r="AI4" s="5">
        <v>6.5596247794581047E-13</v>
      </c>
      <c r="AJ4" s="6">
        <v>9.5056342173888943E-16</v>
      </c>
    </row>
    <row r="5" spans="1:36" x14ac:dyDescent="0.25">
      <c r="B5" s="4">
        <v>0.99211319696682521</v>
      </c>
      <c r="C5" s="5">
        <v>7.3989934737918343E-3</v>
      </c>
      <c r="D5" s="6">
        <v>4.8781625770027162E-4</v>
      </c>
      <c r="E5">
        <f t="shared" si="0"/>
        <v>1.0000000066983172</v>
      </c>
      <c r="G5" s="118">
        <v>2</v>
      </c>
      <c r="H5" s="24">
        <f t="shared" ref="H5:H10" si="2">J21</f>
        <v>8.2798260458213466</v>
      </c>
      <c r="I5" s="24">
        <f t="shared" ref="I5:I11" si="3">K21</f>
        <v>8.3770766505864227</v>
      </c>
      <c r="J5" s="24">
        <f t="shared" ref="J5:J11" si="4">L21</f>
        <v>2.2821289524881154E-2</v>
      </c>
      <c r="K5" s="24">
        <f t="shared" ref="K5:K11" si="5">M21</f>
        <v>6.2531945534396787</v>
      </c>
      <c r="L5" s="24">
        <f t="shared" ref="L5:L11" si="6">N21</f>
        <v>1105.3906425681123</v>
      </c>
      <c r="P5" s="12">
        <v>4</v>
      </c>
      <c r="R5" s="66">
        <v>0</v>
      </c>
      <c r="S5" s="68">
        <v>0</v>
      </c>
      <c r="T5" s="68">
        <f>-$H$6</f>
        <v>-7.9829171361427953</v>
      </c>
      <c r="U5" s="68">
        <f>$H$7+$I$7*$J$7</f>
        <v>7.9457369832163049</v>
      </c>
      <c r="V5" s="68">
        <f>-$I$8*$J$8</f>
        <v>-1.17735460340125E-2</v>
      </c>
      <c r="W5" s="123">
        <v>0</v>
      </c>
      <c r="X5" s="123">
        <v>0</v>
      </c>
      <c r="Y5" s="24">
        <v>0</v>
      </c>
      <c r="Z5" s="12">
        <v>0</v>
      </c>
      <c r="AC5" s="4">
        <v>0.11408414614112923</v>
      </c>
      <c r="AD5" s="5">
        <v>0.12597571617640843</v>
      </c>
      <c r="AE5" s="5">
        <v>0.12625028464116886</v>
      </c>
      <c r="AF5" s="5">
        <v>0.12625110377005075</v>
      </c>
      <c r="AG5" s="5">
        <v>1.8758616069531483E-4</v>
      </c>
      <c r="AH5" s="5">
        <v>2.730039948971808E-7</v>
      </c>
      <c r="AI5" s="5">
        <v>3.9586773188731361E-10</v>
      </c>
      <c r="AJ5" s="6">
        <v>5.7365687585853705E-13</v>
      </c>
    </row>
    <row r="6" spans="1:36" x14ac:dyDescent="0.25">
      <c r="B6" s="4">
        <v>0.99823627873488074</v>
      </c>
      <c r="C6" s="5">
        <v>1.302451758692678E-3</v>
      </c>
      <c r="D6" s="6">
        <v>4.612707314030879E-4</v>
      </c>
      <c r="E6">
        <f t="shared" si="0"/>
        <v>1.0000000012249766</v>
      </c>
      <c r="G6" s="118">
        <v>3</v>
      </c>
      <c r="H6" s="24">
        <f>J22</f>
        <v>7.9829171361427953</v>
      </c>
      <c r="I6" s="24">
        <f t="shared" si="3"/>
        <v>6.3694604960010039</v>
      </c>
      <c r="J6" s="24">
        <f t="shared" si="4"/>
        <v>3.7390438340028755E-3</v>
      </c>
      <c r="K6" s="24">
        <f t="shared" si="5"/>
        <v>7.3005481614337286</v>
      </c>
      <c r="L6" s="24">
        <f t="shared" si="6"/>
        <v>1931.6161968895231</v>
      </c>
      <c r="P6" s="12">
        <v>5</v>
      </c>
      <c r="R6" s="66">
        <v>0</v>
      </c>
      <c r="S6" s="68">
        <v>0</v>
      </c>
      <c r="T6" s="123">
        <v>0</v>
      </c>
      <c r="U6" s="68">
        <f>-$H$7</f>
        <v>-7.9325090091756438</v>
      </c>
      <c r="V6" s="68">
        <f>$H$8+$I$8*$J$8</f>
        <v>7.9354808495049305</v>
      </c>
      <c r="W6" s="68">
        <f>-$I$9*$J$9</f>
        <v>-1.1529601036593872E-2</v>
      </c>
      <c r="X6" s="123">
        <v>0</v>
      </c>
      <c r="Y6" s="24">
        <v>0</v>
      </c>
      <c r="Z6" s="116">
        <v>0</v>
      </c>
      <c r="AC6" s="4">
        <v>0.1142073869973597</v>
      </c>
      <c r="AD6" s="5">
        <v>0.12611180305307773</v>
      </c>
      <c r="AE6" s="5">
        <v>0.12638666812392965</v>
      </c>
      <c r="AF6" s="5">
        <v>0.12638748813768599</v>
      </c>
      <c r="AG6" s="5">
        <v>0.12638748950511219</v>
      </c>
      <c r="AH6" s="5">
        <v>1.8393835351193327E-4</v>
      </c>
      <c r="AI6" s="5">
        <v>2.6671865677013156E-7</v>
      </c>
      <c r="AJ6" s="6">
        <v>3.8650533764518349E-10</v>
      </c>
    </row>
    <row r="7" spans="1:36" x14ac:dyDescent="0.25">
      <c r="B7" s="4">
        <v>0.99931463622689742</v>
      </c>
      <c r="C7" s="5">
        <v>2.2870148784113581E-4</v>
      </c>
      <c r="D7" s="6">
        <v>4.5666250864207229E-4</v>
      </c>
      <c r="E7">
        <f t="shared" si="0"/>
        <v>1.0000000002233806</v>
      </c>
      <c r="G7" s="118">
        <v>4</v>
      </c>
      <c r="H7" s="24">
        <f t="shared" si="2"/>
        <v>7.9325090091756438</v>
      </c>
      <c r="I7" s="24">
        <f t="shared" si="3"/>
        <v>6.0725515863224517</v>
      </c>
      <c r="J7" s="24">
        <f t="shared" si="4"/>
        <v>2.1783222180367869E-3</v>
      </c>
      <c r="K7" s="24">
        <f t="shared" si="5"/>
        <v>7.4669267028722501</v>
      </c>
      <c r="L7" s="24">
        <f t="shared" si="6"/>
        <v>2142.1264117875185</v>
      </c>
      <c r="P7" s="12">
        <v>6</v>
      </c>
      <c r="R7" s="66">
        <v>0</v>
      </c>
      <c r="S7" s="68">
        <v>0</v>
      </c>
      <c r="T7" s="68">
        <v>0</v>
      </c>
      <c r="U7" s="123">
        <v>0</v>
      </c>
      <c r="V7" s="68">
        <f>-$H$8</f>
        <v>-7.923707303470918</v>
      </c>
      <c r="W7" s="68">
        <f>$H$9+$I$9*$J$9</f>
        <v>7.9336924071048216</v>
      </c>
      <c r="X7" s="68">
        <f>-$I$10*$J$10</f>
        <v>-1.1487099902536784E-2</v>
      </c>
      <c r="Y7" s="24">
        <v>0</v>
      </c>
      <c r="Z7" s="116">
        <v>0</v>
      </c>
      <c r="AC7" s="4">
        <v>0.11422904545854599</v>
      </c>
      <c r="AD7" s="5">
        <v>0.12613571908568619</v>
      </c>
      <c r="AE7" s="5">
        <v>0.1264106362823649</v>
      </c>
      <c r="AF7" s="5">
        <v>0.12641145645162985</v>
      </c>
      <c r="AG7" s="5">
        <v>0.1264114578193154</v>
      </c>
      <c r="AH7" s="5">
        <v>0.12641145782134758</v>
      </c>
      <c r="AI7" s="5">
        <v>1.8330214219448569E-4</v>
      </c>
      <c r="AJ7" s="6">
        <v>2.6562542425003296E-7</v>
      </c>
    </row>
    <row r="8" spans="1:36" x14ac:dyDescent="0.25">
      <c r="B8" s="4">
        <v>0.99950414776227747</v>
      </c>
      <c r="C8" s="5">
        <v>3.9997566030441007E-5</v>
      </c>
      <c r="D8" s="6">
        <v>4.5585471220090123E-4</v>
      </c>
      <c r="E8">
        <f t="shared" si="0"/>
        <v>1.0000000000405089</v>
      </c>
      <c r="G8" s="118">
        <v>5</v>
      </c>
      <c r="H8" s="24">
        <f t="shared" si="2"/>
        <v>7.923707303470918</v>
      </c>
      <c r="I8" s="24">
        <f t="shared" si="3"/>
        <v>6.0221434593553003</v>
      </c>
      <c r="J8" s="24">
        <f t="shared" si="4"/>
        <v>1.9550424385394692E-3</v>
      </c>
      <c r="K8" s="24">
        <f t="shared" si="5"/>
        <v>7.4956925363997353</v>
      </c>
      <c r="L8" s="24">
        <f t="shared" si="6"/>
        <v>2181.7688209528096</v>
      </c>
      <c r="P8" s="12">
        <v>7</v>
      </c>
      <c r="R8" s="66">
        <v>0</v>
      </c>
      <c r="S8" s="68">
        <v>0</v>
      </c>
      <c r="T8" s="68">
        <v>0</v>
      </c>
      <c r="U8" s="123">
        <v>0</v>
      </c>
      <c r="V8" s="123">
        <v>0</v>
      </c>
      <c r="W8" s="68">
        <f>-$H$9</f>
        <v>-7.9221628060682274</v>
      </c>
      <c r="X8" s="68">
        <f>$H$10+$I$10*$J$10</f>
        <v>7.9333786458368705</v>
      </c>
      <c r="Y8" s="24">
        <f>-$I$11*$J$11</f>
        <v>-1.1479644839294485E-2</v>
      </c>
      <c r="Z8" s="116">
        <v>0</v>
      </c>
      <c r="AC8" s="4">
        <v>0.11423285033843908</v>
      </c>
      <c r="AD8" s="5">
        <v>0.12613992056753717</v>
      </c>
      <c r="AE8" s="5">
        <v>0.12641484692149199</v>
      </c>
      <c r="AF8" s="5">
        <v>0.12641566711807617</v>
      </c>
      <c r="AG8" s="5">
        <v>0.12641566848580726</v>
      </c>
      <c r="AH8" s="5">
        <v>0.12641566848783953</v>
      </c>
      <c r="AI8" s="5">
        <v>0.1264156684878425</v>
      </c>
      <c r="AJ8" s="6">
        <v>1.8319052451829369E-4</v>
      </c>
    </row>
    <row r="9" spans="1:36" ht="15.75" thickBot="1" x14ac:dyDescent="0.3">
      <c r="B9" s="4">
        <v>0.99953744046134196</v>
      </c>
      <c r="C9" s="5">
        <v>6.8466808993708373E-6</v>
      </c>
      <c r="D9" s="6">
        <v>4.5571286493121263E-4</v>
      </c>
      <c r="E9">
        <f t="shared" si="0"/>
        <v>1.0000000000071725</v>
      </c>
      <c r="G9" s="118">
        <v>6</v>
      </c>
      <c r="H9" s="24">
        <f t="shared" si="2"/>
        <v>7.9221628060682274</v>
      </c>
      <c r="I9" s="24">
        <f t="shared" si="3"/>
        <v>6.0133417536505736</v>
      </c>
      <c r="J9" s="24">
        <f t="shared" si="4"/>
        <v>1.9173367337045983E-3</v>
      </c>
      <c r="K9" s="24">
        <f t="shared" si="5"/>
        <v>7.5007350782977538</v>
      </c>
      <c r="L9" s="24">
        <f t="shared" si="6"/>
        <v>2188.8193242775819</v>
      </c>
      <c r="P9" s="13">
        <v>8</v>
      </c>
      <c r="R9" s="125">
        <v>0</v>
      </c>
      <c r="S9" s="67">
        <v>0</v>
      </c>
      <c r="T9" s="67">
        <v>0</v>
      </c>
      <c r="U9" s="67">
        <v>0</v>
      </c>
      <c r="V9" s="67">
        <v>0</v>
      </c>
      <c r="W9" s="67">
        <v>0</v>
      </c>
      <c r="X9" s="67">
        <f>-$H$10</f>
        <v>-7.9218915459343338</v>
      </c>
      <c r="Y9" s="65">
        <f>$H$11+$I$11*$J$11</f>
        <v>7.921845194659638</v>
      </c>
      <c r="Z9" s="13">
        <f>$I$16*$J$16</f>
        <v>0</v>
      </c>
      <c r="AC9" s="7">
        <v>0.11423351872289941</v>
      </c>
      <c r="AD9" s="8">
        <v>0.12614065862110482</v>
      </c>
      <c r="AE9" s="8">
        <v>0.12641558658367313</v>
      </c>
      <c r="AF9" s="8">
        <v>0.12641640678505633</v>
      </c>
      <c r="AG9" s="8">
        <v>0.12641640815279542</v>
      </c>
      <c r="AH9" s="8">
        <v>0.12641640815482769</v>
      </c>
      <c r="AI9" s="8">
        <v>0.12641640815483066</v>
      </c>
      <c r="AJ9" s="9">
        <v>0.12641640815483066</v>
      </c>
    </row>
    <row r="10" spans="1:36" ht="15.75" thickBot="1" x14ac:dyDescent="0.3">
      <c r="B10" s="7">
        <v>0.99954328882536991</v>
      </c>
      <c r="C10" s="8">
        <v>1.0232264532102367E-6</v>
      </c>
      <c r="D10" s="9">
        <v>4.5568794928073451E-4</v>
      </c>
      <c r="E10">
        <f t="shared" si="0"/>
        <v>1.0000000000011038</v>
      </c>
      <c r="G10" s="118">
        <v>7</v>
      </c>
      <c r="H10" s="24">
        <f t="shared" si="2"/>
        <v>7.9218915459343338</v>
      </c>
      <c r="I10" s="24">
        <f t="shared" si="3"/>
        <v>6.0117972562478839</v>
      </c>
      <c r="J10" s="24">
        <f t="shared" si="4"/>
        <v>1.9107596967942622E-3</v>
      </c>
      <c r="K10" s="24">
        <f t="shared" si="5"/>
        <v>7.5016205642763722</v>
      </c>
      <c r="L10" s="24">
        <f t="shared" si="6"/>
        <v>2190.0605398613775</v>
      </c>
      <c r="R10" s="66"/>
      <c r="S10" s="5"/>
      <c r="T10" s="5"/>
      <c r="U10" s="5"/>
    </row>
    <row r="11" spans="1:36" ht="15.75" thickBot="1" x14ac:dyDescent="0.3">
      <c r="G11" s="118">
        <v>8</v>
      </c>
      <c r="H11" s="24">
        <f>J27</f>
        <v>7.9103655498203436</v>
      </c>
      <c r="I11" s="24">
        <f t="shared" si="3"/>
        <v>6.0115259961139893</v>
      </c>
      <c r="J11" s="24">
        <f t="shared" si="4"/>
        <v>1.9096057883996897E-3</v>
      </c>
      <c r="K11" s="24">
        <f t="shared" si="5"/>
        <v>7.5017761019656897</v>
      </c>
      <c r="L11" s="24">
        <f t="shared" si="6"/>
        <v>2190.2786587127016</v>
      </c>
      <c r="R11" s="16">
        <v>1</v>
      </c>
      <c r="S11" s="14">
        <v>2</v>
      </c>
      <c r="T11" s="14">
        <v>3</v>
      </c>
      <c r="U11" s="14">
        <v>4</v>
      </c>
      <c r="V11" s="14">
        <v>5</v>
      </c>
      <c r="W11" s="14">
        <v>6</v>
      </c>
      <c r="X11" s="14">
        <v>7</v>
      </c>
      <c r="Y11" s="15">
        <v>8</v>
      </c>
      <c r="Z11" s="22" t="s">
        <v>22</v>
      </c>
      <c r="AB11" s="10" t="s">
        <v>27</v>
      </c>
    </row>
    <row r="12" spans="1:36" ht="15.75" thickBot="1" x14ac:dyDescent="0.3">
      <c r="I12" s="89">
        <f>I16</f>
        <v>6</v>
      </c>
      <c r="P12" s="11">
        <v>1</v>
      </c>
      <c r="Q12" s="93" t="s">
        <v>21</v>
      </c>
      <c r="R12" s="119">
        <f>$H$4+$I$4*$K$4</f>
        <v>87.084528805012354</v>
      </c>
      <c r="S12" s="120">
        <f>-$I$5*$K$5</f>
        <v>-52.383490085193728</v>
      </c>
      <c r="T12" s="120">
        <v>0</v>
      </c>
      <c r="U12" s="120">
        <v>0</v>
      </c>
      <c r="V12" s="121">
        <v>0</v>
      </c>
      <c r="W12" s="121">
        <v>0</v>
      </c>
      <c r="X12" s="121">
        <v>0</v>
      </c>
      <c r="Y12" s="122">
        <v>0</v>
      </c>
      <c r="Z12" s="11">
        <f>$I$15*$K$15</f>
        <v>16.25</v>
      </c>
      <c r="AC12" s="1">
        <f t="array" ref="AC12:AJ19">MINVERSE(R12:Y19)</f>
        <v>1.3021320809347705E-2</v>
      </c>
      <c r="AD12" s="2">
        <v>1.3021272391270431E-2</v>
      </c>
      <c r="AE12" s="2">
        <v>1.3020966067459196E-2</v>
      </c>
      <c r="AF12" s="2">
        <v>1.3019181728925874E-2</v>
      </c>
      <c r="AG12" s="2">
        <v>1.3008982207811923E-2</v>
      </c>
      <c r="AH12" s="2">
        <v>1.2950877112512992E-2</v>
      </c>
      <c r="AI12" s="2">
        <v>1.2620058323221392E-2</v>
      </c>
      <c r="AJ12" s="3">
        <v>1.073675316937457E-2</v>
      </c>
    </row>
    <row r="13" spans="1:36" ht="15.75" thickBot="1" x14ac:dyDescent="0.3">
      <c r="P13" s="12">
        <v>2</v>
      </c>
      <c r="R13" s="66">
        <f>-$H$4</f>
        <v>-10.287442200406767</v>
      </c>
      <c r="S13" s="68">
        <f>$H$5+$I$5*$K$5</f>
        <v>60.663316131015073</v>
      </c>
      <c r="T13" s="68">
        <f>-$I$6*$K$6</f>
        <v>-46.500553113404898</v>
      </c>
      <c r="U13" s="68">
        <v>0</v>
      </c>
      <c r="V13" s="123">
        <v>0</v>
      </c>
      <c r="W13" s="123">
        <v>0</v>
      </c>
      <c r="X13" s="123">
        <v>0</v>
      </c>
      <c r="Y13" s="24">
        <v>0</v>
      </c>
      <c r="Z13" s="12">
        <v>0</v>
      </c>
      <c r="AC13" s="4">
        <v>2.5572100462013646E-3</v>
      </c>
      <c r="AD13" s="5">
        <v>2.1647113790839511E-2</v>
      </c>
      <c r="AE13" s="5">
        <v>2.1646604545183679E-2</v>
      </c>
      <c r="AF13" s="5">
        <v>2.1643638185360189E-2</v>
      </c>
      <c r="AG13" s="5">
        <v>2.1626682070202519E-2</v>
      </c>
      <c r="AH13" s="5">
        <v>2.1530085702968334E-2</v>
      </c>
      <c r="AI13" s="5">
        <v>2.0980118559915249E-2</v>
      </c>
      <c r="AJ13" s="6">
        <v>1.784923244194048E-2</v>
      </c>
    </row>
    <row r="14" spans="1:36" ht="15.75" thickBot="1" x14ac:dyDescent="0.3">
      <c r="A14" s="5"/>
      <c r="B14" t="s">
        <v>120</v>
      </c>
      <c r="C14" t="s">
        <v>116</v>
      </c>
      <c r="D14" t="s">
        <v>121</v>
      </c>
      <c r="E14" s="5"/>
      <c r="H14" s="18"/>
      <c r="I14" s="19" t="s">
        <v>25</v>
      </c>
      <c r="J14" s="93" t="s">
        <v>28</v>
      </c>
      <c r="K14" s="93" t="s">
        <v>29</v>
      </c>
      <c r="L14" s="22" t="s">
        <v>30</v>
      </c>
      <c r="N14" s="94" t="s">
        <v>116</v>
      </c>
      <c r="P14" s="12">
        <v>3</v>
      </c>
      <c r="R14" s="66">
        <v>0</v>
      </c>
      <c r="S14" s="68">
        <f>-$H$5</f>
        <v>-8.2798260458213466</v>
      </c>
      <c r="T14" s="68">
        <f>$H$6+$I$6*$K$6</f>
        <v>54.483470249547693</v>
      </c>
      <c r="U14" s="68">
        <f>-$I$7*$K$7</f>
        <v>-45.343297594480354</v>
      </c>
      <c r="V14" s="123">
        <v>0</v>
      </c>
      <c r="W14" s="123">
        <v>0</v>
      </c>
      <c r="X14" s="123">
        <v>0</v>
      </c>
      <c r="Y14" s="124">
        <v>0</v>
      </c>
      <c r="Z14" s="12">
        <v>0</v>
      </c>
      <c r="AC14" s="4">
        <v>4.5532267531026672E-4</v>
      </c>
      <c r="AD14" s="5">
        <v>3.8543653379714137E-3</v>
      </c>
      <c r="AE14" s="5">
        <v>2.5358889301795591E-2</v>
      </c>
      <c r="AF14" s="5">
        <v>2.535541422605167E-2</v>
      </c>
      <c r="AG14" s="5">
        <v>2.5335550221682102E-2</v>
      </c>
      <c r="AH14" s="5">
        <v>2.5222388059065133E-2</v>
      </c>
      <c r="AI14" s="5">
        <v>2.4578104292934663E-2</v>
      </c>
      <c r="AJ14" s="6">
        <v>2.0910286815300917E-2</v>
      </c>
    </row>
    <row r="15" spans="1:36" x14ac:dyDescent="0.25">
      <c r="A15" s="5"/>
      <c r="B15">
        <f>K20*F20/I15/J15</f>
        <v>9.6371108859619359E-2</v>
      </c>
      <c r="C15">
        <f>K20*G20/I15/K15</f>
        <v>0.99999856822041333</v>
      </c>
      <c r="D15">
        <f>J27*D27/K28</f>
        <v>6.0077637590993645E-4</v>
      </c>
      <c r="E15" s="5"/>
      <c r="H15" s="91" t="s">
        <v>7</v>
      </c>
      <c r="I15" s="1">
        <v>25</v>
      </c>
      <c r="J15" s="2">
        <v>0.35</v>
      </c>
      <c r="K15" s="2">
        <v>0.65</v>
      </c>
      <c r="L15" s="3">
        <v>0</v>
      </c>
      <c r="N15" s="58">
        <f>K20*G20/I15/K15</f>
        <v>0.99999856822041333</v>
      </c>
      <c r="P15" s="12">
        <v>4</v>
      </c>
      <c r="R15" s="66">
        <v>0</v>
      </c>
      <c r="S15" s="68">
        <v>0</v>
      </c>
      <c r="T15" s="68">
        <f>-$H$6</f>
        <v>-7.9829171361427953</v>
      </c>
      <c r="U15" s="68">
        <f>$H$7+$I$7*$K$7</f>
        <v>53.275806603656001</v>
      </c>
      <c r="V15" s="68">
        <f>-$I$8*$K$8</f>
        <v>-45.14013578141801</v>
      </c>
      <c r="W15" s="123">
        <v>0</v>
      </c>
      <c r="X15" s="123">
        <v>0</v>
      </c>
      <c r="Y15" s="24">
        <v>0</v>
      </c>
      <c r="Z15" s="12">
        <v>0</v>
      </c>
      <c r="AC15" s="4">
        <v>8.0150877458010951E-5</v>
      </c>
      <c r="AD15" s="5">
        <v>6.7848754440274616E-4</v>
      </c>
      <c r="AE15" s="5">
        <v>4.4639490609916762E-3</v>
      </c>
      <c r="AF15" s="5">
        <v>2.6514291224000331E-2</v>
      </c>
      <c r="AG15" s="5">
        <v>2.6493519329207609E-2</v>
      </c>
      <c r="AH15" s="5">
        <v>2.6375185055177833E-2</v>
      </c>
      <c r="AI15" s="5">
        <v>2.5701454101552661E-2</v>
      </c>
      <c r="AJ15" s="6">
        <v>2.1865997899123937E-2</v>
      </c>
    </row>
    <row r="16" spans="1:36" ht="15.75" thickBot="1" x14ac:dyDescent="0.3">
      <c r="A16" s="5"/>
      <c r="B16" s="5"/>
      <c r="C16" s="5"/>
      <c r="D16" s="5"/>
      <c r="E16" s="5"/>
      <c r="F16">
        <f>I16/I15</f>
        <v>0.24</v>
      </c>
      <c r="H16" s="92" t="s">
        <v>18</v>
      </c>
      <c r="I16" s="109">
        <v>6</v>
      </c>
      <c r="J16" s="8">
        <v>0</v>
      </c>
      <c r="K16" s="8">
        <v>0</v>
      </c>
      <c r="L16" s="9">
        <v>1</v>
      </c>
      <c r="N16" s="33">
        <f>0.99</f>
        <v>0.99</v>
      </c>
      <c r="P16" s="12">
        <v>5</v>
      </c>
      <c r="R16" s="66">
        <v>0</v>
      </c>
      <c r="S16" s="68">
        <v>0</v>
      </c>
      <c r="T16" s="123">
        <v>0</v>
      </c>
      <c r="U16" s="68">
        <f>-$H$7</f>
        <v>-7.9325090091756438</v>
      </c>
      <c r="V16" s="68">
        <f>$H$8+$I$8*$K$8</f>
        <v>53.06384308488893</v>
      </c>
      <c r="W16" s="68">
        <f>-$I$9*$K$9</f>
        <v>-45.104483429399387</v>
      </c>
      <c r="X16" s="123">
        <v>0</v>
      </c>
      <c r="Y16" s="24">
        <v>0</v>
      </c>
      <c r="Z16" s="116">
        <v>0</v>
      </c>
      <c r="AC16" s="4">
        <v>1.4073937713300665E-5</v>
      </c>
      <c r="AD16" s="5">
        <v>1.1913770306728143E-4</v>
      </c>
      <c r="AE16" s="5">
        <v>7.8383846855147E-4</v>
      </c>
      <c r="AF16" s="5">
        <v>4.6557254896477532E-3</v>
      </c>
      <c r="AG16" s="5">
        <v>2.6787956949668453E-2</v>
      </c>
      <c r="AH16" s="5">
        <v>2.6668307559227326E-2</v>
      </c>
      <c r="AI16" s="5">
        <v>2.5987089048499931E-2</v>
      </c>
      <c r="AJ16" s="6">
        <v>2.2109007229459379E-2</v>
      </c>
    </row>
    <row r="17" spans="1:36" ht="15.75" thickBot="1" x14ac:dyDescent="0.3">
      <c r="A17" s="5"/>
      <c r="B17" s="5"/>
      <c r="C17" s="5"/>
      <c r="D17" s="5"/>
      <c r="E17" s="5"/>
      <c r="N17" s="33">
        <f>ABS(N16-N15)</f>
        <v>9.9985682204133397E-3</v>
      </c>
      <c r="P17" s="12">
        <v>6</v>
      </c>
      <c r="R17" s="66">
        <v>0</v>
      </c>
      <c r="S17" s="68">
        <v>0</v>
      </c>
      <c r="T17" s="68">
        <v>0</v>
      </c>
      <c r="U17" s="123">
        <v>0</v>
      </c>
      <c r="V17" s="68">
        <f>-$H$8</f>
        <v>-7.923707303470918</v>
      </c>
      <c r="W17" s="68">
        <f>$H$9+$I$9*$K$9</f>
        <v>53.026646235467616</v>
      </c>
      <c r="X17" s="68">
        <f>-$I$10*$K$10</f>
        <v>-45.098221925729398</v>
      </c>
      <c r="Y17" s="24">
        <v>0</v>
      </c>
      <c r="Z17" s="116">
        <v>0</v>
      </c>
      <c r="AC17" s="4">
        <v>2.4613886787963699E-6</v>
      </c>
      <c r="AD17" s="5">
        <v>2.0835973522213171E-5</v>
      </c>
      <c r="AE17" s="5">
        <v>1.3708538234287807E-4</v>
      </c>
      <c r="AF17" s="5">
        <v>8.1423907404199641E-4</v>
      </c>
      <c r="AG17" s="5">
        <v>4.6849414362325646E-3</v>
      </c>
      <c r="AH17" s="5">
        <v>2.6735734519187707E-2</v>
      </c>
      <c r="AI17" s="5">
        <v>2.6052793645946488E-2</v>
      </c>
      <c r="AJ17" s="6">
        <v>2.2164906657719446E-2</v>
      </c>
    </row>
    <row r="18" spans="1:36" ht="15.75" thickBot="1" x14ac:dyDescent="0.3">
      <c r="A18" s="5"/>
      <c r="B18" s="5"/>
      <c r="C18" s="5"/>
      <c r="D18" s="5"/>
      <c r="E18" s="5"/>
      <c r="J18" s="19" t="s">
        <v>74</v>
      </c>
      <c r="K18" s="22" t="s">
        <v>75</v>
      </c>
      <c r="P18" s="12">
        <v>7</v>
      </c>
      <c r="R18" s="66">
        <v>0</v>
      </c>
      <c r="S18" s="68">
        <v>0</v>
      </c>
      <c r="T18" s="68">
        <v>0</v>
      </c>
      <c r="U18" s="123">
        <v>0</v>
      </c>
      <c r="V18" s="123">
        <v>0</v>
      </c>
      <c r="W18" s="68">
        <f>-$H$9</f>
        <v>-7.9221628060682274</v>
      </c>
      <c r="X18" s="68">
        <f>$H$10+$I$10*$K$10</f>
        <v>53.020113471663734</v>
      </c>
      <c r="Y18" s="24">
        <f>-$I$11*$K$11</f>
        <v>-45.097122053993409</v>
      </c>
      <c r="Z18" s="116">
        <v>0</v>
      </c>
      <c r="AC18" s="4">
        <v>4.2133420919205154E-7</v>
      </c>
      <c r="AD18" s="5">
        <v>3.5666485762098892E-6</v>
      </c>
      <c r="AE18" s="5">
        <v>2.346592460540237E-5</v>
      </c>
      <c r="AF18" s="5">
        <v>1.3937935902204367E-4</v>
      </c>
      <c r="AG18" s="5">
        <v>8.0195627458211154E-4</v>
      </c>
      <c r="AH18" s="5">
        <v>4.5765545514408834E-3</v>
      </c>
      <c r="AI18" s="5">
        <v>2.6067062837991956E-2</v>
      </c>
      <c r="AJ18" s="6">
        <v>2.2177046442575808E-2</v>
      </c>
    </row>
    <row r="19" spans="1:36" ht="15.75" thickBot="1" x14ac:dyDescent="0.3">
      <c r="A19" s="17" t="s">
        <v>6</v>
      </c>
      <c r="B19" s="95" t="s">
        <v>68</v>
      </c>
      <c r="C19" s="96" t="s">
        <v>69</v>
      </c>
      <c r="D19" s="96" t="s">
        <v>70</v>
      </c>
      <c r="E19" s="128" t="s">
        <v>76</v>
      </c>
      <c r="F19" s="96" t="s">
        <v>71</v>
      </c>
      <c r="G19" s="96" t="s">
        <v>72</v>
      </c>
      <c r="H19" s="96" t="s">
        <v>73</v>
      </c>
      <c r="I19" s="101" t="s">
        <v>77</v>
      </c>
      <c r="J19" s="95">
        <f>I15</f>
        <v>25</v>
      </c>
      <c r="K19" s="3"/>
      <c r="L19" s="93" t="s">
        <v>62</v>
      </c>
      <c r="M19" s="93" t="s">
        <v>63</v>
      </c>
      <c r="N19" s="22" t="s">
        <v>64</v>
      </c>
      <c r="P19" s="13">
        <v>8</v>
      </c>
      <c r="R19" s="125">
        <v>0</v>
      </c>
      <c r="S19" s="67">
        <v>0</v>
      </c>
      <c r="T19" s="67">
        <v>0</v>
      </c>
      <c r="U19" s="67">
        <v>0</v>
      </c>
      <c r="V19" s="67">
        <v>0</v>
      </c>
      <c r="W19" s="67">
        <v>0</v>
      </c>
      <c r="X19" s="67">
        <f>-$H$10</f>
        <v>-7.9218915459343338</v>
      </c>
      <c r="Y19" s="65">
        <f>$H$11+$I$11*$K$11</f>
        <v>53.00748760381375</v>
      </c>
      <c r="Z19" s="13">
        <f>$I$16*$K$16</f>
        <v>0</v>
      </c>
      <c r="AC19" s="7">
        <v>6.296778173601456E-8</v>
      </c>
      <c r="AD19" s="8">
        <v>5.3303041665311844E-7</v>
      </c>
      <c r="AE19" s="8">
        <v>3.5069481341668961E-6</v>
      </c>
      <c r="AF19" s="8">
        <v>2.0830041487101788E-5</v>
      </c>
      <c r="AG19" s="8">
        <v>1.198511930862375E-4</v>
      </c>
      <c r="AH19" s="8">
        <v>6.8395938855925675E-4</v>
      </c>
      <c r="AI19" s="8">
        <v>3.8956844411688427E-3</v>
      </c>
      <c r="AJ19" s="9">
        <v>2.217958650510814E-2</v>
      </c>
    </row>
    <row r="20" spans="1:36" ht="15.75" thickBot="1" x14ac:dyDescent="0.3">
      <c r="A20" s="98">
        <v>1</v>
      </c>
      <c r="B20" s="72">
        <f>I41</f>
        <v>0.7863820636181047</v>
      </c>
      <c r="C20" s="73">
        <f t="shared" ref="C20:H20" si="7">J41</f>
        <v>0.21159626558811664</v>
      </c>
      <c r="D20" s="73">
        <f t="shared" si="7"/>
        <v>2.021670793778664E-3</v>
      </c>
      <c r="E20" s="129">
        <f t="shared" si="7"/>
        <v>1</v>
      </c>
      <c r="F20" s="73">
        <f t="shared" si="7"/>
        <v>3.6520595609304166E-2</v>
      </c>
      <c r="G20" s="73">
        <f t="shared" si="7"/>
        <v>0.70377799911229344</v>
      </c>
      <c r="H20" s="74">
        <f t="shared" si="7"/>
        <v>0.25970140527840235</v>
      </c>
      <c r="I20" s="55">
        <v>1</v>
      </c>
      <c r="J20" s="102">
        <f>(K22*(F21-F22)+J21*(B21-F21))/(B20-F21)</f>
        <v>10.287442200406767</v>
      </c>
      <c r="K20" s="6">
        <f>J19+K28-J27</f>
        <v>23.089634450179656</v>
      </c>
      <c r="L20" s="1">
        <f>F20/B20</f>
        <v>4.6441287637302819E-2</v>
      </c>
      <c r="M20" s="1">
        <f t="shared" ref="M20:N20" si="8">G20/C20</f>
        <v>3.3260416820504508</v>
      </c>
      <c r="N20" s="11">
        <f t="shared" si="8"/>
        <v>128.4588005513003</v>
      </c>
    </row>
    <row r="21" spans="1:36" ht="15.75" thickBot="1" x14ac:dyDescent="0.3">
      <c r="A21" s="99">
        <v>2</v>
      </c>
      <c r="B21" s="75">
        <f t="shared" ref="B21:B27" si="9">I42</f>
        <v>0.95779556429235291</v>
      </c>
      <c r="C21" s="76">
        <f t="shared" ref="C21:C27" si="10">J42</f>
        <v>4.155462678346409E-2</v>
      </c>
      <c r="D21" s="76">
        <f t="shared" ref="D21:D27" si="11">K42</f>
        <v>6.4980892418292852E-4</v>
      </c>
      <c r="E21" s="130">
        <f t="shared" ref="E21:E27" si="12">L42</f>
        <v>1</v>
      </c>
      <c r="F21" s="76">
        <f t="shared" ref="F21:F27" si="13">M42</f>
        <v>2.1858129878362706E-2</v>
      </c>
      <c r="G21" s="76">
        <f t="shared" ref="G21:G27" si="14">N42</f>
        <v>0.25984916587257623</v>
      </c>
      <c r="H21" s="77">
        <f t="shared" ref="H21:H27" si="15">O42</f>
        <v>0.71829270424906111</v>
      </c>
      <c r="I21" s="56">
        <v>1</v>
      </c>
      <c r="J21" s="102">
        <f t="shared" ref="J21:J26" si="16">(K23*(F22-F23)+J22*(B22-F22))/(B21-F22)</f>
        <v>8.2798260458213466</v>
      </c>
      <c r="K21" s="6">
        <f>K22+J20-J21</f>
        <v>8.3770766505864227</v>
      </c>
      <c r="L21" s="1">
        <f t="shared" ref="L21:L27" si="17">F21/B21</f>
        <v>2.2821289524881154E-2</v>
      </c>
      <c r="M21" s="1">
        <f t="shared" ref="M21:M27" si="18">G21/C21</f>
        <v>6.2531945534396787</v>
      </c>
      <c r="N21" s="11">
        <f t="shared" ref="N21:N27" si="19">H21/D21</f>
        <v>1105.3906425681123</v>
      </c>
      <c r="R21" s="16">
        <v>1</v>
      </c>
      <c r="S21" s="14">
        <v>2</v>
      </c>
      <c r="T21" s="14">
        <v>3</v>
      </c>
      <c r="U21" s="14">
        <v>4</v>
      </c>
      <c r="V21" s="14">
        <v>5</v>
      </c>
      <c r="W21" s="14">
        <v>6</v>
      </c>
      <c r="X21" s="14">
        <v>7</v>
      </c>
      <c r="Y21" s="15">
        <v>8</v>
      </c>
      <c r="Z21" s="22" t="s">
        <v>24</v>
      </c>
      <c r="AB21" s="10" t="s">
        <v>27</v>
      </c>
    </row>
    <row r="22" spans="1:36" ht="15.75" thickBot="1" x14ac:dyDescent="0.3">
      <c r="A22" s="99">
        <v>3</v>
      </c>
      <c r="B22" s="75">
        <f t="shared" si="9"/>
        <v>0.99211319696682543</v>
      </c>
      <c r="C22" s="76">
        <f t="shared" si="10"/>
        <v>7.3989867747009897E-3</v>
      </c>
      <c r="D22" s="76">
        <f t="shared" si="11"/>
        <v>4.8781625847364176E-4</v>
      </c>
      <c r="E22" s="130">
        <f t="shared" si="12"/>
        <v>1</v>
      </c>
      <c r="F22" s="76">
        <f t="shared" si="13"/>
        <v>3.7095547317516891E-3</v>
      </c>
      <c r="G22" s="76">
        <f t="shared" si="14"/>
        <v>5.4016659294515781E-2</v>
      </c>
      <c r="H22" s="77">
        <f t="shared" si="15"/>
        <v>0.94227378597373246</v>
      </c>
      <c r="I22" s="56">
        <v>1</v>
      </c>
      <c r="J22" s="102">
        <f>(K24*(F23-F24)+J23*(B23-F23))/(B22-F23)</f>
        <v>7.9829171361427953</v>
      </c>
      <c r="K22" s="6">
        <f t="shared" ref="K22:K27" si="20">K23+J21-J22</f>
        <v>6.3694604960010039</v>
      </c>
      <c r="L22" s="1">
        <f t="shared" si="17"/>
        <v>3.7390438340028755E-3</v>
      </c>
      <c r="M22" s="1">
        <f t="shared" si="18"/>
        <v>7.3005481614337286</v>
      </c>
      <c r="N22" s="11">
        <f t="shared" si="19"/>
        <v>1931.6161968895231</v>
      </c>
      <c r="P22" s="11">
        <v>1</v>
      </c>
      <c r="Q22" s="93" t="s">
        <v>21</v>
      </c>
      <c r="R22" s="119">
        <f>$H$4+$I$4*$L$4</f>
        <v>2976.3541888384675</v>
      </c>
      <c r="S22" s="120">
        <f>-$I$5*$L$5</f>
        <v>-9259.9421416340556</v>
      </c>
      <c r="T22" s="120">
        <v>0</v>
      </c>
      <c r="U22" s="120">
        <v>0</v>
      </c>
      <c r="V22" s="121">
        <v>0</v>
      </c>
      <c r="W22" s="121">
        <v>0</v>
      </c>
      <c r="X22" s="121">
        <v>0</v>
      </c>
      <c r="Y22" s="122">
        <v>0</v>
      </c>
      <c r="Z22" s="11">
        <f>$I$15*$L$15</f>
        <v>0</v>
      </c>
      <c r="AC22" s="1">
        <f t="array" ref="AC22:AJ29">MINVERSE(R22:Y29)</f>
        <v>3.371468295962885E-4</v>
      </c>
      <c r="AD22" s="2">
        <v>3.371468295962885E-4</v>
      </c>
      <c r="AE22" s="2">
        <v>3.371468295962885E-4</v>
      </c>
      <c r="AF22" s="2">
        <v>3.371468295962885E-4</v>
      </c>
      <c r="AG22" s="2">
        <v>3.3714682959624416E-4</v>
      </c>
      <c r="AH22" s="2">
        <v>3.3714682952293529E-4</v>
      </c>
      <c r="AI22" s="2">
        <v>3.3714670772526362E-4</v>
      </c>
      <c r="AJ22" s="3">
        <v>3.3694427974585402E-4</v>
      </c>
    </row>
    <row r="23" spans="1:36" ht="15.75" thickBot="1" x14ac:dyDescent="0.3">
      <c r="A23" s="99">
        <v>4</v>
      </c>
      <c r="B23" s="75">
        <f t="shared" si="9"/>
        <v>0.99823627873488086</v>
      </c>
      <c r="C23" s="76">
        <f t="shared" si="10"/>
        <v>1.3024505335554541E-3</v>
      </c>
      <c r="D23" s="76">
        <f t="shared" si="11"/>
        <v>4.6127073156363167E-4</v>
      </c>
      <c r="E23" s="130">
        <f t="shared" si="12"/>
        <v>1</v>
      </c>
      <c r="F23" s="76">
        <f t="shared" si="13"/>
        <v>2.1744802648185537E-3</v>
      </c>
      <c r="G23" s="76">
        <f t="shared" si="14"/>
        <v>9.7253026681754298E-3</v>
      </c>
      <c r="H23" s="77">
        <f t="shared" si="15"/>
        <v>0.98810021706700601</v>
      </c>
      <c r="I23" s="56">
        <v>1</v>
      </c>
      <c r="J23" s="102">
        <f>(K25*(F24-F25)+J24*(B24-F24))/(B23-F24)</f>
        <v>7.9325090091756438</v>
      </c>
      <c r="K23" s="6">
        <f t="shared" si="20"/>
        <v>6.0725515863224517</v>
      </c>
      <c r="L23" s="1">
        <f>F23/B23</f>
        <v>2.1783222180367869E-3</v>
      </c>
      <c r="M23" s="1">
        <f>G23/C23</f>
        <v>7.4669267028722501</v>
      </c>
      <c r="N23" s="11">
        <f>H23/D23</f>
        <v>2142.1264117875185</v>
      </c>
      <c r="P23" s="12">
        <v>2</v>
      </c>
      <c r="R23" s="66">
        <f>-$H$4</f>
        <v>-10.287442200406767</v>
      </c>
      <c r="S23" s="68">
        <f>$H$5+$I$5*$L$5</f>
        <v>9268.2219676798777</v>
      </c>
      <c r="T23" s="68">
        <f>-$I$6*$L$6</f>
        <v>-12303.353059523515</v>
      </c>
      <c r="U23" s="68">
        <v>0</v>
      </c>
      <c r="V23" s="123">
        <v>0</v>
      </c>
      <c r="W23" s="123">
        <v>0</v>
      </c>
      <c r="X23" s="123">
        <v>0</v>
      </c>
      <c r="Y23" s="24">
        <v>0</v>
      </c>
      <c r="Z23" s="12">
        <v>0</v>
      </c>
      <c r="AC23" s="4">
        <v>3.7455725634913738E-7</v>
      </c>
      <c r="AD23" s="5">
        <v>1.083665927037256E-4</v>
      </c>
      <c r="AE23" s="5">
        <v>1.083665927037256E-4</v>
      </c>
      <c r="AF23" s="5">
        <v>1.083665927037256E-4</v>
      </c>
      <c r="AG23" s="5">
        <v>1.0836659270371135E-4</v>
      </c>
      <c r="AH23" s="5">
        <v>1.0836659268014822E-4</v>
      </c>
      <c r="AI23" s="5">
        <v>1.0836655353163036E-4</v>
      </c>
      <c r="AJ23" s="6">
        <v>1.0830148861489132E-4</v>
      </c>
    </row>
    <row r="24" spans="1:36" ht="15.75" thickBot="1" x14ac:dyDescent="0.3">
      <c r="A24" s="99">
        <v>5</v>
      </c>
      <c r="B24" s="75">
        <f t="shared" si="9"/>
        <v>0.99931463622689753</v>
      </c>
      <c r="C24" s="76">
        <f t="shared" si="10"/>
        <v>2.2870126443180367E-4</v>
      </c>
      <c r="D24" s="76">
        <f t="shared" si="11"/>
        <v>4.566625086707141E-4</v>
      </c>
      <c r="E24" s="130">
        <f t="shared" si="12"/>
        <v>1</v>
      </c>
      <c r="F24" s="76">
        <f t="shared" si="13"/>
        <v>1.9537025232772166E-3</v>
      </c>
      <c r="G24" s="76">
        <f t="shared" si="14"/>
        <v>1.714274360866653E-3</v>
      </c>
      <c r="H24" s="77">
        <f t="shared" si="15"/>
        <v>0.99633202311585611</v>
      </c>
      <c r="I24" s="56">
        <v>1</v>
      </c>
      <c r="J24" s="102">
        <f t="shared" si="16"/>
        <v>7.923707303470918</v>
      </c>
      <c r="K24" s="6">
        <f t="shared" si="20"/>
        <v>6.0221434593553003</v>
      </c>
      <c r="L24" s="1">
        <f t="shared" si="17"/>
        <v>1.9550424385394692E-3</v>
      </c>
      <c r="M24" s="1">
        <f t="shared" si="18"/>
        <v>7.4956925363997353</v>
      </c>
      <c r="N24" s="11">
        <f t="shared" si="19"/>
        <v>2181.7688209528096</v>
      </c>
      <c r="P24" s="12">
        <v>3</v>
      </c>
      <c r="R24" s="66">
        <v>0</v>
      </c>
      <c r="S24" s="68">
        <f>-$H$5</f>
        <v>-8.2798260458213466</v>
      </c>
      <c r="T24" s="68">
        <f>$H$6+$I$6*$L$6</f>
        <v>12311.335976659659</v>
      </c>
      <c r="U24" s="68">
        <f>-$I$7*$L$7</f>
        <v>-13008.173140003517</v>
      </c>
      <c r="V24" s="123">
        <v>0</v>
      </c>
      <c r="W24" s="123">
        <v>0</v>
      </c>
      <c r="X24" s="123">
        <v>0</v>
      </c>
      <c r="Y24" s="124">
        <v>0</v>
      </c>
      <c r="Z24" s="12">
        <v>0</v>
      </c>
      <c r="AC24" s="4">
        <v>2.5206697001760895E-10</v>
      </c>
      <c r="AD24" s="5">
        <v>7.292780532463804E-8</v>
      </c>
      <c r="AE24" s="5">
        <v>8.1351583726357602E-5</v>
      </c>
      <c r="AF24" s="5">
        <v>8.1351583726357602E-5</v>
      </c>
      <c r="AG24" s="5">
        <v>8.1351583726346909E-5</v>
      </c>
      <c r="AH24" s="5">
        <v>8.1351583708657907E-5</v>
      </c>
      <c r="AI24" s="5">
        <v>8.135155431958283E-5</v>
      </c>
      <c r="AJ24" s="6">
        <v>8.1302709616711937E-5</v>
      </c>
    </row>
    <row r="25" spans="1:36" ht="15.75" thickBot="1" x14ac:dyDescent="0.3">
      <c r="A25" s="127">
        <v>6</v>
      </c>
      <c r="B25" s="75">
        <f t="shared" si="9"/>
        <v>0.99950414776227747</v>
      </c>
      <c r="C25" s="76">
        <f t="shared" si="10"/>
        <v>3.9997525516683924E-5</v>
      </c>
      <c r="D25" s="76">
        <f t="shared" si="11"/>
        <v>4.5585471220592174E-4</v>
      </c>
      <c r="E25" s="130">
        <f t="shared" si="12"/>
        <v>1</v>
      </c>
      <c r="F25" s="76">
        <f t="shared" si="13"/>
        <v>1.9163860179947233E-3</v>
      </c>
      <c r="G25" s="76">
        <f t="shared" si="14"/>
        <v>3.0001084268810058E-4</v>
      </c>
      <c r="H25" s="77">
        <f t="shared" si="15"/>
        <v>0.99778360313931724</v>
      </c>
      <c r="I25" s="56">
        <v>0.99999999999999989</v>
      </c>
      <c r="J25" s="102">
        <f>(K27*(F26-F27)+J26*(B26-F26))/(B25-F26)</f>
        <v>7.9221628060682274</v>
      </c>
      <c r="K25" s="6">
        <f t="shared" si="20"/>
        <v>6.0133417536505736</v>
      </c>
      <c r="L25" s="1">
        <f t="shared" si="17"/>
        <v>1.9173367337045983E-3</v>
      </c>
      <c r="M25" s="1">
        <f t="shared" si="18"/>
        <v>7.5007350782977538</v>
      </c>
      <c r="N25" s="11">
        <f t="shared" si="19"/>
        <v>2188.8193242775819</v>
      </c>
      <c r="P25" s="12">
        <v>4</v>
      </c>
      <c r="R25" s="66">
        <v>0</v>
      </c>
      <c r="S25" s="68">
        <v>0</v>
      </c>
      <c r="T25" s="68">
        <f>-$H$6</f>
        <v>-7.9829171361427953</v>
      </c>
      <c r="U25" s="68">
        <f>$H$7+$I$7*$L$7</f>
        <v>13016.105649012692</v>
      </c>
      <c r="V25" s="68">
        <f>-$I$8*$L$8</f>
        <v>-13138.924834926287</v>
      </c>
      <c r="W25" s="123">
        <v>0</v>
      </c>
      <c r="X25" s="123">
        <v>0</v>
      </c>
      <c r="Y25" s="24">
        <v>0</v>
      </c>
      <c r="Z25" s="12">
        <v>0</v>
      </c>
      <c r="AC25" s="4">
        <v>1.546896487886552E-13</v>
      </c>
      <c r="AD25" s="5">
        <v>4.4754680043194843E-11</v>
      </c>
      <c r="AE25" s="5">
        <v>4.9924224162142405E-8</v>
      </c>
      <c r="AF25" s="5">
        <v>7.6924669758163356E-5</v>
      </c>
      <c r="AG25" s="5">
        <v>7.6924669758153259E-5</v>
      </c>
      <c r="AH25" s="5">
        <v>7.6924669741426839E-5</v>
      </c>
      <c r="AI25" s="5">
        <v>7.69246419516188E-5</v>
      </c>
      <c r="AJ25" s="6">
        <v>7.6878455233847978E-5</v>
      </c>
    </row>
    <row r="26" spans="1:36" ht="15.75" thickBot="1" x14ac:dyDescent="0.3">
      <c r="A26" s="127">
        <v>7</v>
      </c>
      <c r="B26" s="75">
        <f t="shared" si="9"/>
        <v>0.99953744046134185</v>
      </c>
      <c r="C26" s="76">
        <f t="shared" si="10"/>
        <v>6.8466737260413757E-6</v>
      </c>
      <c r="D26" s="76">
        <f t="shared" si="11"/>
        <v>4.557128649320723E-4</v>
      </c>
      <c r="E26" s="130">
        <f t="shared" si="12"/>
        <v>1</v>
      </c>
      <c r="F26" s="76">
        <f t="shared" si="13"/>
        <v>1.9098758566704266E-3</v>
      </c>
      <c r="G26" s="76">
        <f t="shared" si="14"/>
        <v>5.1361148420162714E-5</v>
      </c>
      <c r="H26" s="77">
        <f t="shared" si="15"/>
        <v>0.99803876299490935</v>
      </c>
      <c r="I26" s="56">
        <v>1</v>
      </c>
      <c r="J26" s="102">
        <f t="shared" si="16"/>
        <v>7.9218915459343338</v>
      </c>
      <c r="K26" s="6">
        <f t="shared" si="20"/>
        <v>6.0117972562478839</v>
      </c>
      <c r="L26" s="1">
        <f t="shared" si="17"/>
        <v>1.9107596967942622E-3</v>
      </c>
      <c r="M26" s="1">
        <f t="shared" si="18"/>
        <v>7.5016205642763722</v>
      </c>
      <c r="N26" s="11">
        <f t="shared" si="19"/>
        <v>2190.0605398613775</v>
      </c>
      <c r="P26" s="12">
        <v>5</v>
      </c>
      <c r="R26" s="66">
        <v>0</v>
      </c>
      <c r="S26" s="68">
        <v>0</v>
      </c>
      <c r="T26" s="123">
        <v>0</v>
      </c>
      <c r="U26" s="68">
        <f>-$H$7</f>
        <v>-7.9325090091756438</v>
      </c>
      <c r="V26" s="68">
        <f>$H$8+$I$8*$L$8</f>
        <v>13146.848542229758</v>
      </c>
      <c r="W26" s="68">
        <f>-$I$9*$L$9</f>
        <v>-13162.118633875618</v>
      </c>
      <c r="X26" s="123">
        <v>0</v>
      </c>
      <c r="Y26" s="24">
        <v>0</v>
      </c>
      <c r="Z26" s="116">
        <v>0</v>
      </c>
      <c r="AC26" s="4">
        <v>9.3392499619162859E-17</v>
      </c>
      <c r="AD26" s="5">
        <v>2.702024002007023E-14</v>
      </c>
      <c r="AE26" s="5">
        <v>3.0141306303048716E-11</v>
      </c>
      <c r="AF26" s="5">
        <v>4.644258518492662E-8</v>
      </c>
      <c r="AG26" s="5">
        <v>7.6156170935379804E-5</v>
      </c>
      <c r="AH26" s="5">
        <v>7.6156170918820473E-5</v>
      </c>
      <c r="AI26" s="5">
        <v>7.615614340664033E-5</v>
      </c>
      <c r="AJ26" s="6">
        <v>7.6110418107012054E-5</v>
      </c>
    </row>
    <row r="27" spans="1:36" ht="15.75" thickBot="1" x14ac:dyDescent="0.3">
      <c r="A27" s="127">
        <v>8</v>
      </c>
      <c r="B27" s="78">
        <f t="shared" si="9"/>
        <v>0.9995432888253698</v>
      </c>
      <c r="C27" s="79">
        <f t="shared" si="10"/>
        <v>1.0232253493685717E-6</v>
      </c>
      <c r="D27" s="79">
        <f t="shared" si="11"/>
        <v>4.5568794928086298E-4</v>
      </c>
      <c r="E27" s="131">
        <f t="shared" si="12"/>
        <v>1</v>
      </c>
      <c r="F27" s="79">
        <f t="shared" si="13"/>
        <v>1.908733650096989E-3</v>
      </c>
      <c r="G27" s="79">
        <f t="shared" si="14"/>
        <v>7.6760074728186445E-6</v>
      </c>
      <c r="H27" s="80">
        <f t="shared" si="15"/>
        <v>0.9980835903424301</v>
      </c>
      <c r="I27" s="57">
        <v>1</v>
      </c>
      <c r="J27" s="4">
        <f>(I15*J15+I16*J16-(I15+I16)*F20)/(B27-F20)</f>
        <v>7.9103655498203436</v>
      </c>
      <c r="K27" s="6">
        <f t="shared" si="20"/>
        <v>6.0115259961139893</v>
      </c>
      <c r="L27" s="16">
        <f t="shared" si="17"/>
        <v>1.9096057883996897E-3</v>
      </c>
      <c r="M27" s="16">
        <f t="shared" si="18"/>
        <v>7.5017761019656897</v>
      </c>
      <c r="N27" s="10">
        <f t="shared" si="19"/>
        <v>2190.2786587127016</v>
      </c>
      <c r="P27" s="12">
        <v>6</v>
      </c>
      <c r="R27" s="66">
        <v>0</v>
      </c>
      <c r="S27" s="68">
        <v>0</v>
      </c>
      <c r="T27" s="68">
        <v>0</v>
      </c>
      <c r="U27" s="123">
        <v>0</v>
      </c>
      <c r="V27" s="68">
        <f>-$H$8</f>
        <v>-7.923707303470918</v>
      </c>
      <c r="W27" s="68">
        <f>$H$9+$I$9*$L$9</f>
        <v>13170.040796681686</v>
      </c>
      <c r="X27" s="68">
        <f>-$I$10*$L$10</f>
        <v>-13166.199944555388</v>
      </c>
      <c r="Y27" s="24">
        <v>0</v>
      </c>
      <c r="Z27" s="116">
        <v>0</v>
      </c>
      <c r="AC27" s="4">
        <v>5.6223078650595502E-20</v>
      </c>
      <c r="AD27" s="5">
        <v>1.6266414176740441E-17</v>
      </c>
      <c r="AE27" s="5">
        <v>1.8145322609614378E-14</v>
      </c>
      <c r="AF27" s="5">
        <v>2.7958831064987791E-11</v>
      </c>
      <c r="AG27" s="5">
        <v>4.5846662266115218E-8</v>
      </c>
      <c r="AH27" s="5">
        <v>7.6021457245862344E-5</v>
      </c>
      <c r="AI27" s="5">
        <v>7.6021429782348879E-5</v>
      </c>
      <c r="AJ27" s="6">
        <v>7.5975785366816872E-5</v>
      </c>
    </row>
    <row r="28" spans="1:36" ht="15.75" thickBot="1" x14ac:dyDescent="0.3">
      <c r="A28" s="10" t="s">
        <v>18</v>
      </c>
      <c r="B28" s="5"/>
      <c r="C28" s="5"/>
      <c r="D28" s="5"/>
      <c r="E28" s="5"/>
      <c r="F28" s="113">
        <v>0</v>
      </c>
      <c r="G28" s="5">
        <f>K16</f>
        <v>0</v>
      </c>
      <c r="H28" s="113">
        <v>1</v>
      </c>
      <c r="I28" s="5"/>
      <c r="J28" s="5"/>
      <c r="K28" s="52">
        <f>I16</f>
        <v>6</v>
      </c>
      <c r="L28" s="5"/>
      <c r="M28" s="5"/>
      <c r="N28" s="5"/>
      <c r="P28" s="12">
        <v>7</v>
      </c>
      <c r="R28" s="66">
        <v>0</v>
      </c>
      <c r="S28" s="68">
        <v>0</v>
      </c>
      <c r="T28" s="68">
        <v>0</v>
      </c>
      <c r="U28" s="123">
        <v>0</v>
      </c>
      <c r="V28" s="123">
        <v>0</v>
      </c>
      <c r="W28" s="68">
        <f>-$H$9</f>
        <v>-7.9221628060682274</v>
      </c>
      <c r="X28" s="68">
        <f>$H$10+$I$10*$L$10</f>
        <v>13174.121836101323</v>
      </c>
      <c r="Y28" s="24">
        <f>-$I$11*$L$11</f>
        <v>-13166.917095585086</v>
      </c>
      <c r="Z28" s="116">
        <v>0</v>
      </c>
      <c r="AC28" s="4">
        <v>3.3829671696907721E-23</v>
      </c>
      <c r="AD28" s="5">
        <v>9.7875723722792967E-21</v>
      </c>
      <c r="AE28" s="5">
        <v>1.0918119773066348E-17</v>
      </c>
      <c r="AF28" s="5">
        <v>1.6822950622036479E-14</v>
      </c>
      <c r="AG28" s="5">
        <v>2.7586136691311496E-11</v>
      </c>
      <c r="AH28" s="5">
        <v>4.5742442467988002E-8</v>
      </c>
      <c r="AI28" s="5">
        <v>7.5997774367665582E-5</v>
      </c>
      <c r="AJ28" s="6">
        <v>7.5952144155202106E-5</v>
      </c>
    </row>
    <row r="29" spans="1:36" ht="15.75" thickBot="1" x14ac:dyDescent="0.3">
      <c r="P29" s="13">
        <v>8</v>
      </c>
      <c r="R29" s="125">
        <v>0</v>
      </c>
      <c r="S29" s="67">
        <v>0</v>
      </c>
      <c r="T29" s="67">
        <v>0</v>
      </c>
      <c r="U29" s="67">
        <v>0</v>
      </c>
      <c r="V29" s="67">
        <v>0</v>
      </c>
      <c r="W29" s="67">
        <v>0</v>
      </c>
      <c r="X29" s="67">
        <f>-$H$10</f>
        <v>-7.9218915459343338</v>
      </c>
      <c r="Y29" s="65">
        <f>$H$11+$I$11*$L$11</f>
        <v>13174.827461134906</v>
      </c>
      <c r="Z29" s="13">
        <f>$I$16*$L$16</f>
        <v>6</v>
      </c>
      <c r="AC29" s="7">
        <v>2.0341442118163542E-26</v>
      </c>
      <c r="AD29" s="8">
        <v>5.8851690513524714E-24</v>
      </c>
      <c r="AE29" s="8">
        <v>6.5649558586554867E-21</v>
      </c>
      <c r="AF29" s="8">
        <v>1.0115471394484693E-17</v>
      </c>
      <c r="AG29" s="8">
        <v>1.6587267171775508E-14</v>
      </c>
      <c r="AH29" s="8">
        <v>2.750447164082457E-11</v>
      </c>
      <c r="AI29" s="8">
        <v>4.5696699106613842E-8</v>
      </c>
      <c r="AJ29" s="9">
        <v>7.5947991546789089E-5</v>
      </c>
    </row>
    <row r="30" spans="1:36" x14ac:dyDescent="0.25">
      <c r="T30" s="25"/>
      <c r="U30" s="25"/>
      <c r="V30" s="25"/>
      <c r="W30" s="25"/>
      <c r="X30" s="25"/>
      <c r="Y30" s="25"/>
      <c r="Z30" s="25"/>
      <c r="AC30" s="33"/>
      <c r="AD30" s="76"/>
      <c r="AE30" s="76"/>
    </row>
    <row r="31" spans="1:36" x14ac:dyDescent="0.25">
      <c r="J31" s="33">
        <f>J41</f>
        <v>0.21159626558811664</v>
      </c>
      <c r="K31" s="33">
        <f>(K41+I52)/2</f>
        <v>2.0216707955515402E-3</v>
      </c>
      <c r="L31" s="33">
        <f>SUM(I41:K41)</f>
        <v>1</v>
      </c>
      <c r="M31" s="33">
        <f t="shared" ref="M31:N38" si="21">(M41+K52)/2</f>
        <v>3.6520595545912936E-2</v>
      </c>
      <c r="N31" s="33">
        <f t="shared" si="21"/>
        <v>0.70377799524666362</v>
      </c>
      <c r="T31" s="25"/>
      <c r="U31" s="25"/>
      <c r="V31" s="25"/>
      <c r="W31" s="25"/>
      <c r="X31" s="25"/>
      <c r="Y31" s="25"/>
      <c r="Z31" s="25"/>
      <c r="AC31" s="33"/>
      <c r="AD31" s="76"/>
      <c r="AE31" s="76"/>
    </row>
    <row r="32" spans="1:36" x14ac:dyDescent="0.25">
      <c r="J32" s="33">
        <f t="shared" ref="J32:J38" si="22">J42</f>
        <v>4.155462678346409E-2</v>
      </c>
      <c r="K32" s="33">
        <f t="shared" ref="K32" si="23">(K42+I53)/2</f>
        <v>6.4980892418411062E-4</v>
      </c>
      <c r="L32" s="33">
        <f t="shared" ref="L32:L38" si="24">SUM(I42:K42)</f>
        <v>1</v>
      </c>
      <c r="M32" s="33">
        <f t="shared" si="21"/>
        <v>2.1858129871520828E-2</v>
      </c>
      <c r="N32" s="33">
        <f t="shared" si="21"/>
        <v>0.25984916587220896</v>
      </c>
      <c r="AC32" s="33"/>
      <c r="AD32" s="76"/>
      <c r="AE32" s="76"/>
    </row>
    <row r="33" spans="1:31" x14ac:dyDescent="0.25">
      <c r="J33" s="33">
        <f t="shared" si="22"/>
        <v>7.3989867747009897E-3</v>
      </c>
      <c r="K33" s="33">
        <f t="shared" ref="K33" si="25">(K43+I54)/2</f>
        <v>4.8781625847364176E-4</v>
      </c>
      <c r="L33" s="33">
        <f t="shared" si="24"/>
        <v>1</v>
      </c>
      <c r="M33" s="33">
        <f t="shared" si="21"/>
        <v>3.7095547317516891E-3</v>
      </c>
      <c r="N33" s="33">
        <f t="shared" si="21"/>
        <v>5.4016659294515781E-2</v>
      </c>
      <c r="AC33" s="33"/>
      <c r="AD33" s="76"/>
      <c r="AE33" s="76"/>
    </row>
    <row r="34" spans="1:31" ht="15.75" thickBot="1" x14ac:dyDescent="0.3">
      <c r="J34" s="33">
        <f t="shared" si="22"/>
        <v>1.3024505335554541E-3</v>
      </c>
      <c r="K34" s="33">
        <f t="shared" ref="K34" si="26">(K44+I55)/2</f>
        <v>4.6127073156363167E-4</v>
      </c>
      <c r="L34" s="33">
        <f t="shared" si="24"/>
        <v>1</v>
      </c>
      <c r="M34" s="33">
        <f t="shared" si="21"/>
        <v>2.1744802648185537E-3</v>
      </c>
      <c r="N34" s="33">
        <f t="shared" si="21"/>
        <v>9.7253026681754298E-3</v>
      </c>
      <c r="T34" s="33"/>
      <c r="U34" s="33"/>
      <c r="V34" s="33"/>
      <c r="W34" s="33"/>
      <c r="X34" s="33"/>
      <c r="Y34" s="33"/>
      <c r="Z34" s="33"/>
    </row>
    <row r="35" spans="1:31" ht="15.75" thickBot="1" x14ac:dyDescent="0.3">
      <c r="A35" s="136" t="s">
        <v>78</v>
      </c>
      <c r="B35" s="136"/>
      <c r="C35" s="136"/>
      <c r="D35" s="136"/>
      <c r="E35" s="136"/>
      <c r="J35" s="33">
        <f t="shared" si="22"/>
        <v>2.2870126443180367E-4</v>
      </c>
      <c r="K35" s="33">
        <f t="shared" ref="K35" si="27">(K45+I56)/2</f>
        <v>4.566625086707141E-4</v>
      </c>
      <c r="L35" s="33">
        <f t="shared" si="24"/>
        <v>1</v>
      </c>
      <c r="M35" s="33">
        <f t="shared" si="21"/>
        <v>1.9537025232772166E-3</v>
      </c>
      <c r="N35" s="33">
        <f t="shared" si="21"/>
        <v>1.714274360866653E-3</v>
      </c>
    </row>
    <row r="36" spans="1:31" ht="15.75" customHeight="1" thickBot="1" x14ac:dyDescent="0.3">
      <c r="A36" s="26" t="s">
        <v>33</v>
      </c>
      <c r="B36" s="27">
        <v>5.5736999999999997</v>
      </c>
      <c r="C36" s="27">
        <v>7.4991000000000003</v>
      </c>
      <c r="D36" s="26">
        <v>6.4999999999999997E-3</v>
      </c>
      <c r="E36" s="26">
        <v>0.4</v>
      </c>
      <c r="J36" s="33">
        <f t="shared" si="22"/>
        <v>3.9997525516683924E-5</v>
      </c>
      <c r="K36" s="33">
        <f t="shared" ref="K36" si="28">(K46+I57)/2</f>
        <v>4.5585471220592174E-4</v>
      </c>
      <c r="L36" s="33">
        <f t="shared" si="24"/>
        <v>1</v>
      </c>
      <c r="M36" s="33">
        <f t="shared" si="21"/>
        <v>1.9163860179947233E-3</v>
      </c>
      <c r="N36" s="33">
        <f t="shared" si="21"/>
        <v>3.0001084268810058E-4</v>
      </c>
    </row>
    <row r="37" spans="1:31" ht="15.75" thickBot="1" x14ac:dyDescent="0.3">
      <c r="A37" s="31" t="s">
        <v>34</v>
      </c>
      <c r="B37" s="32">
        <v>19.269400000000001</v>
      </c>
      <c r="C37" s="32">
        <v>16.212</v>
      </c>
      <c r="D37" s="31"/>
      <c r="E37" s="31"/>
      <c r="J37" s="33">
        <f t="shared" si="22"/>
        <v>6.8466737260413757E-6</v>
      </c>
      <c r="K37" s="33">
        <f t="shared" ref="K37" si="29">(K47+I58)/2</f>
        <v>4.557128649320723E-4</v>
      </c>
      <c r="L37" s="33">
        <f t="shared" si="24"/>
        <v>1</v>
      </c>
      <c r="M37" s="33">
        <f t="shared" si="21"/>
        <v>1.9098758566704266E-3</v>
      </c>
      <c r="N37" s="33">
        <f t="shared" si="21"/>
        <v>5.1361148420162714E-5</v>
      </c>
      <c r="P37" s="28" t="s">
        <v>79</v>
      </c>
      <c r="Q37" s="29" t="s">
        <v>80</v>
      </c>
      <c r="R37" s="29" t="s">
        <v>81</v>
      </c>
      <c r="S37" s="29" t="s">
        <v>82</v>
      </c>
      <c r="T37" s="29" t="s">
        <v>83</v>
      </c>
      <c r="U37" s="29" t="s">
        <v>84</v>
      </c>
      <c r="V37" s="29" t="s">
        <v>85</v>
      </c>
      <c r="W37" s="29" t="s">
        <v>86</v>
      </c>
      <c r="X37" s="29" t="s">
        <v>87</v>
      </c>
      <c r="Y37" s="29" t="s">
        <v>88</v>
      </c>
      <c r="Z37" s="29" t="s">
        <v>89</v>
      </c>
      <c r="AA37" s="30" t="s">
        <v>90</v>
      </c>
    </row>
    <row r="38" spans="1:31" ht="15.75" thickBot="1" x14ac:dyDescent="0.3">
      <c r="A38" s="34" t="s">
        <v>35</v>
      </c>
      <c r="B38" s="35">
        <v>10.6456</v>
      </c>
      <c r="C38" s="35">
        <v>0.56320000000000003</v>
      </c>
      <c r="D38" s="36"/>
      <c r="E38" s="36"/>
      <c r="J38" s="33">
        <f t="shared" si="22"/>
        <v>1.0232253493685717E-6</v>
      </c>
      <c r="K38" s="33">
        <f t="shared" ref="K38" si="30">(K48+I59)/2</f>
        <v>4.5568794928086298E-4</v>
      </c>
      <c r="L38" s="33">
        <f t="shared" si="24"/>
        <v>1</v>
      </c>
      <c r="M38" s="33">
        <f t="shared" si="21"/>
        <v>1.908733650096989E-3</v>
      </c>
      <c r="N38" s="33">
        <f t="shared" si="21"/>
        <v>7.6760074728186445E-6</v>
      </c>
      <c r="P38">
        <f>B36/$B$44/$B$45</f>
        <v>2.1071800296631609</v>
      </c>
      <c r="Q38">
        <f>C36/$B$44/$B$45</f>
        <v>2.8350922655412045</v>
      </c>
      <c r="R38">
        <f>B37/$B$44/$B$45</f>
        <v>7.2849444468829168</v>
      </c>
      <c r="S38">
        <f>C37/$B$44/$B$45</f>
        <v>6.1290709297054313</v>
      </c>
      <c r="T38">
        <f>B38/$B$44/$B$45</f>
        <v>4.0246507210259157</v>
      </c>
      <c r="U38">
        <f>C38/$B$44/$B$45</f>
        <v>0.21292207917654202</v>
      </c>
      <c r="V38">
        <f t="shared" ref="V38:AA38" si="31">EXP(-$E$36*P38)</f>
        <v>0.43047242445194145</v>
      </c>
      <c r="W38">
        <f t="shared" si="31"/>
        <v>0.32173183009668638</v>
      </c>
      <c r="X38">
        <f t="shared" si="31"/>
        <v>5.425946787469077E-2</v>
      </c>
      <c r="Y38">
        <f t="shared" si="31"/>
        <v>8.6153182795249569E-2</v>
      </c>
      <c r="Z38">
        <f t="shared" si="31"/>
        <v>0.19991554264238187</v>
      </c>
      <c r="AA38">
        <f t="shared" si="31"/>
        <v>0.91835722352796123</v>
      </c>
    </row>
    <row r="39" spans="1:31" ht="15.75" thickBot="1" x14ac:dyDescent="0.3"/>
    <row r="40" spans="1:31" ht="26.25" thickBot="1" x14ac:dyDescent="0.3">
      <c r="A40" s="110" t="s">
        <v>91</v>
      </c>
      <c r="B40" s="37" t="s">
        <v>92</v>
      </c>
      <c r="C40" s="37" t="s">
        <v>93</v>
      </c>
      <c r="D40" s="110" t="s">
        <v>36</v>
      </c>
      <c r="E40" s="110" t="s">
        <v>37</v>
      </c>
      <c r="I40" s="38" t="s">
        <v>39</v>
      </c>
      <c r="J40" s="39" t="s">
        <v>40</v>
      </c>
      <c r="K40" s="40" t="s">
        <v>41</v>
      </c>
      <c r="L40" s="41"/>
      <c r="M40" s="38" t="s">
        <v>42</v>
      </c>
      <c r="N40" s="39" t="s">
        <v>43</v>
      </c>
      <c r="O40" s="39" t="s">
        <v>44</v>
      </c>
      <c r="P40" s="42" t="s">
        <v>94</v>
      </c>
      <c r="Q40" s="43" t="s">
        <v>95</v>
      </c>
      <c r="R40" s="44" t="s">
        <v>96</v>
      </c>
      <c r="S40" s="42" t="s">
        <v>97</v>
      </c>
      <c r="T40" s="43" t="s">
        <v>98</v>
      </c>
      <c r="U40" s="44" t="s">
        <v>99</v>
      </c>
      <c r="V40" s="45" t="s">
        <v>45</v>
      </c>
      <c r="W40" s="46" t="s">
        <v>46</v>
      </c>
      <c r="X40" s="47" t="s">
        <v>47</v>
      </c>
      <c r="Y40" s="42" t="s">
        <v>100</v>
      </c>
      <c r="Z40" s="43" t="s">
        <v>101</v>
      </c>
      <c r="AA40" s="43" t="s">
        <v>102</v>
      </c>
      <c r="AB40" s="19" t="s">
        <v>48</v>
      </c>
      <c r="AC40" s="93" t="s">
        <v>49</v>
      </c>
      <c r="AD40" s="22" t="s">
        <v>50</v>
      </c>
    </row>
    <row r="41" spans="1:31" ht="43.5" thickBot="1" x14ac:dyDescent="0.3">
      <c r="A41" s="111"/>
      <c r="B41" s="112" t="s">
        <v>38</v>
      </c>
      <c r="C41" s="112"/>
      <c r="D41" s="111"/>
      <c r="E41" s="111"/>
      <c r="I41" s="58">
        <f t="shared" ref="I41:I47" si="32">1-J41-K41</f>
        <v>0.7863820636181047</v>
      </c>
      <c r="J41" s="58">
        <v>0.21159626558811664</v>
      </c>
      <c r="K41" s="106">
        <v>2.021670793778664E-3</v>
      </c>
      <c r="L41" s="69">
        <v>1</v>
      </c>
      <c r="M41" s="134">
        <v>3.6520595609304166E-2</v>
      </c>
      <c r="N41" s="134">
        <v>0.70377799911229344</v>
      </c>
      <c r="O41" s="104">
        <f>1-M41-N41</f>
        <v>0.25970140527840235</v>
      </c>
      <c r="P41" s="4">
        <f t="shared" ref="P41:P48" si="33">I41+$W$38*J41+$Y$38*K41</f>
        <v>0.85463349076084227</v>
      </c>
      <c r="Q41" s="5">
        <f t="shared" ref="Q41:Q48" si="34">$V$38*I41+J41+$AA$38*K41</f>
        <v>0.55196867503638514</v>
      </c>
      <c r="R41" s="5">
        <f t="shared" ref="R41:R48" si="35">$X$38*I41+$Z$38*J41+K41</f>
        <v>8.6991725368048139E-2</v>
      </c>
      <c r="S41" s="5">
        <f t="shared" ref="S41:S48" si="36">J41*$Q$38*$W$38+K41*$S$38*$Y$38</f>
        <v>0.19407281658052813</v>
      </c>
      <c r="T41" s="5">
        <f t="shared" ref="T41:T48" si="37">I41*$P$38*$V$38+K41*$U$38*$AA$38</f>
        <v>0.71370903426217358</v>
      </c>
      <c r="U41" s="5">
        <f t="shared" ref="U41:U48" si="38">I41*$R$38*$X$38+J41*$T$38*$Z$38</f>
        <v>0.48108719605735861</v>
      </c>
      <c r="V41" s="5">
        <f t="shared" ref="V41:V48" si="39">S41/P41-I41*S41/P41^2+J41*$V$38/Q41*($P$38-T41/Q41)+K41*$X$38/R41*($R$38-U41/R41)</f>
        <v>0.15470023654381856</v>
      </c>
      <c r="W41" s="5">
        <f t="shared" ref="W41:W48" si="40">T41/Q41-J41*T41/Q41^2+(I41*$W$38/P41)*($Q$38-S41/P41)+(K41*$Z$38/R41)*($T$38-U41/R41)</f>
        <v>1.5624209473605342</v>
      </c>
      <c r="X41" s="5">
        <f t="shared" ref="X41:X48" si="41">U41/R41-K41*U41/R41^2+I41*$Y$38/P41*($S$38-S41/P41)+J41*$AA$38/Q41*($U$38-T41/Q41)</f>
        <v>5.4893587763383129</v>
      </c>
      <c r="Y41" s="5">
        <f>EXP(V41)</f>
        <v>1.1673079923756051</v>
      </c>
      <c r="Z41" s="5">
        <f t="shared" ref="Z41:AA45" si="42">EXP(W41)</f>
        <v>4.770356057823907</v>
      </c>
      <c r="AA41" s="5">
        <f t="shared" si="42"/>
        <v>242.10191559823852</v>
      </c>
      <c r="AB41" s="5">
        <f t="shared" ref="AB41:AD45" si="43">Y41/Y50</f>
        <v>4.6441287476080347E-2</v>
      </c>
      <c r="AC41" s="5">
        <f t="shared" si="43"/>
        <v>3.3260416455126625</v>
      </c>
      <c r="AD41" s="6">
        <f t="shared" si="43"/>
        <v>128.45880032600002</v>
      </c>
    </row>
    <row r="42" spans="1:31" x14ac:dyDescent="0.25">
      <c r="I42" s="58">
        <f t="shared" si="32"/>
        <v>0.95779556429235291</v>
      </c>
      <c r="J42" s="58">
        <v>4.155462678346409E-2</v>
      </c>
      <c r="K42" s="106">
        <v>6.4980892418292852E-4</v>
      </c>
      <c r="L42" s="58">
        <v>1</v>
      </c>
      <c r="M42" s="134">
        <v>2.1858129878362706E-2</v>
      </c>
      <c r="N42" s="104">
        <v>0.25984916587257623</v>
      </c>
      <c r="O42" s="104">
        <f t="shared" ref="O42:O48" si="44">1-M42-N42</f>
        <v>0.71829270424906111</v>
      </c>
      <c r="P42" s="4">
        <f t="shared" si="33"/>
        <v>0.97122099352340874</v>
      </c>
      <c r="Q42" s="5">
        <f t="shared" si="34"/>
        <v>0.45445596219314494</v>
      </c>
      <c r="R42" s="5">
        <f t="shared" si="35"/>
        <v>6.0926702338143048E-2</v>
      </c>
      <c r="S42" s="5">
        <f t="shared" si="36"/>
        <v>3.8246737734638041E-2</v>
      </c>
      <c r="T42" s="5">
        <f t="shared" si="37"/>
        <v>0.86892703703623142</v>
      </c>
      <c r="U42" s="5">
        <f t="shared" si="38"/>
        <v>0.41202920446210756</v>
      </c>
      <c r="V42" s="5">
        <f t="shared" si="39"/>
        <v>8.5285558359889189E-3</v>
      </c>
      <c r="W42" s="5">
        <f t="shared" si="40"/>
        <v>2.6183826493135172</v>
      </c>
      <c r="X42" s="5">
        <f t="shared" si="41"/>
        <v>7.0652921904638211</v>
      </c>
      <c r="Y42" s="5">
        <f t="shared" ref="Y42:Y45" si="45">EXP(V42)</f>
        <v>1.0085650275783451</v>
      </c>
      <c r="Z42" s="5">
        <f t="shared" si="42"/>
        <v>13.713526058539387</v>
      </c>
      <c r="AA42" s="5">
        <f t="shared" si="42"/>
        <v>1170.6239666493448</v>
      </c>
      <c r="AB42" s="5">
        <f t="shared" si="43"/>
        <v>2.2821289510594433E-2</v>
      </c>
      <c r="AC42" s="5">
        <f t="shared" si="43"/>
        <v>6.2531945534220039</v>
      </c>
      <c r="AD42" s="6">
        <f t="shared" si="43"/>
        <v>1105.3906425640905</v>
      </c>
    </row>
    <row r="43" spans="1:31" x14ac:dyDescent="0.25">
      <c r="I43" s="58">
        <f t="shared" si="32"/>
        <v>0.99211319696682543</v>
      </c>
      <c r="J43" s="58">
        <v>7.3989867747009897E-3</v>
      </c>
      <c r="K43" s="106">
        <v>4.8781625847364176E-4</v>
      </c>
      <c r="L43" s="58">
        <v>1</v>
      </c>
      <c r="M43" s="134">
        <v>3.7095547317516891E-3</v>
      </c>
      <c r="N43" s="104">
        <v>5.4016659294515781E-2</v>
      </c>
      <c r="O43" s="104">
        <f t="shared" si="44"/>
        <v>0.94227378597373246</v>
      </c>
      <c r="P43" s="4">
        <f t="shared" si="33"/>
        <v>0.994535713445998</v>
      </c>
      <c r="Q43" s="5">
        <f t="shared" si="34"/>
        <v>0.43492434958850046</v>
      </c>
      <c r="R43" s="5">
        <f t="shared" si="35"/>
        <v>5.5798522853420018E-2</v>
      </c>
      <c r="S43" s="5">
        <f t="shared" si="36"/>
        <v>7.0064935218751749E-3</v>
      </c>
      <c r="T43" s="5">
        <f t="shared" si="37"/>
        <v>0.90002429886313773</v>
      </c>
      <c r="U43" s="5">
        <f t="shared" si="38"/>
        <v>0.39811288818404539</v>
      </c>
      <c r="V43" s="5">
        <f t="shared" si="39"/>
        <v>3.6517940535606391E-4</v>
      </c>
      <c r="W43" s="5">
        <f t="shared" si="40"/>
        <v>2.9363974010376568</v>
      </c>
      <c r="X43" s="5">
        <f t="shared" si="41"/>
        <v>7.5695959491813936</v>
      </c>
      <c r="Y43" s="5">
        <f t="shared" si="45"/>
        <v>1.0003652460914723</v>
      </c>
      <c r="Z43" s="5">
        <f t="shared" si="42"/>
        <v>18.847822708412565</v>
      </c>
      <c r="AA43" s="5">
        <f t="shared" si="42"/>
        <v>1938.3569286084557</v>
      </c>
      <c r="AB43" s="5">
        <f t="shared" si="43"/>
        <v>3.7390438340028755E-3</v>
      </c>
      <c r="AC43" s="5">
        <f t="shared" si="43"/>
        <v>7.3005481614337269</v>
      </c>
      <c r="AD43" s="6">
        <f t="shared" si="43"/>
        <v>1931.6161968895233</v>
      </c>
    </row>
    <row r="44" spans="1:31" x14ac:dyDescent="0.25">
      <c r="A44" s="49" t="s">
        <v>57</v>
      </c>
      <c r="B44">
        <f>8.314/1000</f>
        <v>8.3140000000000002E-3</v>
      </c>
      <c r="C44" t="s">
        <v>58</v>
      </c>
      <c r="I44" s="58">
        <f t="shared" si="32"/>
        <v>0.99823627873488086</v>
      </c>
      <c r="J44" s="58">
        <v>1.3024505335554541E-3</v>
      </c>
      <c r="K44" s="106">
        <v>4.6127073156363167E-4</v>
      </c>
      <c r="L44" s="58">
        <v>1</v>
      </c>
      <c r="M44" s="134">
        <v>2.1744802648185537E-3</v>
      </c>
      <c r="N44" s="104">
        <v>9.7253026681754298E-3</v>
      </c>
      <c r="O44" s="104">
        <f t="shared" si="44"/>
        <v>0.98810021706700601</v>
      </c>
      <c r="P44" s="4">
        <f t="shared" si="33"/>
        <v>0.9986950584703066</v>
      </c>
      <c r="Q44" s="5">
        <f t="shared" si="34"/>
        <v>0.43143925292477714</v>
      </c>
      <c r="R44" s="5">
        <f t="shared" si="35"/>
        <v>5.4885420134110352E-2</v>
      </c>
      <c r="S44" s="5">
        <f t="shared" si="36"/>
        <v>1.4315853994175021E-3</v>
      </c>
      <c r="T44" s="5">
        <f t="shared" si="37"/>
        <v>0.90557325093322483</v>
      </c>
      <c r="U44" s="5">
        <f t="shared" si="38"/>
        <v>0.39562798934315069</v>
      </c>
      <c r="V44" s="5">
        <f t="shared" si="39"/>
        <v>4.6314259779076388E-5</v>
      </c>
      <c r="W44" s="5">
        <f t="shared" si="40"/>
        <v>2.9985329682214505</v>
      </c>
      <c r="X44" s="5">
        <f t="shared" si="41"/>
        <v>7.6701170990483698</v>
      </c>
      <c r="Y44" s="5">
        <f t="shared" si="45"/>
        <v>1.0000463153323009</v>
      </c>
      <c r="Z44" s="5">
        <f t="shared" si="42"/>
        <v>20.056092405534503</v>
      </c>
      <c r="AA44" s="5">
        <f t="shared" si="42"/>
        <v>2143.3324127393166</v>
      </c>
      <c r="AB44" s="5">
        <f t="shared" si="43"/>
        <v>2.1783222180367864E-3</v>
      </c>
      <c r="AC44" s="5">
        <f t="shared" si="43"/>
        <v>7.4669267028722484</v>
      </c>
      <c r="AD44" s="6">
        <f t="shared" si="43"/>
        <v>2142.1264117875189</v>
      </c>
    </row>
    <row r="45" spans="1:31" x14ac:dyDescent="0.25">
      <c r="A45" s="49" t="s">
        <v>59</v>
      </c>
      <c r="B45">
        <v>318.14999999999998</v>
      </c>
      <c r="C45" t="s">
        <v>60</v>
      </c>
      <c r="I45" s="58">
        <f t="shared" si="32"/>
        <v>0.99931463622689753</v>
      </c>
      <c r="J45" s="126">
        <v>2.2870126443180367E-4</v>
      </c>
      <c r="K45" s="106">
        <v>4.566625086707141E-4</v>
      </c>
      <c r="L45" s="58">
        <v>1</v>
      </c>
      <c r="M45" s="134">
        <v>1.9537025232772166E-3</v>
      </c>
      <c r="N45" s="104">
        <v>1.714274360866653E-3</v>
      </c>
      <c r="O45" s="104">
        <f t="shared" si="44"/>
        <v>0.99633202311585611</v>
      </c>
      <c r="P45" s="4">
        <f t="shared" si="33"/>
        <v>0.99942755963183383</v>
      </c>
      <c r="Q45" s="5">
        <f t="shared" si="34"/>
        <v>0.43082547482488642</v>
      </c>
      <c r="R45" s="5">
        <f t="shared" si="35"/>
        <v>5.4724663847114233E-2</v>
      </c>
      <c r="S45" s="5">
        <f t="shared" si="36"/>
        <v>4.4974303927906086E-4</v>
      </c>
      <c r="T45" s="5">
        <f t="shared" si="37"/>
        <v>0.90655050948501426</v>
      </c>
      <c r="U45" s="5">
        <f t="shared" si="38"/>
        <v>0.39519031130864241</v>
      </c>
      <c r="V45" s="5">
        <f t="shared" si="39"/>
        <v>2.9486076765957549E-5</v>
      </c>
      <c r="W45" s="5">
        <f t="shared" si="40"/>
        <v>3.0096591027752373</v>
      </c>
      <c r="X45" s="5">
        <f t="shared" si="41"/>
        <v>7.6881873220649428</v>
      </c>
      <c r="Y45" s="5">
        <f t="shared" si="45"/>
        <v>1.0000294865114845</v>
      </c>
      <c r="Z45" s="5">
        <f t="shared" si="42"/>
        <v>20.280485185583508</v>
      </c>
      <c r="AA45" s="5">
        <f t="shared" si="42"/>
        <v>2182.4149591283094</v>
      </c>
      <c r="AB45" s="5">
        <f t="shared" si="43"/>
        <v>1.9550424385394692E-3</v>
      </c>
      <c r="AC45" s="5">
        <f t="shared" si="43"/>
        <v>7.4956925363997353</v>
      </c>
      <c r="AD45" s="6">
        <f t="shared" si="43"/>
        <v>2181.7688209528096</v>
      </c>
    </row>
    <row r="46" spans="1:31" x14ac:dyDescent="0.25">
      <c r="I46" s="58">
        <f t="shared" si="32"/>
        <v>0.99950414776227747</v>
      </c>
      <c r="J46" s="58">
        <v>3.9997525516683924E-5</v>
      </c>
      <c r="K46" s="106">
        <v>4.5585471220592174E-4</v>
      </c>
      <c r="L46" s="58">
        <v>1</v>
      </c>
      <c r="M46" s="104">
        <v>1.9163860179947233E-3</v>
      </c>
      <c r="N46" s="104">
        <v>3.0001084268810058E-4</v>
      </c>
      <c r="O46" s="104">
        <f t="shared" si="44"/>
        <v>0.99778360313931724</v>
      </c>
      <c r="P46" s="4">
        <f t="shared" si="33"/>
        <v>0.99955628957371001</v>
      </c>
      <c r="Q46" s="5">
        <f t="shared" si="34"/>
        <v>0.43071760873034937</v>
      </c>
      <c r="R46" s="5">
        <f t="shared" si="35"/>
        <v>5.4696414035351415E-2</v>
      </c>
      <c r="S46" s="5">
        <f t="shared" si="36"/>
        <v>2.7719237171917866E-4</v>
      </c>
      <c r="T46" s="5">
        <f t="shared" si="37"/>
        <v>0.90672225420204322</v>
      </c>
      <c r="U46" s="5">
        <f t="shared" si="38"/>
        <v>0.39511339171422416</v>
      </c>
      <c r="V46" s="5">
        <f t="shared" si="39"/>
        <v>2.776740432821937E-5</v>
      </c>
      <c r="W46" s="5">
        <f t="shared" si="40"/>
        <v>3.0116201717868889</v>
      </c>
      <c r="X46" s="5">
        <f t="shared" si="41"/>
        <v>7.6913745725442233</v>
      </c>
      <c r="Y46" s="5">
        <f t="shared" ref="Y46:Y48" si="46">EXP(V46)</f>
        <v>1.0000277677898461</v>
      </c>
      <c r="Z46" s="5">
        <f t="shared" ref="Z46:Z48" si="47">EXP(W46)</f>
        <v>20.320295639387304</v>
      </c>
      <c r="AA46" s="5">
        <f t="shared" ref="AA46:AA48" si="48">EXP(X46)</f>
        <v>2189.3819591419538</v>
      </c>
      <c r="AB46" s="5">
        <f t="shared" ref="AB46:AD46" si="49">Y46/Y55</f>
        <v>1.9173367337045983E-3</v>
      </c>
      <c r="AC46" s="5">
        <f t="shared" si="49"/>
        <v>7.500735078297752</v>
      </c>
      <c r="AD46" s="6">
        <f t="shared" si="49"/>
        <v>2188.8193242775819</v>
      </c>
    </row>
    <row r="47" spans="1:31" x14ac:dyDescent="0.25">
      <c r="I47" s="58">
        <f t="shared" si="32"/>
        <v>0.99953744046134185</v>
      </c>
      <c r="J47" s="58">
        <v>6.8466737260413757E-6</v>
      </c>
      <c r="K47" s="106">
        <v>4.557128649320723E-4</v>
      </c>
      <c r="L47" s="58">
        <v>1</v>
      </c>
      <c r="M47" s="104">
        <v>1.9098758566704266E-3</v>
      </c>
      <c r="N47" s="104">
        <v>5.1361148420162714E-5</v>
      </c>
      <c r="O47" s="104">
        <f t="shared" si="44"/>
        <v>0.99803876299490935</v>
      </c>
      <c r="P47" s="4">
        <f t="shared" si="33"/>
        <v>0.99957890436796448</v>
      </c>
      <c r="Q47" s="5">
        <f t="shared" si="34"/>
        <v>0.43069865920097294</v>
      </c>
      <c r="R47" s="5">
        <f t="shared" si="35"/>
        <v>5.4691451261688132E-2</v>
      </c>
      <c r="S47" s="5">
        <f t="shared" si="36"/>
        <v>2.4687927200394653E-4</v>
      </c>
      <c r="T47" s="5">
        <f t="shared" si="37"/>
        <v>0.90675242570332304</v>
      </c>
      <c r="U47" s="5">
        <f t="shared" si="38"/>
        <v>0.39509987870783547</v>
      </c>
      <c r="V47" s="5">
        <f t="shared" si="39"/>
        <v>2.750383680712969E-5</v>
      </c>
      <c r="W47" s="5">
        <f t="shared" si="40"/>
        <v>3.0119648633055194</v>
      </c>
      <c r="X47" s="5">
        <f t="shared" si="41"/>
        <v>7.6919348556041349</v>
      </c>
      <c r="Y47" s="5">
        <f t="shared" si="46"/>
        <v>1.0000275042150411</v>
      </c>
      <c r="Z47" s="5">
        <f t="shared" si="47"/>
        <v>20.327301080238929</v>
      </c>
      <c r="AA47" s="5">
        <f t="shared" si="48"/>
        <v>2190.6089764717503</v>
      </c>
      <c r="AB47" s="5">
        <f t="shared" ref="AB47:AD47" si="50">Y47/Y56</f>
        <v>1.910759696794262E-3</v>
      </c>
      <c r="AC47" s="5">
        <f t="shared" si="50"/>
        <v>7.5016205642763705</v>
      </c>
      <c r="AD47" s="6">
        <f t="shared" si="50"/>
        <v>2190.0605398613775</v>
      </c>
    </row>
    <row r="48" spans="1:31" ht="15.75" thickBot="1" x14ac:dyDescent="0.3">
      <c r="I48" s="58">
        <f>1-J48-K48</f>
        <v>0.9995432888253698</v>
      </c>
      <c r="J48" s="58">
        <v>1.0232253493685717E-6</v>
      </c>
      <c r="K48" s="106">
        <v>4.5568794928086298E-4</v>
      </c>
      <c r="L48" s="58">
        <v>1</v>
      </c>
      <c r="M48" s="104">
        <v>1.908733650096989E-3</v>
      </c>
      <c r="N48" s="104">
        <v>7.6760074728186445E-6</v>
      </c>
      <c r="O48" s="104">
        <f t="shared" si="44"/>
        <v>0.9980835903424301</v>
      </c>
      <c r="P48" s="4">
        <f t="shared" si="33"/>
        <v>0.9995828769967261</v>
      </c>
      <c r="Q48" s="5">
        <f t="shared" si="34"/>
        <v>0.43069533043057018</v>
      </c>
      <c r="R48" s="5">
        <f t="shared" si="35"/>
        <v>5.4690579477314739E-2</v>
      </c>
      <c r="S48" s="5">
        <f t="shared" si="36"/>
        <v>2.4155431872652388E-4</v>
      </c>
      <c r="T48" s="5">
        <f t="shared" si="37"/>
        <v>0.90675772578233349</v>
      </c>
      <c r="U48" s="5">
        <f t="shared" si="38"/>
        <v>0.39509750494316137</v>
      </c>
      <c r="V48" s="5">
        <f t="shared" si="39"/>
        <v>2.7458721726030316E-5</v>
      </c>
      <c r="W48" s="5">
        <f t="shared" si="40"/>
        <v>3.0120254190587574</v>
      </c>
      <c r="X48" s="5">
        <f t="shared" si="41"/>
        <v>7.6920332888306886</v>
      </c>
      <c r="Y48" s="5">
        <f t="shared" si="46"/>
        <v>1.0000274590987202</v>
      </c>
      <c r="Z48" s="5">
        <f t="shared" si="47"/>
        <v>20.328532052537987</v>
      </c>
      <c r="AA48" s="5">
        <f t="shared" si="48"/>
        <v>2190.8246157942849</v>
      </c>
      <c r="AB48" s="5">
        <f t="shared" ref="AB48:AD48" si="51">Y48/Y57</f>
        <v>1.9096057883996897E-3</v>
      </c>
      <c r="AC48" s="5">
        <f t="shared" si="51"/>
        <v>7.5017761019656897</v>
      </c>
      <c r="AD48" s="6">
        <f t="shared" si="51"/>
        <v>2190.2786587127016</v>
      </c>
    </row>
    <row r="49" spans="6:30" ht="15.75" thickBot="1" x14ac:dyDescent="0.3">
      <c r="O49" s="33"/>
      <c r="P49" s="42" t="s">
        <v>103</v>
      </c>
      <c r="Q49" s="43" t="s">
        <v>104</v>
      </c>
      <c r="R49" s="44" t="s">
        <v>105</v>
      </c>
      <c r="S49" s="42" t="s">
        <v>106</v>
      </c>
      <c r="T49" s="43" t="s">
        <v>107</v>
      </c>
      <c r="U49" s="44" t="s">
        <v>108</v>
      </c>
      <c r="V49" s="45" t="s">
        <v>51</v>
      </c>
      <c r="W49" s="46" t="s">
        <v>52</v>
      </c>
      <c r="X49" s="47" t="s">
        <v>53</v>
      </c>
      <c r="Y49" s="42" t="s">
        <v>109</v>
      </c>
      <c r="Z49" s="43" t="s">
        <v>110</v>
      </c>
      <c r="AA49" s="43" t="s">
        <v>111</v>
      </c>
      <c r="AB49" s="19" t="s">
        <v>54</v>
      </c>
      <c r="AC49" s="93" t="s">
        <v>55</v>
      </c>
      <c r="AD49" s="22" t="s">
        <v>56</v>
      </c>
    </row>
    <row r="50" spans="6:30" ht="15.75" thickBot="1" x14ac:dyDescent="0.3">
      <c r="P50" s="4">
        <f t="shared" ref="P50:P57" si="52">M41+$W$38*N41+$Y$38*O41</f>
        <v>0.28532248188661985</v>
      </c>
      <c r="Q50" s="5">
        <f t="shared" ref="Q50:Q57" si="53">$V$38*M41+N41+$AA$38*O41</f>
        <v>0.95799776994444297</v>
      </c>
      <c r="R50" s="5">
        <f t="shared" ref="R50:R57" si="54">$X$38*M41+$Z$38*N41+O41</f>
        <v>0.40237915395493384</v>
      </c>
      <c r="S50" s="5">
        <f t="shared" ref="S50:S57" si="55">N41*$Q$38*$W$38+O41*$S$38*$Y$38</f>
        <v>0.77907612016659389</v>
      </c>
      <c r="T50" s="5">
        <f t="shared" ref="T50:T57" si="56">M41*$P$38*$V$38+O41*$U$38*$AA$38</f>
        <v>8.3908838520457676E-2</v>
      </c>
      <c r="U50" s="5">
        <f t="shared" ref="U50:U57" si="57">M41*$R$38*$X$38+N41*$T$38*$Z$38</f>
        <v>0.58068866328359725</v>
      </c>
      <c r="V50" s="5">
        <f t="shared" ref="V50:V57" si="58">S50/P50-M41*S50/P50^2+N41*$V$38/Q50*($P$38-T50/Q50)+O41*$X$38/R50*($R$38-U50/R50)</f>
        <v>3.2242666356507428</v>
      </c>
      <c r="W50" s="5">
        <f t="shared" ref="W50:W57" si="59">T50/Q50-N41*T50/Q50^2+(M41*$W$38/P50)*($Q$38-S50/P50)+(O41*$Z$38/R50)*($T$38-U50/R50)</f>
        <v>0.36063804546774819</v>
      </c>
      <c r="X50" s="5">
        <f t="shared" ref="X50:X57" si="60">U50/R50-O41*U50/R50^2+M41*$Y$38/P50*($S$38-S50/P50)+N41*$AA$38/Q50*($U$38-T50/Q50)</f>
        <v>0.63375054344375781</v>
      </c>
      <c r="Y50" s="5">
        <f>EXP(V50)</f>
        <v>25.135134183711614</v>
      </c>
      <c r="Z50" s="5">
        <f t="shared" ref="Z50:AA54" si="61">EXP(W50)</f>
        <v>1.4342442357148009</v>
      </c>
      <c r="AA50" s="5">
        <f t="shared" si="61"/>
        <v>1.884665861613509</v>
      </c>
      <c r="AB50" s="5">
        <f t="shared" ref="AB50:AD54" si="62">Y50/Y41</f>
        <v>21.532564111515029</v>
      </c>
      <c r="AC50" s="5">
        <f t="shared" si="62"/>
        <v>0.30065769060623537</v>
      </c>
      <c r="AD50" s="6">
        <f t="shared" si="62"/>
        <v>7.7845970650684991E-3</v>
      </c>
    </row>
    <row r="51" spans="6:30" ht="15.75" thickBot="1" x14ac:dyDescent="0.3">
      <c r="F51" s="50" t="s">
        <v>61</v>
      </c>
      <c r="G51" s="38" t="s">
        <v>39</v>
      </c>
      <c r="H51" s="39" t="s">
        <v>40</v>
      </c>
      <c r="I51" s="40" t="s">
        <v>41</v>
      </c>
      <c r="J51" s="41"/>
      <c r="K51" s="38" t="s">
        <v>42</v>
      </c>
      <c r="L51" s="39" t="s">
        <v>43</v>
      </c>
      <c r="M51" s="40" t="s">
        <v>44</v>
      </c>
      <c r="N51" s="50" t="s">
        <v>61</v>
      </c>
      <c r="P51" s="4">
        <f t="shared" si="52"/>
        <v>0.16734308021330757</v>
      </c>
      <c r="Q51" s="5">
        <f t="shared" si="53"/>
        <v>0.9289077815898592</v>
      </c>
      <c r="R51" s="5">
        <f t="shared" si="54"/>
        <v>0.77142660174558331</v>
      </c>
      <c r="S51" s="5">
        <f t="shared" si="55"/>
        <v>0.61630520664539112</v>
      </c>
      <c r="T51" s="5">
        <f t="shared" si="56"/>
        <v>0.16028103486493323</v>
      </c>
      <c r="U51" s="5">
        <f t="shared" si="57"/>
        <v>0.21771212144899538</v>
      </c>
      <c r="V51" s="5">
        <f t="shared" si="58"/>
        <v>3.7885899840668418</v>
      </c>
      <c r="W51" s="5">
        <f t="shared" si="59"/>
        <v>0.78529018759938829</v>
      </c>
      <c r="X51" s="5">
        <f t="shared" si="60"/>
        <v>5.7338116303952927E-2</v>
      </c>
      <c r="Y51" s="5">
        <f t="shared" ref="Y51:Y54" si="63">EXP(V51)</f>
        <v>44.194042019848801</v>
      </c>
      <c r="Z51" s="5">
        <f t="shared" si="61"/>
        <v>2.193043242359185</v>
      </c>
      <c r="AA51" s="5">
        <f t="shared" si="61"/>
        <v>1.0590138197062511</v>
      </c>
      <c r="AB51" s="5">
        <f t="shared" si="62"/>
        <v>43.818733360170789</v>
      </c>
      <c r="AC51" s="5">
        <f t="shared" si="62"/>
        <v>0.15991826121142499</v>
      </c>
      <c r="AD51" s="6">
        <f t="shared" si="62"/>
        <v>9.0465755859881001E-4</v>
      </c>
    </row>
    <row r="52" spans="6:30" x14ac:dyDescent="0.25">
      <c r="F52" s="51">
        <f t="shared" ref="F52:F59" si="64">SUM(G52:I52)</f>
        <v>1.0000000050579601</v>
      </c>
      <c r="G52" s="33">
        <f t="shared" ref="G52:I59" si="65">M41*AB50</f>
        <v>0.78638206634805619</v>
      </c>
      <c r="H52" s="33">
        <f t="shared" si="65"/>
        <v>0.21159626791257932</v>
      </c>
      <c r="I52" s="33">
        <f t="shared" si="65"/>
        <v>2.0216707973244158E-3</v>
      </c>
      <c r="J52" s="33"/>
      <c r="K52" s="33">
        <f t="shared" ref="K52:M59" si="66">I41*AB41</f>
        <v>3.6520595482521706E-2</v>
      </c>
      <c r="L52" s="33">
        <f t="shared" si="66"/>
        <v>0.70377799138103381</v>
      </c>
      <c r="M52" s="33">
        <f t="shared" si="66"/>
        <v>0.25970140482291937</v>
      </c>
      <c r="N52" s="51">
        <f t="shared" ref="N52:N59" si="67">SUM(K52:M52)</f>
        <v>0.99999999168647491</v>
      </c>
      <c r="P52" s="4">
        <f t="shared" si="52"/>
        <v>0.10226831910845227</v>
      </c>
      <c r="Q52" s="5">
        <f t="shared" si="53"/>
        <v>0.92095745820354735</v>
      </c>
      <c r="R52" s="5">
        <f t="shared" si="54"/>
        <v>0.95327383419412115</v>
      </c>
      <c r="S52" s="5">
        <f t="shared" si="55"/>
        <v>0.54682800212696547</v>
      </c>
      <c r="T52" s="5">
        <f t="shared" si="56"/>
        <v>0.18761570410777345</v>
      </c>
      <c r="U52" s="5">
        <f t="shared" si="57"/>
        <v>4.4927578920694822E-2</v>
      </c>
      <c r="V52" s="5">
        <f t="shared" si="58"/>
        <v>5.5892905390049972</v>
      </c>
      <c r="W52" s="5">
        <f t="shared" si="59"/>
        <v>0.94844796509510998</v>
      </c>
      <c r="X52" s="5">
        <f t="shared" si="60"/>
        <v>3.4836099979021614E-3</v>
      </c>
      <c r="Y52" s="5">
        <f t="shared" si="63"/>
        <v>267.54573909889683</v>
      </c>
      <c r="Z52" s="5">
        <f t="shared" si="61"/>
        <v>2.5816996603048383</v>
      </c>
      <c r="AA52" s="5">
        <f t="shared" si="61"/>
        <v>1.0034896848192654</v>
      </c>
      <c r="AB52" s="5">
        <f t="shared" si="62"/>
        <v>267.4480547422304</v>
      </c>
      <c r="AC52" s="5">
        <f t="shared" si="62"/>
        <v>0.13697601575764604</v>
      </c>
      <c r="AD52" s="6">
        <f t="shared" si="62"/>
        <v>5.1770118805707758E-4</v>
      </c>
    </row>
    <row r="53" spans="6:30" x14ac:dyDescent="0.25">
      <c r="F53" s="51">
        <f t="shared" si="64"/>
        <v>1.0000000005997247</v>
      </c>
      <c r="G53" s="33">
        <f t="shared" si="65"/>
        <v>0.95779556489195783</v>
      </c>
      <c r="H53" s="33">
        <f t="shared" si="65"/>
        <v>4.1554626783581544E-2</v>
      </c>
      <c r="I53" s="33">
        <f t="shared" si="65"/>
        <v>6.4980892418529273E-4</v>
      </c>
      <c r="J53" s="33"/>
      <c r="K53" s="33">
        <f t="shared" si="66"/>
        <v>2.185812986467895E-2</v>
      </c>
      <c r="L53" s="33">
        <f t="shared" si="66"/>
        <v>0.25984916587184176</v>
      </c>
      <c r="M53" s="33">
        <f t="shared" si="66"/>
        <v>0.71829270424644776</v>
      </c>
      <c r="N53" s="51">
        <f t="shared" si="67"/>
        <v>0.99999999998296851</v>
      </c>
      <c r="P53" s="4">
        <f t="shared" si="52"/>
        <v>9.0431398311494368E-2</v>
      </c>
      <c r="Q53" s="5">
        <f t="shared" si="53"/>
        <v>0.91809032837272619</v>
      </c>
      <c r="R53" s="5">
        <f t="shared" si="54"/>
        <v>0.99016244236934881</v>
      </c>
      <c r="S53" s="5">
        <f t="shared" si="55"/>
        <v>0.53062625103563554</v>
      </c>
      <c r="T53" s="5">
        <f t="shared" si="56"/>
        <v>0.19518409726093464</v>
      </c>
      <c r="U53" s="5">
        <f t="shared" si="57"/>
        <v>8.6844060287306121E-3</v>
      </c>
      <c r="V53" s="5">
        <f t="shared" si="58"/>
        <v>6.12924663750786</v>
      </c>
      <c r="W53" s="5">
        <f t="shared" si="59"/>
        <v>0.98804947235745355</v>
      </c>
      <c r="X53" s="5">
        <f t="shared" si="60"/>
        <v>5.6283400821978294E-4</v>
      </c>
      <c r="Y53" s="5">
        <f t="shared" si="63"/>
        <v>459.09016905386613</v>
      </c>
      <c r="Z53" s="5">
        <f t="shared" si="61"/>
        <v>2.6859902612703661</v>
      </c>
      <c r="AA53" s="5">
        <f t="shared" si="61"/>
        <v>1.0005629924290003</v>
      </c>
      <c r="AB53" s="5">
        <f t="shared" si="62"/>
        <v>459.06890712488359</v>
      </c>
      <c r="AC53" s="5">
        <f t="shared" si="62"/>
        <v>0.13392390735740548</v>
      </c>
      <c r="AD53" s="6">
        <f t="shared" si="62"/>
        <v>4.6682585794063388E-4</v>
      </c>
    </row>
    <row r="54" spans="6:30" x14ac:dyDescent="0.25">
      <c r="F54" s="51">
        <f t="shared" si="64"/>
        <v>1.0000000000000002</v>
      </c>
      <c r="G54" s="33">
        <f t="shared" si="65"/>
        <v>0.99211319696682554</v>
      </c>
      <c r="H54" s="33">
        <f t="shared" si="65"/>
        <v>7.3989867747009906E-3</v>
      </c>
      <c r="I54" s="33">
        <f t="shared" si="65"/>
        <v>4.8781625847364176E-4</v>
      </c>
      <c r="J54" s="33"/>
      <c r="K54" s="33">
        <f t="shared" si="66"/>
        <v>3.7095547317516891E-3</v>
      </c>
      <c r="L54" s="33">
        <f t="shared" si="66"/>
        <v>5.4016659294515774E-2</v>
      </c>
      <c r="M54" s="33">
        <f t="shared" si="66"/>
        <v>0.94227378597373257</v>
      </c>
      <c r="N54" s="51">
        <f t="shared" si="67"/>
        <v>1</v>
      </c>
      <c r="P54" s="4">
        <f t="shared" si="52"/>
        <v>8.8342414062947849E-2</v>
      </c>
      <c r="Q54" s="5">
        <f t="shared" si="53"/>
        <v>0.91754399988339375</v>
      </c>
      <c r="R54" s="5">
        <f t="shared" si="54"/>
        <v>0.99678074006424511</v>
      </c>
      <c r="S54" s="5">
        <f t="shared" si="55"/>
        <v>0.52766579066931152</v>
      </c>
      <c r="T54" s="5">
        <f t="shared" si="56"/>
        <v>0.19659346879733233</v>
      </c>
      <c r="U54" s="5">
        <f t="shared" si="57"/>
        <v>2.1515424881390884E-3</v>
      </c>
      <c r="V54" s="5">
        <f t="shared" si="58"/>
        <v>6.2373728641643593</v>
      </c>
      <c r="W54" s="5">
        <f t="shared" si="59"/>
        <v>0.9953305757027846</v>
      </c>
      <c r="X54" s="5">
        <f t="shared" si="60"/>
        <v>2.9610951911338039E-4</v>
      </c>
      <c r="Y54" s="5">
        <f t="shared" si="63"/>
        <v>511.51293025565468</v>
      </c>
      <c r="Z54" s="5">
        <f t="shared" si="61"/>
        <v>2.7056186052322326</v>
      </c>
      <c r="AA54" s="5">
        <f t="shared" si="61"/>
        <v>1.0002961533638646</v>
      </c>
      <c r="AB54" s="5">
        <f t="shared" si="62"/>
        <v>511.49784796848627</v>
      </c>
      <c r="AC54" s="5">
        <f t="shared" si="62"/>
        <v>0.13340995446970549</v>
      </c>
      <c r="AD54" s="6">
        <f t="shared" si="62"/>
        <v>4.5834370277749494E-4</v>
      </c>
    </row>
    <row r="55" spans="6:30" x14ac:dyDescent="0.25">
      <c r="F55" s="51">
        <f t="shared" si="64"/>
        <v>1</v>
      </c>
      <c r="G55" s="33">
        <f t="shared" si="65"/>
        <v>0.99823627873488097</v>
      </c>
      <c r="H55" s="33">
        <f t="shared" si="65"/>
        <v>1.3024505335554545E-3</v>
      </c>
      <c r="I55" s="33">
        <f t="shared" si="65"/>
        <v>4.6127073156363167E-4</v>
      </c>
      <c r="J55" s="33"/>
      <c r="K55" s="33">
        <f t="shared" si="66"/>
        <v>2.1744802648185533E-3</v>
      </c>
      <c r="L55" s="33">
        <f t="shared" si="66"/>
        <v>9.7253026681754281E-3</v>
      </c>
      <c r="M55" s="33">
        <f t="shared" si="66"/>
        <v>0.98810021706700613</v>
      </c>
      <c r="N55" s="51">
        <f t="shared" si="67"/>
        <v>1</v>
      </c>
      <c r="P55" s="4">
        <f t="shared" si="52"/>
        <v>8.7975142206825965E-2</v>
      </c>
      <c r="Q55" s="5">
        <f t="shared" si="53"/>
        <v>0.9174467416387887</v>
      </c>
      <c r="R55" s="5">
        <f t="shared" si="54"/>
        <v>0.99794756205531077</v>
      </c>
      <c r="S55" s="5">
        <f t="shared" si="55"/>
        <v>0.5271422759775567</v>
      </c>
      <c r="T55" s="5">
        <f t="shared" si="56"/>
        <v>0.19684345945682902</v>
      </c>
      <c r="U55" s="5">
        <f t="shared" si="57"/>
        <v>9.9888951068617627E-4</v>
      </c>
      <c r="V55" s="5">
        <f t="shared" si="58"/>
        <v>6.256845941147521</v>
      </c>
      <c r="W55" s="5">
        <f t="shared" si="59"/>
        <v>0.99661914560763321</v>
      </c>
      <c r="X55" s="5">
        <f t="shared" si="60"/>
        <v>2.5701644627434804E-4</v>
      </c>
      <c r="Y55" s="5">
        <f t="shared" ref="Y55:Y57" si="68">EXP(V55)</f>
        <v>521.57127655799616</v>
      </c>
      <c r="Z55" s="5">
        <f t="shared" ref="Z55:Z57" si="69">EXP(W55)</f>
        <v>2.7091072311273892</v>
      </c>
      <c r="AA55" s="5">
        <f t="shared" ref="AA55:AA57" si="70">EXP(X55)</f>
        <v>1.0002570494778309</v>
      </c>
      <c r="AB55" s="5">
        <f t="shared" ref="AB55:AD55" si="71">Y55/Y46</f>
        <v>521.55679407854541</v>
      </c>
      <c r="AC55" s="5">
        <f t="shared" si="71"/>
        <v>0.13332026655538728</v>
      </c>
      <c r="AD55" s="6">
        <f t="shared" si="71"/>
        <v>4.5686731148083642E-4</v>
      </c>
    </row>
    <row r="56" spans="6:30" x14ac:dyDescent="0.25">
      <c r="F56" s="51">
        <f t="shared" si="64"/>
        <v>1.0000000000000002</v>
      </c>
      <c r="G56" s="33">
        <f t="shared" si="65"/>
        <v>0.99931463622689776</v>
      </c>
      <c r="H56" s="33">
        <f t="shared" si="65"/>
        <v>2.2870126443180365E-4</v>
      </c>
      <c r="I56" s="33">
        <f t="shared" si="65"/>
        <v>4.5666250867071415E-4</v>
      </c>
      <c r="J56" s="33"/>
      <c r="K56" s="33">
        <f t="shared" si="66"/>
        <v>1.9537025232772166E-3</v>
      </c>
      <c r="L56" s="33">
        <f t="shared" si="66"/>
        <v>1.714274360866653E-3</v>
      </c>
      <c r="M56" s="33">
        <f t="shared" si="66"/>
        <v>0.99633202311585611</v>
      </c>
      <c r="N56" s="51">
        <f t="shared" si="67"/>
        <v>1</v>
      </c>
      <c r="P56" s="4">
        <f t="shared" si="52"/>
        <v>8.7910616357992702E-2</v>
      </c>
      <c r="Q56" s="5">
        <f t="shared" si="53"/>
        <v>0.91742961739612916</v>
      </c>
      <c r="R56" s="5">
        <f t="shared" si="54"/>
        <v>0.9981526597344561</v>
      </c>
      <c r="S56" s="5">
        <f t="shared" si="55"/>
        <v>0.52705020713574247</v>
      </c>
      <c r="T56" s="5">
        <f t="shared" si="56"/>
        <v>0.19688744778378053</v>
      </c>
      <c r="U56" s="5">
        <f t="shared" si="57"/>
        <v>7.9625507687994474E-4</v>
      </c>
      <c r="V56" s="5">
        <f t="shared" si="58"/>
        <v>6.2602818728280774</v>
      </c>
      <c r="W56" s="5">
        <f t="shared" si="59"/>
        <v>0.99684579086729697</v>
      </c>
      <c r="X56" s="5">
        <f t="shared" si="60"/>
        <v>2.5038940335199108E-4</v>
      </c>
      <c r="Y56" s="5">
        <f t="shared" si="68"/>
        <v>523.36644209777751</v>
      </c>
      <c r="Z56" s="5">
        <f t="shared" si="69"/>
        <v>2.7097213070253123</v>
      </c>
      <c r="AA56" s="5">
        <f t="shared" si="70"/>
        <v>1.0002504207533951</v>
      </c>
      <c r="AB56" s="5">
        <f t="shared" ref="AB56:AD56" si="72">Y56/Y47</f>
        <v>523.35204771051508</v>
      </c>
      <c r="AC56" s="5">
        <f t="shared" si="72"/>
        <v>0.133304529525543</v>
      </c>
      <c r="AD56" s="6">
        <f t="shared" si="72"/>
        <v>4.5660838218805416E-4</v>
      </c>
    </row>
    <row r="57" spans="6:30" x14ac:dyDescent="0.25">
      <c r="F57" s="51">
        <f t="shared" si="64"/>
        <v>1</v>
      </c>
      <c r="G57" s="33">
        <f t="shared" si="65"/>
        <v>0.99950414776227747</v>
      </c>
      <c r="H57" s="33">
        <f t="shared" si="65"/>
        <v>3.9997525516683931E-5</v>
      </c>
      <c r="I57" s="33">
        <f t="shared" si="65"/>
        <v>4.5585471220592174E-4</v>
      </c>
      <c r="J57" s="33"/>
      <c r="K57" s="33">
        <f t="shared" si="66"/>
        <v>1.9163860179947233E-3</v>
      </c>
      <c r="L57" s="33">
        <f t="shared" si="66"/>
        <v>3.0001084268810053E-4</v>
      </c>
      <c r="M57" s="33">
        <f t="shared" si="66"/>
        <v>0.99778360313931724</v>
      </c>
      <c r="N57" s="51">
        <f t="shared" si="67"/>
        <v>1</v>
      </c>
      <c r="P57" s="4">
        <f t="shared" si="52"/>
        <v>8.7899281269739435E-2</v>
      </c>
      <c r="Q57" s="5">
        <f t="shared" si="53"/>
        <v>0.9174266080851563</v>
      </c>
      <c r="R57" s="5">
        <f t="shared" si="54"/>
        <v>0.99818869176779812</v>
      </c>
      <c r="S57" s="5">
        <f t="shared" si="55"/>
        <v>0.52703403078281219</v>
      </c>
      <c r="T57" s="5">
        <f t="shared" si="56"/>
        <v>0.19689517718134777</v>
      </c>
      <c r="U57" s="5">
        <f t="shared" si="57"/>
        <v>7.6065495092681444E-4</v>
      </c>
      <c r="V57" s="5">
        <f t="shared" si="58"/>
        <v>6.2608859104554115</v>
      </c>
      <c r="W57" s="5">
        <f t="shared" si="59"/>
        <v>0.99688561295698075</v>
      </c>
      <c r="X57" s="5">
        <f t="shared" si="60"/>
        <v>2.4923269332005735E-4</v>
      </c>
      <c r="Y57" s="5">
        <f t="shared" si="68"/>
        <v>523.68267061903646</v>
      </c>
      <c r="Z57" s="5">
        <f t="shared" si="69"/>
        <v>2.7098292159387833</v>
      </c>
      <c r="AA57" s="5">
        <f t="shared" si="70"/>
        <v>1.0002492637543683</v>
      </c>
      <c r="AB57" s="5">
        <f t="shared" ref="AB57:AD57" si="73">Y57/Y48</f>
        <v>523.66829115973292</v>
      </c>
      <c r="AC57" s="5">
        <f t="shared" si="73"/>
        <v>0.13330176566293014</v>
      </c>
      <c r="AD57" s="6">
        <f t="shared" si="73"/>
        <v>4.5656291085250896E-4</v>
      </c>
    </row>
    <row r="58" spans="6:30" x14ac:dyDescent="0.25">
      <c r="F58" s="51">
        <f t="shared" si="64"/>
        <v>1.0000000000000002</v>
      </c>
      <c r="G58" s="33">
        <f t="shared" si="65"/>
        <v>0.99953744046134196</v>
      </c>
      <c r="H58" s="33">
        <f t="shared" si="65"/>
        <v>6.8466737260413765E-6</v>
      </c>
      <c r="I58" s="33">
        <f t="shared" si="65"/>
        <v>4.5571286493207235E-4</v>
      </c>
      <c r="J58" s="33"/>
      <c r="K58" s="33">
        <f t="shared" si="66"/>
        <v>1.9098758566704263E-3</v>
      </c>
      <c r="L58" s="33">
        <f t="shared" si="66"/>
        <v>5.1361148420162708E-5</v>
      </c>
      <c r="M58" s="33">
        <f t="shared" si="66"/>
        <v>0.99803876299490923</v>
      </c>
      <c r="N58" s="51">
        <f t="shared" si="67"/>
        <v>0.99999999999999978</v>
      </c>
    </row>
    <row r="59" spans="6:30" x14ac:dyDescent="0.25">
      <c r="F59" s="51">
        <f t="shared" si="64"/>
        <v>1</v>
      </c>
      <c r="G59" s="33">
        <f t="shared" si="65"/>
        <v>0.9995432888253698</v>
      </c>
      <c r="H59" s="33">
        <f t="shared" si="65"/>
        <v>1.0232253493685715E-6</v>
      </c>
      <c r="I59" s="33">
        <f t="shared" si="65"/>
        <v>4.5568794928086298E-4</v>
      </c>
      <c r="J59" s="33"/>
      <c r="K59" s="33">
        <f t="shared" si="66"/>
        <v>1.908733650096989E-3</v>
      </c>
      <c r="L59" s="33">
        <f t="shared" si="66"/>
        <v>7.6760074728186445E-6</v>
      </c>
      <c r="M59" s="33">
        <f t="shared" si="66"/>
        <v>0.99808359034243022</v>
      </c>
      <c r="N59" s="51">
        <f t="shared" si="67"/>
        <v>1</v>
      </c>
    </row>
    <row r="66" spans="1:14" x14ac:dyDescent="0.25">
      <c r="I66" t="s">
        <v>25</v>
      </c>
      <c r="J66" t="s">
        <v>28</v>
      </c>
      <c r="K66" t="s">
        <v>29</v>
      </c>
      <c r="L66" t="s">
        <v>30</v>
      </c>
      <c r="N66" t="s">
        <v>116</v>
      </c>
    </row>
    <row r="67" spans="1:14" x14ac:dyDescent="0.25">
      <c r="H67" t="s">
        <v>7</v>
      </c>
      <c r="I67">
        <v>25</v>
      </c>
      <c r="J67">
        <v>0.35</v>
      </c>
      <c r="K67">
        <v>0.65</v>
      </c>
      <c r="L67">
        <v>0</v>
      </c>
      <c r="N67">
        <v>0.99999922730763247</v>
      </c>
    </row>
    <row r="68" spans="1:14" x14ac:dyDescent="0.25">
      <c r="H68" t="s">
        <v>18</v>
      </c>
      <c r="I68">
        <v>5.6785498815422155</v>
      </c>
      <c r="J68">
        <v>0</v>
      </c>
      <c r="K68">
        <v>0</v>
      </c>
      <c r="L68">
        <v>1</v>
      </c>
      <c r="N68">
        <v>0.99</v>
      </c>
    </row>
    <row r="69" spans="1:14" x14ac:dyDescent="0.25">
      <c r="N69">
        <v>9.9992273076324745E-3</v>
      </c>
    </row>
    <row r="70" spans="1:14" x14ac:dyDescent="0.25">
      <c r="J70" t="s">
        <v>74</v>
      </c>
      <c r="K70" t="s">
        <v>75</v>
      </c>
    </row>
    <row r="71" spans="1:14" x14ac:dyDescent="0.25">
      <c r="A71" t="s">
        <v>6</v>
      </c>
      <c r="B71" t="s">
        <v>68</v>
      </c>
      <c r="C71" t="s">
        <v>69</v>
      </c>
      <c r="D71" t="s">
        <v>70</v>
      </c>
      <c r="E71" t="s">
        <v>76</v>
      </c>
      <c r="F71" t="s">
        <v>71</v>
      </c>
      <c r="G71" t="s">
        <v>72</v>
      </c>
      <c r="H71" t="s">
        <v>73</v>
      </c>
      <c r="I71" t="s">
        <v>77</v>
      </c>
      <c r="J71">
        <v>25</v>
      </c>
      <c r="L71" t="s">
        <v>62</v>
      </c>
      <c r="M71" t="s">
        <v>63</v>
      </c>
      <c r="N71" t="s">
        <v>64</v>
      </c>
    </row>
    <row r="72" spans="1:14" x14ac:dyDescent="0.25">
      <c r="A72">
        <v>1</v>
      </c>
      <c r="B72">
        <v>0.78510860853055753</v>
      </c>
      <c r="C72">
        <v>0.21285577832060334</v>
      </c>
      <c r="D72">
        <v>2.0356058213487835E-3</v>
      </c>
      <c r="E72">
        <v>1</v>
      </c>
      <c r="F72">
        <v>3.6661335103611165E-2</v>
      </c>
      <c r="G72">
        <v>0.71399277990579624</v>
      </c>
      <c r="H72">
        <v>0.24934588499059263</v>
      </c>
      <c r="I72">
        <v>1</v>
      </c>
      <c r="J72">
        <v>10.328686310844445</v>
      </c>
      <c r="K72">
        <v>22.759316201899185</v>
      </c>
      <c r="L72">
        <v>4.669587711212092E-2</v>
      </c>
      <c r="M72">
        <v>3.354349999511784</v>
      </c>
      <c r="N72">
        <v>122.49222436659035</v>
      </c>
    </row>
    <row r="73" spans="1:14" x14ac:dyDescent="0.25">
      <c r="A73">
        <v>2</v>
      </c>
      <c r="B73">
        <v>0.95529366834159102</v>
      </c>
      <c r="C73">
        <v>4.4041741050383311E-2</v>
      </c>
      <c r="D73">
        <v>6.6245536880650145E-4</v>
      </c>
      <c r="E73">
        <v>1</v>
      </c>
      <c r="F73">
        <v>2.3927719502763192E-2</v>
      </c>
      <c r="G73">
        <v>0.27181137470388106</v>
      </c>
      <c r="H73">
        <v>0.70426090579335576</v>
      </c>
      <c r="I73">
        <v>1</v>
      </c>
      <c r="J73">
        <v>8.3113080502590346</v>
      </c>
      <c r="K73">
        <v>8.0880025127436301</v>
      </c>
      <c r="L73">
        <v>2.5047501407920135E-2</v>
      </c>
      <c r="M73">
        <v>6.1716764192617086</v>
      </c>
      <c r="N73">
        <v>1063.1069487174243</v>
      </c>
    </row>
    <row r="74" spans="1:14" x14ac:dyDescent="0.25">
      <c r="A74">
        <v>3</v>
      </c>
      <c r="B74">
        <v>0.99122100115873302</v>
      </c>
      <c r="C74">
        <v>8.2869861376191796E-3</v>
      </c>
      <c r="D74">
        <v>4.9168741672542802E-4</v>
      </c>
      <c r="E74">
        <v>1</v>
      </c>
      <c r="F74">
        <v>3.9743645881635111E-3</v>
      </c>
      <c r="G74">
        <v>6.029637951594876E-2</v>
      </c>
      <c r="H74">
        <v>0.93572925589588773</v>
      </c>
      <c r="I74">
        <v>1</v>
      </c>
      <c r="J74">
        <v>7.9986497579119344</v>
      </c>
      <c r="K74">
        <v>6.0706242521582183</v>
      </c>
      <c r="L74">
        <v>4.0095645507081633E-3</v>
      </c>
      <c r="M74">
        <v>7.2760323855533429</v>
      </c>
      <c r="N74">
        <v>1903.0978301777959</v>
      </c>
    </row>
    <row r="75" spans="1:14" x14ac:dyDescent="0.25">
      <c r="A75">
        <v>4</v>
      </c>
      <c r="B75">
        <v>0.99799490601023988</v>
      </c>
      <c r="C75">
        <v>1.5427608539052328E-3</v>
      </c>
      <c r="D75">
        <v>4.6229476309747277E-4</v>
      </c>
      <c r="E75">
        <v>1</v>
      </c>
      <c r="F75">
        <v>2.2258795991250929E-3</v>
      </c>
      <c r="G75">
        <v>1.1509931099386028E-2</v>
      </c>
      <c r="H75">
        <v>0.98626418930148885</v>
      </c>
      <c r="I75">
        <v>1</v>
      </c>
      <c r="J75">
        <v>7.9427448313677171</v>
      </c>
      <c r="K75">
        <v>5.7579659598111181</v>
      </c>
      <c r="L75">
        <v>2.2303516638413124E-3</v>
      </c>
      <c r="M75">
        <v>7.4606061401225112</v>
      </c>
      <c r="N75">
        <v>2133.4098242716618</v>
      </c>
    </row>
    <row r="76" spans="1:14" x14ac:dyDescent="0.25">
      <c r="A76">
        <v>5</v>
      </c>
      <c r="B76">
        <v>0.9992565971571592</v>
      </c>
      <c r="C76">
        <v>2.864798016481879E-4</v>
      </c>
      <c r="D76">
        <v>4.5690783833546089E-4</v>
      </c>
      <c r="E76">
        <v>1</v>
      </c>
      <c r="F76">
        <v>1.965219134913097E-3</v>
      </c>
      <c r="G76">
        <v>2.1470194403225393E-3</v>
      </c>
      <c r="H76">
        <v>0.99588776142476432</v>
      </c>
      <c r="I76">
        <v>1</v>
      </c>
      <c r="J76">
        <v>7.9324321772128608</v>
      </c>
      <c r="K76">
        <v>5.7020610332669017</v>
      </c>
      <c r="L76">
        <v>1.966681171286793E-3</v>
      </c>
      <c r="M76">
        <v>7.4944880161540706</v>
      </c>
      <c r="N76">
        <v>2179.6250312816596</v>
      </c>
    </row>
    <row r="77" spans="1:14" x14ac:dyDescent="0.25">
      <c r="A77">
        <v>6</v>
      </c>
      <c r="B77">
        <v>0.99949112460073319</v>
      </c>
      <c r="C77">
        <v>5.2953800075130462E-5</v>
      </c>
      <c r="D77">
        <v>4.5590970907754717E-4</v>
      </c>
      <c r="E77">
        <v>1</v>
      </c>
      <c r="F77">
        <v>1.9189363023559419E-3</v>
      </c>
      <c r="G77">
        <v>3.972595505151291E-4</v>
      </c>
      <c r="H77">
        <v>0.99768380414712887</v>
      </c>
      <c r="I77">
        <v>0.99999999999999989</v>
      </c>
      <c r="J77">
        <v>7.9305186427469252</v>
      </c>
      <c r="K77">
        <v>5.6917483791120453</v>
      </c>
      <c r="L77">
        <v>1.9199132990025294E-3</v>
      </c>
      <c r="M77">
        <v>7.5020026882206787</v>
      </c>
      <c r="N77">
        <v>2188.3363838988339</v>
      </c>
    </row>
    <row r="78" spans="1:14" x14ac:dyDescent="0.25">
      <c r="A78">
        <v>7</v>
      </c>
      <c r="B78">
        <v>0.99953470848248527</v>
      </c>
      <c r="C78">
        <v>9.5609258898007151E-6</v>
      </c>
      <c r="D78">
        <v>4.5572438849590956E-4</v>
      </c>
      <c r="E78">
        <v>1</v>
      </c>
      <c r="F78">
        <v>1.9104095654564092E-3</v>
      </c>
      <c r="G78">
        <v>7.1767409300881632E-5</v>
      </c>
      <c r="H78">
        <v>0.99801782302524267</v>
      </c>
      <c r="I78">
        <v>1</v>
      </c>
      <c r="J78">
        <v>7.9301631527554921</v>
      </c>
      <c r="K78">
        <v>5.6898348446461089</v>
      </c>
      <c r="L78">
        <v>1.9112988766111319E-3</v>
      </c>
      <c r="M78">
        <v>7.5063241916183845</v>
      </c>
      <c r="N78">
        <v>2189.9592126704902</v>
      </c>
    </row>
    <row r="79" spans="1:14" x14ac:dyDescent="0.25">
      <c r="A79">
        <v>8</v>
      </c>
      <c r="B79">
        <v>0.99954280959542685</v>
      </c>
      <c r="C79">
        <v>1.4984023552993043E-6</v>
      </c>
      <c r="D79">
        <v>4.55689967043696E-4</v>
      </c>
      <c r="E79">
        <v>1</v>
      </c>
      <c r="F79">
        <v>1.9088272296824489E-3</v>
      </c>
      <c r="G79">
        <v>1.1255748230029552E-5</v>
      </c>
      <c r="H79">
        <v>0.99807991702208754</v>
      </c>
      <c r="I79">
        <v>1</v>
      </c>
      <c r="J79">
        <v>7.9192336796430318</v>
      </c>
      <c r="K79">
        <v>5.6894793546546758</v>
      </c>
      <c r="L79">
        <v>1.909700326347265E-3</v>
      </c>
      <c r="M79">
        <v>7.5118329801218362</v>
      </c>
      <c r="N79">
        <v>2190.2608993065278</v>
      </c>
    </row>
    <row r="80" spans="1:14" x14ac:dyDescent="0.25">
      <c r="A80" t="s">
        <v>18</v>
      </c>
      <c r="F80">
        <v>0</v>
      </c>
      <c r="G80">
        <v>0</v>
      </c>
      <c r="H80">
        <v>1</v>
      </c>
      <c r="K80">
        <v>5.6785498815422155</v>
      </c>
    </row>
  </sheetData>
  <mergeCells count="1">
    <mergeCell ref="A35:E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NRTL_8">
                <anchor moveWithCells="1" sizeWithCells="1">
                  <from>
                    <xdr:col>5</xdr:col>
                    <xdr:colOff>0</xdr:colOff>
                    <xdr:row>35</xdr:row>
                    <xdr:rowOff>152400</xdr:rowOff>
                  </from>
                  <to>
                    <xdr:col>6</xdr:col>
                    <xdr:colOff>561975</xdr:colOff>
                    <xdr:row>36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Vytazky</vt:lpstr>
      <vt:lpstr>MB 5 PTE s ns=10</vt:lpstr>
      <vt:lpstr>MB 5 PTE s ns=7</vt:lpstr>
      <vt:lpstr>1 kontakt</vt:lpstr>
      <vt:lpstr>2 kontakty</vt:lpstr>
      <vt:lpstr>3 kontakty</vt:lpstr>
      <vt:lpstr>4 kont</vt:lpstr>
      <vt:lpstr>8 kont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2024-05-04T13:16:25Z</dcterms:modified>
</cp:coreProperties>
</file>