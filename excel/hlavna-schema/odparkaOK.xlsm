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 activeTab="5"/>
  </bookViews>
  <sheets>
    <sheet name="Vstup" sheetId="1" r:id="rId1"/>
    <sheet name="ODP.Extrakt" sheetId="2" r:id="rId2"/>
    <sheet name="ODP.Rafinat" sheetId="3" r:id="rId3"/>
    <sheet name="Лист1" sheetId="4" r:id="rId4"/>
    <sheet name="Лист2" sheetId="5" r:id="rId5"/>
    <sheet name="Лист3" sheetId="6" r:id="rId6"/>
  </sheets>
  <definedNames>
    <definedName name="solver_adj" localSheetId="2" hidden="1">ODP.Rafinat!$T$10</definedName>
    <definedName name="solver_adj" localSheetId="3" hidden="1">Лист1!$T$10</definedName>
    <definedName name="solver_adj" localSheetId="4" hidden="1">Лист2!$T$10</definedName>
    <definedName name="solver_adj" localSheetId="5" hidden="1">Лист3!$T$10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2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wt" localSheetId="1" hidden="1">1</definedName>
    <definedName name="solver_nwt" localSheetId="2" hidden="1">1</definedName>
    <definedName name="solver_opt" localSheetId="2" hidden="1">ODP.Rafinat!$AE$10</definedName>
    <definedName name="solver_opt" localSheetId="3" hidden="1">Лист1!$AE$10</definedName>
    <definedName name="solver_opt" localSheetId="4" hidden="1">Лист2!$AE$10</definedName>
    <definedName name="solver_opt" localSheetId="5" hidden="1">Лист3!$AE$10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2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1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1" hidden="1">0</definedName>
    <definedName name="solver_val" localSheetId="2" hidden="1">1</definedName>
    <definedName name="solver_val" localSheetId="3" hidden="1">1</definedName>
    <definedName name="solver_val" localSheetId="4" hidden="1">1</definedName>
    <definedName name="solver_val" localSheetId="5" hidden="1">1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45621" calcMode="manual" iterate="1"/>
</workbook>
</file>

<file path=xl/calcChain.xml><?xml version="1.0" encoding="utf-8"?>
<calcChain xmlns="http://schemas.openxmlformats.org/spreadsheetml/2006/main">
  <c r="J29" i="6" l="1"/>
  <c r="E29" i="6"/>
  <c r="D29" i="6"/>
  <c r="F29" i="6" s="1"/>
  <c r="I24" i="6"/>
  <c r="I22" i="6"/>
  <c r="B22" i="6"/>
  <c r="H22" i="6" s="1"/>
  <c r="L22" i="6" s="1"/>
  <c r="L10" i="6" s="1"/>
  <c r="B21" i="6"/>
  <c r="I20" i="6"/>
  <c r="U10" i="6"/>
  <c r="V10" i="6" s="1"/>
  <c r="O1" i="6"/>
  <c r="O29" i="6" s="1"/>
  <c r="U29" i="6" s="1"/>
  <c r="W10" i="6" l="1"/>
  <c r="G14" i="6"/>
  <c r="M14" i="6" s="1"/>
  <c r="I14" i="6"/>
  <c r="O14" i="6" s="1"/>
  <c r="K14" i="6"/>
  <c r="Q14" i="6" s="1"/>
  <c r="H24" i="6"/>
  <c r="L24" i="6" s="1"/>
  <c r="M10" i="6" s="1"/>
  <c r="L29" i="6"/>
  <c r="R29" i="6" s="1"/>
  <c r="N29" i="6"/>
  <c r="T29" i="6" s="1"/>
  <c r="P29" i="6"/>
  <c r="V29" i="6" s="1"/>
  <c r="F14" i="6"/>
  <c r="L14" i="6" s="1"/>
  <c r="H14" i="6"/>
  <c r="N14" i="6" s="1"/>
  <c r="J14" i="6"/>
  <c r="P14" i="6" s="1"/>
  <c r="H20" i="6"/>
  <c r="L20" i="6" s="1"/>
  <c r="K10" i="6" s="1"/>
  <c r="K29" i="6"/>
  <c r="Q29" i="6" s="1"/>
  <c r="M29" i="6"/>
  <c r="S29" i="6" s="1"/>
  <c r="J29" i="5"/>
  <c r="E29" i="5"/>
  <c r="D29" i="5"/>
  <c r="F29" i="5" s="1"/>
  <c r="I24" i="5"/>
  <c r="I22" i="5"/>
  <c r="B22" i="5"/>
  <c r="H24" i="5" s="1"/>
  <c r="L24" i="5" s="1"/>
  <c r="M10" i="5" s="1"/>
  <c r="B21" i="5"/>
  <c r="I20" i="5"/>
  <c r="U10" i="5"/>
  <c r="W10" i="5" s="1"/>
  <c r="O1" i="5"/>
  <c r="P29" i="5" s="1"/>
  <c r="V29" i="5" s="1"/>
  <c r="J29" i="4"/>
  <c r="D29" i="4"/>
  <c r="E29" i="4" s="1"/>
  <c r="I24" i="4"/>
  <c r="I22" i="4"/>
  <c r="H22" i="4"/>
  <c r="L22" i="4" s="1"/>
  <c r="L10" i="4" s="1"/>
  <c r="B22" i="4"/>
  <c r="H24" i="4" s="1"/>
  <c r="L24" i="4" s="1"/>
  <c r="M10" i="4" s="1"/>
  <c r="B21" i="4"/>
  <c r="I20" i="4"/>
  <c r="H20" i="4"/>
  <c r="L20" i="4" s="1"/>
  <c r="K10" i="4" s="1"/>
  <c r="J14" i="4"/>
  <c r="P14" i="4" s="1"/>
  <c r="H14" i="4"/>
  <c r="N14" i="4" s="1"/>
  <c r="F14" i="4"/>
  <c r="L14" i="4" s="1"/>
  <c r="U10" i="4"/>
  <c r="W10" i="4" s="1"/>
  <c r="O1" i="4"/>
  <c r="P29" i="4" s="1"/>
  <c r="V29" i="4" s="1"/>
  <c r="Q10" i="6" l="1"/>
  <c r="O10" i="6"/>
  <c r="N10" i="6"/>
  <c r="P10" i="6"/>
  <c r="V10" i="5"/>
  <c r="F14" i="5"/>
  <c r="L14" i="5" s="1"/>
  <c r="H14" i="5"/>
  <c r="N14" i="5" s="1"/>
  <c r="J14" i="5"/>
  <c r="P14" i="5" s="1"/>
  <c r="H20" i="5"/>
  <c r="L20" i="5" s="1"/>
  <c r="K10" i="5" s="1"/>
  <c r="H22" i="5"/>
  <c r="L22" i="5" s="1"/>
  <c r="L10" i="5" s="1"/>
  <c r="K29" i="5"/>
  <c r="Q29" i="5" s="1"/>
  <c r="M29" i="5"/>
  <c r="S29" i="5" s="1"/>
  <c r="O29" i="5"/>
  <c r="U29" i="5" s="1"/>
  <c r="G14" i="5"/>
  <c r="M14" i="5" s="1"/>
  <c r="I14" i="5"/>
  <c r="O14" i="5" s="1"/>
  <c r="K14" i="5"/>
  <c r="Q14" i="5" s="1"/>
  <c r="L29" i="5"/>
  <c r="R29" i="5" s="1"/>
  <c r="N29" i="5"/>
  <c r="T29" i="5" s="1"/>
  <c r="V10" i="4"/>
  <c r="Q10" i="4"/>
  <c r="N10" i="4"/>
  <c r="O10" i="4"/>
  <c r="P10" i="4"/>
  <c r="F29" i="4"/>
  <c r="K29" i="4"/>
  <c r="Q29" i="4" s="1"/>
  <c r="M29" i="4"/>
  <c r="S29" i="4" s="1"/>
  <c r="O29" i="4"/>
  <c r="U29" i="4" s="1"/>
  <c r="G14" i="4"/>
  <c r="M14" i="4" s="1"/>
  <c r="I14" i="4"/>
  <c r="O14" i="4" s="1"/>
  <c r="K14" i="4"/>
  <c r="Q14" i="4" s="1"/>
  <c r="L29" i="4"/>
  <c r="R29" i="4" s="1"/>
  <c r="N29" i="4"/>
  <c r="T29" i="4" s="1"/>
  <c r="D29" i="3"/>
  <c r="D29" i="2"/>
  <c r="K29" i="2" s="1"/>
  <c r="F29" i="2"/>
  <c r="E29" i="2"/>
  <c r="R14" i="6" l="1"/>
  <c r="D22" i="6"/>
  <c r="I29" i="6" s="1"/>
  <c r="W29" i="6" s="1"/>
  <c r="C22" i="6"/>
  <c r="H29" i="6" s="1"/>
  <c r="V14" i="6"/>
  <c r="T14" i="6"/>
  <c r="W14" i="6"/>
  <c r="U14" i="6"/>
  <c r="S14" i="6"/>
  <c r="P10" i="5"/>
  <c r="D22" i="5" s="1"/>
  <c r="I29" i="5" s="1"/>
  <c r="W29" i="5" s="1"/>
  <c r="N10" i="5"/>
  <c r="O10" i="5"/>
  <c r="Q10" i="5"/>
  <c r="D22" i="4"/>
  <c r="I29" i="4" s="1"/>
  <c r="W29" i="4" s="1"/>
  <c r="R14" i="4"/>
  <c r="W14" i="4"/>
  <c r="U14" i="4"/>
  <c r="S14" i="4"/>
  <c r="C22" i="4"/>
  <c r="H29" i="4" s="1"/>
  <c r="V14" i="4"/>
  <c r="T14" i="4"/>
  <c r="J29" i="2"/>
  <c r="X14" i="6" l="1"/>
  <c r="AA14" i="6" s="1"/>
  <c r="Z14" i="6"/>
  <c r="AC14" i="6" s="1"/>
  <c r="AA29" i="6"/>
  <c r="Y29" i="6"/>
  <c r="AB29" i="6"/>
  <c r="Z29" i="6"/>
  <c r="X29" i="6"/>
  <c r="Y14" i="6"/>
  <c r="AB14" i="6" s="1"/>
  <c r="R14" i="5"/>
  <c r="W14" i="5"/>
  <c r="U14" i="5"/>
  <c r="S14" i="5"/>
  <c r="C22" i="5"/>
  <c r="H29" i="5" s="1"/>
  <c r="V14" i="5"/>
  <c r="T14" i="5"/>
  <c r="Z14" i="4"/>
  <c r="AC14" i="4" s="1"/>
  <c r="AA10" i="4" s="1"/>
  <c r="Y14" i="4"/>
  <c r="AB14" i="4" s="1"/>
  <c r="X14" i="4"/>
  <c r="AA14" i="4" s="1"/>
  <c r="AB29" i="4"/>
  <c r="Z29" i="4"/>
  <c r="X29" i="4"/>
  <c r="AA29" i="4"/>
  <c r="Y29" i="4"/>
  <c r="K29" i="3"/>
  <c r="P29" i="3"/>
  <c r="V29" i="3" s="1"/>
  <c r="O29" i="3"/>
  <c r="U29" i="3" s="1"/>
  <c r="N29" i="3"/>
  <c r="T29" i="3" s="1"/>
  <c r="M29" i="3"/>
  <c r="S29" i="3" s="1"/>
  <c r="L29" i="3"/>
  <c r="R29" i="3" s="1"/>
  <c r="Q29" i="3"/>
  <c r="J29" i="3"/>
  <c r="F29" i="3"/>
  <c r="E29" i="3"/>
  <c r="Q29" i="2"/>
  <c r="P29" i="2"/>
  <c r="V29" i="2" s="1"/>
  <c r="O29" i="2"/>
  <c r="N29" i="2"/>
  <c r="T29" i="2" s="1"/>
  <c r="M29" i="2"/>
  <c r="L29" i="2"/>
  <c r="U29" i="2"/>
  <c r="R29" i="2"/>
  <c r="F14" i="2"/>
  <c r="AC29" i="6" l="1"/>
  <c r="AF29" i="6" s="1"/>
  <c r="AI29" i="6" s="1"/>
  <c r="Z10" i="6"/>
  <c r="AC10" i="6"/>
  <c r="D21" i="6" s="1"/>
  <c r="AE29" i="6"/>
  <c r="AH29" i="6" s="1"/>
  <c r="AK29" i="6" s="1"/>
  <c r="AA10" i="6"/>
  <c r="AD10" i="6"/>
  <c r="E21" i="6" s="1"/>
  <c r="AD29" i="6"/>
  <c r="AG29" i="6" s="1"/>
  <c r="AJ29" i="6" s="1"/>
  <c r="Y10" i="6"/>
  <c r="AF10" i="6"/>
  <c r="AB10" i="6"/>
  <c r="X14" i="5"/>
  <c r="AA14" i="5" s="1"/>
  <c r="Z14" i="5"/>
  <c r="AC14" i="5" s="1"/>
  <c r="AB29" i="5"/>
  <c r="Z29" i="5"/>
  <c r="X29" i="5"/>
  <c r="AA29" i="5"/>
  <c r="Y29" i="5"/>
  <c r="Y14" i="5"/>
  <c r="AB14" i="5" s="1"/>
  <c r="AD10" i="4"/>
  <c r="E21" i="4" s="1"/>
  <c r="AC29" i="4"/>
  <c r="AF29" i="4" s="1"/>
  <c r="AI29" i="4" s="1"/>
  <c r="AE29" i="4"/>
  <c r="AH29" i="4" s="1"/>
  <c r="AK29" i="4" s="1"/>
  <c r="AD29" i="4"/>
  <c r="AG29" i="4" s="1"/>
  <c r="AJ29" i="4" s="1"/>
  <c r="Y10" i="4"/>
  <c r="AB10" i="4"/>
  <c r="AF10" i="4"/>
  <c r="Z10" i="4"/>
  <c r="AC10" i="4"/>
  <c r="D21" i="4" s="1"/>
  <c r="S29" i="2"/>
  <c r="I24" i="3"/>
  <c r="I22" i="3"/>
  <c r="B22" i="3"/>
  <c r="B21" i="3" s="1"/>
  <c r="H22" i="3" s="1"/>
  <c r="L22" i="3" s="1"/>
  <c r="L10" i="3" s="1"/>
  <c r="I20" i="3"/>
  <c r="U10" i="3"/>
  <c r="V10" i="3" s="1"/>
  <c r="O1" i="3"/>
  <c r="K14" i="3" s="1"/>
  <c r="Q14" i="3" s="1"/>
  <c r="AL29" i="6" l="1"/>
  <c r="C21" i="6"/>
  <c r="AE10" i="6"/>
  <c r="Z10" i="5"/>
  <c r="AC10" i="5"/>
  <c r="D21" i="5" s="1"/>
  <c r="AC29" i="5"/>
  <c r="AF29" i="5" s="1"/>
  <c r="AI29" i="5" s="1"/>
  <c r="AA10" i="5"/>
  <c r="AD10" i="5"/>
  <c r="E21" i="5" s="1"/>
  <c r="AE29" i="5"/>
  <c r="AH29" i="5" s="1"/>
  <c r="AK29" i="5" s="1"/>
  <c r="AD29" i="5"/>
  <c r="AG29" i="5" s="1"/>
  <c r="AJ29" i="5" s="1"/>
  <c r="Y10" i="5"/>
  <c r="AF10" i="5"/>
  <c r="AB10" i="5"/>
  <c r="AL29" i="4"/>
  <c r="C21" i="4"/>
  <c r="AE10" i="4"/>
  <c r="H20" i="3"/>
  <c r="L20" i="3" s="1"/>
  <c r="K10" i="3" s="1"/>
  <c r="H24" i="3"/>
  <c r="L24" i="3" s="1"/>
  <c r="M10" i="3" s="1"/>
  <c r="W10" i="3"/>
  <c r="F14" i="3"/>
  <c r="L14" i="3" s="1"/>
  <c r="H14" i="3"/>
  <c r="N14" i="3" s="1"/>
  <c r="J14" i="3"/>
  <c r="P14" i="3" s="1"/>
  <c r="G14" i="3"/>
  <c r="M14" i="3" s="1"/>
  <c r="I14" i="3"/>
  <c r="O14" i="3" s="1"/>
  <c r="I24" i="2"/>
  <c r="I22" i="2"/>
  <c r="I20" i="2"/>
  <c r="U10" i="2"/>
  <c r="O1" i="2"/>
  <c r="J14" i="2" s="1"/>
  <c r="P14" i="2" s="1"/>
  <c r="B26" i="1"/>
  <c r="B25" i="1" s="1"/>
  <c r="C20" i="1"/>
  <c r="B20" i="1"/>
  <c r="C19" i="1"/>
  <c r="H28" i="1" s="1"/>
  <c r="G30" i="1" s="1"/>
  <c r="H30" i="1" s="1"/>
  <c r="B19" i="1"/>
  <c r="B28" i="1" s="1"/>
  <c r="A30" i="1" s="1"/>
  <c r="B30" i="1" s="1"/>
  <c r="C18" i="1"/>
  <c r="B18" i="1"/>
  <c r="C17" i="1"/>
  <c r="B17" i="1"/>
  <c r="C21" i="5" l="1"/>
  <c r="AE10" i="5"/>
  <c r="AL29" i="5"/>
  <c r="W10" i="2"/>
  <c r="V10" i="2"/>
  <c r="P10" i="3"/>
  <c r="D22" i="3" s="1"/>
  <c r="I29" i="3" s="1"/>
  <c r="W29" i="3" s="1"/>
  <c r="N10" i="3"/>
  <c r="Q10" i="3"/>
  <c r="O10" i="3"/>
  <c r="G14" i="2"/>
  <c r="M14" i="2" s="1"/>
  <c r="I14" i="2"/>
  <c r="O14" i="2" s="1"/>
  <c r="K14" i="2"/>
  <c r="Q14" i="2" s="1"/>
  <c r="L14" i="2"/>
  <c r="H14" i="2"/>
  <c r="N14" i="2" s="1"/>
  <c r="R14" i="3" l="1"/>
  <c r="S14" i="3"/>
  <c r="U14" i="3"/>
  <c r="T14" i="3"/>
  <c r="C22" i="3"/>
  <c r="H29" i="3" s="1"/>
  <c r="V14" i="3"/>
  <c r="W14" i="3"/>
  <c r="B22" i="2"/>
  <c r="AB29" i="3" l="1"/>
  <c r="AA29" i="3"/>
  <c r="Z29" i="3"/>
  <c r="Y29" i="3"/>
  <c r="X29" i="3"/>
  <c r="Z14" i="3"/>
  <c r="AC14" i="3" s="1"/>
  <c r="AA10" i="3" s="1"/>
  <c r="Y14" i="3"/>
  <c r="AB14" i="3" s="1"/>
  <c r="AC10" i="3" s="1"/>
  <c r="D21" i="3" s="1"/>
  <c r="X14" i="3"/>
  <c r="AA14" i="3" s="1"/>
  <c r="B21" i="2"/>
  <c r="H20" i="2" s="1"/>
  <c r="L20" i="2" s="1"/>
  <c r="K10" i="2" s="1"/>
  <c r="H22" i="2"/>
  <c r="L22" i="2" s="1"/>
  <c r="L10" i="2" s="1"/>
  <c r="AF10" i="3" l="1"/>
  <c r="Y10" i="3"/>
  <c r="AB10" i="3"/>
  <c r="C21" i="3" s="1"/>
  <c r="AD29" i="3"/>
  <c r="AG29" i="3" s="1"/>
  <c r="AJ29" i="3" s="1"/>
  <c r="AE29" i="3"/>
  <c r="AH29" i="3" s="1"/>
  <c r="AK29" i="3" s="1"/>
  <c r="AC29" i="3"/>
  <c r="AF29" i="3" s="1"/>
  <c r="AI29" i="3" s="1"/>
  <c r="AD10" i="3"/>
  <c r="E21" i="3" s="1"/>
  <c r="Z10" i="3"/>
  <c r="H24" i="2"/>
  <c r="L24" i="2" s="1"/>
  <c r="M10" i="2" s="1"/>
  <c r="Q10" i="2" s="1"/>
  <c r="AL29" i="3" l="1"/>
  <c r="AM29" i="3" s="1"/>
  <c r="AN29" i="3" s="1"/>
  <c r="AO29" i="3" s="1"/>
  <c r="AE10" i="3"/>
  <c r="O10" i="2"/>
  <c r="P10" i="2"/>
  <c r="D22" i="2" s="1"/>
  <c r="I29" i="2" s="1"/>
  <c r="N10" i="2"/>
  <c r="W29" i="2" l="1"/>
  <c r="V14" i="2"/>
  <c r="C22" i="2"/>
  <c r="H29" i="2" s="1"/>
  <c r="S14" i="2"/>
  <c r="T14" i="2"/>
  <c r="U14" i="2"/>
  <c r="W14" i="2"/>
  <c r="R14" i="2"/>
  <c r="AB29" i="2" l="1"/>
  <c r="Z29" i="2"/>
  <c r="X29" i="2"/>
  <c r="AA29" i="2"/>
  <c r="Y29" i="2"/>
  <c r="Z14" i="2"/>
  <c r="AC14" i="2" s="1"/>
  <c r="X14" i="2"/>
  <c r="AA14" i="2" s="1"/>
  <c r="Y14" i="2"/>
  <c r="AB14" i="2" s="1"/>
  <c r="AF10" i="2" l="1"/>
  <c r="AE29" i="2"/>
  <c r="AH29" i="2" s="1"/>
  <c r="AK29" i="2" s="1"/>
  <c r="AC29" i="2"/>
  <c r="AF29" i="2" s="1"/>
  <c r="AI29" i="2" s="1"/>
  <c r="AD29" i="2"/>
  <c r="AG29" i="2" s="1"/>
  <c r="AJ29" i="2" s="1"/>
  <c r="AL29" i="2" l="1"/>
  <c r="Y10" i="2" l="1"/>
  <c r="Z10" i="2"/>
  <c r="AA10" i="2"/>
  <c r="AB10" i="2"/>
  <c r="AD10" i="2"/>
  <c r="E21" i="2" s="1"/>
  <c r="AC10" i="2"/>
  <c r="D21" i="2" s="1"/>
  <c r="AE10" i="2" l="1"/>
  <c r="C21" i="2"/>
</calcChain>
</file>

<file path=xl/sharedStrings.xml><?xml version="1.0" encoding="utf-8"?>
<sst xmlns="http://schemas.openxmlformats.org/spreadsheetml/2006/main" count="720" uniqueCount="98">
  <si>
    <t>A</t>
  </si>
  <si>
    <t>B</t>
  </si>
  <si>
    <t>C</t>
  </si>
  <si>
    <t>MTBE</t>
  </si>
  <si>
    <t>Metanol</t>
  </si>
  <si>
    <t>[BMIM][HSO4]</t>
  </si>
  <si>
    <t>t</t>
  </si>
  <si>
    <t>T</t>
  </si>
  <si>
    <t>PA0</t>
  </si>
  <si>
    <t>PB0</t>
  </si>
  <si>
    <t>PC0</t>
  </si>
  <si>
    <t>xA</t>
  </si>
  <si>
    <t>xB</t>
  </si>
  <si>
    <t>xC</t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</si>
  <si>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AB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</si>
  <si>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</si>
  <si>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</si>
  <si>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</si>
  <si>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</si>
  <si>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CB</t>
    </r>
  </si>
  <si>
    <t>GAB</t>
  </si>
  <si>
    <t>GBA</t>
  </si>
  <si>
    <t>GAC</t>
  </si>
  <si>
    <t>GCA</t>
  </si>
  <si>
    <t>GBC</t>
  </si>
  <si>
    <t>GCB</t>
  </si>
  <si>
    <t>θ1</t>
  </si>
  <si>
    <t>θ2</t>
  </si>
  <si>
    <t>θ3</t>
  </si>
  <si>
    <t>φ1</t>
  </si>
  <si>
    <t>φ2</t>
  </si>
  <si>
    <t>φ3</t>
  </si>
  <si>
    <t>γA</t>
  </si>
  <si>
    <t>γB</t>
  </si>
  <si>
    <t>γC</t>
  </si>
  <si>
    <t>KA</t>
  </si>
  <si>
    <t>KB</t>
  </si>
  <si>
    <t>KC</t>
  </si>
  <si>
    <t>P[kPa]</t>
  </si>
  <si>
    <t>Antoine equation parameters (P = Pa)</t>
  </si>
  <si>
    <t>-</t>
  </si>
  <si>
    <r>
      <t>i</t>
    </r>
    <r>
      <rPr>
        <b/>
        <sz val="11"/>
        <color rgb="FF1F1F1F"/>
        <rFont val="Georgia"/>
        <family val="1"/>
      </rPr>
      <t>–</t>
    </r>
    <r>
      <rPr>
        <b/>
        <i/>
        <sz val="11"/>
        <color rgb="FF1F1F1F"/>
        <rFont val="Georgia"/>
        <family val="1"/>
      </rPr>
      <t>j</t>
    </r>
  </si>
  <si>
    <r>
      <t>Δgij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</si>
  <si>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r>
      <t>Δgji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</si>
  <si>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t>rmsd</t>
  </si>
  <si>
    <t>α</t>
  </si>
  <si>
    <t>R [kJ.mol^-1.K^-1]</t>
  </si>
  <si>
    <t>NRTL parameters</t>
  </si>
  <si>
    <r>
      <t>MTBE (1) + methanol (2) + [BMIM][HSO</t>
    </r>
    <r>
      <rPr>
        <b/>
        <sz val="8"/>
        <color rgb="FF1F1F1F"/>
        <rFont val="Georgia"/>
        <family val="1"/>
      </rPr>
      <t>4</t>
    </r>
    <r>
      <rPr>
        <b/>
        <sz val="11"/>
        <color rgb="FF1F1F1F"/>
        <rFont val="Georgia"/>
        <family val="1"/>
      </rPr>
      <t>] (3) at 318.15 K</t>
    </r>
  </si>
  <si>
    <t>1–2</t>
  </si>
  <si>
    <t>1–3</t>
  </si>
  <si>
    <t>2–3</t>
  </si>
  <si>
    <t>xEA</t>
  </si>
  <si>
    <t>xEB</t>
  </si>
  <si>
    <t>xEC</t>
  </si>
  <si>
    <t>n[kmol/h]</t>
  </si>
  <si>
    <t>ns</t>
  </si>
  <si>
    <t>F</t>
  </si>
  <si>
    <t>S</t>
  </si>
  <si>
    <t>nR [kmol/h][mol.h-1]</t>
  </si>
  <si>
    <t>nE [kmol/h]</t>
  </si>
  <si>
    <t>Kontakt</t>
  </si>
  <si>
    <t>xRA</t>
  </si>
  <si>
    <t>xRB</t>
  </si>
  <si>
    <t>xRC</t>
  </si>
  <si>
    <t>∑xRi</t>
  </si>
  <si>
    <t>∑xEi</t>
  </si>
  <si>
    <t>kA</t>
  </si>
  <si>
    <t>kB</t>
  </si>
  <si>
    <t>kC</t>
  </si>
  <si>
    <t>Extrakt</t>
  </si>
  <si>
    <t>Rafinat</t>
  </si>
  <si>
    <t>n</t>
  </si>
  <si>
    <t>XB</t>
  </si>
  <si>
    <t>XC</t>
  </si>
  <si>
    <t>D</t>
  </si>
  <si>
    <t>W</t>
  </si>
  <si>
    <t>nB/A</t>
  </si>
  <si>
    <t>xa</t>
  </si>
  <si>
    <t>xb</t>
  </si>
  <si>
    <t>xc</t>
  </si>
  <si>
    <t>Normalizacia</t>
  </si>
  <si>
    <t>SUMx</t>
  </si>
  <si>
    <t>yA</t>
  </si>
  <si>
    <t>yB</t>
  </si>
  <si>
    <t>yC</t>
  </si>
  <si>
    <t>SUMy</t>
  </si>
  <si>
    <t>NASTRELY</t>
  </si>
  <si>
    <t>Vypocitane</t>
  </si>
  <si>
    <t>lnγA</t>
  </si>
  <si>
    <t>lnγB</t>
  </si>
  <si>
    <t>lnγC</t>
  </si>
  <si>
    <t>ps</t>
  </si>
  <si>
    <t>inverzna</t>
  </si>
  <si>
    <t>PA</t>
  </si>
  <si>
    <t>PB</t>
  </si>
  <si>
    <t>PC</t>
  </si>
  <si>
    <t>sumP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</si>
</sst>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"/>
    <numFmt numFmtId="165" formatCode="_(* #,##0.0000_);_(* \(#,##0.0000\);_(* &quot;-&quot;??_);_(@_)"/>
    <numFmt numFmtId="166" formatCode="0.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i/>
      <sz val="11"/>
      <color rgb="FF1F1F1F"/>
      <name val="Georgia"/>
      <family val="1"/>
    </font>
    <font>
      <b/>
      <sz val="11"/>
      <color rgb="FF1F1F1F"/>
      <name val="Georgia"/>
      <family val="1"/>
    </font>
    <font>
      <sz val="10"/>
      <color rgb="FF1F1F1F"/>
      <name val="Georgia"/>
      <family val="1"/>
    </font>
    <font>
      <b/>
      <sz val="8"/>
      <color rgb="FF1F1F1F"/>
      <name val="Georgia"/>
      <family val="1"/>
    </font>
    <font>
      <sz val="11"/>
      <color rgb="FF1F1F1F"/>
      <name val="Georgia"/>
      <family val="1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43" fontId="10" fillId="0" borderId="0" applyFont="0" applyFill="0" applyBorder="0" applyAlignment="0" applyProtection="0"/>
  </cellStyleXfs>
  <cellXfs count="109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Border="1"/>
    <xf numFmtId="0" fontId="6" fillId="0" borderId="8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164" fontId="8" fillId="0" borderId="7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164" fontId="8" fillId="0" borderId="9" xfId="0" applyNumberFormat="1" applyFont="1" applyBorder="1" applyAlignment="1">
      <alignment horizontal="left" vertical="center"/>
    </xf>
    <xf numFmtId="0" fontId="0" fillId="0" borderId="9" xfId="0" applyBorder="1" applyAlignment="1"/>
    <xf numFmtId="0" fontId="2" fillId="0" borderId="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/>
    <xf numFmtId="0" fontId="1" fillId="0" borderId="4" xfId="0" applyFont="1" applyBorder="1"/>
    <xf numFmtId="0" fontId="1" fillId="0" borderId="3" xfId="0" applyFont="1" applyBorder="1"/>
    <xf numFmtId="0" fontId="1" fillId="0" borderId="0" xfId="0" applyFont="1" applyFill="1" applyBorder="1"/>
    <xf numFmtId="0" fontId="1" fillId="0" borderId="13" xfId="0" applyFont="1" applyBorder="1"/>
    <xf numFmtId="164" fontId="0" fillId="0" borderId="0" xfId="0" applyNumberFormat="1"/>
    <xf numFmtId="0" fontId="0" fillId="0" borderId="10" xfId="0" applyBorder="1"/>
    <xf numFmtId="0" fontId="0" fillId="0" borderId="11" xfId="0" applyBorder="1"/>
    <xf numFmtId="0" fontId="11" fillId="0" borderId="5" xfId="0" applyFont="1" applyBorder="1"/>
    <xf numFmtId="0" fontId="1" fillId="0" borderId="14" xfId="0" applyFont="1" applyBorder="1"/>
    <xf numFmtId="0" fontId="0" fillId="0" borderId="6" xfId="0" applyBorder="1"/>
    <xf numFmtId="0" fontId="0" fillId="0" borderId="12" xfId="0" applyBorder="1"/>
    <xf numFmtId="0" fontId="1" fillId="0" borderId="17" xfId="0" applyFont="1" applyBorder="1"/>
    <xf numFmtId="0" fontId="1" fillId="0" borderId="10" xfId="0" applyFont="1" applyBorder="1"/>
    <xf numFmtId="0" fontId="12" fillId="0" borderId="11" xfId="0" applyFont="1" applyBorder="1"/>
    <xf numFmtId="0" fontId="12" fillId="0" borderId="10" xfId="0" applyFont="1" applyBorder="1"/>
    <xf numFmtId="2" fontId="1" fillId="0" borderId="17" xfId="0" applyNumberFormat="1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7" xfId="0" applyFont="1" applyBorder="1" applyAlignment="1">
      <alignment horizontal="left"/>
    </xf>
    <xf numFmtId="165" fontId="0" fillId="0" borderId="17" xfId="2" applyNumberFormat="1" applyFont="1" applyBorder="1"/>
    <xf numFmtId="165" fontId="0" fillId="0" borderId="10" xfId="2" applyNumberFormat="1" applyFont="1" applyBorder="1"/>
    <xf numFmtId="0" fontId="0" fillId="0" borderId="15" xfId="0" applyNumberFormat="1" applyBorder="1"/>
    <xf numFmtId="0" fontId="13" fillId="0" borderId="15" xfId="0" applyNumberFormat="1" applyFont="1" applyBorder="1"/>
    <xf numFmtId="2" fontId="0" fillId="0" borderId="0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" fillId="0" borderId="21" xfId="0" applyFont="1" applyBorder="1" applyAlignment="1">
      <alignment horizontal="left"/>
    </xf>
    <xf numFmtId="165" fontId="0" fillId="0" borderId="21" xfId="2" applyNumberFormat="1" applyFont="1" applyBorder="1"/>
    <xf numFmtId="165" fontId="0" fillId="0" borderId="0" xfId="2" applyNumberFormat="1" applyFont="1" applyBorder="1"/>
    <xf numFmtId="0" fontId="0" fillId="0" borderId="13" xfId="0" applyNumberFormat="1" applyBorder="1"/>
    <xf numFmtId="0" fontId="13" fillId="0" borderId="13" xfId="0" applyNumberFormat="1" applyFont="1" applyBorder="1"/>
    <xf numFmtId="0" fontId="0" fillId="0" borderId="22" xfId="0" applyBorder="1"/>
    <xf numFmtId="0" fontId="0" fillId="0" borderId="23" xfId="0" applyBorder="1"/>
    <xf numFmtId="0" fontId="1" fillId="0" borderId="5" xfId="0" applyFont="1" applyBorder="1" applyAlignment="1">
      <alignment horizontal="left"/>
    </xf>
    <xf numFmtId="165" fontId="0" fillId="0" borderId="5" xfId="2" applyNumberFormat="1" applyFont="1" applyBorder="1"/>
    <xf numFmtId="165" fontId="0" fillId="0" borderId="6" xfId="2" applyNumberFormat="1" applyFont="1" applyBorder="1"/>
    <xf numFmtId="0" fontId="0" fillId="0" borderId="14" xfId="0" applyNumberFormat="1" applyBorder="1"/>
    <xf numFmtId="0" fontId="13" fillId="0" borderId="14" xfId="0" applyNumberFormat="1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66" fontId="0" fillId="0" borderId="0" xfId="0" applyNumberFormat="1" applyBorder="1"/>
    <xf numFmtId="0" fontId="0" fillId="0" borderId="21" xfId="0" applyFill="1" applyBorder="1"/>
    <xf numFmtId="0" fontId="0" fillId="0" borderId="16" xfId="0" applyFill="1" applyBorder="1"/>
    <xf numFmtId="166" fontId="13" fillId="0" borderId="0" xfId="0" applyNumberFormat="1" applyFont="1" applyBorder="1"/>
    <xf numFmtId="2" fontId="0" fillId="0" borderId="5" xfId="0" applyNumberFormat="1" applyBorder="1"/>
    <xf numFmtId="2" fontId="1" fillId="0" borderId="12" xfId="0" applyNumberFormat="1" applyFont="1" applyBorder="1"/>
    <xf numFmtId="2" fontId="0" fillId="0" borderId="0" xfId="0" applyNumberFormat="1"/>
    <xf numFmtId="165" fontId="0" fillId="0" borderId="0" xfId="0" applyNumberFormat="1"/>
    <xf numFmtId="0" fontId="2" fillId="0" borderId="2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2" xfId="0" applyFont="1" applyBorder="1" applyAlignment="1">
      <alignment horizontal="center"/>
    </xf>
    <xf numFmtId="43" fontId="0" fillId="0" borderId="0" xfId="0" applyNumberFormat="1"/>
    <xf numFmtId="0" fontId="2" fillId="0" borderId="2" xfId="0" applyFont="1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2" xfId="0" applyBorder="1"/>
    <xf numFmtId="0" fontId="0" fillId="0" borderId="17" xfId="0" applyBorder="1"/>
    <xf numFmtId="0" fontId="0" fillId="0" borderId="21" xfId="0" applyBorder="1"/>
    <xf numFmtId="0" fontId="0" fillId="0" borderId="16" xfId="0" applyBorder="1"/>
    <xf numFmtId="0" fontId="0" fillId="0" borderId="5" xfId="0" applyBorder="1"/>
    <xf numFmtId="43" fontId="0" fillId="0" borderId="1" xfId="0" applyNumberFormat="1" applyBorder="1"/>
    <xf numFmtId="0" fontId="3" fillId="0" borderId="16" xfId="0" applyFont="1" applyFill="1" applyBorder="1" applyAlignment="1">
      <alignment horizontal="center"/>
    </xf>
    <xf numFmtId="43" fontId="0" fillId="0" borderId="15" xfId="0" applyNumberFormat="1" applyBorder="1" applyAlignment="1">
      <alignment horizontal="center"/>
    </xf>
    <xf numFmtId="0" fontId="0" fillId="0" borderId="4" xfId="0" applyFont="1" applyBorder="1"/>
    <xf numFmtId="0" fontId="0" fillId="0" borderId="1" xfId="0" applyFont="1" applyBorder="1"/>
    <xf numFmtId="43" fontId="0" fillId="0" borderId="2" xfId="0" applyNumberFormat="1" applyFont="1" applyBorder="1"/>
    <xf numFmtId="2" fontId="0" fillId="0" borderId="16" xfId="0" applyNumberFormat="1" applyFont="1" applyBorder="1"/>
    <xf numFmtId="0" fontId="0" fillId="0" borderId="16" xfId="0" applyFont="1" applyBorder="1"/>
    <xf numFmtId="0" fontId="0" fillId="0" borderId="12" xfId="0" applyFont="1" applyBorder="1"/>
    <xf numFmtId="0" fontId="2" fillId="0" borderId="13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7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0" fillId="0" borderId="0" xfId="0" applyNumberFormat="1"/>
  </cellXfs>
  <cellStyles count="3">
    <cellStyle name="Обычный" xfId="0" builtinId="0"/>
    <cellStyle name="Обычный 2" xfId="1"/>
    <cellStyle name="Финансовый" xfId="2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436693</xdr:colOff>
      <xdr:row>4</xdr:row>
      <xdr:rowOff>104717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4233992" cy="457142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606136</xdr:colOff>
      <xdr:row>6</xdr:row>
      <xdr:rowOff>105163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22681" y="0"/>
          <a:ext cx="1558637" cy="13310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104717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3881567" cy="447617"/>
        </a:xfrm>
        <a:prstGeom prst="rect">
          <a:avLst/>
        </a:prstGeom>
      </xdr:spPr>
    </xdr:pic>
    <xdr:clientData/>
  </xdr:twoCellAnchor>
  <xdr:twoCellAnchor editAs="oneCell">
    <xdr:from>
      <xdr:col>24</xdr:col>
      <xdr:colOff>81642</xdr:colOff>
      <xdr:row>0</xdr:row>
      <xdr:rowOff>0</xdr:rowOff>
    </xdr:from>
    <xdr:to>
      <xdr:col>26</xdr:col>
      <xdr:colOff>258535</xdr:colOff>
      <xdr:row>7</xdr:row>
      <xdr:rowOff>55712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61821" y="0"/>
          <a:ext cx="1469571" cy="14708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95192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3881567" cy="447617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568036</xdr:colOff>
      <xdr:row>6</xdr:row>
      <xdr:rowOff>57538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87624" y="0"/>
          <a:ext cx="1558637" cy="12957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604967</xdr:colOff>
      <xdr:row>4</xdr:row>
      <xdr:rowOff>85667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3605342" cy="438092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491836</xdr:colOff>
      <xdr:row>6</xdr:row>
      <xdr:rowOff>9913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87624" y="0"/>
          <a:ext cx="1482437" cy="12481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2</xdr:row>
      <xdr:rowOff>47625</xdr:rowOff>
    </xdr:from>
    <xdr:to>
      <xdr:col>18</xdr:col>
      <xdr:colOff>604968</xdr:colOff>
      <xdr:row>4</xdr:row>
      <xdr:rowOff>95192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2425" y="447675"/>
          <a:ext cx="3881567" cy="447617"/>
        </a:xfrm>
        <a:prstGeom prst="rect">
          <a:avLst/>
        </a:prstGeom>
      </xdr:spPr>
    </xdr:pic>
    <xdr:clientData/>
  </xdr:twoCellAnchor>
  <xdr:twoCellAnchor editAs="oneCell">
    <xdr:from>
      <xdr:col>23</xdr:col>
      <xdr:colOff>380999</xdr:colOff>
      <xdr:row>0</xdr:row>
      <xdr:rowOff>0</xdr:rowOff>
    </xdr:from>
    <xdr:to>
      <xdr:col>25</xdr:col>
      <xdr:colOff>568036</xdr:colOff>
      <xdr:row>6</xdr:row>
      <xdr:rowOff>57538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87624" y="0"/>
          <a:ext cx="1558637" cy="12957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0</xdr:rowOff>
        </xdr:from>
        <xdr:to>
          <xdr:col>21</xdr:col>
          <xdr:colOff>590550</xdr:colOff>
          <xdr:row>5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N30"/>
  <sheetViews>
    <sheetView topLeftCell="A7" workbookViewId="0">
      <selection activeCell="E21" sqref="E21"/>
    </sheetView>
  </sheetViews>
  <sheetFormatPr defaultRowHeight="15" x14ac:dyDescent="0.25"/>
  <sheetData>
    <row r="1" spans="1:14" ht="15.75" thickBot="1" x14ac:dyDescent="0.3">
      <c r="A1" s="6"/>
      <c r="B1" s="6"/>
      <c r="C1" s="6"/>
      <c r="D1" s="6"/>
      <c r="E1" s="6"/>
      <c r="H1" s="18"/>
      <c r="I1" s="19" t="s">
        <v>55</v>
      </c>
      <c r="J1" s="20" t="s">
        <v>11</v>
      </c>
      <c r="K1" s="20" t="s">
        <v>12</v>
      </c>
      <c r="L1" s="2" t="s">
        <v>13</v>
      </c>
      <c r="N1" s="21" t="s">
        <v>56</v>
      </c>
    </row>
    <row r="2" spans="1:14" x14ac:dyDescent="0.25">
      <c r="A2" s="6"/>
      <c r="B2" s="6"/>
      <c r="C2" s="6"/>
      <c r="D2" s="6"/>
      <c r="E2" s="6"/>
      <c r="H2" s="22" t="s">
        <v>57</v>
      </c>
      <c r="I2" s="23">
        <v>25</v>
      </c>
      <c r="J2" s="24">
        <v>0.54</v>
      </c>
      <c r="K2" s="24">
        <v>0.46</v>
      </c>
      <c r="L2" s="25">
        <v>0</v>
      </c>
      <c r="N2">
        <v>8.4502747149440633</v>
      </c>
    </row>
    <row r="3" spans="1:14" ht="15.75" thickBot="1" x14ac:dyDescent="0.3">
      <c r="A3" s="6"/>
      <c r="B3" s="6"/>
      <c r="C3" s="6"/>
      <c r="D3" s="6"/>
      <c r="E3" s="6"/>
      <c r="F3" s="26"/>
      <c r="H3" s="27" t="s">
        <v>58</v>
      </c>
      <c r="I3" s="26">
        <v>8.4502747149440633</v>
      </c>
      <c r="J3" s="28">
        <v>0</v>
      </c>
      <c r="K3" s="28">
        <v>0</v>
      </c>
      <c r="L3" s="29">
        <v>1</v>
      </c>
    </row>
    <row r="4" spans="1:14" ht="15.75" thickBot="1" x14ac:dyDescent="0.3">
      <c r="A4" s="6"/>
      <c r="B4" s="6"/>
      <c r="C4" s="6"/>
      <c r="D4" s="6"/>
      <c r="E4" s="6"/>
    </row>
    <row r="5" spans="1:14" ht="15.75" thickBot="1" x14ac:dyDescent="0.3">
      <c r="A5" s="6"/>
      <c r="B5" s="6"/>
      <c r="C5" s="6"/>
      <c r="D5" s="6"/>
      <c r="E5" s="6"/>
      <c r="J5" s="19" t="s">
        <v>59</v>
      </c>
      <c r="K5" s="2" t="s">
        <v>60</v>
      </c>
    </row>
    <row r="6" spans="1:14" ht="15.75" thickBot="1" x14ac:dyDescent="0.3">
      <c r="A6" s="1" t="s">
        <v>61</v>
      </c>
      <c r="B6" s="30" t="s">
        <v>62</v>
      </c>
      <c r="C6" s="31" t="s">
        <v>63</v>
      </c>
      <c r="D6" s="31" t="s">
        <v>64</v>
      </c>
      <c r="E6" s="32" t="s">
        <v>65</v>
      </c>
      <c r="F6" s="30" t="s">
        <v>52</v>
      </c>
      <c r="G6" s="31" t="s">
        <v>53</v>
      </c>
      <c r="H6" s="31" t="s">
        <v>54</v>
      </c>
      <c r="I6" s="33" t="s">
        <v>66</v>
      </c>
      <c r="J6" s="34">
        <v>25</v>
      </c>
      <c r="K6" s="35"/>
      <c r="L6" s="31" t="s">
        <v>67</v>
      </c>
      <c r="M6" s="31" t="s">
        <v>68</v>
      </c>
      <c r="N6" s="36" t="s">
        <v>69</v>
      </c>
    </row>
    <row r="7" spans="1:14" x14ac:dyDescent="0.25">
      <c r="A7" s="37">
        <v>1</v>
      </c>
      <c r="B7" s="38">
        <v>0.86351676831488156</v>
      </c>
      <c r="C7" s="39">
        <v>0.13521162527751576</v>
      </c>
      <c r="D7" s="39">
        <v>1.2716064076026979E-3</v>
      </c>
      <c r="E7" s="40">
        <v>1</v>
      </c>
      <c r="F7" s="39">
        <v>3.6193341415735866E-2</v>
      </c>
      <c r="G7" s="39">
        <v>0.55568361686280054</v>
      </c>
      <c r="H7" s="39">
        <v>0.40812304172146363</v>
      </c>
      <c r="I7" s="41">
        <v>1</v>
      </c>
      <c r="J7" s="42">
        <v>14.925266372612336</v>
      </c>
      <c r="K7" s="42">
        <v>20.690942281580988</v>
      </c>
      <c r="L7" s="43">
        <v>4.1913883718049535E-2</v>
      </c>
      <c r="M7" s="44">
        <v>4.1097325449811359</v>
      </c>
      <c r="N7" s="45">
        <v>320.95075904098309</v>
      </c>
    </row>
    <row r="8" spans="1:14" x14ac:dyDescent="0.25">
      <c r="A8" s="46">
        <v>2</v>
      </c>
      <c r="B8" s="47">
        <v>0.97096969138501577</v>
      </c>
      <c r="C8" s="48">
        <v>2.8445578796682202E-2</v>
      </c>
      <c r="D8" s="48">
        <v>5.847298183020576E-4</v>
      </c>
      <c r="E8" s="49">
        <v>1</v>
      </c>
      <c r="F8" s="48">
        <v>1.2913472878415176E-2</v>
      </c>
      <c r="G8" s="48">
        <v>0.18986883480133471</v>
      </c>
      <c r="H8" s="48">
        <v>0.79721769232025008</v>
      </c>
      <c r="I8" s="50">
        <v>1</v>
      </c>
      <c r="J8" s="42">
        <v>13.161883808938983</v>
      </c>
      <c r="K8" s="42">
        <v>10.61620865419332</v>
      </c>
      <c r="L8" s="51">
        <v>1.32995633056219E-2</v>
      </c>
      <c r="M8" s="6">
        <v>6.6748100349246675</v>
      </c>
      <c r="N8" s="52">
        <v>1363.3949686971946</v>
      </c>
    </row>
    <row r="9" spans="1:14" x14ac:dyDescent="0.25">
      <c r="A9" s="46">
        <v>3</v>
      </c>
      <c r="B9" s="47">
        <v>0.99379989866545204</v>
      </c>
      <c r="C9" s="48">
        <v>5.719662185009744E-3</v>
      </c>
      <c r="D9" s="48">
        <v>4.8043914953820911E-4</v>
      </c>
      <c r="E9" s="49">
        <v>1</v>
      </c>
      <c r="F9" s="48">
        <v>3.2379036850344912E-3</v>
      </c>
      <c r="G9" s="48">
        <v>4.2022179405141018E-2</v>
      </c>
      <c r="H9" s="48">
        <v>0.95473991690982452</v>
      </c>
      <c r="I9" s="50">
        <v>1</v>
      </c>
      <c r="J9" s="42">
        <v>12.849021752159498</v>
      </c>
      <c r="K9" s="42">
        <v>8.8528260905199687</v>
      </c>
      <c r="L9" s="51">
        <v>3.2581042616150269E-3</v>
      </c>
      <c r="M9" s="6">
        <v>7.346968762468868</v>
      </c>
      <c r="N9" s="52">
        <v>1987.2233930717473</v>
      </c>
    </row>
    <row r="10" spans="1:14" x14ac:dyDescent="0.25">
      <c r="A10" s="46">
        <v>4</v>
      </c>
      <c r="B10" s="47">
        <v>0.99842514711185182</v>
      </c>
      <c r="C10" s="48">
        <v>1.1143907000439666E-3</v>
      </c>
      <c r="D10" s="48">
        <v>4.6046218810419728E-4</v>
      </c>
      <c r="E10" s="49">
        <v>1</v>
      </c>
      <c r="F10" s="48">
        <v>2.1347693485376604E-3</v>
      </c>
      <c r="G10" s="48">
        <v>8.326698656605425E-3</v>
      </c>
      <c r="H10" s="48">
        <v>0.98953853199485697</v>
      </c>
      <c r="I10" s="50">
        <v>1</v>
      </c>
      <c r="J10" s="42">
        <v>12.787758638771349</v>
      </c>
      <c r="K10" s="42">
        <v>8.5399640337404836</v>
      </c>
      <c r="L10" s="51">
        <v>2.1381365991360651E-3</v>
      </c>
      <c r="M10" s="6">
        <v>7.4719742871839356</v>
      </c>
      <c r="N10" s="52">
        <v>2149.0114879333714</v>
      </c>
    </row>
    <row r="11" spans="1:14" ht="15.75" thickBot="1" x14ac:dyDescent="0.3">
      <c r="A11" s="53">
        <v>5</v>
      </c>
      <c r="B11" s="54">
        <v>0.99935680243331848</v>
      </c>
      <c r="C11" s="55">
        <v>1.8671484542498028E-4</v>
      </c>
      <c r="D11" s="55">
        <v>4.5648272125653206E-4</v>
      </c>
      <c r="E11" s="56">
        <v>1</v>
      </c>
      <c r="F11" s="55">
        <v>1.945361501912396E-3</v>
      </c>
      <c r="G11" s="55">
        <v>1.3997666187213391E-3</v>
      </c>
      <c r="H11" s="55">
        <v>0.9966548718793663</v>
      </c>
      <c r="I11" s="57">
        <v>1</v>
      </c>
      <c r="J11" s="42">
        <v>12.759332433363076</v>
      </c>
      <c r="K11" s="42">
        <v>8.4787009203523365</v>
      </c>
      <c r="L11" s="58">
        <v>1.9466135590168248E-3</v>
      </c>
      <c r="M11" s="59">
        <v>7.4968148115664857</v>
      </c>
      <c r="N11" s="60">
        <v>2183.3353716783308</v>
      </c>
    </row>
    <row r="12" spans="1:14" ht="15.75" thickBot="1" x14ac:dyDescent="0.3">
      <c r="E12" s="61"/>
      <c r="F12" s="62">
        <v>0</v>
      </c>
      <c r="G12">
        <v>0</v>
      </c>
      <c r="H12" s="63">
        <v>1</v>
      </c>
      <c r="I12" s="64"/>
      <c r="J12" s="65"/>
      <c r="K12" s="66">
        <v>8.4502747149440633</v>
      </c>
    </row>
    <row r="16" spans="1:14" x14ac:dyDescent="0.25">
      <c r="B16" t="s">
        <v>70</v>
      </c>
      <c r="C16" t="s">
        <v>71</v>
      </c>
    </row>
    <row r="17" spans="1:9" x14ac:dyDescent="0.25">
      <c r="A17" t="s">
        <v>72</v>
      </c>
      <c r="B17" s="67">
        <f>K7</f>
        <v>20.690942281580988</v>
      </c>
      <c r="C17" s="67">
        <f>J11</f>
        <v>12.759332433363076</v>
      </c>
    </row>
    <row r="18" spans="1:9" x14ac:dyDescent="0.25">
      <c r="A18" t="s">
        <v>11</v>
      </c>
      <c r="B18" s="68">
        <f>F7</f>
        <v>3.6193341415735866E-2</v>
      </c>
      <c r="C18" s="68">
        <f>B11</f>
        <v>0.99935680243331848</v>
      </c>
    </row>
    <row r="19" spans="1:9" x14ac:dyDescent="0.25">
      <c r="A19" t="s">
        <v>73</v>
      </c>
      <c r="B19" s="68">
        <f>G7</f>
        <v>0.55568361686280054</v>
      </c>
      <c r="C19" s="68">
        <f>C11</f>
        <v>1.8671484542498028E-4</v>
      </c>
    </row>
    <row r="20" spans="1:9" x14ac:dyDescent="0.25">
      <c r="A20" t="s">
        <v>74</v>
      </c>
      <c r="B20" s="68">
        <f>H7</f>
        <v>0.40812304172146363</v>
      </c>
      <c r="C20" s="68">
        <f>D11</f>
        <v>4.5648272125653206E-4</v>
      </c>
    </row>
    <row r="23" spans="1:9" x14ac:dyDescent="0.25">
      <c r="B23" t="s">
        <v>72</v>
      </c>
      <c r="C23" t="s">
        <v>11</v>
      </c>
      <c r="D23" t="s">
        <v>12</v>
      </c>
      <c r="E23" t="s">
        <v>13</v>
      </c>
    </row>
    <row r="24" spans="1:9" x14ac:dyDescent="0.25">
      <c r="A24" t="s">
        <v>57</v>
      </c>
      <c r="B24">
        <v>20.690942281580988</v>
      </c>
      <c r="C24" s="68">
        <v>3.6193341415735866E-2</v>
      </c>
      <c r="D24">
        <v>0.55568361686280054</v>
      </c>
      <c r="E24">
        <v>0.40812304172146363</v>
      </c>
    </row>
    <row r="25" spans="1:9" x14ac:dyDescent="0.25">
      <c r="A25" t="s">
        <v>75</v>
      </c>
      <c r="B25">
        <f>B24-B26</f>
        <v>12.074156261129893</v>
      </c>
      <c r="E25">
        <v>0</v>
      </c>
    </row>
    <row r="26" spans="1:9" x14ac:dyDescent="0.25">
      <c r="A26" t="s">
        <v>76</v>
      </c>
      <c r="B26">
        <f>B24*E24/E26</f>
        <v>8.6167860204510944</v>
      </c>
      <c r="E26">
        <v>0.98</v>
      </c>
    </row>
    <row r="28" spans="1:9" x14ac:dyDescent="0.25">
      <c r="A28" t="s">
        <v>77</v>
      </c>
      <c r="B28">
        <f>B19/B18</f>
        <v>15.353200205527436</v>
      </c>
      <c r="G28" t="s">
        <v>77</v>
      </c>
      <c r="H28">
        <f>C19/C18</f>
        <v>1.8683501725344861E-4</v>
      </c>
    </row>
    <row r="29" spans="1:9" x14ac:dyDescent="0.25">
      <c r="A29" t="s">
        <v>78</v>
      </c>
      <c r="B29" t="s">
        <v>79</v>
      </c>
      <c r="C29" t="s">
        <v>80</v>
      </c>
      <c r="G29" t="s">
        <v>78</v>
      </c>
      <c r="H29" t="s">
        <v>79</v>
      </c>
      <c r="I29" t="s">
        <v>80</v>
      </c>
    </row>
    <row r="30" spans="1:9" x14ac:dyDescent="0.25">
      <c r="A30">
        <f>(1-C30)/(1+B28)</f>
        <v>1.2230022104933291E-3</v>
      </c>
      <c r="B30">
        <f>1-C30-A30</f>
        <v>1.8776997789506689E-2</v>
      </c>
      <c r="C30">
        <v>0.98</v>
      </c>
      <c r="G30">
        <f>(1-I30)/(1+H28)</f>
        <v>0.74985989991266222</v>
      </c>
      <c r="H30">
        <f>1-I30-G30</f>
        <v>1.4010008733778001E-4</v>
      </c>
      <c r="I30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L29"/>
  <sheetViews>
    <sheetView zoomScale="55" zoomScaleNormal="55" workbookViewId="0">
      <selection activeCell="AE10" sqref="AE10"/>
    </sheetView>
  </sheetViews>
  <sheetFormatPr defaultRowHeight="15" x14ac:dyDescent="0.25"/>
  <cols>
    <col min="3" max="3" width="15.7109375" bestFit="1" customWidth="1"/>
    <col min="4" max="10" width="9.28515625" bestFit="1" customWidth="1"/>
    <col min="11" max="12" width="14.7109375" bestFit="1" customWidth="1"/>
    <col min="13" max="14" width="9.28515625" bestFit="1" customWidth="1"/>
    <col min="15" max="15" width="14.7109375" bestFit="1" customWidth="1"/>
    <col min="16" max="18" width="9.28515625" bestFit="1" customWidth="1"/>
    <col min="19" max="19" width="14.5703125" bestFit="1" customWidth="1"/>
    <col min="20" max="20" width="14.42578125" bestFit="1" customWidth="1"/>
    <col min="21" max="22" width="9.28515625" bestFit="1" customWidth="1"/>
    <col min="23" max="23" width="12.140625" bestFit="1" customWidth="1"/>
    <col min="24" max="24" width="9.28515625" bestFit="1" customWidth="1"/>
    <col min="25" max="25" width="10.42578125" bestFit="1" customWidth="1"/>
    <col min="26" max="38" width="9.28515625" bestFit="1" customWidth="1"/>
  </cols>
  <sheetData>
    <row r="1" spans="1:37" ht="15.75" thickBot="1" x14ac:dyDescent="0.3">
      <c r="C1" s="103" t="s">
        <v>39</v>
      </c>
      <c r="D1" s="104"/>
      <c r="E1" s="104"/>
      <c r="H1" s="105" t="s">
        <v>41</v>
      </c>
      <c r="I1" s="7" t="s">
        <v>42</v>
      </c>
      <c r="J1" s="7" t="s">
        <v>43</v>
      </c>
      <c r="K1" s="105" t="s">
        <v>44</v>
      </c>
      <c r="L1" s="105" t="s">
        <v>45</v>
      </c>
      <c r="N1" s="78" t="s">
        <v>46</v>
      </c>
      <c r="O1" s="82">
        <f>8.314/1000</f>
        <v>8.3140000000000002E-3</v>
      </c>
    </row>
    <row r="2" spans="1:37" ht="15.75" thickBot="1" x14ac:dyDescent="0.3">
      <c r="C2" s="78" t="s">
        <v>0</v>
      </c>
      <c r="D2" s="81" t="s">
        <v>1</v>
      </c>
      <c r="E2" s="82" t="s">
        <v>2</v>
      </c>
      <c r="H2" s="106"/>
      <c r="I2" s="107" t="s">
        <v>47</v>
      </c>
      <c r="J2" s="107"/>
      <c r="K2" s="106"/>
      <c r="L2" s="106"/>
    </row>
    <row r="3" spans="1:37" ht="15.75" thickBot="1" x14ac:dyDescent="0.3">
      <c r="A3" s="83" t="s">
        <v>0</v>
      </c>
      <c r="B3" s="25" t="s">
        <v>3</v>
      </c>
      <c r="C3" s="83">
        <v>20.840540000000001</v>
      </c>
      <c r="D3" s="24">
        <v>-2624.5250000000001</v>
      </c>
      <c r="E3" s="25">
        <v>-46.151710000000001</v>
      </c>
      <c r="H3" s="107" t="s">
        <v>48</v>
      </c>
      <c r="I3" s="107"/>
      <c r="J3" s="107"/>
      <c r="K3" s="107"/>
      <c r="L3" s="107"/>
    </row>
    <row r="4" spans="1:37" x14ac:dyDescent="0.25">
      <c r="A4" s="84" t="s">
        <v>1</v>
      </c>
      <c r="B4" s="85" t="s">
        <v>4</v>
      </c>
      <c r="C4" s="84">
        <v>23.534700000000001</v>
      </c>
      <c r="D4" s="6">
        <v>-3661.4679999999998</v>
      </c>
      <c r="E4" s="85">
        <v>-32.770009999999999</v>
      </c>
      <c r="H4" s="8" t="s">
        <v>49</v>
      </c>
      <c r="I4" s="9">
        <v>5.5736999999999997</v>
      </c>
      <c r="J4" s="9">
        <v>7.4991000000000003</v>
      </c>
      <c r="K4" s="8">
        <v>6.4999999999999997E-3</v>
      </c>
      <c r="L4" s="8">
        <v>0.4</v>
      </c>
    </row>
    <row r="5" spans="1:37" ht="15.75" thickBot="1" x14ac:dyDescent="0.3">
      <c r="A5" s="86" t="s">
        <v>2</v>
      </c>
      <c r="B5" s="29" t="s">
        <v>5</v>
      </c>
      <c r="C5" s="86" t="s">
        <v>40</v>
      </c>
      <c r="D5" s="28" t="s">
        <v>40</v>
      </c>
      <c r="E5" s="29" t="s">
        <v>40</v>
      </c>
      <c r="H5" s="10" t="s">
        <v>50</v>
      </c>
      <c r="I5" s="11">
        <v>19.269400000000001</v>
      </c>
      <c r="J5" s="11">
        <v>16.212</v>
      </c>
      <c r="K5" s="10"/>
      <c r="L5" s="10"/>
    </row>
    <row r="6" spans="1:37" ht="15.75" thickBot="1" x14ac:dyDescent="0.3">
      <c r="A6" s="77" t="s">
        <v>38</v>
      </c>
      <c r="B6" s="75">
        <v>2.6</v>
      </c>
      <c r="H6" s="12" t="s">
        <v>51</v>
      </c>
      <c r="I6" s="13">
        <v>10.6456</v>
      </c>
      <c r="J6" s="13">
        <v>0.56320000000000003</v>
      </c>
      <c r="K6" s="14"/>
      <c r="L6" s="14"/>
    </row>
    <row r="7" spans="1:37" ht="15.75" thickBot="1" x14ac:dyDescent="0.3">
      <c r="AI7" s="5"/>
      <c r="AJ7" s="5"/>
      <c r="AK7" s="5"/>
    </row>
    <row r="8" spans="1:37" ht="15.75" thickBot="1" x14ac:dyDescent="0.3">
      <c r="O8" s="100" t="s">
        <v>81</v>
      </c>
      <c r="P8" s="101"/>
      <c r="Q8" s="102"/>
      <c r="AG8" s="70"/>
      <c r="AH8" s="70"/>
      <c r="AI8" s="70"/>
      <c r="AJ8" s="6"/>
    </row>
    <row r="9" spans="1:37" ht="15.75" thickBot="1" x14ac:dyDescent="0.3">
      <c r="B9" s="3"/>
      <c r="C9" s="3" t="s">
        <v>6</v>
      </c>
      <c r="D9" s="15" t="s">
        <v>7</v>
      </c>
      <c r="E9" s="16" t="s">
        <v>8</v>
      </c>
      <c r="F9" s="15" t="s">
        <v>9</v>
      </c>
      <c r="G9" s="15" t="s">
        <v>10</v>
      </c>
      <c r="H9" s="3" t="s">
        <v>35</v>
      </c>
      <c r="I9" s="15" t="s">
        <v>36</v>
      </c>
      <c r="J9" s="15" t="s">
        <v>37</v>
      </c>
      <c r="K9" s="3" t="s">
        <v>11</v>
      </c>
      <c r="L9" s="3" t="s">
        <v>12</v>
      </c>
      <c r="M9" s="15" t="s">
        <v>13</v>
      </c>
      <c r="N9" s="3" t="s">
        <v>82</v>
      </c>
      <c r="O9" s="3" t="s">
        <v>11</v>
      </c>
      <c r="P9" s="15" t="s">
        <v>12</v>
      </c>
      <c r="Q9" s="15" t="s">
        <v>13</v>
      </c>
      <c r="S9" s="3"/>
      <c r="T9" s="3" t="s">
        <v>6</v>
      </c>
      <c r="U9" s="15" t="s">
        <v>7</v>
      </c>
      <c r="V9" s="16" t="s">
        <v>8</v>
      </c>
      <c r="W9" s="71" t="s">
        <v>9</v>
      </c>
      <c r="X9" s="15" t="s">
        <v>10</v>
      </c>
      <c r="Y9" s="3" t="s">
        <v>35</v>
      </c>
      <c r="Z9" s="15" t="s">
        <v>36</v>
      </c>
      <c r="AA9" s="15" t="s">
        <v>37</v>
      </c>
      <c r="AB9" s="3" t="s">
        <v>83</v>
      </c>
      <c r="AC9" s="15" t="s">
        <v>84</v>
      </c>
      <c r="AD9" s="15" t="s">
        <v>85</v>
      </c>
      <c r="AE9" s="3" t="s">
        <v>86</v>
      </c>
      <c r="AF9" s="96" t="s">
        <v>97</v>
      </c>
      <c r="AG9" s="6"/>
      <c r="AH9" s="6"/>
      <c r="AI9" s="6"/>
      <c r="AJ9" s="6"/>
    </row>
    <row r="10" spans="1:37" x14ac:dyDescent="0.25">
      <c r="A10">
        <v>0</v>
      </c>
      <c r="B10" s="72"/>
      <c r="C10" s="72">
        <v>45.112485480759318</v>
      </c>
      <c r="D10" s="73">
        <v>318.26248548075932</v>
      </c>
      <c r="E10" s="72">
        <v>72.800572916698158</v>
      </c>
      <c r="F10" s="17">
        <v>44.783964529352367</v>
      </c>
      <c r="G10" s="72">
        <v>0</v>
      </c>
      <c r="H10" s="72">
        <v>15311.772350693875</v>
      </c>
      <c r="I10" s="72">
        <v>46.909863652616963</v>
      </c>
      <c r="J10" s="72">
        <v>0</v>
      </c>
      <c r="K10" s="72">
        <f>MMULT(L20,I20)</f>
        <v>4.0504796250183473E-6</v>
      </c>
      <c r="L10" s="72">
        <f>MMULT(L22,I22)</f>
        <v>1.9995376535946546E-2</v>
      </c>
      <c r="M10" s="72">
        <f>MMULT(L24,I24)</f>
        <v>0.98</v>
      </c>
      <c r="N10" s="16">
        <f>SUM(K10:M10)</f>
        <v>0.99999942701557154</v>
      </c>
      <c r="O10" s="72">
        <f>K10/(K10+L10+M10)</f>
        <v>4.0504819458814297E-6</v>
      </c>
      <c r="P10" s="72">
        <f>L10/(K10+L10+M10)</f>
        <v>1.9995387992992508E-2</v>
      </c>
      <c r="Q10" s="72">
        <f>M10/(K10+L10+M10)</f>
        <v>0.98000056152506165</v>
      </c>
      <c r="S10" s="72"/>
      <c r="T10" s="72">
        <v>45.112485480759318</v>
      </c>
      <c r="U10" s="73">
        <f>T10+273.15</f>
        <v>318.26248548075932</v>
      </c>
      <c r="V10" s="72">
        <f>EXP(C3+D3/(U10+E3))/1000</f>
        <v>72.800572916698158</v>
      </c>
      <c r="W10" s="72">
        <f>EXP(C4+D4/(U10+E4))/1000</f>
        <v>44.783964529352367</v>
      </c>
      <c r="X10" s="72">
        <v>0</v>
      </c>
      <c r="Y10" s="72">
        <f>V10*AA14/$B$6</f>
        <v>15311.772350693875</v>
      </c>
      <c r="Z10" s="72">
        <f t="shared" ref="Z10:AA10" si="0">W10*AB14/$B$6</f>
        <v>46.909863652616963</v>
      </c>
      <c r="AA10" s="72">
        <f t="shared" si="0"/>
        <v>0</v>
      </c>
      <c r="AB10" s="72">
        <f>(O10*AA14*V10)/$B$6</f>
        <v>6.2020057465932005E-2</v>
      </c>
      <c r="AC10" s="72">
        <f t="shared" ref="AC10:AD10" si="1">(P10*AB14*W10)/$B$6</f>
        <v>0.93798092443245296</v>
      </c>
      <c r="AD10" s="72">
        <f t="shared" si="1"/>
        <v>0</v>
      </c>
      <c r="AE10" s="72">
        <f>SUM(AB10:AD10)</f>
        <v>1.000000981898385</v>
      </c>
      <c r="AF10">
        <f>V10*O10*AA14+W10*P10*AB14+Q10*X10*AC14</f>
        <v>2.6000025529358011</v>
      </c>
    </row>
    <row r="11" spans="1:37" ht="15.75" thickBot="1" x14ac:dyDescent="0.3"/>
    <row r="12" spans="1:37" ht="15.75" thickBot="1" x14ac:dyDescent="0.3">
      <c r="C12" s="100" t="s">
        <v>87</v>
      </c>
      <c r="D12" s="101"/>
      <c r="E12" s="102"/>
      <c r="AA12" s="100" t="s">
        <v>88</v>
      </c>
      <c r="AB12" s="101"/>
      <c r="AC12" s="102"/>
    </row>
    <row r="13" spans="1:37" ht="15.75" thickBot="1" x14ac:dyDescent="0.3">
      <c r="B13" s="3"/>
      <c r="C13" s="3" t="s">
        <v>32</v>
      </c>
      <c r="D13" s="15" t="s">
        <v>33</v>
      </c>
      <c r="E13" s="15" t="s">
        <v>34</v>
      </c>
      <c r="F13" s="3" t="s">
        <v>14</v>
      </c>
      <c r="G13" s="15" t="s">
        <v>15</v>
      </c>
      <c r="H13" s="15" t="s">
        <v>16</v>
      </c>
      <c r="I13" s="15" t="s">
        <v>17</v>
      </c>
      <c r="J13" s="15" t="s">
        <v>18</v>
      </c>
      <c r="K13" s="15" t="s">
        <v>19</v>
      </c>
      <c r="L13" s="3" t="s">
        <v>20</v>
      </c>
      <c r="M13" s="15" t="s">
        <v>21</v>
      </c>
      <c r="N13" s="15" t="s">
        <v>22</v>
      </c>
      <c r="O13" s="15" t="s">
        <v>23</v>
      </c>
      <c r="P13" s="15" t="s">
        <v>24</v>
      </c>
      <c r="Q13" s="15" t="s">
        <v>25</v>
      </c>
      <c r="R13" s="4" t="s">
        <v>26</v>
      </c>
      <c r="S13" s="74" t="s">
        <v>27</v>
      </c>
      <c r="T13" s="74" t="s">
        <v>28</v>
      </c>
      <c r="U13" s="4" t="s">
        <v>29</v>
      </c>
      <c r="V13" s="74" t="s">
        <v>30</v>
      </c>
      <c r="W13" s="74" t="s">
        <v>31</v>
      </c>
      <c r="X13" s="4" t="s">
        <v>89</v>
      </c>
      <c r="Y13" s="74" t="s">
        <v>90</v>
      </c>
      <c r="Z13" s="74" t="s">
        <v>91</v>
      </c>
      <c r="AA13" s="4" t="s">
        <v>32</v>
      </c>
      <c r="AB13" s="74" t="s">
        <v>33</v>
      </c>
      <c r="AC13" s="74" t="s">
        <v>34</v>
      </c>
    </row>
    <row r="14" spans="1:37" x14ac:dyDescent="0.25">
      <c r="B14" s="72"/>
      <c r="C14" s="72">
        <v>1</v>
      </c>
      <c r="D14" s="72">
        <v>1</v>
      </c>
      <c r="E14" s="72">
        <v>1</v>
      </c>
      <c r="F14" s="72">
        <f>I4/$O$1/$D$10</f>
        <v>2.1064352759787135</v>
      </c>
      <c r="G14" s="72">
        <f>J4/$O$1/$D$10</f>
        <v>2.8340902413283766</v>
      </c>
      <c r="H14" s="72">
        <f>I5/$O$1/$D$10</f>
        <v>7.2823696838624654</v>
      </c>
      <c r="I14" s="72">
        <f>J5/$O$1/$D$10</f>
        <v>6.1269046942187249</v>
      </c>
      <c r="J14" s="72">
        <f>I6/$O$1/$D$10</f>
        <v>4.0232282638030386</v>
      </c>
      <c r="K14" s="72">
        <f>J6/$O$1/$D$10</f>
        <v>0.21284682480779582</v>
      </c>
      <c r="L14" s="72">
        <f>EXP(-$L$4*F14)</f>
        <v>0.43060068192470347</v>
      </c>
      <c r="M14" s="72">
        <f t="shared" ref="M14:Q14" si="2">EXP(-$L$4*G14)</f>
        <v>0.32186080917650955</v>
      </c>
      <c r="N14" s="72">
        <f t="shared" si="2"/>
        <v>5.4315378769766949E-2</v>
      </c>
      <c r="O14" s="72">
        <f t="shared" si="2"/>
        <v>8.6227866379768481E-2</v>
      </c>
      <c r="P14" s="72">
        <f t="shared" si="2"/>
        <v>0.20002932353204073</v>
      </c>
      <c r="Q14" s="72">
        <f t="shared" si="2"/>
        <v>0.91838486810129027</v>
      </c>
      <c r="R14" s="72">
        <f>P10*G14*M14+Q10*I14*O14</f>
        <v>0.53598346214265569</v>
      </c>
      <c r="S14" s="72">
        <f>O10*F14*L14+Q10*K14*Q14</f>
        <v>0.19156958074725886</v>
      </c>
      <c r="T14" s="72">
        <f>O10*H14*N14+P10*J14*P14</f>
        <v>1.6093163131513741E-2</v>
      </c>
      <c r="U14" s="72">
        <f>O10+M14*P10+Q10*O14</f>
        <v>9.0943139712449814E-2</v>
      </c>
      <c r="V14" s="72">
        <f>O10*L14+P10+Q10*Q14</f>
        <v>0.92001481856866474</v>
      </c>
      <c r="W14" s="72">
        <f>O10*N14+P10*P14+Q10</f>
        <v>0.98400044546252174</v>
      </c>
      <c r="X14">
        <f>R14/U14-O10*R14/U14^2+P10*L14/V14*(F14-S14/V14)+Q10*N14/W14*(H14-T14/W14)</f>
        <v>6.3041648663241858</v>
      </c>
      <c r="Y14">
        <f>S14/V14-P10*S14/V14^2+O10*M14/U14*(G14-R14/U14)+Q10*P14/W14*(J14-T14/W14)</f>
        <v>1.0018892700552637</v>
      </c>
      <c r="Z14">
        <f>T14/W14-Q10*T14/W14^2+O10*O14/U14*(I14-R14/U14)+P10*Q14/V14*(K14-S14/V14)</f>
        <v>1.5963946626722556E-4</v>
      </c>
      <c r="AA14" s="16">
        <f>EXP(X14)</f>
        <v>546.84470900190922</v>
      </c>
      <c r="AB14" s="16">
        <f t="shared" ref="AB14:AC14" si="3">EXP(Y14)</f>
        <v>2.7234222512137176</v>
      </c>
      <c r="AC14" s="16">
        <f t="shared" si="3"/>
        <v>1.000159652209325</v>
      </c>
    </row>
    <row r="18" spans="1:38" ht="15.75" thickBot="1" x14ac:dyDescent="0.3"/>
    <row r="19" spans="1:38" ht="15.75" thickBot="1" x14ac:dyDescent="0.3">
      <c r="B19" s="1" t="s">
        <v>55</v>
      </c>
      <c r="C19" s="20" t="s">
        <v>11</v>
      </c>
      <c r="D19" s="20" t="s">
        <v>12</v>
      </c>
      <c r="E19" s="2" t="s">
        <v>13</v>
      </c>
      <c r="G19" s="1" t="s">
        <v>0</v>
      </c>
      <c r="I19" s="18" t="s">
        <v>92</v>
      </c>
      <c r="K19" s="1" t="s">
        <v>93</v>
      </c>
    </row>
    <row r="20" spans="1:38" ht="15.75" thickBot="1" x14ac:dyDescent="0.3">
      <c r="A20" s="18" t="s">
        <v>57</v>
      </c>
      <c r="B20" s="79">
        <v>20.690942281580988</v>
      </c>
      <c r="C20" s="68">
        <v>3.6193341415735866E-2</v>
      </c>
      <c r="D20">
        <v>0.55568361686280054</v>
      </c>
      <c r="E20">
        <v>0.40812304172146363</v>
      </c>
      <c r="H20" s="78">
        <f>$B$22+$B$21*H10</f>
        <v>184885.34878314647</v>
      </c>
      <c r="I20" s="87">
        <f>$B$20*C20</f>
        <v>0.7488743382105455</v>
      </c>
      <c r="L20" s="77">
        <f>MINVERSE(H20)</f>
        <v>5.4087574087490739E-6</v>
      </c>
    </row>
    <row r="21" spans="1:38" ht="15.75" thickBot="1" x14ac:dyDescent="0.3">
      <c r="A21" s="22" t="s">
        <v>75</v>
      </c>
      <c r="B21" s="79">
        <f>B20-B22</f>
        <v>12.074156261129893</v>
      </c>
      <c r="C21">
        <f>AB10</f>
        <v>6.2020057465932005E-2</v>
      </c>
      <c r="D21">
        <f t="shared" ref="D21:E21" si="4">AC10</f>
        <v>0.93798092443245296</v>
      </c>
      <c r="E21">
        <f t="shared" si="4"/>
        <v>0</v>
      </c>
      <c r="G21" s="1" t="s">
        <v>1</v>
      </c>
      <c r="I21" s="22" t="s">
        <v>92</v>
      </c>
      <c r="K21" s="1" t="s">
        <v>93</v>
      </c>
    </row>
    <row r="22" spans="1:38" ht="15.75" thickBot="1" x14ac:dyDescent="0.3">
      <c r="A22" s="27" t="s">
        <v>76</v>
      </c>
      <c r="B22" s="80">
        <f>B20*E20/E22</f>
        <v>8.6167860204510944</v>
      </c>
      <c r="C22" s="108">
        <f>O10</f>
        <v>4.0504819458814297E-6</v>
      </c>
      <c r="D22" s="75">
        <f>P10</f>
        <v>1.9995387992992508E-2</v>
      </c>
      <c r="E22">
        <v>0.98</v>
      </c>
      <c r="H22" s="78">
        <f>$B$22+$B$21*I10</f>
        <v>575.01380995044576</v>
      </c>
      <c r="I22" s="87">
        <f>$B$20*D20</f>
        <v>11.49761764332837</v>
      </c>
      <c r="L22" s="77">
        <f>MINVERSE(H22)</f>
        <v>1.739088666559468E-3</v>
      </c>
    </row>
    <row r="23" spans="1:38" ht="15.75" thickBot="1" x14ac:dyDescent="0.3">
      <c r="G23" s="1" t="s">
        <v>2</v>
      </c>
      <c r="I23" s="22" t="s">
        <v>92</v>
      </c>
      <c r="K23" s="1" t="s">
        <v>93</v>
      </c>
    </row>
    <row r="24" spans="1:38" ht="15.75" thickBot="1" x14ac:dyDescent="0.3">
      <c r="H24" s="78">
        <f>$B$22+$B$21*J10</f>
        <v>8.6167860204510944</v>
      </c>
      <c r="I24" s="87">
        <f>$B$20*E20</f>
        <v>8.4444503000420728</v>
      </c>
      <c r="L24" s="77">
        <f>MINVERSE(H24)</f>
        <v>0.11605255110508701</v>
      </c>
    </row>
    <row r="27" spans="1:38" ht="15.75" thickBot="1" x14ac:dyDescent="0.3"/>
    <row r="28" spans="1:38" ht="15.75" thickBot="1" x14ac:dyDescent="0.3">
      <c r="C28" s="3" t="s">
        <v>6</v>
      </c>
      <c r="D28" s="76" t="s">
        <v>7</v>
      </c>
      <c r="E28" s="16" t="s">
        <v>8</v>
      </c>
      <c r="F28" s="76" t="s">
        <v>9</v>
      </c>
      <c r="G28" s="76" t="s">
        <v>10</v>
      </c>
      <c r="H28" s="3" t="s">
        <v>11</v>
      </c>
      <c r="I28" s="3" t="s">
        <v>12</v>
      </c>
      <c r="J28" s="76" t="s">
        <v>13</v>
      </c>
      <c r="K28" s="3" t="s">
        <v>14</v>
      </c>
      <c r="L28" s="76" t="s">
        <v>15</v>
      </c>
      <c r="M28" s="76" t="s">
        <v>16</v>
      </c>
      <c r="N28" s="76" t="s">
        <v>17</v>
      </c>
      <c r="O28" s="76" t="s">
        <v>18</v>
      </c>
      <c r="P28" s="76" t="s">
        <v>19</v>
      </c>
      <c r="Q28" s="3" t="s">
        <v>20</v>
      </c>
      <c r="R28" s="76" t="s">
        <v>21</v>
      </c>
      <c r="S28" s="76" t="s">
        <v>22</v>
      </c>
      <c r="T28" s="76" t="s">
        <v>23</v>
      </c>
      <c r="U28" s="76" t="s">
        <v>24</v>
      </c>
      <c r="V28" s="76" t="s">
        <v>25</v>
      </c>
      <c r="W28" s="4" t="s">
        <v>26</v>
      </c>
      <c r="X28" s="74" t="s">
        <v>27</v>
      </c>
      <c r="Y28" s="74" t="s">
        <v>28</v>
      </c>
      <c r="Z28" s="4" t="s">
        <v>29</v>
      </c>
      <c r="AA28" s="74" t="s">
        <v>30</v>
      </c>
      <c r="AB28" s="74" t="s">
        <v>31</v>
      </c>
      <c r="AC28" s="4" t="s">
        <v>89</v>
      </c>
      <c r="AD28" s="74" t="s">
        <v>90</v>
      </c>
      <c r="AE28" s="74" t="s">
        <v>91</v>
      </c>
      <c r="AF28" s="4" t="s">
        <v>32</v>
      </c>
      <c r="AG28" s="74" t="s">
        <v>33</v>
      </c>
      <c r="AH28" s="74" t="s">
        <v>34</v>
      </c>
      <c r="AI28" s="88" t="s">
        <v>94</v>
      </c>
      <c r="AJ28" s="88" t="s">
        <v>95</v>
      </c>
      <c r="AK28" s="88" t="s">
        <v>96</v>
      </c>
      <c r="AL28" s="88" t="s">
        <v>38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75">
        <f>C22</f>
        <v>4.0504819458814297E-6</v>
      </c>
      <c r="I29" s="75">
        <f>D22</f>
        <v>1.9995387992992508E-2</v>
      </c>
      <c r="J29" s="75">
        <f t="shared" ref="I29:J29" si="5">E22</f>
        <v>0.98</v>
      </c>
      <c r="K29" s="72">
        <f>I4/$O$1/$D$29</f>
        <v>2.1071800296631609</v>
      </c>
      <c r="L29" s="72">
        <f>J4/$O$1/$D$29</f>
        <v>2.8350922655412045</v>
      </c>
      <c r="M29" s="72">
        <f>I5/$O$1/$D$29</f>
        <v>7.2849444468829168</v>
      </c>
      <c r="N29" s="72">
        <f>J5/$O$1/$D$29</f>
        <v>6.1290709297054313</v>
      </c>
      <c r="O29" s="72">
        <f>I6/$O$1/$D$29</f>
        <v>4.0246507210259157</v>
      </c>
      <c r="P29" s="72">
        <f>J6/$O$1/$D$29</f>
        <v>0.21292207917654202</v>
      </c>
      <c r="Q29" s="72">
        <f>EXP(-$L$4*K29)</f>
        <v>0.43047242445194145</v>
      </c>
      <c r="R29" s="72">
        <f t="shared" ref="R29" si="6">EXP(-$L$4*L29)</f>
        <v>0.32173183009668638</v>
      </c>
      <c r="S29" s="72">
        <f t="shared" ref="S29" si="7">EXP(-$L$4*M29)</f>
        <v>5.425946787469077E-2</v>
      </c>
      <c r="T29" s="72">
        <f t="shared" ref="T29" si="8">EXP(-$L$4*N29)</f>
        <v>8.6153182795249569E-2</v>
      </c>
      <c r="U29" s="72">
        <f t="shared" ref="U29" si="9">EXP(-$L$4*O29)</f>
        <v>0.19991554264238187</v>
      </c>
      <c r="V29" s="72">
        <f t="shared" ref="V29" si="10">EXP(-$L$4*P29)</f>
        <v>0.91835722352796123</v>
      </c>
      <c r="W29" s="89">
        <f>I29*L29*R29+J29*N29*T29</f>
        <v>0.53571677047682253</v>
      </c>
      <c r="X29" s="89">
        <f>H29*K29*Q29+J29*P29*V29</f>
        <v>0.19163143299405663</v>
      </c>
      <c r="Y29" s="89">
        <f>H29*M29*S29+I29*O29*U29</f>
        <v>1.6089694944206392E-2</v>
      </c>
      <c r="Z29" s="89">
        <f>H29+R29*I29+J29*T29</f>
        <v>9.086732239376924E-2</v>
      </c>
      <c r="AA29" s="89">
        <f>H29*Q29+I29+J29*V29</f>
        <v>0.91998721067117795</v>
      </c>
      <c r="AB29" s="89">
        <f>H29*S29+I29*U29+J29</f>
        <v>0.98399760861795904</v>
      </c>
      <c r="AC29">
        <f>W29/Z29-H29*W29/Z29^2+I29*Q29/AA29*(K29-X29/AA29)+J29*S29/AB29*(M29-Y29/AB29)</f>
        <v>6.3058842335906391</v>
      </c>
      <c r="AD29">
        <f>X29/AA29-I29*X29/AA29^2+H29*R29/Z29*(L29-W29/Z29)+J29*U29/AB29*(O29-Y29/AB29)</f>
        <v>1.0017926832260695</v>
      </c>
      <c r="AE29">
        <f>Y29/AB29-J29*Y29/AB29^2+H29*T29/Z29*(N29-W29/Z29)+I29*V29/AA29*(P29-X29/AA29)</f>
        <v>1.5962379205673911E-4</v>
      </c>
      <c r="AF29" s="16">
        <f>EXP(AC29)</f>
        <v>547.78574465552401</v>
      </c>
      <c r="AG29" s="16">
        <f t="shared" ref="AG29" si="11">EXP(AD29)</f>
        <v>2.7231592171969314</v>
      </c>
      <c r="AH29" s="16">
        <f t="shared" ref="AH29" si="12">EXP(AE29)</f>
        <v>1.0001596365326122</v>
      </c>
      <c r="AI29" s="75">
        <f>AF29*E29*H29</f>
        <v>0.1608866237736114</v>
      </c>
      <c r="AJ29" s="75">
        <f>AG29*F29*I29</f>
        <v>2.4262189251271877</v>
      </c>
      <c r="AK29" s="75">
        <f>AH29*G29*J29</f>
        <v>0</v>
      </c>
      <c r="AL29">
        <f>SUM(AI29:AK29)</f>
        <v>2.5871055489007992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1:AO29"/>
  <sheetViews>
    <sheetView zoomScale="55" zoomScaleNormal="55" workbookViewId="0">
      <selection activeCell="A19" sqref="A19:E22"/>
    </sheetView>
  </sheetViews>
  <sheetFormatPr defaultRowHeight="15" x14ac:dyDescent="0.25"/>
  <cols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103" t="s">
        <v>39</v>
      </c>
      <c r="D1" s="104"/>
      <c r="E1" s="104"/>
      <c r="H1" s="105" t="s">
        <v>41</v>
      </c>
      <c r="I1" s="7" t="s">
        <v>42</v>
      </c>
      <c r="J1" s="7" t="s">
        <v>43</v>
      </c>
      <c r="K1" s="105" t="s">
        <v>44</v>
      </c>
      <c r="L1" s="105" t="s">
        <v>45</v>
      </c>
      <c r="N1" s="19" t="s">
        <v>46</v>
      </c>
      <c r="O1" s="2">
        <f>8.314/1000</f>
        <v>8.3140000000000002E-3</v>
      </c>
    </row>
    <row r="2" spans="1:37" ht="15.75" thickBot="1" x14ac:dyDescent="0.3">
      <c r="C2" s="19" t="s">
        <v>0</v>
      </c>
      <c r="D2" s="20" t="s">
        <v>1</v>
      </c>
      <c r="E2" s="2" t="s">
        <v>2</v>
      </c>
      <c r="H2" s="106"/>
      <c r="I2" s="107" t="s">
        <v>47</v>
      </c>
      <c r="J2" s="107"/>
      <c r="K2" s="106"/>
      <c r="L2" s="106"/>
    </row>
    <row r="3" spans="1:37" ht="15.75" thickBot="1" x14ac:dyDescent="0.3">
      <c r="A3" s="18" t="s">
        <v>0</v>
      </c>
      <c r="B3" t="s">
        <v>3</v>
      </c>
      <c r="C3">
        <v>20.840540000000001</v>
      </c>
      <c r="D3">
        <v>-2624.5250000000001</v>
      </c>
      <c r="E3">
        <v>-46.151710000000001</v>
      </c>
      <c r="H3" s="107" t="s">
        <v>48</v>
      </c>
      <c r="I3" s="107"/>
      <c r="J3" s="107"/>
      <c r="K3" s="107"/>
      <c r="L3" s="107"/>
    </row>
    <row r="4" spans="1:37" x14ac:dyDescent="0.25">
      <c r="A4" s="22" t="s">
        <v>1</v>
      </c>
      <c r="B4" t="s">
        <v>4</v>
      </c>
      <c r="C4">
        <v>23.534700000000001</v>
      </c>
      <c r="D4">
        <v>-3661.4679999999998</v>
      </c>
      <c r="E4">
        <v>-32.770009999999999</v>
      </c>
      <c r="H4" s="8" t="s">
        <v>49</v>
      </c>
      <c r="I4" s="9">
        <v>5.5736999999999997</v>
      </c>
      <c r="J4" s="9">
        <v>7.4991000000000003</v>
      </c>
      <c r="K4" s="8">
        <v>6.4999999999999997E-3</v>
      </c>
      <c r="L4" s="8">
        <v>0.4</v>
      </c>
    </row>
    <row r="5" spans="1:37" ht="15.75" thickBot="1" x14ac:dyDescent="0.3">
      <c r="A5" s="22" t="s">
        <v>2</v>
      </c>
      <c r="B5" t="s">
        <v>5</v>
      </c>
      <c r="C5" t="s">
        <v>40</v>
      </c>
      <c r="D5" t="s">
        <v>40</v>
      </c>
      <c r="E5" t="s">
        <v>40</v>
      </c>
      <c r="H5" s="10" t="s">
        <v>50</v>
      </c>
      <c r="I5" s="11">
        <v>19.269400000000001</v>
      </c>
      <c r="J5" s="11">
        <v>16.212</v>
      </c>
      <c r="K5" s="10"/>
      <c r="L5" s="10"/>
    </row>
    <row r="6" spans="1:37" ht="15.75" thickBot="1" x14ac:dyDescent="0.3">
      <c r="A6" s="19" t="s">
        <v>38</v>
      </c>
      <c r="B6" s="2">
        <v>73</v>
      </c>
      <c r="H6" s="12" t="s">
        <v>51</v>
      </c>
      <c r="I6" s="13">
        <v>10.6456</v>
      </c>
      <c r="J6" s="13">
        <v>0.56320000000000003</v>
      </c>
      <c r="K6" s="14"/>
      <c r="L6" s="14"/>
    </row>
    <row r="7" spans="1:37" ht="15.75" thickBot="1" x14ac:dyDescent="0.3">
      <c r="AI7" s="5"/>
      <c r="AJ7" s="5"/>
      <c r="AK7" s="5"/>
    </row>
    <row r="8" spans="1:37" ht="15.75" thickBot="1" x14ac:dyDescent="0.3">
      <c r="O8" s="100" t="s">
        <v>81</v>
      </c>
      <c r="P8" s="101"/>
      <c r="Q8" s="102"/>
      <c r="AG8" s="70"/>
      <c r="AH8" s="70"/>
      <c r="AI8" s="70"/>
      <c r="AJ8" s="6"/>
    </row>
    <row r="9" spans="1:37" ht="15.75" thickBot="1" x14ac:dyDescent="0.3">
      <c r="B9" s="3"/>
      <c r="C9" s="3" t="s">
        <v>6</v>
      </c>
      <c r="D9" s="69" t="s">
        <v>7</v>
      </c>
      <c r="E9" s="16" t="s">
        <v>8</v>
      </c>
      <c r="F9" s="69" t="s">
        <v>9</v>
      </c>
      <c r="G9" s="69" t="s">
        <v>10</v>
      </c>
      <c r="H9" s="3" t="s">
        <v>35</v>
      </c>
      <c r="I9" s="69" t="s">
        <v>36</v>
      </c>
      <c r="J9" s="69" t="s">
        <v>37</v>
      </c>
      <c r="K9" s="3" t="s">
        <v>11</v>
      </c>
      <c r="L9" s="3" t="s">
        <v>12</v>
      </c>
      <c r="M9" s="69" t="s">
        <v>13</v>
      </c>
      <c r="N9" s="3" t="s">
        <v>82</v>
      </c>
      <c r="O9" s="3" t="s">
        <v>11</v>
      </c>
      <c r="P9" s="69" t="s">
        <v>12</v>
      </c>
      <c r="Q9" s="69" t="s">
        <v>13</v>
      </c>
      <c r="S9" s="3"/>
      <c r="T9" s="3" t="s">
        <v>6</v>
      </c>
      <c r="U9" s="69" t="s">
        <v>7</v>
      </c>
      <c r="V9" s="16" t="s">
        <v>8</v>
      </c>
      <c r="W9" s="71" t="s">
        <v>9</v>
      </c>
      <c r="X9" s="69" t="s">
        <v>10</v>
      </c>
      <c r="Y9" s="3" t="s">
        <v>35</v>
      </c>
      <c r="Z9" s="69" t="s">
        <v>36</v>
      </c>
      <c r="AA9" s="69" t="s">
        <v>37</v>
      </c>
      <c r="AB9" s="3" t="s">
        <v>83</v>
      </c>
      <c r="AC9" s="69" t="s">
        <v>84</v>
      </c>
      <c r="AD9" s="69" t="s">
        <v>85</v>
      </c>
      <c r="AE9" s="3" t="s">
        <v>86</v>
      </c>
      <c r="AF9" s="96" t="s">
        <v>97</v>
      </c>
      <c r="AG9" s="6"/>
      <c r="AH9" s="6"/>
      <c r="AI9" s="6"/>
      <c r="AJ9" s="6"/>
    </row>
    <row r="10" spans="1:37" x14ac:dyDescent="0.25">
      <c r="B10" s="72">
        <v>0</v>
      </c>
      <c r="C10" s="72">
        <v>44.920831828870242</v>
      </c>
      <c r="D10" s="73">
        <v>318.07083182887021</v>
      </c>
      <c r="E10" s="72">
        <v>72.307351658870033</v>
      </c>
      <c r="F10" s="17">
        <v>44.39979074452949</v>
      </c>
      <c r="G10" s="72">
        <v>0</v>
      </c>
      <c r="H10" s="72">
        <v>1.333121266967046</v>
      </c>
      <c r="I10" s="72">
        <v>8.7820311637444934</v>
      </c>
      <c r="J10" s="72">
        <v>0</v>
      </c>
      <c r="K10" s="72">
        <f>MMULT(L20,I20)</f>
        <v>0.74997902047906184</v>
      </c>
      <c r="L10" s="72">
        <f>MMULT(L22,I22)</f>
        <v>2.129546557209844E-5</v>
      </c>
      <c r="M10" s="72">
        <f>MMULT(L24,I24)</f>
        <v>0.24999999999999997</v>
      </c>
      <c r="N10" s="16">
        <f>SUM(K10:M10)</f>
        <v>1.0000003159446338</v>
      </c>
      <c r="O10" s="72">
        <f>K10/(K10+L10+M10)</f>
        <v>0.74997878352728975</v>
      </c>
      <c r="P10" s="72">
        <f>L10/(K10+L10+M10)</f>
        <v>2.1295458843912493E-5</v>
      </c>
      <c r="Q10" s="72">
        <f>M10/(K10+L10+M10)</f>
        <v>0.24999992101386648</v>
      </c>
      <c r="S10" s="72"/>
      <c r="T10" s="72">
        <v>44.920831828870242</v>
      </c>
      <c r="U10" s="73">
        <f>T10+273.15</f>
        <v>318.07083182887021</v>
      </c>
      <c r="V10" s="72">
        <f>EXP(C3+D3/(U10+E3))/1000</f>
        <v>72.307351658870033</v>
      </c>
      <c r="W10" s="72">
        <f>EXP(C4+D4/(U10+E4))/1000</f>
        <v>44.39979074452949</v>
      </c>
      <c r="X10" s="72">
        <v>0</v>
      </c>
      <c r="Y10" s="72">
        <f>V10*AA14/$B$6</f>
        <v>1.333121266967046</v>
      </c>
      <c r="Z10" s="72">
        <f t="shared" ref="Z10:AA10" si="0">W10*AB14/$B$6</f>
        <v>8.7820311637444934</v>
      </c>
      <c r="AA10" s="72">
        <f t="shared" si="0"/>
        <v>0</v>
      </c>
      <c r="AB10" s="72">
        <f>(O10*AA14*V10)/$B$6</f>
        <v>0.99981266609430441</v>
      </c>
      <c r="AC10" s="72">
        <f t="shared" ref="AC10:AD10" si="1">(P10*AB14*W10)/$B$6</f>
        <v>1.8701738321347781E-4</v>
      </c>
      <c r="AD10" s="72">
        <f t="shared" si="1"/>
        <v>0</v>
      </c>
      <c r="AE10" s="72">
        <f>SUM(AB10:AD10)</f>
        <v>0.99999968347751789</v>
      </c>
      <c r="AF10">
        <f>V10*AA14*O10+W10*AB14*P10</f>
        <v>72.999976893858801</v>
      </c>
    </row>
    <row r="11" spans="1:37" ht="15.75" thickBot="1" x14ac:dyDescent="0.3"/>
    <row r="12" spans="1:37" ht="15.75" thickBot="1" x14ac:dyDescent="0.3">
      <c r="C12" s="100" t="s">
        <v>87</v>
      </c>
      <c r="D12" s="101"/>
      <c r="E12" s="102"/>
      <c r="AA12" s="100" t="s">
        <v>88</v>
      </c>
      <c r="AB12" s="101"/>
      <c r="AC12" s="102"/>
    </row>
    <row r="13" spans="1:37" ht="15.75" thickBot="1" x14ac:dyDescent="0.3">
      <c r="B13" s="3"/>
      <c r="C13" s="3" t="s">
        <v>32</v>
      </c>
      <c r="D13" s="69" t="s">
        <v>33</v>
      </c>
      <c r="E13" s="69" t="s">
        <v>34</v>
      </c>
      <c r="F13" s="3" t="s">
        <v>14</v>
      </c>
      <c r="G13" s="69" t="s">
        <v>15</v>
      </c>
      <c r="H13" s="69" t="s">
        <v>16</v>
      </c>
      <c r="I13" s="69" t="s">
        <v>17</v>
      </c>
      <c r="J13" s="69" t="s">
        <v>18</v>
      </c>
      <c r="K13" s="69" t="s">
        <v>19</v>
      </c>
      <c r="L13" s="3" t="s">
        <v>20</v>
      </c>
      <c r="M13" s="69" t="s">
        <v>21</v>
      </c>
      <c r="N13" s="69" t="s">
        <v>22</v>
      </c>
      <c r="O13" s="69" t="s">
        <v>23</v>
      </c>
      <c r="P13" s="69" t="s">
        <v>24</v>
      </c>
      <c r="Q13" s="69" t="s">
        <v>25</v>
      </c>
      <c r="R13" s="4" t="s">
        <v>26</v>
      </c>
      <c r="S13" s="74" t="s">
        <v>27</v>
      </c>
      <c r="T13" s="74" t="s">
        <v>28</v>
      </c>
      <c r="U13" s="4" t="s">
        <v>29</v>
      </c>
      <c r="V13" s="74" t="s">
        <v>30</v>
      </c>
      <c r="W13" s="74" t="s">
        <v>31</v>
      </c>
      <c r="X13" s="4" t="s">
        <v>89</v>
      </c>
      <c r="Y13" s="74" t="s">
        <v>90</v>
      </c>
      <c r="Z13" s="74" t="s">
        <v>91</v>
      </c>
      <c r="AA13" s="4" t="s">
        <v>32</v>
      </c>
      <c r="AB13" s="74" t="s">
        <v>33</v>
      </c>
      <c r="AC13" s="74" t="s">
        <v>34</v>
      </c>
    </row>
    <row r="14" spans="1:37" ht="15.75" thickBot="1" x14ac:dyDescent="0.3">
      <c r="B14" s="72"/>
      <c r="C14" s="72">
        <v>1</v>
      </c>
      <c r="D14" s="72">
        <v>1</v>
      </c>
      <c r="E14" s="72">
        <v>1</v>
      </c>
      <c r="F14" s="72">
        <f>I4/$O$1/$D$10</f>
        <v>2.1077045090322071</v>
      </c>
      <c r="G14" s="72">
        <f>J4/$O$1/$D$10</f>
        <v>2.8357979230463473</v>
      </c>
      <c r="H14" s="72">
        <f>I5/$O$1/$D$10</f>
        <v>7.2867576773678548</v>
      </c>
      <c r="I14" s="72">
        <f>J5/$O$1/$D$10</f>
        <v>6.1305964620324271</v>
      </c>
      <c r="J14" s="72">
        <f>I6/$O$1/$D$10</f>
        <v>4.0256524609062678</v>
      </c>
      <c r="K14" s="72">
        <f>J6/$O$1/$D$10</f>
        <v>0.21297507571037894</v>
      </c>
      <c r="L14" s="72">
        <f>EXP(-$L$4*F14)</f>
        <v>0.43038212436215212</v>
      </c>
      <c r="M14" s="72">
        <f t="shared" ref="M14:Q14" si="2">EXP(-$L$4*G14)</f>
        <v>0.32164102991983406</v>
      </c>
      <c r="N14" s="72">
        <f t="shared" si="2"/>
        <v>5.4220128174305354E-2</v>
      </c>
      <c r="O14" s="72">
        <f t="shared" si="2"/>
        <v>8.6100627045808217E-2</v>
      </c>
      <c r="P14" s="72">
        <f t="shared" si="2"/>
        <v>0.19983545334047612</v>
      </c>
      <c r="Q14" s="72">
        <f t="shared" si="2"/>
        <v>0.91833775583443766</v>
      </c>
      <c r="R14" s="72">
        <f>P10*G14*M14+Q10*I14*O14</f>
        <v>0.13198143197268006</v>
      </c>
      <c r="S14" s="72">
        <f>O10*F14*L14+Q10*K14*Q14</f>
        <v>0.72921526006291859</v>
      </c>
      <c r="T14" s="72">
        <f>O10*H14*N14+P10*J14*P14</f>
        <v>0.29632545055486387</v>
      </c>
      <c r="U14" s="72">
        <f>O10+M14*P10+Q10*O14</f>
        <v>0.77151078298130138</v>
      </c>
      <c r="V14" s="72">
        <f>O10*L14+P10+Q10*Q14</f>
        <v>0.55238312396252232</v>
      </c>
      <c r="W14" s="72">
        <f>O10*N14+P10*P14+Q10</f>
        <v>0.29066812237239792</v>
      </c>
      <c r="X14">
        <f>R14/U14-O10*R14/U14^2+P10*L14/V14*(F14-S14/V14)+Q10*N14/W14*(H14-T14/W14)</f>
        <v>0.29705664448501784</v>
      </c>
      <c r="Y14">
        <f>S14/V14-P10*S14/V14^2+O10*M14/U14*(G14-R14/U14)+Q10*P14/W14*(J14-T14/W14)</f>
        <v>2.6699324054086824</v>
      </c>
      <c r="Z14">
        <f>T14/W14-Q10*T14/W14^2+O10*O14/U14*(I14-R14/U14)+P10*Q14/V14*(K14-S14/V14)</f>
        <v>0.64139527938208818</v>
      </c>
      <c r="AA14" s="16">
        <f>EXP(X14)</f>
        <v>1.3458915346217946</v>
      </c>
      <c r="AB14" s="16">
        <f t="shared" ref="AB14:AC14" si="3">EXP(Y14)</f>
        <v>14.43899316197423</v>
      </c>
      <c r="AC14" s="16">
        <f t="shared" si="3"/>
        <v>1.8991288468720557</v>
      </c>
    </row>
    <row r="15" spans="1:37" ht="15.75" thickBot="1" x14ac:dyDescent="0.3">
      <c r="G15" s="1"/>
    </row>
    <row r="18" spans="1:41" ht="15.75" thickBot="1" x14ac:dyDescent="0.3"/>
    <row r="19" spans="1:41" ht="15.75" thickBot="1" x14ac:dyDescent="0.3">
      <c r="B19" s="1" t="s">
        <v>72</v>
      </c>
      <c r="C19" s="20" t="s">
        <v>11</v>
      </c>
      <c r="D19" s="20" t="s">
        <v>12</v>
      </c>
      <c r="E19" s="2" t="s">
        <v>13</v>
      </c>
      <c r="G19" s="1" t="s">
        <v>0</v>
      </c>
      <c r="I19" s="1" t="s">
        <v>92</v>
      </c>
      <c r="K19" s="1" t="s">
        <v>93</v>
      </c>
    </row>
    <row r="20" spans="1:41" ht="15.75" thickBot="1" x14ac:dyDescent="0.3">
      <c r="A20" s="18" t="s">
        <v>57</v>
      </c>
      <c r="B20" s="93">
        <v>12.759332433363076</v>
      </c>
      <c r="C20" s="68">
        <v>0.99935680243331848</v>
      </c>
      <c r="D20" s="68">
        <v>1.8671484542498028E-4</v>
      </c>
      <c r="E20" s="68">
        <v>4.5648272125653206E-4</v>
      </c>
      <c r="H20" s="90">
        <f>$B$22+$B$21*H10</f>
        <v>17.001976473481161</v>
      </c>
      <c r="I20" s="92">
        <f>$B$20*C20</f>
        <v>12.751125661789455</v>
      </c>
      <c r="L20" s="91">
        <f>MINVERSE(H20)</f>
        <v>5.8816691198211597E-2</v>
      </c>
    </row>
    <row r="21" spans="1:41" ht="15.75" thickBot="1" x14ac:dyDescent="0.3">
      <c r="A21" s="22" t="s">
        <v>75</v>
      </c>
      <c r="B21" s="94">
        <f>B20-B22</f>
        <v>12.736034774200682</v>
      </c>
      <c r="C21">
        <f>AB10</f>
        <v>0.99981266609430441</v>
      </c>
      <c r="D21">
        <f t="shared" ref="D21:E21" si="4">AC10</f>
        <v>1.8701738321347781E-4</v>
      </c>
      <c r="E21">
        <f t="shared" si="4"/>
        <v>0</v>
      </c>
      <c r="G21" s="1" t="s">
        <v>1</v>
      </c>
      <c r="I21" s="1" t="s">
        <v>92</v>
      </c>
      <c r="K21" s="1" t="s">
        <v>93</v>
      </c>
    </row>
    <row r="22" spans="1:41" ht="15.75" thickBot="1" x14ac:dyDescent="0.3">
      <c r="A22" s="27" t="s">
        <v>76</v>
      </c>
      <c r="B22" s="95">
        <f>B20*E20/E22</f>
        <v>2.3297659162393222E-2</v>
      </c>
      <c r="C22" s="75">
        <f>O10</f>
        <v>0.74997878352728975</v>
      </c>
      <c r="D22" s="75">
        <f>P10</f>
        <v>2.1295458843912493E-5</v>
      </c>
      <c r="E22">
        <v>0.25</v>
      </c>
      <c r="H22" s="90">
        <f>$B$22+$B$21*I10</f>
        <v>111.87155194872635</v>
      </c>
      <c r="I22" s="92">
        <f>$B$20*D20</f>
        <v>2.3823567830213244E-3</v>
      </c>
      <c r="L22" s="91">
        <f>MINVERSE(H22)</f>
        <v>8.9388229856534572E-3</v>
      </c>
    </row>
    <row r="23" spans="1:41" ht="15.75" thickBot="1" x14ac:dyDescent="0.3">
      <c r="G23" s="1" t="s">
        <v>2</v>
      </c>
      <c r="I23" s="1" t="s">
        <v>92</v>
      </c>
      <c r="K23" s="1" t="s">
        <v>93</v>
      </c>
    </row>
    <row r="24" spans="1:41" ht="15.75" thickBot="1" x14ac:dyDescent="0.3">
      <c r="A24" s="67"/>
      <c r="H24" s="90">
        <f>$B$22+$B$21*J10</f>
        <v>2.3297659162393222E-2</v>
      </c>
      <c r="I24" s="92">
        <f>$B$20*E20</f>
        <v>5.8244147905983056E-3</v>
      </c>
      <c r="L24" s="91">
        <f>MINVERSE(H24)</f>
        <v>42.922767177150007</v>
      </c>
    </row>
    <row r="27" spans="1:41" ht="15.75" thickBot="1" x14ac:dyDescent="0.3"/>
    <row r="28" spans="1:41" ht="15.75" thickBot="1" x14ac:dyDescent="0.3">
      <c r="C28" s="3" t="s">
        <v>6</v>
      </c>
      <c r="D28" s="76" t="s">
        <v>7</v>
      </c>
      <c r="E28" s="16" t="s">
        <v>8</v>
      </c>
      <c r="F28" s="76" t="s">
        <v>9</v>
      </c>
      <c r="G28" s="76" t="s">
        <v>10</v>
      </c>
      <c r="H28" s="3" t="s">
        <v>11</v>
      </c>
      <c r="I28" s="3" t="s">
        <v>12</v>
      </c>
      <c r="J28" s="76" t="s">
        <v>13</v>
      </c>
      <c r="K28" s="3" t="s">
        <v>14</v>
      </c>
      <c r="L28" s="76" t="s">
        <v>15</v>
      </c>
      <c r="M28" s="76" t="s">
        <v>16</v>
      </c>
      <c r="N28" s="76" t="s">
        <v>17</v>
      </c>
      <c r="O28" s="76" t="s">
        <v>18</v>
      </c>
      <c r="P28" s="76" t="s">
        <v>19</v>
      </c>
      <c r="Q28" s="3" t="s">
        <v>20</v>
      </c>
      <c r="R28" s="76" t="s">
        <v>21</v>
      </c>
      <c r="S28" s="76" t="s">
        <v>22</v>
      </c>
      <c r="T28" s="76" t="s">
        <v>23</v>
      </c>
      <c r="U28" s="76" t="s">
        <v>24</v>
      </c>
      <c r="V28" s="76" t="s">
        <v>25</v>
      </c>
      <c r="W28" s="4" t="s">
        <v>26</v>
      </c>
      <c r="X28" s="74" t="s">
        <v>27</v>
      </c>
      <c r="Y28" s="74" t="s">
        <v>28</v>
      </c>
      <c r="Z28" s="4" t="s">
        <v>29</v>
      </c>
      <c r="AA28" s="74" t="s">
        <v>30</v>
      </c>
      <c r="AB28" s="74" t="s">
        <v>31</v>
      </c>
      <c r="AC28" s="4" t="s">
        <v>89</v>
      </c>
      <c r="AD28" s="74" t="s">
        <v>90</v>
      </c>
      <c r="AE28" s="74" t="s">
        <v>91</v>
      </c>
      <c r="AF28" s="4" t="s">
        <v>32</v>
      </c>
      <c r="AG28" s="74" t="s">
        <v>33</v>
      </c>
      <c r="AH28" s="74" t="s">
        <v>34</v>
      </c>
      <c r="AI28" s="88" t="s">
        <v>94</v>
      </c>
      <c r="AJ28" s="88" t="s">
        <v>95</v>
      </c>
      <c r="AK28" s="88" t="s">
        <v>96</v>
      </c>
      <c r="AL28" s="88" t="s">
        <v>38</v>
      </c>
      <c r="AM28" s="88" t="s">
        <v>83</v>
      </c>
      <c r="AN28" s="88" t="s">
        <v>84</v>
      </c>
      <c r="AO28" s="88" t="s">
        <v>85</v>
      </c>
    </row>
    <row r="29" spans="1:41" x14ac:dyDescent="0.25">
      <c r="C29">
        <v>45</v>
      </c>
      <c r="D29">
        <f>273.15+C29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75">
        <f>C22</f>
        <v>0.74997878352728975</v>
      </c>
      <c r="I29" s="75">
        <f t="shared" ref="I29:J29" si="5">D22</f>
        <v>2.1295458843912493E-5</v>
      </c>
      <c r="J29" s="75">
        <f t="shared" si="5"/>
        <v>0.25</v>
      </c>
      <c r="K29" s="72">
        <f>I4/$O$1/$D$29</f>
        <v>2.1071800296631609</v>
      </c>
      <c r="L29" s="72">
        <f>J4/$O$1/$D$29</f>
        <v>2.8350922655412045</v>
      </c>
      <c r="M29" s="72">
        <f>I5/$O$1/$D$29</f>
        <v>7.2849444468829168</v>
      </c>
      <c r="N29" s="72">
        <f>J5/$O$1/$D$29</f>
        <v>6.1290709297054313</v>
      </c>
      <c r="O29" s="72">
        <f>I6/$O$1/$D$29</f>
        <v>4.0246507210259157</v>
      </c>
      <c r="P29" s="72">
        <f>J6/$O$1/$D$29</f>
        <v>0.21292207917654202</v>
      </c>
      <c r="Q29" s="72">
        <f>EXP(-$L$4*K29)</f>
        <v>0.43047242445194145</v>
      </c>
      <c r="R29" s="72">
        <f t="shared" ref="R29:V29" si="6">EXP(-$L$4*L29)</f>
        <v>0.32173183009668638</v>
      </c>
      <c r="S29" s="72">
        <f t="shared" si="6"/>
        <v>5.425946787469077E-2</v>
      </c>
      <c r="T29" s="72">
        <f t="shared" si="6"/>
        <v>8.6153182795249569E-2</v>
      </c>
      <c r="U29" s="72">
        <f t="shared" si="6"/>
        <v>0.19991554264238187</v>
      </c>
      <c r="V29" s="72">
        <f t="shared" si="6"/>
        <v>0.91835722352796123</v>
      </c>
      <c r="W29" s="89">
        <f>I29*L29*R29+J29*N29*T29</f>
        <v>0.13202916647053481</v>
      </c>
      <c r="X29" s="89">
        <f>H29*K29*Q29+J29*P29*V29</f>
        <v>0.72917755935994188</v>
      </c>
      <c r="Y29" s="89">
        <f>H29*M29*S29+I29*O29*U29</f>
        <v>0.29646665461848093</v>
      </c>
      <c r="Z29" s="89">
        <f>H29+R29*I29+J29*T29</f>
        <v>0.7715239306530487</v>
      </c>
      <c r="AA29" s="89">
        <f>H29*Q29+I29+J29*V29</f>
        <v>0.55245578657334449</v>
      </c>
      <c r="AB29" s="89">
        <f>H29*S29+I29*U29+J29</f>
        <v>0.29069770700470926</v>
      </c>
      <c r="AC29">
        <f>W29/Z29-H29*W29/Z29^2+I29*Q29/AA29*(K29-X29/AA29)+J29*S29/AB29*(M29-Y29/AB29)</f>
        <v>0.29714106888384167</v>
      </c>
      <c r="AD29">
        <f>X29/AA29-I29*X29/AA29^2+H29*R29/Z29*(L29-W29/Z29)+J29*U29/AB29*(O29-Y29/AB29)</f>
        <v>2.669589154789259</v>
      </c>
      <c r="AE29">
        <f>Y29/AB29-J29*Y29/AB29^2+H29*T29/Z29*(N29-W29/Z29)+I29*V29/AA29*(P29-X29/AA29)</f>
        <v>0.64170099201654229</v>
      </c>
      <c r="AF29" s="16">
        <f>EXP(AC29)</f>
        <v>1.3460051655020291</v>
      </c>
      <c r="AG29" s="16">
        <f t="shared" ref="AG29:AH29" si="7">EXP(AD29)</f>
        <v>14.434037819138434</v>
      </c>
      <c r="AH29" s="16">
        <f t="shared" si="7"/>
        <v>1.8997095233105403</v>
      </c>
      <c r="AI29" s="75">
        <f>AF29*E29*H29</f>
        <v>73.197831523063797</v>
      </c>
      <c r="AJ29" s="75">
        <f>AG29*F29*I29</f>
        <v>1.3696258902889695E-2</v>
      </c>
      <c r="AK29" s="75">
        <f>AH29*G29*J29</f>
        <v>0</v>
      </c>
      <c r="AL29" s="75">
        <f>SUM(AI29:AK29)</f>
        <v>73.21152778196668</v>
      </c>
      <c r="AM29">
        <f>AI29/AL29</f>
        <v>0.99981292209959516</v>
      </c>
      <c r="AN29">
        <f t="shared" ref="AN29:AO29" si="8">AJ29/AM29</f>
        <v>1.3698821649681938E-2</v>
      </c>
      <c r="AO29">
        <f t="shared" si="8"/>
        <v>0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1"/>
  <dimension ref="A1:AL29"/>
  <sheetViews>
    <sheetView zoomScale="55" zoomScaleNormal="55" workbookViewId="0">
      <selection sqref="A1:XFD1048576"/>
    </sheetView>
  </sheetViews>
  <sheetFormatPr defaultRowHeight="15" x14ac:dyDescent="0.25"/>
  <cols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103" t="s">
        <v>39</v>
      </c>
      <c r="D1" s="104"/>
      <c r="E1" s="104"/>
      <c r="H1" s="105" t="s">
        <v>41</v>
      </c>
      <c r="I1" s="7" t="s">
        <v>42</v>
      </c>
      <c r="J1" s="7" t="s">
        <v>43</v>
      </c>
      <c r="K1" s="105" t="s">
        <v>44</v>
      </c>
      <c r="L1" s="105" t="s">
        <v>45</v>
      </c>
      <c r="N1" s="78" t="s">
        <v>46</v>
      </c>
      <c r="O1" s="82">
        <f>8.314/1000</f>
        <v>8.3140000000000002E-3</v>
      </c>
    </row>
    <row r="2" spans="1:37" ht="15.75" thickBot="1" x14ac:dyDescent="0.3">
      <c r="C2" s="78" t="s">
        <v>0</v>
      </c>
      <c r="D2" s="81" t="s">
        <v>1</v>
      </c>
      <c r="E2" s="82" t="s">
        <v>2</v>
      </c>
      <c r="H2" s="106"/>
      <c r="I2" s="107" t="s">
        <v>47</v>
      </c>
      <c r="J2" s="107"/>
      <c r="K2" s="106"/>
      <c r="L2" s="106"/>
    </row>
    <row r="3" spans="1:37" ht="15.75" thickBot="1" x14ac:dyDescent="0.3">
      <c r="A3" s="83" t="s">
        <v>0</v>
      </c>
      <c r="B3" s="25" t="s">
        <v>3</v>
      </c>
      <c r="C3" s="83">
        <v>20.840540000000001</v>
      </c>
      <c r="D3" s="24">
        <v>-2624.5250000000001</v>
      </c>
      <c r="E3" s="25">
        <v>-46.151710000000001</v>
      </c>
      <c r="H3" s="107" t="s">
        <v>48</v>
      </c>
      <c r="I3" s="107"/>
      <c r="J3" s="107"/>
      <c r="K3" s="107"/>
      <c r="L3" s="107"/>
    </row>
    <row r="4" spans="1:37" x14ac:dyDescent="0.25">
      <c r="A4" s="84" t="s">
        <v>1</v>
      </c>
      <c r="B4" s="85" t="s">
        <v>4</v>
      </c>
      <c r="C4" s="84">
        <v>23.534700000000001</v>
      </c>
      <c r="D4" s="6">
        <v>-3661.4679999999998</v>
      </c>
      <c r="E4" s="85">
        <v>-32.770009999999999</v>
      </c>
      <c r="H4" s="8" t="s">
        <v>49</v>
      </c>
      <c r="I4" s="9">
        <v>5.5736999999999997</v>
      </c>
      <c r="J4" s="9">
        <v>7.4991000000000003</v>
      </c>
      <c r="K4" s="8">
        <v>6.4999999999999997E-3</v>
      </c>
      <c r="L4" s="8">
        <v>0.4</v>
      </c>
    </row>
    <row r="5" spans="1:37" ht="15.75" thickBot="1" x14ac:dyDescent="0.3">
      <c r="A5" s="86" t="s">
        <v>2</v>
      </c>
      <c r="B5" s="29" t="s">
        <v>5</v>
      </c>
      <c r="C5" s="86" t="s">
        <v>40</v>
      </c>
      <c r="D5" s="28" t="s">
        <v>40</v>
      </c>
      <c r="E5" s="29" t="s">
        <v>40</v>
      </c>
      <c r="H5" s="10" t="s">
        <v>50</v>
      </c>
      <c r="I5" s="11">
        <v>19.269400000000001</v>
      </c>
      <c r="J5" s="11">
        <v>16.212</v>
      </c>
      <c r="K5" s="10"/>
      <c r="L5" s="10"/>
    </row>
    <row r="6" spans="1:37" ht="15.75" thickBot="1" x14ac:dyDescent="0.3">
      <c r="A6" s="77" t="s">
        <v>38</v>
      </c>
      <c r="B6">
        <v>4</v>
      </c>
      <c r="H6" s="12" t="s">
        <v>51</v>
      </c>
      <c r="I6" s="13">
        <v>10.6456</v>
      </c>
      <c r="J6" s="13">
        <v>0.56320000000000003</v>
      </c>
      <c r="K6" s="14"/>
      <c r="L6" s="14"/>
    </row>
    <row r="7" spans="1:37" ht="15.75" thickBot="1" x14ac:dyDescent="0.3">
      <c r="AI7" s="5"/>
      <c r="AJ7" s="5"/>
      <c r="AK7" s="5"/>
    </row>
    <row r="8" spans="1:37" ht="15.75" thickBot="1" x14ac:dyDescent="0.3">
      <c r="O8" s="100" t="s">
        <v>81</v>
      </c>
      <c r="P8" s="101"/>
      <c r="Q8" s="102"/>
      <c r="AG8" s="70"/>
      <c r="AH8" s="70"/>
      <c r="AI8" s="70"/>
      <c r="AJ8" s="6"/>
    </row>
    <row r="9" spans="1:37" ht="15.75" thickBot="1" x14ac:dyDescent="0.3">
      <c r="B9" s="3"/>
      <c r="C9" s="3" t="s">
        <v>6</v>
      </c>
      <c r="D9" s="97" t="s">
        <v>7</v>
      </c>
      <c r="E9" s="16" t="s">
        <v>8</v>
      </c>
      <c r="F9" s="97" t="s">
        <v>9</v>
      </c>
      <c r="G9" s="97" t="s">
        <v>10</v>
      </c>
      <c r="H9" s="3" t="s">
        <v>35</v>
      </c>
      <c r="I9" s="97" t="s">
        <v>36</v>
      </c>
      <c r="J9" s="97" t="s">
        <v>37</v>
      </c>
      <c r="K9" s="3" t="s">
        <v>11</v>
      </c>
      <c r="L9" s="3" t="s">
        <v>12</v>
      </c>
      <c r="M9" s="97" t="s">
        <v>13</v>
      </c>
      <c r="N9" s="3" t="s">
        <v>82</v>
      </c>
      <c r="O9" s="3" t="s">
        <v>11</v>
      </c>
      <c r="P9" s="97" t="s">
        <v>12</v>
      </c>
      <c r="Q9" s="97" t="s">
        <v>13</v>
      </c>
      <c r="S9" s="3"/>
      <c r="T9" s="3" t="s">
        <v>6</v>
      </c>
      <c r="U9" s="97" t="s">
        <v>7</v>
      </c>
      <c r="V9" s="16" t="s">
        <v>8</v>
      </c>
      <c r="W9" s="71" t="s">
        <v>9</v>
      </c>
      <c r="X9" s="97" t="s">
        <v>10</v>
      </c>
      <c r="Y9" s="3" t="s">
        <v>35</v>
      </c>
      <c r="Z9" s="97" t="s">
        <v>36</v>
      </c>
      <c r="AA9" s="97" t="s">
        <v>37</v>
      </c>
      <c r="AB9" s="3" t="s">
        <v>83</v>
      </c>
      <c r="AC9" s="97" t="s">
        <v>84</v>
      </c>
      <c r="AD9" s="97" t="s">
        <v>85</v>
      </c>
      <c r="AE9" s="3" t="s">
        <v>86</v>
      </c>
      <c r="AF9" s="96" t="s">
        <v>97</v>
      </c>
      <c r="AG9" s="6"/>
      <c r="AH9" s="6"/>
      <c r="AI9" s="6"/>
      <c r="AJ9" s="6"/>
    </row>
    <row r="10" spans="1:37" x14ac:dyDescent="0.25">
      <c r="B10" s="72"/>
      <c r="C10" s="72">
        <v>54.849227991805613</v>
      </c>
      <c r="D10" s="73">
        <v>327.99922799180558</v>
      </c>
      <c r="E10" s="72">
        <v>101.58779543959922</v>
      </c>
      <c r="F10" s="17">
        <v>68.362563759190508</v>
      </c>
      <c r="G10" s="72">
        <v>0</v>
      </c>
      <c r="H10" s="72">
        <v>12020.32227798424</v>
      </c>
      <c r="I10" s="72">
        <v>46.911771923690395</v>
      </c>
      <c r="J10" s="72">
        <v>0</v>
      </c>
      <c r="K10" s="72">
        <f>MMULT(L20,I20)</f>
        <v>5.159531418077527E-6</v>
      </c>
      <c r="L10" s="72">
        <f>MMULT(L22,I22)</f>
        <v>1.9994575354711167E-2</v>
      </c>
      <c r="M10" s="72">
        <f>MMULT(L24,I24)</f>
        <v>0.98</v>
      </c>
      <c r="N10" s="16">
        <f>SUM(K10:M10)</f>
        <v>0.99999973488612925</v>
      </c>
      <c r="O10" s="72">
        <f>K10/(K10+L10+M10)</f>
        <v>5.159532785941235E-6</v>
      </c>
      <c r="P10" s="72">
        <f>L10/(K10+L10+M10)</f>
        <v>1.999458065555184E-2</v>
      </c>
      <c r="Q10" s="72">
        <f>M10/(K10+L10+M10)</f>
        <v>0.98000025981166217</v>
      </c>
      <c r="S10" s="72"/>
      <c r="T10" s="72">
        <v>54.849227991805613</v>
      </c>
      <c r="U10" s="73">
        <f>T10+273.15</f>
        <v>327.99922799180558</v>
      </c>
      <c r="V10" s="72">
        <f>EXP(C3+D3/(U10+E3))/1000</f>
        <v>101.58779543959922</v>
      </c>
      <c r="W10" s="72">
        <f>EXP(C4+D4/(U10+E4))/1000</f>
        <v>68.362563759190508</v>
      </c>
      <c r="X10" s="72">
        <v>0</v>
      </c>
      <c r="Y10" s="72">
        <f>V10*AA14/$B$6</f>
        <v>12020.323115730071</v>
      </c>
      <c r="Z10" s="72">
        <f t="shared" ref="Z10:AA10" si="0">W10*AB14/$B$6</f>
        <v>46.911771183940935</v>
      </c>
      <c r="AA10" s="72">
        <f t="shared" si="0"/>
        <v>0</v>
      </c>
      <c r="AB10" s="72">
        <f>(O10*AA14*V10)/$B$6</f>
        <v>6.2019251213216602E-2</v>
      </c>
      <c r="AC10" s="72">
        <f t="shared" ref="AC10:AD10" si="1">(P10*AB14*W10)/$B$6</f>
        <v>0.93798119263209967</v>
      </c>
      <c r="AD10" s="72">
        <f t="shared" si="1"/>
        <v>0</v>
      </c>
      <c r="AE10" s="72">
        <f>SUM(AB10:AD10)</f>
        <v>1.0000004438453163</v>
      </c>
      <c r="AF10">
        <f>V10*O10*AA14+W10*P10*AB14+Q10*X10*AC14</f>
        <v>4.0000017753812651</v>
      </c>
    </row>
    <row r="11" spans="1:37" ht="15.75" thickBot="1" x14ac:dyDescent="0.3"/>
    <row r="12" spans="1:37" ht="15.75" thickBot="1" x14ac:dyDescent="0.3">
      <c r="C12" s="100" t="s">
        <v>87</v>
      </c>
      <c r="D12" s="101"/>
      <c r="E12" s="102"/>
      <c r="AA12" s="100" t="s">
        <v>88</v>
      </c>
      <c r="AB12" s="101"/>
      <c r="AC12" s="102"/>
    </row>
    <row r="13" spans="1:37" ht="15.75" thickBot="1" x14ac:dyDescent="0.3">
      <c r="B13" s="3"/>
      <c r="C13" s="3" t="s">
        <v>32</v>
      </c>
      <c r="D13" s="97" t="s">
        <v>33</v>
      </c>
      <c r="E13" s="97" t="s">
        <v>34</v>
      </c>
      <c r="F13" s="3" t="s">
        <v>14</v>
      </c>
      <c r="G13" s="97" t="s">
        <v>15</v>
      </c>
      <c r="H13" s="97" t="s">
        <v>16</v>
      </c>
      <c r="I13" s="97" t="s">
        <v>17</v>
      </c>
      <c r="J13" s="97" t="s">
        <v>18</v>
      </c>
      <c r="K13" s="97" t="s">
        <v>19</v>
      </c>
      <c r="L13" s="3" t="s">
        <v>20</v>
      </c>
      <c r="M13" s="97" t="s">
        <v>21</v>
      </c>
      <c r="N13" s="97" t="s">
        <v>22</v>
      </c>
      <c r="O13" s="97" t="s">
        <v>23</v>
      </c>
      <c r="P13" s="97" t="s">
        <v>24</v>
      </c>
      <c r="Q13" s="97" t="s">
        <v>25</v>
      </c>
      <c r="R13" s="4" t="s">
        <v>26</v>
      </c>
      <c r="S13" s="74" t="s">
        <v>27</v>
      </c>
      <c r="T13" s="74" t="s">
        <v>28</v>
      </c>
      <c r="U13" s="4" t="s">
        <v>29</v>
      </c>
      <c r="V13" s="74" t="s">
        <v>30</v>
      </c>
      <c r="W13" s="74" t="s">
        <v>31</v>
      </c>
      <c r="X13" s="4" t="s">
        <v>89</v>
      </c>
      <c r="Y13" s="74" t="s">
        <v>90</v>
      </c>
      <c r="Z13" s="74" t="s">
        <v>91</v>
      </c>
      <c r="AA13" s="4" t="s">
        <v>32</v>
      </c>
      <c r="AB13" s="74" t="s">
        <v>33</v>
      </c>
      <c r="AC13" s="74" t="s">
        <v>34</v>
      </c>
    </row>
    <row r="14" spans="1:37" x14ac:dyDescent="0.25">
      <c r="B14" s="72"/>
      <c r="C14" s="72">
        <v>1</v>
      </c>
      <c r="D14" s="72">
        <v>1</v>
      </c>
      <c r="E14" s="72">
        <v>1</v>
      </c>
      <c r="F14" s="72">
        <f>I4/$O$1/$D$10</f>
        <v>2.0439051961856545</v>
      </c>
      <c r="G14" s="72">
        <f>J4/$O$1/$D$10</f>
        <v>2.7499595343696006</v>
      </c>
      <c r="H14" s="72">
        <f>I5/$O$1/$D$10</f>
        <v>7.0661906430880475</v>
      </c>
      <c r="I14" s="72">
        <f>J5/$O$1/$D$10</f>
        <v>5.9450259326052404</v>
      </c>
      <c r="J14" s="72">
        <f>I6/$O$1/$D$10</f>
        <v>3.9037976849335281</v>
      </c>
      <c r="K14" s="72">
        <f>J6/$O$1/$D$10</f>
        <v>0.20652841137695976</v>
      </c>
      <c r="L14" s="72">
        <f>EXP(-$L$4*F14)</f>
        <v>0.44150670222566574</v>
      </c>
      <c r="M14" s="72">
        <f t="shared" ref="M14:Q14" si="2">EXP(-$L$4*G14)</f>
        <v>0.33287647167698242</v>
      </c>
      <c r="N14" s="72">
        <f t="shared" si="2"/>
        <v>5.9221166590621384E-2</v>
      </c>
      <c r="O14" s="72">
        <f t="shared" si="2"/>
        <v>9.2734901941950706E-2</v>
      </c>
      <c r="P14" s="72">
        <f t="shared" si="2"/>
        <v>0.20981710129490744</v>
      </c>
      <c r="Q14" s="72">
        <f t="shared" si="2"/>
        <v>0.92070889781443976</v>
      </c>
      <c r="R14" s="72">
        <f>P10*G14*M14+Q10*I14*O14</f>
        <v>0.55858828789197745</v>
      </c>
      <c r="S14" s="72">
        <f>O10*F14*L14+Q10*K14*Q14</f>
        <v>0.18635420044122797</v>
      </c>
      <c r="T14" s="72">
        <f>O10*H14*N14+P10*J14*P14</f>
        <v>1.6379390489835232E-2</v>
      </c>
      <c r="U14" s="72">
        <f>O10+M14*P10+Q10*O14</f>
        <v>9.754111299078759E-2</v>
      </c>
      <c r="V14" s="72">
        <f>O10*L14+P10+Q10*Q14</f>
        <v>0.92229181769291724</v>
      </c>
      <c r="W14" s="72">
        <f>O10*N14+P10*P14+Q10</f>
        <v>0.98419577031996797</v>
      </c>
      <c r="X14">
        <f>R14/U14-O10*R14/U14^2+P10*L14/V14*(F14-S14/V14)+Q10*N14/W14*(H14-T14/W14)</f>
        <v>6.1597250460531443</v>
      </c>
      <c r="Y14">
        <f>S14/V14-P10*S14/V14^2+O10*M14/U14*(G14-R14/U14)+Q10*P14/W14*(J14-T14/W14)</f>
        <v>1.0097376284772488</v>
      </c>
      <c r="Z14">
        <f>T14/W14-Q10*T14/W14^2+O10*O14/U14*(I14-R14/U14)+P10*Q14/V14*(K14-S14/V14)</f>
        <v>1.6129467347323666E-4</v>
      </c>
      <c r="AA14" s="16">
        <f>EXP(X14)</f>
        <v>473.29792181097037</v>
      </c>
      <c r="AB14" s="16">
        <f t="shared" ref="AB14:AC14" si="3">EXP(Y14)</f>
        <v>2.7448807419914365</v>
      </c>
      <c r="AC14" s="16">
        <f t="shared" si="3"/>
        <v>1.0001613076821585</v>
      </c>
    </row>
    <row r="18" spans="1:38" ht="15.75" thickBot="1" x14ac:dyDescent="0.3"/>
    <row r="19" spans="1:38" ht="15.75" thickBot="1" x14ac:dyDescent="0.3">
      <c r="B19" s="1" t="s">
        <v>55</v>
      </c>
      <c r="C19" s="20" t="s">
        <v>11</v>
      </c>
      <c r="D19" s="20" t="s">
        <v>12</v>
      </c>
      <c r="E19" s="2" t="s">
        <v>13</v>
      </c>
      <c r="G19" s="1" t="s">
        <v>0</v>
      </c>
      <c r="I19" s="18" t="s">
        <v>92</v>
      </c>
      <c r="K19" s="1" t="s">
        <v>93</v>
      </c>
    </row>
    <row r="20" spans="1:38" ht="15.75" thickBot="1" x14ac:dyDescent="0.3">
      <c r="A20" s="18" t="s">
        <v>57</v>
      </c>
      <c r="B20" s="79">
        <v>20.690942281580988</v>
      </c>
      <c r="C20" s="68">
        <v>3.6193341415735866E-2</v>
      </c>
      <c r="D20">
        <v>0.55568361686280054</v>
      </c>
      <c r="E20">
        <v>0.40812304172146363</v>
      </c>
      <c r="H20" s="78">
        <f>$B$22+$B$21*H10</f>
        <v>145143.866279543</v>
      </c>
      <c r="I20" s="87">
        <f>$B$20*C20</f>
        <v>0.7488743382105455</v>
      </c>
      <c r="L20" s="77">
        <f>MINVERSE(H20)</f>
        <v>6.8897158773077476E-6</v>
      </c>
    </row>
    <row r="21" spans="1:38" ht="15.75" thickBot="1" x14ac:dyDescent="0.3">
      <c r="A21" s="22" t="s">
        <v>75</v>
      </c>
      <c r="B21" s="79">
        <f>B20-B22</f>
        <v>12.074156261129893</v>
      </c>
      <c r="C21">
        <f>AB10</f>
        <v>6.2019251213216602E-2</v>
      </c>
      <c r="D21">
        <f t="shared" ref="D21:E21" si="4">AC10</f>
        <v>0.93798119263209967</v>
      </c>
      <c r="E21">
        <f t="shared" si="4"/>
        <v>0</v>
      </c>
      <c r="G21" s="1" t="s">
        <v>1</v>
      </c>
      <c r="I21" s="22" t="s">
        <v>92</v>
      </c>
      <c r="K21" s="1" t="s">
        <v>93</v>
      </c>
    </row>
    <row r="22" spans="1:38" ht="15.75" thickBot="1" x14ac:dyDescent="0.3">
      <c r="A22" s="27" t="s">
        <v>76</v>
      </c>
      <c r="B22" s="80">
        <f>B20*E20/E22</f>
        <v>8.6167860204510944</v>
      </c>
      <c r="C22" s="75">
        <f>O10</f>
        <v>5.159532785941235E-6</v>
      </c>
      <c r="D22" s="75">
        <f>P10</f>
        <v>1.999458065555184E-2</v>
      </c>
      <c r="E22">
        <v>0.98</v>
      </c>
      <c r="H22" s="78">
        <f>$B$22+$B$21*I10</f>
        <v>575.03685071357495</v>
      </c>
      <c r="I22" s="87">
        <f>$B$20*D20</f>
        <v>11.49761764332837</v>
      </c>
      <c r="L22" s="77">
        <f>MINVERSE(H22)</f>
        <v>1.7390189841904561E-3</v>
      </c>
    </row>
    <row r="23" spans="1:38" ht="15.75" thickBot="1" x14ac:dyDescent="0.3">
      <c r="G23" s="1" t="s">
        <v>2</v>
      </c>
      <c r="I23" s="22" t="s">
        <v>92</v>
      </c>
      <c r="K23" s="1" t="s">
        <v>93</v>
      </c>
    </row>
    <row r="24" spans="1:38" ht="15.75" thickBot="1" x14ac:dyDescent="0.3">
      <c r="H24" s="78">
        <f>$B$22+$B$21*J10</f>
        <v>8.6167860204510944</v>
      </c>
      <c r="I24" s="87">
        <f>$B$20*E20</f>
        <v>8.4444503000420728</v>
      </c>
      <c r="L24" s="77">
        <f>MINVERSE(H24)</f>
        <v>0.11605255110508701</v>
      </c>
    </row>
    <row r="27" spans="1:38" ht="15.75" thickBot="1" x14ac:dyDescent="0.3"/>
    <row r="28" spans="1:38" ht="15.75" thickBot="1" x14ac:dyDescent="0.3">
      <c r="C28" s="3" t="s">
        <v>6</v>
      </c>
      <c r="D28" s="97" t="s">
        <v>7</v>
      </c>
      <c r="E28" s="16" t="s">
        <v>8</v>
      </c>
      <c r="F28" s="97" t="s">
        <v>9</v>
      </c>
      <c r="G28" s="97" t="s">
        <v>10</v>
      </c>
      <c r="H28" s="3" t="s">
        <v>11</v>
      </c>
      <c r="I28" s="3" t="s">
        <v>12</v>
      </c>
      <c r="J28" s="97" t="s">
        <v>13</v>
      </c>
      <c r="K28" s="3" t="s">
        <v>14</v>
      </c>
      <c r="L28" s="97" t="s">
        <v>15</v>
      </c>
      <c r="M28" s="97" t="s">
        <v>16</v>
      </c>
      <c r="N28" s="97" t="s">
        <v>17</v>
      </c>
      <c r="O28" s="97" t="s">
        <v>18</v>
      </c>
      <c r="P28" s="97" t="s">
        <v>19</v>
      </c>
      <c r="Q28" s="3" t="s">
        <v>20</v>
      </c>
      <c r="R28" s="97" t="s">
        <v>21</v>
      </c>
      <c r="S28" s="97" t="s">
        <v>22</v>
      </c>
      <c r="T28" s="97" t="s">
        <v>23</v>
      </c>
      <c r="U28" s="97" t="s">
        <v>24</v>
      </c>
      <c r="V28" s="97" t="s">
        <v>25</v>
      </c>
      <c r="W28" s="4" t="s">
        <v>26</v>
      </c>
      <c r="X28" s="74" t="s">
        <v>27</v>
      </c>
      <c r="Y28" s="74" t="s">
        <v>28</v>
      </c>
      <c r="Z28" s="4" t="s">
        <v>29</v>
      </c>
      <c r="AA28" s="74" t="s">
        <v>30</v>
      </c>
      <c r="AB28" s="74" t="s">
        <v>31</v>
      </c>
      <c r="AC28" s="4" t="s">
        <v>89</v>
      </c>
      <c r="AD28" s="74" t="s">
        <v>90</v>
      </c>
      <c r="AE28" s="74" t="s">
        <v>91</v>
      </c>
      <c r="AF28" s="4" t="s">
        <v>32</v>
      </c>
      <c r="AG28" s="74" t="s">
        <v>33</v>
      </c>
      <c r="AH28" s="74" t="s">
        <v>34</v>
      </c>
      <c r="AI28" s="88" t="s">
        <v>94</v>
      </c>
      <c r="AJ28" s="88" t="s">
        <v>95</v>
      </c>
      <c r="AK28" s="88" t="s">
        <v>96</v>
      </c>
      <c r="AL28" s="88" t="s">
        <v>38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75">
        <f>C22</f>
        <v>5.159532785941235E-6</v>
      </c>
      <c r="I29" s="75">
        <f t="shared" ref="I29:J29" si="5">D22</f>
        <v>1.999458065555184E-2</v>
      </c>
      <c r="J29" s="75">
        <f t="shared" si="5"/>
        <v>0.98</v>
      </c>
      <c r="K29" s="72">
        <f>I4/$O$1/$D$29</f>
        <v>2.1071800296631609</v>
      </c>
      <c r="L29" s="72">
        <f>J4/$O$1/$D$29</f>
        <v>2.8350922655412045</v>
      </c>
      <c r="M29" s="72">
        <f>I5/$O$1/$D$29</f>
        <v>7.2849444468829168</v>
      </c>
      <c r="N29" s="72">
        <f>J5/$O$1/$D$29</f>
        <v>6.1290709297054313</v>
      </c>
      <c r="O29" s="72">
        <f>I6/$O$1/$D$29</f>
        <v>4.0246507210259157</v>
      </c>
      <c r="P29" s="72">
        <f>J6/$O$1/$D$29</f>
        <v>0.21292207917654202</v>
      </c>
      <c r="Q29" s="72">
        <f>EXP(-$L$4*K29)</f>
        <v>0.43047242445194145</v>
      </c>
      <c r="R29" s="72">
        <f t="shared" ref="R29:V29" si="6">EXP(-$L$4*L29)</f>
        <v>0.32173183009668638</v>
      </c>
      <c r="S29" s="72">
        <f t="shared" si="6"/>
        <v>5.425946787469077E-2</v>
      </c>
      <c r="T29" s="72">
        <f t="shared" si="6"/>
        <v>8.6153182795249569E-2</v>
      </c>
      <c r="U29" s="72">
        <f t="shared" si="6"/>
        <v>0.19991554264238187</v>
      </c>
      <c r="V29" s="72">
        <f t="shared" si="6"/>
        <v>0.91835722352796123</v>
      </c>
      <c r="W29" s="89">
        <f>I29*L29*R29+J29*N29*T29</f>
        <v>0.53571603407251511</v>
      </c>
      <c r="X29" s="89">
        <f>H29*K29*Q29+J29*P29*V29</f>
        <v>0.1916324389951046</v>
      </c>
      <c r="Y29" s="89">
        <f>H29*M29*S29+I29*O29*U29</f>
        <v>1.6089483750907928E-2</v>
      </c>
      <c r="Z29" s="89">
        <f>H29+R29*I29+J29*T29</f>
        <v>9.0868171698457012E-2</v>
      </c>
      <c r="AA29" s="89">
        <f>H29*Q29+I29+J29*V29</f>
        <v>0.91998688074954127</v>
      </c>
      <c r="AB29" s="89">
        <f>H29*S29+I29*U29+J29</f>
        <v>0.98399750739516489</v>
      </c>
      <c r="AC29">
        <f>W29/Z29-H29*W29/Z29^2+I29*Q29/AA29*(K29-X29/AA29)+J29*S29/AB29*(M29-Y29/AB29)</f>
        <v>6.3057484060349722</v>
      </c>
      <c r="AD29">
        <f>X29/AA29-I29*X29/AA29^2+H29*R29/Z29*(L29-W29/Z29)+J29*U29/AB29*(O29-Y29/AB29)</f>
        <v>1.0017821154249027</v>
      </c>
      <c r="AE29">
        <f>Y29/AB29-J29*Y29/AB29^2+H29*T29/Z29*(N29-W29/Z29)+I29*V29/AA29*(P29-X29/AA29)</f>
        <v>1.5984004563351301E-4</v>
      </c>
      <c r="AF29" s="16">
        <f>EXP(AC29)</f>
        <v>547.71134530965332</v>
      </c>
      <c r="AG29" s="16">
        <f t="shared" ref="AG29:AH29" si="7">EXP(AD29)</f>
        <v>2.7231304395438372</v>
      </c>
      <c r="AH29" s="16">
        <f t="shared" si="7"/>
        <v>1.0001598528207343</v>
      </c>
      <c r="AI29" s="75">
        <f>AF29*E29*H29</f>
        <v>0.20491069420814584</v>
      </c>
      <c r="AJ29" s="75">
        <f>AG29*F29*I29</f>
        <v>2.4260953250398871</v>
      </c>
      <c r="AK29" s="75">
        <f>AH29*G29*J29</f>
        <v>0</v>
      </c>
      <c r="AL29">
        <f>SUM(AI29:AK29)</f>
        <v>2.6310060192480331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2"/>
  <dimension ref="A1:AL29"/>
  <sheetViews>
    <sheetView zoomScale="55" zoomScaleNormal="55" workbookViewId="0">
      <selection activeCell="R19" sqref="R19"/>
    </sheetView>
  </sheetViews>
  <sheetFormatPr defaultRowHeight="15" x14ac:dyDescent="0.25"/>
  <cols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103" t="s">
        <v>39</v>
      </c>
      <c r="D1" s="104"/>
      <c r="E1" s="104"/>
      <c r="H1" s="105" t="s">
        <v>41</v>
      </c>
      <c r="I1" s="7" t="s">
        <v>42</v>
      </c>
      <c r="J1" s="7" t="s">
        <v>43</v>
      </c>
      <c r="K1" s="105" t="s">
        <v>44</v>
      </c>
      <c r="L1" s="105" t="s">
        <v>45</v>
      </c>
      <c r="N1" s="78" t="s">
        <v>46</v>
      </c>
      <c r="O1" s="82">
        <f>8.314/1000</f>
        <v>8.3140000000000002E-3</v>
      </c>
    </row>
    <row r="2" spans="1:37" ht="15.75" thickBot="1" x14ac:dyDescent="0.3">
      <c r="C2" s="78" t="s">
        <v>0</v>
      </c>
      <c r="D2" s="81" t="s">
        <v>1</v>
      </c>
      <c r="E2" s="82" t="s">
        <v>2</v>
      </c>
      <c r="H2" s="106"/>
      <c r="I2" s="107" t="s">
        <v>47</v>
      </c>
      <c r="J2" s="107"/>
      <c r="K2" s="106"/>
      <c r="L2" s="106"/>
    </row>
    <row r="3" spans="1:37" ht="15.75" thickBot="1" x14ac:dyDescent="0.3">
      <c r="A3" s="83" t="s">
        <v>0</v>
      </c>
      <c r="B3" s="25" t="s">
        <v>3</v>
      </c>
      <c r="C3" s="83">
        <v>20.840540000000001</v>
      </c>
      <c r="D3" s="24">
        <v>-2624.5250000000001</v>
      </c>
      <c r="E3" s="25">
        <v>-46.151710000000001</v>
      </c>
      <c r="H3" s="107" t="s">
        <v>48</v>
      </c>
      <c r="I3" s="107"/>
      <c r="J3" s="107"/>
      <c r="K3" s="107"/>
      <c r="L3" s="107"/>
    </row>
    <row r="4" spans="1:37" x14ac:dyDescent="0.25">
      <c r="A4" s="84" t="s">
        <v>1</v>
      </c>
      <c r="B4" s="85" t="s">
        <v>4</v>
      </c>
      <c r="C4" s="84">
        <v>23.534700000000001</v>
      </c>
      <c r="D4" s="6">
        <v>-3661.4679999999998</v>
      </c>
      <c r="E4" s="85">
        <v>-32.770009999999999</v>
      </c>
      <c r="H4" s="8" t="s">
        <v>49</v>
      </c>
      <c r="I4" s="9">
        <v>5.5736999999999997</v>
      </c>
      <c r="J4" s="9">
        <v>7.4991000000000003</v>
      </c>
      <c r="K4" s="8">
        <v>6.4999999999999997E-3</v>
      </c>
      <c r="L4" s="8">
        <v>0.4</v>
      </c>
    </row>
    <row r="5" spans="1:37" ht="15.75" thickBot="1" x14ac:dyDescent="0.3">
      <c r="A5" s="86" t="s">
        <v>2</v>
      </c>
      <c r="B5" s="29" t="s">
        <v>5</v>
      </c>
      <c r="C5" s="86" t="s">
        <v>40</v>
      </c>
      <c r="D5" s="28" t="s">
        <v>40</v>
      </c>
      <c r="E5" s="29" t="s">
        <v>40</v>
      </c>
      <c r="H5" s="10" t="s">
        <v>50</v>
      </c>
      <c r="I5" s="11">
        <v>19.269400000000001</v>
      </c>
      <c r="J5" s="11">
        <v>16.212</v>
      </c>
      <c r="K5" s="10"/>
      <c r="L5" s="10"/>
    </row>
    <row r="6" spans="1:37" ht="15.75" thickBot="1" x14ac:dyDescent="0.3">
      <c r="A6" s="77" t="s">
        <v>38</v>
      </c>
      <c r="B6">
        <v>7</v>
      </c>
      <c r="H6" s="12" t="s">
        <v>51</v>
      </c>
      <c r="I6" s="13">
        <v>10.6456</v>
      </c>
      <c r="J6" s="13">
        <v>0.56320000000000003</v>
      </c>
      <c r="K6" s="14"/>
      <c r="L6" s="14"/>
    </row>
    <row r="7" spans="1:37" ht="15.75" thickBot="1" x14ac:dyDescent="0.3">
      <c r="AI7" s="5"/>
      <c r="AJ7" s="5"/>
      <c r="AK7" s="5"/>
    </row>
    <row r="8" spans="1:37" ht="15.75" thickBot="1" x14ac:dyDescent="0.3">
      <c r="O8" s="100" t="s">
        <v>81</v>
      </c>
      <c r="P8" s="101"/>
      <c r="Q8" s="102"/>
      <c r="AG8" s="70"/>
      <c r="AH8" s="70"/>
      <c r="AI8" s="70"/>
      <c r="AJ8" s="6"/>
    </row>
    <row r="9" spans="1:37" ht="15.75" thickBot="1" x14ac:dyDescent="0.3">
      <c r="B9" s="3"/>
      <c r="C9" s="3" t="s">
        <v>6</v>
      </c>
      <c r="D9" s="97" t="s">
        <v>7</v>
      </c>
      <c r="E9" s="16" t="s">
        <v>8</v>
      </c>
      <c r="F9" s="97" t="s">
        <v>9</v>
      </c>
      <c r="G9" s="97" t="s">
        <v>10</v>
      </c>
      <c r="H9" s="3" t="s">
        <v>35</v>
      </c>
      <c r="I9" s="97" t="s">
        <v>36</v>
      </c>
      <c r="J9" s="97" t="s">
        <v>37</v>
      </c>
      <c r="K9" s="3" t="s">
        <v>11</v>
      </c>
      <c r="L9" s="3" t="s">
        <v>12</v>
      </c>
      <c r="M9" s="97" t="s">
        <v>13</v>
      </c>
      <c r="N9" s="3" t="s">
        <v>82</v>
      </c>
      <c r="O9" s="3" t="s">
        <v>11</v>
      </c>
      <c r="P9" s="97" t="s">
        <v>12</v>
      </c>
      <c r="Q9" s="97" t="s">
        <v>13</v>
      </c>
      <c r="S9" s="3"/>
      <c r="T9" s="3" t="s">
        <v>6</v>
      </c>
      <c r="U9" s="97" t="s">
        <v>7</v>
      </c>
      <c r="V9" s="16" t="s">
        <v>8</v>
      </c>
      <c r="W9" s="71" t="s">
        <v>9</v>
      </c>
      <c r="X9" s="97" t="s">
        <v>10</v>
      </c>
      <c r="Y9" s="3" t="s">
        <v>35</v>
      </c>
      <c r="Z9" s="97" t="s">
        <v>36</v>
      </c>
      <c r="AA9" s="97" t="s">
        <v>37</v>
      </c>
      <c r="AB9" s="3" t="s">
        <v>83</v>
      </c>
      <c r="AC9" s="97" t="s">
        <v>84</v>
      </c>
      <c r="AD9" s="97" t="s">
        <v>85</v>
      </c>
      <c r="AE9" s="3" t="s">
        <v>86</v>
      </c>
      <c r="AF9" s="96" t="s">
        <v>97</v>
      </c>
      <c r="AG9" s="6"/>
      <c r="AH9" s="6"/>
      <c r="AI9" s="6"/>
      <c r="AJ9" s="6"/>
    </row>
    <row r="10" spans="1:37" x14ac:dyDescent="0.25">
      <c r="B10" s="72"/>
      <c r="C10" s="72">
        <v>68.558612509327077</v>
      </c>
      <c r="D10" s="73">
        <v>341.70861250932705</v>
      </c>
      <c r="E10" s="72">
        <v>156.46829249252411</v>
      </c>
      <c r="F10" s="17">
        <v>118.53150650740808</v>
      </c>
      <c r="G10" s="72">
        <v>0</v>
      </c>
      <c r="H10" s="72">
        <v>8755.457814372201</v>
      </c>
      <c r="I10" s="72">
        <v>46.920406782018162</v>
      </c>
      <c r="J10" s="72">
        <v>0</v>
      </c>
      <c r="K10" s="72">
        <f>MMULT(L20,I20)</f>
        <v>7.0833369116143261E-6</v>
      </c>
      <c r="L10" s="72">
        <f>MMULT(L22,I22)</f>
        <v>1.9990950840700773E-2</v>
      </c>
      <c r="M10" s="72">
        <f>MMULT(L24,I24)</f>
        <v>0.98</v>
      </c>
      <c r="N10" s="16">
        <f>SUM(K10:M10)</f>
        <v>0.99999803417761235</v>
      </c>
      <c r="O10" s="72">
        <f>K10/(K10+L10+M10)</f>
        <v>7.0833508362239798E-6</v>
      </c>
      <c r="P10" s="72">
        <f>L10/(K10+L10+M10)</f>
        <v>1.999099013943674E-2</v>
      </c>
      <c r="Q10" s="72">
        <f>M10/(K10+L10+M10)</f>
        <v>0.98000192650972706</v>
      </c>
      <c r="S10" s="72"/>
      <c r="T10" s="72">
        <v>68.558612509327077</v>
      </c>
      <c r="U10" s="73">
        <f>T10+273.15</f>
        <v>341.70861250932705</v>
      </c>
      <c r="V10" s="72">
        <f>EXP(C3+D3/(U10+E3))/1000</f>
        <v>156.46829249252411</v>
      </c>
      <c r="W10" s="72">
        <f>EXP(C4+D4/(U10+E4))/1000</f>
        <v>118.53150650740808</v>
      </c>
      <c r="X10" s="72">
        <v>0</v>
      </c>
      <c r="Y10" s="72">
        <f>V10*AA14/$B$6</f>
        <v>8755.4629357980775</v>
      </c>
      <c r="Z10" s="72">
        <f t="shared" ref="Z10:AA10" si="0">W10*AB14/$B$6</f>
        <v>46.920401526537091</v>
      </c>
      <c r="AA10" s="72">
        <f t="shared" si="0"/>
        <v>0</v>
      </c>
      <c r="AB10" s="72">
        <f>(O10*AA14*V10)/$B$6</f>
        <v>6.201801570781338E-2</v>
      </c>
      <c r="AC10" s="72">
        <f t="shared" ref="AC10:AD10" si="1">(P10*AB14*W10)/$B$6</f>
        <v>0.93798528425541561</v>
      </c>
      <c r="AD10" s="72">
        <f t="shared" si="1"/>
        <v>0</v>
      </c>
      <c r="AE10" s="72">
        <f>SUM(AB10:AD10)</f>
        <v>1.0000032999632289</v>
      </c>
      <c r="AF10">
        <f>V10*O10*AA14+W10*P10*AB14+Q10*X10*AC14</f>
        <v>7.0000230997426023</v>
      </c>
    </row>
    <row r="11" spans="1:37" ht="15.75" thickBot="1" x14ac:dyDescent="0.3"/>
    <row r="12" spans="1:37" ht="15.75" thickBot="1" x14ac:dyDescent="0.3">
      <c r="C12" s="100" t="s">
        <v>87</v>
      </c>
      <c r="D12" s="101"/>
      <c r="E12" s="102"/>
      <c r="AA12" s="100" t="s">
        <v>88</v>
      </c>
      <c r="AB12" s="101"/>
      <c r="AC12" s="102"/>
    </row>
    <row r="13" spans="1:37" ht="15.75" thickBot="1" x14ac:dyDescent="0.3">
      <c r="B13" s="3"/>
      <c r="C13" s="3" t="s">
        <v>32</v>
      </c>
      <c r="D13" s="97" t="s">
        <v>33</v>
      </c>
      <c r="E13" s="97" t="s">
        <v>34</v>
      </c>
      <c r="F13" s="3" t="s">
        <v>14</v>
      </c>
      <c r="G13" s="97" t="s">
        <v>15</v>
      </c>
      <c r="H13" s="97" t="s">
        <v>16</v>
      </c>
      <c r="I13" s="97" t="s">
        <v>17</v>
      </c>
      <c r="J13" s="97" t="s">
        <v>18</v>
      </c>
      <c r="K13" s="97" t="s">
        <v>19</v>
      </c>
      <c r="L13" s="3" t="s">
        <v>20</v>
      </c>
      <c r="M13" s="97" t="s">
        <v>21</v>
      </c>
      <c r="N13" s="97" t="s">
        <v>22</v>
      </c>
      <c r="O13" s="97" t="s">
        <v>23</v>
      </c>
      <c r="P13" s="97" t="s">
        <v>24</v>
      </c>
      <c r="Q13" s="97" t="s">
        <v>25</v>
      </c>
      <c r="R13" s="4" t="s">
        <v>26</v>
      </c>
      <c r="S13" s="74" t="s">
        <v>27</v>
      </c>
      <c r="T13" s="74" t="s">
        <v>28</v>
      </c>
      <c r="U13" s="4" t="s">
        <v>29</v>
      </c>
      <c r="V13" s="74" t="s">
        <v>30</v>
      </c>
      <c r="W13" s="74" t="s">
        <v>31</v>
      </c>
      <c r="X13" s="4" t="s">
        <v>89</v>
      </c>
      <c r="Y13" s="74" t="s">
        <v>90</v>
      </c>
      <c r="Z13" s="74" t="s">
        <v>91</v>
      </c>
      <c r="AA13" s="4" t="s">
        <v>32</v>
      </c>
      <c r="AB13" s="74" t="s">
        <v>33</v>
      </c>
      <c r="AC13" s="74" t="s">
        <v>34</v>
      </c>
    </row>
    <row r="14" spans="1:37" x14ac:dyDescent="0.25">
      <c r="B14" s="72"/>
      <c r="C14" s="72">
        <v>1</v>
      </c>
      <c r="D14" s="72">
        <v>1</v>
      </c>
      <c r="E14" s="72">
        <v>1</v>
      </c>
      <c r="F14" s="72">
        <f>I4/$O$1/$D$10</f>
        <v>1.961903510462546</v>
      </c>
      <c r="G14" s="72">
        <f>J4/$O$1/$D$10</f>
        <v>2.639630876313702</v>
      </c>
      <c r="H14" s="72">
        <f>I5/$O$1/$D$10</f>
        <v>6.7826943510606927</v>
      </c>
      <c r="I14" s="72">
        <f>J5/$O$1/$D$10</f>
        <v>5.7065108835457226</v>
      </c>
      <c r="J14" s="72">
        <f>I6/$O$1/$D$10</f>
        <v>3.747176922148677</v>
      </c>
      <c r="K14" s="72">
        <f>J6/$O$1/$D$10</f>
        <v>0.19824247036842779</v>
      </c>
      <c r="L14" s="72">
        <f>EXP(-$L$4*F14)</f>
        <v>0.45622854302163129</v>
      </c>
      <c r="M14" s="72">
        <f t="shared" ref="M14:Q14" si="2">EXP(-$L$4*G14)</f>
        <v>0.34789577175303305</v>
      </c>
      <c r="N14" s="72">
        <f t="shared" si="2"/>
        <v>6.6332338506724625E-2</v>
      </c>
      <c r="O14" s="72">
        <f t="shared" si="2"/>
        <v>0.10201816907053611</v>
      </c>
      <c r="P14" s="72">
        <f t="shared" si="2"/>
        <v>0.22338226799088404</v>
      </c>
      <c r="Q14" s="72">
        <f t="shared" si="2"/>
        <v>0.92376553628686109</v>
      </c>
      <c r="R14" s="72">
        <f>P10*G14*M14+Q10*I14*O14</f>
        <v>0.58888361234418862</v>
      </c>
      <c r="S14" s="72">
        <f>O10*F14*L14+Q10*K14*Q14</f>
        <v>0.1794736636565365</v>
      </c>
      <c r="T14" s="72">
        <f>O10*H14*N14+P10*J14*P14</f>
        <v>1.6736702743309018E-2</v>
      </c>
      <c r="U14" s="72">
        <f>O10+M14*P10+Q10*O14</f>
        <v>0.10693986652162328</v>
      </c>
      <c r="V14" s="72">
        <f>O10*L14+P10+Q10*Q14</f>
        <v>0.92528622697068341</v>
      </c>
      <c r="W14" s="72">
        <f>O10*N14+P10*P14+Q10</f>
        <v>0.98446802908168329</v>
      </c>
      <c r="X14">
        <f>R14/U14-O10*R14/U14^2+P10*L14/V14*(F14-S14/V14)+Q10*N14/W14*(H14-T14/W14)</f>
        <v>5.9704898835387823</v>
      </c>
      <c r="Y14">
        <f>S14/V14-P10*S14/V14^2+O10*M14/U14*(G14-R14/U14)+Q10*P14/W14*(J14-T14/W14)</f>
        <v>1.0191839275524321</v>
      </c>
      <c r="Z14">
        <f>T14/W14-Q10*T14/W14^2+O10*O14/U14*(I14-R14/U14)+P10*Q14/V14*(K14-S14/V14)</f>
        <v>1.6383446391773926E-4</v>
      </c>
      <c r="AA14" s="16">
        <f>EXP(X14)</f>
        <v>391.69750991891749</v>
      </c>
      <c r="AB14" s="16">
        <f t="shared" ref="AB14:AC14" si="3">EXP(Y14)</f>
        <v>2.7709325593126781</v>
      </c>
      <c r="AC14" s="16">
        <f t="shared" si="3"/>
        <v>1.0001638478855164</v>
      </c>
    </row>
    <row r="18" spans="1:38" ht="15.75" thickBot="1" x14ac:dyDescent="0.3"/>
    <row r="19" spans="1:38" ht="15.75" thickBot="1" x14ac:dyDescent="0.3">
      <c r="B19" s="1" t="s">
        <v>55</v>
      </c>
      <c r="C19" s="20" t="s">
        <v>11</v>
      </c>
      <c r="D19" s="20" t="s">
        <v>12</v>
      </c>
      <c r="E19" s="2" t="s">
        <v>13</v>
      </c>
      <c r="G19" s="1" t="s">
        <v>0</v>
      </c>
      <c r="I19" s="18" t="s">
        <v>92</v>
      </c>
      <c r="K19" s="1" t="s">
        <v>93</v>
      </c>
    </row>
    <row r="20" spans="1:38" ht="15.75" thickBot="1" x14ac:dyDescent="0.3">
      <c r="A20" s="18" t="s">
        <v>57</v>
      </c>
      <c r="B20" s="79">
        <v>20.690942281580988</v>
      </c>
      <c r="C20" s="68">
        <v>3.6193341415735866E-2</v>
      </c>
      <c r="D20">
        <v>0.55568361686280054</v>
      </c>
      <c r="E20">
        <v>0.40812304172146363</v>
      </c>
      <c r="H20" s="78">
        <f>$B$22+$B$21*H10</f>
        <v>105723.38257448121</v>
      </c>
      <c r="I20" s="87">
        <f>$B$20*C20</f>
        <v>0.7488743382105455</v>
      </c>
      <c r="L20" s="77">
        <f>MINVERSE(H20)</f>
        <v>9.4586455299565236E-6</v>
      </c>
    </row>
    <row r="21" spans="1:38" ht="15.75" thickBot="1" x14ac:dyDescent="0.3">
      <c r="A21" s="22" t="s">
        <v>75</v>
      </c>
      <c r="B21" s="79">
        <f>B20-B22</f>
        <v>12.074156261129893</v>
      </c>
      <c r="C21">
        <f>AB10</f>
        <v>6.201801570781338E-2</v>
      </c>
      <c r="D21">
        <f t="shared" ref="D21:E21" si="4">AC10</f>
        <v>0.93798528425541561</v>
      </c>
      <c r="E21">
        <f t="shared" si="4"/>
        <v>0</v>
      </c>
      <c r="G21" s="1" t="s">
        <v>1</v>
      </c>
      <c r="I21" s="22" t="s">
        <v>92</v>
      </c>
      <c r="K21" s="1" t="s">
        <v>93</v>
      </c>
    </row>
    <row r="22" spans="1:38" ht="15.75" thickBot="1" x14ac:dyDescent="0.3">
      <c r="A22" s="27" t="s">
        <v>76</v>
      </c>
      <c r="B22" s="80">
        <f>B20*E20/E22</f>
        <v>8.6167860204510944</v>
      </c>
      <c r="C22" s="75">
        <f>O10</f>
        <v>7.0833508362239798E-6</v>
      </c>
      <c r="D22" s="75">
        <f>P10</f>
        <v>1.999099013943674E-2</v>
      </c>
      <c r="E22">
        <v>0.98</v>
      </c>
      <c r="H22" s="78">
        <f>$B$22+$B$21*I10</f>
        <v>575.14110934231712</v>
      </c>
      <c r="I22" s="87">
        <f>$B$20*D20</f>
        <v>11.49761764332837</v>
      </c>
      <c r="L22" s="77">
        <f>MINVERSE(H22)</f>
        <v>1.7387037437534515E-3</v>
      </c>
    </row>
    <row r="23" spans="1:38" ht="15.75" thickBot="1" x14ac:dyDescent="0.3">
      <c r="G23" s="1" t="s">
        <v>2</v>
      </c>
      <c r="I23" s="22" t="s">
        <v>92</v>
      </c>
      <c r="K23" s="1" t="s">
        <v>93</v>
      </c>
    </row>
    <row r="24" spans="1:38" ht="15.75" thickBot="1" x14ac:dyDescent="0.3">
      <c r="H24" s="78">
        <f>$B$22+$B$21*J10</f>
        <v>8.6167860204510944</v>
      </c>
      <c r="I24" s="87">
        <f>$B$20*E20</f>
        <v>8.4444503000420728</v>
      </c>
      <c r="L24" s="77">
        <f>MINVERSE(H24)</f>
        <v>0.11605255110508701</v>
      </c>
    </row>
    <row r="27" spans="1:38" ht="15.75" thickBot="1" x14ac:dyDescent="0.3"/>
    <row r="28" spans="1:38" ht="15.75" thickBot="1" x14ac:dyDescent="0.3">
      <c r="C28" s="3" t="s">
        <v>6</v>
      </c>
      <c r="D28" s="97" t="s">
        <v>7</v>
      </c>
      <c r="E28" s="16" t="s">
        <v>8</v>
      </c>
      <c r="F28" s="97" t="s">
        <v>9</v>
      </c>
      <c r="G28" s="97" t="s">
        <v>10</v>
      </c>
      <c r="H28" s="3" t="s">
        <v>11</v>
      </c>
      <c r="I28" s="3" t="s">
        <v>12</v>
      </c>
      <c r="J28" s="97" t="s">
        <v>13</v>
      </c>
      <c r="K28" s="3" t="s">
        <v>14</v>
      </c>
      <c r="L28" s="97" t="s">
        <v>15</v>
      </c>
      <c r="M28" s="97" t="s">
        <v>16</v>
      </c>
      <c r="N28" s="97" t="s">
        <v>17</v>
      </c>
      <c r="O28" s="97" t="s">
        <v>18</v>
      </c>
      <c r="P28" s="97" t="s">
        <v>19</v>
      </c>
      <c r="Q28" s="3" t="s">
        <v>20</v>
      </c>
      <c r="R28" s="97" t="s">
        <v>21</v>
      </c>
      <c r="S28" s="97" t="s">
        <v>22</v>
      </c>
      <c r="T28" s="97" t="s">
        <v>23</v>
      </c>
      <c r="U28" s="97" t="s">
        <v>24</v>
      </c>
      <c r="V28" s="97" t="s">
        <v>25</v>
      </c>
      <c r="W28" s="4" t="s">
        <v>26</v>
      </c>
      <c r="X28" s="74" t="s">
        <v>27</v>
      </c>
      <c r="Y28" s="74" t="s">
        <v>28</v>
      </c>
      <c r="Z28" s="4" t="s">
        <v>29</v>
      </c>
      <c r="AA28" s="74" t="s">
        <v>30</v>
      </c>
      <c r="AB28" s="74" t="s">
        <v>31</v>
      </c>
      <c r="AC28" s="4" t="s">
        <v>89</v>
      </c>
      <c r="AD28" s="74" t="s">
        <v>90</v>
      </c>
      <c r="AE28" s="74" t="s">
        <v>91</v>
      </c>
      <c r="AF28" s="4" t="s">
        <v>32</v>
      </c>
      <c r="AG28" s="74" t="s">
        <v>33</v>
      </c>
      <c r="AH28" s="74" t="s">
        <v>34</v>
      </c>
      <c r="AI28" s="88" t="s">
        <v>94</v>
      </c>
      <c r="AJ28" s="88" t="s">
        <v>95</v>
      </c>
      <c r="AK28" s="88" t="s">
        <v>96</v>
      </c>
      <c r="AL28" s="88" t="s">
        <v>38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75">
        <f>C22</f>
        <v>7.0833508362239798E-6</v>
      </c>
      <c r="I29" s="75">
        <f t="shared" ref="I29:J29" si="5">D22</f>
        <v>1.999099013943674E-2</v>
      </c>
      <c r="J29" s="75">
        <f t="shared" si="5"/>
        <v>0.98</v>
      </c>
      <c r="K29" s="72">
        <f>I4/$O$1/$D$29</f>
        <v>2.1071800296631609</v>
      </c>
      <c r="L29" s="72">
        <f>J4/$O$1/$D$29</f>
        <v>2.8350922655412045</v>
      </c>
      <c r="M29" s="72">
        <f>I5/$O$1/$D$29</f>
        <v>7.2849444468829168</v>
      </c>
      <c r="N29" s="72">
        <f>J5/$O$1/$D$29</f>
        <v>6.1290709297054313</v>
      </c>
      <c r="O29" s="72">
        <f>I6/$O$1/$D$29</f>
        <v>4.0246507210259157</v>
      </c>
      <c r="P29" s="72">
        <f>J6/$O$1/$D$29</f>
        <v>0.21292207917654202</v>
      </c>
      <c r="Q29" s="72">
        <f>EXP(-$L$4*K29)</f>
        <v>0.43047242445194145</v>
      </c>
      <c r="R29" s="72">
        <f t="shared" ref="R29:V29" si="6">EXP(-$L$4*L29)</f>
        <v>0.32173183009668638</v>
      </c>
      <c r="S29" s="72">
        <f t="shared" si="6"/>
        <v>5.425946787469077E-2</v>
      </c>
      <c r="T29" s="72">
        <f t="shared" si="6"/>
        <v>8.6153182795249569E-2</v>
      </c>
      <c r="U29" s="72">
        <f t="shared" si="6"/>
        <v>0.19991554264238187</v>
      </c>
      <c r="V29" s="72">
        <f t="shared" si="6"/>
        <v>0.91835722352796123</v>
      </c>
      <c r="W29" s="89">
        <f>I29*L29*R29+J29*N29*T29</f>
        <v>0.53571275902121729</v>
      </c>
      <c r="X29" s="89">
        <f>H29*K29*Q29+J29*P29*V29</f>
        <v>0.19163418405755325</v>
      </c>
      <c r="Y29" s="89">
        <f>H29*M29*S29+I29*O29*U29</f>
        <v>1.6087355298140756E-2</v>
      </c>
      <c r="Z29" s="89">
        <f>H29+R29*I29+J29*T29</f>
        <v>9.0868940333186599E-2</v>
      </c>
      <c r="AA29" s="89">
        <f>H29*Q29+I29+J29*V29</f>
        <v>0.91998411838404648</v>
      </c>
      <c r="AB29" s="89">
        <f>H29*S29+I29*U29+J29</f>
        <v>0.98399689398053114</v>
      </c>
      <c r="AC29">
        <f>W29/Z29-H29*W29/Z29^2+I29*Q29/AA29*(K29-X29/AA29)+J29*S29/AB29*(M29-Y29/AB29)</f>
        <v>6.3055348898685493</v>
      </c>
      <c r="AD29">
        <f>X29/AA29-I29*X29/AA29^2+H29*R29/Z29*(L29-W29/Z29)+J29*U29/AB29*(O29-Y29/AB29)</f>
        <v>1.0017654648743193</v>
      </c>
      <c r="AE29">
        <f>Y29/AB29-J29*Y29/AB29^2+H29*T29/Z29*(N29-W29/Z29)+I29*V29/AA29*(P29-X29/AA29)</f>
        <v>1.601810639097028E-4</v>
      </c>
      <c r="AF29" s="16">
        <f>EXP(AC29)</f>
        <v>547.59441256685614</v>
      </c>
      <c r="AG29" s="16">
        <f t="shared" ref="AG29:AH29" si="7">EXP(AD29)</f>
        <v>2.7230850983001877</v>
      </c>
      <c r="AH29" s="16">
        <f t="shared" si="7"/>
        <v>1.0001601938935814</v>
      </c>
      <c r="AI29" s="75">
        <f>AF29*E29*H29</f>
        <v>0.28125501309764439</v>
      </c>
      <c r="AJ29" s="75">
        <f>AG29*F29*I29</f>
        <v>2.425619272038321</v>
      </c>
      <c r="AK29" s="75">
        <f>AH29*G29*J29</f>
        <v>0</v>
      </c>
      <c r="AL29">
        <f>SUM(AI29:AK29)</f>
        <v>2.7068742851359655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1"/>
  <dimension ref="A1:AL29"/>
  <sheetViews>
    <sheetView tabSelected="1" zoomScale="85" zoomScaleNormal="85" workbookViewId="0">
      <selection activeCell="N17" sqref="N17"/>
    </sheetView>
  </sheetViews>
  <sheetFormatPr defaultRowHeight="15" x14ac:dyDescent="0.25"/>
  <cols>
    <col min="9" max="10" width="16.42578125" bestFit="1" customWidth="1"/>
    <col min="19" max="19" width="14.42578125" bestFit="1" customWidth="1"/>
    <col min="20" max="20" width="14.28515625" bestFit="1" customWidth="1"/>
    <col min="23" max="23" width="12" bestFit="1" customWidth="1"/>
    <col min="25" max="25" width="10.28515625" bestFit="1" customWidth="1"/>
  </cols>
  <sheetData>
    <row r="1" spans="1:37" ht="15.75" thickBot="1" x14ac:dyDescent="0.3">
      <c r="C1" s="103" t="s">
        <v>39</v>
      </c>
      <c r="D1" s="104"/>
      <c r="E1" s="104"/>
      <c r="H1" s="105" t="s">
        <v>41</v>
      </c>
      <c r="I1" s="7" t="s">
        <v>42</v>
      </c>
      <c r="J1" s="7" t="s">
        <v>43</v>
      </c>
      <c r="K1" s="105" t="s">
        <v>44</v>
      </c>
      <c r="L1" s="105" t="s">
        <v>45</v>
      </c>
      <c r="N1" s="78" t="s">
        <v>46</v>
      </c>
      <c r="O1" s="82">
        <f>8.314/1000</f>
        <v>8.3140000000000002E-3</v>
      </c>
    </row>
    <row r="2" spans="1:37" ht="15.75" thickBot="1" x14ac:dyDescent="0.3">
      <c r="C2" s="78" t="s">
        <v>0</v>
      </c>
      <c r="D2" s="81" t="s">
        <v>1</v>
      </c>
      <c r="E2" s="82" t="s">
        <v>2</v>
      </c>
      <c r="H2" s="106"/>
      <c r="I2" s="107" t="s">
        <v>47</v>
      </c>
      <c r="J2" s="107"/>
      <c r="K2" s="106"/>
      <c r="L2" s="106"/>
    </row>
    <row r="3" spans="1:37" ht="15.75" thickBot="1" x14ac:dyDescent="0.3">
      <c r="A3" s="83" t="s">
        <v>0</v>
      </c>
      <c r="B3" s="25" t="s">
        <v>3</v>
      </c>
      <c r="C3" s="83">
        <v>20.840540000000001</v>
      </c>
      <c r="D3" s="24">
        <v>-2624.5250000000001</v>
      </c>
      <c r="E3" s="25">
        <v>-46.151710000000001</v>
      </c>
      <c r="H3" s="107" t="s">
        <v>48</v>
      </c>
      <c r="I3" s="107"/>
      <c r="J3" s="107"/>
      <c r="K3" s="107"/>
      <c r="L3" s="107"/>
    </row>
    <row r="4" spans="1:37" x14ac:dyDescent="0.25">
      <c r="A4" s="84" t="s">
        <v>1</v>
      </c>
      <c r="B4" s="85" t="s">
        <v>4</v>
      </c>
      <c r="C4" s="84">
        <v>23.534700000000001</v>
      </c>
      <c r="D4" s="6">
        <v>-3661.4679999999998</v>
      </c>
      <c r="E4" s="85">
        <v>-32.770009999999999</v>
      </c>
      <c r="H4" s="8" t="s">
        <v>49</v>
      </c>
      <c r="I4" s="9">
        <v>5.5736999999999997</v>
      </c>
      <c r="J4" s="9">
        <v>7.4991000000000003</v>
      </c>
      <c r="K4" s="8">
        <v>6.4999999999999997E-3</v>
      </c>
      <c r="L4" s="8">
        <v>0.4</v>
      </c>
    </row>
    <row r="5" spans="1:37" ht="15.75" thickBot="1" x14ac:dyDescent="0.3">
      <c r="A5" s="86" t="s">
        <v>2</v>
      </c>
      <c r="B5" s="29" t="s">
        <v>5</v>
      </c>
      <c r="C5" s="86" t="s">
        <v>40</v>
      </c>
      <c r="D5" s="28" t="s">
        <v>40</v>
      </c>
      <c r="E5" s="29" t="s">
        <v>40</v>
      </c>
      <c r="H5" s="10" t="s">
        <v>50</v>
      </c>
      <c r="I5" s="11">
        <v>19.269400000000001</v>
      </c>
      <c r="J5" s="11">
        <v>16.212</v>
      </c>
      <c r="K5" s="10"/>
      <c r="L5" s="10"/>
    </row>
    <row r="6" spans="1:37" ht="15.75" thickBot="1" x14ac:dyDescent="0.3">
      <c r="A6" s="77" t="s">
        <v>38</v>
      </c>
      <c r="B6">
        <v>10</v>
      </c>
      <c r="H6" s="12" t="s">
        <v>51</v>
      </c>
      <c r="I6" s="13">
        <v>10.6456</v>
      </c>
      <c r="J6" s="13">
        <v>0.56320000000000003</v>
      </c>
      <c r="K6" s="14"/>
      <c r="L6" s="14"/>
    </row>
    <row r="7" spans="1:37" ht="15.75" thickBot="1" x14ac:dyDescent="0.3">
      <c r="AI7" s="5"/>
      <c r="AJ7" s="5"/>
      <c r="AK7" s="5"/>
    </row>
    <row r="8" spans="1:37" ht="15.75" thickBot="1" x14ac:dyDescent="0.3">
      <c r="O8" s="100" t="s">
        <v>81</v>
      </c>
      <c r="P8" s="101"/>
      <c r="Q8" s="102"/>
      <c r="AG8" s="70"/>
      <c r="AH8" s="70"/>
      <c r="AI8" s="70"/>
      <c r="AJ8" s="6"/>
    </row>
    <row r="9" spans="1:37" ht="15.75" thickBot="1" x14ac:dyDescent="0.3">
      <c r="B9" s="3"/>
      <c r="C9" s="3" t="s">
        <v>6</v>
      </c>
      <c r="D9" s="98" t="s">
        <v>7</v>
      </c>
      <c r="E9" s="16" t="s">
        <v>8</v>
      </c>
      <c r="F9" s="98" t="s">
        <v>9</v>
      </c>
      <c r="G9" s="98" t="s">
        <v>10</v>
      </c>
      <c r="H9" s="3" t="s">
        <v>35</v>
      </c>
      <c r="I9" s="98" t="s">
        <v>36</v>
      </c>
      <c r="J9" s="98" t="s">
        <v>37</v>
      </c>
      <c r="K9" s="3" t="s">
        <v>11</v>
      </c>
      <c r="L9" s="3" t="s">
        <v>12</v>
      </c>
      <c r="M9" s="98" t="s">
        <v>13</v>
      </c>
      <c r="N9" s="3" t="s">
        <v>82</v>
      </c>
      <c r="O9" s="3" t="s">
        <v>11</v>
      </c>
      <c r="P9" s="98" t="s">
        <v>12</v>
      </c>
      <c r="Q9" s="98" t="s">
        <v>13</v>
      </c>
      <c r="S9" s="3"/>
      <c r="T9" s="3" t="s">
        <v>6</v>
      </c>
      <c r="U9" s="98" t="s">
        <v>7</v>
      </c>
      <c r="V9" s="16" t="s">
        <v>8</v>
      </c>
      <c r="W9" s="71" t="s">
        <v>9</v>
      </c>
      <c r="X9" s="98" t="s">
        <v>10</v>
      </c>
      <c r="Y9" s="3" t="s">
        <v>35</v>
      </c>
      <c r="Z9" s="98" t="s">
        <v>36</v>
      </c>
      <c r="AA9" s="98" t="s">
        <v>37</v>
      </c>
      <c r="AB9" s="3" t="s">
        <v>83</v>
      </c>
      <c r="AC9" s="98" t="s">
        <v>84</v>
      </c>
      <c r="AD9" s="98" t="s">
        <v>85</v>
      </c>
      <c r="AE9" s="3" t="s">
        <v>86</v>
      </c>
      <c r="AF9" s="96" t="s">
        <v>97</v>
      </c>
      <c r="AG9" s="6"/>
      <c r="AH9" s="6"/>
      <c r="AI9" s="6"/>
      <c r="AJ9" s="6"/>
    </row>
    <row r="10" spans="1:37" x14ac:dyDescent="0.25">
      <c r="B10" s="72"/>
      <c r="C10" s="72">
        <v>77.992277962933457</v>
      </c>
      <c r="D10" s="73">
        <v>351.14227796293346</v>
      </c>
      <c r="E10" s="72">
        <v>205.92635515917638</v>
      </c>
      <c r="F10" s="17">
        <v>168.40261236145147</v>
      </c>
      <c r="G10" s="72">
        <v>0</v>
      </c>
      <c r="H10" s="72">
        <v>7142.8406338714294</v>
      </c>
      <c r="I10" s="72">
        <v>46.919583796528386</v>
      </c>
      <c r="J10" s="72">
        <v>0</v>
      </c>
      <c r="K10" s="72">
        <f>MMULT(L20,I20)</f>
        <v>8.6823603579966344E-6</v>
      </c>
      <c r="L10" s="72">
        <f>MMULT(L22,I22)</f>
        <v>1.9991296235277522E-2</v>
      </c>
      <c r="M10" s="72">
        <f>MMULT(L24,I24)</f>
        <v>0.98</v>
      </c>
      <c r="N10" s="16">
        <f>SUM(K10:M10)</f>
        <v>0.9999999785956355</v>
      </c>
      <c r="O10" s="72">
        <f>K10/(K10+L10+M10)</f>
        <v>8.6823605438370437E-6</v>
      </c>
      <c r="P10" s="72">
        <f>L10/(K10+L10+M10)</f>
        <v>1.9991296663178521E-2</v>
      </c>
      <c r="Q10" s="72">
        <f>M10/(K10+L10+M10)</f>
        <v>0.9800000209762777</v>
      </c>
      <c r="S10" s="72"/>
      <c r="T10" s="72">
        <v>77.992277962933457</v>
      </c>
      <c r="U10" s="73">
        <f>T10+273.15</f>
        <v>351.14227796293346</v>
      </c>
      <c r="V10" s="72">
        <f>EXP(C3+D3/(U10+E3))/1000</f>
        <v>205.92635515917638</v>
      </c>
      <c r="W10" s="72">
        <f>EXP(C4+D4/(U10+E4))/1000</f>
        <v>168.40261236145147</v>
      </c>
      <c r="X10" s="72">
        <v>0</v>
      </c>
      <c r="Y10" s="72">
        <f>V10*AA14/$B$6</f>
        <v>7142.8406826311821</v>
      </c>
      <c r="Z10" s="72">
        <f t="shared" ref="Z10:AA10" si="0">W10*AB14/$B$6</f>
        <v>46.91958374126493</v>
      </c>
      <c r="AA10" s="72">
        <f t="shared" si="0"/>
        <v>0</v>
      </c>
      <c r="AB10" s="72">
        <f>(O10*AA14*V10)/$B$6</f>
        <v>6.2016718113791024E-2</v>
      </c>
      <c r="AC10" s="72">
        <f t="shared" ref="AC10:AD10" si="1">(P10*AB14*W10)/$B$6</f>
        <v>0.93798331788447487</v>
      </c>
      <c r="AD10" s="72">
        <f t="shared" si="1"/>
        <v>0</v>
      </c>
      <c r="AE10" s="99">
        <f>SUM(AB10:AD10)</f>
        <v>1.0000000359982659</v>
      </c>
      <c r="AF10">
        <f>V10*O10*AA14+W10*P10*AB14+Q10*X10*AC14</f>
        <v>10.000000359982659</v>
      </c>
    </row>
    <row r="11" spans="1:37" ht="15.75" thickBot="1" x14ac:dyDescent="0.3"/>
    <row r="12" spans="1:37" ht="15.75" thickBot="1" x14ac:dyDescent="0.3">
      <c r="C12" s="100" t="s">
        <v>87</v>
      </c>
      <c r="D12" s="101"/>
      <c r="E12" s="102"/>
      <c r="AA12" s="100" t="s">
        <v>88</v>
      </c>
      <c r="AB12" s="101"/>
      <c r="AC12" s="102"/>
    </row>
    <row r="13" spans="1:37" ht="15.75" thickBot="1" x14ac:dyDescent="0.3">
      <c r="B13" s="3"/>
      <c r="C13" s="3" t="s">
        <v>32</v>
      </c>
      <c r="D13" s="98" t="s">
        <v>33</v>
      </c>
      <c r="E13" s="98" t="s">
        <v>34</v>
      </c>
      <c r="F13" s="3" t="s">
        <v>14</v>
      </c>
      <c r="G13" s="98" t="s">
        <v>15</v>
      </c>
      <c r="H13" s="98" t="s">
        <v>16</v>
      </c>
      <c r="I13" s="98" t="s">
        <v>17</v>
      </c>
      <c r="J13" s="98" t="s">
        <v>18</v>
      </c>
      <c r="K13" s="98" t="s">
        <v>19</v>
      </c>
      <c r="L13" s="3" t="s">
        <v>20</v>
      </c>
      <c r="M13" s="98" t="s">
        <v>21</v>
      </c>
      <c r="N13" s="98" t="s">
        <v>22</v>
      </c>
      <c r="O13" s="98" t="s">
        <v>23</v>
      </c>
      <c r="P13" s="98" t="s">
        <v>24</v>
      </c>
      <c r="Q13" s="98" t="s">
        <v>25</v>
      </c>
      <c r="R13" s="4" t="s">
        <v>26</v>
      </c>
      <c r="S13" s="74" t="s">
        <v>27</v>
      </c>
      <c r="T13" s="74" t="s">
        <v>28</v>
      </c>
      <c r="U13" s="4" t="s">
        <v>29</v>
      </c>
      <c r="V13" s="74" t="s">
        <v>30</v>
      </c>
      <c r="W13" s="74" t="s">
        <v>31</v>
      </c>
      <c r="X13" s="4" t="s">
        <v>89</v>
      </c>
      <c r="Y13" s="74" t="s">
        <v>90</v>
      </c>
      <c r="Z13" s="74" t="s">
        <v>91</v>
      </c>
      <c r="AA13" s="4" t="s">
        <v>32</v>
      </c>
      <c r="AB13" s="74" t="s">
        <v>33</v>
      </c>
      <c r="AC13" s="74" t="s">
        <v>34</v>
      </c>
    </row>
    <row r="14" spans="1:37" x14ac:dyDescent="0.25">
      <c r="B14" s="72"/>
      <c r="C14" s="72">
        <v>1</v>
      </c>
      <c r="D14" s="72">
        <v>1</v>
      </c>
      <c r="E14" s="72">
        <v>1</v>
      </c>
      <c r="F14" s="72">
        <f>I4/$O$1/$D$10</f>
        <v>1.9091956978991345</v>
      </c>
      <c r="G14" s="72">
        <f>J4/$O$1/$D$10</f>
        <v>2.5687154777105694</v>
      </c>
      <c r="H14" s="72">
        <f>I5/$O$1/$D$10</f>
        <v>6.6004728602360334</v>
      </c>
      <c r="I14" s="72">
        <f>J5/$O$1/$D$10</f>
        <v>5.5532017608304658</v>
      </c>
      <c r="J14" s="72">
        <f>I6/$O$1/$D$10</f>
        <v>3.646506579391612</v>
      </c>
      <c r="K14" s="72">
        <f>J6/$O$1/$D$10</f>
        <v>0.19291655759312351</v>
      </c>
      <c r="L14" s="72">
        <f>EXP(-$L$4*F14)</f>
        <v>0.46594937916435558</v>
      </c>
      <c r="M14" s="72">
        <f t="shared" ref="M14:Q14" si="2">EXP(-$L$4*G14)</f>
        <v>0.35790553680089737</v>
      </c>
      <c r="N14" s="72">
        <f t="shared" si="2"/>
        <v>7.1347773270091272E-2</v>
      </c>
      <c r="O14" s="72">
        <f t="shared" si="2"/>
        <v>0.10847010170128368</v>
      </c>
      <c r="P14" s="72">
        <f t="shared" si="2"/>
        <v>0.23256102116735811</v>
      </c>
      <c r="Q14" s="72">
        <f t="shared" si="2"/>
        <v>0.92573559187906473</v>
      </c>
      <c r="R14" s="72">
        <f>P10*G14*M14+Q10*I14*O14</f>
        <v>0.60868839356578586</v>
      </c>
      <c r="S14" s="72">
        <f>O10*F14*L14+Q10*K14*Q14</f>
        <v>0.17502565662888264</v>
      </c>
      <c r="T14" s="72">
        <f>O10*H14*N14+P10*J14*P14</f>
        <v>1.695741391486311E-2</v>
      </c>
      <c r="U14" s="72">
        <f>O10+M14*P10+Q10*O14</f>
        <v>0.11346438006668172</v>
      </c>
      <c r="V14" s="72">
        <f>O10*L14+P10+Q10*Q14</f>
        <v>0.92721624166365391</v>
      </c>
      <c r="W14" s="72">
        <f>O10*N14+P10*P14+Q10</f>
        <v>0.98464983680981766</v>
      </c>
      <c r="X14">
        <f>R14/U14-O10*R14/U14^2+P10*L14/V14*(F14-S14/V14)+Q10*N14/W14*(H14-T14/W14)</f>
        <v>5.8489323182705268</v>
      </c>
      <c r="Y14">
        <f>S14/V14-P10*S14/V14^2+O10*M14/U14*(G14-R14/U14)+Q10*P14/W14*(J14-T14/W14)</f>
        <v>1.0246626305472954</v>
      </c>
      <c r="Z14">
        <f>T14/W14-Q10*T14/W14^2+O10*O14/U14*(I14-R14/U14)+P10*Q14/V14*(K14-S14/V14)</f>
        <v>1.6576137562421102E-4</v>
      </c>
      <c r="AA14" s="16">
        <f>EXP(X14)</f>
        <v>346.86384251835705</v>
      </c>
      <c r="AB14" s="16">
        <f t="shared" ref="AB14:AC14" si="3">EXP(Y14)</f>
        <v>2.7861553382888702</v>
      </c>
      <c r="AC14" s="16">
        <f t="shared" si="3"/>
        <v>1.0001657751148001</v>
      </c>
    </row>
    <row r="18" spans="1:38" ht="15.75" thickBot="1" x14ac:dyDescent="0.3"/>
    <row r="19" spans="1:38" ht="15.75" thickBot="1" x14ac:dyDescent="0.3">
      <c r="B19" s="1" t="s">
        <v>55</v>
      </c>
      <c r="C19" s="20" t="s">
        <v>11</v>
      </c>
      <c r="D19" s="20" t="s">
        <v>12</v>
      </c>
      <c r="E19" s="2" t="s">
        <v>13</v>
      </c>
      <c r="G19" s="1" t="s">
        <v>0</v>
      </c>
      <c r="I19" s="18" t="s">
        <v>92</v>
      </c>
      <c r="K19" s="1" t="s">
        <v>93</v>
      </c>
    </row>
    <row r="20" spans="1:38" ht="15.75" thickBot="1" x14ac:dyDescent="0.3">
      <c r="A20" s="18" t="s">
        <v>57</v>
      </c>
      <c r="B20" s="79">
        <v>20.690942281580988</v>
      </c>
      <c r="C20" s="68">
        <v>3.6193341415735866E-2</v>
      </c>
      <c r="D20">
        <v>0.55568361686280054</v>
      </c>
      <c r="E20">
        <v>0.40812304172146363</v>
      </c>
      <c r="H20" s="78">
        <f>$B$22+$B$21*H10</f>
        <v>86252.390747732177</v>
      </c>
      <c r="I20" s="87">
        <f>$B$20*C20</f>
        <v>0.7488743382105455</v>
      </c>
      <c r="L20" s="77">
        <f>MINVERSE(H20)</f>
        <v>1.1593881529901742E-5</v>
      </c>
    </row>
    <row r="21" spans="1:38" ht="15.75" thickBot="1" x14ac:dyDescent="0.3">
      <c r="A21" s="22" t="s">
        <v>75</v>
      </c>
      <c r="B21" s="79">
        <f>B20-B22</f>
        <v>12.074156261129893</v>
      </c>
      <c r="C21">
        <f>AB10</f>
        <v>6.2016718113791024E-2</v>
      </c>
      <c r="D21">
        <f t="shared" ref="D21:E21" si="4">AC10</f>
        <v>0.93798331788447487</v>
      </c>
      <c r="E21">
        <f t="shared" si="4"/>
        <v>0</v>
      </c>
      <c r="G21" s="1" t="s">
        <v>1</v>
      </c>
      <c r="I21" s="22" t="s">
        <v>92</v>
      </c>
      <c r="K21" s="1" t="s">
        <v>93</v>
      </c>
    </row>
    <row r="22" spans="1:38" ht="15.75" thickBot="1" x14ac:dyDescent="0.3">
      <c r="A22" s="27" t="s">
        <v>76</v>
      </c>
      <c r="B22" s="80">
        <f>B20*E20/E22</f>
        <v>8.6167860204510944</v>
      </c>
      <c r="C22" s="75">
        <f>O10</f>
        <v>8.6823605438370437E-6</v>
      </c>
      <c r="D22" s="75">
        <f>P10</f>
        <v>1.9991296663178521E-2</v>
      </c>
      <c r="E22">
        <v>0.98</v>
      </c>
      <c r="H22" s="78">
        <f>$B$22+$B$21*I10</f>
        <v>575.13117248691299</v>
      </c>
      <c r="I22" s="87">
        <f>$B$20*D20</f>
        <v>11.49761764332837</v>
      </c>
      <c r="L22" s="77">
        <f>MINVERSE(H22)</f>
        <v>1.7387337842877137E-3</v>
      </c>
    </row>
    <row r="23" spans="1:38" ht="15.75" thickBot="1" x14ac:dyDescent="0.3">
      <c r="G23" s="1" t="s">
        <v>2</v>
      </c>
      <c r="I23" s="22" t="s">
        <v>92</v>
      </c>
      <c r="K23" s="1" t="s">
        <v>93</v>
      </c>
    </row>
    <row r="24" spans="1:38" ht="15.75" thickBot="1" x14ac:dyDescent="0.3">
      <c r="H24" s="78">
        <f>$B$22+$B$21*J10</f>
        <v>8.6167860204510944</v>
      </c>
      <c r="I24" s="87">
        <f>$B$20*E20</f>
        <v>8.4444503000420728</v>
      </c>
      <c r="L24" s="77">
        <f>MINVERSE(H24)</f>
        <v>0.11605255110508701</v>
      </c>
    </row>
    <row r="27" spans="1:38" ht="15.75" thickBot="1" x14ac:dyDescent="0.3"/>
    <row r="28" spans="1:38" ht="15.75" thickBot="1" x14ac:dyDescent="0.3">
      <c r="C28" s="3" t="s">
        <v>6</v>
      </c>
      <c r="D28" s="98" t="s">
        <v>7</v>
      </c>
      <c r="E28" s="16" t="s">
        <v>8</v>
      </c>
      <c r="F28" s="98" t="s">
        <v>9</v>
      </c>
      <c r="G28" s="98" t="s">
        <v>10</v>
      </c>
      <c r="H28" s="3" t="s">
        <v>11</v>
      </c>
      <c r="I28" s="3" t="s">
        <v>12</v>
      </c>
      <c r="J28" s="98" t="s">
        <v>13</v>
      </c>
      <c r="K28" s="3" t="s">
        <v>14</v>
      </c>
      <c r="L28" s="98" t="s">
        <v>15</v>
      </c>
      <c r="M28" s="98" t="s">
        <v>16</v>
      </c>
      <c r="N28" s="98" t="s">
        <v>17</v>
      </c>
      <c r="O28" s="98" t="s">
        <v>18</v>
      </c>
      <c r="P28" s="98" t="s">
        <v>19</v>
      </c>
      <c r="Q28" s="3" t="s">
        <v>20</v>
      </c>
      <c r="R28" s="98" t="s">
        <v>21</v>
      </c>
      <c r="S28" s="98" t="s">
        <v>22</v>
      </c>
      <c r="T28" s="98" t="s">
        <v>23</v>
      </c>
      <c r="U28" s="98" t="s">
        <v>24</v>
      </c>
      <c r="V28" s="98" t="s">
        <v>25</v>
      </c>
      <c r="W28" s="4" t="s">
        <v>26</v>
      </c>
      <c r="X28" s="74" t="s">
        <v>27</v>
      </c>
      <c r="Y28" s="74" t="s">
        <v>28</v>
      </c>
      <c r="Z28" s="4" t="s">
        <v>29</v>
      </c>
      <c r="AA28" s="74" t="s">
        <v>30</v>
      </c>
      <c r="AB28" s="74" t="s">
        <v>31</v>
      </c>
      <c r="AC28" s="4" t="s">
        <v>89</v>
      </c>
      <c r="AD28" s="74" t="s">
        <v>90</v>
      </c>
      <c r="AE28" s="74" t="s">
        <v>91</v>
      </c>
      <c r="AF28" s="4" t="s">
        <v>32</v>
      </c>
      <c r="AG28" s="74" t="s">
        <v>33</v>
      </c>
      <c r="AH28" s="74" t="s">
        <v>34</v>
      </c>
      <c r="AI28" s="88" t="s">
        <v>94</v>
      </c>
      <c r="AJ28" s="88" t="s">
        <v>95</v>
      </c>
      <c r="AK28" s="88" t="s">
        <v>96</v>
      </c>
      <c r="AL28" s="88" t="s">
        <v>38</v>
      </c>
    </row>
    <row r="29" spans="1:38" x14ac:dyDescent="0.25">
      <c r="C29">
        <v>45</v>
      </c>
      <c r="D29">
        <f>C29+273.15</f>
        <v>318.14999999999998</v>
      </c>
      <c r="E29">
        <f>EXP(C3+D3/(D29+E3))/1000</f>
        <v>72.510769026390932</v>
      </c>
      <c r="F29">
        <f>EXP(C4+D4/(D29+E4))/1000</f>
        <v>44.55814639452187</v>
      </c>
      <c r="G29">
        <v>0</v>
      </c>
      <c r="H29" s="75">
        <f>C22</f>
        <v>8.6823605438370437E-6</v>
      </c>
      <c r="I29" s="75">
        <f t="shared" ref="I29:J29" si="5">D22</f>
        <v>1.9991296663178521E-2</v>
      </c>
      <c r="J29" s="75">
        <f t="shared" si="5"/>
        <v>0.98</v>
      </c>
      <c r="K29" s="72">
        <f>I4/$O$1/$D$29</f>
        <v>2.1071800296631609</v>
      </c>
      <c r="L29" s="72">
        <f>J4/$O$1/$D$29</f>
        <v>2.8350922655412045</v>
      </c>
      <c r="M29" s="72">
        <f>I5/$O$1/$D$29</f>
        <v>7.2849444468829168</v>
      </c>
      <c r="N29" s="72">
        <f>J5/$O$1/$D$29</f>
        <v>6.1290709297054313</v>
      </c>
      <c r="O29" s="72">
        <f>I6/$O$1/$D$29</f>
        <v>4.0246507210259157</v>
      </c>
      <c r="P29" s="72">
        <f>J6/$O$1/$D$29</f>
        <v>0.21292207917654202</v>
      </c>
      <c r="Q29" s="72">
        <f>EXP(-$L$4*K29)</f>
        <v>0.43047242445194145</v>
      </c>
      <c r="R29" s="72">
        <f t="shared" ref="R29:V29" si="6">EXP(-$L$4*L29)</f>
        <v>0.32173183009668638</v>
      </c>
      <c r="S29" s="72">
        <f t="shared" si="6"/>
        <v>5.425946787469077E-2</v>
      </c>
      <c r="T29" s="72">
        <f t="shared" si="6"/>
        <v>8.6153182795249569E-2</v>
      </c>
      <c r="U29" s="72">
        <f t="shared" si="6"/>
        <v>0.19991554264238187</v>
      </c>
      <c r="V29" s="72">
        <f t="shared" si="6"/>
        <v>0.91835722352796123</v>
      </c>
      <c r="W29" s="89">
        <f>I29*L29*R29+J29*N29*T29</f>
        <v>0.53571303861360631</v>
      </c>
      <c r="X29" s="89">
        <f>H29*K29*Q29+J29*P29*V29</f>
        <v>0.19163563449190976</v>
      </c>
      <c r="Y29" s="89">
        <f>H29*M29*S29+I29*O29*U29</f>
        <v>1.6088233976244211E-2</v>
      </c>
      <c r="Z29" s="89">
        <f>H29+R29*I29+J29*T29</f>
        <v>9.0870637961338624E-2</v>
      </c>
      <c r="AA29" s="89">
        <f>H29*Q29+I29+J29*V29</f>
        <v>0.91998511323737386</v>
      </c>
      <c r="AB29" s="89">
        <f>H29*S29+I29*U29+J29</f>
        <v>0.98399704202080718</v>
      </c>
      <c r="AC29">
        <f>W29/Z29-H29*W29/Z29^2+I29*Q29/AA29*(K29-X29/AA29)+J29*S29/AB29*(M29-Y29/AB29)</f>
        <v>6.3053242417322686</v>
      </c>
      <c r="AD29">
        <f>X29/AA29-I29*X29/AA29^2+H29*R29/Z29*(L29-W29/Z29)+J29*U29/AB29*(O29-Y29/AB29)</f>
        <v>1.0017491039027877</v>
      </c>
      <c r="AE29">
        <f>Y29/AB29-J29*Y29/AB29^2+H29*T29/Z29*(N29-W29/Z29)+I29*V29/AA29*(P29-X29/AA29)</f>
        <v>1.6051650782330696E-4</v>
      </c>
      <c r="AF29" s="16">
        <f>EXP(AC29)</f>
        <v>547.47907497266237</v>
      </c>
      <c r="AG29" s="16">
        <f t="shared" ref="AG29:AH29" si="7">EXP(AD29)</f>
        <v>2.7230405463468736</v>
      </c>
      <c r="AH29" s="16">
        <f t="shared" si="7"/>
        <v>1.0001605293912872</v>
      </c>
      <c r="AI29" s="75">
        <f>AF29*E29*H29</f>
        <v>0.34467346674161203</v>
      </c>
      <c r="AJ29" s="75">
        <f>AG29*F29*I29</f>
        <v>2.4256167785162321</v>
      </c>
      <c r="AK29" s="75">
        <f>AH29*G29*J29</f>
        <v>0</v>
      </c>
      <c r="AL29">
        <f>SUM(AI29:AK29)</f>
        <v>2.7702902452578444</v>
      </c>
    </row>
  </sheetData>
  <mergeCells count="9">
    <mergeCell ref="O8:Q8"/>
    <mergeCell ref="C12:E12"/>
    <mergeCell ref="AA12:AC12"/>
    <mergeCell ref="C1:E1"/>
    <mergeCell ref="H1:H2"/>
    <mergeCell ref="K1:K2"/>
    <mergeCell ref="L1:L2"/>
    <mergeCell ref="I2:J2"/>
    <mergeCell ref="H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dule1.Solver">
                <anchor moveWithCells="1" sizeWithCells="1">
                  <from>
                    <xdr:col>20</xdr:col>
                    <xdr:colOff>171450</xdr:colOff>
                    <xdr:row>3</xdr:row>
                    <xdr:rowOff>0</xdr:rowOff>
                  </from>
                  <to>
                    <xdr:col>21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Vstup</vt:lpstr>
      <vt:lpstr>ODP.Extrakt</vt:lpstr>
      <vt:lpstr>ODP.Rafinat</vt:lpstr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2025-04-14T20:21:21Z</dcterms:modified>
</cp:coreProperties>
</file>