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Workbook________" defaultThemeVersion="124226"/>
  <bookViews>
    <workbookView xWindow="240" yWindow="105" windowWidth="14805" windowHeight="8010"/>
  </bookViews>
  <sheets>
    <sheet name="Surovina" sheetId="1" r:id="rId1"/>
    <sheet name="EK s RK" sheetId="2" r:id="rId2"/>
    <sheet name="EK bez RK" sheetId="3" r:id="rId3"/>
  </sheets>
  <externalReferences>
    <externalReference r:id="rId4"/>
  </externalReferences>
  <definedNames>
    <definedName name="solver_adj" localSheetId="2" hidden="1">'EK bez RK'!$Z$27</definedName>
    <definedName name="solver_adj" localSheetId="1" hidden="1">'EK s RK'!$Z$27</definedName>
    <definedName name="solver_cvg" localSheetId="1" hidden="1">0.0001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2" hidden="1">'EK bez RK'!$AH$26</definedName>
    <definedName name="solver_opt" localSheetId="1" hidden="1">'EK s RK'!$AH$26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2" hidden="1">3</definedName>
    <definedName name="solver_typ" localSheetId="1" hidden="1">3</definedName>
    <definedName name="solver_val" localSheetId="2" hidden="1">0.9998</definedName>
    <definedName name="solver_val" localSheetId="1" hidden="1">0.9998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C17" i="1" l="1"/>
  <c r="D17" i="1" s="1"/>
  <c r="C16" i="1"/>
  <c r="D16" i="1" s="1"/>
  <c r="B16" i="1"/>
  <c r="B17" i="1"/>
  <c r="Q51" i="3"/>
  <c r="Q50" i="3"/>
  <c r="Q49" i="3"/>
  <c r="Q48" i="3"/>
  <c r="Q47" i="3"/>
  <c r="O45" i="3"/>
  <c r="I45" i="3"/>
  <c r="N51" i="3" s="1"/>
  <c r="C45" i="3"/>
  <c r="Q45" i="3" s="1"/>
  <c r="O44" i="3"/>
  <c r="I44" i="3"/>
  <c r="P50" i="3" s="1"/>
  <c r="C44" i="3"/>
  <c r="P44" i="3" s="1"/>
  <c r="O43" i="3"/>
  <c r="I43" i="3"/>
  <c r="N49" i="3" s="1"/>
  <c r="C43" i="3"/>
  <c r="O42" i="3"/>
  <c r="I42" i="3"/>
  <c r="C42" i="3"/>
  <c r="Q42" i="3" s="1"/>
  <c r="O41" i="3"/>
  <c r="I41" i="3"/>
  <c r="N47" i="3" s="1"/>
  <c r="C41" i="3"/>
  <c r="AB36" i="3"/>
  <c r="E15" i="3" s="1"/>
  <c r="X36" i="3"/>
  <c r="C15" i="3" s="1"/>
  <c r="Y35" i="3"/>
  <c r="D14" i="3" s="1"/>
  <c r="X35" i="3"/>
  <c r="C14" i="3" s="1"/>
  <c r="W35" i="3"/>
  <c r="B14" i="3" s="1"/>
  <c r="U35" i="3"/>
  <c r="D9" i="3" s="1"/>
  <c r="T35" i="3"/>
  <c r="C9" i="3" s="1"/>
  <c r="S35" i="3"/>
  <c r="X34" i="3"/>
  <c r="C13" i="3" s="1"/>
  <c r="W34" i="3"/>
  <c r="B13" i="3" s="1"/>
  <c r="U34" i="3"/>
  <c r="D8" i="3" s="1"/>
  <c r="T34" i="3"/>
  <c r="C8" i="3" s="1"/>
  <c r="S34" i="3"/>
  <c r="B8" i="3" s="1"/>
  <c r="X33" i="3"/>
  <c r="C12" i="3" s="1"/>
  <c r="W33" i="3"/>
  <c r="U33" i="3"/>
  <c r="D7" i="3" s="1"/>
  <c r="T33" i="3"/>
  <c r="C7" i="3" s="1"/>
  <c r="X32" i="3"/>
  <c r="C11" i="3" s="1"/>
  <c r="W32" i="3"/>
  <c r="B11" i="3" s="1"/>
  <c r="U32" i="3"/>
  <c r="D6" i="3" s="1"/>
  <c r="T32" i="3"/>
  <c r="C6" i="3" s="1"/>
  <c r="X31" i="3"/>
  <c r="E17" i="1" s="1"/>
  <c r="W31" i="3"/>
  <c r="B10" i="3" s="1"/>
  <c r="U31" i="3"/>
  <c r="D5" i="3" s="1"/>
  <c r="T31" i="3"/>
  <c r="C5" i="3" s="1"/>
  <c r="AA30" i="3"/>
  <c r="AE26" i="3"/>
  <c r="AF26" i="3" s="1"/>
  <c r="D15" i="3"/>
  <c r="B15" i="3"/>
  <c r="B9" i="3"/>
  <c r="D4" i="3"/>
  <c r="C4" i="3"/>
  <c r="B4" i="3"/>
  <c r="Q51" i="2"/>
  <c r="Q50" i="2"/>
  <c r="Q49" i="2"/>
  <c r="Q48" i="2"/>
  <c r="Q47" i="2"/>
  <c r="O45" i="2"/>
  <c r="I45" i="2"/>
  <c r="N51" i="2" s="1"/>
  <c r="C45" i="2"/>
  <c r="Q45" i="2" s="1"/>
  <c r="O44" i="2"/>
  <c r="I44" i="2"/>
  <c r="P50" i="2" s="1"/>
  <c r="C44" i="2"/>
  <c r="P44" i="2" s="1"/>
  <c r="O43" i="2"/>
  <c r="I43" i="2"/>
  <c r="N49" i="2" s="1"/>
  <c r="C43" i="2"/>
  <c r="P43" i="2" s="1"/>
  <c r="O42" i="2"/>
  <c r="I42" i="2"/>
  <c r="Y32" i="2" s="1"/>
  <c r="C42" i="2"/>
  <c r="Q42" i="2" s="1"/>
  <c r="O41" i="2"/>
  <c r="I41" i="2"/>
  <c r="N47" i="2" s="1"/>
  <c r="C41" i="2"/>
  <c r="P41" i="2" s="1"/>
  <c r="AB36" i="2"/>
  <c r="E15" i="2" s="1"/>
  <c r="Q22" i="2" s="1"/>
  <c r="X36" i="2"/>
  <c r="C15" i="2" s="1"/>
  <c r="Y35" i="2"/>
  <c r="D14" i="2" s="1"/>
  <c r="X35" i="2"/>
  <c r="C14" i="2" s="1"/>
  <c r="W35" i="2"/>
  <c r="B14" i="2" s="1"/>
  <c r="U35" i="2"/>
  <c r="D9" i="2" s="1"/>
  <c r="T35" i="2"/>
  <c r="C9" i="2" s="1"/>
  <c r="X34" i="2"/>
  <c r="C13" i="2" s="1"/>
  <c r="W34" i="2"/>
  <c r="B13" i="2" s="1"/>
  <c r="U34" i="2"/>
  <c r="D8" i="2" s="1"/>
  <c r="T34" i="2"/>
  <c r="C8" i="2" s="1"/>
  <c r="X33" i="2"/>
  <c r="C12" i="2" s="1"/>
  <c r="W33" i="2"/>
  <c r="U33" i="2"/>
  <c r="D7" i="2" s="1"/>
  <c r="T33" i="2"/>
  <c r="C7" i="2" s="1"/>
  <c r="X32" i="2"/>
  <c r="C11" i="2" s="1"/>
  <c r="W32" i="2"/>
  <c r="U32" i="2"/>
  <c r="D6" i="2" s="1"/>
  <c r="T32" i="2"/>
  <c r="C6" i="2" s="1"/>
  <c r="X31" i="2"/>
  <c r="E16" i="1" s="1"/>
  <c r="W31" i="2"/>
  <c r="B10" i="2" s="1"/>
  <c r="U31" i="2"/>
  <c r="D5" i="2" s="1"/>
  <c r="T31" i="2"/>
  <c r="C5" i="2" s="1"/>
  <c r="AA30" i="2"/>
  <c r="AE26" i="2"/>
  <c r="AF26" i="2" s="1"/>
  <c r="D15" i="2"/>
  <c r="B15" i="2"/>
  <c r="E4" i="2"/>
  <c r="D4" i="2"/>
  <c r="C4" i="2"/>
  <c r="Q11" i="2" s="1"/>
  <c r="B4" i="2"/>
  <c r="Q4" i="2" s="1"/>
  <c r="B10" i="1"/>
  <c r="E8" i="1" s="1"/>
  <c r="B9" i="1"/>
  <c r="E9" i="1"/>
  <c r="H4" i="1"/>
  <c r="H3" i="1"/>
  <c r="D4" i="1"/>
  <c r="D3" i="1"/>
  <c r="F3" i="1" s="1"/>
  <c r="S35" i="2" l="1"/>
  <c r="B9" i="2" s="1"/>
  <c r="G9" i="2" s="1"/>
  <c r="Q15" i="3"/>
  <c r="Q8" i="3"/>
  <c r="H8" i="3"/>
  <c r="Q8" i="2"/>
  <c r="Q15" i="2"/>
  <c r="Y31" i="2"/>
  <c r="D10" i="2" s="1"/>
  <c r="I5" i="2" s="1"/>
  <c r="Y34" i="2"/>
  <c r="D13" i="2" s="1"/>
  <c r="I8" i="2" s="1"/>
  <c r="S32" i="2"/>
  <c r="AC32" i="2" s="1"/>
  <c r="Y33" i="2"/>
  <c r="D12" i="2" s="1"/>
  <c r="I7" i="2" s="1"/>
  <c r="S33" i="2"/>
  <c r="B7" i="2" s="1"/>
  <c r="H6" i="2"/>
  <c r="S34" i="2"/>
  <c r="B8" i="2" s="1"/>
  <c r="G8" i="2" s="1"/>
  <c r="H9" i="2"/>
  <c r="I9" i="2"/>
  <c r="H7" i="2"/>
  <c r="Z32" i="2"/>
  <c r="AE32" i="2"/>
  <c r="O50" i="2"/>
  <c r="M50" i="2"/>
  <c r="AD32" i="2"/>
  <c r="AD33" i="2"/>
  <c r="H8" i="2"/>
  <c r="AD35" i="2"/>
  <c r="M42" i="2"/>
  <c r="N44" i="2"/>
  <c r="AE35" i="2"/>
  <c r="N41" i="2"/>
  <c r="N43" i="2"/>
  <c r="M45" i="2"/>
  <c r="S32" i="3"/>
  <c r="B6" i="3" s="1"/>
  <c r="G6" i="3" s="1"/>
  <c r="AA35" i="3"/>
  <c r="AA34" i="3" s="1"/>
  <c r="AB35" i="3" s="1"/>
  <c r="E14" i="3" s="1"/>
  <c r="Y31" i="3"/>
  <c r="D10" i="3" s="1"/>
  <c r="I5" i="3" s="1"/>
  <c r="Y33" i="3"/>
  <c r="D12" i="3" s="1"/>
  <c r="I7" i="3" s="1"/>
  <c r="G9" i="3"/>
  <c r="I9" i="3"/>
  <c r="H7" i="3"/>
  <c r="V34" i="3"/>
  <c r="AC34" i="3"/>
  <c r="Y34" i="3"/>
  <c r="Z34" i="3" s="1"/>
  <c r="O50" i="3"/>
  <c r="H6" i="3"/>
  <c r="M50" i="3"/>
  <c r="G8" i="3"/>
  <c r="V35" i="3"/>
  <c r="AC35" i="3"/>
  <c r="AE35" i="3"/>
  <c r="M42" i="3"/>
  <c r="N44" i="3"/>
  <c r="AD32" i="3"/>
  <c r="AD33" i="3"/>
  <c r="H9" i="3"/>
  <c r="M45" i="3"/>
  <c r="Q4" i="3"/>
  <c r="Q18" i="3"/>
  <c r="Z33" i="3"/>
  <c r="B12" i="3"/>
  <c r="Z35" i="3"/>
  <c r="AD35" i="3"/>
  <c r="Q41" i="3"/>
  <c r="M41" i="3"/>
  <c r="S31" i="3"/>
  <c r="AC31" i="3" s="1"/>
  <c r="L41" i="3"/>
  <c r="P48" i="3"/>
  <c r="N48" i="3"/>
  <c r="L48" i="3"/>
  <c r="O48" i="3"/>
  <c r="Q43" i="3"/>
  <c r="M43" i="3"/>
  <c r="L43" i="3"/>
  <c r="M48" i="3"/>
  <c r="E4" i="3"/>
  <c r="Q11" i="3" s="1"/>
  <c r="Q22" i="3"/>
  <c r="AG32" i="3"/>
  <c r="AG36" i="3" s="1"/>
  <c r="C10" i="3"/>
  <c r="H5" i="3" s="1"/>
  <c r="AD31" i="3"/>
  <c r="Y32" i="3"/>
  <c r="Z32" i="3" s="1"/>
  <c r="S33" i="3"/>
  <c r="AD34" i="3"/>
  <c r="N41" i="3"/>
  <c r="P41" i="3"/>
  <c r="N43" i="3"/>
  <c r="P43" i="3"/>
  <c r="O47" i="3"/>
  <c r="M47" i="3"/>
  <c r="L42" i="3"/>
  <c r="N42" i="3"/>
  <c r="P42" i="3"/>
  <c r="O49" i="3"/>
  <c r="M49" i="3"/>
  <c r="Q44" i="3"/>
  <c r="M44" i="3"/>
  <c r="L44" i="3"/>
  <c r="O51" i="3"/>
  <c r="M51" i="3"/>
  <c r="L47" i="3"/>
  <c r="P47" i="3"/>
  <c r="L49" i="3"/>
  <c r="P49" i="3"/>
  <c r="L51" i="3"/>
  <c r="P51" i="3"/>
  <c r="L45" i="3"/>
  <c r="N45" i="3"/>
  <c r="P45" i="3"/>
  <c r="L50" i="3"/>
  <c r="N50" i="3"/>
  <c r="AG32" i="2"/>
  <c r="C10" i="2"/>
  <c r="H5" i="2" s="1"/>
  <c r="AD31" i="2"/>
  <c r="AD34" i="2"/>
  <c r="Q18" i="2"/>
  <c r="B11" i="2"/>
  <c r="D11" i="2"/>
  <c r="I6" i="2" s="1"/>
  <c r="B12" i="2"/>
  <c r="Z35" i="2"/>
  <c r="Q41" i="2"/>
  <c r="M41" i="2"/>
  <c r="S31" i="2"/>
  <c r="L41" i="2"/>
  <c r="P48" i="2"/>
  <c r="N48" i="2"/>
  <c r="L48" i="2"/>
  <c r="O48" i="2"/>
  <c r="Q43" i="2"/>
  <c r="M43" i="2"/>
  <c r="L43" i="2"/>
  <c r="M48" i="2"/>
  <c r="O47" i="2"/>
  <c r="M47" i="2"/>
  <c r="L42" i="2"/>
  <c r="N42" i="2"/>
  <c r="P42" i="2"/>
  <c r="O49" i="2"/>
  <c r="M49" i="2"/>
  <c r="Q44" i="2"/>
  <c r="M44" i="2"/>
  <c r="L44" i="2"/>
  <c r="O51" i="2"/>
  <c r="M51" i="2"/>
  <c r="L47" i="2"/>
  <c r="P47" i="2"/>
  <c r="L49" i="2"/>
  <c r="P49" i="2"/>
  <c r="L51" i="2"/>
  <c r="P51" i="2"/>
  <c r="L45" i="2"/>
  <c r="N45" i="2"/>
  <c r="P45" i="2"/>
  <c r="L50" i="2"/>
  <c r="N50" i="2"/>
  <c r="G8" i="1"/>
  <c r="V33" i="2" l="1"/>
  <c r="AC35" i="2"/>
  <c r="V35" i="2"/>
  <c r="AE31" i="2"/>
  <c r="V34" i="2"/>
  <c r="AG36" i="2"/>
  <c r="AG34" i="2" s="1"/>
  <c r="AA35" i="2"/>
  <c r="AA34" i="2" s="1"/>
  <c r="AB35" i="2" s="1"/>
  <c r="E14" i="2" s="1"/>
  <c r="P14" i="2" s="1"/>
  <c r="V32" i="3"/>
  <c r="AB31" i="3"/>
  <c r="AH26" i="3" s="1"/>
  <c r="F17" i="1" s="1"/>
  <c r="AC33" i="2"/>
  <c r="B6" i="2"/>
  <c r="G6" i="2" s="1"/>
  <c r="V32" i="2"/>
  <c r="Z31" i="2"/>
  <c r="AC32" i="3"/>
  <c r="Z31" i="3"/>
  <c r="AE33" i="3"/>
  <c r="AI26" i="3"/>
  <c r="E8" i="3"/>
  <c r="O22" i="3" s="1"/>
  <c r="Z33" i="2"/>
  <c r="Z34" i="2"/>
  <c r="AE34" i="2"/>
  <c r="AE33" i="2"/>
  <c r="AB31" i="2"/>
  <c r="E10" i="2" s="1"/>
  <c r="AC34" i="2"/>
  <c r="G7" i="2"/>
  <c r="S50" i="2"/>
  <c r="V50" i="2" s="1"/>
  <c r="T45" i="2"/>
  <c r="W45" i="2" s="1"/>
  <c r="S49" i="2"/>
  <c r="V49" i="2" s="1"/>
  <c r="S47" i="2"/>
  <c r="V47" i="2" s="1"/>
  <c r="T42" i="2"/>
  <c r="W42" i="2" s="1"/>
  <c r="S43" i="2"/>
  <c r="V43" i="2" s="1"/>
  <c r="T51" i="2"/>
  <c r="W51" i="2" s="1"/>
  <c r="T49" i="2"/>
  <c r="W49" i="2" s="1"/>
  <c r="T47" i="2"/>
  <c r="W47" i="2" s="1"/>
  <c r="T48" i="2"/>
  <c r="W48" i="2" s="1"/>
  <c r="S44" i="2"/>
  <c r="V44" i="2" s="1"/>
  <c r="S42" i="2"/>
  <c r="V42" i="2" s="1"/>
  <c r="R42" i="2"/>
  <c r="U42" i="2" s="1"/>
  <c r="T41" i="2"/>
  <c r="W41" i="2" s="1"/>
  <c r="E9" i="3"/>
  <c r="P8" i="3" s="1"/>
  <c r="AE31" i="3"/>
  <c r="S50" i="3"/>
  <c r="V50" i="3" s="1"/>
  <c r="R45" i="3"/>
  <c r="U45" i="3" s="1"/>
  <c r="S49" i="3"/>
  <c r="V49" i="3" s="1"/>
  <c r="S47" i="3"/>
  <c r="V47" i="3" s="1"/>
  <c r="T42" i="3"/>
  <c r="W42" i="3" s="1"/>
  <c r="S41" i="3"/>
  <c r="V41" i="3" s="1"/>
  <c r="T51" i="3"/>
  <c r="W51" i="3" s="1"/>
  <c r="T47" i="3"/>
  <c r="W47" i="3" s="1"/>
  <c r="T49" i="3"/>
  <c r="W49" i="3" s="1"/>
  <c r="T48" i="3"/>
  <c r="W48" i="3" s="1"/>
  <c r="AE34" i="3"/>
  <c r="D13" i="3"/>
  <c r="I8" i="3" s="1"/>
  <c r="S44" i="3"/>
  <c r="V44" i="3" s="1"/>
  <c r="S42" i="3"/>
  <c r="V42" i="3" s="1"/>
  <c r="R42" i="3"/>
  <c r="U42" i="3" s="1"/>
  <c r="T50" i="3"/>
  <c r="W50" i="3" s="1"/>
  <c r="R50" i="3"/>
  <c r="U50" i="3" s="1"/>
  <c r="R51" i="3"/>
  <c r="U51" i="3" s="1"/>
  <c r="X51" i="3" s="1"/>
  <c r="C54" i="3" s="1"/>
  <c r="T45" i="3"/>
  <c r="W45" i="3" s="1"/>
  <c r="T41" i="3"/>
  <c r="W41" i="3" s="1"/>
  <c r="P14" i="3"/>
  <c r="P21" i="3"/>
  <c r="P7" i="3"/>
  <c r="S45" i="3"/>
  <c r="V45" i="3" s="1"/>
  <c r="S51" i="3"/>
  <c r="V51" i="3" s="1"/>
  <c r="R44" i="3"/>
  <c r="U44" i="3" s="1"/>
  <c r="T44" i="3"/>
  <c r="W44" i="3" s="1"/>
  <c r="R49" i="3"/>
  <c r="U49" i="3" s="1"/>
  <c r="R47" i="3"/>
  <c r="U47" i="3" s="1"/>
  <c r="S43" i="3"/>
  <c r="V43" i="3" s="1"/>
  <c r="V33" i="3"/>
  <c r="B7" i="3"/>
  <c r="G7" i="3" s="1"/>
  <c r="AE32" i="3"/>
  <c r="D11" i="3"/>
  <c r="I6" i="3" s="1"/>
  <c r="AG38" i="3"/>
  <c r="AG34" i="3"/>
  <c r="R43" i="3"/>
  <c r="U43" i="3" s="1"/>
  <c r="T43" i="3"/>
  <c r="W43" i="3" s="1"/>
  <c r="R48" i="3"/>
  <c r="U48" i="3" s="1"/>
  <c r="S48" i="3"/>
  <c r="V48" i="3" s="1"/>
  <c r="R41" i="3"/>
  <c r="U41" i="3" s="1"/>
  <c r="X41" i="3" s="1"/>
  <c r="G50" i="3" s="1"/>
  <c r="AC33" i="3"/>
  <c r="AA33" i="3"/>
  <c r="V31" i="3"/>
  <c r="B5" i="3"/>
  <c r="G5" i="3" s="1"/>
  <c r="T50" i="2"/>
  <c r="W50" i="2" s="1"/>
  <c r="R50" i="2"/>
  <c r="U50" i="2" s="1"/>
  <c r="R45" i="2"/>
  <c r="U45" i="2" s="1"/>
  <c r="R51" i="2"/>
  <c r="U51" i="2" s="1"/>
  <c r="V31" i="2"/>
  <c r="B5" i="2"/>
  <c r="G5" i="2" s="1"/>
  <c r="S41" i="2"/>
  <c r="V41" i="2" s="1"/>
  <c r="AG38" i="2"/>
  <c r="S45" i="2"/>
  <c r="V45" i="2" s="1"/>
  <c r="S51" i="2"/>
  <c r="V51" i="2" s="1"/>
  <c r="R44" i="2"/>
  <c r="U44" i="2" s="1"/>
  <c r="T44" i="2"/>
  <c r="W44" i="2" s="1"/>
  <c r="R49" i="2"/>
  <c r="U49" i="2" s="1"/>
  <c r="R47" i="2"/>
  <c r="U47" i="2" s="1"/>
  <c r="R43" i="2"/>
  <c r="U43" i="2" s="1"/>
  <c r="T43" i="2"/>
  <c r="W43" i="2" s="1"/>
  <c r="R48" i="2"/>
  <c r="U48" i="2" s="1"/>
  <c r="S48" i="2"/>
  <c r="V48" i="2" s="1"/>
  <c r="R41" i="2"/>
  <c r="U41" i="2" s="1"/>
  <c r="AC31" i="2"/>
  <c r="Y50" i="2" l="1"/>
  <c r="D53" i="2" s="1"/>
  <c r="D61" i="2" s="1"/>
  <c r="Y48" i="2"/>
  <c r="D51" i="2" s="1"/>
  <c r="D59" i="2" s="1"/>
  <c r="Z43" i="2"/>
  <c r="I52" i="2" s="1"/>
  <c r="I60" i="2" s="1"/>
  <c r="Z44" i="2"/>
  <c r="I53" i="2" s="1"/>
  <c r="I61" i="2" s="1"/>
  <c r="Y43" i="2"/>
  <c r="H52" i="2" s="1"/>
  <c r="H60" i="2" s="1"/>
  <c r="P21" i="2"/>
  <c r="E9" i="2"/>
  <c r="P22" i="2" s="1"/>
  <c r="AI26" i="2"/>
  <c r="P7" i="2"/>
  <c r="AA33" i="2"/>
  <c r="E8" i="2"/>
  <c r="Y41" i="2"/>
  <c r="H50" i="2" s="1"/>
  <c r="H58" i="2" s="1"/>
  <c r="AI29" i="3"/>
  <c r="Y50" i="3"/>
  <c r="D53" i="3" s="1"/>
  <c r="D61" i="3" s="1"/>
  <c r="Z45" i="3"/>
  <c r="I54" i="3" s="1"/>
  <c r="I62" i="3" s="1"/>
  <c r="O8" i="3"/>
  <c r="Z41" i="3"/>
  <c r="I50" i="3" s="1"/>
  <c r="I58" i="3" s="1"/>
  <c r="Y41" i="3"/>
  <c r="H50" i="3" s="1"/>
  <c r="H58" i="3" s="1"/>
  <c r="Y48" i="3"/>
  <c r="D51" i="3" s="1"/>
  <c r="D59" i="3" s="1"/>
  <c r="AG26" i="3"/>
  <c r="P15" i="3"/>
  <c r="X48" i="3"/>
  <c r="C51" i="3" s="1"/>
  <c r="C59" i="3" s="1"/>
  <c r="E10" i="3"/>
  <c r="X43" i="2"/>
  <c r="G52" i="2" s="1"/>
  <c r="G60" i="2" s="1"/>
  <c r="Z48" i="2"/>
  <c r="E51" i="2" s="1"/>
  <c r="E59" i="2" s="1"/>
  <c r="O15" i="3"/>
  <c r="Z44" i="3"/>
  <c r="I53" i="3" s="1"/>
  <c r="I61" i="3" s="1"/>
  <c r="Z43" i="3"/>
  <c r="I52" i="3" s="1"/>
  <c r="I60" i="3" s="1"/>
  <c r="Y43" i="3"/>
  <c r="H52" i="3" s="1"/>
  <c r="H60" i="3" s="1"/>
  <c r="X44" i="3"/>
  <c r="G53" i="3" s="1"/>
  <c r="G61" i="3" s="1"/>
  <c r="AH26" i="2"/>
  <c r="F16" i="1" s="1"/>
  <c r="AG26" i="2"/>
  <c r="Z51" i="2"/>
  <c r="E54" i="2" s="1"/>
  <c r="E62" i="2" s="1"/>
  <c r="Y49" i="2"/>
  <c r="D52" i="2" s="1"/>
  <c r="D60" i="2" s="1"/>
  <c r="Y44" i="2"/>
  <c r="H53" i="2" s="1"/>
  <c r="H61" i="2" s="1"/>
  <c r="Z41" i="2"/>
  <c r="I50" i="2" s="1"/>
  <c r="I58" i="2" s="1"/>
  <c r="X44" i="2"/>
  <c r="G53" i="2" s="1"/>
  <c r="G61" i="2" s="1"/>
  <c r="Z47" i="2"/>
  <c r="E50" i="2" s="1"/>
  <c r="E58" i="2" s="1"/>
  <c r="AI29" i="2"/>
  <c r="X48" i="2"/>
  <c r="C51" i="2" s="1"/>
  <c r="Z42" i="2"/>
  <c r="I51" i="2" s="1"/>
  <c r="I59" i="2" s="1"/>
  <c r="Z45" i="2"/>
  <c r="I54" i="2" s="1"/>
  <c r="I62" i="2" s="1"/>
  <c r="P15" i="2"/>
  <c r="X41" i="2"/>
  <c r="G50" i="2" s="1"/>
  <c r="Y45" i="2"/>
  <c r="H54" i="2" s="1"/>
  <c r="H62" i="2" s="1"/>
  <c r="X45" i="2"/>
  <c r="G54" i="2" s="1"/>
  <c r="P22" i="3"/>
  <c r="Y44" i="3"/>
  <c r="H53" i="3" s="1"/>
  <c r="H61" i="3" s="1"/>
  <c r="X45" i="3"/>
  <c r="G54" i="3" s="1"/>
  <c r="G62" i="3" s="1"/>
  <c r="Z42" i="3"/>
  <c r="I51" i="3" s="1"/>
  <c r="I59" i="3" s="1"/>
  <c r="Y47" i="3"/>
  <c r="D50" i="3" s="1"/>
  <c r="D58" i="3" s="1"/>
  <c r="X49" i="3"/>
  <c r="C52" i="3" s="1"/>
  <c r="C60" i="3" s="1"/>
  <c r="Y45" i="3"/>
  <c r="H54" i="3" s="1"/>
  <c r="H62" i="3" s="1"/>
  <c r="Z48" i="3"/>
  <c r="E51" i="3" s="1"/>
  <c r="E59" i="3" s="1"/>
  <c r="X42" i="3"/>
  <c r="G51" i="3" s="1"/>
  <c r="G59" i="3" s="1"/>
  <c r="Z51" i="3"/>
  <c r="E54" i="3" s="1"/>
  <c r="E62" i="3" s="1"/>
  <c r="Y49" i="3"/>
  <c r="D52" i="3" s="1"/>
  <c r="D60" i="3" s="1"/>
  <c r="G58" i="3"/>
  <c r="X43" i="3"/>
  <c r="G52" i="3" s="1"/>
  <c r="X47" i="3"/>
  <c r="C50" i="3" s="1"/>
  <c r="Y51" i="3"/>
  <c r="D54" i="3" s="1"/>
  <c r="D62" i="3" s="1"/>
  <c r="C62" i="3"/>
  <c r="Z50" i="3"/>
  <c r="E53" i="3" s="1"/>
  <c r="E61" i="3" s="1"/>
  <c r="Z49" i="3"/>
  <c r="E52" i="3" s="1"/>
  <c r="E60" i="3" s="1"/>
  <c r="Z47" i="3"/>
  <c r="E50" i="3" s="1"/>
  <c r="E58" i="3" s="1"/>
  <c r="AB34" i="3"/>
  <c r="E7" i="3"/>
  <c r="Y42" i="3"/>
  <c r="H51" i="3" s="1"/>
  <c r="H59" i="3" s="1"/>
  <c r="X50" i="3"/>
  <c r="C53" i="3" s="1"/>
  <c r="X47" i="2"/>
  <c r="C50" i="2" s="1"/>
  <c r="Y51" i="2"/>
  <c r="D54" i="2" s="1"/>
  <c r="D62" i="2" s="1"/>
  <c r="Y42" i="2"/>
  <c r="H51" i="2" s="1"/>
  <c r="H59" i="2" s="1"/>
  <c r="X51" i="2"/>
  <c r="C54" i="2" s="1"/>
  <c r="Y47" i="2"/>
  <c r="D50" i="2" s="1"/>
  <c r="D58" i="2" s="1"/>
  <c r="Z50" i="2"/>
  <c r="E53" i="2" s="1"/>
  <c r="E61" i="2" s="1"/>
  <c r="X49" i="2"/>
  <c r="C52" i="2" s="1"/>
  <c r="X50" i="2"/>
  <c r="C53" i="2" s="1"/>
  <c r="X42" i="2"/>
  <c r="G51" i="2" s="1"/>
  <c r="Z49" i="2"/>
  <c r="E52" i="2" s="1"/>
  <c r="E60" i="2" s="1"/>
  <c r="P8" i="2" l="1"/>
  <c r="E7" i="2"/>
  <c r="AB34" i="2"/>
  <c r="O8" i="2"/>
  <c r="O15" i="2"/>
  <c r="O22" i="2"/>
  <c r="J52" i="2"/>
  <c r="J50" i="3"/>
  <c r="B51" i="3"/>
  <c r="B51" i="2"/>
  <c r="J54" i="3"/>
  <c r="J53" i="3"/>
  <c r="J53" i="2"/>
  <c r="J50" i="2"/>
  <c r="C59" i="2"/>
  <c r="J54" i="2"/>
  <c r="G62" i="2"/>
  <c r="G58" i="2"/>
  <c r="B52" i="3"/>
  <c r="J51" i="3"/>
  <c r="B54" i="3"/>
  <c r="E13" i="3"/>
  <c r="AA32" i="3"/>
  <c r="B50" i="3"/>
  <c r="C58" i="3"/>
  <c r="B53" i="3"/>
  <c r="C61" i="3"/>
  <c r="N14" i="3"/>
  <c r="N21" i="3"/>
  <c r="N7" i="3"/>
  <c r="G60" i="3"/>
  <c r="J52" i="3"/>
  <c r="B53" i="2"/>
  <c r="C61" i="2"/>
  <c r="B52" i="2"/>
  <c r="C60" i="2"/>
  <c r="B50" i="2"/>
  <c r="C58" i="2"/>
  <c r="J51" i="2"/>
  <c r="G59" i="2"/>
  <c r="B54" i="2"/>
  <c r="C62" i="2"/>
  <c r="AA32" i="2" l="1"/>
  <c r="E13" i="2"/>
  <c r="N14" i="2"/>
  <c r="N7" i="2"/>
  <c r="N21" i="2"/>
  <c r="AB33" i="3"/>
  <c r="E6" i="3"/>
  <c r="O20" i="3"/>
  <c r="O13" i="3"/>
  <c r="O6" i="3"/>
  <c r="O7" i="3"/>
  <c r="O21" i="3"/>
  <c r="O14" i="3"/>
  <c r="O6" i="2" l="1"/>
  <c r="O20" i="2"/>
  <c r="O13" i="2"/>
  <c r="O7" i="2"/>
  <c r="O21" i="2"/>
  <c r="O14" i="2"/>
  <c r="E6" i="2"/>
  <c r="AB33" i="2"/>
  <c r="M20" i="3"/>
  <c r="M6" i="3"/>
  <c r="M13" i="3"/>
  <c r="AA31" i="3"/>
  <c r="E12" i="3"/>
  <c r="E12" i="2" l="1"/>
  <c r="AA31" i="2"/>
  <c r="M13" i="2"/>
  <c r="M20" i="2"/>
  <c r="M6" i="2"/>
  <c r="N19" i="3"/>
  <c r="N12" i="3"/>
  <c r="N5" i="3"/>
  <c r="N6" i="3"/>
  <c r="N13" i="3"/>
  <c r="N20" i="3"/>
  <c r="AB32" i="3"/>
  <c r="E11" i="3" s="1"/>
  <c r="E5" i="3"/>
  <c r="E5" i="2" l="1"/>
  <c r="AB32" i="2"/>
  <c r="E11" i="2" s="1"/>
  <c r="N5" i="2"/>
  <c r="N6" i="2"/>
  <c r="N20" i="2"/>
  <c r="N12" i="2"/>
  <c r="N19" i="2"/>
  <c r="N13" i="2"/>
  <c r="L12" i="3"/>
  <c r="L19" i="3"/>
  <c r="L5" i="3"/>
  <c r="L11" i="3"/>
  <c r="L18" i="3"/>
  <c r="L4" i="3"/>
  <c r="M11" i="3"/>
  <c r="M4" i="3"/>
  <c r="M18" i="3"/>
  <c r="M5" i="3"/>
  <c r="M19" i="3"/>
  <c r="M12" i="3"/>
  <c r="M11" i="2" l="1"/>
  <c r="M4" i="2"/>
  <c r="M12" i="2"/>
  <c r="M18" i="2"/>
  <c r="M5" i="2"/>
  <c r="M19" i="2"/>
  <c r="L5" i="2"/>
  <c r="L4" i="2"/>
  <c r="L12" i="2"/>
  <c r="L19" i="2"/>
  <c r="L11" i="2"/>
  <c r="L18" i="2"/>
  <c r="T4" i="3" a="1"/>
  <c r="T11" i="3" a="1"/>
  <c r="T18" i="3" a="1"/>
  <c r="T18" i="2" l="1" a="1"/>
  <c r="V22" i="2" s="1"/>
  <c r="T11" i="2" a="1"/>
  <c r="U15" i="2" s="1"/>
  <c r="T18" i="2"/>
  <c r="T4" i="2" a="1"/>
  <c r="W15" i="3"/>
  <c r="U15" i="3"/>
  <c r="X14" i="3"/>
  <c r="V14" i="3"/>
  <c r="T14" i="3"/>
  <c r="W13" i="3"/>
  <c r="U13" i="3"/>
  <c r="X12" i="3"/>
  <c r="V12" i="3"/>
  <c r="T12" i="3"/>
  <c r="W11" i="3"/>
  <c r="U11" i="3"/>
  <c r="X15" i="3"/>
  <c r="T15" i="3"/>
  <c r="U14" i="3"/>
  <c r="V13" i="3"/>
  <c r="W12" i="3"/>
  <c r="X11" i="3"/>
  <c r="T11" i="3"/>
  <c r="V15" i="3"/>
  <c r="W14" i="3"/>
  <c r="X13" i="3"/>
  <c r="T13" i="3"/>
  <c r="U12" i="3"/>
  <c r="V11" i="3"/>
  <c r="X22" i="3"/>
  <c r="V22" i="3"/>
  <c r="T22" i="3"/>
  <c r="W21" i="3"/>
  <c r="U21" i="3"/>
  <c r="X20" i="3"/>
  <c r="V20" i="3"/>
  <c r="T20" i="3"/>
  <c r="W19" i="3"/>
  <c r="U19" i="3"/>
  <c r="X18" i="3"/>
  <c r="V18" i="3"/>
  <c r="T18" i="3"/>
  <c r="W22" i="3"/>
  <c r="X21" i="3"/>
  <c r="T21" i="3"/>
  <c r="U20" i="3"/>
  <c r="V19" i="3"/>
  <c r="W18" i="3"/>
  <c r="U22" i="3"/>
  <c r="V21" i="3"/>
  <c r="W20" i="3"/>
  <c r="X19" i="3"/>
  <c r="T19" i="3"/>
  <c r="U18" i="3"/>
  <c r="W8" i="3"/>
  <c r="U8" i="3"/>
  <c r="X7" i="3"/>
  <c r="V7" i="3"/>
  <c r="T7" i="3"/>
  <c r="W6" i="3"/>
  <c r="U6" i="3"/>
  <c r="X5" i="3"/>
  <c r="V5" i="3"/>
  <c r="T5" i="3"/>
  <c r="W4" i="3"/>
  <c r="U4" i="3"/>
  <c r="X8" i="3"/>
  <c r="V8" i="3"/>
  <c r="T8" i="3"/>
  <c r="W7" i="3"/>
  <c r="U7" i="3"/>
  <c r="X6" i="3"/>
  <c r="V6" i="3"/>
  <c r="T6" i="3"/>
  <c r="W5" i="3"/>
  <c r="U5" i="3"/>
  <c r="X4" i="3"/>
  <c r="V4" i="3"/>
  <c r="T4" i="3"/>
  <c r="T19" i="2" l="1"/>
  <c r="W19" i="2"/>
  <c r="U19" i="2"/>
  <c r="X22" i="2"/>
  <c r="X21" i="2"/>
  <c r="X20" i="2"/>
  <c r="U22" i="2"/>
  <c r="T21" i="2"/>
  <c r="U21" i="2"/>
  <c r="V21" i="2"/>
  <c r="U18" i="2"/>
  <c r="W21" i="2"/>
  <c r="T20" i="2"/>
  <c r="V18" i="2"/>
  <c r="W20" i="2"/>
  <c r="W22" i="2"/>
  <c r="V19" i="2"/>
  <c r="T22" i="2"/>
  <c r="V20" i="2"/>
  <c r="X18" i="2"/>
  <c r="X19" i="2"/>
  <c r="U20" i="2"/>
  <c r="W18" i="2"/>
  <c r="W15" i="2"/>
  <c r="T12" i="2"/>
  <c r="V11" i="2"/>
  <c r="X14" i="2"/>
  <c r="W11" i="2"/>
  <c r="V12" i="2"/>
  <c r="W13" i="2"/>
  <c r="W14" i="2"/>
  <c r="V13" i="2"/>
  <c r="X15" i="2"/>
  <c r="U14" i="2"/>
  <c r="U12" i="2"/>
  <c r="V14" i="2"/>
  <c r="X12" i="2"/>
  <c r="U11" i="2"/>
  <c r="T13" i="2"/>
  <c r="T15" i="2"/>
  <c r="X11" i="2"/>
  <c r="U13" i="2"/>
  <c r="T14" i="2"/>
  <c r="X13" i="2"/>
  <c r="T11" i="2"/>
  <c r="V15" i="2"/>
  <c r="W12" i="2"/>
  <c r="W7" i="2"/>
  <c r="U6" i="2"/>
  <c r="X8" i="2"/>
  <c r="T8" i="2"/>
  <c r="U7" i="2"/>
  <c r="V6" i="2"/>
  <c r="W5" i="2"/>
  <c r="X4" i="2"/>
  <c r="T4" i="2"/>
  <c r="U8" i="2"/>
  <c r="V7" i="2"/>
  <c r="W6" i="2"/>
  <c r="X5" i="2"/>
  <c r="T5" i="2"/>
  <c r="U4" i="2"/>
  <c r="V8" i="2"/>
  <c r="X6" i="2"/>
  <c r="T6" i="2"/>
  <c r="U5" i="2"/>
  <c r="V4" i="2"/>
  <c r="W8" i="2"/>
  <c r="X7" i="2"/>
  <c r="T7" i="2"/>
  <c r="V5" i="2"/>
  <c r="W4" i="2"/>
  <c r="Z18" i="3" a="1"/>
  <c r="Z4" i="3" a="1"/>
  <c r="Z11" i="3" a="1"/>
  <c r="Z18" i="2" l="1" a="1"/>
  <c r="Z22" i="2" s="1"/>
  <c r="N32" i="2" s="1"/>
  <c r="Z11" i="2" a="1"/>
  <c r="Z12" i="2" s="1"/>
  <c r="M29" i="2" s="1"/>
  <c r="Z4" i="2" a="1"/>
  <c r="Z7" i="3"/>
  <c r="L31" i="3" s="1"/>
  <c r="Z5" i="3"/>
  <c r="L29" i="3" s="1"/>
  <c r="Z8" i="3"/>
  <c r="L32" i="3" s="1"/>
  <c r="Z6" i="3"/>
  <c r="L30" i="3" s="1"/>
  <c r="Z4" i="3"/>
  <c r="L28" i="3" s="1"/>
  <c r="Z14" i="3"/>
  <c r="M31" i="3" s="1"/>
  <c r="Z12" i="3"/>
  <c r="M29" i="3" s="1"/>
  <c r="Z13" i="3"/>
  <c r="M30" i="3" s="1"/>
  <c r="Z15" i="3"/>
  <c r="M32" i="3" s="1"/>
  <c r="Z11" i="3"/>
  <c r="M28" i="3" s="1"/>
  <c r="Z22" i="3"/>
  <c r="N32" i="3" s="1"/>
  <c r="Z20" i="3"/>
  <c r="N30" i="3" s="1"/>
  <c r="Z18" i="3"/>
  <c r="N28" i="3" s="1"/>
  <c r="Z19" i="3"/>
  <c r="N29" i="3" s="1"/>
  <c r="Z21" i="3"/>
  <c r="N31" i="3" s="1"/>
  <c r="Z21" i="2" l="1"/>
  <c r="N31" i="2" s="1"/>
  <c r="Z18" i="2"/>
  <c r="N28" i="2" s="1"/>
  <c r="Z19" i="2"/>
  <c r="N29" i="2" s="1"/>
  <c r="Z20" i="2"/>
  <c r="N30" i="2" s="1"/>
  <c r="Z14" i="2"/>
  <c r="M31" i="2" s="1"/>
  <c r="Z13" i="2"/>
  <c r="M30" i="2" s="1"/>
  <c r="Z15" i="2"/>
  <c r="M32" i="2" s="1"/>
  <c r="Z11" i="2"/>
  <c r="M28" i="2" s="1"/>
  <c r="Z6" i="2"/>
  <c r="L30" i="2" s="1"/>
  <c r="Z7" i="2"/>
  <c r="L31" i="2" s="1"/>
  <c r="Z8" i="2"/>
  <c r="L32" i="2" s="1"/>
  <c r="Z4" i="2"/>
  <c r="L28" i="2" s="1"/>
  <c r="Z5" i="2"/>
  <c r="L29" i="2" s="1"/>
  <c r="O29" i="2" s="1"/>
  <c r="O30" i="3"/>
  <c r="O29" i="3"/>
  <c r="O28" i="3"/>
  <c r="O32" i="3"/>
  <c r="O31" i="3"/>
  <c r="O32" i="2" l="1"/>
  <c r="O28" i="2"/>
  <c r="O30" i="2"/>
  <c r="O31" i="2"/>
</calcChain>
</file>

<file path=xl/sharedStrings.xml><?xml version="1.0" encoding="utf-8"?>
<sst xmlns="http://schemas.openxmlformats.org/spreadsheetml/2006/main" count="315" uniqueCount="131">
  <si>
    <t>NF</t>
  </si>
  <si>
    <t>kmol</t>
  </si>
  <si>
    <t>https://www.sciencedirect.com/science/article/pii/0926860X9385053R</t>
  </si>
  <si>
    <t>xMeOH</t>
  </si>
  <si>
    <t>xMTBE</t>
  </si>
  <si>
    <t>Pred vypocet RK</t>
  </si>
  <si>
    <t>xi</t>
  </si>
  <si>
    <t>n [kmol/h]</t>
  </si>
  <si>
    <t>'=xe/xr</t>
  </si>
  <si>
    <t>A</t>
  </si>
  <si>
    <t>B</t>
  </si>
  <si>
    <t>C</t>
  </si>
  <si>
    <t>A+B+C</t>
  </si>
  <si>
    <t>kA</t>
  </si>
  <si>
    <t>kB</t>
  </si>
  <si>
    <t>kC</t>
  </si>
  <si>
    <t>psA</t>
  </si>
  <si>
    <t>inverz</t>
  </si>
  <si>
    <t>xA</t>
  </si>
  <si>
    <t>F</t>
  </si>
  <si>
    <t>-</t>
  </si>
  <si>
    <t>A(zlozka A)</t>
  </si>
  <si>
    <t>R1</t>
  </si>
  <si>
    <t>R2</t>
  </si>
  <si>
    <t>R3</t>
  </si>
  <si>
    <t>R4</t>
  </si>
  <si>
    <t>R5</t>
  </si>
  <si>
    <t>E1</t>
  </si>
  <si>
    <t>psB</t>
  </si>
  <si>
    <t>xB</t>
  </si>
  <si>
    <t>E2</t>
  </si>
  <si>
    <t>A(zlozka B)</t>
  </si>
  <si>
    <t>E3</t>
  </si>
  <si>
    <t>E4</t>
  </si>
  <si>
    <t>E5</t>
  </si>
  <si>
    <t>S</t>
  </si>
  <si>
    <t>psC</t>
  </si>
  <si>
    <t>xC</t>
  </si>
  <si>
    <t>MTBE</t>
  </si>
  <si>
    <t>A(zlozka C)</t>
  </si>
  <si>
    <t>Methanol</t>
  </si>
  <si>
    <t>[BMIM][HSO4]</t>
  </si>
  <si>
    <t>n[kmol/h]</t>
  </si>
  <si>
    <t>ns</t>
  </si>
  <si>
    <t>ns/nf</t>
  </si>
  <si>
    <t>Ya(straty</t>
  </si>
  <si>
    <t>Yb</t>
  </si>
  <si>
    <t>Yc(straty)</t>
  </si>
  <si>
    <t>Raf</t>
  </si>
  <si>
    <t>∑xRi</t>
  </si>
  <si>
    <t>nR [kmol/h][mol.h-1]</t>
  </si>
  <si>
    <t>nE [kmol/h]</t>
  </si>
  <si>
    <t>Ybziad</t>
  </si>
  <si>
    <t>Kontakt</t>
  </si>
  <si>
    <t>xRA</t>
  </si>
  <si>
    <t>xRB</t>
  </si>
  <si>
    <t>xRC</t>
  </si>
  <si>
    <t>xEA</t>
  </si>
  <si>
    <t>xEB</t>
  </si>
  <si>
    <t>xEC</t>
  </si>
  <si>
    <t>∑xEi</t>
  </si>
  <si>
    <t>ne(nove)</t>
  </si>
  <si>
    <t>nr(nove)</t>
  </si>
  <si>
    <r>
      <t>τ</t>
    </r>
    <r>
      <rPr>
        <b/>
        <vertAlign val="subscript"/>
        <sz val="11"/>
        <color rgb="FF000000"/>
        <rFont val="Calibri"/>
        <family val="2"/>
      </rPr>
      <t>12</t>
    </r>
  </si>
  <si>
    <r>
      <t>τ</t>
    </r>
    <r>
      <rPr>
        <b/>
        <vertAlign val="subscript"/>
        <sz val="11"/>
        <color rgb="FF000000"/>
        <rFont val="Calibri"/>
        <family val="2"/>
      </rPr>
      <t>21</t>
    </r>
  </si>
  <si>
    <r>
      <t>τ</t>
    </r>
    <r>
      <rPr>
        <b/>
        <vertAlign val="subscript"/>
        <sz val="11"/>
        <color rgb="FF000000"/>
        <rFont val="Calibri"/>
        <family val="2"/>
      </rPr>
      <t>13</t>
    </r>
  </si>
  <si>
    <r>
      <t>τ</t>
    </r>
    <r>
      <rPr>
        <b/>
        <vertAlign val="subscript"/>
        <sz val="11"/>
        <color rgb="FF000000"/>
        <rFont val="Calibri"/>
        <family val="2"/>
      </rPr>
      <t>31</t>
    </r>
  </si>
  <si>
    <r>
      <t>τ</t>
    </r>
    <r>
      <rPr>
        <b/>
        <vertAlign val="subscript"/>
        <sz val="11"/>
        <color rgb="FF000000"/>
        <rFont val="Calibri"/>
        <family val="2"/>
      </rPr>
      <t>23</t>
    </r>
  </si>
  <si>
    <r>
      <t>τ</t>
    </r>
    <r>
      <rPr>
        <b/>
        <vertAlign val="subscript"/>
        <sz val="11"/>
        <color rgb="FF000000"/>
        <rFont val="Calibri"/>
        <family val="2"/>
      </rPr>
      <t>32</t>
    </r>
  </si>
  <si>
    <t>ns(nove)</t>
  </si>
  <si>
    <r>
      <t>G</t>
    </r>
    <r>
      <rPr>
        <b/>
        <vertAlign val="subscript"/>
        <sz val="11"/>
        <color rgb="FF000000"/>
        <rFont val="Calibri"/>
        <family val="2"/>
      </rPr>
      <t>12</t>
    </r>
  </si>
  <si>
    <r>
      <t>G</t>
    </r>
    <r>
      <rPr>
        <b/>
        <vertAlign val="subscript"/>
        <sz val="11"/>
        <color rgb="FF000000"/>
        <rFont val="Calibri"/>
        <family val="2"/>
      </rPr>
      <t>21</t>
    </r>
  </si>
  <si>
    <r>
      <t>G</t>
    </r>
    <r>
      <rPr>
        <b/>
        <vertAlign val="subscript"/>
        <sz val="11"/>
        <color rgb="FF000000"/>
        <rFont val="Calibri"/>
        <family val="2"/>
      </rPr>
      <t>13</t>
    </r>
  </si>
  <si>
    <r>
      <t>G</t>
    </r>
    <r>
      <rPr>
        <b/>
        <vertAlign val="subscript"/>
        <sz val="11"/>
        <color rgb="FF000000"/>
        <rFont val="Calibri"/>
        <family val="2"/>
      </rPr>
      <t>31</t>
    </r>
  </si>
  <si>
    <r>
      <t>G</t>
    </r>
    <r>
      <rPr>
        <b/>
        <vertAlign val="subscript"/>
        <sz val="11"/>
        <color rgb="FF000000"/>
        <rFont val="Calibri"/>
        <family val="2"/>
      </rPr>
      <t>23</t>
    </r>
  </si>
  <si>
    <r>
      <t>G</t>
    </r>
    <r>
      <rPr>
        <b/>
        <vertAlign val="subscript"/>
        <sz val="11"/>
        <color rgb="FF000000"/>
        <rFont val="Calibri"/>
        <family val="2"/>
      </rPr>
      <t>32</t>
    </r>
  </si>
  <si>
    <t>x1.1</t>
  </si>
  <si>
    <t>x2.1</t>
  </si>
  <si>
    <t>x3.1</t>
  </si>
  <si>
    <t>x1.2</t>
  </si>
  <si>
    <t>x2.2</t>
  </si>
  <si>
    <t>x3.2</t>
  </si>
  <si>
    <t>φ1.1</t>
  </si>
  <si>
    <t>φ2.1</t>
  </si>
  <si>
    <t>φ3.1</t>
  </si>
  <si>
    <t>θ1.1</t>
  </si>
  <si>
    <t>θ2.1</t>
  </si>
  <si>
    <t>θ3.1</t>
  </si>
  <si>
    <t>lnγ1.1</t>
  </si>
  <si>
    <t>lnγ2.1</t>
  </si>
  <si>
    <t>lnγ3.1</t>
  </si>
  <si>
    <t>γ1.1</t>
  </si>
  <si>
    <t>γ2.1</t>
  </si>
  <si>
    <t>γ3.1</t>
  </si>
  <si>
    <t>γ1.1/γ1.2</t>
  </si>
  <si>
    <t>γ2.1/γ2.2</t>
  </si>
  <si>
    <t>γ3.1/γ3.2</t>
  </si>
  <si>
    <t>φ1.2</t>
  </si>
  <si>
    <t>φ2.2</t>
  </si>
  <si>
    <t>φ3.2</t>
  </si>
  <si>
    <t>θ1.2</t>
  </si>
  <si>
    <t>θ2.2</t>
  </si>
  <si>
    <t>θ3.2</t>
  </si>
  <si>
    <t>lnγ1.2</t>
  </si>
  <si>
    <t>lnγ2.2</t>
  </si>
  <si>
    <t>lnγ3.2</t>
  </si>
  <si>
    <t>γ1.2</t>
  </si>
  <si>
    <t>γ2.2</t>
  </si>
  <si>
    <t>γ3.2</t>
  </si>
  <si>
    <t>γ1.2/γ1.1</t>
  </si>
  <si>
    <t>γ2.2/γ2.1</t>
  </si>
  <si>
    <t>γ3.2/γ3.1</t>
  </si>
  <si>
    <t>Nove</t>
  </si>
  <si>
    <t>Σxi</t>
  </si>
  <si>
    <t>x3.3</t>
  </si>
  <si>
    <t>Step</t>
  </si>
  <si>
    <t>x1</t>
  </si>
  <si>
    <t>x2</t>
  </si>
  <si>
    <t>x3</t>
  </si>
  <si>
    <t>Porovnanie spotreby Extr.</t>
  </si>
  <si>
    <t>YB</t>
  </si>
  <si>
    <t>(uprava cez RK)</t>
  </si>
  <si>
    <t>(bez upravy)</t>
  </si>
  <si>
    <t>nD</t>
  </si>
  <si>
    <t>nW</t>
  </si>
  <si>
    <t>nF</t>
  </si>
  <si>
    <t>nS</t>
  </si>
  <si>
    <t>S/F</t>
  </si>
  <si>
    <t>or</t>
  </si>
  <si>
    <t>nMeOH</t>
  </si>
  <si>
    <t>nMTBE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</si>
</sst>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0.0000"/>
    <numFmt numFmtId="165" formatCode="0.000"/>
    <numFmt numFmtId="166" formatCode="_(* #,##0.0000_);_(* \(#,##0.0000\);_(* &quot;-&quot;??_);_(@_)"/>
    <numFmt numFmtId="167" formatCode="_(* #,##0.0000_);_(* \(#,##0.0000\);_(* &quot;-&quot;????_);_(@_)"/>
    <numFmt numFmtId="168" formatCode="0.000000"/>
    <numFmt numFmtId="169" formatCode="_(* #,##0.000_);_(* \(#,##0.00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/>
  </cellStyleXfs>
  <cellXfs count="105">
    <xf numFmtId="0" fontId="0" fillId="0" borderId="0" xfId="0"/>
    <xf numFmtId="0" fontId="4" fillId="0" borderId="0" xfId="2" applyAlignment="1">
      <alignment vertical="center"/>
    </xf>
    <xf numFmtId="164" fontId="0" fillId="0" borderId="0" xfId="0" applyNumberFormat="1"/>
    <xf numFmtId="165" fontId="0" fillId="0" borderId="0" xfId="0" applyNumberForma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0" fontId="0" fillId="0" borderId="0" xfId="0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8" xfId="0" applyFont="1" applyBorder="1"/>
    <xf numFmtId="0" fontId="0" fillId="0" borderId="4" xfId="0" applyBorder="1"/>
    <xf numFmtId="0" fontId="0" fillId="0" borderId="7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6" fillId="0" borderId="0" xfId="0" applyFont="1"/>
    <xf numFmtId="164" fontId="6" fillId="0" borderId="0" xfId="0" applyNumberFormat="1" applyFont="1"/>
    <xf numFmtId="0" fontId="3" fillId="0" borderId="9" xfId="0" applyFont="1" applyBorder="1"/>
    <xf numFmtId="166" fontId="0" fillId="0" borderId="9" xfId="0" applyNumberFormat="1" applyBorder="1"/>
    <xf numFmtId="166" fontId="0" fillId="0" borderId="0" xfId="0" applyNumberFormat="1" applyBorder="1"/>
    <xf numFmtId="166" fontId="0" fillId="0" borderId="10" xfId="0" applyNumberFormat="1" applyBorder="1"/>
    <xf numFmtId="0" fontId="0" fillId="0" borderId="14" xfId="0" applyBorder="1"/>
    <xf numFmtId="2" fontId="0" fillId="0" borderId="9" xfId="0" applyNumberFormat="1" applyBorder="1"/>
    <xf numFmtId="2" fontId="0" fillId="0" borderId="0" xfId="0" applyNumberFormat="1" applyBorder="1"/>
    <xf numFmtId="2" fontId="0" fillId="0" borderId="12" xfId="0" applyNumberFormat="1" applyBorder="1"/>
    <xf numFmtId="0" fontId="0" fillId="0" borderId="15" xfId="0" applyBorder="1"/>
    <xf numFmtId="0" fontId="3" fillId="0" borderId="11" xfId="0" applyFont="1" applyBorder="1"/>
    <xf numFmtId="166" fontId="0" fillId="0" borderId="11" xfId="0" applyNumberFormat="1" applyBorder="1"/>
    <xf numFmtId="166" fontId="0" fillId="0" borderId="12" xfId="0" applyNumberFormat="1" applyBorder="1"/>
    <xf numFmtId="166" fontId="0" fillId="0" borderId="13" xfId="0" applyNumberFormat="1" applyBorder="1"/>
    <xf numFmtId="166" fontId="0" fillId="0" borderId="4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167" fontId="0" fillId="0" borderId="15" xfId="0" applyNumberFormat="1" applyBorder="1"/>
    <xf numFmtId="0" fontId="3" fillId="0" borderId="0" xfId="0" applyFont="1" applyFill="1" applyBorder="1"/>
    <xf numFmtId="0" fontId="3" fillId="0" borderId="1" xfId="0" applyFont="1" applyBorder="1" applyAlignment="1"/>
    <xf numFmtId="0" fontId="3" fillId="0" borderId="2" xfId="0" applyFont="1" applyBorder="1" applyAlignment="1"/>
    <xf numFmtId="0" fontId="3" fillId="0" borderId="3" xfId="0" applyFont="1" applyBorder="1" applyAlignment="1"/>
    <xf numFmtId="0" fontId="3" fillId="0" borderId="14" xfId="0" applyFont="1" applyBorder="1"/>
    <xf numFmtId="168" fontId="0" fillId="0" borderId="0" xfId="0" applyNumberFormat="1"/>
    <xf numFmtId="167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8" xfId="0" applyFont="1" applyBorder="1"/>
    <xf numFmtId="0" fontId="2" fillId="0" borderId="11" xfId="0" applyFont="1" applyBorder="1"/>
    <xf numFmtId="0" fontId="3" fillId="0" borderId="15" xfId="0" applyFont="1" applyBorder="1"/>
    <xf numFmtId="0" fontId="8" fillId="0" borderId="0" xfId="0" applyFont="1"/>
    <xf numFmtId="0" fontId="7" fillId="0" borderId="6" xfId="0" applyFont="1" applyBorder="1"/>
    <xf numFmtId="0" fontId="7" fillId="0" borderId="5" xfId="0" applyFont="1" applyBorder="1"/>
    <xf numFmtId="2" fontId="3" fillId="0" borderId="4" xfId="0" applyNumberFormat="1" applyFont="1" applyBorder="1"/>
    <xf numFmtId="2" fontId="0" fillId="0" borderId="6" xfId="0" applyNumberFormat="1" applyBorder="1"/>
    <xf numFmtId="0" fontId="3" fillId="0" borderId="4" xfId="0" applyFont="1" applyBorder="1" applyAlignment="1">
      <alignment horizontal="left"/>
    </xf>
    <xf numFmtId="166" fontId="0" fillId="0" borderId="4" xfId="1" applyNumberFormat="1" applyFont="1" applyBorder="1"/>
    <xf numFmtId="166" fontId="0" fillId="0" borderId="5" xfId="1" applyNumberFormat="1" applyFont="1" applyBorder="1"/>
    <xf numFmtId="0" fontId="0" fillId="0" borderId="7" xfId="0" applyNumberFormat="1" applyBorder="1"/>
    <xf numFmtId="0" fontId="6" fillId="0" borderId="7" xfId="0" applyNumberFormat="1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3" fillId="0" borderId="9" xfId="0" applyFont="1" applyBorder="1" applyAlignment="1">
      <alignment horizontal="left"/>
    </xf>
    <xf numFmtId="166" fontId="0" fillId="0" borderId="9" xfId="1" applyNumberFormat="1" applyFont="1" applyBorder="1"/>
    <xf numFmtId="166" fontId="0" fillId="0" borderId="0" xfId="1" applyNumberFormat="1" applyFont="1" applyBorder="1"/>
    <xf numFmtId="0" fontId="0" fillId="0" borderId="14" xfId="0" applyNumberFormat="1" applyBorder="1"/>
    <xf numFmtId="0" fontId="6" fillId="0" borderId="14" xfId="0" applyNumberFormat="1" applyFont="1" applyBorder="1"/>
    <xf numFmtId="0" fontId="0" fillId="0" borderId="19" xfId="0" applyBorder="1"/>
    <xf numFmtId="0" fontId="0" fillId="0" borderId="20" xfId="0" applyBorder="1"/>
    <xf numFmtId="43" fontId="0" fillId="0" borderId="0" xfId="0" applyNumberFormat="1"/>
    <xf numFmtId="0" fontId="9" fillId="0" borderId="1" xfId="3" applyFont="1" applyBorder="1" applyAlignment="1">
      <alignment horizontal="center"/>
    </xf>
    <xf numFmtId="0" fontId="9" fillId="0" borderId="2" xfId="3" applyFont="1" applyBorder="1" applyAlignment="1">
      <alignment horizontal="center"/>
    </xf>
    <xf numFmtId="0" fontId="9" fillId="0" borderId="3" xfId="3" applyFont="1" applyBorder="1" applyAlignment="1">
      <alignment horizontal="center"/>
    </xf>
    <xf numFmtId="0" fontId="3" fillId="0" borderId="11" xfId="0" applyFont="1" applyBorder="1" applyAlignment="1">
      <alignment horizontal="left"/>
    </xf>
    <xf numFmtId="166" fontId="0" fillId="0" borderId="11" xfId="1" applyNumberFormat="1" applyFont="1" applyBorder="1"/>
    <xf numFmtId="166" fontId="0" fillId="0" borderId="12" xfId="1" applyNumberFormat="1" applyFont="1" applyBorder="1"/>
    <xf numFmtId="0" fontId="0" fillId="0" borderId="15" xfId="0" applyNumberFormat="1" applyBorder="1"/>
    <xf numFmtId="0" fontId="6" fillId="0" borderId="15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68" fontId="0" fillId="0" borderId="0" xfId="0" applyNumberFormat="1" applyBorder="1"/>
    <xf numFmtId="0" fontId="0" fillId="0" borderId="9" xfId="0" applyFill="1" applyBorder="1"/>
    <xf numFmtId="0" fontId="0" fillId="0" borderId="10" xfId="0" applyFill="1" applyBorder="1"/>
    <xf numFmtId="168" fontId="6" fillId="0" borderId="0" xfId="0" applyNumberFormat="1" applyFont="1" applyBorder="1"/>
    <xf numFmtId="2" fontId="0" fillId="0" borderId="11" xfId="0" applyNumberFormat="1" applyBorder="1"/>
    <xf numFmtId="2" fontId="3" fillId="0" borderId="13" xfId="0" applyNumberFormat="1" applyFont="1" applyBorder="1"/>
    <xf numFmtId="169" fontId="0" fillId="0" borderId="0" xfId="0" applyNumberFormat="1"/>
    <xf numFmtId="0" fontId="0" fillId="0" borderId="0" xfId="0" applyNumberFormat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2" fillId="0" borderId="0" xfId="0" applyFont="1"/>
    <xf numFmtId="0" fontId="3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4">
    <cellStyle name="Normal 2" xfId="3"/>
    <cellStyle name="Гиперссылка" xfId="2" builtinId="8"/>
    <cellStyle name="Обычный" xfId="0" builtinId="0"/>
    <cellStyle name="Финансовый" xfId="1" builtinId="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352425</xdr:colOff>
      <xdr:row>0</xdr:row>
      <xdr:rowOff>95250</xdr:rowOff>
    </xdr:from>
    <xdr:to>
      <xdr:col>19</xdr:col>
      <xdr:colOff>475625</xdr:colOff>
      <xdr:row>18</xdr:row>
      <xdr:rowOff>9107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58025" y="95250"/>
          <a:ext cx="5000000" cy="3342857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476250</xdr:colOff>
      <xdr:row>18</xdr:row>
      <xdr:rowOff>171450</xdr:rowOff>
    </xdr:from>
    <xdr:to>
      <xdr:col>19</xdr:col>
      <xdr:colOff>561355</xdr:colOff>
      <xdr:row>36</xdr:row>
      <xdr:rowOff>142450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1850" y="3600450"/>
          <a:ext cx="4961905" cy="34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438150</xdr:colOff>
      <xdr:row>23</xdr:row>
      <xdr:rowOff>35489</xdr:rowOff>
    </xdr:from>
    <xdr:to>
      <xdr:col>11</xdr:col>
      <xdr:colOff>542925</xdr:colOff>
      <xdr:row>44</xdr:row>
      <xdr:rowOff>56711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7350" y="4416989"/>
          <a:ext cx="5591175" cy="40217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34</xdr:row>
          <xdr:rowOff>28575</xdr:rowOff>
        </xdr:from>
        <xdr:to>
          <xdr:col>10</xdr:col>
          <xdr:colOff>600075</xdr:colOff>
          <xdr:row>35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GO</a:t>
              </a:r>
              <a:endParaRPr lang="sk-SK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36</xdr:row>
          <xdr:rowOff>47625</xdr:rowOff>
        </xdr:from>
        <xdr:to>
          <xdr:col>11</xdr:col>
          <xdr:colOff>19050</xdr:colOff>
          <xdr:row>38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</a:rPr>
                <a:t>FIX</a:t>
              </a:r>
              <a:endParaRPr lang="sk-SK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T.K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ytazky"/>
      <sheetName val="8PTK"/>
      <sheetName val="5PTK"/>
      <sheetName val="4PTK"/>
      <sheetName val="3PTK"/>
      <sheetName val="2PTK"/>
      <sheetName val="1PTK"/>
      <sheetName val="Vytazky 2 (bez RK)"/>
      <sheetName val="8.2"/>
      <sheetName val="5.2"/>
      <sheetName val="4.2"/>
      <sheetName val="3.2"/>
      <sheetName val="2.2"/>
      <sheetName val="1.2"/>
      <sheetName val="EXT.Kol"/>
    </sheetNames>
    <definedNames>
      <definedName name="NRTL_5stup"/>
      <definedName name="ODLADENI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sciencedirect.com/science/article/pii/0926860X9385053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K23"/>
  <sheetViews>
    <sheetView tabSelected="1" workbookViewId="0">
      <selection activeCell="F19" sqref="F19"/>
    </sheetView>
  </sheetViews>
  <sheetFormatPr defaultRowHeight="15" x14ac:dyDescent="0.25"/>
  <sheetData>
    <row r="1" spans="1:11" x14ac:dyDescent="0.25">
      <c r="A1" t="s">
        <v>0</v>
      </c>
      <c r="B1">
        <v>1000</v>
      </c>
      <c r="C1" t="s">
        <v>1</v>
      </c>
    </row>
    <row r="2" spans="1:11" x14ac:dyDescent="0.25">
      <c r="A2" s="1" t="s">
        <v>2</v>
      </c>
      <c r="J2" t="s">
        <v>9</v>
      </c>
      <c r="K2" t="s">
        <v>38</v>
      </c>
    </row>
    <row r="3" spans="1:11" x14ac:dyDescent="0.25">
      <c r="A3" t="s">
        <v>3</v>
      </c>
      <c r="B3">
        <v>0.23400000000000001</v>
      </c>
      <c r="D3">
        <f>B1*B3</f>
        <v>234</v>
      </c>
      <c r="F3">
        <f>D3+D4</f>
        <v>512</v>
      </c>
      <c r="H3">
        <f>D3/$F$3</f>
        <v>0.45703125</v>
      </c>
      <c r="J3" t="s">
        <v>10</v>
      </c>
      <c r="K3" t="s">
        <v>40</v>
      </c>
    </row>
    <row r="4" spans="1:11" x14ac:dyDescent="0.25">
      <c r="A4" t="s">
        <v>4</v>
      </c>
      <c r="B4">
        <v>0.27800000000000002</v>
      </c>
      <c r="D4">
        <f>B1*B4</f>
        <v>278</v>
      </c>
      <c r="H4">
        <f>D4/$F$3</f>
        <v>0.54296875</v>
      </c>
      <c r="J4" t="s">
        <v>11</v>
      </c>
      <c r="K4" t="s">
        <v>41</v>
      </c>
    </row>
    <row r="7" spans="1:11" x14ac:dyDescent="0.25">
      <c r="A7" t="s">
        <v>5</v>
      </c>
    </row>
    <row r="8" spans="1:11" x14ac:dyDescent="0.25">
      <c r="A8" t="s">
        <v>125</v>
      </c>
      <c r="B8">
        <v>25</v>
      </c>
      <c r="C8" t="s">
        <v>1</v>
      </c>
      <c r="D8" t="s">
        <v>123</v>
      </c>
      <c r="E8" s="2">
        <f>B8*B10/E10</f>
        <v>21.209716796875</v>
      </c>
      <c r="F8" t="s">
        <v>124</v>
      </c>
      <c r="G8">
        <f>(B8*B9-E8*E9)/G9</f>
        <v>3.790283203125</v>
      </c>
    </row>
    <row r="9" spans="1:11" x14ac:dyDescent="0.25">
      <c r="A9" t="s">
        <v>3</v>
      </c>
      <c r="B9" s="3">
        <f>H3</f>
        <v>0.45703125</v>
      </c>
      <c r="D9" t="s">
        <v>3</v>
      </c>
      <c r="E9">
        <f>1-E10</f>
        <v>0.36</v>
      </c>
      <c r="F9" t="s">
        <v>3</v>
      </c>
      <c r="G9">
        <v>1</v>
      </c>
    </row>
    <row r="10" spans="1:11" x14ac:dyDescent="0.25">
      <c r="A10" t="s">
        <v>4</v>
      </c>
      <c r="B10" s="3">
        <f>H4</f>
        <v>0.54296875</v>
      </c>
      <c r="D10" t="s">
        <v>4</v>
      </c>
      <c r="E10">
        <v>0.64</v>
      </c>
      <c r="F10" t="s">
        <v>4</v>
      </c>
      <c r="G10">
        <v>0</v>
      </c>
    </row>
    <row r="14" spans="1:11" x14ac:dyDescent="0.25">
      <c r="A14" t="s">
        <v>119</v>
      </c>
    </row>
    <row r="15" spans="1:11" x14ac:dyDescent="0.25">
      <c r="B15" t="s">
        <v>125</v>
      </c>
      <c r="C15" t="s">
        <v>126</v>
      </c>
      <c r="D15" t="s">
        <v>127</v>
      </c>
      <c r="E15" t="s">
        <v>58</v>
      </c>
      <c r="F15" t="s">
        <v>120</v>
      </c>
    </row>
    <row r="16" spans="1:11" x14ac:dyDescent="0.25">
      <c r="A16" t="s">
        <v>121</v>
      </c>
      <c r="B16" s="2">
        <f>E8</f>
        <v>21.209716796875</v>
      </c>
      <c r="C16">
        <f>'EK s RK'!Z27</f>
        <v>8.5156558962328042</v>
      </c>
      <c r="D16">
        <f>C16/B16</f>
        <v>0.40149785957950579</v>
      </c>
      <c r="E16">
        <f>'EK s RK'!X31</f>
        <v>0.4551742370458669</v>
      </c>
      <c r="F16">
        <f>'EK s RK'!AH26</f>
        <v>0.99977828819357406</v>
      </c>
    </row>
    <row r="17" spans="1:8" x14ac:dyDescent="0.25">
      <c r="A17" t="s">
        <v>122</v>
      </c>
      <c r="B17">
        <f>B8</f>
        <v>25</v>
      </c>
      <c r="C17">
        <f>'EK bez RK'!Z27</f>
        <v>8.4506966275450015</v>
      </c>
      <c r="D17">
        <f>C17/B17</f>
        <v>0.33802786510180005</v>
      </c>
      <c r="E17">
        <f>'EK bez RK'!X31</f>
        <v>0.55567183919333374</v>
      </c>
      <c r="F17">
        <f>'EK bez RK'!AH26</f>
        <v>0.99979290192114778</v>
      </c>
    </row>
    <row r="21" spans="1:8" x14ac:dyDescent="0.25">
      <c r="A21" t="s">
        <v>128</v>
      </c>
    </row>
    <row r="22" spans="1:8" x14ac:dyDescent="0.25">
      <c r="A22" t="s">
        <v>129</v>
      </c>
      <c r="B22">
        <v>353.23</v>
      </c>
      <c r="D22">
        <v>508.82000000000005</v>
      </c>
      <c r="H22">
        <v>0.694214063912582</v>
      </c>
    </row>
    <row r="23" spans="1:8" x14ac:dyDescent="0.25">
      <c r="A23" t="s">
        <v>130</v>
      </c>
      <c r="B23">
        <v>155.59</v>
      </c>
      <c r="H23">
        <v>0.30578593608741794</v>
      </c>
    </row>
  </sheetData>
  <hyperlinks>
    <hyperlink ref="A2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2"/>
  <dimension ref="A1:AI62"/>
  <sheetViews>
    <sheetView topLeftCell="A20" zoomScale="55" zoomScaleNormal="55" workbookViewId="0">
      <selection activeCell="A63" sqref="A63"/>
    </sheetView>
  </sheetViews>
  <sheetFormatPr defaultRowHeight="15" x14ac:dyDescent="0.25"/>
  <cols>
    <col min="5" max="5" width="13.5703125" bestFit="1" customWidth="1"/>
    <col min="7" max="9" width="9.28515625" bestFit="1" customWidth="1"/>
    <col min="12" max="17" width="9.28515625" bestFit="1" customWidth="1"/>
    <col min="20" max="24" width="13.85546875" bestFit="1" customWidth="1"/>
    <col min="26" max="26" width="9.28515625" bestFit="1" customWidth="1"/>
    <col min="34" max="34" width="10.8554687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4" t="s">
        <v>6</v>
      </c>
      <c r="C2" s="5"/>
      <c r="D2" s="5"/>
      <c r="E2" s="6" t="s">
        <v>7</v>
      </c>
      <c r="G2" s="7" t="s">
        <v>8</v>
      </c>
      <c r="H2" s="7"/>
      <c r="I2" s="7"/>
    </row>
    <row r="3" spans="1:26" ht="15.75" thickBot="1" x14ac:dyDescent="0.3">
      <c r="B3" s="8" t="s">
        <v>9</v>
      </c>
      <c r="C3" s="9" t="s">
        <v>10</v>
      </c>
      <c r="D3" s="10" t="s">
        <v>11</v>
      </c>
      <c r="E3" s="11" t="s">
        <v>12</v>
      </c>
      <c r="G3" s="12" t="s">
        <v>13</v>
      </c>
      <c r="H3" s="13" t="s">
        <v>14</v>
      </c>
      <c r="I3" s="6" t="s">
        <v>15</v>
      </c>
      <c r="L3">
        <v>1</v>
      </c>
      <c r="M3">
        <v>2</v>
      </c>
      <c r="N3">
        <v>3</v>
      </c>
      <c r="O3">
        <v>4</v>
      </c>
      <c r="P3">
        <v>5</v>
      </c>
      <c r="Q3" s="11" t="s">
        <v>16</v>
      </c>
      <c r="S3" s="14" t="s">
        <v>17</v>
      </c>
      <c r="Z3" s="14" t="s">
        <v>18</v>
      </c>
    </row>
    <row r="4" spans="1:26" ht="15.75" thickBot="1" x14ac:dyDescent="0.3">
      <c r="A4" s="8" t="s">
        <v>19</v>
      </c>
      <c r="B4" s="15">
        <f>AA26</f>
        <v>0.64</v>
      </c>
      <c r="C4" s="15">
        <f t="shared" ref="C4:D4" si="0">AB26</f>
        <v>0.36</v>
      </c>
      <c r="D4" s="15">
        <f t="shared" si="0"/>
        <v>0</v>
      </c>
      <c r="E4" s="16">
        <f>AA30</f>
        <v>21.209716796875</v>
      </c>
      <c r="G4" s="17" t="s">
        <v>20</v>
      </c>
      <c r="H4" s="18" t="s">
        <v>20</v>
      </c>
      <c r="I4" s="19" t="s">
        <v>20</v>
      </c>
      <c r="K4" s="14" t="s">
        <v>21</v>
      </c>
      <c r="L4" s="15">
        <f>E$10*$G$5+E$5</f>
        <v>15.093264166199447</v>
      </c>
      <c r="M4" s="20">
        <f>-$E$11*$G$6</f>
        <v>-8.422669997123601E-2</v>
      </c>
      <c r="N4" s="20">
        <v>0</v>
      </c>
      <c r="O4" s="20">
        <v>0</v>
      </c>
      <c r="P4" s="20">
        <v>0</v>
      </c>
      <c r="Q4" s="16">
        <f>$B$4*$E$4</f>
        <v>13.57421875</v>
      </c>
      <c r="T4" s="15">
        <f t="array" ref="T4:X8">MINVERSE(L4:P8)</f>
        <v>6.6657553151539678E-2</v>
      </c>
      <c r="U4" s="20">
        <v>4.2223729967530026E-4</v>
      </c>
      <c r="V4" s="20">
        <v>7.9713122841584569E-7</v>
      </c>
      <c r="W4" s="20">
        <v>1.0895394582053179E-9</v>
      </c>
      <c r="X4" s="21">
        <v>1.3884923466640915E-12</v>
      </c>
      <c r="Z4" s="25">
        <f t="array" ref="Z4:Z8">MMULT(T4:X8,Q4:Q8)</f>
        <v>0.9048242078187515</v>
      </c>
    </row>
    <row r="5" spans="1:26" x14ac:dyDescent="0.25">
      <c r="A5" s="27" t="s">
        <v>22</v>
      </c>
      <c r="B5" s="28">
        <f>S31</f>
        <v>0.90482420781875139</v>
      </c>
      <c r="C5" s="29">
        <f t="shared" ref="C5:D9" si="1">T31</f>
        <v>9.4214331064083737E-2</v>
      </c>
      <c r="D5" s="30">
        <f t="shared" si="1"/>
        <v>9.6146111716488569E-4</v>
      </c>
      <c r="E5" s="31">
        <f t="shared" ref="E5:E9" si="2">AA31</f>
        <v>14.399624081871645</v>
      </c>
      <c r="G5" s="17">
        <f>B10/B5</f>
        <v>4.1359071821880193E-2</v>
      </c>
      <c r="H5" s="18">
        <f t="shared" ref="H5:I9" si="3">C10/C5</f>
        <v>4.8312632686025392</v>
      </c>
      <c r="I5" s="19">
        <f t="shared" si="3"/>
        <v>527.74164706003853</v>
      </c>
      <c r="L5" s="32">
        <f>-$E$5</f>
        <v>-14.399624081871645</v>
      </c>
      <c r="M5" s="18">
        <f>$E$6+$E$11*$G$6</f>
        <v>13.321650404299858</v>
      </c>
      <c r="N5" s="18">
        <f>-$G$7*$E$12</f>
        <v>-2.4596734703871852E-2</v>
      </c>
      <c r="O5" s="18">
        <v>0</v>
      </c>
      <c r="P5" s="18">
        <v>0</v>
      </c>
      <c r="Q5" s="31">
        <v>0</v>
      </c>
      <c r="T5" s="17">
        <v>7.218682900725408E-2</v>
      </c>
      <c r="U5" s="18">
        <v>7.5664119655624973E-2</v>
      </c>
      <c r="V5" s="18">
        <v>1.4284439743829694E-4</v>
      </c>
      <c r="W5" s="18">
        <v>1.9524339512062879E-7</v>
      </c>
      <c r="X5" s="19">
        <v>2.4881518316762059E-10</v>
      </c>
      <c r="Z5" s="26">
        <v>0.97987980781331219</v>
      </c>
    </row>
    <row r="6" spans="1:26" x14ac:dyDescent="0.25">
      <c r="A6" s="27" t="s">
        <v>23</v>
      </c>
      <c r="B6" s="28">
        <f t="shared" ref="B6:B9" si="4">S32</f>
        <v>0.9798798078133123</v>
      </c>
      <c r="C6" s="29">
        <f t="shared" si="1"/>
        <v>1.9577345725839673E-2</v>
      </c>
      <c r="D6" s="30">
        <f t="shared" si="1"/>
        <v>5.4284646084805854E-4</v>
      </c>
      <c r="E6" s="31">
        <f t="shared" si="2"/>
        <v>13.237423704328622</v>
      </c>
      <c r="G6" s="17">
        <f t="shared" ref="G6:G9" si="5">B11/B6</f>
        <v>8.4555801891430075E-3</v>
      </c>
      <c r="H6" s="18">
        <f t="shared" si="3"/>
        <v>6.9480884232811988</v>
      </c>
      <c r="I6" s="19">
        <f t="shared" si="3"/>
        <v>1576.3009989532522</v>
      </c>
      <c r="L6" s="17">
        <v>0</v>
      </c>
      <c r="M6" s="33">
        <f>-$E$6</f>
        <v>-13.237423704328622</v>
      </c>
      <c r="N6" s="18">
        <f>$E$7+$E$12*$G$7</f>
        <v>13.046593145993187</v>
      </c>
      <c r="O6" s="18">
        <f>-$E$13*$G$8</f>
        <v>-1.774187228850483E-2</v>
      </c>
      <c r="P6" s="18">
        <v>0</v>
      </c>
      <c r="Q6" s="31">
        <v>0</v>
      </c>
      <c r="T6" s="17">
        <v>7.3342752677541215E-2</v>
      </c>
      <c r="U6" s="18">
        <v>7.6875724987292685E-2</v>
      </c>
      <c r="V6" s="18">
        <v>7.6898204482199459E-2</v>
      </c>
      <c r="W6" s="18">
        <v>1.0510644303197377E-4</v>
      </c>
      <c r="X6" s="19">
        <v>1.3394603622283809E-7</v>
      </c>
      <c r="Z6" s="26">
        <v>0.9955705685720927</v>
      </c>
    </row>
    <row r="7" spans="1:26" x14ac:dyDescent="0.25">
      <c r="A7" s="27" t="s">
        <v>24</v>
      </c>
      <c r="B7" s="28">
        <f t="shared" si="4"/>
        <v>0.99557056857209292</v>
      </c>
      <c r="C7" s="29">
        <f t="shared" si="1"/>
        <v>3.956683516322842E-3</v>
      </c>
      <c r="D7" s="30">
        <f t="shared" si="1"/>
        <v>4.7274791158427202E-4</v>
      </c>
      <c r="E7" s="31">
        <f t="shared" si="2"/>
        <v>13.021996411289315</v>
      </c>
      <c r="G7" s="17">
        <f t="shared" si="5"/>
        <v>2.795439795711804E-3</v>
      </c>
      <c r="H7" s="18">
        <f t="shared" si="3"/>
        <v>7.3951978985799816</v>
      </c>
      <c r="I7" s="19">
        <f t="shared" si="3"/>
        <v>2047.5108637584526</v>
      </c>
      <c r="L7" s="17">
        <v>0</v>
      </c>
      <c r="M7" s="18">
        <v>0</v>
      </c>
      <c r="N7" s="33">
        <f>-$E$7</f>
        <v>-13.021996411289315</v>
      </c>
      <c r="O7" s="18">
        <f>$E$8+$E$13*$G$8</f>
        <v>12.996887620385639</v>
      </c>
      <c r="P7" s="18">
        <f>-$E$14*$G$9</f>
        <v>-1.6529700248027815E-2</v>
      </c>
      <c r="Q7" s="31">
        <v>0</v>
      </c>
      <c r="T7" s="17">
        <v>7.357808290540209E-2</v>
      </c>
      <c r="U7" s="18">
        <v>7.7122391238800436E-2</v>
      </c>
      <c r="V7" s="18">
        <v>7.7144942862233404E-2</v>
      </c>
      <c r="W7" s="18">
        <v>7.7144985459104212E-2</v>
      </c>
      <c r="X7" s="19">
        <v>9.8312384270982063E-5</v>
      </c>
      <c r="Z7" s="26">
        <v>0.99876499256356355</v>
      </c>
    </row>
    <row r="8" spans="1:26" ht="15.75" thickBot="1" x14ac:dyDescent="0.3">
      <c r="A8" s="27" t="s">
        <v>25</v>
      </c>
      <c r="B8" s="28">
        <f t="shared" si="4"/>
        <v>0.99876499256356388</v>
      </c>
      <c r="C8" s="29">
        <f t="shared" si="1"/>
        <v>7.7599858159789611E-4</v>
      </c>
      <c r="D8" s="30">
        <f t="shared" si="1"/>
        <v>4.5900885483813995E-4</v>
      </c>
      <c r="E8" s="31">
        <f t="shared" si="2"/>
        <v>12.979145748097134</v>
      </c>
      <c r="G8" s="17">
        <f t="shared" si="5"/>
        <v>2.0669858971464044E-3</v>
      </c>
      <c r="H8" s="18">
        <f t="shared" si="3"/>
        <v>7.4810515711305561</v>
      </c>
      <c r="I8" s="19">
        <f t="shared" si="3"/>
        <v>2161.4621830936221</v>
      </c>
      <c r="L8" s="22">
        <v>0</v>
      </c>
      <c r="M8" s="23">
        <v>0</v>
      </c>
      <c r="N8" s="23">
        <v>0</v>
      </c>
      <c r="O8" s="34">
        <f>-$E$8</f>
        <v>-12.979145748097134</v>
      </c>
      <c r="P8" s="23">
        <f>$E$9+$E$14*$G$9</f>
        <v>12.970730948428853</v>
      </c>
      <c r="Q8" s="35">
        <f>$E$15*$B$15</f>
        <v>0</v>
      </c>
      <c r="T8" s="22">
        <v>7.3625816902050917E-2</v>
      </c>
      <c r="U8" s="23">
        <v>7.7172424615854787E-2</v>
      </c>
      <c r="V8" s="23">
        <v>7.7194990869719468E-2</v>
      </c>
      <c r="W8" s="23">
        <v>7.7195033494225115E-2</v>
      </c>
      <c r="X8" s="24">
        <v>7.7195033552490785E-2</v>
      </c>
      <c r="Z8" s="26">
        <v>0.99941294427588645</v>
      </c>
    </row>
    <row r="9" spans="1:26" ht="15.75" thickBot="1" x14ac:dyDescent="0.3">
      <c r="A9" s="36" t="s">
        <v>26</v>
      </c>
      <c r="B9" s="37">
        <f t="shared" si="4"/>
        <v>0.99941294427588678</v>
      </c>
      <c r="C9" s="38">
        <f t="shared" si="1"/>
        <v>1.3081233163512356E-4</v>
      </c>
      <c r="D9" s="39">
        <f t="shared" si="1"/>
        <v>4.5624339247809273E-4</v>
      </c>
      <c r="E9" s="35">
        <f t="shared" si="2"/>
        <v>12.954201248180825</v>
      </c>
      <c r="G9" s="22">
        <f t="shared" si="5"/>
        <v>1.9354260217444338E-3</v>
      </c>
      <c r="H9" s="23">
        <f t="shared" si="3"/>
        <v>7.4983142725786367</v>
      </c>
      <c r="I9" s="24">
        <f t="shared" si="3"/>
        <v>2185.4230760300334</v>
      </c>
    </row>
    <row r="10" spans="1:26" ht="15.75" thickBot="1" x14ac:dyDescent="0.3">
      <c r="A10" s="8" t="s">
        <v>27</v>
      </c>
      <c r="B10" s="40">
        <f t="shared" ref="B10:D15" si="6">W31</f>
        <v>3.7422689397351591E-2</v>
      </c>
      <c r="C10" s="41">
        <f t="shared" si="6"/>
        <v>0.4551742370458669</v>
      </c>
      <c r="D10" s="42">
        <f t="shared" si="6"/>
        <v>0.50740307355678149</v>
      </c>
      <c r="E10" s="16">
        <f t="shared" ref="E10:E15" si="7">AB31</f>
        <v>16.771171444926978</v>
      </c>
      <c r="L10">
        <v>1</v>
      </c>
      <c r="M10">
        <v>2</v>
      </c>
      <c r="N10">
        <v>3</v>
      </c>
      <c r="O10">
        <v>4</v>
      </c>
      <c r="P10">
        <v>5</v>
      </c>
      <c r="Q10" s="14" t="s">
        <v>28</v>
      </c>
      <c r="S10" s="14" t="s">
        <v>17</v>
      </c>
      <c r="Z10" s="14" t="s">
        <v>29</v>
      </c>
    </row>
    <row r="11" spans="1:26" ht="15.75" thickBot="1" x14ac:dyDescent="0.3">
      <c r="A11" s="27" t="s">
        <v>30</v>
      </c>
      <c r="B11" s="28">
        <f t="shared" si="6"/>
        <v>8.2854522906875006E-3</v>
      </c>
      <c r="C11" s="29">
        <f t="shared" si="6"/>
        <v>0.13602512919628029</v>
      </c>
      <c r="D11" s="30">
        <f t="shared" si="6"/>
        <v>0.85568941851303226</v>
      </c>
      <c r="E11" s="31">
        <f t="shared" si="7"/>
        <v>9.9610787299236261</v>
      </c>
      <c r="K11" s="14" t="s">
        <v>31</v>
      </c>
      <c r="L11" s="15">
        <f>E$10*$H$5+E$5</f>
        <v>95.425568655183127</v>
      </c>
      <c r="M11" s="20">
        <f>-$E$11*$H$6</f>
        <v>-69.210455806774931</v>
      </c>
      <c r="N11" s="20">
        <v>0</v>
      </c>
      <c r="O11" s="20">
        <v>0</v>
      </c>
      <c r="P11" s="20">
        <v>0</v>
      </c>
      <c r="Q11" s="16">
        <f>$C$4*$E$4</f>
        <v>7.635498046875</v>
      </c>
      <c r="T11" s="15">
        <f t="array" ref="T11:X15">MINVERSE(L11:P15)</f>
        <v>1.2338986886113717E-2</v>
      </c>
      <c r="U11" s="20">
        <v>1.2323574506341105E-2</v>
      </c>
      <c r="V11" s="20">
        <v>1.2242992525061717E-2</v>
      </c>
      <c r="W11" s="20">
        <v>1.1840333457255051E-2</v>
      </c>
      <c r="X11" s="21">
        <v>9.848211335010789E-3</v>
      </c>
      <c r="Z11">
        <f t="array" ref="Z11:Z15">MMULT(T11:X15,Q11:Q15)</f>
        <v>9.421431026933752E-2</v>
      </c>
    </row>
    <row r="12" spans="1:26" x14ac:dyDescent="0.25">
      <c r="A12" s="27" t="s">
        <v>32</v>
      </c>
      <c r="B12" s="28">
        <f t="shared" si="6"/>
        <v>2.7830575868258559E-3</v>
      </c>
      <c r="C12" s="29">
        <f t="shared" si="6"/>
        <v>2.9260457625256732E-2</v>
      </c>
      <c r="D12" s="30">
        <f t="shared" si="6"/>
        <v>0.9679564847879174</v>
      </c>
      <c r="E12" s="31">
        <f t="shared" si="7"/>
        <v>8.7988783523806049</v>
      </c>
      <c r="L12" s="32">
        <f>-$E$5</f>
        <v>-14.399624081871645</v>
      </c>
      <c r="M12" s="18">
        <f>$E$6+$E$11*$H$6</f>
        <v>82.447879511103551</v>
      </c>
      <c r="N12" s="18">
        <f>-$H$7*$E$12</f>
        <v>-65.069446701385942</v>
      </c>
      <c r="O12" s="18">
        <v>0</v>
      </c>
      <c r="P12" s="18">
        <v>0</v>
      </c>
      <c r="Q12" s="31">
        <v>0</v>
      </c>
      <c r="T12" s="17">
        <v>2.5639888968752899E-3</v>
      </c>
      <c r="U12" s="18">
        <v>1.6991422631506523E-2</v>
      </c>
      <c r="V12" s="18">
        <v>1.6880318300559548E-2</v>
      </c>
      <c r="W12" s="18">
        <v>1.6325142495520917E-2</v>
      </c>
      <c r="X12" s="19">
        <v>1.3578456548581662E-2</v>
      </c>
      <c r="Z12">
        <v>1.9577332214300462E-2</v>
      </c>
    </row>
    <row r="13" spans="1:26" x14ac:dyDescent="0.25">
      <c r="A13" s="27" t="s">
        <v>33</v>
      </c>
      <c r="B13" s="28">
        <f t="shared" si="6"/>
        <v>2.0644331541924202E-3</v>
      </c>
      <c r="C13" s="29">
        <f t="shared" si="6"/>
        <v>5.8052854080580234E-3</v>
      </c>
      <c r="D13" s="30">
        <f t="shared" si="6"/>
        <v>0.99213028143774951</v>
      </c>
      <c r="E13" s="31">
        <f t="shared" si="7"/>
        <v>8.5834510593412983</v>
      </c>
      <c r="L13" s="17">
        <v>0</v>
      </c>
      <c r="M13" s="33">
        <f>-$E$6</f>
        <v>-13.237423704328622</v>
      </c>
      <c r="N13" s="18">
        <f>$E$7+$E$12*$H$7</f>
        <v>78.09144311267525</v>
      </c>
      <c r="O13" s="18">
        <f>-$E$13*$H$8</f>
        <v>-64.213240033207455</v>
      </c>
      <c r="P13" s="18">
        <v>0</v>
      </c>
      <c r="Q13" s="31">
        <v>0</v>
      </c>
      <c r="T13" s="17">
        <v>5.1819519967551098E-4</v>
      </c>
      <c r="U13" s="18">
        <v>3.4340529532069894E-3</v>
      </c>
      <c r="V13" s="18">
        <v>1.8679303743482856E-2</v>
      </c>
      <c r="W13" s="18">
        <v>1.8064961211031589E-2</v>
      </c>
      <c r="X13" s="19">
        <v>1.5025552819713905E-2</v>
      </c>
      <c r="Z13">
        <v>3.9566784350223644E-3</v>
      </c>
    </row>
    <row r="14" spans="1:26" x14ac:dyDescent="0.25">
      <c r="A14" s="27" t="s">
        <v>34</v>
      </c>
      <c r="B14" s="28">
        <f t="shared" si="6"/>
        <v>1.9342898188197712E-3</v>
      </c>
      <c r="C14" s="29">
        <f t="shared" si="6"/>
        <v>9.8087197332893689E-4</v>
      </c>
      <c r="D14" s="30">
        <f>Y35</f>
        <v>0.99708483820785121</v>
      </c>
      <c r="E14" s="31">
        <f>AB35</f>
        <v>8.5406003961491148</v>
      </c>
      <c r="L14" s="17">
        <v>0</v>
      </c>
      <c r="M14" s="18">
        <v>0</v>
      </c>
      <c r="N14" s="33">
        <f>-$E$7</f>
        <v>-13.021996411289315</v>
      </c>
      <c r="O14" s="18">
        <f>$E$8+$E$13*$H$8</f>
        <v>77.192385781304594</v>
      </c>
      <c r="P14" s="18">
        <f>-$E$14*$H$9</f>
        <v>-64.040105846835672</v>
      </c>
      <c r="Q14" s="31">
        <v>0</v>
      </c>
      <c r="T14" s="17">
        <v>1.016301864259508E-4</v>
      </c>
      <c r="U14" s="18">
        <v>6.7349802169058273E-4</v>
      </c>
      <c r="V14" s="18">
        <v>3.6634479110301899E-3</v>
      </c>
      <c r="W14" s="18">
        <v>1.8603890130437579E-2</v>
      </c>
      <c r="X14" s="19">
        <v>1.5473807584836846E-2</v>
      </c>
      <c r="Z14">
        <v>7.7599708995888946E-4</v>
      </c>
    </row>
    <row r="15" spans="1:26" ht="15.75" thickBot="1" x14ac:dyDescent="0.3">
      <c r="A15" s="36" t="s">
        <v>35</v>
      </c>
      <c r="B15" s="37">
        <f t="shared" si="6"/>
        <v>0</v>
      </c>
      <c r="C15" s="38">
        <f t="shared" si="6"/>
        <v>0</v>
      </c>
      <c r="D15" s="39">
        <f>Y36</f>
        <v>1</v>
      </c>
      <c r="E15" s="35">
        <f t="shared" si="7"/>
        <v>8.5156558962328042</v>
      </c>
      <c r="L15" s="22">
        <v>0</v>
      </c>
      <c r="M15" s="23">
        <v>0</v>
      </c>
      <c r="N15" s="23">
        <v>0</v>
      </c>
      <c r="O15" s="34">
        <f>-$E$8</f>
        <v>-12.979145748097134</v>
      </c>
      <c r="P15" s="23">
        <f>$E$9+$E$14*$H$9</f>
        <v>76.994307095016495</v>
      </c>
      <c r="Q15" s="35">
        <f>$E$15*$C$15</f>
        <v>0</v>
      </c>
      <c r="T15" s="22">
        <v>1.7132084848830024E-5</v>
      </c>
      <c r="U15" s="23">
        <v>1.1353344571033814E-4</v>
      </c>
      <c r="V15" s="23">
        <v>6.1755766331067366E-4</v>
      </c>
      <c r="W15" s="23">
        <v>3.1361098059698479E-3</v>
      </c>
      <c r="X15" s="24">
        <v>1.5596436272095929E-2</v>
      </c>
      <c r="Z15">
        <v>1.3081200040213843E-4</v>
      </c>
    </row>
    <row r="16" spans="1:26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>
        <v>5</v>
      </c>
      <c r="Q17" s="14" t="s">
        <v>36</v>
      </c>
      <c r="S17" s="14" t="s">
        <v>17</v>
      </c>
      <c r="Z17" s="14" t="s">
        <v>37</v>
      </c>
    </row>
    <row r="18" spans="1:35" ht="15.75" thickBot="1" x14ac:dyDescent="0.3">
      <c r="A18" t="s">
        <v>9</v>
      </c>
      <c r="B18" t="s">
        <v>38</v>
      </c>
      <c r="K18" s="14" t="s">
        <v>39</v>
      </c>
      <c r="L18" s="15">
        <f>E$10*$I$5+E$5</f>
        <v>8865.2452655539219</v>
      </c>
      <c r="M18" s="20">
        <f>-$E$11*$I$6</f>
        <v>-15701.658352630606</v>
      </c>
      <c r="N18" s="20">
        <v>0</v>
      </c>
      <c r="O18" s="20">
        <v>0</v>
      </c>
      <c r="P18" s="20">
        <v>0</v>
      </c>
      <c r="Q18" s="16">
        <f>$D$4*$E$4</f>
        <v>0</v>
      </c>
      <c r="T18" s="15">
        <f t="array" ref="T18:X22">MINVERSE(L18:P22)</f>
        <v>1.1298355439782386E-4</v>
      </c>
      <c r="U18" s="20">
        <v>1.1298355439779045E-4</v>
      </c>
      <c r="V18" s="20">
        <v>1.1298355435816621E-4</v>
      </c>
      <c r="W18" s="20">
        <v>1.1298349953842854E-4</v>
      </c>
      <c r="X18" s="21">
        <v>1.129051384570509E-4</v>
      </c>
      <c r="Z18">
        <f t="array" ref="Z18:Z22">MMULT(T18:X22,Q18:Q22)</f>
        <v>9.6146130801676654E-4</v>
      </c>
    </row>
    <row r="19" spans="1:35" x14ac:dyDescent="0.25">
      <c r="A19" t="s">
        <v>10</v>
      </c>
      <c r="B19" t="s">
        <v>40</v>
      </c>
      <c r="L19" s="32">
        <f>-$E$5</f>
        <v>-14.399624081871645</v>
      </c>
      <c r="M19" s="18">
        <f>$E$6+$E$11*$I$6</f>
        <v>15714.895776334934</v>
      </c>
      <c r="N19" s="18">
        <f>-$I$7*$E$12</f>
        <v>-18015.799015388362</v>
      </c>
      <c r="O19" s="18">
        <v>0</v>
      </c>
      <c r="P19" s="18">
        <v>0</v>
      </c>
      <c r="Q19" s="31">
        <v>0</v>
      </c>
      <c r="T19" s="17">
        <v>1.0361457842376944E-7</v>
      </c>
      <c r="U19" s="18">
        <v>6.3791154935087248E-5</v>
      </c>
      <c r="V19" s="18">
        <v>6.3791154912715183E-5</v>
      </c>
      <c r="W19" s="18">
        <v>6.3791123961180702E-5</v>
      </c>
      <c r="X19" s="19">
        <v>6.3746880850670625E-5</v>
      </c>
      <c r="Z19">
        <v>5.4284650178246339E-4</v>
      </c>
    </row>
    <row r="20" spans="1:35" x14ac:dyDescent="0.25">
      <c r="A20" t="s">
        <v>11</v>
      </c>
      <c r="B20" t="s">
        <v>41</v>
      </c>
      <c r="L20" s="17">
        <v>0</v>
      </c>
      <c r="M20" s="33">
        <f>-$E$6</f>
        <v>-13.237423704328622</v>
      </c>
      <c r="N20" s="18">
        <f>$E$7+$E$12*$I$7</f>
        <v>18028.82101179965</v>
      </c>
      <c r="O20" s="18">
        <f>-$E$13*$I$8</f>
        <v>-18552.804865201106</v>
      </c>
      <c r="P20" s="18">
        <v>0</v>
      </c>
      <c r="Q20" s="31">
        <v>0</v>
      </c>
      <c r="T20" s="17">
        <v>7.6132625307833336E-11</v>
      </c>
      <c r="U20" s="18">
        <v>4.6871667775978008E-8</v>
      </c>
      <c r="V20" s="18">
        <v>5.555370757301874E-5</v>
      </c>
      <c r="W20" s="18">
        <v>5.5553680618302245E-5</v>
      </c>
      <c r="X20" s="19">
        <v>5.5515150686891533E-5</v>
      </c>
      <c r="Z20">
        <v>4.7274792027708048E-4</v>
      </c>
    </row>
    <row r="21" spans="1:35" x14ac:dyDescent="0.25">
      <c r="L21" s="17">
        <v>0</v>
      </c>
      <c r="M21" s="18">
        <v>0</v>
      </c>
      <c r="N21" s="33">
        <f>-$E$7</f>
        <v>-13.021996411289315</v>
      </c>
      <c r="O21" s="18">
        <f>$E$8+$E$13*$I$8</f>
        <v>18565.784010949203</v>
      </c>
      <c r="P21" s="18">
        <f>-$E$14*$I$9</f>
        <v>-18664.82518889552</v>
      </c>
      <c r="Q21" s="31">
        <v>0</v>
      </c>
      <c r="T21" s="17">
        <v>5.3436571974756271E-14</v>
      </c>
      <c r="U21" s="18">
        <v>3.2898658604778298E-11</v>
      </c>
      <c r="V21" s="18">
        <v>3.8992477682031769E-8</v>
      </c>
      <c r="W21" s="18">
        <v>5.3939172084681838E-5</v>
      </c>
      <c r="X21" s="19">
        <v>5.3901761915316955E-5</v>
      </c>
      <c r="Z21">
        <v>4.5900885667150566E-4</v>
      </c>
    </row>
    <row r="22" spans="1:35" ht="15.75" thickBot="1" x14ac:dyDescent="0.3">
      <c r="L22" s="22">
        <v>0</v>
      </c>
      <c r="M22" s="23">
        <v>0</v>
      </c>
      <c r="N22" s="23">
        <v>0</v>
      </c>
      <c r="O22" s="34">
        <f>-$E$8</f>
        <v>-12.979145748097134</v>
      </c>
      <c r="P22" s="23">
        <f>$E$9+$E$14*$I$9</f>
        <v>18677.7793901437</v>
      </c>
      <c r="Q22" s="43">
        <f>$E$15*$D$15</f>
        <v>8.5156558962328042</v>
      </c>
      <c r="T22" s="22">
        <v>3.7132950414064631E-17</v>
      </c>
      <c r="U22" s="23">
        <v>2.286120186073267E-14</v>
      </c>
      <c r="V22" s="23">
        <v>2.7095782659344355E-11</v>
      </c>
      <c r="W22" s="23">
        <v>3.7482206069326084E-8</v>
      </c>
      <c r="X22" s="24">
        <v>5.3577011373849357E-5</v>
      </c>
      <c r="Z22">
        <v>4.5624339280825229E-4</v>
      </c>
    </row>
    <row r="24" spans="1:35" ht="15.75" thickBot="1" x14ac:dyDescent="0.3"/>
    <row r="25" spans="1:35" ht="15.75" thickBot="1" x14ac:dyDescent="0.3">
      <c r="R25" s="18"/>
      <c r="S25" s="18"/>
      <c r="T25" s="18"/>
      <c r="U25" s="18"/>
      <c r="V25" s="18"/>
      <c r="Y25" s="11"/>
      <c r="Z25" s="12" t="s">
        <v>42</v>
      </c>
      <c r="AA25" s="13" t="s">
        <v>18</v>
      </c>
      <c r="AB25" s="13" t="s">
        <v>29</v>
      </c>
      <c r="AC25" s="6" t="s">
        <v>37</v>
      </c>
      <c r="AE25" s="44" t="s">
        <v>43</v>
      </c>
      <c r="AF25" s="44" t="s">
        <v>44</v>
      </c>
      <c r="AG25" s="44" t="s">
        <v>45</v>
      </c>
      <c r="AH25" s="44" t="s">
        <v>46</v>
      </c>
      <c r="AI25" s="44" t="s">
        <v>47</v>
      </c>
    </row>
    <row r="26" spans="1:35" ht="15.75" thickBot="1" x14ac:dyDescent="0.3">
      <c r="F26">
        <v>4.5489512327135218E-2</v>
      </c>
      <c r="G26">
        <v>6.7015939493510939E-4</v>
      </c>
      <c r="L26" s="45" t="s">
        <v>48</v>
      </c>
      <c r="M26" s="46"/>
      <c r="N26" s="47"/>
      <c r="R26" s="18"/>
      <c r="S26" s="18"/>
      <c r="T26" s="18"/>
      <c r="U26" s="18"/>
      <c r="V26" s="18"/>
      <c r="Y26" s="48" t="s">
        <v>19</v>
      </c>
      <c r="Z26" s="2">
        <v>21.209716796875</v>
      </c>
      <c r="AA26" s="20">
        <v>0.64</v>
      </c>
      <c r="AB26" s="20">
        <v>0.36</v>
      </c>
      <c r="AC26" s="21">
        <v>0</v>
      </c>
      <c r="AE26">
        <f>Z27</f>
        <v>8.5156558962328042</v>
      </c>
      <c r="AF26">
        <f>AE26/Z26</f>
        <v>0.40149785957950579</v>
      </c>
      <c r="AG26">
        <f>AB31*W31/Z26/AA26</f>
        <v>4.6236350789118863E-2</v>
      </c>
      <c r="AH26" s="49">
        <f>X31*AB31/Z26/AB26</f>
        <v>0.99977828819357406</v>
      </c>
      <c r="AI26" s="50">
        <f>AA35*U35/AB36/AC27</f>
        <v>6.9404738711067169E-4</v>
      </c>
    </row>
    <row r="27" spans="1:35" ht="15.75" thickBot="1" x14ac:dyDescent="0.3">
      <c r="F27">
        <v>3.5419044279793193E-3</v>
      </c>
      <c r="G27">
        <v>4.7094627309765769E-4</v>
      </c>
      <c r="L27" s="51" t="s">
        <v>9</v>
      </c>
      <c r="M27" s="52" t="s">
        <v>10</v>
      </c>
      <c r="N27" s="53" t="s">
        <v>11</v>
      </c>
      <c r="O27" s="54" t="s">
        <v>49</v>
      </c>
      <c r="R27" s="18"/>
      <c r="S27" s="18"/>
      <c r="T27" s="18"/>
      <c r="U27" s="18"/>
      <c r="V27" s="18"/>
      <c r="W27" s="55"/>
      <c r="Y27" s="56" t="s">
        <v>35</v>
      </c>
      <c r="Z27" s="55">
        <v>8.5156558962328042</v>
      </c>
      <c r="AA27" s="23">
        <v>0</v>
      </c>
      <c r="AB27" s="23">
        <v>0</v>
      </c>
      <c r="AC27" s="24">
        <v>1</v>
      </c>
    </row>
    <row r="28" spans="1:35" ht="15.75" thickBot="1" x14ac:dyDescent="0.3">
      <c r="F28">
        <v>2.6727070600407357E-4</v>
      </c>
      <c r="G28">
        <v>4.5682769651041465E-4</v>
      </c>
      <c r="L28" s="15">
        <f>Z4</f>
        <v>0.9048242078187515</v>
      </c>
      <c r="M28" s="20">
        <f>Z11</f>
        <v>9.421431026933752E-2</v>
      </c>
      <c r="N28" s="21">
        <f>Z18</f>
        <v>9.6146130801676654E-4</v>
      </c>
      <c r="O28" s="16">
        <f>SUM(L28:N28)</f>
        <v>0.99999997939610574</v>
      </c>
      <c r="R28" s="18"/>
      <c r="S28" s="18"/>
      <c r="T28" s="18"/>
      <c r="U28" s="18"/>
      <c r="V28" s="18"/>
      <c r="AG28" s="2"/>
    </row>
    <row r="29" spans="1:35" ht="21.75" thickBot="1" x14ac:dyDescent="0.4">
      <c r="F29">
        <v>2.0023386220714435E-5</v>
      </c>
      <c r="G29">
        <v>4.5576924644759884E-4</v>
      </c>
      <c r="L29" s="17">
        <f>Z5</f>
        <v>0.97987980781331219</v>
      </c>
      <c r="M29" s="18">
        <f>Z12</f>
        <v>1.9577332214300462E-2</v>
      </c>
      <c r="N29" s="19">
        <f>Z19</f>
        <v>5.4284650178246339E-4</v>
      </c>
      <c r="O29" s="31">
        <f t="shared" ref="O29:O32" si="8">SUM(L29:N29)</f>
        <v>0.99999998652939515</v>
      </c>
      <c r="R29" s="18"/>
      <c r="S29" s="18"/>
      <c r="T29" s="18"/>
      <c r="U29" s="18"/>
      <c r="V29" s="18"/>
      <c r="AA29" s="12" t="s">
        <v>50</v>
      </c>
      <c r="AB29" s="6" t="s">
        <v>51</v>
      </c>
      <c r="AG29" s="44" t="s">
        <v>52</v>
      </c>
      <c r="AI29" s="57">
        <f>ABS(AH26-AG30)</f>
        <v>2.1711806425961377E-5</v>
      </c>
    </row>
    <row r="30" spans="1:35" ht="15.75" thickBot="1" x14ac:dyDescent="0.3">
      <c r="F30">
        <v>1.4024829460287505E-6</v>
      </c>
      <c r="G30">
        <v>4.5568957470008755E-4</v>
      </c>
      <c r="L30" s="17">
        <f>Z6</f>
        <v>0.9955705685720927</v>
      </c>
      <c r="M30" s="18">
        <f>Z13</f>
        <v>3.9566784350223644E-3</v>
      </c>
      <c r="N30" s="19">
        <f>Z20</f>
        <v>4.7274792027708048E-4</v>
      </c>
      <c r="O30" s="31">
        <f t="shared" si="8"/>
        <v>0.99999999492739211</v>
      </c>
      <c r="R30" s="14" t="s">
        <v>53</v>
      </c>
      <c r="S30" s="8" t="s">
        <v>54</v>
      </c>
      <c r="T30" s="9" t="s">
        <v>55</v>
      </c>
      <c r="U30" s="9" t="s">
        <v>56</v>
      </c>
      <c r="V30" s="58" t="s">
        <v>49</v>
      </c>
      <c r="W30" s="8" t="s">
        <v>57</v>
      </c>
      <c r="X30" s="9" t="s">
        <v>58</v>
      </c>
      <c r="Y30" s="9" t="s">
        <v>59</v>
      </c>
      <c r="Z30" s="59" t="s">
        <v>60</v>
      </c>
      <c r="AA30" s="60">
        <f>Z26</f>
        <v>21.209716796875</v>
      </c>
      <c r="AB30" s="61"/>
      <c r="AC30" s="9" t="s">
        <v>13</v>
      </c>
      <c r="AD30" s="9" t="s">
        <v>14</v>
      </c>
      <c r="AE30" s="10" t="s">
        <v>15</v>
      </c>
      <c r="AG30">
        <v>0.99980000000000002</v>
      </c>
    </row>
    <row r="31" spans="1:35" x14ac:dyDescent="0.25">
      <c r="L31" s="17">
        <f>Z7</f>
        <v>0.99876499256356355</v>
      </c>
      <c r="M31" s="18">
        <f>Z14</f>
        <v>7.7599708995888946E-4</v>
      </c>
      <c r="N31" s="19">
        <f>Z21</f>
        <v>4.5900885667150566E-4</v>
      </c>
      <c r="O31" s="31">
        <f t="shared" si="8"/>
        <v>0.99999999851019394</v>
      </c>
      <c r="R31" s="62">
        <v>1</v>
      </c>
      <c r="S31" s="63">
        <f>C41</f>
        <v>0.90482420781875139</v>
      </c>
      <c r="T31" s="64">
        <f t="shared" ref="T31:U35" si="9">D41</f>
        <v>9.4214331064083737E-2</v>
      </c>
      <c r="U31" s="64">
        <f t="shared" si="9"/>
        <v>9.6146111716488569E-4</v>
      </c>
      <c r="V31" s="65">
        <f>SUM(S31:U31)</f>
        <v>1</v>
      </c>
      <c r="W31" s="64">
        <f>G41</f>
        <v>3.7422689397351591E-2</v>
      </c>
      <c r="X31" s="64">
        <f t="shared" ref="X31:Y35" si="10">H41</f>
        <v>0.4551742370458669</v>
      </c>
      <c r="Y31" s="64">
        <f t="shared" si="10"/>
        <v>0.50740307355678149</v>
      </c>
      <c r="Z31" s="66">
        <f>SUM(W31:Y31)</f>
        <v>1</v>
      </c>
      <c r="AA31" s="33">
        <f t="shared" ref="AA31:AA33" si="11">(AB33*(W32-W33)+AA32*(S32-W32))/(S31-W32)</f>
        <v>14.399624081871645</v>
      </c>
      <c r="AB31" s="33">
        <f>AA30+AB36-AA35</f>
        <v>16.771171444926978</v>
      </c>
      <c r="AC31" s="67">
        <f>W31/S31</f>
        <v>4.1359071821880193E-2</v>
      </c>
      <c r="AD31" s="68">
        <f t="shared" ref="AD31:AE35" si="12">X31/T31</f>
        <v>4.8312632686025392</v>
      </c>
      <c r="AE31" s="69">
        <f t="shared" si="12"/>
        <v>527.74164706003853</v>
      </c>
      <c r="AG31" t="s">
        <v>61</v>
      </c>
    </row>
    <row r="32" spans="1:35" ht="15.75" thickBot="1" x14ac:dyDescent="0.3">
      <c r="L32" s="22">
        <f>Z8</f>
        <v>0.99941294427588645</v>
      </c>
      <c r="M32" s="23">
        <f>Z15</f>
        <v>1.3081200040213843E-4</v>
      </c>
      <c r="N32" s="24">
        <f>Z22</f>
        <v>4.5624339280825229E-4</v>
      </c>
      <c r="O32" s="35">
        <f t="shared" si="8"/>
        <v>0.99999999966909681</v>
      </c>
      <c r="R32" s="70">
        <v>2</v>
      </c>
      <c r="S32" s="71">
        <f t="shared" ref="S32:S35" si="13">C42</f>
        <v>0.9798798078133123</v>
      </c>
      <c r="T32" s="72">
        <f t="shared" si="9"/>
        <v>1.9577345725839673E-2</v>
      </c>
      <c r="U32" s="72">
        <f t="shared" si="9"/>
        <v>5.4284646084805854E-4</v>
      </c>
      <c r="V32" s="73">
        <f t="shared" ref="V32:V35" si="14">SUM(S32:U32)</f>
        <v>1</v>
      </c>
      <c r="W32" s="72">
        <f t="shared" ref="W32:W35" si="15">G42</f>
        <v>8.2854522906875006E-3</v>
      </c>
      <c r="X32" s="72">
        <f t="shared" si="10"/>
        <v>0.13602512919628029</v>
      </c>
      <c r="Y32" s="72">
        <f t="shared" si="10"/>
        <v>0.85568941851303226</v>
      </c>
      <c r="Z32" s="74">
        <f t="shared" ref="Z32:Z35" si="16">SUM(W32:Y32)</f>
        <v>1</v>
      </c>
      <c r="AA32" s="33">
        <f t="shared" si="11"/>
        <v>13.237423704328622</v>
      </c>
      <c r="AB32" s="33">
        <f>AA31+AB33-AA32</f>
        <v>9.9610787299236261</v>
      </c>
      <c r="AC32" s="75">
        <f t="shared" ref="AC32:AC35" si="17">W32/S32</f>
        <v>8.4555801891430075E-3</v>
      </c>
      <c r="AD32" s="18">
        <f t="shared" si="12"/>
        <v>6.9480884232811988</v>
      </c>
      <c r="AE32" s="76">
        <f t="shared" si="12"/>
        <v>1576.3009989532522</v>
      </c>
      <c r="AG32" s="77">
        <f>AG30*Z26*AB26/X31</f>
        <v>16.771535658105286</v>
      </c>
    </row>
    <row r="33" spans="3:33" x14ac:dyDescent="0.25">
      <c r="R33" s="70">
        <v>3</v>
      </c>
      <c r="S33" s="71">
        <f t="shared" si="13"/>
        <v>0.99557056857209292</v>
      </c>
      <c r="T33" s="72">
        <f t="shared" si="9"/>
        <v>3.956683516322842E-3</v>
      </c>
      <c r="U33" s="72">
        <f t="shared" si="9"/>
        <v>4.7274791158427202E-4</v>
      </c>
      <c r="V33" s="73">
        <f t="shared" si="14"/>
        <v>1</v>
      </c>
      <c r="W33" s="72">
        <f t="shared" si="15"/>
        <v>2.7830575868258559E-3</v>
      </c>
      <c r="X33" s="72">
        <f t="shared" si="10"/>
        <v>2.9260457625256732E-2</v>
      </c>
      <c r="Y33" s="72">
        <f t="shared" si="10"/>
        <v>0.9679564847879174</v>
      </c>
      <c r="Z33" s="74">
        <f t="shared" si="16"/>
        <v>1</v>
      </c>
      <c r="AA33" s="33">
        <f t="shared" si="11"/>
        <v>13.021996411289315</v>
      </c>
      <c r="AB33" s="33">
        <f>AA32+AB34-AA33</f>
        <v>8.7988783523806049</v>
      </c>
      <c r="AC33" s="75">
        <f t="shared" si="17"/>
        <v>2.795439795711804E-3</v>
      </c>
      <c r="AD33" s="18">
        <f t="shared" si="12"/>
        <v>7.3951978985799816</v>
      </c>
      <c r="AE33" s="76">
        <f t="shared" si="12"/>
        <v>2047.5108637584526</v>
      </c>
      <c r="AG33" t="s">
        <v>62</v>
      </c>
    </row>
    <row r="34" spans="3:33" ht="15.75" thickBot="1" x14ac:dyDescent="0.3">
      <c r="R34" s="70">
        <v>4</v>
      </c>
      <c r="S34" s="71">
        <f t="shared" si="13"/>
        <v>0.99876499256356388</v>
      </c>
      <c r="T34" s="72">
        <f t="shared" si="9"/>
        <v>7.7599858159789611E-4</v>
      </c>
      <c r="U34" s="72">
        <f t="shared" si="9"/>
        <v>4.5900885483813995E-4</v>
      </c>
      <c r="V34" s="73">
        <f t="shared" si="14"/>
        <v>1</v>
      </c>
      <c r="W34" s="72">
        <f t="shared" si="15"/>
        <v>2.0644331541924202E-3</v>
      </c>
      <c r="X34" s="72">
        <f t="shared" si="10"/>
        <v>5.8052854080580234E-3</v>
      </c>
      <c r="Y34" s="72">
        <f t="shared" si="10"/>
        <v>0.99213028143774951</v>
      </c>
      <c r="Z34" s="74">
        <f t="shared" si="16"/>
        <v>1</v>
      </c>
      <c r="AA34" s="33">
        <f>(AB36*(W35-W36)+AA35*(S35-W35))/(S34-W35)</f>
        <v>12.979145748097134</v>
      </c>
      <c r="AB34" s="33">
        <f>AA33+AB35-AA34</f>
        <v>8.5834510593412983</v>
      </c>
      <c r="AC34" s="75">
        <f t="shared" si="17"/>
        <v>2.0669858971464044E-3</v>
      </c>
      <c r="AD34" s="18">
        <f t="shared" si="12"/>
        <v>7.4810515711305561</v>
      </c>
      <c r="AE34" s="76">
        <f t="shared" si="12"/>
        <v>2161.4621830936221</v>
      </c>
      <c r="AG34" s="77">
        <f>AG36+Z26-AG32</f>
        <v>12.954187610338003</v>
      </c>
    </row>
    <row r="35" spans="3:33" ht="18.75" thickBot="1" x14ac:dyDescent="0.4">
      <c r="C35" s="78" t="s">
        <v>63</v>
      </c>
      <c r="D35" s="79" t="s">
        <v>64</v>
      </c>
      <c r="E35" s="79" t="s">
        <v>65</v>
      </c>
      <c r="F35" s="79" t="s">
        <v>66</v>
      </c>
      <c r="G35" s="79" t="s">
        <v>67</v>
      </c>
      <c r="H35" s="80" t="s">
        <v>68</v>
      </c>
      <c r="R35" s="81">
        <v>5</v>
      </c>
      <c r="S35" s="82">
        <f t="shared" si="13"/>
        <v>0.99941294427588678</v>
      </c>
      <c r="T35" s="83">
        <f t="shared" si="9"/>
        <v>1.3081233163512356E-4</v>
      </c>
      <c r="U35" s="83">
        <f t="shared" si="9"/>
        <v>4.5624339247809273E-4</v>
      </c>
      <c r="V35" s="84">
        <f t="shared" si="14"/>
        <v>1</v>
      </c>
      <c r="W35" s="83">
        <f t="shared" si="15"/>
        <v>1.9342898188197712E-3</v>
      </c>
      <c r="X35" s="83">
        <f>H45</f>
        <v>9.8087197332893689E-4</v>
      </c>
      <c r="Y35" s="83">
        <f t="shared" si="10"/>
        <v>0.99708483820785121</v>
      </c>
      <c r="Z35" s="85">
        <f t="shared" si="16"/>
        <v>0.99999999999999989</v>
      </c>
      <c r="AA35" s="33">
        <f>(AA30*(AA26-W31)+AB36*(AA27-W31))/(S35-W31)</f>
        <v>12.954201248180825</v>
      </c>
      <c r="AB35" s="33">
        <f>AA34+AB36-AA35</f>
        <v>8.5406003961491148</v>
      </c>
      <c r="AC35" s="86">
        <f t="shared" si="17"/>
        <v>1.9354260217444338E-3</v>
      </c>
      <c r="AD35" s="87">
        <f t="shared" si="12"/>
        <v>7.4983142725786367</v>
      </c>
      <c r="AE35" s="88">
        <f t="shared" si="12"/>
        <v>2185.4230760300334</v>
      </c>
      <c r="AG35" t="s">
        <v>69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89"/>
      <c r="W36" s="90">
        <v>0</v>
      </c>
      <c r="X36">
        <f>AB27</f>
        <v>0</v>
      </c>
      <c r="Y36" s="91">
        <v>1</v>
      </c>
      <c r="Z36" s="92"/>
      <c r="AA36" s="93"/>
      <c r="AB36" s="94">
        <f>Z27</f>
        <v>8.5156558962328042</v>
      </c>
      <c r="AG36" s="95">
        <f>(AG32*(W31-S35)+Z26*(S35-AA26))/(AA27-S35)</f>
        <v>8.516006471568291</v>
      </c>
    </row>
    <row r="37" spans="3:33" ht="18.75" thickBot="1" x14ac:dyDescent="0.4">
      <c r="C37" s="78" t="s">
        <v>70</v>
      </c>
      <c r="D37" s="79" t="s">
        <v>71</v>
      </c>
      <c r="E37" s="79" t="s">
        <v>72</v>
      </c>
      <c r="F37" s="79" t="s">
        <v>73</v>
      </c>
      <c r="G37" s="79" t="s">
        <v>74</v>
      </c>
      <c r="H37" s="80" t="s">
        <v>75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96">
        <f>AG36-Z27</f>
        <v>3.5057533548688014E-4</v>
      </c>
    </row>
    <row r="39" spans="3:33" ht="15.75" thickBot="1" x14ac:dyDescent="0.3"/>
    <row r="40" spans="3:33" ht="16.5" thickBot="1" x14ac:dyDescent="0.3">
      <c r="C40" s="12" t="s">
        <v>76</v>
      </c>
      <c r="D40" s="13" t="s">
        <v>77</v>
      </c>
      <c r="E40" s="6" t="s">
        <v>78</v>
      </c>
      <c r="G40" s="12" t="s">
        <v>79</v>
      </c>
      <c r="H40" s="13" t="s">
        <v>80</v>
      </c>
      <c r="I40" s="6" t="s">
        <v>81</v>
      </c>
      <c r="L40" s="97" t="s">
        <v>82</v>
      </c>
      <c r="M40" s="98" t="s">
        <v>83</v>
      </c>
      <c r="N40" s="98" t="s">
        <v>84</v>
      </c>
      <c r="O40" s="98" t="s">
        <v>85</v>
      </c>
      <c r="P40" s="98" t="s">
        <v>86</v>
      </c>
      <c r="Q40" s="98" t="s">
        <v>87</v>
      </c>
      <c r="R40" s="98" t="s">
        <v>88</v>
      </c>
      <c r="S40" s="98" t="s">
        <v>89</v>
      </c>
      <c r="T40" s="98" t="s">
        <v>90</v>
      </c>
      <c r="U40" s="98" t="s">
        <v>91</v>
      </c>
      <c r="V40" s="98" t="s">
        <v>92</v>
      </c>
      <c r="W40" s="98" t="s">
        <v>93</v>
      </c>
      <c r="X40" s="98" t="s">
        <v>94</v>
      </c>
      <c r="Y40" s="98" t="s">
        <v>95</v>
      </c>
      <c r="Z40" s="99" t="s">
        <v>96</v>
      </c>
    </row>
    <row r="41" spans="3:33" x14ac:dyDescent="0.25">
      <c r="C41">
        <f>1-D41-E41</f>
        <v>0.90482420781875139</v>
      </c>
      <c r="D41" s="2">
        <v>9.4214331064083737E-2</v>
      </c>
      <c r="E41" s="2">
        <v>9.6146111716488569E-4</v>
      </c>
      <c r="F41" s="2"/>
      <c r="G41" s="2">
        <v>3.7422689397351591E-2</v>
      </c>
      <c r="H41" s="2">
        <v>0.4551742370458669</v>
      </c>
      <c r="I41">
        <f>1-G41-H41</f>
        <v>0.50740307355678149</v>
      </c>
      <c r="L41">
        <f>$C41+$D$38*$D41+$F$38*$E41</f>
        <v>0.93521878990871177</v>
      </c>
      <c r="M41">
        <f>$C$38*$C41+$D41+$H$38*$E41</f>
        <v>0.48459916626871863</v>
      </c>
      <c r="N41">
        <f>$E$38*$C41+$G$38*$D41+$E41</f>
        <v>6.8891650272914273E-2</v>
      </c>
      <c r="O41">
        <f>$D41*$D$36*$D$38+$E41*$F$36*$F$38</f>
        <v>8.6444294519427908E-2</v>
      </c>
      <c r="P41">
        <f>$C41*$C$36*$C$38+$E41*$H$36*$H$38</f>
        <v>0.82093856560596279</v>
      </c>
      <c r="Q41">
        <f>$C41*$E$36*$E$38+$D41*$G$36*$G$38</f>
        <v>0.43346031823692904</v>
      </c>
      <c r="R41">
        <f>(O41/L41)-(C41*O41/L41^2)+(D41*$C$38/M41)*($C$36-P41/M41)+(E41*$E$38/N41)*($E$36-Q41/N41)</f>
        <v>3.8330774966395274E-2</v>
      </c>
      <c r="S41">
        <f>(P41/M41)-(D41*P41/M41^2)+(C41*$D$38/L41)*($D$36-O41/L41)+(E41*$G$38/N41)*($G$36-Q41/N41)</f>
        <v>2.2121006687962987</v>
      </c>
      <c r="T41">
        <f>(Q41/N41)-(E41*Q41/N41^2)+(C41*$F$38/L41)*($F$36-O41/L41)+(D41*$H$38/M41)*($H$36-P41/M41)</f>
        <v>6.4428279510333475</v>
      </c>
      <c r="U41">
        <f>EXP(R41)</f>
        <v>1.0390748759982844</v>
      </c>
      <c r="V41">
        <f>EXP(S41)</f>
        <v>9.1348856210734848</v>
      </c>
      <c r="W41">
        <f>EXP(T41)</f>
        <v>628.18075471487441</v>
      </c>
      <c r="X41">
        <f>U41/U47</f>
        <v>4.1359072503288914E-2</v>
      </c>
      <c r="Y41">
        <f>V41/V47</f>
        <v>4.831262878111839</v>
      </c>
      <c r="Z41">
        <f>W41/W47</f>
        <v>527.74183343856112</v>
      </c>
    </row>
    <row r="42" spans="3:33" x14ac:dyDescent="0.25">
      <c r="C42">
        <f t="shared" ref="C42:C45" si="18">1-D42-E42</f>
        <v>0.9798798078133123</v>
      </c>
      <c r="D42">
        <v>1.9577345725839673E-2</v>
      </c>
      <c r="E42" s="2">
        <v>5.4284646084805854E-4</v>
      </c>
      <c r="G42" s="2">
        <v>8.2854522906875006E-3</v>
      </c>
      <c r="H42">
        <v>0.13602512919628029</v>
      </c>
      <c r="I42">
        <f t="shared" ref="I42:I45" si="19">1-G42-H42</f>
        <v>0.85568941851303226</v>
      </c>
      <c r="L42">
        <f>$C42+$D$38*$D42+$F$38*$E42</f>
        <v>0.98622523103249338</v>
      </c>
      <c r="M42">
        <f t="shared" ref="M42:M45" si="20">$C$38*$C42+$D42+$H$38*$E42</f>
        <v>0.44188710923532504</v>
      </c>
      <c r="N42">
        <f t="shared" ref="N42:N45" si="21">$E$38*$C42+$G$38*$D42+$E42</f>
        <v>5.7624419108231399E-2</v>
      </c>
      <c r="O42">
        <f t="shared" ref="O42:O45" si="22">$D42*$D$36*$D$38+$E42*$F$36*$F$38</f>
        <v>1.8143912920975426E-2</v>
      </c>
      <c r="P42">
        <f t="shared" ref="P42:P45" si="23">$C42*$C$36*$C$38+$E42*$H$36*$H$38</f>
        <v>0.88893836132518311</v>
      </c>
      <c r="Q42">
        <f t="shared" ref="Q42:Q45" si="24">$C42*$E$36*$E$38+$D42*$G$36*$G$38</f>
        <v>0.40307589692468138</v>
      </c>
      <c r="R42">
        <f>(O42/L42)-(C42*O42/L42^2)+(D42*$C$38/M42)*($C$36-P42/M42)+(E42*$E$38/N42)*($E$36-Q42/N42)</f>
        <v>2.0878510074295743E-3</v>
      </c>
      <c r="S42">
        <f>(P42/M42)-(D42*P42/M42^2)+(C42*$D$38/L42)*($D$36-O42/L42)+(E42*$G$38/N42)*($G$36-Q42/N42)</f>
        <v>2.8173568458565104</v>
      </c>
      <c r="T42">
        <f>(Q42/N42)-(E42*Q42/N42^2)+(C42*$F$38/L42)*($F$36-O42/L42)+(D42*$H$38/M42)*($H$36-P42/M42)</f>
        <v>7.378865945346913</v>
      </c>
      <c r="U42">
        <f t="shared" ref="U42:W45" si="25">EXP(R42)</f>
        <v>1.0020900320860024</v>
      </c>
      <c r="V42">
        <f t="shared" si="25"/>
        <v>16.732565421924768</v>
      </c>
      <c r="W42">
        <f t="shared" si="25"/>
        <v>1601.7722401773001</v>
      </c>
      <c r="X42">
        <f t="shared" ref="X42:Z45" si="26">U42/U48</f>
        <v>8.4555800181180547E-3</v>
      </c>
      <c r="Y42">
        <f t="shared" si="26"/>
        <v>6.9480856851888602</v>
      </c>
      <c r="Z42">
        <f t="shared" si="26"/>
        <v>1576.3012643022455</v>
      </c>
    </row>
    <row r="43" spans="3:33" x14ac:dyDescent="0.25">
      <c r="C43">
        <f t="shared" si="18"/>
        <v>0.99557056857209292</v>
      </c>
      <c r="D43">
        <v>3.956683516322842E-3</v>
      </c>
      <c r="E43" s="2">
        <v>4.7274791158427202E-4</v>
      </c>
      <c r="G43" s="2">
        <v>2.7830575868258559E-3</v>
      </c>
      <c r="H43">
        <v>2.9260457625256732E-2</v>
      </c>
      <c r="I43">
        <f t="shared" si="19"/>
        <v>0.9679564847879174</v>
      </c>
      <c r="L43">
        <f t="shared" ref="L43:L45" si="27">$C43+$D$38*$D43+$F$38*$E43</f>
        <v>0.99688428833815568</v>
      </c>
      <c r="M43">
        <f t="shared" si="20"/>
        <v>0.4329565113420607</v>
      </c>
      <c r="N43">
        <f t="shared" si="21"/>
        <v>5.5282879726239222E-2</v>
      </c>
      <c r="O43">
        <f t="shared" si="22"/>
        <v>3.8586763393491617E-3</v>
      </c>
      <c r="P43">
        <f t="shared" si="23"/>
        <v>0.90315747506943478</v>
      </c>
      <c r="Q43">
        <f t="shared" si="24"/>
        <v>0.39670986480312526</v>
      </c>
      <c r="R43">
        <f>(O43/L43)-(C43*O43/L43^2)+(D43*$C$38/M43)*($C$36-P43/M43)+(E43*$E$38/N43)*($E$36-Q43/N43)</f>
        <v>1.3888069082224346E-4</v>
      </c>
      <c r="S43">
        <f>(P43/M43)-(D43*P43/M43^2)+(C43*$D$38/L43)*($D$36-O43/L43)+(E43*$G$38/N43)*($G$36-Q43/N43)</f>
        <v>2.9712661347364162</v>
      </c>
      <c r="T43">
        <f>(Q43/N43)-(E43*Q43/N43^2)+(C43*$F$38/L43)*($F$36-O43/L43)+(D43*$H$38/M43)*($H$36-P43/M43)</f>
        <v>7.6259232695382542</v>
      </c>
      <c r="U43">
        <f t="shared" si="25"/>
        <v>1.0001388903351918</v>
      </c>
      <c r="V43">
        <f t="shared" si="25"/>
        <v>19.516614622827664</v>
      </c>
      <c r="W43">
        <f t="shared" si="25"/>
        <v>2050.6729151003456</v>
      </c>
      <c r="X43">
        <f t="shared" si="26"/>
        <v>2.7954397936623306E-3</v>
      </c>
      <c r="Y43">
        <f t="shared" si="26"/>
        <v>7.3951935619187168</v>
      </c>
      <c r="Z43">
        <f t="shared" si="26"/>
        <v>2047.5109469678628</v>
      </c>
    </row>
    <row r="44" spans="3:33" x14ac:dyDescent="0.25">
      <c r="C44">
        <f t="shared" si="18"/>
        <v>0.99876499256356388</v>
      </c>
      <c r="D44">
        <v>7.7599858159789611E-4</v>
      </c>
      <c r="E44" s="2">
        <v>4.5900885483813995E-4</v>
      </c>
      <c r="G44" s="2">
        <v>2.0644331541924202E-3</v>
      </c>
      <c r="H44">
        <v>5.8052854080580234E-3</v>
      </c>
      <c r="I44">
        <f t="shared" si="19"/>
        <v>0.99213028143774951</v>
      </c>
      <c r="L44">
        <f t="shared" si="27"/>
        <v>0.99905420108114928</v>
      </c>
      <c r="M44">
        <f t="shared" si="20"/>
        <v>0.43113832048566442</v>
      </c>
      <c r="N44">
        <f t="shared" si="21"/>
        <v>5.4806600060736461E-2</v>
      </c>
      <c r="O44">
        <f t="shared" si="22"/>
        <v>9.5019346062442196E-4</v>
      </c>
      <c r="P44">
        <f t="shared" si="23"/>
        <v>0.90605239592011966</v>
      </c>
      <c r="Q44">
        <f t="shared" si="24"/>
        <v>0.39541339977120527</v>
      </c>
      <c r="R44">
        <f>(O44/L44)-(C44*O44/L44^2)+(D44*$C$38/M44)*($C$36-P44/M44)+(E44*$E$38/N44)*($E$36-Q44/N44)</f>
        <v>3.6567969125311241E-5</v>
      </c>
      <c r="S44">
        <f>(P44/M44)-(D44*P44/M44^2)+(C44*$D$38/L44)*($D$36-O44/L44)+(E44*$G$38/N44)*($G$36-Q44/N44)</f>
        <v>3.0039811153751614</v>
      </c>
      <c r="T44">
        <f>(Q44/N44)-(E44*Q44/N44^2)+(C44*$F$38/L44)*($F$36-O44/L44)+(D44*$H$38/M44)*($H$36-P44/M44)</f>
        <v>7.6789628768088081</v>
      </c>
      <c r="U44">
        <f t="shared" si="25"/>
        <v>1.0000365686377417</v>
      </c>
      <c r="V44">
        <f t="shared" si="25"/>
        <v>20.165659145132519</v>
      </c>
      <c r="W44">
        <f t="shared" si="25"/>
        <v>2162.3759582386738</v>
      </c>
      <c r="X44">
        <f t="shared" si="26"/>
        <v>2.0669858971006836E-3</v>
      </c>
      <c r="Y44">
        <f t="shared" si="26"/>
        <v>7.4810465137755608</v>
      </c>
      <c r="Z44">
        <f t="shared" si="26"/>
        <v>2161.4622018512928</v>
      </c>
    </row>
    <row r="45" spans="3:33" ht="15.75" thickBot="1" x14ac:dyDescent="0.3">
      <c r="C45">
        <f t="shared" si="18"/>
        <v>0.99941294427588678</v>
      </c>
      <c r="D45">
        <v>1.3081233163512356E-4</v>
      </c>
      <c r="E45" s="2">
        <v>4.5624339247809273E-4</v>
      </c>
      <c r="G45" s="2">
        <v>1.9342898188197712E-3</v>
      </c>
      <c r="H45">
        <v>9.8087197332893689E-4</v>
      </c>
      <c r="I45">
        <f t="shared" si="19"/>
        <v>0.99708483820785121</v>
      </c>
      <c r="L45">
        <f t="shared" si="27"/>
        <v>0.99949433758713424</v>
      </c>
      <c r="M45">
        <f t="shared" si="20"/>
        <v>0.43076951989789836</v>
      </c>
      <c r="N45">
        <f t="shared" si="21"/>
        <v>5.4710009354228838E-2</v>
      </c>
      <c r="O45">
        <f t="shared" si="22"/>
        <v>3.602333749095426E-4</v>
      </c>
      <c r="P45">
        <f t="shared" si="23"/>
        <v>0.90663960108143993</v>
      </c>
      <c r="Q45">
        <f t="shared" si="24"/>
        <v>0.39515040976065585</v>
      </c>
      <c r="R45">
        <f>(O45/L45)-(C45*O45/L45^2)+(D45*$C$38/M45)*($C$36-P45/M45)+(E45*$E$38/N45)*($E$36-Q45/N45)</f>
        <v>2.8548169192247776E-5</v>
      </c>
      <c r="S45">
        <f>(P45/M45)-(D45*P45/M45^2)+(C45*$D$38/L45)*($D$36-O45/L45)+(E45*$G$38/N45)*($G$36-Q45/N45)</f>
        <v>3.0106761812188934</v>
      </c>
      <c r="T45">
        <f>(Q45/N45)-(E45*Q45/N45^2)+(C45*$F$38/L45)*($F$36-O45/L45)+(D45*$H$38/M45)*($H$36-P45/M45)</f>
        <v>7.6898402571760984</v>
      </c>
      <c r="U45">
        <f t="shared" si="25"/>
        <v>1.0000285485766951</v>
      </c>
      <c r="V45">
        <f t="shared" si="25"/>
        <v>20.301122523009145</v>
      </c>
      <c r="W45">
        <f t="shared" si="25"/>
        <v>2186.0253324757791</v>
      </c>
      <c r="X45">
        <f t="shared" si="26"/>
        <v>1.9354260217444186E-3</v>
      </c>
      <c r="Y45">
        <f t="shared" si="26"/>
        <v>7.4983087813439857</v>
      </c>
      <c r="Z45">
        <f t="shared" si="26"/>
        <v>2185.4230794484301</v>
      </c>
    </row>
    <row r="46" spans="3:33" ht="16.5" thickBot="1" x14ac:dyDescent="0.3">
      <c r="L46" s="97" t="s">
        <v>97</v>
      </c>
      <c r="M46" s="98" t="s">
        <v>98</v>
      </c>
      <c r="N46" s="98" t="s">
        <v>99</v>
      </c>
      <c r="O46" s="98" t="s">
        <v>100</v>
      </c>
      <c r="P46" s="98" t="s">
        <v>101</v>
      </c>
      <c r="Q46" s="98" t="s">
        <v>102</v>
      </c>
      <c r="R46" s="98" t="s">
        <v>103</v>
      </c>
      <c r="S46" s="98" t="s">
        <v>104</v>
      </c>
      <c r="T46" s="98" t="s">
        <v>105</v>
      </c>
      <c r="U46" s="98" t="s">
        <v>106</v>
      </c>
      <c r="V46" s="98" t="s">
        <v>107</v>
      </c>
      <c r="W46" s="98" t="s">
        <v>108</v>
      </c>
      <c r="X46" s="98" t="s">
        <v>109</v>
      </c>
      <c r="Y46" s="98" t="s">
        <v>110</v>
      </c>
      <c r="Z46" s="99" t="s">
        <v>111</v>
      </c>
    </row>
    <row r="47" spans="3:33" ht="15.75" thickBot="1" x14ac:dyDescent="0.3">
      <c r="L47">
        <f>$G41+$D$38*$H41+$F$38*$I41</f>
        <v>0.22758111944199017</v>
      </c>
      <c r="M47">
        <f>$C$38*$G41+$H41+$H$38*$I41</f>
        <v>0.93726095072141646</v>
      </c>
      <c r="N47">
        <f>$E$38*$G41+$G$38*$H41+$I41</f>
        <v>0.60043001336577828</v>
      </c>
      <c r="O47">
        <f>$H41*$D$36*$D$38+$I41*$F$36*$F$38</f>
        <v>0.68311096139061966</v>
      </c>
      <c r="P47">
        <f>$G41*$C$36*$C$38+$I41*$H$36*$H$38</f>
        <v>0.13316233232633143</v>
      </c>
      <c r="Q47">
        <f>$G41*$E$36*$E$38+$H41*$G$36*$G$38</f>
        <v>0.38102108159264581</v>
      </c>
      <c r="R47">
        <f>(O47/L47)-(G41*O47/L47^2)+(H41*$C$38/M47)*($C$36-P47/M47)+(I41*$E$38/N47)*($E$36-Q47/N47)</f>
        <v>3.2237942489686389</v>
      </c>
      <c r="S47">
        <f>(P47/M47)-(H41*P47/M47^2)+(G41*$D$38/L47)*($D$36-O47/L47)+(I41*$G$38/N47)*($G$36-Q47/N47)</f>
        <v>0.63699276986036457</v>
      </c>
      <c r="T47">
        <f>(Q47/N47)-(I41*Q47/N47^2)+(G41*$F$38/L47)*($F$36-O47/L47)+(H41*$H$38/M47)*($H$36-P47/M47)</f>
        <v>0.17422073872391391</v>
      </c>
      <c r="U47">
        <f>EXP(R47)</f>
        <v>25.12326348507105</v>
      </c>
      <c r="V47">
        <f>EXP(S47)</f>
        <v>1.8907862916048968</v>
      </c>
      <c r="W47">
        <f>EXP(T47)</f>
        <v>1.1903182861625583</v>
      </c>
      <c r="X47">
        <f>U47/U41</f>
        <v>24.178491911792246</v>
      </c>
      <c r="Y47">
        <f>V47/V41</f>
        <v>0.20698521799145431</v>
      </c>
      <c r="Z47">
        <f>W47/W41</f>
        <v>1.8948658920676948E-3</v>
      </c>
    </row>
    <row r="48" spans="3:33" ht="15.75" thickBot="1" x14ac:dyDescent="0.3">
      <c r="C48" s="102" t="s">
        <v>112</v>
      </c>
      <c r="D48" s="103"/>
      <c r="E48" s="103"/>
      <c r="F48" s="103"/>
      <c r="G48" s="103"/>
      <c r="H48" s="103"/>
      <c r="I48" s="104"/>
      <c r="L48">
        <f t="shared" ref="L48:L51" si="28">$G42+$D$38*$H42+$F$38*$I42</f>
        <v>0.12576943293525905</v>
      </c>
      <c r="M48">
        <f t="shared" ref="M48:M51" si="29">$C$38*$G42+$H42+$H$38*$I42</f>
        <v>0.92542034651941729</v>
      </c>
      <c r="N48">
        <f t="shared" ref="N48:N51" si="30">$E$38*$G42+$G$38*$H42+$I42</f>
        <v>0.88333252026170062</v>
      </c>
      <c r="O48">
        <f t="shared" ref="O48:O51" si="31">$H42*$D$36*$D$38+$I42*$F$36*$F$38</f>
        <v>0.57591124049751807</v>
      </c>
      <c r="P48">
        <f t="shared" ref="P48:P51" si="32">$G42*$C$36*$C$38+$I42*$H$36*$H$38</f>
        <v>0.1748358426303864</v>
      </c>
      <c r="Q48">
        <f t="shared" ref="Q48:Q51" si="33">$G42*$E$36*$E$38+$H42*$G$36*$G$38</f>
        <v>0.11271954083041406</v>
      </c>
      <c r="R48">
        <f>(O48/L48)-(G42*O48/L48^2)+(H42*$C$38/M48)*($C$36-P48/M48)+(I42*$E$38/N48)*($E$36-Q48/N48)</f>
        <v>4.7750165493866081</v>
      </c>
      <c r="S48">
        <f>(P48/M48)-(H42*P48/M48^2)+(G42*$D$38/L48)*($D$36-O48/L48)+(I42*$G$38/N48)*($G$36-Q48/N48)</f>
        <v>0.87889066520066361</v>
      </c>
      <c r="T48">
        <f>(Q48/N48)-(I42*Q48/N48^2)+(G42*$F$38/L48)*($F$36-O48/L48)+(H42*$H$38/M48)*($H$36-P48/M48)</f>
        <v>1.6029535645179119E-2</v>
      </c>
      <c r="U48">
        <f t="shared" ref="U48:W51" si="34">EXP(R48)</f>
        <v>118.51227590996602</v>
      </c>
      <c r="V48">
        <f t="shared" si="34"/>
        <v>2.4082266943819288</v>
      </c>
      <c r="W48">
        <f t="shared" si="34"/>
        <v>1.0161586978656199</v>
      </c>
      <c r="X48">
        <f t="shared" ref="X48:Z51" si="35">U48/U42</f>
        <v>118.26509806036563</v>
      </c>
      <c r="Y48">
        <f t="shared" si="35"/>
        <v>0.14392453480124553</v>
      </c>
      <c r="Z48">
        <f t="shared" si="35"/>
        <v>6.3439649681601505E-4</v>
      </c>
    </row>
    <row r="49" spans="2:26" ht="15.75" thickBot="1" x14ac:dyDescent="0.3">
      <c r="B49" s="14" t="s">
        <v>113</v>
      </c>
      <c r="C49" s="13" t="s">
        <v>76</v>
      </c>
      <c r="D49" s="13" t="s">
        <v>77</v>
      </c>
      <c r="E49" s="13" t="s">
        <v>78</v>
      </c>
      <c r="F49" s="13"/>
      <c r="G49" s="13" t="s">
        <v>79</v>
      </c>
      <c r="H49" s="13" t="s">
        <v>80</v>
      </c>
      <c r="I49" s="13" t="s">
        <v>114</v>
      </c>
      <c r="J49" s="14" t="s">
        <v>113</v>
      </c>
      <c r="L49">
        <f t="shared" si="28"/>
        <v>9.5589610139846903E-2</v>
      </c>
      <c r="M49">
        <f t="shared" si="29"/>
        <v>0.91938831703776414</v>
      </c>
      <c r="N49">
        <f t="shared" si="30"/>
        <v>0.97395711227576076</v>
      </c>
      <c r="O49">
        <f t="shared" si="31"/>
        <v>0.5378083604002919</v>
      </c>
      <c r="P49">
        <f t="shared" si="32"/>
        <v>0.19179725155300115</v>
      </c>
      <c r="Q49">
        <f t="shared" si="33"/>
        <v>2.4642757649629202E-2</v>
      </c>
      <c r="R49">
        <f>(O49/L49)-(G43*O49/L49^2)+(H43*$C$38/M49)*($C$36-P49/M49)+(I43*$E$38/N49)*($E$36-Q49/N49)</f>
        <v>5.8799047152966084</v>
      </c>
      <c r="S49">
        <f>(P49/M49)-(H43*P49/M49^2)+(G43*$D$38/L49)*($D$36-O49/L49)+(I43*$G$38/N49)*($G$36-Q49/N49)</f>
        <v>0.97043586421455275</v>
      </c>
      <c r="T49">
        <f>(Q49/N49)-(I43*Q49/N49^2)+(G43*$F$38/L49)*($F$36-O49/L49)+(H43*$H$38/M49)*($H$36-P49/M49)</f>
        <v>1.5431073208715031E-3</v>
      </c>
      <c r="U49">
        <f t="shared" si="34"/>
        <v>357.77514958564029</v>
      </c>
      <c r="V49">
        <f t="shared" si="34"/>
        <v>2.6390944955555686</v>
      </c>
      <c r="W49">
        <f t="shared" si="34"/>
        <v>1.0015442985236125</v>
      </c>
      <c r="X49">
        <f t="shared" si="35"/>
        <v>357.72546497590315</v>
      </c>
      <c r="Y49">
        <f t="shared" si="35"/>
        <v>0.13522296497409669</v>
      </c>
      <c r="Z49">
        <f t="shared" si="35"/>
        <v>4.8839787717906442E-4</v>
      </c>
    </row>
    <row r="50" spans="2:26" x14ac:dyDescent="0.25">
      <c r="B50" s="100">
        <f>SUM(C50:E50)</f>
        <v>0.99999999236802461</v>
      </c>
      <c r="C50">
        <f>G41*X47</f>
        <v>0.90482419291137894</v>
      </c>
      <c r="D50">
        <f>H41*Y47</f>
        <v>9.4214338679032658E-2</v>
      </c>
      <c r="E50">
        <f>I41*Z47</f>
        <v>9.6146077761306088E-4</v>
      </c>
      <c r="G50">
        <f>C41*X41</f>
        <v>3.7422690013906697E-2</v>
      </c>
      <c r="H50">
        <f>D41*Y41</f>
        <v>0.45517420025604682</v>
      </c>
      <c r="I50">
        <f>E41*Z41</f>
        <v>0.50740325275248399</v>
      </c>
      <c r="J50" s="100">
        <f>SUM(G50:I50)</f>
        <v>1.0000001430224374</v>
      </c>
      <c r="L50">
        <f t="shared" si="28"/>
        <v>8.9407359746169354E-2</v>
      </c>
      <c r="M50">
        <f t="shared" si="29"/>
        <v>0.91782397759224865</v>
      </c>
      <c r="N50">
        <f t="shared" si="30"/>
        <v>0.99340286326470473</v>
      </c>
      <c r="O50">
        <f t="shared" si="31"/>
        <v>0.52917867978550071</v>
      </c>
      <c r="P50">
        <f t="shared" si="32"/>
        <v>0.19587230826980342</v>
      </c>
      <c r="Q50">
        <f t="shared" si="33"/>
        <v>5.4868993139090046E-3</v>
      </c>
      <c r="R50">
        <f>(O50/L50)-(G44*O50/L50^2)+(H44*$C$38/M50)*($C$36-P50/M50)+(I44*$E$38/N50)*($E$36-Q50/N50)</f>
        <v>6.1817003891579825</v>
      </c>
      <c r="S50">
        <f>(P50/M50)-(H44*P50/M50^2)+(G44*$D$38/L50)*($D$36-O50/L50)+(I44*$G$38/N50)*($G$36-Q50/N50)</f>
        <v>0.99160842491625845</v>
      </c>
      <c r="T50">
        <f>(Q50/N50)-(I44*Q50/N50^2)+(G44*$F$38/L50)*($F$36-O50/L50)+(H44*$H$38/M50)*($H$36-P50/M50)</f>
        <v>4.22659853191738E-4</v>
      </c>
      <c r="U50">
        <f t="shared" si="34"/>
        <v>483.8139292776363</v>
      </c>
      <c r="V50">
        <f t="shared" si="34"/>
        <v>2.6955666039503399</v>
      </c>
      <c r="W50">
        <f t="shared" si="34"/>
        <v>1.0004227491864528</v>
      </c>
      <c r="X50">
        <f t="shared" si="35"/>
        <v>483.79623750828608</v>
      </c>
      <c r="Y50">
        <f t="shared" si="35"/>
        <v>0.13367113787604515</v>
      </c>
      <c r="Z50">
        <f t="shared" si="35"/>
        <v>4.6264977437195055E-4</v>
      </c>
    </row>
    <row r="51" spans="2:26" x14ac:dyDescent="0.25">
      <c r="B51" s="100">
        <f t="shared" ref="B51:B54" si="36">SUM(C51:E51)</f>
        <v>1.0000000274429595</v>
      </c>
      <c r="C51">
        <f t="shared" ref="C51:E54" si="37">G42*X48</f>
        <v>0.97987982763263826</v>
      </c>
      <c r="D51">
        <f t="shared" si="37"/>
        <v>1.9577353440853963E-2</v>
      </c>
      <c r="E51">
        <f t="shared" si="37"/>
        <v>5.4284636946720069E-4</v>
      </c>
      <c r="G51">
        <f t="shared" ref="G51:I54" si="38">C42*X42</f>
        <v>8.2854521231036024E-3</v>
      </c>
      <c r="H51">
        <f t="shared" si="38"/>
        <v>0.13602507559169993</v>
      </c>
      <c r="I51">
        <f t="shared" si="38"/>
        <v>0.85568956255679407</v>
      </c>
      <c r="J51" s="100">
        <f t="shared" ref="J51:J54" si="39">SUM(G51:I51)</f>
        <v>1.0000000902715975</v>
      </c>
      <c r="L51">
        <f t="shared" si="28"/>
        <v>8.8151899882382284E-2</v>
      </c>
      <c r="M51">
        <f t="shared" si="29"/>
        <v>0.91749359403961772</v>
      </c>
      <c r="N51">
        <f t="shared" si="30"/>
        <v>0.99738588329694655</v>
      </c>
      <c r="O51">
        <f t="shared" si="31"/>
        <v>0.52739434114305461</v>
      </c>
      <c r="P51">
        <f t="shared" si="32"/>
        <v>0.19672306422119576</v>
      </c>
      <c r="Q51">
        <f t="shared" si="33"/>
        <v>1.553780690744079E-3</v>
      </c>
      <c r="R51">
        <f>(O51/L51)-(G45*O51/L51^2)+(H45*$C$38/M51)*($C$36-P51/M51)+(I45*$E$38/N51)*($E$36-Q51/N51)</f>
        <v>6.2474563586264367</v>
      </c>
      <c r="S51">
        <f>(P51/M51)-(H45*P51/M51^2)+(G45*$D$38/L51)*($D$36-O51/L51)+(I45*$G$38/N51)*($G$36-Q51/N51)</f>
        <v>0.99599868192543584</v>
      </c>
      <c r="T51">
        <f>(Q51/N51)-(I45*Q51/N51^2)+(G45*$F$38/L51)*($F$36-O51/L51)+(H45*$H$38/M51)*($H$36-P51/M51)</f>
        <v>2.7553935190767351E-4</v>
      </c>
      <c r="U51">
        <f t="shared" si="34"/>
        <v>516.6968601958547</v>
      </c>
      <c r="V51">
        <f t="shared" si="34"/>
        <v>2.7074268498409855</v>
      </c>
      <c r="W51">
        <f t="shared" si="34"/>
        <v>1.0002755773163616</v>
      </c>
      <c r="X51">
        <f t="shared" si="35"/>
        <v>516.68210965702019</v>
      </c>
      <c r="Y51">
        <f t="shared" si="35"/>
        <v>0.13336340622408477</v>
      </c>
      <c r="Z51">
        <f t="shared" si="35"/>
        <v>4.5757730363696255E-4</v>
      </c>
    </row>
    <row r="52" spans="2:26" x14ac:dyDescent="0.25">
      <c r="B52" s="100">
        <f t="shared" si="36"/>
        <v>1.0000000030309526</v>
      </c>
      <c r="C52">
        <f t="shared" si="37"/>
        <v>0.99557056930199428</v>
      </c>
      <c r="D52">
        <f t="shared" si="37"/>
        <v>3.9566858365861317E-3</v>
      </c>
      <c r="E52">
        <f t="shared" si="37"/>
        <v>4.7274789237212821E-4</v>
      </c>
      <c r="G52">
        <f t="shared" si="38"/>
        <v>2.7830575847854607E-3</v>
      </c>
      <c r="H52">
        <f t="shared" si="38"/>
        <v>2.9260440466460591E-2</v>
      </c>
      <c r="I52">
        <f t="shared" si="38"/>
        <v>0.96795652412499222</v>
      </c>
      <c r="J52" s="100">
        <f t="shared" si="39"/>
        <v>1.0000000221762382</v>
      </c>
    </row>
    <row r="53" spans="2:26" x14ac:dyDescent="0.25">
      <c r="B53" s="100">
        <f t="shared" si="36"/>
        <v>1.0000000005427014</v>
      </c>
      <c r="C53">
        <f t="shared" si="37"/>
        <v>0.99876499258565632</v>
      </c>
      <c r="D53">
        <f t="shared" si="37"/>
        <v>7.7599910619031705E-4</v>
      </c>
      <c r="E53">
        <f t="shared" si="37"/>
        <v>4.5900885085475461E-4</v>
      </c>
      <c r="G53">
        <f t="shared" si="38"/>
        <v>2.0644331541467558E-3</v>
      </c>
      <c r="H53">
        <f t="shared" si="38"/>
        <v>5.8052814835577206E-3</v>
      </c>
      <c r="I53">
        <f t="shared" si="38"/>
        <v>0.99213029004768638</v>
      </c>
      <c r="J53" s="100">
        <f t="shared" si="39"/>
        <v>1.000000004685391</v>
      </c>
    </row>
    <row r="54" spans="2:26" x14ac:dyDescent="0.25">
      <c r="B54" s="100">
        <f t="shared" si="36"/>
        <v>1.0000000000950922</v>
      </c>
      <c r="C54">
        <f t="shared" si="37"/>
        <v>0.99941294427589478</v>
      </c>
      <c r="D54">
        <f t="shared" si="37"/>
        <v>1.3081242743288665E-4</v>
      </c>
      <c r="E54">
        <f t="shared" si="37"/>
        <v>4.5624339176444559E-4</v>
      </c>
      <c r="G54">
        <f t="shared" si="38"/>
        <v>1.934289818819756E-3</v>
      </c>
      <c r="H54">
        <f t="shared" si="38"/>
        <v>9.8087125500772861E-4</v>
      </c>
      <c r="I54">
        <f t="shared" si="38"/>
        <v>0.99708483976747209</v>
      </c>
      <c r="J54" s="100">
        <f t="shared" si="39"/>
        <v>1.0000000008412995</v>
      </c>
    </row>
    <row r="55" spans="2:26" ht="15.75" thickBot="1" x14ac:dyDescent="0.3"/>
    <row r="56" spans="2:26" ht="15.75" thickBot="1" x14ac:dyDescent="0.3">
      <c r="C56" s="4" t="s">
        <v>115</v>
      </c>
      <c r="D56" s="5"/>
      <c r="E56" s="5"/>
      <c r="F56" s="5"/>
      <c r="G56" s="5"/>
      <c r="H56" s="5"/>
      <c r="I56" s="101"/>
    </row>
    <row r="57" spans="2:26" ht="15.75" thickBot="1" x14ac:dyDescent="0.3">
      <c r="C57" s="12" t="s">
        <v>116</v>
      </c>
      <c r="D57" s="13" t="s">
        <v>117</v>
      </c>
      <c r="E57" s="6" t="s">
        <v>118</v>
      </c>
      <c r="G57" s="12" t="s">
        <v>116</v>
      </c>
      <c r="H57" s="13" t="s">
        <v>117</v>
      </c>
      <c r="I57" s="6" t="s">
        <v>118</v>
      </c>
    </row>
    <row r="58" spans="2:26" x14ac:dyDescent="0.25">
      <c r="C58">
        <f>(C41+C50)/2</f>
        <v>0.90482420036506517</v>
      </c>
      <c r="D58">
        <f>(D41+D50)/2</f>
        <v>9.4214334871558197E-2</v>
      </c>
      <c r="E58">
        <f>(E41+E50)/2</f>
        <v>9.6146094738897329E-4</v>
      </c>
      <c r="G58">
        <f>(G41+G50)/2</f>
        <v>3.7422689705629147E-2</v>
      </c>
      <c r="H58">
        <f>(H41+H50)/2</f>
        <v>0.45517421865095686</v>
      </c>
      <c r="I58">
        <f>(I41+I50)/2</f>
        <v>0.50740316315463274</v>
      </c>
    </row>
    <row r="59" spans="2:26" x14ac:dyDescent="0.25">
      <c r="C59">
        <f t="shared" ref="C59:E62" si="40">(C42+C51)/2</f>
        <v>0.97987981772297528</v>
      </c>
      <c r="D59">
        <f t="shared" si="40"/>
        <v>1.9577349583346816E-2</v>
      </c>
      <c r="E59">
        <f t="shared" si="40"/>
        <v>5.4284641515762967E-4</v>
      </c>
      <c r="G59">
        <f t="shared" ref="G59:I62" si="41">(G42+G51)/2</f>
        <v>8.2854522068955515E-3</v>
      </c>
      <c r="H59">
        <f t="shared" si="41"/>
        <v>0.13602510239399013</v>
      </c>
      <c r="I59">
        <f t="shared" si="41"/>
        <v>0.85568949053491317</v>
      </c>
    </row>
    <row r="60" spans="2:26" x14ac:dyDescent="0.25">
      <c r="C60">
        <f t="shared" si="40"/>
        <v>0.99557056893704354</v>
      </c>
      <c r="D60">
        <f t="shared" si="40"/>
        <v>3.9566846764544864E-3</v>
      </c>
      <c r="E60">
        <f t="shared" si="40"/>
        <v>4.7274790197820012E-4</v>
      </c>
      <c r="G60">
        <f t="shared" si="41"/>
        <v>2.7830575858056586E-3</v>
      </c>
      <c r="H60">
        <f t="shared" si="41"/>
        <v>2.9260449045858661E-2</v>
      </c>
      <c r="I60">
        <f t="shared" si="41"/>
        <v>0.96795650445645487</v>
      </c>
    </row>
    <row r="61" spans="2:26" x14ac:dyDescent="0.25">
      <c r="C61">
        <f t="shared" si="40"/>
        <v>0.99876499257461004</v>
      </c>
      <c r="D61">
        <f t="shared" si="40"/>
        <v>7.7599884389410658E-4</v>
      </c>
      <c r="E61">
        <f t="shared" si="40"/>
        <v>4.5900885284644728E-4</v>
      </c>
      <c r="G61">
        <f t="shared" si="41"/>
        <v>2.0644331541695878E-3</v>
      </c>
      <c r="H61">
        <f t="shared" si="41"/>
        <v>5.805283445807872E-3</v>
      </c>
      <c r="I61">
        <f t="shared" si="41"/>
        <v>0.99213028574271789</v>
      </c>
    </row>
    <row r="62" spans="2:26" x14ac:dyDescent="0.25">
      <c r="C62">
        <f t="shared" si="40"/>
        <v>0.99941294427589078</v>
      </c>
      <c r="D62">
        <f t="shared" si="40"/>
        <v>1.3081237953400509E-4</v>
      </c>
      <c r="E62">
        <f t="shared" si="40"/>
        <v>4.5624339212126916E-4</v>
      </c>
      <c r="G62">
        <f t="shared" si="41"/>
        <v>1.9342898188197636E-3</v>
      </c>
      <c r="H62">
        <f t="shared" si="41"/>
        <v>9.8087161416833286E-4</v>
      </c>
      <c r="I62">
        <f t="shared" si="41"/>
        <v>0.99708483898766165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2.Solver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"/>
  <dimension ref="A1:AI62"/>
  <sheetViews>
    <sheetView zoomScale="55" zoomScaleNormal="55" workbookViewId="0"/>
  </sheetViews>
  <sheetFormatPr defaultRowHeight="15" x14ac:dyDescent="0.25"/>
  <cols>
    <col min="5" max="5" width="13.5703125" bestFit="1" customWidth="1"/>
    <col min="7" max="9" width="9.28515625" bestFit="1" customWidth="1"/>
    <col min="12" max="17" width="9.28515625" bestFit="1" customWidth="1"/>
    <col min="20" max="24" width="13.85546875" bestFit="1" customWidth="1"/>
    <col min="26" max="26" width="9.28515625" bestFit="1" customWidth="1"/>
    <col min="34" max="34" width="10.85546875" bestFit="1" customWidth="1"/>
    <col min="35" max="35" width="18.5703125" bestFit="1" customWidth="1"/>
  </cols>
  <sheetData>
    <row r="1" spans="1:26" ht="15.75" thickBot="1" x14ac:dyDescent="0.3"/>
    <row r="2" spans="1:26" ht="15.75" thickBot="1" x14ac:dyDescent="0.3">
      <c r="B2" s="4" t="s">
        <v>6</v>
      </c>
      <c r="C2" s="5"/>
      <c r="D2" s="5"/>
      <c r="E2" s="6" t="s">
        <v>7</v>
      </c>
      <c r="G2" s="7" t="s">
        <v>8</v>
      </c>
      <c r="H2" s="7"/>
      <c r="I2" s="7"/>
    </row>
    <row r="3" spans="1:26" ht="15.75" thickBot="1" x14ac:dyDescent="0.3">
      <c r="B3" s="8" t="s">
        <v>9</v>
      </c>
      <c r="C3" s="9" t="s">
        <v>10</v>
      </c>
      <c r="D3" s="10" t="s">
        <v>11</v>
      </c>
      <c r="E3" s="11" t="s">
        <v>12</v>
      </c>
      <c r="G3" s="12" t="s">
        <v>13</v>
      </c>
      <c r="H3" s="13" t="s">
        <v>14</v>
      </c>
      <c r="I3" s="6" t="s">
        <v>15</v>
      </c>
      <c r="L3">
        <v>1</v>
      </c>
      <c r="M3">
        <v>2</v>
      </c>
      <c r="N3">
        <v>3</v>
      </c>
      <c r="O3">
        <v>4</v>
      </c>
      <c r="P3">
        <v>5</v>
      </c>
      <c r="Q3" s="11" t="s">
        <v>16</v>
      </c>
      <c r="S3" s="14" t="s">
        <v>17</v>
      </c>
      <c r="Z3" s="14" t="s">
        <v>18</v>
      </c>
    </row>
    <row r="4" spans="1:26" ht="15.75" thickBot="1" x14ac:dyDescent="0.3">
      <c r="A4" s="8" t="s">
        <v>19</v>
      </c>
      <c r="B4" s="15">
        <f>AA26</f>
        <v>0.54</v>
      </c>
      <c r="C4" s="15">
        <f t="shared" ref="C4:D4" si="0">AB26</f>
        <v>0.46</v>
      </c>
      <c r="D4" s="15">
        <f t="shared" si="0"/>
        <v>0</v>
      </c>
      <c r="E4" s="16">
        <f>AA30</f>
        <v>25</v>
      </c>
      <c r="G4" s="17" t="s">
        <v>20</v>
      </c>
      <c r="H4" s="18" t="s">
        <v>20</v>
      </c>
      <c r="I4" s="19" t="s">
        <v>20</v>
      </c>
      <c r="K4" s="14" t="s">
        <v>21</v>
      </c>
      <c r="L4" s="15">
        <f>E$10*$G$5+E$5</f>
        <v>15.7923851792695</v>
      </c>
      <c r="M4" s="20">
        <f>-$E$11*$G$6</f>
        <v>-0.14117795240682349</v>
      </c>
      <c r="N4" s="20">
        <v>0</v>
      </c>
      <c r="O4" s="20">
        <v>0</v>
      </c>
      <c r="P4" s="20">
        <v>0</v>
      </c>
      <c r="Q4" s="16">
        <f>$B$4*$E$4</f>
        <v>13.5</v>
      </c>
      <c r="T4" s="15">
        <f t="array" ref="T4:X8">MINVERSE(L4:P8)</f>
        <v>6.3964629408280751E-2</v>
      </c>
      <c r="U4" s="20">
        <v>6.8033332958862742E-4</v>
      </c>
      <c r="V4" s="20">
        <v>1.5259281784606614E-6</v>
      </c>
      <c r="W4" s="20">
        <v>2.1786355434849837E-9</v>
      </c>
      <c r="X4" s="21">
        <v>2.8146503729971107E-12</v>
      </c>
      <c r="Z4" s="25">
        <f t="array" ref="Z4:Z8">MMULT(T4:X8,Q4:Q8)</f>
        <v>0.86352249701179018</v>
      </c>
    </row>
    <row r="5" spans="1:26" x14ac:dyDescent="0.25">
      <c r="A5" s="27" t="s">
        <v>22</v>
      </c>
      <c r="B5" s="28">
        <f>S31</f>
        <v>0.86352249701179007</v>
      </c>
      <c r="C5" s="29">
        <f t="shared" ref="C5:D9" si="1">T31</f>
        <v>0.13520594401969205</v>
      </c>
      <c r="D5" s="30">
        <f t="shared" si="1"/>
        <v>1.2715589685179177E-3</v>
      </c>
      <c r="E5" s="31">
        <f t="shared" ref="E5:E9" si="2">AA31</f>
        <v>14.925133053438326</v>
      </c>
      <c r="G5" s="17">
        <f>B10/B5</f>
        <v>4.1913687531551239E-2</v>
      </c>
      <c r="H5" s="18">
        <f t="shared" ref="H5:I9" si="3">C10/C5</f>
        <v>4.1098181239162308</v>
      </c>
      <c r="I5" s="19">
        <f t="shared" si="3"/>
        <v>320.9719397961984</v>
      </c>
      <c r="L5" s="32">
        <f>-$E$5</f>
        <v>-14.925133053438326</v>
      </c>
      <c r="M5" s="18">
        <f>$E$6+$E$11*$G$6</f>
        <v>13.30300753961602</v>
      </c>
      <c r="N5" s="18">
        <f>-$G$7*$E$12</f>
        <v>-2.8842715998369954E-2</v>
      </c>
      <c r="O5" s="18">
        <v>0</v>
      </c>
      <c r="P5" s="18">
        <v>0</v>
      </c>
      <c r="Q5" s="31">
        <v>0</v>
      </c>
      <c r="T5" s="17">
        <v>7.1923875447199095E-2</v>
      </c>
      <c r="U5" s="18">
        <v>7.6103143642414967E-2</v>
      </c>
      <c r="V5" s="18">
        <v>1.7069269768632184E-4</v>
      </c>
      <c r="W5" s="18">
        <v>2.4370555799546423E-7</v>
      </c>
      <c r="X5" s="19">
        <v>3.1485116533816904E-10</v>
      </c>
      <c r="Z5" s="26">
        <v>0.9709723185371878</v>
      </c>
    </row>
    <row r="6" spans="1:26" x14ac:dyDescent="0.25">
      <c r="A6" s="27" t="s">
        <v>23</v>
      </c>
      <c r="B6" s="28">
        <f t="shared" ref="B6:B9" si="4">S32</f>
        <v>0.9709723185371878</v>
      </c>
      <c r="C6" s="29">
        <f t="shared" si="1"/>
        <v>2.8442964234629213E-2</v>
      </c>
      <c r="D6" s="30">
        <f t="shared" si="1"/>
        <v>5.8471722818295691E-4</v>
      </c>
      <c r="E6" s="31">
        <f t="shared" si="2"/>
        <v>13.161829587209198</v>
      </c>
      <c r="G6" s="17">
        <f t="shared" ref="G6:G9" si="5">B11/B6</f>
        <v>1.3297956039709222E-2</v>
      </c>
      <c r="H6" s="18">
        <f t="shared" si="3"/>
        <v>6.6748923155671678</v>
      </c>
      <c r="I6" s="19">
        <f t="shared" si="3"/>
        <v>1363.4527784790814</v>
      </c>
      <c r="L6" s="17">
        <v>0</v>
      </c>
      <c r="M6" s="33">
        <f>-$E$6</f>
        <v>-13.161829587209198</v>
      </c>
      <c r="N6" s="18">
        <f>$E$7+$E$12*$G$7</f>
        <v>12.877836953582959</v>
      </c>
      <c r="O6" s="18">
        <f>-$E$13*$G$8</f>
        <v>-1.8260107358609692E-2</v>
      </c>
      <c r="P6" s="18">
        <v>0</v>
      </c>
      <c r="Q6" s="31">
        <v>0</v>
      </c>
      <c r="T6" s="17">
        <v>7.3614867620263966E-2</v>
      </c>
      <c r="U6" s="18">
        <v>7.7892394005313295E-2</v>
      </c>
      <c r="V6" s="18">
        <v>7.7938276107980417E-2</v>
      </c>
      <c r="W6" s="18">
        <v>1.1127594399500767E-4</v>
      </c>
      <c r="X6" s="19">
        <v>1.4376102428318465E-7</v>
      </c>
      <c r="Z6" s="26">
        <v>0.99380071287356353</v>
      </c>
    </row>
    <row r="7" spans="1:26" x14ac:dyDescent="0.25">
      <c r="A7" s="27" t="s">
        <v>24</v>
      </c>
      <c r="B7" s="28">
        <f t="shared" si="4"/>
        <v>0.99380071287356353</v>
      </c>
      <c r="C7" s="29">
        <f t="shared" si="1"/>
        <v>5.7188515260498552E-3</v>
      </c>
      <c r="D7" s="30">
        <f t="shared" si="1"/>
        <v>4.8043560038654645E-4</v>
      </c>
      <c r="E7" s="31">
        <f t="shared" si="2"/>
        <v>12.84899423758459</v>
      </c>
      <c r="G7" s="17">
        <f t="shared" si="5"/>
        <v>3.2578816445426478E-3</v>
      </c>
      <c r="H7" s="18">
        <f t="shared" si="3"/>
        <v>7.3469910540345094</v>
      </c>
      <c r="I7" s="19">
        <f t="shared" si="3"/>
        <v>1987.2506598798909</v>
      </c>
      <c r="L7" s="17">
        <v>0</v>
      </c>
      <c r="M7" s="18">
        <v>0</v>
      </c>
      <c r="N7" s="33">
        <f>-$E$7</f>
        <v>-12.84899423758459</v>
      </c>
      <c r="O7" s="18">
        <f>$E$8+$E$13*$G$8</f>
        <v>12.805999359878063</v>
      </c>
      <c r="P7" s="18">
        <f>-$E$14*$G$9</f>
        <v>-1.6505498858164144E-2</v>
      </c>
      <c r="Q7" s="31">
        <v>0</v>
      </c>
      <c r="T7" s="17">
        <v>7.3957434046628467E-2</v>
      </c>
      <c r="U7" s="18">
        <v>7.8254865879785973E-2</v>
      </c>
      <c r="V7" s="18">
        <v>7.830096149459341E-2</v>
      </c>
      <c r="W7" s="18">
        <v>7.8301064967495795E-2</v>
      </c>
      <c r="X7" s="19">
        <v>1.0115970171141755E-4</v>
      </c>
      <c r="Z7" s="26">
        <v>0.99842535962948431</v>
      </c>
    </row>
    <row r="8" spans="1:26" ht="15.75" thickBot="1" x14ac:dyDescent="0.3">
      <c r="A8" s="27" t="s">
        <v>25</v>
      </c>
      <c r="B8" s="28">
        <f t="shared" si="4"/>
        <v>0.99842535962948409</v>
      </c>
      <c r="C8" s="29">
        <f t="shared" si="1"/>
        <v>1.1141790918544085E-3</v>
      </c>
      <c r="D8" s="30">
        <f t="shared" si="1"/>
        <v>4.6046127866146544E-4</v>
      </c>
      <c r="E8" s="31">
        <f t="shared" si="2"/>
        <v>12.787739252519454</v>
      </c>
      <c r="G8" s="17">
        <f t="shared" si="5"/>
        <v>2.1380916414116468E-3</v>
      </c>
      <c r="H8" s="18">
        <f t="shared" si="3"/>
        <v>7.4719799644891216</v>
      </c>
      <c r="I8" s="19">
        <f t="shared" si="3"/>
        <v>2149.0192489352212</v>
      </c>
      <c r="L8" s="22">
        <v>0</v>
      </c>
      <c r="M8" s="23">
        <v>0</v>
      </c>
      <c r="N8" s="23">
        <v>0</v>
      </c>
      <c r="O8" s="34">
        <f>-$E$8</f>
        <v>-12.787739252519454</v>
      </c>
      <c r="P8" s="23">
        <f>$E$9+$E$14*$G$9</f>
        <v>12.775819981171118</v>
      </c>
      <c r="Q8" s="35">
        <f>$E$15*$B$15</f>
        <v>0</v>
      </c>
      <c r="T8" s="22">
        <v>7.4026433040503423E-2</v>
      </c>
      <c r="U8" s="23">
        <v>7.832787418626834E-2</v>
      </c>
      <c r="V8" s="23">
        <v>7.8374012806232518E-2</v>
      </c>
      <c r="W8" s="23">
        <v>7.837411637567053E-2</v>
      </c>
      <c r="X8" s="24">
        <v>7.8374116523561327E-2</v>
      </c>
      <c r="Z8" s="26">
        <v>0.9993568460467962</v>
      </c>
    </row>
    <row r="9" spans="1:26" ht="15.75" thickBot="1" x14ac:dyDescent="0.3">
      <c r="A9" s="36" t="s">
        <v>26</v>
      </c>
      <c r="B9" s="37">
        <f t="shared" si="4"/>
        <v>0.99935684604679609</v>
      </c>
      <c r="C9" s="38">
        <f t="shared" si="1"/>
        <v>1.8667141789004222E-4</v>
      </c>
      <c r="D9" s="39">
        <f t="shared" si="1"/>
        <v>4.5648253531381674E-4</v>
      </c>
      <c r="E9" s="35">
        <f t="shared" si="2"/>
        <v>12.759314482312954</v>
      </c>
      <c r="G9" s="22">
        <f t="shared" si="5"/>
        <v>1.9466048525429861E-3</v>
      </c>
      <c r="H9" s="23">
        <f t="shared" si="3"/>
        <v>7.4968159722718175</v>
      </c>
      <c r="I9" s="24">
        <f t="shared" si="3"/>
        <v>2183.3369926446162</v>
      </c>
    </row>
    <row r="10" spans="1:26" ht="15.75" thickBot="1" x14ac:dyDescent="0.3">
      <c r="A10" s="8" t="s">
        <v>27</v>
      </c>
      <c r="B10" s="40">
        <f t="shared" ref="B10:D15" si="6">W31</f>
        <v>3.6193412116217058E-2</v>
      </c>
      <c r="C10" s="41">
        <f t="shared" si="6"/>
        <v>0.55567183919333374</v>
      </c>
      <c r="D10" s="42">
        <f t="shared" si="6"/>
        <v>0.40813474869044919</v>
      </c>
      <c r="E10" s="16">
        <f t="shared" ref="E10:E15" si="7">AB31</f>
        <v>20.691382145232048</v>
      </c>
      <c r="L10">
        <v>1</v>
      </c>
      <c r="M10">
        <v>2</v>
      </c>
      <c r="N10">
        <v>3</v>
      </c>
      <c r="O10">
        <v>4</v>
      </c>
      <c r="P10">
        <v>5</v>
      </c>
      <c r="Q10" s="14" t="s">
        <v>28</v>
      </c>
      <c r="S10" s="14" t="s">
        <v>17</v>
      </c>
      <c r="Z10" s="14" t="s">
        <v>29</v>
      </c>
    </row>
    <row r="11" spans="1:26" ht="15.75" thickBot="1" x14ac:dyDescent="0.3">
      <c r="A11" s="27" t="s">
        <v>30</v>
      </c>
      <c r="B11" s="28">
        <f t="shared" si="6"/>
        <v>1.2911947207682063E-2</v>
      </c>
      <c r="C11" s="29">
        <f t="shared" si="6"/>
        <v>0.18985372340167833</v>
      </c>
      <c r="D11" s="30">
        <f t="shared" si="6"/>
        <v>0.79723432939063965</v>
      </c>
      <c r="E11" s="31">
        <f t="shared" si="7"/>
        <v>10.616515198670378</v>
      </c>
      <c r="K11" s="14" t="s">
        <v>31</v>
      </c>
      <c r="L11" s="15">
        <f>E$10*$H$5+E$5</f>
        <v>99.962950402789701</v>
      </c>
      <c r="M11" s="20">
        <f>-$E$11*$H$6</f>
        <v>-70.864095717706945</v>
      </c>
      <c r="N11" s="20">
        <v>0</v>
      </c>
      <c r="O11" s="20">
        <v>0</v>
      </c>
      <c r="P11" s="20">
        <v>0</v>
      </c>
      <c r="Q11" s="16">
        <f>$C$4*$E$4</f>
        <v>11.5</v>
      </c>
      <c r="T11" s="15">
        <f t="array" ref="T11:X15">MINVERSE(L11:P15)</f>
        <v>1.1757038435224822E-2</v>
      </c>
      <c r="U11" s="20">
        <v>1.1743161642615596E-2</v>
      </c>
      <c r="V11" s="20">
        <v>1.1668448142247025E-2</v>
      </c>
      <c r="W11" s="20">
        <v>1.1290231781570487E-2</v>
      </c>
      <c r="X11" s="21">
        <v>9.4028522157387773E-3</v>
      </c>
      <c r="Z11">
        <f t="array" ref="Z11:Z15">MMULT(T11:X15,Q11:Q15)</f>
        <v>0.13520594200508546</v>
      </c>
    </row>
    <row r="12" spans="1:26" x14ac:dyDescent="0.25">
      <c r="A12" s="27" t="s">
        <v>32</v>
      </c>
      <c r="B12" s="28">
        <f t="shared" si="6"/>
        <v>3.2376851008041807E-3</v>
      </c>
      <c r="C12" s="29">
        <f t="shared" si="6"/>
        <v>4.2016351001239891E-2</v>
      </c>
      <c r="D12" s="30">
        <f t="shared" si="6"/>
        <v>0.95474596389795596</v>
      </c>
      <c r="E12" s="31">
        <f t="shared" si="7"/>
        <v>8.8532117324412472</v>
      </c>
      <c r="L12" s="32">
        <f>-$E$5</f>
        <v>-14.925133053438326</v>
      </c>
      <c r="M12" s="18">
        <f>$E$6+$E$11*$H$6</f>
        <v>84.025925304916143</v>
      </c>
      <c r="N12" s="18">
        <f>-$H$7*$E$12</f>
        <v>-65.044467397719202</v>
      </c>
      <c r="O12" s="18">
        <v>0</v>
      </c>
      <c r="P12" s="18">
        <v>0</v>
      </c>
      <c r="Q12" s="31">
        <v>0</v>
      </c>
      <c r="T12" s="17">
        <v>2.4733011577861216E-3</v>
      </c>
      <c r="U12" s="18">
        <v>1.6565244683696786E-2</v>
      </c>
      <c r="V12" s="18">
        <v>1.6459851651356206E-2</v>
      </c>
      <c r="W12" s="18">
        <v>1.5926328674439348E-2</v>
      </c>
      <c r="X12" s="19">
        <v>1.3263936273609892E-2</v>
      </c>
      <c r="Z12">
        <v>2.8442963314540399E-2</v>
      </c>
    </row>
    <row r="13" spans="1:26" x14ac:dyDescent="0.25">
      <c r="A13" s="27" t="s">
        <v>33</v>
      </c>
      <c r="B13" s="28">
        <f t="shared" si="6"/>
        <v>2.1347249159972175E-3</v>
      </c>
      <c r="C13" s="29">
        <f t="shared" si="6"/>
        <v>8.3251238511888245E-3</v>
      </c>
      <c r="D13" s="30">
        <f t="shared" si="6"/>
        <v>0.98954015123281402</v>
      </c>
      <c r="E13" s="31">
        <f t="shared" si="7"/>
        <v>8.540376382816639</v>
      </c>
      <c r="L13" s="17">
        <v>0</v>
      </c>
      <c r="M13" s="33">
        <f>-$E$6</f>
        <v>-13.161829587209198</v>
      </c>
      <c r="N13" s="18">
        <f>$E$7+$E$12*$H$7</f>
        <v>77.893461635303794</v>
      </c>
      <c r="O13" s="18">
        <f>-$E$13*$H$8</f>
        <v>-63.813521221602002</v>
      </c>
      <c r="P13" s="18">
        <v>0</v>
      </c>
      <c r="Q13" s="31">
        <v>0</v>
      </c>
      <c r="T13" s="17">
        <v>4.9729141731299164E-4</v>
      </c>
      <c r="U13" s="18">
        <v>3.3306716333185143E-3</v>
      </c>
      <c r="V13" s="18">
        <v>1.8585764058067535E-2</v>
      </c>
      <c r="W13" s="18">
        <v>1.7983332615879082E-2</v>
      </c>
      <c r="X13" s="19">
        <v>1.4977072411357061E-2</v>
      </c>
      <c r="Z13">
        <v>5.7188512990994037E-3</v>
      </c>
    </row>
    <row r="14" spans="1:26" x14ac:dyDescent="0.25">
      <c r="A14" s="27" t="s">
        <v>34</v>
      </c>
      <c r="B14" s="28">
        <f t="shared" si="6"/>
        <v>1.9453528859367472E-3</v>
      </c>
      <c r="C14" s="29">
        <f t="shared" si="6"/>
        <v>1.3994412672046956E-3</v>
      </c>
      <c r="D14" s="30">
        <f>Y35</f>
        <v>0.99665520584685852</v>
      </c>
      <c r="E14" s="31">
        <f>AB35</f>
        <v>8.4791213977515039</v>
      </c>
      <c r="L14" s="17">
        <v>0</v>
      </c>
      <c r="M14" s="18">
        <v>0</v>
      </c>
      <c r="N14" s="33">
        <f>-$E$7</f>
        <v>-12.84899423758459</v>
      </c>
      <c r="O14" s="18">
        <f>$E$8+$E$13*$H$8</f>
        <v>76.60126047412146</v>
      </c>
      <c r="P14" s="18">
        <f>-$E$14*$H$9</f>
        <v>-63.566412725495212</v>
      </c>
      <c r="Q14" s="31">
        <v>0</v>
      </c>
      <c r="T14" s="17">
        <v>9.6885134389266498E-5</v>
      </c>
      <c r="U14" s="18">
        <v>6.4890033804360179E-4</v>
      </c>
      <c r="V14" s="18">
        <v>3.6209839659463393E-3</v>
      </c>
      <c r="W14" s="18">
        <v>1.8666332501704987E-2</v>
      </c>
      <c r="X14" s="19">
        <v>1.5545895719331182E-2</v>
      </c>
      <c r="Z14">
        <v>1.1141790454765647E-3</v>
      </c>
    </row>
    <row r="15" spans="1:26" ht="15.75" thickBot="1" x14ac:dyDescent="0.3">
      <c r="A15" s="36" t="s">
        <v>35</v>
      </c>
      <c r="B15" s="37">
        <f t="shared" si="6"/>
        <v>0</v>
      </c>
      <c r="C15" s="38">
        <f t="shared" si="6"/>
        <v>0</v>
      </c>
      <c r="D15" s="39">
        <f>Y36</f>
        <v>1</v>
      </c>
      <c r="E15" s="35">
        <f t="shared" si="7"/>
        <v>8.4506966275450015</v>
      </c>
      <c r="L15" s="22">
        <v>0</v>
      </c>
      <c r="M15" s="23">
        <v>0</v>
      </c>
      <c r="N15" s="23">
        <v>0</v>
      </c>
      <c r="O15" s="34">
        <f>-$E$8</f>
        <v>-12.787739252519454</v>
      </c>
      <c r="P15" s="23">
        <f>$E$9+$E$14*$H$9</f>
        <v>76.325727207808171</v>
      </c>
      <c r="Q15" s="35">
        <f>$E$15*$C$15</f>
        <v>0</v>
      </c>
      <c r="T15" s="22">
        <v>1.6232296518342259E-5</v>
      </c>
      <c r="U15" s="23">
        <v>1.0871784164179469E-4</v>
      </c>
      <c r="V15" s="23">
        <v>6.066656747076315E-4</v>
      </c>
      <c r="W15" s="23">
        <v>3.1273883861300876E-3</v>
      </c>
      <c r="X15" s="24">
        <v>1.5706327404411913E-2</v>
      </c>
      <c r="Z15">
        <v>1.8667140996093598E-4</v>
      </c>
    </row>
    <row r="16" spans="1:26" ht="15.75" thickBot="1" x14ac:dyDescent="0.3"/>
    <row r="17" spans="1:35" ht="15.75" thickBot="1" x14ac:dyDescent="0.3">
      <c r="L17">
        <v>1</v>
      </c>
      <c r="M17">
        <v>2</v>
      </c>
      <c r="N17">
        <v>3</v>
      </c>
      <c r="O17">
        <v>4</v>
      </c>
      <c r="P17">
        <v>5</v>
      </c>
      <c r="Q17" s="14" t="s">
        <v>36</v>
      </c>
      <c r="S17" s="14" t="s">
        <v>17</v>
      </c>
      <c r="Z17" s="14" t="s">
        <v>37</v>
      </c>
    </row>
    <row r="18" spans="1:35" ht="15.75" thickBot="1" x14ac:dyDescent="0.3">
      <c r="A18" t="s">
        <v>9</v>
      </c>
      <c r="B18" t="s">
        <v>38</v>
      </c>
      <c r="K18" s="14" t="s">
        <v>39</v>
      </c>
      <c r="L18" s="15">
        <f>E$10*$I$5+E$5</f>
        <v>6656.2781972729936</v>
      </c>
      <c r="M18" s="20">
        <f>-$E$11*$I$6</f>
        <v>-14475.117145392524</v>
      </c>
      <c r="N18" s="20">
        <v>0</v>
      </c>
      <c r="O18" s="20">
        <v>0</v>
      </c>
      <c r="P18" s="20">
        <v>0</v>
      </c>
      <c r="Q18" s="16">
        <f>$D$4*$E$4</f>
        <v>0</v>
      </c>
      <c r="T18" s="15">
        <f t="array" ref="T18:X22">MINVERSE(L18:P22)</f>
        <v>1.505717269252741E-4</v>
      </c>
      <c r="U18" s="20">
        <v>1.5057172692522615E-4</v>
      </c>
      <c r="V18" s="20">
        <v>1.5057172687245554E-4</v>
      </c>
      <c r="W18" s="20">
        <v>1.5057165461607983E-4</v>
      </c>
      <c r="X18" s="21">
        <v>1.5046794961070067E-4</v>
      </c>
      <c r="Z18">
        <f t="array" ref="Z18:Z22">MMULT(T18:X22,Q18:Q22)</f>
        <v>1.2715589943287594E-3</v>
      </c>
    </row>
    <row r="19" spans="1:35" x14ac:dyDescent="0.25">
      <c r="A19" t="s">
        <v>10</v>
      </c>
      <c r="B19" t="s">
        <v>40</v>
      </c>
      <c r="L19" s="32">
        <f>-$E$5</f>
        <v>-14.925133053438326</v>
      </c>
      <c r="M19" s="18">
        <f>$E$6+$E$11*$I$6</f>
        <v>14488.278974979732</v>
      </c>
      <c r="N19" s="18">
        <f>-$I$7*$E$12</f>
        <v>-17593.550857350259</v>
      </c>
      <c r="O19" s="18">
        <v>0</v>
      </c>
      <c r="P19" s="18">
        <v>0</v>
      </c>
      <c r="Q19" s="31">
        <v>0</v>
      </c>
      <c r="T19" s="17">
        <v>1.5525284084905013E-7</v>
      </c>
      <c r="U19" s="18">
        <v>6.9239322417307295E-5</v>
      </c>
      <c r="V19" s="18">
        <v>6.9239322393041116E-5</v>
      </c>
      <c r="W19" s="18">
        <v>6.9239289166467984E-5</v>
      </c>
      <c r="X19" s="19">
        <v>6.9191601167861838E-5</v>
      </c>
      <c r="Z19">
        <v>5.8471723064368883E-4</v>
      </c>
    </row>
    <row r="20" spans="1:35" x14ac:dyDescent="0.25">
      <c r="A20" t="s">
        <v>11</v>
      </c>
      <c r="B20" t="s">
        <v>41</v>
      </c>
      <c r="L20" s="17">
        <v>0</v>
      </c>
      <c r="M20" s="33">
        <f>-$E$6</f>
        <v>-13.161829587209198</v>
      </c>
      <c r="N20" s="18">
        <f>$E$7+$E$12*$I$7</f>
        <v>17606.399851587845</v>
      </c>
      <c r="O20" s="18">
        <f>-$E$13*$I$8</f>
        <v>-18353.433239824713</v>
      </c>
      <c r="P20" s="18">
        <v>0</v>
      </c>
      <c r="Q20" s="31">
        <v>0</v>
      </c>
      <c r="T20" s="17">
        <v>1.1614548137765261E-10</v>
      </c>
      <c r="U20" s="18">
        <v>5.1798307769708349E-8</v>
      </c>
      <c r="V20" s="18">
        <v>5.6890807542305838E-5</v>
      </c>
      <c r="W20" s="18">
        <v>5.6890780241539285E-5</v>
      </c>
      <c r="X20" s="19">
        <v>5.685159717825944E-5</v>
      </c>
      <c r="Z20">
        <v>4.8043560054486398E-4</v>
      </c>
    </row>
    <row r="21" spans="1:35" x14ac:dyDescent="0.25">
      <c r="L21" s="17">
        <v>0</v>
      </c>
      <c r="M21" s="18">
        <v>0</v>
      </c>
      <c r="N21" s="33">
        <f>-$E$7</f>
        <v>-12.84899423758459</v>
      </c>
      <c r="O21" s="18">
        <f>$E$8+$E$13*$I$8</f>
        <v>18366.220979077232</v>
      </c>
      <c r="P21" s="18">
        <f>-$E$14*$I$9</f>
        <v>-18512.779412835382</v>
      </c>
      <c r="Q21" s="31">
        <v>0</v>
      </c>
      <c r="T21" s="17">
        <v>8.1311866030296488E-14</v>
      </c>
      <c r="U21" s="18">
        <v>3.6263288179689631E-11</v>
      </c>
      <c r="V21" s="18">
        <v>3.9828477753637487E-8</v>
      </c>
      <c r="W21" s="18">
        <v>5.4525520974742876E-5</v>
      </c>
      <c r="X21" s="19">
        <v>5.4487966964591333E-5</v>
      </c>
      <c r="Z21">
        <v>4.6046127866945541E-4</v>
      </c>
    </row>
    <row r="22" spans="1:35" ht="15.75" thickBot="1" x14ac:dyDescent="0.3">
      <c r="L22" s="22">
        <v>0</v>
      </c>
      <c r="M22" s="23">
        <v>0</v>
      </c>
      <c r="N22" s="23">
        <v>0</v>
      </c>
      <c r="O22" s="34">
        <f>-$E$8</f>
        <v>-12.787739252519454</v>
      </c>
      <c r="P22" s="23">
        <f>$E$9+$E$14*$I$9</f>
        <v>18525.538727317693</v>
      </c>
      <c r="Q22" s="43">
        <f>$E$15*$D$15</f>
        <v>8.4506966275450015</v>
      </c>
      <c r="T22" s="22">
        <v>5.6127649308138495E-17</v>
      </c>
      <c r="U22" s="23">
        <v>2.5031686284892431E-14</v>
      </c>
      <c r="V22" s="23">
        <v>2.7492651945784026E-11</v>
      </c>
      <c r="W22" s="23">
        <v>3.7637671708009119E-8</v>
      </c>
      <c r="X22" s="24">
        <v>5.4017148577618383E-5</v>
      </c>
      <c r="Z22">
        <v>4.5648253531447696E-4</v>
      </c>
    </row>
    <row r="24" spans="1:35" ht="15.75" thickBot="1" x14ac:dyDescent="0.3"/>
    <row r="25" spans="1:35" ht="15.75" thickBot="1" x14ac:dyDescent="0.3">
      <c r="R25" s="18"/>
      <c r="S25" s="18"/>
      <c r="T25" s="18"/>
      <c r="U25" s="18"/>
      <c r="V25" s="18"/>
      <c r="Y25" s="11"/>
      <c r="Z25" s="12" t="s">
        <v>42</v>
      </c>
      <c r="AA25" s="13" t="s">
        <v>18</v>
      </c>
      <c r="AB25" s="13" t="s">
        <v>29</v>
      </c>
      <c r="AC25" s="6" t="s">
        <v>37</v>
      </c>
      <c r="AE25" s="44" t="s">
        <v>43</v>
      </c>
      <c r="AF25" s="44" t="s">
        <v>44</v>
      </c>
      <c r="AG25" s="44" t="s">
        <v>45</v>
      </c>
      <c r="AH25" s="44" t="s">
        <v>46</v>
      </c>
      <c r="AI25" s="44" t="s">
        <v>47</v>
      </c>
    </row>
    <row r="26" spans="1:35" ht="15.75" thickBot="1" x14ac:dyDescent="0.3">
      <c r="F26">
        <v>4.5489512327135218E-2</v>
      </c>
      <c r="G26">
        <v>6.7015939493510939E-4</v>
      </c>
      <c r="L26" s="45" t="s">
        <v>48</v>
      </c>
      <c r="M26" s="46"/>
      <c r="N26" s="47"/>
      <c r="R26" s="18"/>
      <c r="S26" s="18"/>
      <c r="T26" s="18"/>
      <c r="U26" s="18"/>
      <c r="V26" s="18"/>
      <c r="Y26" s="48" t="s">
        <v>19</v>
      </c>
      <c r="Z26" s="2">
        <v>25</v>
      </c>
      <c r="AA26" s="20">
        <v>0.54</v>
      </c>
      <c r="AB26" s="20">
        <v>0.46</v>
      </c>
      <c r="AC26" s="21">
        <v>0</v>
      </c>
      <c r="AE26">
        <f>Z27</f>
        <v>8.4506966275450015</v>
      </c>
      <c r="AF26">
        <f>AE26/Z26</f>
        <v>0.33802786510180005</v>
      </c>
      <c r="AG26">
        <f>AB31*W31/Z26/AA26</f>
        <v>5.5473460832334731E-2</v>
      </c>
      <c r="AH26" s="49">
        <f>X31*AB31/Z26/AB26</f>
        <v>0.99979290192114778</v>
      </c>
      <c r="AI26" s="50">
        <f>AA35*U35/AB36/AC27</f>
        <v>6.8922178613865998E-4</v>
      </c>
    </row>
    <row r="27" spans="1:35" ht="15.75" thickBot="1" x14ac:dyDescent="0.3">
      <c r="F27">
        <v>3.5419044279793193E-3</v>
      </c>
      <c r="G27">
        <v>4.7094627309765769E-4</v>
      </c>
      <c r="L27" s="51" t="s">
        <v>9</v>
      </c>
      <c r="M27" s="52" t="s">
        <v>10</v>
      </c>
      <c r="N27" s="53" t="s">
        <v>11</v>
      </c>
      <c r="O27" s="54" t="s">
        <v>49</v>
      </c>
      <c r="R27" s="18"/>
      <c r="S27" s="18"/>
      <c r="T27" s="18"/>
      <c r="U27" s="18"/>
      <c r="V27" s="18"/>
      <c r="W27" s="55"/>
      <c r="Y27" s="56" t="s">
        <v>35</v>
      </c>
      <c r="Z27" s="55">
        <v>8.4506966275450015</v>
      </c>
      <c r="AA27" s="23">
        <v>0</v>
      </c>
      <c r="AB27" s="23">
        <v>0</v>
      </c>
      <c r="AC27" s="24">
        <v>1</v>
      </c>
    </row>
    <row r="28" spans="1:35" ht="15.75" thickBot="1" x14ac:dyDescent="0.3">
      <c r="F28">
        <v>2.6727070600407357E-4</v>
      </c>
      <c r="G28">
        <v>4.5682769651041465E-4</v>
      </c>
      <c r="L28" s="15">
        <f>Z4</f>
        <v>0.86352249701179018</v>
      </c>
      <c r="M28" s="20">
        <f>Z11</f>
        <v>0.13520594200508546</v>
      </c>
      <c r="N28" s="21">
        <f>Z18</f>
        <v>1.2715589943287594E-3</v>
      </c>
      <c r="O28" s="16">
        <f>SUM(L28:N28)</f>
        <v>0.99999999801120432</v>
      </c>
      <c r="R28" s="18"/>
      <c r="S28" s="18"/>
      <c r="T28" s="18"/>
      <c r="U28" s="18"/>
      <c r="V28" s="18"/>
      <c r="AG28" s="2"/>
    </row>
    <row r="29" spans="1:35" ht="21.75" thickBot="1" x14ac:dyDescent="0.4">
      <c r="F29">
        <v>2.0023386220714435E-5</v>
      </c>
      <c r="G29">
        <v>4.5576924644759884E-4</v>
      </c>
      <c r="L29" s="17">
        <f>Z5</f>
        <v>0.9709723185371878</v>
      </c>
      <c r="M29" s="18">
        <f>Z12</f>
        <v>2.8442963314540399E-2</v>
      </c>
      <c r="N29" s="19">
        <f>Z19</f>
        <v>5.8471723064368883E-4</v>
      </c>
      <c r="O29" s="31">
        <f t="shared" ref="O29:O32" si="8">SUM(L29:N29)</f>
        <v>0.99999999908237192</v>
      </c>
      <c r="R29" s="18"/>
      <c r="S29" s="18"/>
      <c r="T29" s="18"/>
      <c r="U29" s="18"/>
      <c r="V29" s="18"/>
      <c r="AA29" s="12" t="s">
        <v>50</v>
      </c>
      <c r="AB29" s="6" t="s">
        <v>51</v>
      </c>
      <c r="AG29" s="44" t="s">
        <v>52</v>
      </c>
      <c r="AI29" s="57">
        <f>ABS(AH26-AG30)</f>
        <v>7.0980788522412297E-6</v>
      </c>
    </row>
    <row r="30" spans="1:35" ht="15.75" thickBot="1" x14ac:dyDescent="0.3">
      <c r="F30">
        <v>1.4024829460287505E-6</v>
      </c>
      <c r="G30">
        <v>4.5568957470008755E-4</v>
      </c>
      <c r="L30" s="17">
        <f>Z6</f>
        <v>0.99380071287356353</v>
      </c>
      <c r="M30" s="18">
        <f>Z13</f>
        <v>5.7188512990994037E-3</v>
      </c>
      <c r="N30" s="19">
        <f>Z20</f>
        <v>4.8043560054486398E-4</v>
      </c>
      <c r="O30" s="31">
        <f t="shared" si="8"/>
        <v>0.99999999977320786</v>
      </c>
      <c r="R30" s="14" t="s">
        <v>53</v>
      </c>
      <c r="S30" s="8" t="s">
        <v>54</v>
      </c>
      <c r="T30" s="9" t="s">
        <v>55</v>
      </c>
      <c r="U30" s="9" t="s">
        <v>56</v>
      </c>
      <c r="V30" s="58" t="s">
        <v>49</v>
      </c>
      <c r="W30" s="8" t="s">
        <v>57</v>
      </c>
      <c r="X30" s="9" t="s">
        <v>58</v>
      </c>
      <c r="Y30" s="9" t="s">
        <v>59</v>
      </c>
      <c r="Z30" s="59" t="s">
        <v>60</v>
      </c>
      <c r="AA30" s="60">
        <f>Z26</f>
        <v>25</v>
      </c>
      <c r="AB30" s="61"/>
      <c r="AC30" s="9" t="s">
        <v>13</v>
      </c>
      <c r="AD30" s="9" t="s">
        <v>14</v>
      </c>
      <c r="AE30" s="10" t="s">
        <v>15</v>
      </c>
      <c r="AG30">
        <v>0.99980000000000002</v>
      </c>
    </row>
    <row r="31" spans="1:35" x14ac:dyDescent="0.25">
      <c r="L31" s="17">
        <f>Z7</f>
        <v>0.99842535962948431</v>
      </c>
      <c r="M31" s="18">
        <f>Z14</f>
        <v>1.1141790454765647E-3</v>
      </c>
      <c r="N31" s="19">
        <f>Z21</f>
        <v>4.6046127866945541E-4</v>
      </c>
      <c r="O31" s="31">
        <f t="shared" si="8"/>
        <v>0.99999999995363043</v>
      </c>
      <c r="R31" s="62">
        <v>1</v>
      </c>
      <c r="S31" s="63">
        <f>C41</f>
        <v>0.86352249701179007</v>
      </c>
      <c r="T31" s="64">
        <f t="shared" ref="T31:U35" si="9">D41</f>
        <v>0.13520594401969205</v>
      </c>
      <c r="U31" s="64">
        <f t="shared" si="9"/>
        <v>1.2715589685179177E-3</v>
      </c>
      <c r="V31" s="65">
        <f>SUM(S31:U31)</f>
        <v>1</v>
      </c>
      <c r="W31" s="64">
        <f>G41</f>
        <v>3.6193412116217058E-2</v>
      </c>
      <c r="X31" s="64">
        <f t="shared" ref="X31:Y35" si="10">H41</f>
        <v>0.55567183919333374</v>
      </c>
      <c r="Y31" s="64">
        <f t="shared" si="10"/>
        <v>0.40813474869044919</v>
      </c>
      <c r="Z31" s="66">
        <f>SUM(W31:Y31)</f>
        <v>1</v>
      </c>
      <c r="AA31" s="33">
        <f t="shared" ref="AA31:AA33" si="11">(AB33*(W32-W33)+AA32*(S32-W32))/(S31-W32)</f>
        <v>14.925133053438326</v>
      </c>
      <c r="AB31" s="33">
        <f>AA30+AB36-AA35</f>
        <v>20.691382145232048</v>
      </c>
      <c r="AC31" s="67">
        <f>W31/S31</f>
        <v>4.1913687531551239E-2</v>
      </c>
      <c r="AD31" s="68">
        <f t="shared" ref="AD31:AE35" si="12">X31/T31</f>
        <v>4.1098181239162308</v>
      </c>
      <c r="AE31" s="69">
        <f t="shared" si="12"/>
        <v>320.9719397961984</v>
      </c>
      <c r="AG31" t="s">
        <v>61</v>
      </c>
    </row>
    <row r="32" spans="1:35" ht="15.75" thickBot="1" x14ac:dyDescent="0.3">
      <c r="L32" s="22">
        <f>Z8</f>
        <v>0.9993568460467962</v>
      </c>
      <c r="M32" s="23">
        <f>Z15</f>
        <v>1.8667140996093598E-4</v>
      </c>
      <c r="N32" s="24">
        <f>Z22</f>
        <v>4.5648253531447696E-4</v>
      </c>
      <c r="O32" s="35">
        <f t="shared" si="8"/>
        <v>0.99999999999207168</v>
      </c>
      <c r="R32" s="70">
        <v>2</v>
      </c>
      <c r="S32" s="71">
        <f t="shared" ref="S32:S35" si="13">C42</f>
        <v>0.9709723185371878</v>
      </c>
      <c r="T32" s="72">
        <f t="shared" si="9"/>
        <v>2.8442964234629213E-2</v>
      </c>
      <c r="U32" s="72">
        <f t="shared" si="9"/>
        <v>5.8471722818295691E-4</v>
      </c>
      <c r="V32" s="73">
        <f t="shared" ref="V32:V35" si="14">SUM(S32:U32)</f>
        <v>1</v>
      </c>
      <c r="W32" s="72">
        <f t="shared" ref="W32:W35" si="15">G42</f>
        <v>1.2911947207682063E-2</v>
      </c>
      <c r="X32" s="72">
        <f t="shared" si="10"/>
        <v>0.18985372340167833</v>
      </c>
      <c r="Y32" s="72">
        <f t="shared" si="10"/>
        <v>0.79723432939063965</v>
      </c>
      <c r="Z32" s="74">
        <f t="shared" ref="Z32:Z35" si="16">SUM(W32:Y32)</f>
        <v>1</v>
      </c>
      <c r="AA32" s="33">
        <f t="shared" si="11"/>
        <v>13.161829587209198</v>
      </c>
      <c r="AB32" s="33">
        <f>AA31+AB33-AA32</f>
        <v>10.616515198670378</v>
      </c>
      <c r="AC32" s="75">
        <f t="shared" ref="AC32:AC35" si="17">W32/S32</f>
        <v>1.3297956039709222E-2</v>
      </c>
      <c r="AD32" s="18">
        <f t="shared" si="12"/>
        <v>6.6748923155671678</v>
      </c>
      <c r="AE32" s="76">
        <f t="shared" si="12"/>
        <v>1363.4527784790814</v>
      </c>
      <c r="AG32" s="77">
        <f>AG30*Z26*AB26/X31</f>
        <v>20.691529044716681</v>
      </c>
    </row>
    <row r="33" spans="3:33" x14ac:dyDescent="0.25">
      <c r="R33" s="70">
        <v>3</v>
      </c>
      <c r="S33" s="71">
        <f t="shared" si="13"/>
        <v>0.99380071287356353</v>
      </c>
      <c r="T33" s="72">
        <f t="shared" si="9"/>
        <v>5.7188515260498552E-3</v>
      </c>
      <c r="U33" s="72">
        <f t="shared" si="9"/>
        <v>4.8043560038654645E-4</v>
      </c>
      <c r="V33" s="73">
        <f t="shared" si="14"/>
        <v>1</v>
      </c>
      <c r="W33" s="72">
        <f t="shared" si="15"/>
        <v>3.2376851008041807E-3</v>
      </c>
      <c r="X33" s="72">
        <f t="shared" si="10"/>
        <v>4.2016351001239891E-2</v>
      </c>
      <c r="Y33" s="72">
        <f t="shared" si="10"/>
        <v>0.95474596389795596</v>
      </c>
      <c r="Z33" s="74">
        <f t="shared" si="16"/>
        <v>1</v>
      </c>
      <c r="AA33" s="33">
        <f t="shared" si="11"/>
        <v>12.84899423758459</v>
      </c>
      <c r="AB33" s="33">
        <f>AA32+AB34-AA33</f>
        <v>8.8532117324412472</v>
      </c>
      <c r="AC33" s="75">
        <f t="shared" si="17"/>
        <v>3.2578816445426478E-3</v>
      </c>
      <c r="AD33" s="18">
        <f t="shared" si="12"/>
        <v>7.3469910540345094</v>
      </c>
      <c r="AE33" s="76">
        <f t="shared" si="12"/>
        <v>1987.2506598798909</v>
      </c>
      <c r="AG33" t="s">
        <v>62</v>
      </c>
    </row>
    <row r="34" spans="3:33" ht="15.75" thickBot="1" x14ac:dyDescent="0.3">
      <c r="R34" s="70">
        <v>4</v>
      </c>
      <c r="S34" s="71">
        <f t="shared" si="13"/>
        <v>0.99842535962948409</v>
      </c>
      <c r="T34" s="72">
        <f t="shared" si="9"/>
        <v>1.1141790918544085E-3</v>
      </c>
      <c r="U34" s="72">
        <f t="shared" si="9"/>
        <v>4.6046127866146544E-4</v>
      </c>
      <c r="V34" s="73">
        <f t="shared" si="14"/>
        <v>1</v>
      </c>
      <c r="W34" s="72">
        <f t="shared" si="15"/>
        <v>2.1347249159972175E-3</v>
      </c>
      <c r="X34" s="72">
        <f t="shared" si="10"/>
        <v>8.3251238511888245E-3</v>
      </c>
      <c r="Y34" s="72">
        <f t="shared" si="10"/>
        <v>0.98954015123281402</v>
      </c>
      <c r="Z34" s="74">
        <f t="shared" si="16"/>
        <v>1</v>
      </c>
      <c r="AA34" s="33">
        <f>(AB36*(W35-W36)+AA35*(S35-W35))/(S34-W35)</f>
        <v>12.787739252519454</v>
      </c>
      <c r="AB34" s="33">
        <f>AA33+AB35-AA34</f>
        <v>8.540376382816639</v>
      </c>
      <c r="AC34" s="75">
        <f t="shared" si="17"/>
        <v>2.1380916414116468E-3</v>
      </c>
      <c r="AD34" s="18">
        <f t="shared" si="12"/>
        <v>7.4719799644891216</v>
      </c>
      <c r="AE34" s="76">
        <f t="shared" si="12"/>
        <v>2149.0192489352212</v>
      </c>
      <c r="AG34" s="77">
        <f>AG36+Z26-AG32</f>
        <v>12.759309162097651</v>
      </c>
    </row>
    <row r="35" spans="3:33" ht="18.75" thickBot="1" x14ac:dyDescent="0.4">
      <c r="C35" s="78" t="s">
        <v>63</v>
      </c>
      <c r="D35" s="79" t="s">
        <v>64</v>
      </c>
      <c r="E35" s="79" t="s">
        <v>65</v>
      </c>
      <c r="F35" s="79" t="s">
        <v>66</v>
      </c>
      <c r="G35" s="79" t="s">
        <v>67</v>
      </c>
      <c r="H35" s="80" t="s">
        <v>68</v>
      </c>
      <c r="R35" s="81">
        <v>5</v>
      </c>
      <c r="S35" s="82">
        <f t="shared" si="13"/>
        <v>0.99935684604679609</v>
      </c>
      <c r="T35" s="83">
        <f t="shared" si="9"/>
        <v>1.8667141789004222E-4</v>
      </c>
      <c r="U35" s="83">
        <f t="shared" si="9"/>
        <v>4.5648253531381674E-4</v>
      </c>
      <c r="V35" s="84">
        <f t="shared" si="14"/>
        <v>1</v>
      </c>
      <c r="W35" s="83">
        <f t="shared" si="15"/>
        <v>1.9453528859367472E-3</v>
      </c>
      <c r="X35" s="83">
        <f>H45</f>
        <v>1.3994412672046956E-3</v>
      </c>
      <c r="Y35" s="83">
        <f t="shared" si="10"/>
        <v>0.99665520584685852</v>
      </c>
      <c r="Z35" s="85">
        <f t="shared" si="16"/>
        <v>1</v>
      </c>
      <c r="AA35" s="33">
        <f>(AA30*(AA26-W31)+AB36*(AA27-W31))/(S35-W31)</f>
        <v>12.759314482312954</v>
      </c>
      <c r="AB35" s="33">
        <f>AA34+AB36-AA35</f>
        <v>8.4791213977515039</v>
      </c>
      <c r="AC35" s="86">
        <f t="shared" si="17"/>
        <v>1.9466048525429861E-3</v>
      </c>
      <c r="AD35" s="87">
        <f t="shared" si="12"/>
        <v>7.4968159722718175</v>
      </c>
      <c r="AE35" s="88">
        <f t="shared" si="12"/>
        <v>2183.3369926446162</v>
      </c>
      <c r="AG35" t="s">
        <v>69</v>
      </c>
    </row>
    <row r="36" spans="3:33" ht="15.75" thickBot="1" x14ac:dyDescent="0.3">
      <c r="C36">
        <v>2.1071800296631609</v>
      </c>
      <c r="D36">
        <v>2.8350922655412045</v>
      </c>
      <c r="E36">
        <v>7.2849444468829168</v>
      </c>
      <c r="F36">
        <v>6.1290709297054313</v>
      </c>
      <c r="G36">
        <v>4.0246507210259157</v>
      </c>
      <c r="H36">
        <v>0.21292207917654202</v>
      </c>
      <c r="V36" s="89"/>
      <c r="W36" s="90">
        <v>0</v>
      </c>
      <c r="X36">
        <f>AB27</f>
        <v>0</v>
      </c>
      <c r="Y36" s="91">
        <v>1</v>
      </c>
      <c r="Z36" s="92"/>
      <c r="AA36" s="93"/>
      <c r="AB36" s="94">
        <f>Z27</f>
        <v>8.4506966275450015</v>
      </c>
      <c r="AG36" s="95">
        <f>(AG32*(W31-S35)+Z26*(S35-AA26))/(AA27-S35)</f>
        <v>8.4508382068143302</v>
      </c>
    </row>
    <row r="37" spans="3:33" ht="18.75" thickBot="1" x14ac:dyDescent="0.4">
      <c r="C37" s="78" t="s">
        <v>70</v>
      </c>
      <c r="D37" s="79" t="s">
        <v>71</v>
      </c>
      <c r="E37" s="79" t="s">
        <v>72</v>
      </c>
      <c r="F37" s="79" t="s">
        <v>73</v>
      </c>
      <c r="G37" s="79" t="s">
        <v>74</v>
      </c>
      <c r="H37" s="80" t="s">
        <v>75</v>
      </c>
    </row>
    <row r="38" spans="3:33" x14ac:dyDescent="0.25">
      <c r="C38">
        <v>0.43047242445194145</v>
      </c>
      <c r="D38">
        <v>0.32173183009668638</v>
      </c>
      <c r="E38">
        <v>5.425946787469077E-2</v>
      </c>
      <c r="F38">
        <v>8.6153182795249569E-2</v>
      </c>
      <c r="G38">
        <v>0.19991554264238187</v>
      </c>
      <c r="H38">
        <v>0.91835722352796123</v>
      </c>
      <c r="AG38" s="96">
        <f>AG36-Z27</f>
        <v>1.4157926932867326E-4</v>
      </c>
    </row>
    <row r="39" spans="3:33" ht="15.75" thickBot="1" x14ac:dyDescent="0.3"/>
    <row r="40" spans="3:33" ht="16.5" thickBot="1" x14ac:dyDescent="0.3">
      <c r="C40" s="12" t="s">
        <v>76</v>
      </c>
      <c r="D40" s="13" t="s">
        <v>77</v>
      </c>
      <c r="E40" s="6" t="s">
        <v>78</v>
      </c>
      <c r="G40" s="12" t="s">
        <v>79</v>
      </c>
      <c r="H40" s="13" t="s">
        <v>80</v>
      </c>
      <c r="I40" s="6" t="s">
        <v>81</v>
      </c>
      <c r="L40" s="97" t="s">
        <v>82</v>
      </c>
      <c r="M40" s="98" t="s">
        <v>83</v>
      </c>
      <c r="N40" s="98" t="s">
        <v>84</v>
      </c>
      <c r="O40" s="98" t="s">
        <v>85</v>
      </c>
      <c r="P40" s="98" t="s">
        <v>86</v>
      </c>
      <c r="Q40" s="98" t="s">
        <v>87</v>
      </c>
      <c r="R40" s="98" t="s">
        <v>88</v>
      </c>
      <c r="S40" s="98" t="s">
        <v>89</v>
      </c>
      <c r="T40" s="98" t="s">
        <v>90</v>
      </c>
      <c r="U40" s="98" t="s">
        <v>91</v>
      </c>
      <c r="V40" s="98" t="s">
        <v>92</v>
      </c>
      <c r="W40" s="98" t="s">
        <v>93</v>
      </c>
      <c r="X40" s="98" t="s">
        <v>94</v>
      </c>
      <c r="Y40" s="98" t="s">
        <v>95</v>
      </c>
      <c r="Z40" s="99" t="s">
        <v>96</v>
      </c>
    </row>
    <row r="41" spans="3:33" x14ac:dyDescent="0.25">
      <c r="C41">
        <f>1-D41-E41</f>
        <v>0.86352249701179007</v>
      </c>
      <c r="D41" s="2">
        <v>0.13520594401969205</v>
      </c>
      <c r="E41" s="2">
        <v>1.2715589685179177E-3</v>
      </c>
      <c r="F41" s="2"/>
      <c r="G41" s="2">
        <v>3.6193412116217058E-2</v>
      </c>
      <c r="H41" s="2">
        <v>0.55567183919333374</v>
      </c>
      <c r="I41">
        <f>1-G41-H41</f>
        <v>0.40813474869044919</v>
      </c>
      <c r="L41">
        <f>$C41+$D$38*$D41+$F$38*$E41</f>
        <v>0.90713210167344538</v>
      </c>
      <c r="M41">
        <f>$C$38*$C41+$D41+$H$38*$E41</f>
        <v>0.50809631224103191</v>
      </c>
      <c r="N41">
        <f>$E$38*$C41+$G$38*$D41+$E41</f>
        <v>7.5155599821374125E-2</v>
      </c>
      <c r="O41">
        <f>$D41*$D$36*$D$38+$E41*$F$36*$F$38</f>
        <v>0.12399810446156272</v>
      </c>
      <c r="P41">
        <f>$C41*$C$36*$C$38+$E41*$H$36*$H$38</f>
        <v>0.78353512623007593</v>
      </c>
      <c r="Q41">
        <f>$C41*$E$36*$E$38+$D41*$G$36*$G$38</f>
        <v>0.45011614466704397</v>
      </c>
      <c r="R41">
        <f>(O41/L41)-(C41*O41/L41^2)+(D41*$C$38/M41)*($C$36-P41/M41)+(E41*$E$38/N41)*($E$36-Q41/N41)</f>
        <v>7.2490918445678398E-2</v>
      </c>
      <c r="S41">
        <f>(P41/M41)-(D41*P41/M41^2)+(C41*$D$38/L41)*($D$36-O41/L41)+(E41*$G$38/N41)*($G$36-Q41/N41)</f>
        <v>1.9515227297964852</v>
      </c>
      <c r="T41">
        <f>(Q41/N41)-(E41*Q41/N41^2)+(C41*$F$38/L41)*($F$36-O41/L41)+(D41*$H$38/M41)*($H$36-P41/M41)</f>
        <v>6.0544154798715946</v>
      </c>
      <c r="U41">
        <f>EXP(R41)</f>
        <v>1.0751830417126182</v>
      </c>
      <c r="V41">
        <f>EXP(S41)</f>
        <v>7.0393985254662708</v>
      </c>
      <c r="W41">
        <f>EXP(T41)</f>
        <v>425.98983303587238</v>
      </c>
      <c r="X41">
        <f>U41/U47</f>
        <v>4.1913687529032705E-2</v>
      </c>
      <c r="Y41">
        <f>V41/V47</f>
        <v>4.1098181232909541</v>
      </c>
      <c r="Z41">
        <f>W41/W47</f>
        <v>320.97193963337503</v>
      </c>
    </row>
    <row r="42" spans="3:33" x14ac:dyDescent="0.25">
      <c r="C42">
        <f t="shared" ref="C42:C45" si="18">1-D42-E42</f>
        <v>0.9709723185371878</v>
      </c>
      <c r="D42">
        <v>2.8442964234629213E-2</v>
      </c>
      <c r="E42" s="2">
        <v>5.8471722818295691E-4</v>
      </c>
      <c r="G42" s="2">
        <v>1.2911947207682063E-2</v>
      </c>
      <c r="H42">
        <v>0.18985372340167833</v>
      </c>
      <c r="I42">
        <f t="shared" ref="I42:I45" si="19">1-G42-H42</f>
        <v>0.79723432939063965</v>
      </c>
      <c r="L42">
        <f>$C42+$D$38*$D42+$F$38*$E42</f>
        <v>0.98017370072401289</v>
      </c>
      <c r="M42">
        <f t="shared" ref="M42:M45" si="20">$C$38*$C42+$D42+$H$38*$E42</f>
        <v>0.44695675156127829</v>
      </c>
      <c r="N42">
        <f t="shared" ref="N42:N45" si="21">$E$38*$C42+$G$38*$D42+$E42</f>
        <v>5.8955349182389274E-2</v>
      </c>
      <c r="O42">
        <f t="shared" ref="O42:O45" si="22">$D42*$D$36*$D$38+$E42*$F$36*$F$38</f>
        <v>2.6252702469659224E-2</v>
      </c>
      <c r="P42">
        <f t="shared" ref="P42:P45" si="23">$C42*$C$36*$C$38+$E42*$H$36*$H$38</f>
        <v>0.88086671750365841</v>
      </c>
      <c r="Q42">
        <f t="shared" ref="Q42:Q45" si="24">$C42*$E$36*$E$38+$D42*$G$36*$G$38</f>
        <v>0.40668815948303066</v>
      </c>
      <c r="R42">
        <f>(O42/L42)-(C42*O42/L42^2)+(D42*$C$38/M42)*($C$36-P42/M42)+(E42*$E$38/N42)*($E$36-Q42/N42)</f>
        <v>4.1952559611488603E-3</v>
      </c>
      <c r="S42">
        <f>(P42/M42)-(D42*P42/M42^2)+(C42*$D$38/L42)*($D$36-O42/L42)+(E42*$G$38/N42)*($G$36-Q42/N42)</f>
        <v>2.7347362197797289</v>
      </c>
      <c r="T42">
        <f>(Q42/N42)-(E42*Q42/N42^2)+(C42*$F$38/L42)*($F$36-O42/L42)+(D42*$H$38/M42)*($H$36-P42/M42)</f>
        <v>7.2478863271972269</v>
      </c>
      <c r="U42">
        <f t="shared" ref="U42:W45" si="25">EXP(R42)</f>
        <v>1.0042040683665612</v>
      </c>
      <c r="V42">
        <f t="shared" si="25"/>
        <v>15.405679186469344</v>
      </c>
      <c r="W42">
        <f t="shared" si="25"/>
        <v>1405.1317185021874</v>
      </c>
      <c r="X42">
        <f t="shared" ref="X42:Z45" si="26">U42/U48</f>
        <v>1.3297955982321365E-2</v>
      </c>
      <c r="Y42">
        <f t="shared" si="26"/>
        <v>6.6748923151676181</v>
      </c>
      <c r="Z42">
        <f t="shared" si="26"/>
        <v>1363.4527783660683</v>
      </c>
    </row>
    <row r="43" spans="3:33" x14ac:dyDescent="0.25">
      <c r="C43">
        <f t="shared" si="18"/>
        <v>0.99380071287356353</v>
      </c>
      <c r="D43">
        <v>5.7188515260498552E-3</v>
      </c>
      <c r="E43" s="2">
        <v>4.8043560038654645E-4</v>
      </c>
      <c r="G43" s="2">
        <v>3.2376851008041807E-3</v>
      </c>
      <c r="H43">
        <v>4.2016351001239891E-2</v>
      </c>
      <c r="I43">
        <f t="shared" si="19"/>
        <v>0.95474596389795596</v>
      </c>
      <c r="L43">
        <f t="shared" ref="L43:L45" si="27">$C43+$D$38*$D43+$F$38*$E43</f>
        <v>0.99568204049719222</v>
      </c>
      <c r="M43">
        <f t="shared" si="20"/>
        <v>0.43396386532285541</v>
      </c>
      <c r="N43">
        <f t="shared" si="21"/>
        <v>5.5546820760515925E-2</v>
      </c>
      <c r="O43">
        <f t="shared" si="22"/>
        <v>5.4700786503841204E-3</v>
      </c>
      <c r="P43">
        <f t="shared" si="23"/>
        <v>0.90155357247605128</v>
      </c>
      <c r="Q43">
        <f t="shared" si="24"/>
        <v>0.39742810435120057</v>
      </c>
      <c r="R43">
        <f>(O43/L43)-(C43*O43/L43^2)+(D43*$C$38/M43)*($C$36-P43/M43)+(E43*$E$38/N43)*($E$36-Q43/N43)</f>
        <v>2.3989611639568212E-4</v>
      </c>
      <c r="S43">
        <f>(P43/M43)-(D43*P43/M43^2)+(C43*$D$38/L43)*($D$36-O43/L43)+(E43*$G$38/N43)*($G$36-Q43/N43)</f>
        <v>2.9533472179479081</v>
      </c>
      <c r="T43">
        <f>(Q43/N43)-(E43*Q43/N43^2)+(C43*$F$38/L43)*($F$36-O43/L43)+(D43*$H$38/M43)*($H$36-P43/M43)</f>
        <v>7.5969506187701379</v>
      </c>
      <c r="U43">
        <f t="shared" si="25"/>
        <v>1.0002399248937701</v>
      </c>
      <c r="V43">
        <f t="shared" si="25"/>
        <v>19.170012669272293</v>
      </c>
      <c r="W43">
        <f t="shared" si="25"/>
        <v>1992.1119149498804</v>
      </c>
      <c r="X43">
        <f t="shared" si="26"/>
        <v>3.2578816431061549E-3</v>
      </c>
      <c r="Y43">
        <f t="shared" si="26"/>
        <v>7.3469910539757723</v>
      </c>
      <c r="Z43">
        <f t="shared" si="26"/>
        <v>1987.2506598550676</v>
      </c>
    </row>
    <row r="44" spans="3:33" x14ac:dyDescent="0.25">
      <c r="C44">
        <f t="shared" si="18"/>
        <v>0.99842535962948409</v>
      </c>
      <c r="D44">
        <v>1.1141790918544085E-3</v>
      </c>
      <c r="E44" s="2">
        <v>4.6046127866146544E-4</v>
      </c>
      <c r="G44" s="2">
        <v>2.1347249159972175E-3</v>
      </c>
      <c r="H44">
        <v>8.3251238511888245E-3</v>
      </c>
      <c r="I44">
        <f t="shared" si="19"/>
        <v>0.98954015123281402</v>
      </c>
      <c r="L44">
        <f t="shared" si="27"/>
        <v>0.9988234967124725</v>
      </c>
      <c r="M44">
        <f t="shared" si="20"/>
        <v>0.43133163222727361</v>
      </c>
      <c r="N44">
        <f t="shared" si="21"/>
        <v>5.4857231722502911E-2</v>
      </c>
      <c r="O44">
        <f t="shared" si="22"/>
        <v>1.2594281725255851E-3</v>
      </c>
      <c r="P44">
        <f t="shared" si="23"/>
        <v>0.90574460469947349</v>
      </c>
      <c r="Q44">
        <f t="shared" si="24"/>
        <v>0.39555124734836422</v>
      </c>
      <c r="R44">
        <f>(O44/L44)-(C44*O44/L44^2)+(D44*$C$38/M44)*($C$36-P44/M44)+(E44*$E$38/N44)*($E$36-Q44/N44)</f>
        <v>4.2498982318523763E-5</v>
      </c>
      <c r="S44">
        <f>(P44/M44)-(D44*P44/M44^2)+(C44*$D$38/L44)*($D$36-O44/L44)+(E44*$G$38/N44)*($G$36-Q44/N44)</f>
        <v>3.0004798254809231</v>
      </c>
      <c r="T44">
        <f>(Q44/N44)-(E44*Q44/N44^2)+(C44*$F$38/L44)*($F$36-O44/L44)+(D44*$H$38/M44)*($H$36-P44/M44)</f>
        <v>7.6732774837402831</v>
      </c>
      <c r="U44">
        <f t="shared" si="25"/>
        <v>1.0000424998854132</v>
      </c>
      <c r="V44">
        <f t="shared" si="25"/>
        <v>20.095176788142904</v>
      </c>
      <c r="W44">
        <f t="shared" si="25"/>
        <v>2150.1168828069344</v>
      </c>
      <c r="X44">
        <f t="shared" si="26"/>
        <v>2.1380916412602632E-3</v>
      </c>
      <c r="Y44">
        <f t="shared" si="26"/>
        <v>7.4719799644805676</v>
      </c>
      <c r="Z44">
        <f t="shared" si="26"/>
        <v>2149.0192489302876</v>
      </c>
    </row>
    <row r="45" spans="3:33" ht="15.75" thickBot="1" x14ac:dyDescent="0.3">
      <c r="C45">
        <f t="shared" si="18"/>
        <v>0.99935684604679609</v>
      </c>
      <c r="D45">
        <v>1.8667141789004222E-4</v>
      </c>
      <c r="E45" s="2">
        <v>4.5648253531381674E-4</v>
      </c>
      <c r="G45" s="2">
        <v>1.9453528859367472E-3</v>
      </c>
      <c r="H45">
        <v>1.3994412672046956E-3</v>
      </c>
      <c r="I45">
        <f t="shared" si="19"/>
        <v>0.99665520584685852</v>
      </c>
      <c r="L45">
        <f t="shared" si="27"/>
        <v>0.99945623160700825</v>
      </c>
      <c r="M45">
        <f t="shared" si="20"/>
        <v>0.43080144986201974</v>
      </c>
      <c r="N45">
        <f t="shared" si="21"/>
        <v>5.4718371736545549E-2</v>
      </c>
      <c r="O45">
        <f t="shared" si="22"/>
        <v>4.1131092635641054E-4</v>
      </c>
      <c r="P45">
        <f t="shared" si="23"/>
        <v>0.90658876209896733</v>
      </c>
      <c r="Q45">
        <f t="shared" si="24"/>
        <v>0.39517317908443678</v>
      </c>
      <c r="R45">
        <f>(O45/L45)-(C45*O45/L45^2)+(D45*$C$38/M45)*($C$36-P45/M45)+(E45*$E$38/N45)*($E$36-Q45/N45)</f>
        <v>2.9071136072316538E-5</v>
      </c>
      <c r="S45">
        <f>(P45/M45)-(D45*P45/M45^2)+(C45*$D$38/L45)*($D$36-O45/L45)+(E45*$G$38/N45)*($G$36-Q45/N45)</f>
        <v>3.0100957416322771</v>
      </c>
      <c r="T45">
        <f>(Q45/N45)-(E45*Q45/N45^2)+(C45*$F$38/L45)*($F$36-O45/L45)+(D45*$H$38/M45)*($H$36-P45/M45)</f>
        <v>7.6888969166226788</v>
      </c>
      <c r="U45">
        <f t="shared" si="25"/>
        <v>1.000029071558642</v>
      </c>
      <c r="V45">
        <f t="shared" si="25"/>
        <v>20.289342367009219</v>
      </c>
      <c r="W45">
        <f t="shared" si="25"/>
        <v>2183.964138485645</v>
      </c>
      <c r="X45">
        <f t="shared" si="26"/>
        <v>1.9466048525205212E-3</v>
      </c>
      <c r="Y45">
        <f t="shared" si="26"/>
        <v>7.4968159722704604</v>
      </c>
      <c r="Z45">
        <f t="shared" si="26"/>
        <v>2183.3369926437745</v>
      </c>
    </row>
    <row r="46" spans="3:33" ht="16.5" thickBot="1" x14ac:dyDescent="0.3">
      <c r="L46" s="97" t="s">
        <v>97</v>
      </c>
      <c r="M46" s="98" t="s">
        <v>98</v>
      </c>
      <c r="N46" s="98" t="s">
        <v>99</v>
      </c>
      <c r="O46" s="98" t="s">
        <v>100</v>
      </c>
      <c r="P46" s="98" t="s">
        <v>101</v>
      </c>
      <c r="Q46" s="98" t="s">
        <v>102</v>
      </c>
      <c r="R46" s="98" t="s">
        <v>103</v>
      </c>
      <c r="S46" s="98" t="s">
        <v>104</v>
      </c>
      <c r="T46" s="98" t="s">
        <v>105</v>
      </c>
      <c r="U46" s="98" t="s">
        <v>106</v>
      </c>
      <c r="V46" s="98" t="s">
        <v>107</v>
      </c>
      <c r="W46" s="98" t="s">
        <v>108</v>
      </c>
      <c r="X46" s="98" t="s">
        <v>109</v>
      </c>
      <c r="Y46" s="98" t="s">
        <v>110</v>
      </c>
      <c r="Z46" s="99" t="s">
        <v>111</v>
      </c>
    </row>
    <row r="47" spans="3:33" ht="15.75" thickBot="1" x14ac:dyDescent="0.3">
      <c r="L47">
        <f>$G41+$D$38*$H41+$F$38*$I41</f>
        <v>0.25013283748210147</v>
      </c>
      <c r="M47">
        <f>$C$38*$G41+$H41+$H$38*$I41</f>
        <v>0.94606559968883308</v>
      </c>
      <c r="N47">
        <f>$E$38*$G41+$G$38*$H41+$I41</f>
        <v>0.52118602123587021</v>
      </c>
      <c r="O47">
        <f>$H41*$D$36*$D$38+$I41*$F$36*$F$38</f>
        <v>0.72236124240031219</v>
      </c>
      <c r="P47">
        <f>$G41*$C$36*$C$38+$I41*$H$36*$H$38</f>
        <v>0.11263649366366137</v>
      </c>
      <c r="Q47">
        <f>$G41*$E$36*$E$38+$H41*$G$36*$G$38</f>
        <v>0.46139456541133189</v>
      </c>
      <c r="R47">
        <f>(O47/L47)-(G41*O47/L47^2)+(H41*$C$38/M47)*($C$36-P47/M47)+(I41*$E$38/N47)*($E$36-Q47/N47)</f>
        <v>3.2446337525078914</v>
      </c>
      <c r="S47">
        <f>(P47/M47)-(H41*P47/M47^2)+(G41*$D$38/L47)*($D$36-O47/L47)+(I41*$G$38/N47)*($G$36-Q47/N47)</f>
        <v>0.53814395450814501</v>
      </c>
      <c r="T47">
        <f>(Q47/N47)-(I41*Q47/N47^2)+(G41*$F$38/L47)*($F$36-O47/L47)+(H41*$H$38/M47)*($H$36-P47/M47)</f>
        <v>0.28306177603488569</v>
      </c>
      <c r="U47">
        <f>EXP(R47)</f>
        <v>25.652313244160688</v>
      </c>
      <c r="V47">
        <f>EXP(S47)</f>
        <v>1.7128248292966899</v>
      </c>
      <c r="W47">
        <f>EXP(T47)</f>
        <v>1.3271871476442842</v>
      </c>
      <c r="X47">
        <f>U47/U41</f>
        <v>23.858554542768914</v>
      </c>
      <c r="Y47">
        <f>V47/V41</f>
        <v>0.24331976987810006</v>
      </c>
      <c r="Z47">
        <f>W47/W41</f>
        <v>3.1155371436588312E-3</v>
      </c>
    </row>
    <row r="48" spans="3:33" ht="15.75" thickBot="1" x14ac:dyDescent="0.3">
      <c r="C48" s="102" t="s">
        <v>112</v>
      </c>
      <c r="D48" s="103"/>
      <c r="E48" s="103"/>
      <c r="F48" s="103"/>
      <c r="G48" s="103"/>
      <c r="H48" s="103"/>
      <c r="I48" s="104"/>
      <c r="L48">
        <f t="shared" ref="L48:L51" si="28">$G42+$D$38*$H42+$F$38*$I42</f>
        <v>0.1426782079990141</v>
      </c>
      <c r="M48">
        <f t="shared" ref="M48:M51" si="29">$C$38*$G42+$H42+$H$38*$I42</f>
        <v>0.9275578658609287</v>
      </c>
      <c r="N48">
        <f t="shared" ref="N48:N51" si="30">$E$38*$G42+$G$38*$H42+$I42</f>
        <v>0.83588963491187773</v>
      </c>
      <c r="O48">
        <f t="shared" ref="O48:O51" si="31">$H42*$D$36*$D$38+$I42*$F$36*$F$38</f>
        <v>0.59414385841694672</v>
      </c>
      <c r="P48">
        <f t="shared" ref="P48:P51" si="32">$G42*$C$36*$C$38+$I42*$H$36*$H$38</f>
        <v>0.16760223487213768</v>
      </c>
      <c r="Q48">
        <f t="shared" ref="Q48:Q51" si="33">$G42*$E$36*$E$38+$H42*$G$36*$G$38</f>
        <v>0.15785824997467854</v>
      </c>
      <c r="R48">
        <f>(O48/L48)-(G42*O48/L48^2)+(H42*$C$38/M48)*($C$36-P48/M48)+(I42*$E$38/N48)*($E$36-Q48/N48)</f>
        <v>4.3243401970661575</v>
      </c>
      <c r="S48">
        <f>(P48/M48)-(H42*P48/M48^2)+(G42*$D$38/L48)*($D$36-O48/L48)+(I42*$G$38/N48)*($G$36-Q48/N48)</f>
        <v>0.83638314818270521</v>
      </c>
      <c r="T48">
        <f>(Q48/N48)-(I42*Q48/N48^2)+(G42*$F$38/L48)*($F$36-O48/L48)+(H42*$H$38/M48)*($H$36-P48/M48)</f>
        <v>3.0110758172790807E-2</v>
      </c>
      <c r="U48">
        <f t="shared" ref="U48:W51" si="34">EXP(R48)</f>
        <v>75.515670957369323</v>
      </c>
      <c r="V48">
        <f t="shared" si="34"/>
        <v>2.3080041533347915</v>
      </c>
      <c r="W48">
        <f t="shared" si="34"/>
        <v>1.03056867153556</v>
      </c>
      <c r="X48">
        <f t="shared" ref="X48:Z51" si="35">U48/U42</f>
        <v>75.199527004708472</v>
      </c>
      <c r="Y48">
        <f t="shared" si="35"/>
        <v>0.14981515098418308</v>
      </c>
      <c r="Z48">
        <f t="shared" si="35"/>
        <v>7.3343207470549722E-4</v>
      </c>
    </row>
    <row r="49" spans="2:26" ht="15.75" thickBot="1" x14ac:dyDescent="0.3">
      <c r="B49" s="14" t="s">
        <v>113</v>
      </c>
      <c r="C49" s="13" t="s">
        <v>76</v>
      </c>
      <c r="D49" s="13" t="s">
        <v>77</v>
      </c>
      <c r="E49" s="13" t="s">
        <v>78</v>
      </c>
      <c r="F49" s="13"/>
      <c r="G49" s="13" t="s">
        <v>79</v>
      </c>
      <c r="H49" s="13" t="s">
        <v>80</v>
      </c>
      <c r="I49" s="13" t="s">
        <v>114</v>
      </c>
      <c r="J49" s="14" t="s">
        <v>113</v>
      </c>
      <c r="L49">
        <f t="shared" si="28"/>
        <v>9.9010086153145174E-2</v>
      </c>
      <c r="M49">
        <f t="shared" si="29"/>
        <v>0.92020793773604903</v>
      </c>
      <c r="N49">
        <f t="shared" si="30"/>
        <v>0.96332136057893702</v>
      </c>
      <c r="O49">
        <f t="shared" si="31"/>
        <v>0.54246784380545243</v>
      </c>
      <c r="P49">
        <f t="shared" si="32"/>
        <v>0.18962647056681053</v>
      </c>
      <c r="Q49">
        <f t="shared" si="33"/>
        <v>3.5085728766036925E-2</v>
      </c>
      <c r="R49">
        <f>(O49/L49)-(G43*O49/L49^2)+(H43*$C$38/M49)*($C$36-P49/M49)+(I43*$E$38/N49)*($E$36-Q49/N49)</f>
        <v>5.7269179936613854</v>
      </c>
      <c r="S49">
        <f>(P49/M49)-(H43*P49/M49^2)+(G43*$D$38/L49)*($D$36-O49/L49)+(I43*$G$38/N49)*($G$36-Q49/N49)</f>
        <v>0.95905636895365975</v>
      </c>
      <c r="T49">
        <f>(Q49/N49)-(I43*Q49/N49^2)+(G43*$F$38/L49)*($F$36-O49/L49)+(H43*$H$38/M49)*($H$36-P49/M49)</f>
        <v>2.443234272654598E-3</v>
      </c>
      <c r="U49">
        <f t="shared" si="34"/>
        <v>307.02156630224096</v>
      </c>
      <c r="V49">
        <f t="shared" si="34"/>
        <v>2.6092331579604382</v>
      </c>
      <c r="W49">
        <f t="shared" si="34"/>
        <v>1.0024462214017669</v>
      </c>
      <c r="X49">
        <f t="shared" si="35"/>
        <v>306.94792185469703</v>
      </c>
      <c r="Y49">
        <f t="shared" si="35"/>
        <v>0.1361101425948868</v>
      </c>
      <c r="Z49">
        <f t="shared" si="35"/>
        <v>5.0320778359833637E-4</v>
      </c>
    </row>
    <row r="50" spans="2:26" x14ac:dyDescent="0.25">
      <c r="B50" s="100">
        <f>SUM(C50:E50)</f>
        <v>1.0000000000731035</v>
      </c>
      <c r="C50">
        <f>G41*X47</f>
        <v>0.8635224970636779</v>
      </c>
      <c r="D50">
        <f>H41*Y47</f>
        <v>0.13520594404026259</v>
      </c>
      <c r="E50">
        <f>I41*Z47</f>
        <v>1.271558969162957E-3</v>
      </c>
      <c r="G50">
        <f>C41*X41</f>
        <v>3.6193412114042249E-2</v>
      </c>
      <c r="H50">
        <f>D41*Y41</f>
        <v>0.55567183910879259</v>
      </c>
      <c r="I50">
        <f>E41*Z41</f>
        <v>0.40813474848340969</v>
      </c>
      <c r="J50" s="100">
        <f>SUM(G50:I50)</f>
        <v>0.99999999970624454</v>
      </c>
      <c r="L50">
        <f t="shared" si="28"/>
        <v>9.0065215780821301E-2</v>
      </c>
      <c r="M50">
        <f t="shared" si="29"/>
        <v>0.91799540991692197</v>
      </c>
      <c r="N50">
        <f t="shared" si="30"/>
        <v>0.99132030192309029</v>
      </c>
      <c r="O50">
        <f t="shared" si="31"/>
        <v>0.53010943408844158</v>
      </c>
      <c r="P50">
        <f t="shared" si="32"/>
        <v>0.19542959847329114</v>
      </c>
      <c r="Q50">
        <f t="shared" si="33"/>
        <v>7.5421214450215367E-3</v>
      </c>
      <c r="R50">
        <f>(O50/L50)-(G44*O50/L50^2)+(H44*$C$38/M50)*($C$36-P50/M50)+(I44*$E$38/N50)*($E$36-Q50/N50)</f>
        <v>6.1478841032024318</v>
      </c>
      <c r="S50">
        <f>(P50/M50)-(H44*P50/M50^2)+(G44*$D$38/L50)*($D$36-O50/L50)+(I44*$G$38/N50)*($G$36-Q50/N50)</f>
        <v>0.98931980597117686</v>
      </c>
      <c r="T50">
        <f>(Q50/N50)-(I44*Q50/N50^2)+(G44*$F$38/L50)*($F$36-O50/L50)+(H44*$H$38/M50)*($H$36-P50/M50)</f>
        <v>5.1062998093684777E-4</v>
      </c>
      <c r="U50">
        <f t="shared" si="34"/>
        <v>467.72667765351463</v>
      </c>
      <c r="V50">
        <f t="shared" si="34"/>
        <v>2.6894045331584167</v>
      </c>
      <c r="W50">
        <f t="shared" si="34"/>
        <v>1.0005107603746188</v>
      </c>
      <c r="X50">
        <f t="shared" si="35"/>
        <v>467.70680016810053</v>
      </c>
      <c r="Y50">
        <f t="shared" si="35"/>
        <v>0.13383333530786806</v>
      </c>
      <c r="Z50">
        <f t="shared" si="35"/>
        <v>4.6532854486890595E-4</v>
      </c>
    </row>
    <row r="51" spans="2:26" x14ac:dyDescent="0.25">
      <c r="B51" s="100">
        <f t="shared" ref="B51:B54" si="36">SUM(C51:E51)</f>
        <v>1.0000000041920205</v>
      </c>
      <c r="C51">
        <f t="shared" ref="C51:E54" si="37">G42*X48</f>
        <v>0.97097232272745737</v>
      </c>
      <c r="D51">
        <f t="shared" si="37"/>
        <v>2.8442964236331771E-2</v>
      </c>
      <c r="E51">
        <f t="shared" si="37"/>
        <v>5.8471722823142259E-4</v>
      </c>
      <c r="G51">
        <f t="shared" ref="G51:I54" si="38">C42*X42</f>
        <v>1.2911947151960042E-2</v>
      </c>
      <c r="H51">
        <f t="shared" si="38"/>
        <v>0.18985372339031395</v>
      </c>
      <c r="I51">
        <f t="shared" si="38"/>
        <v>0.79723432932455895</v>
      </c>
      <c r="J51" s="100">
        <f t="shared" ref="J51:J54" si="39">SUM(G51:I51)</f>
        <v>0.99999999986683297</v>
      </c>
      <c r="L51">
        <f t="shared" si="28"/>
        <v>8.8260615819108823E-2</v>
      </c>
      <c r="M51">
        <f t="shared" si="29"/>
        <v>0.91752236969663814</v>
      </c>
      <c r="N51">
        <f t="shared" si="30"/>
        <v>0.99704052971960733</v>
      </c>
      <c r="O51">
        <f t="shared" si="31"/>
        <v>0.52754927206869995</v>
      </c>
      <c r="P51">
        <f t="shared" si="32"/>
        <v>0.19664908966007916</v>
      </c>
      <c r="Q51">
        <f t="shared" si="33"/>
        <v>1.8949304346582486E-3</v>
      </c>
      <c r="R51">
        <f>(O51/L51)-(G45*O51/L51^2)+(H45*$C$38/M51)*($C$36-P51/M51)+(I45*$E$38/N51)*($E$36-Q51/N51)</f>
        <v>6.2416975962925454</v>
      </c>
      <c r="S51">
        <f>(P51/M51)-(H45*P51/M51^2)+(G45*$D$38/L51)*($D$36-O51/L51)+(I45*$G$38/N51)*($G$36-Q51/N51)</f>
        <v>0.99561734826197579</v>
      </c>
      <c r="T51">
        <f>(Q51/N51)-(I45*Q51/N51^2)+(G45*$F$38/L51)*($F$36-O51/L51)+(H45*$H$38/M51)*($H$36-P51/M51)</f>
        <v>2.8720064284615444E-4</v>
      </c>
      <c r="U51">
        <f t="shared" si="34"/>
        <v>513.729877054285</v>
      </c>
      <c r="V51">
        <f t="shared" si="34"/>
        <v>2.706394613667495</v>
      </c>
      <c r="W51">
        <f t="shared" si="34"/>
        <v>1.0002872418888993</v>
      </c>
      <c r="X51">
        <f t="shared" si="35"/>
        <v>513.71494256020708</v>
      </c>
      <c r="Y51">
        <f t="shared" si="35"/>
        <v>0.13338996231184574</v>
      </c>
      <c r="Z51">
        <f t="shared" si="35"/>
        <v>4.5801449953408843E-4</v>
      </c>
    </row>
    <row r="52" spans="2:26" x14ac:dyDescent="0.25">
      <c r="B52" s="100">
        <f t="shared" si="36"/>
        <v>1.0000000004382466</v>
      </c>
      <c r="C52">
        <f t="shared" si="37"/>
        <v>0.99380071331175857</v>
      </c>
      <c r="D52">
        <f t="shared" si="37"/>
        <v>5.7188515260955764E-3</v>
      </c>
      <c r="E52">
        <f t="shared" si="37"/>
        <v>4.8043560039254772E-4</v>
      </c>
      <c r="G52">
        <f t="shared" si="38"/>
        <v>3.2376850993765935E-3</v>
      </c>
      <c r="H52">
        <f t="shared" si="38"/>
        <v>4.2016351000903979E-2</v>
      </c>
      <c r="I52">
        <f t="shared" si="38"/>
        <v>0.95474596388603006</v>
      </c>
      <c r="J52" s="100">
        <f t="shared" si="39"/>
        <v>0.99999999998631062</v>
      </c>
    </row>
    <row r="53" spans="2:26" x14ac:dyDescent="0.25">
      <c r="B53" s="100">
        <f t="shared" si="36"/>
        <v>1.0000000000706941</v>
      </c>
      <c r="C53">
        <f t="shared" si="37"/>
        <v>0.99842535970017576</v>
      </c>
      <c r="D53">
        <f t="shared" si="37"/>
        <v>1.1141790918556839E-3</v>
      </c>
      <c r="E53">
        <f t="shared" si="37"/>
        <v>4.6046127866252248E-4</v>
      </c>
      <c r="G53">
        <f t="shared" si="38"/>
        <v>2.1347249158460723E-3</v>
      </c>
      <c r="H53">
        <f t="shared" si="38"/>
        <v>8.325123851179294E-3</v>
      </c>
      <c r="I53">
        <f t="shared" si="38"/>
        <v>0.98954015123054229</v>
      </c>
      <c r="J53" s="100">
        <f t="shared" si="39"/>
        <v>0.99999999999756761</v>
      </c>
    </row>
    <row r="54" spans="2:26" x14ac:dyDescent="0.25">
      <c r="B54" s="100">
        <f t="shared" si="36"/>
        <v>1.0000000000115332</v>
      </c>
      <c r="C54">
        <f t="shared" si="37"/>
        <v>0.99935684605832908</v>
      </c>
      <c r="D54">
        <f t="shared" si="37"/>
        <v>1.8667141789007599E-4</v>
      </c>
      <c r="E54">
        <f t="shared" si="37"/>
        <v>4.5648253531399281E-4</v>
      </c>
      <c r="G54">
        <f t="shared" si="38"/>
        <v>1.9453528859142968E-3</v>
      </c>
      <c r="H54">
        <f t="shared" si="38"/>
        <v>1.3994412672044423E-3</v>
      </c>
      <c r="I54">
        <f t="shared" si="38"/>
        <v>0.99665520584647416</v>
      </c>
      <c r="J54" s="100">
        <f t="shared" si="39"/>
        <v>0.99999999999959288</v>
      </c>
    </row>
    <row r="55" spans="2:26" ht="15.75" thickBot="1" x14ac:dyDescent="0.3"/>
    <row r="56" spans="2:26" ht="15.75" thickBot="1" x14ac:dyDescent="0.3">
      <c r="C56" s="4" t="s">
        <v>115</v>
      </c>
      <c r="D56" s="5"/>
      <c r="E56" s="5"/>
      <c r="F56" s="5"/>
      <c r="G56" s="5"/>
      <c r="H56" s="5"/>
      <c r="I56" s="101"/>
    </row>
    <row r="57" spans="2:26" ht="15.75" thickBot="1" x14ac:dyDescent="0.3">
      <c r="C57" s="12" t="s">
        <v>116</v>
      </c>
      <c r="D57" s="13" t="s">
        <v>117</v>
      </c>
      <c r="E57" s="6" t="s">
        <v>118</v>
      </c>
      <c r="G57" s="12" t="s">
        <v>116</v>
      </c>
      <c r="H57" s="13" t="s">
        <v>117</v>
      </c>
      <c r="I57" s="6" t="s">
        <v>118</v>
      </c>
    </row>
    <row r="58" spans="2:26" x14ac:dyDescent="0.25">
      <c r="C58">
        <f>(C41+C50)/2</f>
        <v>0.86352249703773398</v>
      </c>
      <c r="D58">
        <f>(D41+D50)/2</f>
        <v>0.13520594402997732</v>
      </c>
      <c r="E58">
        <f>(E41+E50)/2</f>
        <v>1.2715589688404375E-3</v>
      </c>
      <c r="G58">
        <f>(G41+G50)/2</f>
        <v>3.619341211512965E-2</v>
      </c>
      <c r="H58">
        <f>(H41+H50)/2</f>
        <v>0.55567183915106311</v>
      </c>
      <c r="I58">
        <f>(I41+I50)/2</f>
        <v>0.40813474858692944</v>
      </c>
    </row>
    <row r="59" spans="2:26" x14ac:dyDescent="0.25">
      <c r="C59">
        <f t="shared" ref="C59:E62" si="40">(C42+C51)/2</f>
        <v>0.97097232063232264</v>
      </c>
      <c r="D59">
        <f t="shared" si="40"/>
        <v>2.844296423548049E-2</v>
      </c>
      <c r="E59">
        <f t="shared" si="40"/>
        <v>5.847172282071897E-4</v>
      </c>
      <c r="G59">
        <f t="shared" ref="G59:I62" si="41">(G42+G51)/2</f>
        <v>1.2911947179821052E-2</v>
      </c>
      <c r="H59">
        <f t="shared" si="41"/>
        <v>0.18985372339599615</v>
      </c>
      <c r="I59">
        <f t="shared" si="41"/>
        <v>0.7972343293575993</v>
      </c>
    </row>
    <row r="60" spans="2:26" x14ac:dyDescent="0.25">
      <c r="C60">
        <f t="shared" si="40"/>
        <v>0.99380071309266105</v>
      </c>
      <c r="D60">
        <f t="shared" si="40"/>
        <v>5.7188515260727154E-3</v>
      </c>
      <c r="E60">
        <f t="shared" si="40"/>
        <v>4.8043560038954708E-4</v>
      </c>
      <c r="G60">
        <f t="shared" si="41"/>
        <v>3.2376851000903871E-3</v>
      </c>
      <c r="H60">
        <f t="shared" si="41"/>
        <v>4.2016351001071935E-2</v>
      </c>
      <c r="I60">
        <f t="shared" si="41"/>
        <v>0.95474596389199307</v>
      </c>
    </row>
    <row r="61" spans="2:26" x14ac:dyDescent="0.25">
      <c r="C61">
        <f t="shared" si="40"/>
        <v>0.99842535966482993</v>
      </c>
      <c r="D61">
        <f t="shared" si="40"/>
        <v>1.1141790918550462E-3</v>
      </c>
      <c r="E61">
        <f t="shared" si="40"/>
        <v>4.6046127866199399E-4</v>
      </c>
      <c r="G61">
        <f t="shared" si="41"/>
        <v>2.1347249159216451E-3</v>
      </c>
      <c r="H61">
        <f t="shared" si="41"/>
        <v>8.3251238511840592E-3</v>
      </c>
      <c r="I61">
        <f t="shared" si="41"/>
        <v>0.98954015123167816</v>
      </c>
    </row>
    <row r="62" spans="2:26" x14ac:dyDescent="0.25">
      <c r="C62">
        <f t="shared" si="40"/>
        <v>0.99935684605256259</v>
      </c>
      <c r="D62">
        <f t="shared" si="40"/>
        <v>1.8667141789005911E-4</v>
      </c>
      <c r="E62">
        <f t="shared" si="40"/>
        <v>4.5648253531390477E-4</v>
      </c>
      <c r="G62">
        <f t="shared" si="41"/>
        <v>1.945352885925522E-3</v>
      </c>
      <c r="H62">
        <f t="shared" si="41"/>
        <v>1.399441267204569E-3</v>
      </c>
      <c r="I62">
        <f t="shared" si="41"/>
        <v>0.99665520584666634</v>
      </c>
    </row>
  </sheetData>
  <mergeCells count="1">
    <mergeCell ref="C48:I4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1]!NRTL_5stup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1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Module2.Solver">
                <anchor moveWithCells="1" sizeWithCells="1">
                  <from>
                    <xdr:col>9</xdr:col>
                    <xdr:colOff>19050</xdr:colOff>
                    <xdr:row>34</xdr:row>
                    <xdr:rowOff>28575</xdr:rowOff>
                  </from>
                  <to>
                    <xdr:col>10</xdr:col>
                    <xdr:colOff>600075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ODLADENIE">
                <anchor moveWithCells="1" sizeWithCells="1">
                  <from>
                    <xdr:col>9</xdr:col>
                    <xdr:colOff>28575</xdr:colOff>
                    <xdr:row>36</xdr:row>
                    <xdr:rowOff>47625</xdr:rowOff>
                  </from>
                  <to>
                    <xdr:col>11</xdr:col>
                    <xdr:colOff>19050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Surovina</vt:lpstr>
      <vt:lpstr>EK s RK</vt:lpstr>
      <vt:lpstr>EK bez RK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2025-03-05T12:21:36Z</dcterms:modified>
</cp:coreProperties>
</file>