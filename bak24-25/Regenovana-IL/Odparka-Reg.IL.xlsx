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drawings/drawing3.xml" ContentType="application/vnd.openxmlformats-officedocument.drawing+xml"/>
  <Override PartName="/xl/ctrlProps/ctrlProp3.xml" ContentType="application/vnd.ms-excel.controlproperties+xml"/>
  <Override PartName="/xl/drawings/drawing4.xml" ContentType="application/vnd.openxmlformats-officedocument.drawing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codeName="Workbook________" defaultThemeVersion="124226"/>
  <bookViews>
    <workbookView xWindow="240" yWindow="105" windowWidth="14805" windowHeight="8010" activeTab="3"/>
  </bookViews>
  <sheets>
    <sheet name="Лист1" sheetId="1" r:id="rId1"/>
    <sheet name="Лист2" sheetId="2" r:id="rId2"/>
    <sheet name="50kPa" sheetId="3" r:id="rId3"/>
    <sheet name="40kPa" sheetId="4" r:id="rId4"/>
  </sheets>
  <externalReferences>
    <externalReference r:id="rId5"/>
  </externalReferences>
  <definedNames>
    <definedName name="solver_adj" localSheetId="3" hidden="1">'40kPa'!$T$10</definedName>
    <definedName name="solver_adj" localSheetId="2" hidden="1">'50kPa'!$T$10</definedName>
    <definedName name="solver_adj" localSheetId="1" hidden="1">Лист2!$T$10</definedName>
    <definedName name="solver_eng" localSheetId="3" hidden="1">1</definedName>
    <definedName name="solver_eng" localSheetId="2" hidden="1">1</definedName>
    <definedName name="solver_eng" localSheetId="0" hidden="1">1</definedName>
    <definedName name="solver_eng" localSheetId="1" hidden="1">1</definedName>
    <definedName name="solver_neg" localSheetId="3" hidden="1">1</definedName>
    <definedName name="solver_neg" localSheetId="2" hidden="1">1</definedName>
    <definedName name="solver_neg" localSheetId="0" hidden="1">1</definedName>
    <definedName name="solver_neg" localSheetId="1" hidden="1">1</definedName>
    <definedName name="solver_num" localSheetId="3" hidden="1">0</definedName>
    <definedName name="solver_num" localSheetId="2" hidden="1">0</definedName>
    <definedName name="solver_num" localSheetId="0" hidden="1">0</definedName>
    <definedName name="solver_num" localSheetId="1" hidden="1">0</definedName>
    <definedName name="solver_opt" localSheetId="3" hidden="1">'40kPa'!$AE$10</definedName>
    <definedName name="solver_opt" localSheetId="2" hidden="1">'50kPa'!$AE$10</definedName>
    <definedName name="solver_opt" localSheetId="1" hidden="1">Лист2!$AE$10</definedName>
    <definedName name="solver_typ" localSheetId="3" hidden="1">3</definedName>
    <definedName name="solver_typ" localSheetId="2" hidden="1">3</definedName>
    <definedName name="solver_typ" localSheetId="0" hidden="1">1</definedName>
    <definedName name="solver_typ" localSheetId="1" hidden="1">3</definedName>
    <definedName name="solver_val" localSheetId="3" hidden="1">1</definedName>
    <definedName name="solver_val" localSheetId="2" hidden="1">1</definedName>
    <definedName name="solver_val" localSheetId="0" hidden="1">0</definedName>
    <definedName name="solver_val" localSheetId="1" hidden="1">1</definedName>
    <definedName name="solver_ver" localSheetId="3" hidden="1">3</definedName>
    <definedName name="solver_ver" localSheetId="2" hidden="1">3</definedName>
    <definedName name="solver_ver" localSheetId="0" hidden="1">3</definedName>
    <definedName name="solver_ver" localSheetId="1" hidden="1">3</definedName>
  </definedNames>
  <calcPr calcId="145621" calcMode="manual" iterate="1"/>
</workbook>
</file>

<file path=xl/calcChain.xml><?xml version="1.0" encoding="utf-8"?>
<calcChain xmlns="http://schemas.openxmlformats.org/spreadsheetml/2006/main">
  <c r="J29" i="4" l="1"/>
  <c r="E29" i="4"/>
  <c r="D29" i="4"/>
  <c r="F29" i="4" s="1"/>
  <c r="I24" i="4"/>
  <c r="I22" i="4"/>
  <c r="B22" i="4"/>
  <c r="I20" i="4"/>
  <c r="U10" i="4"/>
  <c r="V10" i="4" s="1"/>
  <c r="O1" i="4"/>
  <c r="P29" i="4" s="1"/>
  <c r="V29" i="4" s="1"/>
  <c r="J29" i="3"/>
  <c r="D29" i="3"/>
  <c r="F29" i="3" s="1"/>
  <c r="I24" i="3"/>
  <c r="I22" i="3"/>
  <c r="B22" i="3"/>
  <c r="B21" i="3"/>
  <c r="I20" i="3"/>
  <c r="U10" i="3"/>
  <c r="V10" i="3" s="1"/>
  <c r="O1" i="3"/>
  <c r="P29" i="3" s="1"/>
  <c r="V29" i="3" s="1"/>
  <c r="W10" i="4" l="1"/>
  <c r="G14" i="4"/>
  <c r="M14" i="4" s="1"/>
  <c r="K14" i="4"/>
  <c r="Q14" i="4" s="1"/>
  <c r="B21" i="4"/>
  <c r="H22" i="4" s="1"/>
  <c r="L22" i="4" s="1"/>
  <c r="L10" i="4" s="1"/>
  <c r="F14" i="4"/>
  <c r="L14" i="4" s="1"/>
  <c r="H14" i="4"/>
  <c r="N14" i="4" s="1"/>
  <c r="J14" i="4"/>
  <c r="P14" i="4" s="1"/>
  <c r="H20" i="4"/>
  <c r="L20" i="4" s="1"/>
  <c r="K10" i="4" s="1"/>
  <c r="K29" i="4"/>
  <c r="Q29" i="4" s="1"/>
  <c r="M29" i="4"/>
  <c r="S29" i="4" s="1"/>
  <c r="O29" i="4"/>
  <c r="U29" i="4" s="1"/>
  <c r="I14" i="4"/>
  <c r="O14" i="4" s="1"/>
  <c r="L29" i="4"/>
  <c r="R29" i="4" s="1"/>
  <c r="N29" i="4"/>
  <c r="T29" i="4" s="1"/>
  <c r="H22" i="3"/>
  <c r="L22" i="3" s="1"/>
  <c r="L10" i="3" s="1"/>
  <c r="W10" i="3"/>
  <c r="G14" i="3"/>
  <c r="M14" i="3" s="1"/>
  <c r="I14" i="3"/>
  <c r="O14" i="3" s="1"/>
  <c r="K14" i="3"/>
  <c r="Q14" i="3" s="1"/>
  <c r="H24" i="3"/>
  <c r="L24" i="3" s="1"/>
  <c r="M10" i="3" s="1"/>
  <c r="E29" i="3"/>
  <c r="K29" i="3"/>
  <c r="M29" i="3"/>
  <c r="O29" i="3"/>
  <c r="U29" i="3" s="1"/>
  <c r="F14" i="3"/>
  <c r="L14" i="3" s="1"/>
  <c r="H14" i="3"/>
  <c r="N14" i="3" s="1"/>
  <c r="J14" i="3"/>
  <c r="P14" i="3" s="1"/>
  <c r="H20" i="3"/>
  <c r="L20" i="3" s="1"/>
  <c r="K10" i="3" s="1"/>
  <c r="L29" i="3"/>
  <c r="R29" i="3" s="1"/>
  <c r="N29" i="3"/>
  <c r="T29" i="3" s="1"/>
  <c r="H29" i="2"/>
  <c r="H24" i="4" l="1"/>
  <c r="L24" i="4" s="1"/>
  <c r="M10" i="4" s="1"/>
  <c r="Q10" i="4" s="1"/>
  <c r="S29" i="3"/>
  <c r="O10" i="3"/>
  <c r="N10" i="3"/>
  <c r="Q29" i="3"/>
  <c r="Q10" i="3"/>
  <c r="P10" i="3"/>
  <c r="J29" i="2"/>
  <c r="E29" i="2"/>
  <c r="D29" i="2"/>
  <c r="F29" i="2" s="1"/>
  <c r="I24" i="2"/>
  <c r="I22" i="2"/>
  <c r="B22" i="2"/>
  <c r="B21" i="2"/>
  <c r="I20" i="2"/>
  <c r="U10" i="2"/>
  <c r="V10" i="2" s="1"/>
  <c r="O1" i="2"/>
  <c r="J29" i="1"/>
  <c r="E29" i="1"/>
  <c r="D29" i="1"/>
  <c r="F29" i="1" s="1"/>
  <c r="I24" i="1"/>
  <c r="I22" i="1"/>
  <c r="B22" i="1"/>
  <c r="I20" i="1"/>
  <c r="U10" i="1"/>
  <c r="V10" i="1" s="1"/>
  <c r="O1" i="1"/>
  <c r="P29" i="1" s="1"/>
  <c r="V29" i="1" s="1"/>
  <c r="N10" i="4" l="1"/>
  <c r="P10" i="4"/>
  <c r="R14" i="4" s="1"/>
  <c r="O10" i="4"/>
  <c r="R14" i="3"/>
  <c r="D22" i="3"/>
  <c r="I29" i="3" s="1"/>
  <c r="W29" i="3" s="1"/>
  <c r="C22" i="3"/>
  <c r="H29" i="3" s="1"/>
  <c r="V14" i="3"/>
  <c r="T14" i="3"/>
  <c r="W14" i="3"/>
  <c r="U14" i="3"/>
  <c r="S14" i="3"/>
  <c r="H22" i="2"/>
  <c r="L22" i="2" s="1"/>
  <c r="L10" i="2" s="1"/>
  <c r="B21" i="1"/>
  <c r="H22" i="1" s="1"/>
  <c r="L22" i="1" s="1"/>
  <c r="L10" i="1" s="1"/>
  <c r="O29" i="2"/>
  <c r="U29" i="2" s="1"/>
  <c r="M29" i="2"/>
  <c r="S29" i="2" s="1"/>
  <c r="K29" i="2"/>
  <c r="Q29" i="2" s="1"/>
  <c r="J14" i="2"/>
  <c r="P14" i="2" s="1"/>
  <c r="H14" i="2"/>
  <c r="N14" i="2" s="1"/>
  <c r="F14" i="2"/>
  <c r="L14" i="2" s="1"/>
  <c r="P29" i="2"/>
  <c r="V29" i="2" s="1"/>
  <c r="N29" i="2"/>
  <c r="T29" i="2" s="1"/>
  <c r="L29" i="2"/>
  <c r="R29" i="2" s="1"/>
  <c r="K14" i="2"/>
  <c r="Q14" i="2" s="1"/>
  <c r="I14" i="2"/>
  <c r="O14" i="2" s="1"/>
  <c r="G14" i="2"/>
  <c r="M14" i="2" s="1"/>
  <c r="W10" i="2"/>
  <c r="H24" i="2"/>
  <c r="L24" i="2" s="1"/>
  <c r="M10" i="2" s="1"/>
  <c r="H20" i="2"/>
  <c r="L20" i="2" s="1"/>
  <c r="K10" i="2" s="1"/>
  <c r="W10" i="1"/>
  <c r="G14" i="1"/>
  <c r="M14" i="1" s="1"/>
  <c r="I14" i="1"/>
  <c r="O14" i="1" s="1"/>
  <c r="K14" i="1"/>
  <c r="Q14" i="1" s="1"/>
  <c r="F14" i="1"/>
  <c r="L14" i="1" s="1"/>
  <c r="H14" i="1"/>
  <c r="N14" i="1" s="1"/>
  <c r="J14" i="1"/>
  <c r="P14" i="1" s="1"/>
  <c r="K29" i="1"/>
  <c r="Q29" i="1" s="1"/>
  <c r="M29" i="1"/>
  <c r="S29" i="1" s="1"/>
  <c r="O29" i="1"/>
  <c r="U29" i="1" s="1"/>
  <c r="L29" i="1"/>
  <c r="R29" i="1" s="1"/>
  <c r="N29" i="1"/>
  <c r="T29" i="1" s="1"/>
  <c r="D22" i="4" l="1"/>
  <c r="I29" i="4" s="1"/>
  <c r="W29" i="4" s="1"/>
  <c r="W14" i="4"/>
  <c r="C22" i="4"/>
  <c r="H29" i="4" s="1"/>
  <c r="V14" i="4"/>
  <c r="T14" i="4"/>
  <c r="U14" i="4"/>
  <c r="S14" i="4"/>
  <c r="Z29" i="3"/>
  <c r="X29" i="3"/>
  <c r="AB29" i="3"/>
  <c r="Y29" i="3"/>
  <c r="AA29" i="3"/>
  <c r="Y14" i="3"/>
  <c r="AB14" i="3" s="1"/>
  <c r="X14" i="3"/>
  <c r="AA14" i="3" s="1"/>
  <c r="Z14" i="3"/>
  <c r="AC14" i="3" s="1"/>
  <c r="H20" i="1"/>
  <c r="L20" i="1" s="1"/>
  <c r="K10" i="1" s="1"/>
  <c r="H24" i="1"/>
  <c r="L24" i="1" s="1"/>
  <c r="M10" i="1" s="1"/>
  <c r="O10" i="2"/>
  <c r="N10" i="2"/>
  <c r="Q10" i="2"/>
  <c r="P10" i="2"/>
  <c r="Y14" i="4" l="1"/>
  <c r="AB14" i="4" s="1"/>
  <c r="Z10" i="4" s="1"/>
  <c r="Z14" i="4"/>
  <c r="AC14" i="4" s="1"/>
  <c r="AB29" i="4"/>
  <c r="Z29" i="4"/>
  <c r="X29" i="4"/>
  <c r="AA29" i="4"/>
  <c r="Y29" i="4"/>
  <c r="X14" i="4"/>
  <c r="AA14" i="4" s="1"/>
  <c r="AE29" i="3"/>
  <c r="AH29" i="3" s="1"/>
  <c r="AK29" i="3" s="1"/>
  <c r="AC29" i="3"/>
  <c r="AF29" i="3" s="1"/>
  <c r="AI29" i="3" s="1"/>
  <c r="AD29" i="3"/>
  <c r="AG29" i="3" s="1"/>
  <c r="AJ29" i="3" s="1"/>
  <c r="AA10" i="3"/>
  <c r="AD10" i="3"/>
  <c r="E21" i="3" s="1"/>
  <c r="Y10" i="3"/>
  <c r="AB10" i="3"/>
  <c r="AF10" i="3"/>
  <c r="Z10" i="3"/>
  <c r="AC10" i="3"/>
  <c r="D21" i="3" s="1"/>
  <c r="P10" i="1"/>
  <c r="D22" i="1" s="1"/>
  <c r="N10" i="1"/>
  <c r="Q10" i="1"/>
  <c r="O10" i="1"/>
  <c r="C22" i="1" s="1"/>
  <c r="H29" i="1" s="1"/>
  <c r="R14" i="2"/>
  <c r="D22" i="2"/>
  <c r="W29" i="2" s="1"/>
  <c r="C22" i="2"/>
  <c r="V14" i="2"/>
  <c r="T14" i="2"/>
  <c r="W14" i="2"/>
  <c r="U14" i="2"/>
  <c r="S14" i="2"/>
  <c r="Y14" i="2" s="1"/>
  <c r="AB14" i="2" s="1"/>
  <c r="Z10" i="2" s="1"/>
  <c r="R14" i="1"/>
  <c r="AE29" i="4" l="1"/>
  <c r="AH29" i="4" s="1"/>
  <c r="AK29" i="4" s="1"/>
  <c r="AC10" i="4"/>
  <c r="D21" i="4" s="1"/>
  <c r="AD29" i="4"/>
  <c r="AG29" i="4" s="1"/>
  <c r="AJ29" i="4" s="1"/>
  <c r="Y10" i="4"/>
  <c r="AB10" i="4"/>
  <c r="AF10" i="4"/>
  <c r="AC29" i="4"/>
  <c r="AF29" i="4" s="1"/>
  <c r="AI29" i="4" s="1"/>
  <c r="AA10" i="4"/>
  <c r="AD10" i="4"/>
  <c r="E21" i="4" s="1"/>
  <c r="I29" i="1"/>
  <c r="W29" i="1" s="1"/>
  <c r="AL29" i="3"/>
  <c r="C21" i="3"/>
  <c r="AE10" i="3"/>
  <c r="U14" i="1"/>
  <c r="T14" i="1"/>
  <c r="S14" i="1"/>
  <c r="W14" i="1"/>
  <c r="V14" i="1"/>
  <c r="X14" i="2"/>
  <c r="AA14" i="2" s="1"/>
  <c r="Z14" i="2"/>
  <c r="AC14" i="2" s="1"/>
  <c r="AA29" i="2"/>
  <c r="Y29" i="2"/>
  <c r="AB29" i="2"/>
  <c r="Z29" i="2"/>
  <c r="AC29" i="2" s="1"/>
  <c r="AF29" i="2" s="1"/>
  <c r="AI29" i="2" s="1"/>
  <c r="X29" i="2"/>
  <c r="AC10" i="2"/>
  <c r="D21" i="2" s="1"/>
  <c r="X29" i="1"/>
  <c r="AA29" i="1"/>
  <c r="AL29" i="4" l="1"/>
  <c r="C21" i="4"/>
  <c r="AE10" i="4"/>
  <c r="Z29" i="1"/>
  <c r="Y29" i="1"/>
  <c r="AB29" i="1"/>
  <c r="AE29" i="1" s="1"/>
  <c r="AH29" i="1" s="1"/>
  <c r="AK29" i="1" s="1"/>
  <c r="AD29" i="2"/>
  <c r="AG29" i="2" s="1"/>
  <c r="AJ29" i="2" s="1"/>
  <c r="Z14" i="1"/>
  <c r="AC14" i="1" s="1"/>
  <c r="AA10" i="1" s="1"/>
  <c r="X14" i="1"/>
  <c r="AA14" i="1" s="1"/>
  <c r="Y10" i="1" s="1"/>
  <c r="Y14" i="1"/>
  <c r="AB14" i="1" s="1"/>
  <c r="Z10" i="1" s="1"/>
  <c r="AF10" i="2"/>
  <c r="Y10" i="2"/>
  <c r="AB10" i="2"/>
  <c r="AE29" i="2"/>
  <c r="AH29" i="2" s="1"/>
  <c r="AK29" i="2" s="1"/>
  <c r="AL29" i="2" s="1"/>
  <c r="AM29" i="2" s="1"/>
  <c r="AN29" i="2" s="1"/>
  <c r="AA10" i="2"/>
  <c r="AD10" i="2"/>
  <c r="E21" i="2" s="1"/>
  <c r="AC29" i="1" l="1"/>
  <c r="AF29" i="1" s="1"/>
  <c r="AI29" i="1" s="1"/>
  <c r="AD29" i="1"/>
  <c r="AG29" i="1" s="1"/>
  <c r="AJ29" i="1" s="1"/>
  <c r="AD10" i="1"/>
  <c r="E21" i="1" s="1"/>
  <c r="AC10" i="1"/>
  <c r="D21" i="1" s="1"/>
  <c r="AF10" i="1"/>
  <c r="AB10" i="1"/>
  <c r="C21" i="2"/>
  <c r="AE10" i="2"/>
  <c r="AO29" i="2"/>
  <c r="AL29" i="1" l="1"/>
  <c r="AE10" i="1"/>
  <c r="C21" i="1"/>
</calcChain>
</file>

<file path=xl/sharedStrings.xml><?xml version="1.0" encoding="utf-8"?>
<sst xmlns="http://schemas.openxmlformats.org/spreadsheetml/2006/main" count="543" uniqueCount="74">
  <si>
    <t>Antoine equation parameters (P = Pa)</t>
  </si>
  <si>
    <r>
      <t>i</t>
    </r>
    <r>
      <rPr>
        <b/>
        <sz val="11"/>
        <color rgb="FF1F1F1F"/>
        <rFont val="Georgia"/>
        <family val="1"/>
      </rPr>
      <t>–</t>
    </r>
    <r>
      <rPr>
        <b/>
        <i/>
        <sz val="11"/>
        <color rgb="FF1F1F1F"/>
        <rFont val="Georgia"/>
        <family val="1"/>
      </rPr>
      <t>j</t>
    </r>
  </si>
  <si>
    <r>
      <t>Δgij</t>
    </r>
    <r>
      <rPr>
        <b/>
        <sz val="11"/>
        <color rgb="FF1F1F1F"/>
        <rFont val="Georgia"/>
        <family val="1"/>
      </rPr>
      <t>(kJ·mol</t>
    </r>
    <r>
      <rPr>
        <b/>
        <sz val="8"/>
        <color rgb="FF1F1F1F"/>
        <rFont val="Georgia"/>
        <family val="1"/>
      </rPr>
      <t>−1</t>
    </r>
    <r>
      <rPr>
        <b/>
        <sz val="11"/>
        <color rgb="FF1F1F1F"/>
        <rFont val="Georgia"/>
        <family val="1"/>
      </rPr>
      <t>)</t>
    </r>
  </si>
  <si>
    <r>
      <t>Δgji</t>
    </r>
    <r>
      <rPr>
        <b/>
        <sz val="11"/>
        <color rgb="FF1F1F1F"/>
        <rFont val="Georgia"/>
        <family val="1"/>
      </rPr>
      <t>(kJ·mol</t>
    </r>
    <r>
      <rPr>
        <b/>
        <sz val="8"/>
        <color rgb="FF1F1F1F"/>
        <rFont val="Georgia"/>
        <family val="1"/>
      </rPr>
      <t>−1</t>
    </r>
    <r>
      <rPr>
        <b/>
        <sz val="11"/>
        <color rgb="FF1F1F1F"/>
        <rFont val="Georgia"/>
        <family val="1"/>
      </rPr>
      <t>)</t>
    </r>
  </si>
  <si>
    <t>rmsd</t>
  </si>
  <si>
    <t>α</t>
  </si>
  <si>
    <t>R [kJ.mol^-1.K^-1]</t>
  </si>
  <si>
    <t>A</t>
  </si>
  <si>
    <t>B</t>
  </si>
  <si>
    <t>C</t>
  </si>
  <si>
    <t>NRTL parameters</t>
  </si>
  <si>
    <t>MTBE</t>
  </si>
  <si>
    <r>
      <t>MTBE (1) + methanol (2) + [BMIM][HSO</t>
    </r>
    <r>
      <rPr>
        <b/>
        <sz val="8"/>
        <color rgb="FF1F1F1F"/>
        <rFont val="Georgia"/>
        <family val="1"/>
      </rPr>
      <t>4</t>
    </r>
    <r>
      <rPr>
        <b/>
        <sz val="11"/>
        <color rgb="FF1F1F1F"/>
        <rFont val="Georgia"/>
        <family val="1"/>
      </rPr>
      <t>] (3) at 318.15 K</t>
    </r>
  </si>
  <si>
    <t>Metanol</t>
  </si>
  <si>
    <t>1–2</t>
  </si>
  <si>
    <t>[BMIM][HSO4]</t>
  </si>
  <si>
    <t>-</t>
  </si>
  <si>
    <t>1–3</t>
  </si>
  <si>
    <t>P[kPa]</t>
  </si>
  <si>
    <t>2–3</t>
  </si>
  <si>
    <t>Normalizacia</t>
  </si>
  <si>
    <t>t</t>
  </si>
  <si>
    <t>T</t>
  </si>
  <si>
    <t>PA0</t>
  </si>
  <si>
    <t>PB0</t>
  </si>
  <si>
    <t>PC0</t>
  </si>
  <si>
    <t>KA</t>
  </si>
  <si>
    <t>KB</t>
  </si>
  <si>
    <t>KC</t>
  </si>
  <si>
    <t>xA</t>
  </si>
  <si>
    <t>xB</t>
  </si>
  <si>
    <t>xC</t>
  </si>
  <si>
    <t>SUMx</t>
  </si>
  <si>
    <t>yA</t>
  </si>
  <si>
    <t>yB</t>
  </si>
  <si>
    <t>yC</t>
  </si>
  <si>
    <t>SUMy</t>
  </si>
  <si>
    <t>sumP</t>
  </si>
  <si>
    <t>NASTRELY</t>
  </si>
  <si>
    <t>Vypocitane</t>
  </si>
  <si>
    <t>γA</t>
  </si>
  <si>
    <t>γB</t>
  </si>
  <si>
    <t>γC</t>
  </si>
  <si>
    <r>
      <rPr>
        <b/>
        <sz val="11"/>
        <color theme="1"/>
        <rFont val="Calibri"/>
        <family val="2"/>
        <charset val="238"/>
      </rPr>
      <t>τ</t>
    </r>
    <r>
      <rPr>
        <b/>
        <sz val="11"/>
        <color theme="1"/>
        <rFont val="Calibri"/>
        <family val="2"/>
        <charset val="238"/>
        <scheme val="minor"/>
      </rPr>
      <t>AB</t>
    </r>
  </si>
  <si>
    <r>
      <rPr>
        <b/>
        <sz val="11"/>
        <color theme="1"/>
        <rFont val="Calibri"/>
        <family val="2"/>
        <charset val="238"/>
      </rPr>
      <t>τ</t>
    </r>
    <r>
      <rPr>
        <b/>
        <sz val="11"/>
        <color theme="1"/>
        <rFont val="Calibri"/>
        <family val="2"/>
        <charset val="238"/>
        <scheme val="minor"/>
      </rPr>
      <t>BA</t>
    </r>
  </si>
  <si>
    <r>
      <rPr>
        <b/>
        <sz val="11"/>
        <color theme="1"/>
        <rFont val="Calibri"/>
        <family val="2"/>
        <charset val="238"/>
      </rPr>
      <t>τ</t>
    </r>
    <r>
      <rPr>
        <b/>
        <sz val="11"/>
        <color theme="1"/>
        <rFont val="Calibri"/>
        <family val="2"/>
        <charset val="238"/>
        <scheme val="minor"/>
      </rPr>
      <t>AC</t>
    </r>
  </si>
  <si>
    <r>
      <rPr>
        <b/>
        <sz val="11"/>
        <color theme="1"/>
        <rFont val="Calibri"/>
        <family val="2"/>
        <charset val="238"/>
      </rPr>
      <t>τ</t>
    </r>
    <r>
      <rPr>
        <b/>
        <sz val="11"/>
        <color theme="1"/>
        <rFont val="Calibri"/>
        <family val="2"/>
        <charset val="238"/>
        <scheme val="minor"/>
      </rPr>
      <t>CA</t>
    </r>
  </si>
  <si>
    <r>
      <rPr>
        <b/>
        <sz val="11"/>
        <color theme="1"/>
        <rFont val="Calibri"/>
        <family val="2"/>
        <charset val="238"/>
      </rPr>
      <t>τ</t>
    </r>
    <r>
      <rPr>
        <b/>
        <sz val="11"/>
        <color theme="1"/>
        <rFont val="Calibri"/>
        <family val="2"/>
        <charset val="238"/>
        <scheme val="minor"/>
      </rPr>
      <t>BC</t>
    </r>
  </si>
  <si>
    <r>
      <rPr>
        <b/>
        <sz val="11"/>
        <color theme="1"/>
        <rFont val="Calibri"/>
        <family val="2"/>
        <charset val="238"/>
      </rPr>
      <t>τ</t>
    </r>
    <r>
      <rPr>
        <b/>
        <sz val="11"/>
        <color theme="1"/>
        <rFont val="Calibri"/>
        <family val="2"/>
        <charset val="238"/>
        <scheme val="minor"/>
      </rPr>
      <t>CB</t>
    </r>
  </si>
  <si>
    <t>GAB</t>
  </si>
  <si>
    <t>GBA</t>
  </si>
  <si>
    <t>GAC</t>
  </si>
  <si>
    <t>GCA</t>
  </si>
  <si>
    <t>GBC</t>
  </si>
  <si>
    <t>GCB</t>
  </si>
  <si>
    <t>θ1</t>
  </si>
  <si>
    <t>θ2</t>
  </si>
  <si>
    <t>θ3</t>
  </si>
  <si>
    <t>φ1</t>
  </si>
  <si>
    <t>φ2</t>
  </si>
  <si>
    <t>φ3</t>
  </si>
  <si>
    <t>lnγA</t>
  </si>
  <si>
    <t>lnγB</t>
  </si>
  <si>
    <t>lnγC</t>
  </si>
  <si>
    <t>n[kmol/h]</t>
  </si>
  <si>
    <t>ps</t>
  </si>
  <si>
    <t>inverzna</t>
  </si>
  <si>
    <t>F</t>
  </si>
  <si>
    <t>D</t>
  </si>
  <si>
    <t>W</t>
  </si>
  <si>
    <t>PA</t>
  </si>
  <si>
    <t>PB</t>
  </si>
  <si>
    <t>PC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</si>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</sst>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0.0000"/>
    <numFmt numFmtId="165" formatCode="_(* #,##0.0000_);_(* \(#,##0.0000\);_(* &quot;-&quot;??_);_(@_)"/>
    <numFmt numFmtId="169" formatCode="0.0E+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charset val="238"/>
      <scheme val="minor"/>
    </font>
    <font>
      <b/>
      <i/>
      <sz val="11"/>
      <color rgb="FF1F1F1F"/>
      <name val="Georgia"/>
      <family val="1"/>
    </font>
    <font>
      <b/>
      <sz val="11"/>
      <color rgb="FF1F1F1F"/>
      <name val="Georgia"/>
      <family val="1"/>
    </font>
    <font>
      <sz val="10"/>
      <color rgb="FF1F1F1F"/>
      <name val="Georgia"/>
      <family val="1"/>
    </font>
    <font>
      <b/>
      <sz val="8"/>
      <color rgb="FF1F1F1F"/>
      <name val="Georgia"/>
      <family val="1"/>
    </font>
    <font>
      <sz val="11"/>
      <color rgb="FF1F1F1F"/>
      <name val="Georgia"/>
      <family val="1"/>
    </font>
    <font>
      <b/>
      <sz val="11"/>
      <color theme="1"/>
      <name val="Calibri"/>
      <family val="2"/>
      <charset val="238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rgb="FF8E8E8E"/>
      </top>
      <bottom/>
      <diagonal/>
    </border>
    <border>
      <left/>
      <right/>
      <top style="medium">
        <color rgb="FF8E8E8E"/>
      </top>
      <bottom style="medium">
        <color rgb="FF8E8E8E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8E8E8E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66">
    <xf numFmtId="0" fontId="0" fillId="0" borderId="0" xfId="0"/>
    <xf numFmtId="0" fontId="6" fillId="0" borderId="3" xfId="0" applyFont="1" applyBorder="1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/>
    <xf numFmtId="0" fontId="0" fillId="0" borderId="11" xfId="0" applyBorder="1"/>
    <xf numFmtId="0" fontId="0" fillId="0" borderId="0" xfId="0" applyBorder="1"/>
    <xf numFmtId="0" fontId="8" fillId="0" borderId="2" xfId="0" applyFont="1" applyBorder="1" applyAlignment="1">
      <alignment horizontal="left" vertical="center"/>
    </xf>
    <xf numFmtId="164" fontId="8" fillId="0" borderId="2" xfId="0" applyNumberFormat="1" applyFont="1" applyBorder="1" applyAlignment="1">
      <alignment horizontal="left" vertic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8" fillId="0" borderId="0" xfId="0" applyFont="1" applyAlignment="1">
      <alignment horizontal="left" vertical="center"/>
    </xf>
    <xf numFmtId="164" fontId="8" fillId="0" borderId="0" xfId="0" applyNumberFormat="1" applyFont="1" applyAlignment="1">
      <alignment horizontal="left" vertical="center"/>
    </xf>
    <xf numFmtId="0" fontId="0" fillId="0" borderId="15" xfId="0" applyBorder="1"/>
    <xf numFmtId="0" fontId="8" fillId="0" borderId="7" xfId="0" applyFont="1" applyBorder="1" applyAlignment="1">
      <alignment horizontal="left" vertical="center"/>
    </xf>
    <xf numFmtId="164" fontId="8" fillId="0" borderId="7" xfId="0" applyNumberFormat="1" applyFont="1" applyBorder="1" applyAlignment="1">
      <alignment horizontal="left" vertical="center"/>
    </xf>
    <xf numFmtId="0" fontId="0" fillId="0" borderId="7" xfId="0" applyBorder="1" applyAlignment="1"/>
    <xf numFmtId="0" fontId="9" fillId="0" borderId="0" xfId="0" applyFont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7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" fillId="0" borderId="15" xfId="0" applyFont="1" applyBorder="1"/>
    <xf numFmtId="0" fontId="1" fillId="0" borderId="6" xfId="0" applyFont="1" applyBorder="1"/>
    <xf numFmtId="0" fontId="1" fillId="0" borderId="5" xfId="0" applyFont="1" applyBorder="1"/>
    <xf numFmtId="0" fontId="1" fillId="0" borderId="16" xfId="0" applyFont="1" applyBorder="1"/>
    <xf numFmtId="0" fontId="0" fillId="0" borderId="17" xfId="0" applyBorder="1"/>
    <xf numFmtId="165" fontId="0" fillId="0" borderId="0" xfId="0" applyNumberFormat="1"/>
    <xf numFmtId="43" fontId="0" fillId="0" borderId="15" xfId="0" applyNumberFormat="1" applyBorder="1"/>
    <xf numFmtId="0" fontId="1" fillId="0" borderId="17" xfId="0" applyFont="1" applyBorder="1"/>
    <xf numFmtId="0" fontId="1" fillId="0" borderId="18" xfId="0" applyFont="1" applyBorder="1"/>
    <xf numFmtId="0" fontId="0" fillId="0" borderId="18" xfId="0" applyBorder="1"/>
    <xf numFmtId="43" fontId="0" fillId="0" borderId="0" xfId="0" applyNumberFormat="1"/>
    <xf numFmtId="0" fontId="9" fillId="0" borderId="11" xfId="0" applyFont="1" applyFill="1" applyBorder="1" applyAlignment="1">
      <alignment horizontal="center"/>
    </xf>
    <xf numFmtId="43" fontId="0" fillId="0" borderId="16" xfId="0" applyNumberFormat="1" applyBorder="1" applyAlignment="1">
      <alignment horizontal="center"/>
    </xf>
    <xf numFmtId="0" fontId="1" fillId="0" borderId="4" xfId="0" applyFont="1" applyBorder="1"/>
    <xf numFmtId="2" fontId="0" fillId="0" borderId="11" xfId="0" applyNumberFormat="1" applyFont="1" applyBorder="1"/>
    <xf numFmtId="0" fontId="0" fillId="0" borderId="4" xfId="0" applyFont="1" applyBorder="1"/>
    <xf numFmtId="43" fontId="0" fillId="0" borderId="5" xfId="0" applyNumberFormat="1" applyFont="1" applyBorder="1"/>
    <xf numFmtId="0" fontId="0" fillId="0" borderId="15" xfId="0" applyFont="1" applyBorder="1"/>
    <xf numFmtId="0" fontId="0" fillId="0" borderId="11" xfId="0" applyFont="1" applyBorder="1"/>
    <xf numFmtId="0" fontId="0" fillId="0" borderId="13" xfId="0" applyFont="1" applyBorder="1"/>
    <xf numFmtId="2" fontId="0" fillId="0" borderId="0" xfId="0" applyNumberFormat="1"/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2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11" fontId="0" fillId="0" borderId="0" xfId="0" applyNumberFormat="1"/>
    <xf numFmtId="169" fontId="0" fillId="0" borderId="0" xfId="0" applyNumberFormat="1"/>
    <xf numFmtId="10" fontId="0" fillId="0" borderId="0" xfId="1" applyNumberFormat="1" applyFon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47625</xdr:colOff>
      <xdr:row>2</xdr:row>
      <xdr:rowOff>47625</xdr:rowOff>
    </xdr:from>
    <xdr:to>
      <xdr:col>18</xdr:col>
      <xdr:colOff>604967</xdr:colOff>
      <xdr:row>4</xdr:row>
      <xdr:rowOff>95192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72425" y="447675"/>
          <a:ext cx="3881567" cy="447617"/>
        </a:xfrm>
        <a:prstGeom prst="rect">
          <a:avLst/>
        </a:prstGeom>
      </xdr:spPr>
    </xdr:pic>
    <xdr:clientData/>
  </xdr:twoCellAnchor>
  <xdr:twoCellAnchor editAs="oneCell">
    <xdr:from>
      <xdr:col>23</xdr:col>
      <xdr:colOff>380999</xdr:colOff>
      <xdr:row>0</xdr:row>
      <xdr:rowOff>0</xdr:rowOff>
    </xdr:from>
    <xdr:to>
      <xdr:col>25</xdr:col>
      <xdr:colOff>568035</xdr:colOff>
      <xdr:row>6</xdr:row>
      <xdr:rowOff>57538</xdr:rowOff>
    </xdr:to>
    <xdr:pic>
      <xdr:nvPicPr>
        <xdr:cNvPr id="3" name="Picture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87624" y="0"/>
          <a:ext cx="1558637" cy="1295788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171450</xdr:colOff>
          <xdr:row>3</xdr:row>
          <xdr:rowOff>0</xdr:rowOff>
        </xdr:from>
        <xdr:to>
          <xdr:col>21</xdr:col>
          <xdr:colOff>590550</xdr:colOff>
          <xdr:row>5</xdr:row>
          <xdr:rowOff>104775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sk-SK" sz="1100" b="0" i="0" u="none" strike="noStrike" baseline="0">
                  <a:solidFill>
                    <a:srgbClr val="000000"/>
                  </a:solidFill>
                  <a:latin typeface="Calibri"/>
                </a:rPr>
                <a:t>MACRO</a:t>
              </a:r>
              <a:endParaRPr lang="sk-SK"/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47625</xdr:colOff>
      <xdr:row>2</xdr:row>
      <xdr:rowOff>47625</xdr:rowOff>
    </xdr:from>
    <xdr:to>
      <xdr:col>18</xdr:col>
      <xdr:colOff>604967</xdr:colOff>
      <xdr:row>4</xdr:row>
      <xdr:rowOff>95192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72425" y="447675"/>
          <a:ext cx="3605342" cy="447617"/>
        </a:xfrm>
        <a:prstGeom prst="rect">
          <a:avLst/>
        </a:prstGeom>
      </xdr:spPr>
    </xdr:pic>
    <xdr:clientData/>
  </xdr:twoCellAnchor>
  <xdr:twoCellAnchor editAs="oneCell">
    <xdr:from>
      <xdr:col>24</xdr:col>
      <xdr:colOff>81642</xdr:colOff>
      <xdr:row>0</xdr:row>
      <xdr:rowOff>0</xdr:rowOff>
    </xdr:from>
    <xdr:to>
      <xdr:col>26</xdr:col>
      <xdr:colOff>182335</xdr:colOff>
      <xdr:row>6</xdr:row>
      <xdr:rowOff>198587</xdr:rowOff>
    </xdr:to>
    <xdr:pic>
      <xdr:nvPicPr>
        <xdr:cNvPr id="3" name="Picture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597867" y="0"/>
          <a:ext cx="1472293" cy="144636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171450</xdr:colOff>
          <xdr:row>3</xdr:row>
          <xdr:rowOff>0</xdr:rowOff>
        </xdr:from>
        <xdr:to>
          <xdr:col>21</xdr:col>
          <xdr:colOff>590550</xdr:colOff>
          <xdr:row>5</xdr:row>
          <xdr:rowOff>104775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sk-SK" sz="1100" b="0" i="0" u="none" strike="noStrike" baseline="0">
                  <a:solidFill>
                    <a:srgbClr val="000000"/>
                  </a:solidFill>
                  <a:latin typeface="Calibri"/>
                </a:rPr>
                <a:t>MACRO</a:t>
              </a:r>
              <a:endParaRPr lang="sk-SK"/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47625</xdr:colOff>
      <xdr:row>2</xdr:row>
      <xdr:rowOff>47625</xdr:rowOff>
    </xdr:from>
    <xdr:to>
      <xdr:col>18</xdr:col>
      <xdr:colOff>604967</xdr:colOff>
      <xdr:row>4</xdr:row>
      <xdr:rowOff>85667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72425" y="447675"/>
          <a:ext cx="3605342" cy="438092"/>
        </a:xfrm>
        <a:prstGeom prst="rect">
          <a:avLst/>
        </a:prstGeom>
      </xdr:spPr>
    </xdr:pic>
    <xdr:clientData/>
  </xdr:twoCellAnchor>
  <xdr:twoCellAnchor editAs="oneCell">
    <xdr:from>
      <xdr:col>23</xdr:col>
      <xdr:colOff>380999</xdr:colOff>
      <xdr:row>0</xdr:row>
      <xdr:rowOff>0</xdr:rowOff>
    </xdr:from>
    <xdr:to>
      <xdr:col>25</xdr:col>
      <xdr:colOff>491836</xdr:colOff>
      <xdr:row>6</xdr:row>
      <xdr:rowOff>9913</xdr:rowOff>
    </xdr:to>
    <xdr:pic>
      <xdr:nvPicPr>
        <xdr:cNvPr id="3" name="Picture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87624" y="0"/>
          <a:ext cx="1482437" cy="1248163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171450</xdr:colOff>
          <xdr:row>3</xdr:row>
          <xdr:rowOff>0</xdr:rowOff>
        </xdr:from>
        <xdr:to>
          <xdr:col>21</xdr:col>
          <xdr:colOff>590550</xdr:colOff>
          <xdr:row>5</xdr:row>
          <xdr:rowOff>104775</xdr:rowOff>
        </xdr:to>
        <xdr:sp macro="" textlink="">
          <xdr:nvSpPr>
            <xdr:cNvPr id="3073" name="Button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sk-SK" sz="1100" b="0" i="0" u="none" strike="noStrike" baseline="0">
                  <a:solidFill>
                    <a:srgbClr val="000000"/>
                  </a:solidFill>
                  <a:latin typeface="Calibri"/>
                </a:rPr>
                <a:t>MACRO</a:t>
              </a:r>
              <a:endParaRPr lang="sk-SK"/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47625</xdr:colOff>
      <xdr:row>2</xdr:row>
      <xdr:rowOff>47625</xdr:rowOff>
    </xdr:from>
    <xdr:to>
      <xdr:col>18</xdr:col>
      <xdr:colOff>604967</xdr:colOff>
      <xdr:row>4</xdr:row>
      <xdr:rowOff>76142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72425" y="447675"/>
          <a:ext cx="3605342" cy="428567"/>
        </a:xfrm>
        <a:prstGeom prst="rect">
          <a:avLst/>
        </a:prstGeom>
      </xdr:spPr>
    </xdr:pic>
    <xdr:clientData/>
  </xdr:twoCellAnchor>
  <xdr:twoCellAnchor editAs="oneCell">
    <xdr:from>
      <xdr:col>23</xdr:col>
      <xdr:colOff>380999</xdr:colOff>
      <xdr:row>0</xdr:row>
      <xdr:rowOff>0</xdr:rowOff>
    </xdr:from>
    <xdr:to>
      <xdr:col>25</xdr:col>
      <xdr:colOff>415636</xdr:colOff>
      <xdr:row>5</xdr:row>
      <xdr:rowOff>162313</xdr:rowOff>
    </xdr:to>
    <xdr:pic>
      <xdr:nvPicPr>
        <xdr:cNvPr id="3" name="Picture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87624" y="0"/>
          <a:ext cx="1406237" cy="1200538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171450</xdr:colOff>
          <xdr:row>3</xdr:row>
          <xdr:rowOff>0</xdr:rowOff>
        </xdr:from>
        <xdr:to>
          <xdr:col>21</xdr:col>
          <xdr:colOff>590550</xdr:colOff>
          <xdr:row>5</xdr:row>
          <xdr:rowOff>104775</xdr:rowOff>
        </xdr:to>
        <xdr:sp macro="" textlink="">
          <xdr:nvSpPr>
            <xdr:cNvPr id="4097" name="Button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sk-SK" sz="1100" b="0" i="0" u="none" strike="noStrike" baseline="0">
                  <a:solidFill>
                    <a:srgbClr val="000000"/>
                  </a:solidFill>
                  <a:latin typeface="Calibri"/>
                </a:rPr>
                <a:t>MACRO</a:t>
              </a:r>
              <a:endParaRPr lang="sk-SK"/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sha/Desktop/bak24-25/odparkaOK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stup"/>
      <sheetName val="ODP.Extrakt"/>
      <sheetName val="ODP.Rafinat"/>
      <sheetName val="Лист1"/>
      <sheetName val="Лист2"/>
      <sheetName val="Лист3"/>
    </sheetNames>
    <definedNames>
      <definedName name="Module1.Solver"/>
    </defined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Worksheet____1"/>
  <dimension ref="A1:AL29"/>
  <sheetViews>
    <sheetView zoomScale="55" zoomScaleNormal="55" workbookViewId="0">
      <selection activeCell="O18" sqref="O18"/>
    </sheetView>
  </sheetViews>
  <sheetFormatPr defaultRowHeight="15" x14ac:dyDescent="0.25"/>
  <cols>
    <col min="3" max="3" width="11.42578125" customWidth="1"/>
    <col min="19" max="19" width="14.42578125" bestFit="1" customWidth="1"/>
    <col min="20" max="20" width="14.28515625" bestFit="1" customWidth="1"/>
    <col min="23" max="23" width="12" bestFit="1" customWidth="1"/>
    <col min="25" max="25" width="10.28515625" bestFit="1" customWidth="1"/>
  </cols>
  <sheetData>
    <row r="1" spans="1:37" ht="15.75" thickBot="1" x14ac:dyDescent="0.3">
      <c r="C1" s="58" t="s">
        <v>0</v>
      </c>
      <c r="D1" s="59"/>
      <c r="E1" s="59"/>
      <c r="H1" s="60" t="s">
        <v>1</v>
      </c>
      <c r="I1" s="1" t="s">
        <v>2</v>
      </c>
      <c r="J1" s="1" t="s">
        <v>3</v>
      </c>
      <c r="K1" s="60" t="s">
        <v>4</v>
      </c>
      <c r="L1" s="60" t="s">
        <v>5</v>
      </c>
      <c r="N1" s="2" t="s">
        <v>6</v>
      </c>
      <c r="O1" s="3">
        <f>8.314/1000</f>
        <v>8.3140000000000002E-3</v>
      </c>
    </row>
    <row r="2" spans="1:37" ht="15.75" thickBot="1" x14ac:dyDescent="0.3">
      <c r="C2" s="2" t="s">
        <v>7</v>
      </c>
      <c r="D2" s="4" t="s">
        <v>8</v>
      </c>
      <c r="E2" s="3" t="s">
        <v>9</v>
      </c>
      <c r="H2" s="61"/>
      <c r="I2" s="62" t="s">
        <v>10</v>
      </c>
      <c r="J2" s="62"/>
      <c r="K2" s="61"/>
      <c r="L2" s="61"/>
    </row>
    <row r="3" spans="1:37" ht="15.75" thickBot="1" x14ac:dyDescent="0.3">
      <c r="A3" s="5" t="s">
        <v>7</v>
      </c>
      <c r="B3" s="6" t="s">
        <v>11</v>
      </c>
      <c r="C3" s="5">
        <v>20.840540000000001</v>
      </c>
      <c r="D3" s="7">
        <v>-2624.5250000000001</v>
      </c>
      <c r="E3" s="6">
        <v>-46.151710000000001</v>
      </c>
      <c r="H3" s="62" t="s">
        <v>12</v>
      </c>
      <c r="I3" s="62"/>
      <c r="J3" s="62"/>
      <c r="K3" s="62"/>
      <c r="L3" s="62"/>
    </row>
    <row r="4" spans="1:37" x14ac:dyDescent="0.25">
      <c r="A4" s="8" t="s">
        <v>8</v>
      </c>
      <c r="B4" s="9" t="s">
        <v>13</v>
      </c>
      <c r="C4" s="8">
        <v>23.534700000000001</v>
      </c>
      <c r="D4" s="10">
        <v>-3661.4679999999998</v>
      </c>
      <c r="E4" s="9">
        <v>-32.770009999999999</v>
      </c>
      <c r="H4" s="11" t="s">
        <v>14</v>
      </c>
      <c r="I4" s="12">
        <v>5.5736999999999997</v>
      </c>
      <c r="J4" s="12">
        <v>7.4991000000000003</v>
      </c>
      <c r="K4" s="11">
        <v>6.4999999999999997E-3</v>
      </c>
      <c r="L4" s="11">
        <v>0.4</v>
      </c>
    </row>
    <row r="5" spans="1:37" ht="15.75" thickBot="1" x14ac:dyDescent="0.3">
      <c r="A5" s="13" t="s">
        <v>9</v>
      </c>
      <c r="B5" s="14" t="s">
        <v>15</v>
      </c>
      <c r="C5" s="13" t="s">
        <v>16</v>
      </c>
      <c r="D5" s="15" t="s">
        <v>16</v>
      </c>
      <c r="E5" s="14" t="s">
        <v>16</v>
      </c>
      <c r="H5" s="16" t="s">
        <v>17</v>
      </c>
      <c r="I5" s="17">
        <v>19.269400000000001</v>
      </c>
      <c r="J5" s="17">
        <v>16.212</v>
      </c>
      <c r="K5" s="16"/>
      <c r="L5" s="16"/>
    </row>
    <row r="6" spans="1:37" ht="15.75" thickBot="1" x14ac:dyDescent="0.3">
      <c r="A6" s="18" t="s">
        <v>18</v>
      </c>
      <c r="B6">
        <v>2.6</v>
      </c>
      <c r="H6" s="19" t="s">
        <v>19</v>
      </c>
      <c r="I6" s="20">
        <v>10.6456</v>
      </c>
      <c r="J6" s="20">
        <v>0.56320000000000003</v>
      </c>
      <c r="K6" s="21"/>
      <c r="L6" s="21"/>
    </row>
    <row r="7" spans="1:37" ht="15.75" thickBot="1" x14ac:dyDescent="0.3">
      <c r="AI7" s="22"/>
      <c r="AJ7" s="22"/>
      <c r="AK7" s="22"/>
    </row>
    <row r="8" spans="1:37" ht="15.75" thickBot="1" x14ac:dyDescent="0.3">
      <c r="O8" s="55" t="s">
        <v>20</v>
      </c>
      <c r="P8" s="56"/>
      <c r="Q8" s="57"/>
      <c r="AG8" s="23"/>
      <c r="AH8" s="23"/>
      <c r="AI8" s="23"/>
      <c r="AJ8" s="10"/>
    </row>
    <row r="9" spans="1:37" ht="15.75" thickBot="1" x14ac:dyDescent="0.3">
      <c r="B9" s="24"/>
      <c r="C9" s="24" t="s">
        <v>21</v>
      </c>
      <c r="D9" s="25" t="s">
        <v>22</v>
      </c>
      <c r="E9" s="26" t="s">
        <v>23</v>
      </c>
      <c r="F9" s="25" t="s">
        <v>24</v>
      </c>
      <c r="G9" s="25" t="s">
        <v>25</v>
      </c>
      <c r="H9" s="24" t="s">
        <v>26</v>
      </c>
      <c r="I9" s="25" t="s">
        <v>27</v>
      </c>
      <c r="J9" s="25" t="s">
        <v>28</v>
      </c>
      <c r="K9" s="24" t="s">
        <v>29</v>
      </c>
      <c r="L9" s="24" t="s">
        <v>30</v>
      </c>
      <c r="M9" s="25" t="s">
        <v>31</v>
      </c>
      <c r="N9" s="24" t="s">
        <v>32</v>
      </c>
      <c r="O9" s="24" t="s">
        <v>29</v>
      </c>
      <c r="P9" s="25" t="s">
        <v>30</v>
      </c>
      <c r="Q9" s="25" t="s">
        <v>31</v>
      </c>
      <c r="S9" s="24"/>
      <c r="T9" s="24" t="s">
        <v>21</v>
      </c>
      <c r="U9" s="25" t="s">
        <v>22</v>
      </c>
      <c r="V9" s="26" t="s">
        <v>23</v>
      </c>
      <c r="W9" s="27" t="s">
        <v>24</v>
      </c>
      <c r="X9" s="25" t="s">
        <v>25</v>
      </c>
      <c r="Y9" s="24" t="s">
        <v>26</v>
      </c>
      <c r="Z9" s="25" t="s">
        <v>27</v>
      </c>
      <c r="AA9" s="25" t="s">
        <v>28</v>
      </c>
      <c r="AB9" s="24" t="s">
        <v>33</v>
      </c>
      <c r="AC9" s="25" t="s">
        <v>34</v>
      </c>
      <c r="AD9" s="25" t="s">
        <v>35</v>
      </c>
      <c r="AE9" s="24" t="s">
        <v>36</v>
      </c>
      <c r="AF9" s="28" t="s">
        <v>37</v>
      </c>
      <c r="AG9" s="10"/>
      <c r="AH9" s="10"/>
      <c r="AI9" s="10"/>
      <c r="AJ9" s="10"/>
    </row>
    <row r="10" spans="1:37" x14ac:dyDescent="0.25">
      <c r="B10" s="29"/>
      <c r="C10" s="29">
        <v>45.111859255602596</v>
      </c>
      <c r="D10" s="30">
        <v>318.26185925560259</v>
      </c>
      <c r="E10" s="29">
        <v>72.798956993481568</v>
      </c>
      <c r="F10" s="31">
        <v>44.782704693969848</v>
      </c>
      <c r="G10" s="29">
        <v>0</v>
      </c>
      <c r="H10" s="29">
        <v>15311.494664983773</v>
      </c>
      <c r="I10" s="29">
        <v>46.908499253302544</v>
      </c>
      <c r="J10" s="29">
        <v>0</v>
      </c>
      <c r="K10" s="29">
        <f>MMULT(L20,I20)</f>
        <v>4.0506439229151527E-6</v>
      </c>
      <c r="L10" s="29">
        <f>MMULT(L22,I22)</f>
        <v>1.9995920204664876E-2</v>
      </c>
      <c r="M10" s="29">
        <f>MMULT(L24,I24)</f>
        <v>0.98000000000000009</v>
      </c>
      <c r="N10" s="26">
        <f>SUM(K10:M10)</f>
        <v>0.99999997084858783</v>
      </c>
      <c r="O10" s="29">
        <f>K10/(K10+L10+M10)</f>
        <v>4.050644040997147E-6</v>
      </c>
      <c r="P10" s="29">
        <f>L10/(K10+L10+M10)</f>
        <v>1.9995920787574204E-2</v>
      </c>
      <c r="Q10" s="29">
        <f>M10/(K10+L10+M10)</f>
        <v>0.98000002856838486</v>
      </c>
      <c r="S10" s="29"/>
      <c r="T10" s="29">
        <v>45.111859255602596</v>
      </c>
      <c r="U10" s="30">
        <f>T10+273.15</f>
        <v>318.26185925560259</v>
      </c>
      <c r="V10" s="29">
        <f>EXP(C3+D3/(U10+E3))/1000</f>
        <v>72.798956993481568</v>
      </c>
      <c r="W10" s="29">
        <f>EXP(C4+D4/(U10+E4))/1000</f>
        <v>44.782704693969848</v>
      </c>
      <c r="X10" s="29">
        <v>0</v>
      </c>
      <c r="Y10" s="29">
        <f>V10*AA14/$B$6</f>
        <v>15311.494769990035</v>
      </c>
      <c r="Z10" s="29">
        <f t="shared" ref="Z10:AA10" si="0">W10*AB14/$B$6</f>
        <v>46.908499169896096</v>
      </c>
      <c r="AA10" s="29">
        <f t="shared" si="0"/>
        <v>0</v>
      </c>
      <c r="AB10" s="29">
        <f>(O10*AA14*V10)/$B$6</f>
        <v>6.2021415048819112E-2</v>
      </c>
      <c r="AC10" s="29">
        <f t="shared" ref="AC10:AD10" si="1">(P10*AB14*W10)/$B$6</f>
        <v>0.93797863366523271</v>
      </c>
      <c r="AD10" s="29">
        <f t="shared" si="1"/>
        <v>0</v>
      </c>
      <c r="AE10" s="29">
        <f>SUM(AB10:AD10)</f>
        <v>1.0000000487140519</v>
      </c>
      <c r="AF10">
        <f>V10*O10*AA14+W10*P10*AB14+Q10*X10*AC14</f>
        <v>2.6000001266565347</v>
      </c>
    </row>
    <row r="11" spans="1:37" ht="15.75" thickBot="1" x14ac:dyDescent="0.3"/>
    <row r="12" spans="1:37" ht="15.75" thickBot="1" x14ac:dyDescent="0.3">
      <c r="C12" s="55" t="s">
        <v>38</v>
      </c>
      <c r="D12" s="56"/>
      <c r="E12" s="57"/>
      <c r="AA12" s="55" t="s">
        <v>39</v>
      </c>
      <c r="AB12" s="56"/>
      <c r="AC12" s="57"/>
    </row>
    <row r="13" spans="1:37" ht="15.75" thickBot="1" x14ac:dyDescent="0.3">
      <c r="B13" s="24"/>
      <c r="C13" s="24" t="s">
        <v>40</v>
      </c>
      <c r="D13" s="25" t="s">
        <v>41</v>
      </c>
      <c r="E13" s="25" t="s">
        <v>42</v>
      </c>
      <c r="F13" s="24" t="s">
        <v>43</v>
      </c>
      <c r="G13" s="25" t="s">
        <v>44</v>
      </c>
      <c r="H13" s="25" t="s">
        <v>45</v>
      </c>
      <c r="I13" s="25" t="s">
        <v>46</v>
      </c>
      <c r="J13" s="25" t="s">
        <v>47</v>
      </c>
      <c r="K13" s="25" t="s">
        <v>48</v>
      </c>
      <c r="L13" s="24" t="s">
        <v>49</v>
      </c>
      <c r="M13" s="25" t="s">
        <v>50</v>
      </c>
      <c r="N13" s="25" t="s">
        <v>51</v>
      </c>
      <c r="O13" s="25" t="s">
        <v>52</v>
      </c>
      <c r="P13" s="25" t="s">
        <v>53</v>
      </c>
      <c r="Q13" s="25" t="s">
        <v>54</v>
      </c>
      <c r="R13" s="32" t="s">
        <v>55</v>
      </c>
      <c r="S13" s="33" t="s">
        <v>56</v>
      </c>
      <c r="T13" s="33" t="s">
        <v>57</v>
      </c>
      <c r="U13" s="32" t="s">
        <v>58</v>
      </c>
      <c r="V13" s="33" t="s">
        <v>59</v>
      </c>
      <c r="W13" s="33" t="s">
        <v>60</v>
      </c>
      <c r="X13" s="32" t="s">
        <v>61</v>
      </c>
      <c r="Y13" s="33" t="s">
        <v>62</v>
      </c>
      <c r="Z13" s="33" t="s">
        <v>63</v>
      </c>
      <c r="AA13" s="32" t="s">
        <v>40</v>
      </c>
      <c r="AB13" s="33" t="s">
        <v>41</v>
      </c>
      <c r="AC13" s="33" t="s">
        <v>42</v>
      </c>
    </row>
    <row r="14" spans="1:37" x14ac:dyDescent="0.25">
      <c r="B14" s="29"/>
      <c r="C14" s="29">
        <v>1</v>
      </c>
      <c r="D14" s="29">
        <v>1</v>
      </c>
      <c r="E14" s="29">
        <v>1</v>
      </c>
      <c r="F14" s="29">
        <f>I4/$O$1/$D$10</f>
        <v>2.1064394206876145</v>
      </c>
      <c r="G14" s="29">
        <f>J4/$O$1/$D$10</f>
        <v>2.8340958178011895</v>
      </c>
      <c r="H14" s="29">
        <f>I5/$O$1/$D$10</f>
        <v>7.2823840129533197</v>
      </c>
      <c r="I14" s="29">
        <f>J5/$O$1/$D$10</f>
        <v>6.1269167497690233</v>
      </c>
      <c r="J14" s="29">
        <f>I6/$O$1/$D$10</f>
        <v>4.0232361800728551</v>
      </c>
      <c r="K14" s="29">
        <f>J6/$O$1/$D$10</f>
        <v>0.21284724361398435</v>
      </c>
      <c r="L14" s="29">
        <f>EXP(-$L$4*F14)</f>
        <v>0.43059996803950357</v>
      </c>
      <c r="M14" s="29">
        <f t="shared" ref="M14:Q14" si="2">EXP(-$L$4*G14)</f>
        <v>0.32186009123808956</v>
      </c>
      <c r="N14" s="29">
        <f t="shared" si="2"/>
        <v>5.4315067454660262E-2</v>
      </c>
      <c r="O14" s="29">
        <f t="shared" si="2"/>
        <v>8.6227450571018951E-2</v>
      </c>
      <c r="P14" s="29">
        <f t="shared" si="2"/>
        <v>0.200028690138605</v>
      </c>
      <c r="Q14" s="29">
        <f t="shared" si="2"/>
        <v>0.91838471425119661</v>
      </c>
      <c r="R14" s="29">
        <f>P10*G14*M14+Q10*I14*O14</f>
        <v>0.53598218384687524</v>
      </c>
      <c r="S14" s="29">
        <f>O10*F14*L14+Q10*K14*Q14</f>
        <v>0.19156982155668845</v>
      </c>
      <c r="T14" s="29">
        <f>O10*H14*N14+P10*J14*P14</f>
        <v>1.6093572671129288E-2</v>
      </c>
      <c r="U14" s="29">
        <f>O10+M14*P10+Q10*O14</f>
        <v>9.0942843556096803E-2</v>
      </c>
      <c r="V14" s="29">
        <f>O10*L14+P10+Q10*Q14</f>
        <v>0.9200147111977095</v>
      </c>
      <c r="W14" s="29">
        <f>O10*N14+P10*P14+Q10</f>
        <v>0.98400000642264296</v>
      </c>
      <c r="X14">
        <f>R14/U14-O10*R14/U14^2+P10*L14/V14*(F14-S14/V14)+Q10*N14/W14*(H14-T14/W14)</f>
        <v>6.3041689343981044</v>
      </c>
      <c r="Y14">
        <f>S14/V14-P10*S14/V14^2+O10*M14/U14*(G14-R14/U14)+Q10*P14/W14*(J14-T14/W14)</f>
        <v>1.0018883140918378</v>
      </c>
      <c r="Z14">
        <f>T14/W14-Q10*T14/W14^2+O10*O14/U14*(I14-R14/U14)+P10*Q14/V14*(K14-S14/V14)</f>
        <v>1.5964794312218653E-4</v>
      </c>
      <c r="AA14" s="26">
        <f>EXP(X14)</f>
        <v>546.84693361113239</v>
      </c>
      <c r="AB14" s="26">
        <f t="shared" ref="AB14:AC14" si="3">EXP(Y14)</f>
        <v>2.7234196477228965</v>
      </c>
      <c r="AC14" s="26">
        <f t="shared" si="3"/>
        <v>1.0001596606875331</v>
      </c>
    </row>
    <row r="18" spans="1:38" ht="15.75" thickBot="1" x14ac:dyDescent="0.3"/>
    <row r="19" spans="1:38" ht="15.75" thickBot="1" x14ac:dyDescent="0.3">
      <c r="B19" s="34" t="s">
        <v>64</v>
      </c>
      <c r="C19" s="35" t="s">
        <v>29</v>
      </c>
      <c r="D19" s="35" t="s">
        <v>30</v>
      </c>
      <c r="E19" s="36" t="s">
        <v>31</v>
      </c>
      <c r="G19" s="34" t="s">
        <v>7</v>
      </c>
      <c r="I19" s="37" t="s">
        <v>65</v>
      </c>
      <c r="K19" s="34" t="s">
        <v>66</v>
      </c>
    </row>
    <row r="20" spans="1:38" ht="15.75" thickBot="1" x14ac:dyDescent="0.3">
      <c r="A20" s="37" t="s">
        <v>67</v>
      </c>
      <c r="B20" s="38">
        <v>20.943847441233913</v>
      </c>
      <c r="C20" s="39">
        <v>3.6193412121314175E-2</v>
      </c>
      <c r="D20">
        <v>0.55567183667377118</v>
      </c>
      <c r="E20">
        <v>0.4081347512049146</v>
      </c>
      <c r="H20" s="2">
        <f>$B$22+$B$21*H10</f>
        <v>187137.97516444611</v>
      </c>
      <c r="I20" s="40">
        <f>$B$20*C20</f>
        <v>0.75802930184651041</v>
      </c>
      <c r="L20" s="18">
        <f>MINVERSE(H20)</f>
        <v>5.3436508497073209E-6</v>
      </c>
    </row>
    <row r="21" spans="1:38" ht="15.75" thickBot="1" x14ac:dyDescent="0.3">
      <c r="A21" s="41" t="s">
        <v>68</v>
      </c>
      <c r="B21" s="38">
        <f>B20-B22</f>
        <v>12.221488293579128</v>
      </c>
      <c r="C21">
        <f>AB10</f>
        <v>6.2021415048819112E-2</v>
      </c>
      <c r="D21">
        <f t="shared" ref="D21:E21" si="4">AC10</f>
        <v>0.93797863366523271</v>
      </c>
      <c r="E21">
        <f t="shared" si="4"/>
        <v>0</v>
      </c>
      <c r="G21" s="34" t="s">
        <v>8</v>
      </c>
      <c r="I21" s="41" t="s">
        <v>65</v>
      </c>
      <c r="K21" s="34" t="s">
        <v>66</v>
      </c>
    </row>
    <row r="22" spans="1:38" ht="15.75" thickBot="1" x14ac:dyDescent="0.3">
      <c r="A22" s="42" t="s">
        <v>69</v>
      </c>
      <c r="B22" s="43">
        <f>B20*E20/E22</f>
        <v>8.7223591476547853</v>
      </c>
      <c r="C22" s="63">
        <f>O10</f>
        <v>4.050644040997147E-6</v>
      </c>
      <c r="D22" s="44">
        <f>P10</f>
        <v>1.9995920787574204E-2</v>
      </c>
      <c r="E22">
        <v>0.98</v>
      </c>
      <c r="H22" s="2">
        <f>$B$22+$B$21*I10</f>
        <v>582.01403364125702</v>
      </c>
      <c r="I22" s="40">
        <f>$B$20*D20</f>
        <v>11.637906174685712</v>
      </c>
      <c r="L22" s="18">
        <f>MINVERSE(H22)</f>
        <v>1.7181716285150301E-3</v>
      </c>
    </row>
    <row r="23" spans="1:38" ht="15.75" thickBot="1" x14ac:dyDescent="0.3">
      <c r="G23" s="34" t="s">
        <v>9</v>
      </c>
      <c r="I23" s="41" t="s">
        <v>65</v>
      </c>
      <c r="K23" s="34" t="s">
        <v>66</v>
      </c>
    </row>
    <row r="24" spans="1:38" ht="15.75" thickBot="1" x14ac:dyDescent="0.3">
      <c r="H24" s="2">
        <f>$B$22+$B$21*J10</f>
        <v>8.7223591476547853</v>
      </c>
      <c r="I24" s="40">
        <f>$B$20*E20</f>
        <v>8.5479119647016901</v>
      </c>
      <c r="L24" s="18">
        <f>MINVERSE(H24)</f>
        <v>0.11464788173379377</v>
      </c>
    </row>
    <row r="27" spans="1:38" ht="15.75" thickBot="1" x14ac:dyDescent="0.3"/>
    <row r="28" spans="1:38" ht="15.75" thickBot="1" x14ac:dyDescent="0.3">
      <c r="C28" s="24" t="s">
        <v>21</v>
      </c>
      <c r="D28" s="25" t="s">
        <v>22</v>
      </c>
      <c r="E28" s="26" t="s">
        <v>23</v>
      </c>
      <c r="F28" s="25" t="s">
        <v>24</v>
      </c>
      <c r="G28" s="25" t="s">
        <v>25</v>
      </c>
      <c r="H28" s="24" t="s">
        <v>29</v>
      </c>
      <c r="I28" s="24" t="s">
        <v>30</v>
      </c>
      <c r="J28" s="25" t="s">
        <v>31</v>
      </c>
      <c r="K28" s="24" t="s">
        <v>43</v>
      </c>
      <c r="L28" s="25" t="s">
        <v>44</v>
      </c>
      <c r="M28" s="25" t="s">
        <v>45</v>
      </c>
      <c r="N28" s="25" t="s">
        <v>46</v>
      </c>
      <c r="O28" s="25" t="s">
        <v>47</v>
      </c>
      <c r="P28" s="25" t="s">
        <v>48</v>
      </c>
      <c r="Q28" s="24" t="s">
        <v>49</v>
      </c>
      <c r="R28" s="25" t="s">
        <v>50</v>
      </c>
      <c r="S28" s="25" t="s">
        <v>51</v>
      </c>
      <c r="T28" s="25" t="s">
        <v>52</v>
      </c>
      <c r="U28" s="25" t="s">
        <v>53</v>
      </c>
      <c r="V28" s="25" t="s">
        <v>54</v>
      </c>
      <c r="W28" s="32" t="s">
        <v>55</v>
      </c>
      <c r="X28" s="33" t="s">
        <v>56</v>
      </c>
      <c r="Y28" s="33" t="s">
        <v>57</v>
      </c>
      <c r="Z28" s="32" t="s">
        <v>58</v>
      </c>
      <c r="AA28" s="33" t="s">
        <v>59</v>
      </c>
      <c r="AB28" s="33" t="s">
        <v>60</v>
      </c>
      <c r="AC28" s="32" t="s">
        <v>61</v>
      </c>
      <c r="AD28" s="33" t="s">
        <v>62</v>
      </c>
      <c r="AE28" s="33" t="s">
        <v>63</v>
      </c>
      <c r="AF28" s="32" t="s">
        <v>40</v>
      </c>
      <c r="AG28" s="33" t="s">
        <v>41</v>
      </c>
      <c r="AH28" s="33" t="s">
        <v>42</v>
      </c>
      <c r="AI28" s="45" t="s">
        <v>70</v>
      </c>
      <c r="AJ28" s="45" t="s">
        <v>71</v>
      </c>
      <c r="AK28" s="45" t="s">
        <v>72</v>
      </c>
      <c r="AL28" s="45" t="s">
        <v>18</v>
      </c>
    </row>
    <row r="29" spans="1:38" x14ac:dyDescent="0.25">
      <c r="C29">
        <v>45</v>
      </c>
      <c r="D29">
        <f>C29+273.15</f>
        <v>318.14999999999998</v>
      </c>
      <c r="E29">
        <f>EXP(C3+D3/(D29+E3))/1000</f>
        <v>72.510769026390932</v>
      </c>
      <c r="F29">
        <f>EXP(C4+D4/(D29+E4))/1000</f>
        <v>44.55814639452187</v>
      </c>
      <c r="G29">
        <v>0</v>
      </c>
      <c r="H29" s="44">
        <f>C22</f>
        <v>4.050644040997147E-6</v>
      </c>
      <c r="I29" s="44">
        <f>D22</f>
        <v>1.9995920787574204E-2</v>
      </c>
      <c r="J29" s="44">
        <f t="shared" ref="J29" si="5">E22</f>
        <v>0.98</v>
      </c>
      <c r="K29" s="29">
        <f>I4/$O$1/$D$29</f>
        <v>2.1071800296631609</v>
      </c>
      <c r="L29" s="29">
        <f>J4/$O$1/$D$29</f>
        <v>2.8350922655412045</v>
      </c>
      <c r="M29" s="29">
        <f>I5/$O$1/$D$29</f>
        <v>7.2849444468829168</v>
      </c>
      <c r="N29" s="29">
        <f>J5/$O$1/$D$29</f>
        <v>6.1290709297054313</v>
      </c>
      <c r="O29" s="29">
        <f>I6/$O$1/$D$29</f>
        <v>4.0246507210259157</v>
      </c>
      <c r="P29" s="29">
        <f>J6/$O$1/$D$29</f>
        <v>0.21292207917654202</v>
      </c>
      <c r="Q29" s="29">
        <f>EXP(-$L$4*K29)</f>
        <v>0.43047242445194145</v>
      </c>
      <c r="R29" s="29">
        <f t="shared" ref="R29:V29" si="6">EXP(-$L$4*L29)</f>
        <v>0.32173183009668638</v>
      </c>
      <c r="S29" s="29">
        <f t="shared" si="6"/>
        <v>5.425946787469077E-2</v>
      </c>
      <c r="T29" s="29">
        <f t="shared" si="6"/>
        <v>8.6153182795249569E-2</v>
      </c>
      <c r="U29" s="29">
        <f t="shared" si="6"/>
        <v>0.19991554264238187</v>
      </c>
      <c r="V29" s="29">
        <f t="shared" si="6"/>
        <v>0.91835722352796123</v>
      </c>
      <c r="W29" s="46">
        <f>I29*L29*R29+J29*N29*T29</f>
        <v>0.53571725645976487</v>
      </c>
      <c r="X29" s="46">
        <f>H29*K29*Q29+J29*P29*V29</f>
        <v>0.19163143314109035</v>
      </c>
      <c r="Y29" s="46">
        <f>H29*M29*S29+I29*O29*U29</f>
        <v>1.6090123689595438E-2</v>
      </c>
      <c r="Z29" s="46">
        <f>H29+R29*I29+J29*T29</f>
        <v>9.0867493972840191E-2</v>
      </c>
      <c r="AA29" s="46">
        <f>H29*Q29+I29+J29*V29</f>
        <v>0.91998774353553714</v>
      </c>
      <c r="AB29" s="46">
        <f>H29*S29+I29*U29+J29</f>
        <v>0.98399771514067214</v>
      </c>
      <c r="AC29">
        <f>W29/Z29-H29*W29/Z29^2+I29*Q29/AA29*(K29-X29/AA29)+J29*S29/AB29*(M29-Y29/AB29)</f>
        <v>6.3058788380869855</v>
      </c>
      <c r="AD29">
        <f>X29/AA29-I29*X29/AA29^2+H29*R29/Z29*(L29-W29/Z29)+J29*U29/AB29*(O29-Y29/AB29)</f>
        <v>1.0017922729612367</v>
      </c>
      <c r="AE29">
        <f>Y29/AB29-J29*Y29/AB29^2+H29*T29/Z29*(N29-W29/Z29)+I29*V29/AA29*(P29-X29/AA29)</f>
        <v>1.5963218529003878E-4</v>
      </c>
      <c r="AF29" s="26">
        <f>EXP(AC29)</f>
        <v>547.78278908351069</v>
      </c>
      <c r="AG29" s="26">
        <f t="shared" ref="AG29:AH29" si="7">EXP(AD29)</f>
        <v>2.7231580999806999</v>
      </c>
      <c r="AH29" s="26">
        <f t="shared" si="7"/>
        <v>1.0001596449271852</v>
      </c>
      <c r="AI29" s="44">
        <f>AF29*E29*H29</f>
        <v>0.16089219415410741</v>
      </c>
      <c r="AJ29" s="44">
        <f>AG29*F29*I29</f>
        <v>2.4262825784314512</v>
      </c>
      <c r="AK29" s="44">
        <f>AH29*G29*J29</f>
        <v>0</v>
      </c>
      <c r="AL29">
        <f>SUM(AI29:AK29)</f>
        <v>2.5871747725855587</v>
      </c>
    </row>
  </sheetData>
  <mergeCells count="9">
    <mergeCell ref="O8:Q8"/>
    <mergeCell ref="C12:E12"/>
    <mergeCell ref="AA12:AC12"/>
    <mergeCell ref="C1:E1"/>
    <mergeCell ref="H1:H2"/>
    <mergeCell ref="K1:K2"/>
    <mergeCell ref="L1:L2"/>
    <mergeCell ref="I2:J2"/>
    <mergeCell ref="H3:L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1]!Module1.Solver">
                <anchor moveWithCells="1" sizeWithCells="1">
                  <from>
                    <xdr:col>20</xdr:col>
                    <xdr:colOff>171450</xdr:colOff>
                    <xdr:row>3</xdr:row>
                    <xdr:rowOff>0</xdr:rowOff>
                  </from>
                  <to>
                    <xdr:col>21</xdr:col>
                    <xdr:colOff>590550</xdr:colOff>
                    <xdr:row>5</xdr:row>
                    <xdr:rowOff>104775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Worksheet____2"/>
  <dimension ref="A1:AO31"/>
  <sheetViews>
    <sheetView zoomScale="55" zoomScaleNormal="55" workbookViewId="0">
      <selection activeCell="M21" sqref="M21"/>
    </sheetView>
  </sheetViews>
  <sheetFormatPr defaultRowHeight="15" x14ac:dyDescent="0.25"/>
  <cols>
    <col min="19" max="19" width="14.42578125" bestFit="1" customWidth="1"/>
    <col min="20" max="20" width="14.28515625" bestFit="1" customWidth="1"/>
    <col min="23" max="23" width="12" bestFit="1" customWidth="1"/>
    <col min="25" max="25" width="10.28515625" bestFit="1" customWidth="1"/>
  </cols>
  <sheetData>
    <row r="1" spans="1:37" ht="15.75" thickBot="1" x14ac:dyDescent="0.3">
      <c r="C1" s="58" t="s">
        <v>0</v>
      </c>
      <c r="D1" s="59"/>
      <c r="E1" s="59"/>
      <c r="H1" s="60" t="s">
        <v>1</v>
      </c>
      <c r="I1" s="1" t="s">
        <v>2</v>
      </c>
      <c r="J1" s="1" t="s">
        <v>3</v>
      </c>
      <c r="K1" s="60" t="s">
        <v>4</v>
      </c>
      <c r="L1" s="60" t="s">
        <v>5</v>
      </c>
      <c r="N1" s="47" t="s">
        <v>6</v>
      </c>
      <c r="O1" s="36">
        <f>8.314/1000</f>
        <v>8.3140000000000002E-3</v>
      </c>
    </row>
    <row r="2" spans="1:37" ht="15.75" thickBot="1" x14ac:dyDescent="0.3">
      <c r="C2" s="47" t="s">
        <v>7</v>
      </c>
      <c r="D2" s="35" t="s">
        <v>8</v>
      </c>
      <c r="E2" s="36" t="s">
        <v>9</v>
      </c>
      <c r="H2" s="61"/>
      <c r="I2" s="62" t="s">
        <v>10</v>
      </c>
      <c r="J2" s="62"/>
      <c r="K2" s="61"/>
      <c r="L2" s="61"/>
    </row>
    <row r="3" spans="1:37" ht="15.75" thickBot="1" x14ac:dyDescent="0.3">
      <c r="A3" s="37" t="s">
        <v>7</v>
      </c>
      <c r="B3" t="s">
        <v>11</v>
      </c>
      <c r="C3">
        <v>20.840540000000001</v>
      </c>
      <c r="D3">
        <v>-2624.5250000000001</v>
      </c>
      <c r="E3">
        <v>-46.151710000000001</v>
      </c>
      <c r="H3" s="62" t="s">
        <v>12</v>
      </c>
      <c r="I3" s="62"/>
      <c r="J3" s="62"/>
      <c r="K3" s="62"/>
      <c r="L3" s="62"/>
    </row>
    <row r="4" spans="1:37" x14ac:dyDescent="0.25">
      <c r="A4" s="41" t="s">
        <v>8</v>
      </c>
      <c r="B4" t="s">
        <v>13</v>
      </c>
      <c r="C4">
        <v>23.534700000000001</v>
      </c>
      <c r="D4">
        <v>-3661.4679999999998</v>
      </c>
      <c r="E4">
        <v>-32.770009999999999</v>
      </c>
      <c r="H4" s="11" t="s">
        <v>14</v>
      </c>
      <c r="I4" s="12">
        <v>5.5736999999999997</v>
      </c>
      <c r="J4" s="12">
        <v>7.4991000000000003</v>
      </c>
      <c r="K4" s="11">
        <v>6.4999999999999997E-3</v>
      </c>
      <c r="L4" s="11">
        <v>0.4</v>
      </c>
    </row>
    <row r="5" spans="1:37" ht="15.75" thickBot="1" x14ac:dyDescent="0.3">
      <c r="A5" s="41" t="s">
        <v>9</v>
      </c>
      <c r="B5" t="s">
        <v>15</v>
      </c>
      <c r="C5" t="s">
        <v>16</v>
      </c>
      <c r="D5" t="s">
        <v>16</v>
      </c>
      <c r="E5" t="s">
        <v>16</v>
      </c>
      <c r="H5" s="16" t="s">
        <v>17</v>
      </c>
      <c r="I5" s="17">
        <v>19.269400000000001</v>
      </c>
      <c r="J5" s="17">
        <v>16.212</v>
      </c>
      <c r="K5" s="16"/>
      <c r="L5" s="16"/>
    </row>
    <row r="6" spans="1:37" ht="15.75" thickBot="1" x14ac:dyDescent="0.3">
      <c r="A6" s="47" t="s">
        <v>18</v>
      </c>
      <c r="B6" s="36">
        <v>73</v>
      </c>
      <c r="H6" s="19" t="s">
        <v>19</v>
      </c>
      <c r="I6" s="20">
        <v>10.6456</v>
      </c>
      <c r="J6" s="20">
        <v>0.56320000000000003</v>
      </c>
      <c r="K6" s="21"/>
      <c r="L6" s="21"/>
    </row>
    <row r="7" spans="1:37" ht="15.75" thickBot="1" x14ac:dyDescent="0.3">
      <c r="AI7" s="22"/>
      <c r="AJ7" s="22"/>
      <c r="AK7" s="22"/>
    </row>
    <row r="8" spans="1:37" ht="15.75" thickBot="1" x14ac:dyDescent="0.3">
      <c r="O8" s="55" t="s">
        <v>20</v>
      </c>
      <c r="P8" s="56"/>
      <c r="Q8" s="57"/>
      <c r="AG8" s="23"/>
      <c r="AH8" s="23"/>
      <c r="AI8" s="23"/>
      <c r="AJ8" s="10"/>
    </row>
    <row r="9" spans="1:37" ht="15.75" thickBot="1" x14ac:dyDescent="0.3">
      <c r="B9" s="24"/>
      <c r="C9" s="24" t="s">
        <v>21</v>
      </c>
      <c r="D9" s="25" t="s">
        <v>22</v>
      </c>
      <c r="E9" s="26" t="s">
        <v>23</v>
      </c>
      <c r="F9" s="25" t="s">
        <v>24</v>
      </c>
      <c r="G9" s="25" t="s">
        <v>25</v>
      </c>
      <c r="H9" s="24" t="s">
        <v>26</v>
      </c>
      <c r="I9" s="25" t="s">
        <v>27</v>
      </c>
      <c r="J9" s="25" t="s">
        <v>28</v>
      </c>
      <c r="K9" s="24" t="s">
        <v>29</v>
      </c>
      <c r="L9" s="24" t="s">
        <v>30</v>
      </c>
      <c r="M9" s="25" t="s">
        <v>31</v>
      </c>
      <c r="N9" s="24" t="s">
        <v>32</v>
      </c>
      <c r="O9" s="24" t="s">
        <v>29</v>
      </c>
      <c r="P9" s="25" t="s">
        <v>30</v>
      </c>
      <c r="Q9" s="25" t="s">
        <v>31</v>
      </c>
      <c r="S9" s="24"/>
      <c r="T9" s="24" t="s">
        <v>21</v>
      </c>
      <c r="U9" s="25" t="s">
        <v>22</v>
      </c>
      <c r="V9" s="26" t="s">
        <v>23</v>
      </c>
      <c r="W9" s="27" t="s">
        <v>24</v>
      </c>
      <c r="X9" s="25" t="s">
        <v>25</v>
      </c>
      <c r="Y9" s="24" t="s">
        <v>26</v>
      </c>
      <c r="Z9" s="25" t="s">
        <v>27</v>
      </c>
      <c r="AA9" s="25" t="s">
        <v>28</v>
      </c>
      <c r="AB9" s="24" t="s">
        <v>33</v>
      </c>
      <c r="AC9" s="25" t="s">
        <v>34</v>
      </c>
      <c r="AD9" s="25" t="s">
        <v>35</v>
      </c>
      <c r="AE9" s="24" t="s">
        <v>36</v>
      </c>
      <c r="AF9" s="28" t="s">
        <v>37</v>
      </c>
      <c r="AG9" s="10"/>
      <c r="AH9" s="10"/>
      <c r="AI9" s="10"/>
      <c r="AJ9" s="10"/>
    </row>
    <row r="10" spans="1:37" x14ac:dyDescent="0.25">
      <c r="B10" s="29">
        <v>0</v>
      </c>
      <c r="C10" s="29">
        <v>44.854369064171337</v>
      </c>
      <c r="D10" s="30">
        <v>318.00436906417133</v>
      </c>
      <c r="E10" s="29">
        <v>72.136929549050137</v>
      </c>
      <c r="F10" s="31">
        <v>44.267216087302977</v>
      </c>
      <c r="G10" s="29">
        <v>0</v>
      </c>
      <c r="H10" s="29">
        <v>1.3301039961286554</v>
      </c>
      <c r="I10" s="29">
        <v>8.7406877077207863</v>
      </c>
      <c r="J10" s="29">
        <v>0</v>
      </c>
      <c r="K10" s="29">
        <f>MMULT(L20,I20)</f>
        <v>0.74967316538284134</v>
      </c>
      <c r="L10" s="29">
        <f>MMULT(L22,I22)</f>
        <v>3.268309126623931E-4</v>
      </c>
      <c r="M10" s="29">
        <f>MMULT(L24,I24)</f>
        <v>0.25</v>
      </c>
      <c r="N10" s="26">
        <f>SUM(K10:M10)</f>
        <v>0.99999999629550373</v>
      </c>
      <c r="O10" s="29">
        <f>K10/(K10+L10+M10)</f>
        <v>0.74967316816000285</v>
      </c>
      <c r="P10" s="29">
        <f>L10/(K10+L10+M10)</f>
        <v>3.2683091387313701E-4</v>
      </c>
      <c r="Q10" s="29">
        <f>M10/(K10+L10+M10)</f>
        <v>0.25000000092612407</v>
      </c>
      <c r="S10" s="29"/>
      <c r="T10" s="29">
        <v>44.854369064171337</v>
      </c>
      <c r="U10" s="30">
        <f>T10+273.15</f>
        <v>318.00436906417133</v>
      </c>
      <c r="V10" s="29">
        <f>EXP(C3+D3/(U10+E3))/1000</f>
        <v>72.136929549050137</v>
      </c>
      <c r="W10" s="29">
        <f>EXP(C4+D4/(U10+E4))/1000</f>
        <v>44.267216087302977</v>
      </c>
      <c r="X10" s="29">
        <v>0</v>
      </c>
      <c r="Y10" s="29">
        <f>V10*AA14/$B$6</f>
        <v>1.3301039961286554</v>
      </c>
      <c r="Z10" s="29">
        <f t="shared" ref="Z10:AA10" si="0">W10*AB14/$B$6</f>
        <v>8.7406877077207863</v>
      </c>
      <c r="AA10" s="29">
        <f t="shared" si="0"/>
        <v>0</v>
      </c>
      <c r="AB10" s="29">
        <f>(O10*AA14*V10)/$B$6</f>
        <v>0.9971432767600491</v>
      </c>
      <c r="AC10" s="29">
        <f t="shared" ref="AC10:AD10" si="1">(P10*AB14*W10)/$B$6</f>
        <v>2.8567269513940798E-3</v>
      </c>
      <c r="AD10" s="29">
        <f t="shared" si="1"/>
        <v>0</v>
      </c>
      <c r="AE10" s="29">
        <f>SUM(AB10:AD10)</f>
        <v>1.0000000037114432</v>
      </c>
      <c r="AF10">
        <f>V10*AA14*O10+W10*AB14*P10</f>
        <v>73.000000270935345</v>
      </c>
    </row>
    <row r="11" spans="1:37" ht="15.75" thickBot="1" x14ac:dyDescent="0.3"/>
    <row r="12" spans="1:37" ht="15.75" thickBot="1" x14ac:dyDescent="0.3">
      <c r="C12" s="55" t="s">
        <v>38</v>
      </c>
      <c r="D12" s="56"/>
      <c r="E12" s="57"/>
      <c r="AA12" s="55" t="s">
        <v>39</v>
      </c>
      <c r="AB12" s="56"/>
      <c r="AC12" s="57"/>
    </row>
    <row r="13" spans="1:37" ht="15.75" thickBot="1" x14ac:dyDescent="0.3">
      <c r="B13" s="24"/>
      <c r="C13" s="24" t="s">
        <v>40</v>
      </c>
      <c r="D13" s="25" t="s">
        <v>41</v>
      </c>
      <c r="E13" s="25" t="s">
        <v>42</v>
      </c>
      <c r="F13" s="24" t="s">
        <v>43</v>
      </c>
      <c r="G13" s="25" t="s">
        <v>44</v>
      </c>
      <c r="H13" s="25" t="s">
        <v>45</v>
      </c>
      <c r="I13" s="25" t="s">
        <v>46</v>
      </c>
      <c r="J13" s="25" t="s">
        <v>47</v>
      </c>
      <c r="K13" s="25" t="s">
        <v>48</v>
      </c>
      <c r="L13" s="24" t="s">
        <v>49</v>
      </c>
      <c r="M13" s="25" t="s">
        <v>50</v>
      </c>
      <c r="N13" s="25" t="s">
        <v>51</v>
      </c>
      <c r="O13" s="25" t="s">
        <v>52</v>
      </c>
      <c r="P13" s="25" t="s">
        <v>53</v>
      </c>
      <c r="Q13" s="25" t="s">
        <v>54</v>
      </c>
      <c r="R13" s="32" t="s">
        <v>55</v>
      </c>
      <c r="S13" s="33" t="s">
        <v>56</v>
      </c>
      <c r="T13" s="33" t="s">
        <v>57</v>
      </c>
      <c r="U13" s="32" t="s">
        <v>58</v>
      </c>
      <c r="V13" s="33" t="s">
        <v>59</v>
      </c>
      <c r="W13" s="33" t="s">
        <v>60</v>
      </c>
      <c r="X13" s="32" t="s">
        <v>61</v>
      </c>
      <c r="Y13" s="33" t="s">
        <v>62</v>
      </c>
      <c r="Z13" s="33" t="s">
        <v>63</v>
      </c>
      <c r="AA13" s="32" t="s">
        <v>40</v>
      </c>
      <c r="AB13" s="33" t="s">
        <v>41</v>
      </c>
      <c r="AC13" s="33" t="s">
        <v>42</v>
      </c>
    </row>
    <row r="14" spans="1:37" ht="15.75" thickBot="1" x14ac:dyDescent="0.3">
      <c r="B14" s="29"/>
      <c r="C14" s="29">
        <v>1</v>
      </c>
      <c r="D14" s="29">
        <v>1</v>
      </c>
      <c r="E14" s="29">
        <v>1</v>
      </c>
      <c r="F14" s="29">
        <f>I4/$O$1/$D$10</f>
        <v>2.1081450182907773</v>
      </c>
      <c r="G14" s="29">
        <f>J4/$O$1/$D$10</f>
        <v>2.8363906034885931</v>
      </c>
      <c r="H14" s="29">
        <f>I5/$O$1/$D$10</f>
        <v>7.2882806063211705</v>
      </c>
      <c r="I14" s="29">
        <f>J5/$O$1/$D$10</f>
        <v>6.131877753831402</v>
      </c>
      <c r="J14" s="29">
        <f>I6/$O$1/$D$10</f>
        <v>4.0264938203915355</v>
      </c>
      <c r="K14" s="29">
        <f>J6/$O$1/$D$10</f>
        <v>0.21301958740179161</v>
      </c>
      <c r="L14" s="29">
        <f>EXP(-$L$4*F14)</f>
        <v>0.43030629611875515</v>
      </c>
      <c r="M14" s="29">
        <f t="shared" ref="M14:Q14" si="2">EXP(-$L$4*G14)</f>
        <v>0.32156478681860723</v>
      </c>
      <c r="N14" s="29">
        <f t="shared" si="2"/>
        <v>5.4187108871317301E-2</v>
      </c>
      <c r="O14" s="29">
        <f t="shared" si="2"/>
        <v>8.6056510341120107E-2</v>
      </c>
      <c r="P14" s="29">
        <f t="shared" si="2"/>
        <v>0.19976821127439651</v>
      </c>
      <c r="Q14" s="29">
        <f t="shared" si="2"/>
        <v>0.9183214052732761</v>
      </c>
      <c r="R14" s="29">
        <f>P10*G14*M14+Q10*I14*O14</f>
        <v>0.13222009785343103</v>
      </c>
      <c r="S14" s="29">
        <f>O10*F14*L14+Q10*K14*Q14</f>
        <v>0.72896968289664843</v>
      </c>
      <c r="T14" s="29">
        <f>O10*H14*N14+P10*J14*P14</f>
        <v>0.29633195654772587</v>
      </c>
      <c r="U14" s="29">
        <f>O10+M14*P10+Q10*O14</f>
        <v>0.77129239313812725</v>
      </c>
      <c r="V14" s="29">
        <f>O10*L14+P10+Q10*Q14</f>
        <v>0.55249626737321522</v>
      </c>
      <c r="W14" s="29">
        <f>O10*N14+P10*P14+Q10</f>
        <v>0.29068791293416912</v>
      </c>
      <c r="X14">
        <f>R14/U14-O10*R14/U14^2+P10*L14/V14*(F14-S14/V14)+Q10*N14/W14*(H14-T14/W14)</f>
        <v>0.29715046072539586</v>
      </c>
      <c r="Y14">
        <f>S14/V14-P10*S14/V14^2+O10*M14/U14*(G14-R14/U14)+Q10*P14/W14*(J14-T14/W14)</f>
        <v>2.6682039529062767</v>
      </c>
      <c r="Z14">
        <f>T14/W14-Q10*T14/W14^2+O10*O14/U14*(I14-R14/U14)+P10*Q14/V14*(K14-S14/V14)</f>
        <v>0.64064588847068737</v>
      </c>
      <c r="AA14" s="26">
        <f>EXP(X14)</f>
        <v>1.3460178070286382</v>
      </c>
      <c r="AB14" s="26">
        <f t="shared" ref="AB14:AC14" si="3">EXP(Y14)</f>
        <v>14.414057604282755</v>
      </c>
      <c r="AC14" s="26">
        <f t="shared" si="3"/>
        <v>1.8977061901042356</v>
      </c>
    </row>
    <row r="15" spans="1:37" ht="15.75" thickBot="1" x14ac:dyDescent="0.3">
      <c r="G15" s="34"/>
    </row>
    <row r="18" spans="1:41" ht="15.75" thickBot="1" x14ac:dyDescent="0.3"/>
    <row r="19" spans="1:41" ht="15.75" thickBot="1" x14ac:dyDescent="0.3">
      <c r="B19" s="34" t="s">
        <v>73</v>
      </c>
      <c r="C19" s="35" t="s">
        <v>29</v>
      </c>
      <c r="D19" s="35" t="s">
        <v>30</v>
      </c>
      <c r="E19" s="36" t="s">
        <v>31</v>
      </c>
      <c r="G19" s="34" t="s">
        <v>7</v>
      </c>
      <c r="I19" s="34" t="s">
        <v>65</v>
      </c>
      <c r="K19" s="34" t="s">
        <v>66</v>
      </c>
    </row>
    <row r="20" spans="1:41" ht="15.75" thickBot="1" x14ac:dyDescent="0.3">
      <c r="A20" s="37" t="s">
        <v>67</v>
      </c>
      <c r="B20" s="48">
        <v>12.802468396553602</v>
      </c>
      <c r="C20" s="39">
        <v>0.99668005240521662</v>
      </c>
      <c r="D20" s="39">
        <v>2.8519914189287761E-3</v>
      </c>
      <c r="E20" s="39">
        <v>4.679561758545622E-4</v>
      </c>
      <c r="H20" s="49">
        <f>$B$22+$B$21*H10</f>
        <v>17.020703770124872</v>
      </c>
      <c r="I20" s="50">
        <f>$B$20*C20</f>
        <v>12.759964872393173</v>
      </c>
      <c r="L20" s="51">
        <f>MINVERSE(H20)</f>
        <v>5.8751977209968421E-2</v>
      </c>
    </row>
    <row r="21" spans="1:41" ht="15.75" thickBot="1" x14ac:dyDescent="0.3">
      <c r="A21" s="41" t="s">
        <v>68</v>
      </c>
      <c r="B21" s="52">
        <f>B20-B22</f>
        <v>12.778504419944202</v>
      </c>
      <c r="C21">
        <f>AB10</f>
        <v>0.9971432767600491</v>
      </c>
      <c r="D21">
        <f t="shared" ref="D21:E21" si="4">AC10</f>
        <v>2.8567269513940798E-3</v>
      </c>
      <c r="E21">
        <f t="shared" si="4"/>
        <v>0</v>
      </c>
      <c r="G21" s="34" t="s">
        <v>8</v>
      </c>
      <c r="I21" s="34" t="s">
        <v>65</v>
      </c>
      <c r="K21" s="34" t="s">
        <v>66</v>
      </c>
    </row>
    <row r="22" spans="1:41" ht="15.75" thickBot="1" x14ac:dyDescent="0.3">
      <c r="A22" s="42" t="s">
        <v>69</v>
      </c>
      <c r="B22" s="53">
        <f>B20*E20/E22</f>
        <v>2.3963976609400448E-2</v>
      </c>
      <c r="C22" s="44">
        <f>O10</f>
        <v>0.74967316816000285</v>
      </c>
      <c r="D22" s="44">
        <f>P10</f>
        <v>3.2683091387313701E-4</v>
      </c>
      <c r="E22">
        <v>0.25</v>
      </c>
      <c r="H22" s="49">
        <f>$B$22+$B$21*I10</f>
        <v>111.71688048307142</v>
      </c>
      <c r="I22" s="50">
        <f>$B$20*D20</f>
        <v>3.651253000807772E-2</v>
      </c>
      <c r="L22" s="51">
        <f>MINVERSE(H22)</f>
        <v>8.9511987416398646E-3</v>
      </c>
    </row>
    <row r="23" spans="1:41" ht="15.75" thickBot="1" x14ac:dyDescent="0.3">
      <c r="G23" s="34" t="s">
        <v>9</v>
      </c>
      <c r="I23" s="34" t="s">
        <v>65</v>
      </c>
      <c r="K23" s="34" t="s">
        <v>66</v>
      </c>
    </row>
    <row r="24" spans="1:41" ht="15.75" thickBot="1" x14ac:dyDescent="0.3">
      <c r="A24" s="54"/>
      <c r="H24" s="49">
        <f>$B$22+$B$21*J10</f>
        <v>2.3963976609400448E-2</v>
      </c>
      <c r="I24" s="50">
        <f>$B$20*E20</f>
        <v>5.990994152350112E-3</v>
      </c>
      <c r="L24" s="51">
        <f>MINVERSE(H24)</f>
        <v>41.72930128832315</v>
      </c>
    </row>
    <row r="27" spans="1:41" ht="15.75" thickBot="1" x14ac:dyDescent="0.3"/>
    <row r="28" spans="1:41" ht="15.75" thickBot="1" x14ac:dyDescent="0.3">
      <c r="C28" s="24" t="s">
        <v>21</v>
      </c>
      <c r="D28" s="25" t="s">
        <v>22</v>
      </c>
      <c r="E28" s="26" t="s">
        <v>23</v>
      </c>
      <c r="F28" s="25" t="s">
        <v>24</v>
      </c>
      <c r="G28" s="25" t="s">
        <v>25</v>
      </c>
      <c r="H28" s="24" t="s">
        <v>29</v>
      </c>
      <c r="I28" s="24" t="s">
        <v>30</v>
      </c>
      <c r="J28" s="25" t="s">
        <v>31</v>
      </c>
      <c r="K28" s="24" t="s">
        <v>43</v>
      </c>
      <c r="L28" s="25" t="s">
        <v>44</v>
      </c>
      <c r="M28" s="25" t="s">
        <v>45</v>
      </c>
      <c r="N28" s="25" t="s">
        <v>46</v>
      </c>
      <c r="O28" s="25" t="s">
        <v>47</v>
      </c>
      <c r="P28" s="25" t="s">
        <v>48</v>
      </c>
      <c r="Q28" s="24" t="s">
        <v>49</v>
      </c>
      <c r="R28" s="25" t="s">
        <v>50</v>
      </c>
      <c r="S28" s="25" t="s">
        <v>51</v>
      </c>
      <c r="T28" s="25" t="s">
        <v>52</v>
      </c>
      <c r="U28" s="25" t="s">
        <v>53</v>
      </c>
      <c r="V28" s="25" t="s">
        <v>54</v>
      </c>
      <c r="W28" s="32" t="s">
        <v>55</v>
      </c>
      <c r="X28" s="33" t="s">
        <v>56</v>
      </c>
      <c r="Y28" s="33" t="s">
        <v>57</v>
      </c>
      <c r="Z28" s="32" t="s">
        <v>58</v>
      </c>
      <c r="AA28" s="33" t="s">
        <v>59</v>
      </c>
      <c r="AB28" s="33" t="s">
        <v>60</v>
      </c>
      <c r="AC28" s="32" t="s">
        <v>61</v>
      </c>
      <c r="AD28" s="33" t="s">
        <v>62</v>
      </c>
      <c r="AE28" s="33" t="s">
        <v>63</v>
      </c>
      <c r="AF28" s="32" t="s">
        <v>40</v>
      </c>
      <c r="AG28" s="33" t="s">
        <v>41</v>
      </c>
      <c r="AH28" s="33" t="s">
        <v>42</v>
      </c>
      <c r="AI28" s="45" t="s">
        <v>70</v>
      </c>
      <c r="AJ28" s="45" t="s">
        <v>71</v>
      </c>
      <c r="AK28" s="45" t="s">
        <v>72</v>
      </c>
      <c r="AL28" s="45" t="s">
        <v>18</v>
      </c>
      <c r="AM28" s="45" t="s">
        <v>33</v>
      </c>
      <c r="AN28" s="45" t="s">
        <v>34</v>
      </c>
      <c r="AO28" s="45" t="s">
        <v>35</v>
      </c>
    </row>
    <row r="29" spans="1:41" x14ac:dyDescent="0.25">
      <c r="C29">
        <v>45</v>
      </c>
      <c r="D29">
        <f>273.15+C29</f>
        <v>318.14999999999998</v>
      </c>
      <c r="E29">
        <f>EXP(C3+D3/(D29+E3))/1000</f>
        <v>72.510769026390932</v>
      </c>
      <c r="F29">
        <f>EXP(C4+D4/(D29+E4))/1000</f>
        <v>44.55814639452187</v>
      </c>
      <c r="G29">
        <v>0</v>
      </c>
      <c r="H29" s="44">
        <f>1-J29</f>
        <v>0.75</v>
      </c>
      <c r="I29" s="44">
        <v>0</v>
      </c>
      <c r="J29" s="44">
        <f t="shared" ref="J29" si="5">E22</f>
        <v>0.25</v>
      </c>
      <c r="K29" s="29">
        <f>I4/$O$1/$D$29</f>
        <v>2.1071800296631609</v>
      </c>
      <c r="L29" s="29">
        <f>J4/$O$1/$D$29</f>
        <v>2.8350922655412045</v>
      </c>
      <c r="M29" s="29">
        <f>I5/$O$1/$D$29</f>
        <v>7.2849444468829168</v>
      </c>
      <c r="N29" s="29">
        <f>J5/$O$1/$D$29</f>
        <v>6.1290709297054313</v>
      </c>
      <c r="O29" s="29">
        <f>I6/$O$1/$D$29</f>
        <v>4.0246507210259157</v>
      </c>
      <c r="P29" s="29">
        <f>J6/$O$1/$D$29</f>
        <v>0.21292207917654202</v>
      </c>
      <c r="Q29" s="29">
        <f>EXP(-$L$4*K29)</f>
        <v>0.43047242445194145</v>
      </c>
      <c r="R29" s="29">
        <f t="shared" ref="R29:V29" si="6">EXP(-$L$4*L29)</f>
        <v>0.32173183009668638</v>
      </c>
      <c r="S29" s="29">
        <f t="shared" si="6"/>
        <v>5.425946787469077E-2</v>
      </c>
      <c r="T29" s="29">
        <f t="shared" si="6"/>
        <v>8.6153182795249569E-2</v>
      </c>
      <c r="U29" s="29">
        <f t="shared" si="6"/>
        <v>0.19991554264238187</v>
      </c>
      <c r="V29" s="29">
        <f t="shared" si="6"/>
        <v>0.91835722352796123</v>
      </c>
      <c r="W29" s="46">
        <f>I29*L29*R29+J29*N29*T29</f>
        <v>0.13200974204299057</v>
      </c>
      <c r="X29" s="46">
        <f>H29*K29*Q29+J29*P29*V29</f>
        <v>0.72919680445945356</v>
      </c>
      <c r="Y29" s="46">
        <f>H29*M29*S29+I29*O29*U29</f>
        <v>0.29645790688841289</v>
      </c>
      <c r="Z29" s="46">
        <f>H29+R29*I29+J29*T29</f>
        <v>0.77153829569881238</v>
      </c>
      <c r="AA29" s="46">
        <f>H29*Q29+I29+J29*V29</f>
        <v>0.55244362422094639</v>
      </c>
      <c r="AB29" s="46">
        <f>H29*S29+I29*U29+J29</f>
        <v>0.29069460090601806</v>
      </c>
      <c r="AC29">
        <f>W29/Z29-H29*W29/Z29^2+I29*Q29/AA29*(K29-X29/AA29)+J29*S29/AB29*(M29-Y29/AB29)</f>
        <v>0.29712962409383359</v>
      </c>
      <c r="AD29">
        <f>X29/AA29-I29*X29/AA29^2+H29*R29/Z29*(L29-W29/Z29)+J29*U29/AB29*(O29-Y29/AB29)</f>
        <v>2.6697296738274257</v>
      </c>
      <c r="AE29">
        <f>Y29/AB29-J29*Y29/AB29^2+H29*T29/Z29*(N29-W29/Z29)+I29*V29/AA29*(P29-X29/AA29)</f>
        <v>0.64173531991614929</v>
      </c>
      <c r="AF29" s="26">
        <f>EXP(AC29)</f>
        <v>1.3459897608437119</v>
      </c>
      <c r="AG29" s="26">
        <f t="shared" ref="AG29:AH29" si="7">EXP(AD29)</f>
        <v>14.436066218760685</v>
      </c>
      <c r="AH29" s="26">
        <f t="shared" si="7"/>
        <v>1.899774737467665</v>
      </c>
      <c r="AI29" s="44">
        <f>AF29*E29*H29</f>
        <v>73.199064495319163</v>
      </c>
      <c r="AJ29" s="44">
        <f>AG29*F29*I29</f>
        <v>0</v>
      </c>
      <c r="AK29" s="44">
        <f>AH29*G29*J29</f>
        <v>0</v>
      </c>
      <c r="AL29" s="44">
        <f>SUM(AI29:AK29)</f>
        <v>73.199064495319163</v>
      </c>
      <c r="AM29">
        <f>AI29/AL29</f>
        <v>1</v>
      </c>
      <c r="AN29">
        <f t="shared" ref="AN29:AO29" si="8">AJ29/AM29</f>
        <v>0</v>
      </c>
      <c r="AO29" t="e">
        <f t="shared" si="8"/>
        <v>#DIV/0!</v>
      </c>
    </row>
    <row r="31" spans="1:41" x14ac:dyDescent="0.25">
      <c r="A31">
        <v>12.802468396553602</v>
      </c>
      <c r="B31">
        <v>0.99668005240521662</v>
      </c>
      <c r="C31">
        <v>2.8519914189287761E-3</v>
      </c>
      <c r="D31">
        <v>4.679561758545622E-4</v>
      </c>
    </row>
  </sheetData>
  <mergeCells count="9">
    <mergeCell ref="O8:Q8"/>
    <mergeCell ref="C12:E12"/>
    <mergeCell ref="AA12:AC12"/>
    <mergeCell ref="C1:E1"/>
    <mergeCell ref="H1:H2"/>
    <mergeCell ref="K1:K2"/>
    <mergeCell ref="L1:L2"/>
    <mergeCell ref="I2:J2"/>
    <mergeCell ref="H3:L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Button 1">
              <controlPr defaultSize="0" print="0" autoFill="0" autoPict="0" macro="[1]!Module1.Solver">
                <anchor moveWithCells="1" sizeWithCells="1">
                  <from>
                    <xdr:col>20</xdr:col>
                    <xdr:colOff>171450</xdr:colOff>
                    <xdr:row>3</xdr:row>
                    <xdr:rowOff>0</xdr:rowOff>
                  </from>
                  <to>
                    <xdr:col>21</xdr:col>
                    <xdr:colOff>590550</xdr:colOff>
                    <xdr:row>5</xdr:row>
                    <xdr:rowOff>104775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Worksheet____3"/>
  <dimension ref="A1:AL36"/>
  <sheetViews>
    <sheetView zoomScale="55" zoomScaleNormal="55" workbookViewId="0">
      <selection activeCell="AE10" sqref="AE10"/>
    </sheetView>
  </sheetViews>
  <sheetFormatPr defaultRowHeight="15" x14ac:dyDescent="0.25"/>
  <cols>
    <col min="19" max="19" width="14.42578125" bestFit="1" customWidth="1"/>
    <col min="20" max="20" width="14.28515625" bestFit="1" customWidth="1"/>
    <col min="23" max="23" width="12" bestFit="1" customWidth="1"/>
    <col min="25" max="25" width="10.28515625" bestFit="1" customWidth="1"/>
  </cols>
  <sheetData>
    <row r="1" spans="1:37" ht="15.75" thickBot="1" x14ac:dyDescent="0.3">
      <c r="C1" s="58" t="s">
        <v>0</v>
      </c>
      <c r="D1" s="59"/>
      <c r="E1" s="59"/>
      <c r="H1" s="60" t="s">
        <v>1</v>
      </c>
      <c r="I1" s="1" t="s">
        <v>2</v>
      </c>
      <c r="J1" s="1" t="s">
        <v>3</v>
      </c>
      <c r="K1" s="60" t="s">
        <v>4</v>
      </c>
      <c r="L1" s="60" t="s">
        <v>5</v>
      </c>
      <c r="N1" s="2" t="s">
        <v>6</v>
      </c>
      <c r="O1" s="3">
        <f>8.314/1000</f>
        <v>8.3140000000000002E-3</v>
      </c>
    </row>
    <row r="2" spans="1:37" ht="15.75" thickBot="1" x14ac:dyDescent="0.3">
      <c r="C2" s="2" t="s">
        <v>7</v>
      </c>
      <c r="D2" s="4" t="s">
        <v>8</v>
      </c>
      <c r="E2" s="3" t="s">
        <v>9</v>
      </c>
      <c r="H2" s="61"/>
      <c r="I2" s="62" t="s">
        <v>10</v>
      </c>
      <c r="J2" s="62"/>
      <c r="K2" s="61"/>
      <c r="L2" s="61"/>
    </row>
    <row r="3" spans="1:37" ht="15.75" thickBot="1" x14ac:dyDescent="0.3">
      <c r="A3" s="5" t="s">
        <v>7</v>
      </c>
      <c r="B3" s="6" t="s">
        <v>11</v>
      </c>
      <c r="C3" s="5">
        <v>20.840540000000001</v>
      </c>
      <c r="D3" s="7">
        <v>-2624.5250000000001</v>
      </c>
      <c r="E3" s="6">
        <v>-46.151710000000001</v>
      </c>
      <c r="H3" s="62" t="s">
        <v>12</v>
      </c>
      <c r="I3" s="62"/>
      <c r="J3" s="62"/>
      <c r="K3" s="62"/>
      <c r="L3" s="62"/>
    </row>
    <row r="4" spans="1:37" x14ac:dyDescent="0.25">
      <c r="A4" s="8" t="s">
        <v>8</v>
      </c>
      <c r="B4" s="9" t="s">
        <v>13</v>
      </c>
      <c r="C4" s="8">
        <v>23.534700000000001</v>
      </c>
      <c r="D4" s="10">
        <v>-3661.4679999999998</v>
      </c>
      <c r="E4" s="9">
        <v>-32.770009999999999</v>
      </c>
      <c r="H4" s="11" t="s">
        <v>14</v>
      </c>
      <c r="I4" s="12">
        <v>5.5736999999999997</v>
      </c>
      <c r="J4" s="12">
        <v>7.4991000000000003</v>
      </c>
      <c r="K4" s="11">
        <v>6.4999999999999997E-3</v>
      </c>
      <c r="L4" s="11">
        <v>0.4</v>
      </c>
    </row>
    <row r="5" spans="1:37" ht="15.75" thickBot="1" x14ac:dyDescent="0.3">
      <c r="A5" s="13" t="s">
        <v>9</v>
      </c>
      <c r="B5" s="14" t="s">
        <v>15</v>
      </c>
      <c r="C5" s="13" t="s">
        <v>16</v>
      </c>
      <c r="D5" s="15" t="s">
        <v>16</v>
      </c>
      <c r="E5" s="14" t="s">
        <v>16</v>
      </c>
      <c r="H5" s="16" t="s">
        <v>17</v>
      </c>
      <c r="I5" s="17">
        <v>19.269400000000001</v>
      </c>
      <c r="J5" s="17">
        <v>16.212</v>
      </c>
      <c r="K5" s="16"/>
      <c r="L5" s="16"/>
    </row>
    <row r="6" spans="1:37" ht="15.75" thickBot="1" x14ac:dyDescent="0.3">
      <c r="A6" s="18" t="s">
        <v>18</v>
      </c>
      <c r="B6">
        <v>2.5</v>
      </c>
      <c r="H6" s="19" t="s">
        <v>19</v>
      </c>
      <c r="I6" s="20">
        <v>10.6456</v>
      </c>
      <c r="J6" s="20">
        <v>0.56320000000000003</v>
      </c>
      <c r="K6" s="21"/>
      <c r="L6" s="21"/>
    </row>
    <row r="7" spans="1:37" ht="15.75" thickBot="1" x14ac:dyDescent="0.3">
      <c r="AI7" s="22"/>
      <c r="AJ7" s="22"/>
      <c r="AK7" s="22"/>
    </row>
    <row r="8" spans="1:37" ht="15.75" thickBot="1" x14ac:dyDescent="0.3">
      <c r="O8" s="55" t="s">
        <v>20</v>
      </c>
      <c r="P8" s="56"/>
      <c r="Q8" s="57"/>
      <c r="AG8" s="23"/>
      <c r="AH8" s="23"/>
      <c r="AI8" s="23"/>
      <c r="AJ8" s="10"/>
    </row>
    <row r="9" spans="1:37" ht="15.75" thickBot="1" x14ac:dyDescent="0.3">
      <c r="B9" s="24"/>
      <c r="C9" s="24" t="s">
        <v>21</v>
      </c>
      <c r="D9" s="25" t="s">
        <v>22</v>
      </c>
      <c r="E9" s="26" t="s">
        <v>23</v>
      </c>
      <c r="F9" s="25" t="s">
        <v>24</v>
      </c>
      <c r="G9" s="25" t="s">
        <v>25</v>
      </c>
      <c r="H9" s="24" t="s">
        <v>26</v>
      </c>
      <c r="I9" s="25" t="s">
        <v>27</v>
      </c>
      <c r="J9" s="25" t="s">
        <v>28</v>
      </c>
      <c r="K9" s="24" t="s">
        <v>29</v>
      </c>
      <c r="L9" s="24" t="s">
        <v>30</v>
      </c>
      <c r="M9" s="25" t="s">
        <v>31</v>
      </c>
      <c r="N9" s="24" t="s">
        <v>32</v>
      </c>
      <c r="O9" s="24" t="s">
        <v>29</v>
      </c>
      <c r="P9" s="25" t="s">
        <v>30</v>
      </c>
      <c r="Q9" s="25" t="s">
        <v>31</v>
      </c>
      <c r="S9" s="24"/>
      <c r="T9" s="24" t="s">
        <v>21</v>
      </c>
      <c r="U9" s="25" t="s">
        <v>22</v>
      </c>
      <c r="V9" s="26" t="s">
        <v>23</v>
      </c>
      <c r="W9" s="27" t="s">
        <v>24</v>
      </c>
      <c r="X9" s="25" t="s">
        <v>25</v>
      </c>
      <c r="Y9" s="24" t="s">
        <v>26</v>
      </c>
      <c r="Z9" s="25" t="s">
        <v>27</v>
      </c>
      <c r="AA9" s="25" t="s">
        <v>28</v>
      </c>
      <c r="AB9" s="24" t="s">
        <v>33</v>
      </c>
      <c r="AC9" s="25" t="s">
        <v>34</v>
      </c>
      <c r="AD9" s="25" t="s">
        <v>35</v>
      </c>
      <c r="AE9" s="24" t="s">
        <v>36</v>
      </c>
      <c r="AF9" s="28" t="s">
        <v>37</v>
      </c>
      <c r="AG9" s="10"/>
      <c r="AH9" s="10"/>
      <c r="AI9" s="10"/>
      <c r="AJ9" s="10"/>
    </row>
    <row r="10" spans="1:37" x14ac:dyDescent="0.25">
      <c r="A10">
        <v>0</v>
      </c>
      <c r="B10" s="29"/>
      <c r="C10" s="29">
        <v>45.5658978831149</v>
      </c>
      <c r="D10" s="30">
        <v>318.71589788311485</v>
      </c>
      <c r="E10" s="29">
        <v>73.978051664784971</v>
      </c>
      <c r="F10" s="31">
        <v>45.704024402586896</v>
      </c>
      <c r="G10" s="29">
        <v>0</v>
      </c>
      <c r="H10" s="29">
        <v>16077.405904551066</v>
      </c>
      <c r="I10" s="29">
        <v>49.809593532351037</v>
      </c>
      <c r="J10" s="29">
        <v>0</v>
      </c>
      <c r="K10" s="29">
        <f>MMULT(L20,I20)</f>
        <v>2.3696627772440744E-7</v>
      </c>
      <c r="L10" s="29">
        <f>MMULT(L22,I22)</f>
        <v>1.9999962181421718E-2</v>
      </c>
      <c r="M10" s="29">
        <f>MMULT(L24,I24)</f>
        <v>0.98</v>
      </c>
      <c r="N10" s="26">
        <f>SUM(K10:M10)</f>
        <v>1.0000001991476994</v>
      </c>
      <c r="O10" s="29">
        <f>K10/(K10+L10+M10)</f>
        <v>2.3696623053312777E-7</v>
      </c>
      <c r="P10" s="29">
        <f>L10/(K10+L10+M10)</f>
        <v>1.9999958198476053E-2</v>
      </c>
      <c r="Q10" s="29">
        <f>M10/(K10+L10+M10)</f>
        <v>0.97999980483529336</v>
      </c>
      <c r="S10" s="29"/>
      <c r="T10" s="29">
        <v>45.5658978831149</v>
      </c>
      <c r="U10" s="30">
        <f>T10+273.15</f>
        <v>318.71589788311485</v>
      </c>
      <c r="V10" s="29">
        <f>EXP(C3+D3/(U10+E3))/1000</f>
        <v>73.978051664784971</v>
      </c>
      <c r="W10" s="29">
        <f>EXP(C4+D4/(U10+E4))/1000</f>
        <v>45.704024402586896</v>
      </c>
      <c r="X10" s="29">
        <v>0</v>
      </c>
      <c r="Y10" s="29">
        <f>V10*AA14/$B$6</f>
        <v>16077.405017733614</v>
      </c>
      <c r="Z10" s="29">
        <f t="shared" ref="Z10:AA10" si="0">W10*AB14/$B$6</f>
        <v>49.809594229626242</v>
      </c>
      <c r="AA10" s="29">
        <f t="shared" si="0"/>
        <v>0</v>
      </c>
      <c r="AB10" s="29">
        <f>(O10*AA14*V10)/$B$6</f>
        <v>3.8098020638067292E-3</v>
      </c>
      <c r="AC10" s="29">
        <f t="shared" ref="AC10:AD10" si="1">(P10*AB14*W10)/$B$6</f>
        <v>0.99618980247557887</v>
      </c>
      <c r="AD10" s="29">
        <f t="shared" si="1"/>
        <v>0</v>
      </c>
      <c r="AE10" s="29">
        <f>SUM(AB10:AD10)</f>
        <v>0.99999960453938563</v>
      </c>
      <c r="AF10">
        <f>V10*O10*AA14+W10*P10*AB14+Q10*X10*AC14</f>
        <v>2.4999990113484638</v>
      </c>
    </row>
    <row r="11" spans="1:37" ht="15.75" thickBot="1" x14ac:dyDescent="0.3"/>
    <row r="12" spans="1:37" ht="15.75" thickBot="1" x14ac:dyDescent="0.3">
      <c r="C12" s="55" t="s">
        <v>38</v>
      </c>
      <c r="D12" s="56"/>
      <c r="E12" s="57"/>
      <c r="AA12" s="55" t="s">
        <v>39</v>
      </c>
      <c r="AB12" s="56"/>
      <c r="AC12" s="57"/>
    </row>
    <row r="13" spans="1:37" ht="15.75" thickBot="1" x14ac:dyDescent="0.3">
      <c r="B13" s="24"/>
      <c r="C13" s="24" t="s">
        <v>40</v>
      </c>
      <c r="D13" s="25" t="s">
        <v>41</v>
      </c>
      <c r="E13" s="25" t="s">
        <v>42</v>
      </c>
      <c r="F13" s="24" t="s">
        <v>43</v>
      </c>
      <c r="G13" s="25" t="s">
        <v>44</v>
      </c>
      <c r="H13" s="25" t="s">
        <v>45</v>
      </c>
      <c r="I13" s="25" t="s">
        <v>46</v>
      </c>
      <c r="J13" s="25" t="s">
        <v>47</v>
      </c>
      <c r="K13" s="25" t="s">
        <v>48</v>
      </c>
      <c r="L13" s="24" t="s">
        <v>49</v>
      </c>
      <c r="M13" s="25" t="s">
        <v>50</v>
      </c>
      <c r="N13" s="25" t="s">
        <v>51</v>
      </c>
      <c r="O13" s="25" t="s">
        <v>52</v>
      </c>
      <c r="P13" s="25" t="s">
        <v>53</v>
      </c>
      <c r="Q13" s="25" t="s">
        <v>54</v>
      </c>
      <c r="R13" s="32" t="s">
        <v>55</v>
      </c>
      <c r="S13" s="33" t="s">
        <v>56</v>
      </c>
      <c r="T13" s="33" t="s">
        <v>57</v>
      </c>
      <c r="U13" s="32" t="s">
        <v>58</v>
      </c>
      <c r="V13" s="33" t="s">
        <v>59</v>
      </c>
      <c r="W13" s="33" t="s">
        <v>60</v>
      </c>
      <c r="X13" s="32" t="s">
        <v>61</v>
      </c>
      <c r="Y13" s="33" t="s">
        <v>62</v>
      </c>
      <c r="Z13" s="33" t="s">
        <v>63</v>
      </c>
      <c r="AA13" s="32" t="s">
        <v>40</v>
      </c>
      <c r="AB13" s="33" t="s">
        <v>41</v>
      </c>
      <c r="AC13" s="33" t="s">
        <v>42</v>
      </c>
    </row>
    <row r="14" spans="1:37" x14ac:dyDescent="0.25">
      <c r="B14" s="29"/>
      <c r="C14" s="29">
        <v>1</v>
      </c>
      <c r="D14" s="29">
        <v>1</v>
      </c>
      <c r="E14" s="29">
        <v>1</v>
      </c>
      <c r="F14" s="29">
        <f>I4/$O$1/$D$10</f>
        <v>2.1034386137938914</v>
      </c>
      <c r="G14" s="29">
        <f>J4/$O$1/$D$10</f>
        <v>2.8300584008292109</v>
      </c>
      <c r="H14" s="29">
        <f>I5/$O$1/$D$10</f>
        <v>7.2720096210129741</v>
      </c>
      <c r="I14" s="29">
        <f>J5/$O$1/$D$10</f>
        <v>6.1181884218430431</v>
      </c>
      <c r="J14" s="29">
        <f>I6/$O$1/$D$10</f>
        <v>4.0175047288164514</v>
      </c>
      <c r="K14" s="29">
        <f>J6/$O$1/$D$10</f>
        <v>0.21254402412916371</v>
      </c>
      <c r="L14" s="29">
        <f>EXP(-$L$4*F14)</f>
        <v>0.43111713730344031</v>
      </c>
      <c r="M14" s="29">
        <f t="shared" ref="M14:Q14" si="2">EXP(-$L$4*G14)</f>
        <v>0.32238030454661981</v>
      </c>
      <c r="N14" s="29">
        <f t="shared" si="2"/>
        <v>5.4540930087249827E-2</v>
      </c>
      <c r="O14" s="29">
        <f t="shared" si="2"/>
        <v>8.6529025299231024E-2</v>
      </c>
      <c r="P14" s="29">
        <f t="shared" si="2"/>
        <v>0.20048779808344472</v>
      </c>
      <c r="Q14" s="29">
        <f t="shared" si="2"/>
        <v>0.91849610986249297</v>
      </c>
      <c r="R14" s="29">
        <f>P10*G14*M14+Q10*I14*O14</f>
        <v>0.53705982344901682</v>
      </c>
      <c r="S14" s="29">
        <f>O10*F14*L14+Q10*K14*Q14</f>
        <v>0.19131661893790752</v>
      </c>
      <c r="T14" s="29">
        <f>O10*H14*N14+P10*J14*P14</f>
        <v>1.6109273853981147E-2</v>
      </c>
      <c r="U14" s="29">
        <f>O10+M14*P10+Q10*O14</f>
        <v>9.1246257487009486E-2</v>
      </c>
      <c r="V14" s="29">
        <f>O10*L14+P10+Q10*Q14</f>
        <v>0.9201260687658982</v>
      </c>
      <c r="W14" s="29">
        <f>O10*N14+P10*P14+Q10</f>
        <v>0.98400956534062534</v>
      </c>
      <c r="X14">
        <f>R14/U14-O10*R14/U14^2+P10*L14/V14*(F14-S14/V14)+Q10*N14/W14*(H14-T14/W14)</f>
        <v>6.2976924320044398</v>
      </c>
      <c r="Y14">
        <f>S14/V14-P10*S14/V14^2+O10*M14/U14*(G14-R14/U14)+Q10*P14/W14*(J14-T14/W14)</f>
        <v>1.0023119972137675</v>
      </c>
      <c r="Z14">
        <f>T14/W14-Q10*T14/W14^2+O10*O14/U14*(I14-R14/U14)+P10*Q14/V14*(K14-S14/V14)</f>
        <v>1.5899248359417816E-4</v>
      </c>
      <c r="AA14" s="26">
        <f>EXP(X14)</f>
        <v>543.3167221875749</v>
      </c>
      <c r="AB14" s="26">
        <f t="shared" ref="AB14:AC14" si="3">EXP(Y14)</f>
        <v>2.724573759133067</v>
      </c>
      <c r="AC14" s="26">
        <f t="shared" si="3"/>
        <v>1.0001590051235689</v>
      </c>
    </row>
    <row r="18" spans="1:38" ht="15.75" thickBot="1" x14ac:dyDescent="0.3"/>
    <row r="19" spans="1:38" ht="15.75" thickBot="1" x14ac:dyDescent="0.3">
      <c r="B19" s="34" t="s">
        <v>64</v>
      </c>
      <c r="C19" s="35" t="s">
        <v>29</v>
      </c>
      <c r="D19" s="35" t="s">
        <v>30</v>
      </c>
      <c r="E19" s="36" t="s">
        <v>31</v>
      </c>
      <c r="G19" s="34" t="s">
        <v>7</v>
      </c>
      <c r="I19" s="37" t="s">
        <v>65</v>
      </c>
      <c r="K19" s="34" t="s">
        <v>66</v>
      </c>
    </row>
    <row r="20" spans="1:38" ht="15.75" thickBot="1" x14ac:dyDescent="0.3">
      <c r="A20" s="37" t="s">
        <v>67</v>
      </c>
      <c r="B20">
        <v>16.786397025740577</v>
      </c>
      <c r="C20">
        <v>1.8542782363381138E-3</v>
      </c>
      <c r="D20">
        <v>0.4950925479888969</v>
      </c>
      <c r="E20">
        <v>0.50305317377476499</v>
      </c>
      <c r="H20" s="2">
        <f>$B$22+$B$21*H10</f>
        <v>131354.76900034695</v>
      </c>
      <c r="I20" s="40">
        <f>$B$20*C20</f>
        <v>3.1126650671361597E-2</v>
      </c>
      <c r="L20" s="18">
        <f>MINVERSE(H20)</f>
        <v>7.6129706413427497E-6</v>
      </c>
    </row>
    <row r="21" spans="1:38" ht="15.75" thickBot="1" x14ac:dyDescent="0.3">
      <c r="A21" s="41" t="s">
        <v>68</v>
      </c>
      <c r="B21" s="38">
        <f>B20-B22</f>
        <v>8.1696110052894824</v>
      </c>
      <c r="C21">
        <f>AB10</f>
        <v>3.8098020638067292E-3</v>
      </c>
      <c r="D21" s="65">
        <f t="shared" ref="D21:E21" si="4">AC10</f>
        <v>0.99618980247557887</v>
      </c>
      <c r="E21">
        <f t="shared" si="4"/>
        <v>0</v>
      </c>
      <c r="G21" s="34" t="s">
        <v>8</v>
      </c>
      <c r="I21" s="41" t="s">
        <v>65</v>
      </c>
      <c r="K21" s="34" t="s">
        <v>66</v>
      </c>
    </row>
    <row r="22" spans="1:38" ht="15.75" thickBot="1" x14ac:dyDescent="0.3">
      <c r="A22" s="42" t="s">
        <v>69</v>
      </c>
      <c r="B22" s="43">
        <f>B20*E20/E22</f>
        <v>8.6167860204510944</v>
      </c>
      <c r="C22" s="64">
        <f>O10</f>
        <v>2.3696623053312777E-7</v>
      </c>
      <c r="D22" s="44">
        <f>P10</f>
        <v>1.9999958198476053E-2</v>
      </c>
      <c r="E22">
        <v>0.98</v>
      </c>
      <c r="H22" s="2">
        <f>$B$22+$B$21*I10</f>
        <v>415.54178951134196</v>
      </c>
      <c r="I22" s="40">
        <f>$B$20*D20</f>
        <v>8.3108200750271433</v>
      </c>
      <c r="L22" s="18">
        <f>MINVERSE(H22)</f>
        <v>2.4064968319454801E-3</v>
      </c>
    </row>
    <row r="23" spans="1:38" ht="15.75" thickBot="1" x14ac:dyDescent="0.3">
      <c r="G23" s="34" t="s">
        <v>9</v>
      </c>
      <c r="I23" s="41" t="s">
        <v>65</v>
      </c>
      <c r="K23" s="34" t="s">
        <v>66</v>
      </c>
    </row>
    <row r="24" spans="1:38" ht="15.75" thickBot="1" x14ac:dyDescent="0.3">
      <c r="H24" s="2">
        <f>$B$22+$B$21*J10</f>
        <v>8.6167860204510944</v>
      </c>
      <c r="I24" s="40">
        <f>$B$20*E20</f>
        <v>8.4444503000420728</v>
      </c>
      <c r="L24" s="18">
        <f>MINVERSE(H24)</f>
        <v>0.11605255110508701</v>
      </c>
    </row>
    <row r="27" spans="1:38" ht="15.75" thickBot="1" x14ac:dyDescent="0.3"/>
    <row r="28" spans="1:38" ht="15.75" thickBot="1" x14ac:dyDescent="0.3">
      <c r="C28" s="24" t="s">
        <v>21</v>
      </c>
      <c r="D28" s="25" t="s">
        <v>22</v>
      </c>
      <c r="E28" s="26" t="s">
        <v>23</v>
      </c>
      <c r="F28" s="25" t="s">
        <v>24</v>
      </c>
      <c r="G28" s="25" t="s">
        <v>25</v>
      </c>
      <c r="H28" s="24" t="s">
        <v>29</v>
      </c>
      <c r="I28" s="24" t="s">
        <v>30</v>
      </c>
      <c r="J28" s="25" t="s">
        <v>31</v>
      </c>
      <c r="K28" s="24" t="s">
        <v>43</v>
      </c>
      <c r="L28" s="25" t="s">
        <v>44</v>
      </c>
      <c r="M28" s="25" t="s">
        <v>45</v>
      </c>
      <c r="N28" s="25" t="s">
        <v>46</v>
      </c>
      <c r="O28" s="25" t="s">
        <v>47</v>
      </c>
      <c r="P28" s="25" t="s">
        <v>48</v>
      </c>
      <c r="Q28" s="24" t="s">
        <v>49</v>
      </c>
      <c r="R28" s="25" t="s">
        <v>50</v>
      </c>
      <c r="S28" s="25" t="s">
        <v>51</v>
      </c>
      <c r="T28" s="25" t="s">
        <v>52</v>
      </c>
      <c r="U28" s="25" t="s">
        <v>53</v>
      </c>
      <c r="V28" s="25" t="s">
        <v>54</v>
      </c>
      <c r="W28" s="32" t="s">
        <v>55</v>
      </c>
      <c r="X28" s="33" t="s">
        <v>56</v>
      </c>
      <c r="Y28" s="33" t="s">
        <v>57</v>
      </c>
      <c r="Z28" s="32" t="s">
        <v>58</v>
      </c>
      <c r="AA28" s="33" t="s">
        <v>59</v>
      </c>
      <c r="AB28" s="33" t="s">
        <v>60</v>
      </c>
      <c r="AC28" s="32" t="s">
        <v>61</v>
      </c>
      <c r="AD28" s="33" t="s">
        <v>62</v>
      </c>
      <c r="AE28" s="33" t="s">
        <v>63</v>
      </c>
      <c r="AF28" s="32" t="s">
        <v>40</v>
      </c>
      <c r="AG28" s="33" t="s">
        <v>41</v>
      </c>
      <c r="AH28" s="33" t="s">
        <v>42</v>
      </c>
      <c r="AI28" s="45" t="s">
        <v>70</v>
      </c>
      <c r="AJ28" s="45" t="s">
        <v>71</v>
      </c>
      <c r="AK28" s="45" t="s">
        <v>72</v>
      </c>
      <c r="AL28" s="45" t="s">
        <v>18</v>
      </c>
    </row>
    <row r="29" spans="1:38" x14ac:dyDescent="0.25">
      <c r="C29">
        <v>45</v>
      </c>
      <c r="D29">
        <f>C29+273.15</f>
        <v>318.14999999999998</v>
      </c>
      <c r="E29">
        <f>EXP(C3+D3/(D29+E3))/1000</f>
        <v>72.510769026390932</v>
      </c>
      <c r="F29">
        <f>EXP(C4+D4/(D29+E4))/1000</f>
        <v>44.55814639452187</v>
      </c>
      <c r="G29">
        <v>0</v>
      </c>
      <c r="H29" s="44">
        <f>C22</f>
        <v>2.3696623053312777E-7</v>
      </c>
      <c r="I29" s="44">
        <f>D22</f>
        <v>1.9999958198476053E-2</v>
      </c>
      <c r="J29" s="44">
        <f t="shared" ref="J29" si="5">E22</f>
        <v>0.98</v>
      </c>
      <c r="K29" s="29">
        <f>I4/$O$1/$D$29</f>
        <v>2.1071800296631609</v>
      </c>
      <c r="L29" s="29">
        <f>J4/$O$1/$D$29</f>
        <v>2.8350922655412045</v>
      </c>
      <c r="M29" s="29">
        <f>I5/$O$1/$D$29</f>
        <v>7.2849444468829168</v>
      </c>
      <c r="N29" s="29">
        <f>J5/$O$1/$D$29</f>
        <v>6.1290709297054313</v>
      </c>
      <c r="O29" s="29">
        <f>I6/$O$1/$D$29</f>
        <v>4.0246507210259157</v>
      </c>
      <c r="P29" s="29">
        <f>J6/$O$1/$D$29</f>
        <v>0.21292207917654202</v>
      </c>
      <c r="Q29" s="29">
        <f>EXP(-$L$4*K29)</f>
        <v>0.43047242445194145</v>
      </c>
      <c r="R29" s="29">
        <f t="shared" ref="R29:V29" si="6">EXP(-$L$4*L29)</f>
        <v>0.32173183009668638</v>
      </c>
      <c r="S29" s="29">
        <f t="shared" si="6"/>
        <v>5.425946787469077E-2</v>
      </c>
      <c r="T29" s="29">
        <f t="shared" si="6"/>
        <v>8.6153182795249569E-2</v>
      </c>
      <c r="U29" s="29">
        <f t="shared" si="6"/>
        <v>0.19991554264238187</v>
      </c>
      <c r="V29" s="29">
        <f t="shared" si="6"/>
        <v>0.91835722352796123</v>
      </c>
      <c r="W29" s="46">
        <f>I29*L29*R29+J29*N29*T29</f>
        <v>0.53572093914141561</v>
      </c>
      <c r="X29" s="46">
        <f>H29*K29*Q29+J29*P29*V29</f>
        <v>0.19162797381917712</v>
      </c>
      <c r="Y29" s="46">
        <f>H29*M29*S29+I29*O29*U29</f>
        <v>1.6091864691051377E-2</v>
      </c>
      <c r="Z29" s="46">
        <f>H29+R29*I29+J29*T29</f>
        <v>9.0864979258628034E-2</v>
      </c>
      <c r="AA29" s="46">
        <f>H29*Q29+I29+J29*V29</f>
        <v>0.91999013926330586</v>
      </c>
      <c r="AB29" s="46">
        <f>H29*S29+I29*U29+J29</f>
        <v>0.98399831535373483</v>
      </c>
      <c r="AC29">
        <f>W29/Z29-H29*W29/Z29^2+I29*Q29/AA29*(K29-X29/AA29)+J29*S29/AB29*(M29-Y29/AB29)</f>
        <v>6.3063332107557342</v>
      </c>
      <c r="AD29">
        <f>X29/AA29-I29*X29/AA29^2+H29*R29/Z29*(L29-W29/Z29)+J29*U29/AB29*(O29-Y29/AB29)</f>
        <v>1.0018276500268446</v>
      </c>
      <c r="AE29">
        <f>Y29/AB29-J29*Y29/AB29^2+H29*T29/Z29*(N29-W29/Z29)+I29*V29/AA29*(P29-X29/AA29)</f>
        <v>1.5890928478677282E-4</v>
      </c>
      <c r="AF29" s="26">
        <f>EXP(AC29)</f>
        <v>548.03174316596346</v>
      </c>
      <c r="AG29" s="26">
        <f t="shared" ref="AG29:AH29" si="7">EXP(AD29)</f>
        <v>2.7232544390275497</v>
      </c>
      <c r="AH29" s="26">
        <f t="shared" si="7"/>
        <v>1.0001589219115361</v>
      </c>
      <c r="AI29" s="44">
        <f>AF29*E29*H29</f>
        <v>9.4166122081027412E-3</v>
      </c>
      <c r="AJ29" s="44">
        <f>AG29*F29*I29</f>
        <v>2.426858326944997</v>
      </c>
      <c r="AK29" s="44">
        <f>AH29*G29*J29</f>
        <v>0</v>
      </c>
      <c r="AL29">
        <f>SUM(AI29:AK29)</f>
        <v>2.4362749391530998</v>
      </c>
    </row>
    <row r="33" spans="2:2" x14ac:dyDescent="0.25">
      <c r="B33">
        <v>16.786397025740577</v>
      </c>
    </row>
    <row r="34" spans="2:2" x14ac:dyDescent="0.25">
      <c r="B34">
        <v>1.8542782363381138E-3</v>
      </c>
    </row>
    <row r="35" spans="2:2" x14ac:dyDescent="0.25">
      <c r="B35">
        <v>0.4950925479888969</v>
      </c>
    </row>
    <row r="36" spans="2:2" x14ac:dyDescent="0.25">
      <c r="B36">
        <v>0.50305317377476499</v>
      </c>
    </row>
  </sheetData>
  <mergeCells count="9">
    <mergeCell ref="O8:Q8"/>
    <mergeCell ref="C12:E12"/>
    <mergeCell ref="AA12:AC12"/>
    <mergeCell ref="C1:E1"/>
    <mergeCell ref="H1:H2"/>
    <mergeCell ref="K1:K2"/>
    <mergeCell ref="L1:L2"/>
    <mergeCell ref="I2:J2"/>
    <mergeCell ref="H3:L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Button 1">
              <controlPr defaultSize="0" print="0" autoFill="0" autoPict="0" macro="[1]!Module1.Solver">
                <anchor moveWithCells="1" sizeWithCells="1">
                  <from>
                    <xdr:col>20</xdr:col>
                    <xdr:colOff>171450</xdr:colOff>
                    <xdr:row>3</xdr:row>
                    <xdr:rowOff>0</xdr:rowOff>
                  </from>
                  <to>
                    <xdr:col>21</xdr:col>
                    <xdr:colOff>590550</xdr:colOff>
                    <xdr:row>5</xdr:row>
                    <xdr:rowOff>104775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L36"/>
  <sheetViews>
    <sheetView tabSelected="1" zoomScale="55" zoomScaleNormal="55" workbookViewId="0">
      <selection activeCell="T24" sqref="T24"/>
    </sheetView>
  </sheetViews>
  <sheetFormatPr defaultRowHeight="15" x14ac:dyDescent="0.25"/>
  <cols>
    <col min="19" max="19" width="14.42578125" bestFit="1" customWidth="1"/>
    <col min="20" max="20" width="14.28515625" bestFit="1" customWidth="1"/>
    <col min="23" max="23" width="12" bestFit="1" customWidth="1"/>
    <col min="25" max="25" width="10.28515625" bestFit="1" customWidth="1"/>
  </cols>
  <sheetData>
    <row r="1" spans="1:37" ht="15.75" thickBot="1" x14ac:dyDescent="0.3">
      <c r="C1" s="58" t="s">
        <v>0</v>
      </c>
      <c r="D1" s="59"/>
      <c r="E1" s="59"/>
      <c r="H1" s="60" t="s">
        <v>1</v>
      </c>
      <c r="I1" s="1" t="s">
        <v>2</v>
      </c>
      <c r="J1" s="1" t="s">
        <v>3</v>
      </c>
      <c r="K1" s="60" t="s">
        <v>4</v>
      </c>
      <c r="L1" s="60" t="s">
        <v>5</v>
      </c>
      <c r="N1" s="2" t="s">
        <v>6</v>
      </c>
      <c r="O1" s="3">
        <f>8.314/1000</f>
        <v>8.3140000000000002E-3</v>
      </c>
    </row>
    <row r="2" spans="1:37" ht="15.75" thickBot="1" x14ac:dyDescent="0.3">
      <c r="C2" s="2" t="s">
        <v>7</v>
      </c>
      <c r="D2" s="4" t="s">
        <v>8</v>
      </c>
      <c r="E2" s="3" t="s">
        <v>9</v>
      </c>
      <c r="H2" s="61"/>
      <c r="I2" s="62" t="s">
        <v>10</v>
      </c>
      <c r="J2" s="62"/>
      <c r="K2" s="61"/>
      <c r="L2" s="61"/>
    </row>
    <row r="3" spans="1:37" ht="15.75" thickBot="1" x14ac:dyDescent="0.3">
      <c r="A3" s="5" t="s">
        <v>7</v>
      </c>
      <c r="B3" s="6" t="s">
        <v>11</v>
      </c>
      <c r="C3" s="5">
        <v>20.840540000000001</v>
      </c>
      <c r="D3" s="7">
        <v>-2624.5250000000001</v>
      </c>
      <c r="E3" s="6">
        <v>-46.151710000000001</v>
      </c>
      <c r="H3" s="62" t="s">
        <v>12</v>
      </c>
      <c r="I3" s="62"/>
      <c r="J3" s="62"/>
      <c r="K3" s="62"/>
      <c r="L3" s="62"/>
    </row>
    <row r="4" spans="1:37" x14ac:dyDescent="0.25">
      <c r="A4" s="8" t="s">
        <v>8</v>
      </c>
      <c r="B4" s="9" t="s">
        <v>13</v>
      </c>
      <c r="C4" s="8">
        <v>23.534700000000001</v>
      </c>
      <c r="D4" s="10">
        <v>-3661.4679999999998</v>
      </c>
      <c r="E4" s="9">
        <v>-32.770009999999999</v>
      </c>
      <c r="H4" s="11" t="s">
        <v>14</v>
      </c>
      <c r="I4" s="12">
        <v>5.5736999999999997</v>
      </c>
      <c r="J4" s="12">
        <v>7.4991000000000003</v>
      </c>
      <c r="K4" s="11">
        <v>6.4999999999999997E-3</v>
      </c>
      <c r="L4" s="11">
        <v>0.4</v>
      </c>
    </row>
    <row r="5" spans="1:37" ht="15.75" thickBot="1" x14ac:dyDescent="0.3">
      <c r="A5" s="13" t="s">
        <v>9</v>
      </c>
      <c r="B5" s="14" t="s">
        <v>15</v>
      </c>
      <c r="C5" s="13" t="s">
        <v>16</v>
      </c>
      <c r="D5" s="15" t="s">
        <v>16</v>
      </c>
      <c r="E5" s="14" t="s">
        <v>16</v>
      </c>
      <c r="H5" s="16" t="s">
        <v>17</v>
      </c>
      <c r="I5" s="17">
        <v>19.269400000000001</v>
      </c>
      <c r="J5" s="17">
        <v>16.212</v>
      </c>
      <c r="K5" s="16"/>
      <c r="L5" s="16"/>
    </row>
    <row r="6" spans="1:37" ht="15.75" thickBot="1" x14ac:dyDescent="0.3">
      <c r="A6" s="18" t="s">
        <v>18</v>
      </c>
      <c r="B6">
        <v>2.5</v>
      </c>
      <c r="H6" s="19" t="s">
        <v>19</v>
      </c>
      <c r="I6" s="20">
        <v>10.6456</v>
      </c>
      <c r="J6" s="20">
        <v>0.56320000000000003</v>
      </c>
      <c r="K6" s="21"/>
      <c r="L6" s="21"/>
    </row>
    <row r="7" spans="1:37" ht="15.75" thickBot="1" x14ac:dyDescent="0.3">
      <c r="AI7" s="22"/>
      <c r="AJ7" s="22"/>
      <c r="AK7" s="22"/>
    </row>
    <row r="8" spans="1:37" ht="15.75" thickBot="1" x14ac:dyDescent="0.3">
      <c r="O8" s="55" t="s">
        <v>20</v>
      </c>
      <c r="P8" s="56"/>
      <c r="Q8" s="57"/>
      <c r="AG8" s="23"/>
      <c r="AH8" s="23"/>
      <c r="AI8" s="23"/>
      <c r="AJ8" s="10"/>
    </row>
    <row r="9" spans="1:37" ht="15.75" thickBot="1" x14ac:dyDescent="0.3">
      <c r="B9" s="24"/>
      <c r="C9" s="24" t="s">
        <v>21</v>
      </c>
      <c r="D9" s="25" t="s">
        <v>22</v>
      </c>
      <c r="E9" s="26" t="s">
        <v>23</v>
      </c>
      <c r="F9" s="25" t="s">
        <v>24</v>
      </c>
      <c r="G9" s="25" t="s">
        <v>25</v>
      </c>
      <c r="H9" s="24" t="s">
        <v>26</v>
      </c>
      <c r="I9" s="25" t="s">
        <v>27</v>
      </c>
      <c r="J9" s="25" t="s">
        <v>28</v>
      </c>
      <c r="K9" s="24" t="s">
        <v>29</v>
      </c>
      <c r="L9" s="24" t="s">
        <v>30</v>
      </c>
      <c r="M9" s="25" t="s">
        <v>31</v>
      </c>
      <c r="N9" s="24" t="s">
        <v>32</v>
      </c>
      <c r="O9" s="24" t="s">
        <v>29</v>
      </c>
      <c r="P9" s="25" t="s">
        <v>30</v>
      </c>
      <c r="Q9" s="25" t="s">
        <v>31</v>
      </c>
      <c r="S9" s="24"/>
      <c r="T9" s="24" t="s">
        <v>21</v>
      </c>
      <c r="U9" s="25" t="s">
        <v>22</v>
      </c>
      <c r="V9" s="26" t="s">
        <v>23</v>
      </c>
      <c r="W9" s="27" t="s">
        <v>24</v>
      </c>
      <c r="X9" s="25" t="s">
        <v>25</v>
      </c>
      <c r="Y9" s="24" t="s">
        <v>26</v>
      </c>
      <c r="Z9" s="25" t="s">
        <v>27</v>
      </c>
      <c r="AA9" s="25" t="s">
        <v>28</v>
      </c>
      <c r="AB9" s="24" t="s">
        <v>33</v>
      </c>
      <c r="AC9" s="25" t="s">
        <v>34</v>
      </c>
      <c r="AD9" s="25" t="s">
        <v>35</v>
      </c>
      <c r="AE9" s="24" t="s">
        <v>36</v>
      </c>
      <c r="AF9" s="28" t="s">
        <v>37</v>
      </c>
      <c r="AG9" s="10"/>
      <c r="AH9" s="10"/>
      <c r="AI9" s="10"/>
      <c r="AJ9" s="10"/>
    </row>
    <row r="10" spans="1:37" x14ac:dyDescent="0.25">
      <c r="A10">
        <v>0</v>
      </c>
      <c r="B10" s="29"/>
      <c r="C10" s="29">
        <v>45.609259487512979</v>
      </c>
      <c r="D10" s="30">
        <v>318.75925948751296</v>
      </c>
      <c r="E10" s="29">
        <v>74.09144431405737</v>
      </c>
      <c r="F10" s="31">
        <v>45.792842837224029</v>
      </c>
      <c r="G10" s="29">
        <v>0</v>
      </c>
      <c r="H10" s="29">
        <v>16091.679043216727</v>
      </c>
      <c r="I10" s="29">
        <v>49.908301004971051</v>
      </c>
      <c r="J10" s="29">
        <v>0</v>
      </c>
      <c r="K10" s="29">
        <f>MMULT(L20,I20)</f>
        <v>1.143404445619297E-7</v>
      </c>
      <c r="L10" s="29">
        <f>MMULT(L22,I22)</f>
        <v>1.9999880938106583E-2</v>
      </c>
      <c r="M10" s="29">
        <f>MMULT(L24,I24)</f>
        <v>0.98</v>
      </c>
      <c r="N10" s="26">
        <f>SUM(K10:M10)</f>
        <v>0.9999999952785511</v>
      </c>
      <c r="O10" s="29">
        <f>K10/(K10+L10+M10)</f>
        <v>1.1434044510178227E-7</v>
      </c>
      <c r="P10" s="29">
        <f>L10/(K10+L10+M10)</f>
        <v>1.9999881032535E-2</v>
      </c>
      <c r="Q10" s="29">
        <f>M10/(K10+L10+M10)</f>
        <v>0.98000000462701997</v>
      </c>
      <c r="S10" s="29"/>
      <c r="T10" s="29">
        <v>45.609259487512979</v>
      </c>
      <c r="U10" s="30">
        <f>T10+273.15</f>
        <v>318.75925948751296</v>
      </c>
      <c r="V10" s="29">
        <f>EXP(C3+D3/(U10+E3))/1000</f>
        <v>74.09144431405737</v>
      </c>
      <c r="W10" s="29">
        <f>EXP(C4+D4/(U10+E4))/1000</f>
        <v>45.792842837224029</v>
      </c>
      <c r="X10" s="29">
        <v>0</v>
      </c>
      <c r="Y10" s="29">
        <f>V10*AA14/$B$6</f>
        <v>16091.679071325047</v>
      </c>
      <c r="Z10" s="29">
        <f t="shared" ref="Z10:AA10" si="0">W10*AB14/$B$6</f>
        <v>49.908300983315385</v>
      </c>
      <c r="AA10" s="29">
        <f t="shared" si="0"/>
        <v>0</v>
      </c>
      <c r="AB10" s="29">
        <f>(O10*AA14*V10)/$B$6</f>
        <v>1.83992974745034E-3</v>
      </c>
      <c r="AC10" s="29">
        <f t="shared" ref="AC10:AD10" si="1">(P10*AB14*W10)/$B$6</f>
        <v>0.99816008220225716</v>
      </c>
      <c r="AD10" s="29">
        <f t="shared" si="1"/>
        <v>0</v>
      </c>
      <c r="AE10" s="29">
        <f>SUM(AB10:AD10)</f>
        <v>1.0000000119497074</v>
      </c>
      <c r="AF10">
        <f>V10*O10*AA14+W10*P10*AB14+Q10*X10*AC14</f>
        <v>2.5000000298742688</v>
      </c>
    </row>
    <row r="11" spans="1:37" ht="15.75" thickBot="1" x14ac:dyDescent="0.3"/>
    <row r="12" spans="1:37" ht="15.75" thickBot="1" x14ac:dyDescent="0.3">
      <c r="C12" s="55" t="s">
        <v>38</v>
      </c>
      <c r="D12" s="56"/>
      <c r="E12" s="57"/>
      <c r="AA12" s="55" t="s">
        <v>39</v>
      </c>
      <c r="AB12" s="56"/>
      <c r="AC12" s="57"/>
    </row>
    <row r="13" spans="1:37" ht="15.75" thickBot="1" x14ac:dyDescent="0.3">
      <c r="B13" s="24"/>
      <c r="C13" s="24" t="s">
        <v>40</v>
      </c>
      <c r="D13" s="25" t="s">
        <v>41</v>
      </c>
      <c r="E13" s="25" t="s">
        <v>42</v>
      </c>
      <c r="F13" s="24" t="s">
        <v>43</v>
      </c>
      <c r="G13" s="25" t="s">
        <v>44</v>
      </c>
      <c r="H13" s="25" t="s">
        <v>45</v>
      </c>
      <c r="I13" s="25" t="s">
        <v>46</v>
      </c>
      <c r="J13" s="25" t="s">
        <v>47</v>
      </c>
      <c r="K13" s="25" t="s">
        <v>48</v>
      </c>
      <c r="L13" s="24" t="s">
        <v>49</v>
      </c>
      <c r="M13" s="25" t="s">
        <v>50</v>
      </c>
      <c r="N13" s="25" t="s">
        <v>51</v>
      </c>
      <c r="O13" s="25" t="s">
        <v>52</v>
      </c>
      <c r="P13" s="25" t="s">
        <v>53</v>
      </c>
      <c r="Q13" s="25" t="s">
        <v>54</v>
      </c>
      <c r="R13" s="32" t="s">
        <v>55</v>
      </c>
      <c r="S13" s="33" t="s">
        <v>56</v>
      </c>
      <c r="T13" s="33" t="s">
        <v>57</v>
      </c>
      <c r="U13" s="32" t="s">
        <v>58</v>
      </c>
      <c r="V13" s="33" t="s">
        <v>59</v>
      </c>
      <c r="W13" s="33" t="s">
        <v>60</v>
      </c>
      <c r="X13" s="32" t="s">
        <v>61</v>
      </c>
      <c r="Y13" s="33" t="s">
        <v>62</v>
      </c>
      <c r="Z13" s="33" t="s">
        <v>63</v>
      </c>
      <c r="AA13" s="32" t="s">
        <v>40</v>
      </c>
      <c r="AB13" s="33" t="s">
        <v>41</v>
      </c>
      <c r="AC13" s="33" t="s">
        <v>42</v>
      </c>
    </row>
    <row r="14" spans="1:37" x14ac:dyDescent="0.25">
      <c r="B14" s="29"/>
      <c r="C14" s="29">
        <v>1</v>
      </c>
      <c r="D14" s="29">
        <v>1</v>
      </c>
      <c r="E14" s="29">
        <v>1</v>
      </c>
      <c r="F14" s="29">
        <f>I4/$O$1/$D$10</f>
        <v>2.1031524778767934</v>
      </c>
      <c r="G14" s="29">
        <f>J4/$O$1/$D$10</f>
        <v>2.8296734210391414</v>
      </c>
      <c r="H14" s="29">
        <f>I5/$O$1/$D$10</f>
        <v>7.2710203916965535</v>
      </c>
      <c r="I14" s="29">
        <f>J5/$O$1/$D$10</f>
        <v>6.1173561496561657</v>
      </c>
      <c r="J14" s="29">
        <f>I6/$O$1/$D$10</f>
        <v>4.016958217788039</v>
      </c>
      <c r="K14" s="29">
        <f>J6/$O$1/$D$10</f>
        <v>0.21251511124391517</v>
      </c>
      <c r="L14" s="29">
        <f>EXP(-$L$4*F14)</f>
        <v>0.43116648336630625</v>
      </c>
      <c r="M14" s="29">
        <f t="shared" ref="M14:Q14" si="2">EXP(-$L$4*G14)</f>
        <v>0.32242995232998711</v>
      </c>
      <c r="N14" s="29">
        <f t="shared" si="2"/>
        <v>5.4562515752397595E-2</v>
      </c>
      <c r="O14" s="29">
        <f t="shared" si="2"/>
        <v>8.6557836375142055E-2</v>
      </c>
      <c r="P14" s="29">
        <f t="shared" si="2"/>
        <v>0.20053163039132399</v>
      </c>
      <c r="Q14" s="29">
        <f t="shared" si="2"/>
        <v>0.91850673247296921</v>
      </c>
      <c r="R14" s="29">
        <f>P10*G14*M14+Q10*I14*O14</f>
        <v>0.5371623336300112</v>
      </c>
      <c r="S14" s="29">
        <f>O10*F14*L14+Q10*K14*Q14</f>
        <v>0.19129273380928932</v>
      </c>
      <c r="T14" s="29">
        <f>O10*H14*N14+P10*J14*P14</f>
        <v>1.6110493142742491E-2</v>
      </c>
      <c r="U14" s="29">
        <f>O10+M14*P10+Q10*O14</f>
        <v>9.1275355076514825E-2</v>
      </c>
      <c r="V14" s="29">
        <f>O10*L14+P10+Q10*Q14</f>
        <v>0.92013653240576143</v>
      </c>
      <c r="W14" s="29">
        <f>O10*N14+P10*P14+Q10</f>
        <v>0.98401061961680902</v>
      </c>
      <c r="X14">
        <f>R14/U14-O10*R14/U14^2+P10*L14/V14*(F14-S14/V14)+Q10*N14/W14*(H14-T14/W14)</f>
        <v>6.2970482570900295</v>
      </c>
      <c r="Y14">
        <f>S14/V14-P10*S14/V14^2+O10*M14/U14*(G14-R14/U14)+Q10*P14/W14*(J14-T14/W14)</f>
        <v>1.0023502641885411</v>
      </c>
      <c r="Z14">
        <f>T14/W14-Q10*T14/W14^2+O10*O14/U14*(I14-R14/U14)+P10*Q14/V14*(K14-S14/V14)</f>
        <v>1.5897245831941726E-4</v>
      </c>
      <c r="AA14" s="26">
        <f>EXP(X14)</f>
        <v>542.96684388807262</v>
      </c>
      <c r="AB14" s="26">
        <f t="shared" ref="AB14:AC14" si="3">EXP(Y14)</f>
        <v>2.7246780223232823</v>
      </c>
      <c r="AC14" s="26">
        <f t="shared" si="3"/>
        <v>1.0001589850951103</v>
      </c>
    </row>
    <row r="18" spans="1:38" ht="15.75" thickBot="1" x14ac:dyDescent="0.3"/>
    <row r="19" spans="1:38" ht="15.75" thickBot="1" x14ac:dyDescent="0.3">
      <c r="B19" s="34" t="s">
        <v>64</v>
      </c>
      <c r="C19" s="35" t="s">
        <v>29</v>
      </c>
      <c r="D19" s="35" t="s">
        <v>30</v>
      </c>
      <c r="E19" s="36" t="s">
        <v>31</v>
      </c>
      <c r="G19" s="34" t="s">
        <v>7</v>
      </c>
      <c r="I19" s="37" t="s">
        <v>65</v>
      </c>
      <c r="K19" s="34" t="s">
        <v>66</v>
      </c>
    </row>
    <row r="20" spans="1:38" ht="15.75" thickBot="1" x14ac:dyDescent="0.3">
      <c r="A20" s="37" t="s">
        <v>67</v>
      </c>
      <c r="B20">
        <v>13.929255050414518</v>
      </c>
      <c r="C20">
        <v>7.0180027210197077E-4</v>
      </c>
      <c r="D20">
        <v>0.39305972757135754</v>
      </c>
      <c r="E20">
        <v>0.60623847215654048</v>
      </c>
      <c r="H20" s="2">
        <f>$B$22+$B$21*H10</f>
        <v>85495.163343220775</v>
      </c>
      <c r="I20" s="40">
        <f>$B$20*C20</f>
        <v>9.7755549845586591E-3</v>
      </c>
      <c r="L20" s="18">
        <f>MINVERSE(H20)</f>
        <v>1.1696568096905024E-5</v>
      </c>
    </row>
    <row r="21" spans="1:38" ht="15.75" thickBot="1" x14ac:dyDescent="0.3">
      <c r="A21" s="41" t="s">
        <v>68</v>
      </c>
      <c r="B21" s="38">
        <f>B20-B22</f>
        <v>5.3124690299634238</v>
      </c>
      <c r="C21">
        <f>AB10</f>
        <v>1.83992974745034E-3</v>
      </c>
      <c r="D21" s="65">
        <f t="shared" ref="D21:E21" si="4">AC10</f>
        <v>0.99816008220225716</v>
      </c>
      <c r="E21">
        <f t="shared" si="4"/>
        <v>0</v>
      </c>
      <c r="G21" s="34" t="s">
        <v>8</v>
      </c>
      <c r="I21" s="41" t="s">
        <v>65</v>
      </c>
      <c r="K21" s="34" t="s">
        <v>66</v>
      </c>
    </row>
    <row r="22" spans="1:38" ht="15.75" thickBot="1" x14ac:dyDescent="0.3">
      <c r="A22" s="42" t="s">
        <v>69</v>
      </c>
      <c r="B22" s="43">
        <f>B20*E20/E22</f>
        <v>8.6167860204510944</v>
      </c>
      <c r="C22" s="64">
        <f>O10</f>
        <v>1.1434044510178227E-7</v>
      </c>
      <c r="D22" s="44">
        <f>P10</f>
        <v>1.9999881032535E-2</v>
      </c>
      <c r="E22">
        <v>0.98</v>
      </c>
      <c r="H22" s="2">
        <f>$B$22+$B$21*I10</f>
        <v>273.75308944745223</v>
      </c>
      <c r="I22" s="40">
        <f>$B$20*D20</f>
        <v>5.4750291953878865</v>
      </c>
      <c r="L22" s="18">
        <f>MINVERSE(H22)</f>
        <v>3.6529268108660127E-3</v>
      </c>
    </row>
    <row r="23" spans="1:38" ht="15.75" thickBot="1" x14ac:dyDescent="0.3">
      <c r="G23" s="34" t="s">
        <v>9</v>
      </c>
      <c r="I23" s="41" t="s">
        <v>65</v>
      </c>
      <c r="K23" s="34" t="s">
        <v>66</v>
      </c>
    </row>
    <row r="24" spans="1:38" ht="15.75" thickBot="1" x14ac:dyDescent="0.3">
      <c r="H24" s="2">
        <f>$B$22+$B$21*J10</f>
        <v>8.6167860204510944</v>
      </c>
      <c r="I24" s="40">
        <f>$B$20*E20</f>
        <v>8.4444503000420728</v>
      </c>
      <c r="L24" s="18">
        <f>MINVERSE(H24)</f>
        <v>0.11605255110508701</v>
      </c>
    </row>
    <row r="27" spans="1:38" ht="15.75" thickBot="1" x14ac:dyDescent="0.3"/>
    <row r="28" spans="1:38" ht="15.75" thickBot="1" x14ac:dyDescent="0.3">
      <c r="C28" s="24" t="s">
        <v>21</v>
      </c>
      <c r="D28" s="25" t="s">
        <v>22</v>
      </c>
      <c r="E28" s="26" t="s">
        <v>23</v>
      </c>
      <c r="F28" s="25" t="s">
        <v>24</v>
      </c>
      <c r="G28" s="25" t="s">
        <v>25</v>
      </c>
      <c r="H28" s="24" t="s">
        <v>29</v>
      </c>
      <c r="I28" s="24" t="s">
        <v>30</v>
      </c>
      <c r="J28" s="25" t="s">
        <v>31</v>
      </c>
      <c r="K28" s="24" t="s">
        <v>43</v>
      </c>
      <c r="L28" s="25" t="s">
        <v>44</v>
      </c>
      <c r="M28" s="25" t="s">
        <v>45</v>
      </c>
      <c r="N28" s="25" t="s">
        <v>46</v>
      </c>
      <c r="O28" s="25" t="s">
        <v>47</v>
      </c>
      <c r="P28" s="25" t="s">
        <v>48</v>
      </c>
      <c r="Q28" s="24" t="s">
        <v>49</v>
      </c>
      <c r="R28" s="25" t="s">
        <v>50</v>
      </c>
      <c r="S28" s="25" t="s">
        <v>51</v>
      </c>
      <c r="T28" s="25" t="s">
        <v>52</v>
      </c>
      <c r="U28" s="25" t="s">
        <v>53</v>
      </c>
      <c r="V28" s="25" t="s">
        <v>54</v>
      </c>
      <c r="W28" s="32" t="s">
        <v>55</v>
      </c>
      <c r="X28" s="33" t="s">
        <v>56</v>
      </c>
      <c r="Y28" s="33" t="s">
        <v>57</v>
      </c>
      <c r="Z28" s="32" t="s">
        <v>58</v>
      </c>
      <c r="AA28" s="33" t="s">
        <v>59</v>
      </c>
      <c r="AB28" s="33" t="s">
        <v>60</v>
      </c>
      <c r="AC28" s="32" t="s">
        <v>61</v>
      </c>
      <c r="AD28" s="33" t="s">
        <v>62</v>
      </c>
      <c r="AE28" s="33" t="s">
        <v>63</v>
      </c>
      <c r="AF28" s="32" t="s">
        <v>40</v>
      </c>
      <c r="AG28" s="33" t="s">
        <v>41</v>
      </c>
      <c r="AH28" s="33" t="s">
        <v>42</v>
      </c>
      <c r="AI28" s="45" t="s">
        <v>70</v>
      </c>
      <c r="AJ28" s="45" t="s">
        <v>71</v>
      </c>
      <c r="AK28" s="45" t="s">
        <v>72</v>
      </c>
      <c r="AL28" s="45" t="s">
        <v>18</v>
      </c>
    </row>
    <row r="29" spans="1:38" x14ac:dyDescent="0.25">
      <c r="C29">
        <v>45</v>
      </c>
      <c r="D29">
        <f>C29+273.15</f>
        <v>318.14999999999998</v>
      </c>
      <c r="E29">
        <f>EXP(C3+D3/(D29+E3))/1000</f>
        <v>72.510769026390932</v>
      </c>
      <c r="F29">
        <f>EXP(C4+D4/(D29+E4))/1000</f>
        <v>44.55814639452187</v>
      </c>
      <c r="G29">
        <v>0</v>
      </c>
      <c r="H29" s="44">
        <f>C22</f>
        <v>1.1434044510178227E-7</v>
      </c>
      <c r="I29" s="44">
        <f>D22</f>
        <v>1.9999881032535E-2</v>
      </c>
      <c r="J29" s="44">
        <f t="shared" ref="J29" si="5">E22</f>
        <v>0.98</v>
      </c>
      <c r="K29" s="29">
        <f>I4/$O$1/$D$29</f>
        <v>2.1071800296631609</v>
      </c>
      <c r="L29" s="29">
        <f>J4/$O$1/$D$29</f>
        <v>2.8350922655412045</v>
      </c>
      <c r="M29" s="29">
        <f>I5/$O$1/$D$29</f>
        <v>7.2849444468829168</v>
      </c>
      <c r="N29" s="29">
        <f>J5/$O$1/$D$29</f>
        <v>6.1290709297054313</v>
      </c>
      <c r="O29" s="29">
        <f>I6/$O$1/$D$29</f>
        <v>4.0246507210259157</v>
      </c>
      <c r="P29" s="29">
        <f>J6/$O$1/$D$29</f>
        <v>0.21292207917654202</v>
      </c>
      <c r="Q29" s="29">
        <f>EXP(-$L$4*K29)</f>
        <v>0.43047242445194145</v>
      </c>
      <c r="R29" s="29">
        <f t="shared" ref="R29:V29" si="6">EXP(-$L$4*L29)</f>
        <v>0.32173183009668638</v>
      </c>
      <c r="S29" s="29">
        <f t="shared" si="6"/>
        <v>5.425946787469077E-2</v>
      </c>
      <c r="T29" s="29">
        <f t="shared" si="6"/>
        <v>8.6153182795249569E-2</v>
      </c>
      <c r="U29" s="29">
        <f t="shared" si="6"/>
        <v>0.19991554264238187</v>
      </c>
      <c r="V29" s="29">
        <f t="shared" si="6"/>
        <v>0.91835722352796123</v>
      </c>
      <c r="W29" s="46">
        <f>I29*L29*R29+J29*N29*T29</f>
        <v>0.53572086875531866</v>
      </c>
      <c r="X29" s="46">
        <f>H29*K29*Q29+J29*P29*V29</f>
        <v>0.19162786258742454</v>
      </c>
      <c r="Y29" s="46">
        <f>H29*M29*S29+I29*O29*U29</f>
        <v>1.6091754132910661E-2</v>
      </c>
      <c r="Z29" s="46">
        <f>H29+R29*I29+J29*T29</f>
        <v>9.0864831806103163E-2</v>
      </c>
      <c r="AA29" s="46">
        <f>H29*Q29+I29+J29*V29</f>
        <v>0.91999000931034569</v>
      </c>
      <c r="AB29" s="46">
        <f>H29*S29+I29*U29+J29</f>
        <v>0.98399829327345401</v>
      </c>
      <c r="AC29">
        <f>W29/Z29-H29*W29/Z29^2+I29*Q29/AA29*(K29-X29/AA29)+J29*S29/AB29*(M29-Y29/AB29)</f>
        <v>6.3063499098748776</v>
      </c>
      <c r="AD29">
        <f>X29/AA29-I29*X29/AA29^2+H29*R29/Z29*(L29-W29/Z29)+J29*U29/AB29*(O29-Y29/AB29)</f>
        <v>1.0018289464871954</v>
      </c>
      <c r="AE29">
        <f>Y29/AB29-J29*Y29/AB29^2+H29*T29/Z29*(N29-W29/Z29)+I29*V29/AA29*(P29-X29/AA29)</f>
        <v>1.5888282352548671E-4</v>
      </c>
      <c r="AF29" s="26">
        <f>EXP(AC29)</f>
        <v>548.04089488974967</v>
      </c>
      <c r="AG29" s="26">
        <f t="shared" ref="AG29:AH29" si="7">EXP(AD29)</f>
        <v>2.723257969621244</v>
      </c>
      <c r="AH29" s="26">
        <f t="shared" si="7"/>
        <v>1.0001588954460698</v>
      </c>
      <c r="AI29" s="44">
        <f>AF29*E29*H29</f>
        <v>4.5437597116200438E-3</v>
      </c>
      <c r="AJ29" s="44">
        <f>AG29*F29*I29</f>
        <v>2.4268521097005942</v>
      </c>
      <c r="AK29" s="44">
        <f>AH29*G29*J29</f>
        <v>0</v>
      </c>
      <c r="AL29">
        <f>SUM(AI29:AK29)</f>
        <v>2.4313958694122144</v>
      </c>
    </row>
    <row r="33" spans="2:2" x14ac:dyDescent="0.25">
      <c r="B33">
        <v>13.929255050414518</v>
      </c>
    </row>
    <row r="34" spans="2:2" x14ac:dyDescent="0.25">
      <c r="B34">
        <v>7.0180027210197077E-4</v>
      </c>
    </row>
    <row r="35" spans="2:2" x14ac:dyDescent="0.25">
      <c r="B35">
        <v>0.39305972757135754</v>
      </c>
    </row>
    <row r="36" spans="2:2" x14ac:dyDescent="0.25">
      <c r="B36">
        <v>0.60623847215654048</v>
      </c>
    </row>
  </sheetData>
  <mergeCells count="9">
    <mergeCell ref="O8:Q8"/>
    <mergeCell ref="C12:E12"/>
    <mergeCell ref="AA12:AC12"/>
    <mergeCell ref="C1:E1"/>
    <mergeCell ref="H1:H2"/>
    <mergeCell ref="K1:K2"/>
    <mergeCell ref="L1:L2"/>
    <mergeCell ref="I2:J2"/>
    <mergeCell ref="H3:L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Button 1">
              <controlPr defaultSize="0" print="0" autoFill="0" autoPict="0" macro="[1]!Module1.Solver">
                <anchor moveWithCells="1" sizeWithCells="1">
                  <from>
                    <xdr:col>20</xdr:col>
                    <xdr:colOff>171450</xdr:colOff>
                    <xdr:row>3</xdr:row>
                    <xdr:rowOff>0</xdr:rowOff>
                  </from>
                  <to>
                    <xdr:col>21</xdr:col>
                    <xdr:colOff>590550</xdr:colOff>
                    <xdr:row>5</xdr:row>
                    <xdr:rowOff>104775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50kPa</vt:lpstr>
      <vt:lpstr>40kPa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2025-04-14T20:20:16Z</dcterms:modified>
</cp:coreProperties>
</file>