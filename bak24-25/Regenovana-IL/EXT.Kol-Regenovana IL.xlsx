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Workbook________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  <externalReference r:id="rId5"/>
  </externalReferences>
  <definedNames>
    <definedName name="solver_adj" localSheetId="0" hidden="1">Лист1!$AF$6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Лист1!$AI$38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0.98</definedName>
    <definedName name="solver_ver" localSheetId="0" hidden="1">3</definedName>
  </definedNames>
  <calcPr calcId="145621"/>
</workbook>
</file>

<file path=xl/calcChain.xml><?xml version="1.0" encoding="utf-8"?>
<calcChain xmlns="http://schemas.openxmlformats.org/spreadsheetml/2006/main">
  <c r="B18" i="2" l="1"/>
  <c r="B17" i="2"/>
  <c r="B16" i="2"/>
  <c r="C14" i="2" l="1"/>
  <c r="D14" i="2"/>
  <c r="E14" i="2"/>
  <c r="C15" i="2"/>
  <c r="D15" i="2"/>
  <c r="E15" i="2"/>
  <c r="B15" i="2"/>
  <c r="B14" i="2"/>
  <c r="E8" i="2"/>
  <c r="F8" i="2"/>
  <c r="D8" i="2"/>
  <c r="C8" i="2"/>
  <c r="C9" i="2"/>
  <c r="E9" i="2" s="1"/>
  <c r="F9" i="2" l="1"/>
  <c r="D9" i="2"/>
  <c r="AF10" i="1"/>
  <c r="AI10" i="1" l="1"/>
  <c r="Z27" i="1"/>
  <c r="AH9" i="1"/>
  <c r="AI9" i="1"/>
  <c r="AG9" i="1"/>
  <c r="AA26" i="1" l="1"/>
  <c r="Z26" i="1"/>
  <c r="AF9" i="1"/>
  <c r="AH10" i="1" l="1"/>
  <c r="AG10" i="1"/>
  <c r="AA27" i="1" s="1"/>
  <c r="AB36" i="1"/>
  <c r="AC26" i="1" l="1"/>
  <c r="AB26" i="1"/>
  <c r="W36" i="1"/>
  <c r="B15" i="1" s="1"/>
  <c r="Q51" i="1"/>
  <c r="Q50" i="1"/>
  <c r="Q49" i="1"/>
  <c r="Q48" i="1"/>
  <c r="Q47" i="1"/>
  <c r="O45" i="1"/>
  <c r="I45" i="1"/>
  <c r="Y35" i="1" s="1"/>
  <c r="D14" i="1" s="1"/>
  <c r="C45" i="1"/>
  <c r="Q45" i="1" s="1"/>
  <c r="O44" i="1"/>
  <c r="I44" i="1"/>
  <c r="Y34" i="1" s="1"/>
  <c r="D13" i="1" s="1"/>
  <c r="C44" i="1"/>
  <c r="O43" i="1"/>
  <c r="I43" i="1"/>
  <c r="Y33" i="1" s="1"/>
  <c r="D12" i="1" s="1"/>
  <c r="C43" i="1"/>
  <c r="Q43" i="1" s="1"/>
  <c r="O42" i="1"/>
  <c r="I42" i="1"/>
  <c r="Y32" i="1" s="1"/>
  <c r="C42" i="1"/>
  <c r="O41" i="1"/>
  <c r="I41" i="1"/>
  <c r="C41" i="1"/>
  <c r="S31" i="1" s="1"/>
  <c r="B5" i="1" s="1"/>
  <c r="X35" i="1"/>
  <c r="C14" i="1" s="1"/>
  <c r="W35" i="1"/>
  <c r="B14" i="1" s="1"/>
  <c r="U35" i="1"/>
  <c r="D9" i="1" s="1"/>
  <c r="T35" i="1"/>
  <c r="X34" i="1"/>
  <c r="C13" i="1" s="1"/>
  <c r="W34" i="1"/>
  <c r="B13" i="1" s="1"/>
  <c r="U34" i="1"/>
  <c r="D8" i="1" s="1"/>
  <c r="T34" i="1"/>
  <c r="C8" i="1" s="1"/>
  <c r="X33" i="1"/>
  <c r="C12" i="1" s="1"/>
  <c r="W33" i="1"/>
  <c r="U33" i="1"/>
  <c r="D7" i="1" s="1"/>
  <c r="T33" i="1"/>
  <c r="C7" i="1" s="1"/>
  <c r="X32" i="1"/>
  <c r="W32" i="1"/>
  <c r="U32" i="1"/>
  <c r="D6" i="1" s="1"/>
  <c r="T32" i="1"/>
  <c r="C6" i="1" s="1"/>
  <c r="X31" i="1"/>
  <c r="W31" i="1"/>
  <c r="B10" i="1" s="1"/>
  <c r="U31" i="1"/>
  <c r="D5" i="1" s="1"/>
  <c r="T31" i="1"/>
  <c r="C5" i="1" s="1"/>
  <c r="AA30" i="1"/>
  <c r="AE26" i="1"/>
  <c r="AF26" i="1" s="1"/>
  <c r="D4" i="1"/>
  <c r="C4" i="1"/>
  <c r="B4" i="1"/>
  <c r="AC27" i="1" l="1"/>
  <c r="Y36" i="1" s="1"/>
  <c r="D15" i="1" s="1"/>
  <c r="AB27" i="1"/>
  <c r="C9" i="1"/>
  <c r="H9" i="1" s="1"/>
  <c r="S35" i="1"/>
  <c r="AA35" i="1" s="1"/>
  <c r="S33" i="1"/>
  <c r="B7" i="1" s="1"/>
  <c r="H8" i="1"/>
  <c r="I9" i="1"/>
  <c r="AD32" i="1"/>
  <c r="AD33" i="1"/>
  <c r="AE34" i="1"/>
  <c r="H7" i="1"/>
  <c r="I8" i="1"/>
  <c r="AE35" i="1"/>
  <c r="C11" i="1"/>
  <c r="H6" i="1" s="1"/>
  <c r="Z32" i="1"/>
  <c r="V31" i="1"/>
  <c r="M41" i="1"/>
  <c r="Q41" i="1"/>
  <c r="M43" i="1"/>
  <c r="M45" i="1"/>
  <c r="G5" i="1"/>
  <c r="AC31" i="1"/>
  <c r="AD31" i="1"/>
  <c r="AE32" i="1"/>
  <c r="AD35" i="1"/>
  <c r="AE33" i="1"/>
  <c r="Z35" i="1"/>
  <c r="P47" i="1"/>
  <c r="N47" i="1"/>
  <c r="L47" i="1"/>
  <c r="O47" i="1"/>
  <c r="M47" i="1"/>
  <c r="Y31" i="1"/>
  <c r="Q42" i="1"/>
  <c r="M42" i="1"/>
  <c r="L42" i="1"/>
  <c r="B11" i="1"/>
  <c r="D11" i="1"/>
  <c r="I6" i="1" s="1"/>
  <c r="E4" i="1"/>
  <c r="Q11" i="1" s="1"/>
  <c r="C10" i="1"/>
  <c r="H5" i="1" s="1"/>
  <c r="S32" i="1"/>
  <c r="Z33" i="1"/>
  <c r="B12" i="1"/>
  <c r="I7" i="1"/>
  <c r="Z34" i="1"/>
  <c r="AD34" i="1"/>
  <c r="E15" i="1"/>
  <c r="N42" i="1"/>
  <c r="P42" i="1"/>
  <c r="P49" i="1"/>
  <c r="N49" i="1"/>
  <c r="L49" i="1"/>
  <c r="O49" i="1"/>
  <c r="M49" i="1"/>
  <c r="Q44" i="1"/>
  <c r="M44" i="1"/>
  <c r="L44" i="1"/>
  <c r="S34" i="1"/>
  <c r="L41" i="1"/>
  <c r="N41" i="1"/>
  <c r="P41" i="1"/>
  <c r="O48" i="1"/>
  <c r="M48" i="1"/>
  <c r="P48" i="1"/>
  <c r="N48" i="1"/>
  <c r="L48" i="1"/>
  <c r="L43" i="1"/>
  <c r="N43" i="1"/>
  <c r="P43" i="1"/>
  <c r="N44" i="1"/>
  <c r="P44" i="1"/>
  <c r="L45" i="1"/>
  <c r="N45" i="1"/>
  <c r="P45" i="1"/>
  <c r="L50" i="1"/>
  <c r="N50" i="1"/>
  <c r="P50" i="1"/>
  <c r="M51" i="1"/>
  <c r="O51" i="1"/>
  <c r="M50" i="1"/>
  <c r="O50" i="1"/>
  <c r="L51" i="1"/>
  <c r="N51" i="1"/>
  <c r="P51" i="1"/>
  <c r="X36" i="1" l="1"/>
  <c r="C15" i="1" s="1"/>
  <c r="Q15" i="1" s="1"/>
  <c r="AA34" i="1"/>
  <c r="AB35" i="1" s="1"/>
  <c r="B9" i="1"/>
  <c r="G9" i="1" s="1"/>
  <c r="E9" i="1"/>
  <c r="Q4" i="1"/>
  <c r="Q18" i="1"/>
  <c r="V33" i="1"/>
  <c r="V35" i="1"/>
  <c r="AC35" i="1"/>
  <c r="AC33" i="1"/>
  <c r="T48" i="1"/>
  <c r="W48" i="1" s="1"/>
  <c r="T51" i="1"/>
  <c r="W51" i="1" s="1"/>
  <c r="R50" i="1"/>
  <c r="U50" i="1" s="1"/>
  <c r="T50" i="1"/>
  <c r="W50" i="1" s="1"/>
  <c r="S45" i="1"/>
  <c r="V45" i="1" s="1"/>
  <c r="S43" i="1"/>
  <c r="V43" i="1" s="1"/>
  <c r="S41" i="1"/>
  <c r="V41" i="1" s="1"/>
  <c r="R49" i="1"/>
  <c r="U49" i="1" s="1"/>
  <c r="R45" i="1"/>
  <c r="U45" i="1" s="1"/>
  <c r="R43" i="1"/>
  <c r="U43" i="1" s="1"/>
  <c r="R41" i="1"/>
  <c r="U41" i="1" s="1"/>
  <c r="T45" i="1"/>
  <c r="W45" i="1" s="1"/>
  <c r="T41" i="1"/>
  <c r="W41" i="1" s="1"/>
  <c r="G7" i="1"/>
  <c r="R48" i="1"/>
  <c r="U48" i="1" s="1"/>
  <c r="R44" i="1"/>
  <c r="U44" i="1" s="1"/>
  <c r="T44" i="1"/>
  <c r="W44" i="1" s="1"/>
  <c r="T49" i="1"/>
  <c r="W49" i="1" s="1"/>
  <c r="T43" i="1"/>
  <c r="W43" i="1" s="1"/>
  <c r="Q22" i="1"/>
  <c r="Q8" i="1"/>
  <c r="V32" i="1"/>
  <c r="B6" i="1"/>
  <c r="G6" i="1" s="1"/>
  <c r="S47" i="1"/>
  <c r="V47" i="1" s="1"/>
  <c r="S51" i="1"/>
  <c r="V51" i="1" s="1"/>
  <c r="R51" i="1"/>
  <c r="U51" i="1" s="1"/>
  <c r="S50" i="1"/>
  <c r="V50" i="1" s="1"/>
  <c r="S44" i="1"/>
  <c r="V44" i="1" s="1"/>
  <c r="S48" i="1"/>
  <c r="V48" i="1" s="1"/>
  <c r="B8" i="1"/>
  <c r="G8" i="1" s="1"/>
  <c r="V34" i="1"/>
  <c r="S49" i="1"/>
  <c r="V49" i="1" s="1"/>
  <c r="S42" i="1"/>
  <c r="V42" i="1" s="1"/>
  <c r="R42" i="1"/>
  <c r="U42" i="1" s="1"/>
  <c r="T42" i="1"/>
  <c r="W42" i="1" s="1"/>
  <c r="AE31" i="1"/>
  <c r="Z31" i="1"/>
  <c r="D10" i="1"/>
  <c r="I5" i="1" s="1"/>
  <c r="R47" i="1"/>
  <c r="U47" i="1" s="1"/>
  <c r="T47" i="1"/>
  <c r="W47" i="1" s="1"/>
  <c r="AC34" i="1"/>
  <c r="AC32" i="1"/>
  <c r="AA33" i="1" l="1"/>
  <c r="AB34" i="1" s="1"/>
  <c r="AA32" i="1" s="1"/>
  <c r="AB31" i="1"/>
  <c r="E8" i="1"/>
  <c r="AI26" i="1"/>
  <c r="X42" i="1"/>
  <c r="G51" i="1" s="1"/>
  <c r="G59" i="1" s="1"/>
  <c r="Z45" i="1"/>
  <c r="I54" i="1" s="1"/>
  <c r="I62" i="1" s="1"/>
  <c r="Y47" i="1"/>
  <c r="D50" i="1" s="1"/>
  <c r="D58" i="1" s="1"/>
  <c r="X51" i="1"/>
  <c r="C54" i="1" s="1"/>
  <c r="C62" i="1" s="1"/>
  <c r="Z47" i="1"/>
  <c r="E50" i="1" s="1"/>
  <c r="E58" i="1" s="1"/>
  <c r="Y42" i="1"/>
  <c r="H51" i="1" s="1"/>
  <c r="H59" i="1" s="1"/>
  <c r="X43" i="1"/>
  <c r="G52" i="1" s="1"/>
  <c r="G60" i="1" s="1"/>
  <c r="X47" i="1"/>
  <c r="C50" i="1" s="1"/>
  <c r="C58" i="1" s="1"/>
  <c r="Z42" i="1"/>
  <c r="I51" i="1" s="1"/>
  <c r="I59" i="1" s="1"/>
  <c r="Y51" i="1"/>
  <c r="D54" i="1" s="1"/>
  <c r="D62" i="1" s="1"/>
  <c r="X44" i="1"/>
  <c r="G53" i="1" s="1"/>
  <c r="G61" i="1" s="1"/>
  <c r="Z49" i="1"/>
  <c r="E52" i="1" s="1"/>
  <c r="E60" i="1" s="1"/>
  <c r="Y45" i="1"/>
  <c r="H54" i="1" s="1"/>
  <c r="H62" i="1" s="1"/>
  <c r="Y49" i="1"/>
  <c r="D52" i="1" s="1"/>
  <c r="D60" i="1" s="1"/>
  <c r="Y44" i="1"/>
  <c r="H53" i="1" s="1"/>
  <c r="H61" i="1" s="1"/>
  <c r="Z44" i="1"/>
  <c r="I53" i="1" s="1"/>
  <c r="I61" i="1" s="1"/>
  <c r="Z51" i="1"/>
  <c r="E54" i="1" s="1"/>
  <c r="E62" i="1" s="1"/>
  <c r="X49" i="1"/>
  <c r="C52" i="1" s="1"/>
  <c r="Y41" i="1"/>
  <c r="H50" i="1" s="1"/>
  <c r="H58" i="1" s="1"/>
  <c r="Y43" i="1"/>
  <c r="H52" i="1" s="1"/>
  <c r="X45" i="1"/>
  <c r="G54" i="1" s="1"/>
  <c r="Z41" i="1"/>
  <c r="I50" i="1" s="1"/>
  <c r="I58" i="1" s="1"/>
  <c r="Y48" i="1"/>
  <c r="D51" i="1" s="1"/>
  <c r="D59" i="1" s="1"/>
  <c r="Y50" i="1"/>
  <c r="D53" i="1" s="1"/>
  <c r="D61" i="1" s="1"/>
  <c r="Z43" i="1"/>
  <c r="I52" i="1" s="1"/>
  <c r="I60" i="1" s="1"/>
  <c r="X48" i="1"/>
  <c r="C51" i="1" s="1"/>
  <c r="Z48" i="1"/>
  <c r="E51" i="1" s="1"/>
  <c r="E59" i="1" s="1"/>
  <c r="X50" i="1"/>
  <c r="C53" i="1" s="1"/>
  <c r="X41" i="1"/>
  <c r="G50" i="1" s="1"/>
  <c r="Z50" i="1"/>
  <c r="E53" i="1" s="1"/>
  <c r="E61" i="1" s="1"/>
  <c r="AH35" i="1" l="1"/>
  <c r="AH38" i="1" s="1"/>
  <c r="AH34" i="1"/>
  <c r="AG38" i="1" s="1"/>
  <c r="AI38" i="1" s="1"/>
  <c r="AH26" i="1"/>
  <c r="E10" i="1"/>
  <c r="AG26" i="1"/>
  <c r="B50" i="1"/>
  <c r="B52" i="1"/>
  <c r="J53" i="1"/>
  <c r="C60" i="1"/>
  <c r="J51" i="1"/>
  <c r="B54" i="1"/>
  <c r="G58" i="1"/>
  <c r="J50" i="1"/>
  <c r="G62" i="1"/>
  <c r="J54" i="1"/>
  <c r="B53" i="1"/>
  <c r="C61" i="1"/>
  <c r="B51" i="1"/>
  <c r="C59" i="1"/>
  <c r="H60" i="1"/>
  <c r="J52" i="1"/>
  <c r="O22" i="1"/>
  <c r="O15" i="1"/>
  <c r="O8" i="1"/>
  <c r="E14" i="1" l="1"/>
  <c r="P14" i="1" s="1"/>
  <c r="E7" i="1"/>
  <c r="P8" i="1" l="1"/>
  <c r="P22" i="1"/>
  <c r="P7" i="1"/>
  <c r="P15" i="1"/>
  <c r="P21" i="1"/>
  <c r="E13" i="1"/>
  <c r="N14" i="1"/>
  <c r="N21" i="1"/>
  <c r="N7" i="1"/>
  <c r="O20" i="1" l="1"/>
  <c r="O13" i="1"/>
  <c r="O6" i="1"/>
  <c r="O21" i="1"/>
  <c r="O7" i="1"/>
  <c r="O14" i="1"/>
  <c r="AB33" i="1"/>
  <c r="AA31" i="1" s="1"/>
  <c r="E6" i="1"/>
  <c r="E12" i="1" l="1"/>
  <c r="M20" i="1"/>
  <c r="M13" i="1"/>
  <c r="M6" i="1"/>
  <c r="AB32" i="1" l="1"/>
  <c r="E11" i="1" s="1"/>
  <c r="E5" i="1"/>
  <c r="N12" i="1"/>
  <c r="N5" i="1"/>
  <c r="N19" i="1"/>
  <c r="N13" i="1"/>
  <c r="N6" i="1"/>
  <c r="N20" i="1"/>
  <c r="L12" i="1" l="1"/>
  <c r="L19" i="1"/>
  <c r="L5" i="1"/>
  <c r="L4" i="1"/>
  <c r="L18" i="1"/>
  <c r="L11" i="1"/>
  <c r="M11" i="1"/>
  <c r="M4" i="1"/>
  <c r="M18" i="1"/>
  <c r="M19" i="1"/>
  <c r="M12" i="1"/>
  <c r="M5" i="1"/>
  <c r="T18" i="1" l="1" a="1"/>
  <c r="T11" i="1" a="1"/>
  <c r="T4" i="1" a="1"/>
  <c r="W8" i="1" l="1"/>
  <c r="U8" i="1"/>
  <c r="X7" i="1"/>
  <c r="V7" i="1"/>
  <c r="T7" i="1"/>
  <c r="W6" i="1"/>
  <c r="U6" i="1"/>
  <c r="X5" i="1"/>
  <c r="V5" i="1"/>
  <c r="T5" i="1"/>
  <c r="W4" i="1"/>
  <c r="U4" i="1"/>
  <c r="X8" i="1"/>
  <c r="T8" i="1"/>
  <c r="U7" i="1"/>
  <c r="V6" i="1"/>
  <c r="W5" i="1"/>
  <c r="X4" i="1"/>
  <c r="T4" i="1"/>
  <c r="V8" i="1"/>
  <c r="W7" i="1"/>
  <c r="X6" i="1"/>
  <c r="T6" i="1"/>
  <c r="U5" i="1"/>
  <c r="V4" i="1"/>
  <c r="X22" i="1"/>
  <c r="V22" i="1"/>
  <c r="T22" i="1"/>
  <c r="W21" i="1"/>
  <c r="U21" i="1"/>
  <c r="X20" i="1"/>
  <c r="V20" i="1"/>
  <c r="T20" i="1"/>
  <c r="W19" i="1"/>
  <c r="U19" i="1"/>
  <c r="X18" i="1"/>
  <c r="V18" i="1"/>
  <c r="T18" i="1"/>
  <c r="U22" i="1"/>
  <c r="V21" i="1"/>
  <c r="W20" i="1"/>
  <c r="X19" i="1"/>
  <c r="T19" i="1"/>
  <c r="U18" i="1"/>
  <c r="W22" i="1"/>
  <c r="X21" i="1"/>
  <c r="T21" i="1"/>
  <c r="U20" i="1"/>
  <c r="V19" i="1"/>
  <c r="W18" i="1"/>
  <c r="W15" i="1"/>
  <c r="U15" i="1"/>
  <c r="X14" i="1"/>
  <c r="V14" i="1"/>
  <c r="T14" i="1"/>
  <c r="W13" i="1"/>
  <c r="U13" i="1"/>
  <c r="X12" i="1"/>
  <c r="V12" i="1"/>
  <c r="T12" i="1"/>
  <c r="W11" i="1"/>
  <c r="U11" i="1"/>
  <c r="V15" i="1"/>
  <c r="W14" i="1"/>
  <c r="X13" i="1"/>
  <c r="T13" i="1"/>
  <c r="U12" i="1"/>
  <c r="V11" i="1"/>
  <c r="X15" i="1"/>
  <c r="T15" i="1"/>
  <c r="U14" i="1"/>
  <c r="V13" i="1"/>
  <c r="W12" i="1"/>
  <c r="X11" i="1"/>
  <c r="T11" i="1"/>
  <c r="Z11" i="1" l="1" a="1"/>
  <c r="Z14" i="1" s="1"/>
  <c r="M31" i="1" s="1"/>
  <c r="Z4" i="1" a="1"/>
  <c r="Z18" i="1" a="1"/>
  <c r="Z11" i="1" l="1"/>
  <c r="M28" i="1" s="1"/>
  <c r="Z12" i="1"/>
  <c r="M29" i="1" s="1"/>
  <c r="Z13" i="1"/>
  <c r="M30" i="1" s="1"/>
  <c r="Z15" i="1"/>
  <c r="Z22" i="1"/>
  <c r="N32" i="1" s="1"/>
  <c r="Z20" i="1"/>
  <c r="N30" i="1" s="1"/>
  <c r="Z18" i="1"/>
  <c r="N28" i="1" s="1"/>
  <c r="Z21" i="1"/>
  <c r="N31" i="1" s="1"/>
  <c r="Z19" i="1"/>
  <c r="N29" i="1" s="1"/>
  <c r="Z7" i="1"/>
  <c r="L31" i="1" s="1"/>
  <c r="Z5" i="1"/>
  <c r="L29" i="1" s="1"/>
  <c r="Z6" i="1"/>
  <c r="L30" i="1" s="1"/>
  <c r="Z8" i="1"/>
  <c r="L32" i="1" s="1"/>
  <c r="Z4" i="1"/>
  <c r="L28" i="1" s="1"/>
  <c r="M32" i="1" l="1"/>
  <c r="O31" i="1"/>
  <c r="O30" i="1"/>
  <c r="O29" i="1"/>
  <c r="O28" i="1"/>
  <c r="O32" i="1" l="1"/>
</calcChain>
</file>

<file path=xl/sharedStrings.xml><?xml version="1.0" encoding="utf-8"?>
<sst xmlns="http://schemas.openxmlformats.org/spreadsheetml/2006/main" count="183" uniqueCount="124">
  <si>
    <t>xi</t>
  </si>
  <si>
    <t>n [kmol/h]</t>
  </si>
  <si>
    <t>'=xe/xr</t>
  </si>
  <si>
    <t>A</t>
  </si>
  <si>
    <t>B</t>
  </si>
  <si>
    <t>C</t>
  </si>
  <si>
    <t>A+B+C</t>
  </si>
  <si>
    <t>kA</t>
  </si>
  <si>
    <t>kB</t>
  </si>
  <si>
    <t>kC</t>
  </si>
  <si>
    <t>psA</t>
  </si>
  <si>
    <t>inverz</t>
  </si>
  <si>
    <t>xA</t>
  </si>
  <si>
    <t>F</t>
  </si>
  <si>
    <t>-</t>
  </si>
  <si>
    <t>A(zlozka A)</t>
  </si>
  <si>
    <t>R1</t>
  </si>
  <si>
    <t>R2</t>
  </si>
  <si>
    <t>R3</t>
  </si>
  <si>
    <t>R4</t>
  </si>
  <si>
    <t>R5</t>
  </si>
  <si>
    <t>E1</t>
  </si>
  <si>
    <t>psB</t>
  </si>
  <si>
    <t>xB</t>
  </si>
  <si>
    <t>E2</t>
  </si>
  <si>
    <t>A(zlozka B)</t>
  </si>
  <si>
    <t>E3</t>
  </si>
  <si>
    <t>E4</t>
  </si>
  <si>
    <t>E5</t>
  </si>
  <si>
    <t>S</t>
  </si>
  <si>
    <t>psC</t>
  </si>
  <si>
    <t>xC</t>
  </si>
  <si>
    <t>MTBE</t>
  </si>
  <si>
    <t>A(zlozka C)</t>
  </si>
  <si>
    <t>Methanol</t>
  </si>
  <si>
    <t>[BMIM][HSO4]</t>
  </si>
  <si>
    <t>n[kmol/h]</t>
  </si>
  <si>
    <t>ns</t>
  </si>
  <si>
    <t>ns/nf</t>
  </si>
  <si>
    <t>Ya(straty</t>
  </si>
  <si>
    <t>Yb</t>
  </si>
  <si>
    <t>Yc(straty)</t>
  </si>
  <si>
    <t>Raf</t>
  </si>
  <si>
    <t>∑xRi</t>
  </si>
  <si>
    <t>nR [kmol/h][mol.h-1]</t>
  </si>
  <si>
    <t>nE [kmol/h]</t>
  </si>
  <si>
    <t>Kontakt</t>
  </si>
  <si>
    <t>xRA</t>
  </si>
  <si>
    <t>xRB</t>
  </si>
  <si>
    <t>xRC</t>
  </si>
  <si>
    <t>xEA</t>
  </si>
  <si>
    <t>xEB</t>
  </si>
  <si>
    <t>xEC</t>
  </si>
  <si>
    <t>∑xEi</t>
  </si>
  <si>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</si>
  <si>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</si>
  <si>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τ</t>
    </r>
    <r>
      <rPr>
        <b/>
        <vertAlign val="subscript"/>
        <sz val="11"/>
        <color rgb="FF000000"/>
        <rFont val="Calibri"/>
        <family val="2"/>
      </rPr>
      <t>13</t>
    </r>
  </si>
  <si>
    <r>
      <t>τ</t>
    </r>
    <r>
      <rPr>
        <b/>
        <vertAlign val="subscript"/>
        <sz val="11"/>
        <color rgb="FF000000"/>
        <rFont val="Calibri"/>
        <family val="2"/>
      </rPr>
      <t>31</t>
    </r>
  </si>
  <si>
    <r>
      <t>τ</t>
    </r>
    <r>
      <rPr>
        <b/>
        <vertAlign val="subscript"/>
        <sz val="11"/>
        <color rgb="FF000000"/>
        <rFont val="Calibri"/>
        <family val="2"/>
      </rPr>
      <t>23</t>
    </r>
  </si>
  <si>
    <r>
      <t>τ</t>
    </r>
    <r>
      <rPr>
        <b/>
        <vertAlign val="subscript"/>
        <sz val="11"/>
        <color rgb="FF000000"/>
        <rFont val="Calibri"/>
        <family val="2"/>
      </rPr>
      <t>32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</si>
  <si>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</si>
  <si>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</si>
  <si>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</si>
  <si>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</si>
  <si>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</si>
  <si>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</si>
  <si>
    <t>x1.1</t>
  </si>
  <si>
    <t>x2.1</t>
  </si>
  <si>
    <t>x3.1</t>
  </si>
  <si>
    <t>x1.2</t>
  </si>
  <si>
    <t>x2.2</t>
  </si>
  <si>
    <t>x3.2</t>
  </si>
  <si>
    <t>φ1.1</t>
  </si>
  <si>
    <t>φ2.1</t>
  </si>
  <si>
    <t>φ3.1</t>
  </si>
  <si>
    <t>θ1.1</t>
  </si>
  <si>
    <t>θ2.1</t>
  </si>
  <si>
    <t>θ3.1</t>
  </si>
  <si>
    <t>lnγ1.1</t>
  </si>
  <si>
    <t>lnγ2.1</t>
  </si>
  <si>
    <t>lnγ3.1</t>
  </si>
  <si>
    <t>γ1.1</t>
  </si>
  <si>
    <t>γ2.1</t>
  </si>
  <si>
    <t>γ3.1</t>
  </si>
  <si>
    <t>γ1.1/γ1.2</t>
  </si>
  <si>
    <t>γ2.1/γ2.2</t>
  </si>
  <si>
    <t>γ3.1/γ3.2</t>
  </si>
  <si>
    <t>φ1.2</t>
  </si>
  <si>
    <t>φ2.2</t>
  </si>
  <si>
    <t>φ3.2</t>
  </si>
  <si>
    <t>θ1.2</t>
  </si>
  <si>
    <t>θ2.2</t>
  </si>
  <si>
    <t>θ3.2</t>
  </si>
  <si>
    <t>lnγ1.2</t>
  </si>
  <si>
    <t>lnγ2.2</t>
  </si>
  <si>
    <t>lnγ3.2</t>
  </si>
  <si>
    <t>γ1.2</t>
  </si>
  <si>
    <t>γ2.2</t>
  </si>
  <si>
    <t>γ3.2</t>
  </si>
  <si>
    <t>γ1.2/γ1.1</t>
  </si>
  <si>
    <t>γ2.2/γ2.1</t>
  </si>
  <si>
    <t>γ3.2/γ3.1</t>
  </si>
  <si>
    <t>Nove</t>
  </si>
  <si>
    <t>Σxi</t>
  </si>
  <si>
    <t>x3.3</t>
  </si>
  <si>
    <t>Step</t>
  </si>
  <si>
    <t>x1</t>
  </si>
  <si>
    <t>x2</t>
  </si>
  <si>
    <t>x3</t>
  </si>
  <si>
    <t>Vstupne prudy</t>
  </si>
  <si>
    <t>Surovina</t>
  </si>
  <si>
    <t>W z Raffinatu</t>
  </si>
  <si>
    <t>Cista IL</t>
  </si>
  <si>
    <t>W z Extraktu</t>
  </si>
  <si>
    <t>n</t>
  </si>
  <si>
    <t xml:space="preserve">vysledne </t>
  </si>
  <si>
    <t>xEBreg-xEB</t>
  </si>
  <si>
    <t>xRBreg-xRB</t>
  </si>
  <si>
    <t>sum</t>
  </si>
  <si>
    <t>Ziadane</t>
  </si>
  <si>
    <t>xRB5</t>
  </si>
  <si>
    <t>xEB1</t>
  </si>
  <si>
    <t xml:space="preserve">Vypocitane </t>
  </si>
  <si>
    <t>Extrakcna Kolona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</si>
</sst>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0.0000"/>
    <numFmt numFmtId="165" formatCode="_(* #,##0.0000_);_(* \(#,##0.0000\);_(* &quot;-&quot;??_);_(@_)"/>
    <numFmt numFmtId="166" formatCode="_(* #,##0.0000_);_(* \(#,##0.0000\);_(* &quot;-&quot;????_);_(@_)"/>
    <numFmt numFmtId="167" formatCode="0.00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4" fillId="0" borderId="0"/>
  </cellStyleXfs>
  <cellXfs count="99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0" fillId="0" borderId="0" xfId="0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" xfId="0" applyFont="1" applyBorder="1"/>
    <xf numFmtId="0" fontId="3" fillId="0" borderId="2" xfId="0" applyFont="1" applyBorder="1"/>
    <xf numFmtId="0" fontId="3" fillId="0" borderId="8" xfId="0" applyFont="1" applyBorder="1"/>
    <xf numFmtId="0" fontId="0" fillId="0" borderId="4" xfId="0" applyBorder="1"/>
    <xf numFmtId="0" fontId="0" fillId="0" borderId="7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0" fillId="0" borderId="5" xfId="0" applyBorder="1"/>
    <xf numFmtId="0" fontId="0" fillId="0" borderId="6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5" fillId="0" borderId="0" xfId="0" applyFont="1"/>
    <xf numFmtId="164" fontId="5" fillId="0" borderId="0" xfId="0" applyNumberFormat="1" applyFont="1"/>
    <xf numFmtId="0" fontId="3" fillId="0" borderId="9" xfId="0" applyFont="1" applyBorder="1"/>
    <xf numFmtId="165" fontId="0" fillId="0" borderId="9" xfId="0" applyNumberFormat="1" applyBorder="1"/>
    <xf numFmtId="165" fontId="0" fillId="0" borderId="0" xfId="0" applyNumberFormat="1" applyBorder="1"/>
    <xf numFmtId="165" fontId="0" fillId="0" borderId="10" xfId="0" applyNumberFormat="1" applyBorder="1"/>
    <xf numFmtId="0" fontId="0" fillId="0" borderId="14" xfId="0" applyBorder="1"/>
    <xf numFmtId="2" fontId="0" fillId="0" borderId="9" xfId="0" applyNumberFormat="1" applyBorder="1"/>
    <xf numFmtId="2" fontId="0" fillId="0" borderId="0" xfId="0" applyNumberFormat="1" applyBorder="1"/>
    <xf numFmtId="2" fontId="0" fillId="0" borderId="12" xfId="0" applyNumberFormat="1" applyBorder="1"/>
    <xf numFmtId="0" fontId="0" fillId="0" borderId="15" xfId="0" applyBorder="1"/>
    <xf numFmtId="0" fontId="3" fillId="0" borderId="11" xfId="0" applyFont="1" applyBorder="1"/>
    <xf numFmtId="165" fontId="0" fillId="0" borderId="11" xfId="0" applyNumberFormat="1" applyBorder="1"/>
    <xf numFmtId="165" fontId="0" fillId="0" borderId="12" xfId="0" applyNumberFormat="1" applyBorder="1"/>
    <xf numFmtId="165" fontId="0" fillId="0" borderId="13" xfId="0" applyNumberFormat="1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166" fontId="0" fillId="0" borderId="15" xfId="0" applyNumberFormat="1" applyBorder="1"/>
    <xf numFmtId="0" fontId="3" fillId="0" borderId="0" xfId="0" applyFont="1" applyFill="1" applyBorder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14" xfId="0" applyFont="1" applyBorder="1"/>
    <xf numFmtId="164" fontId="0" fillId="0" borderId="0" xfId="0" applyNumberFormat="1"/>
    <xf numFmtId="167" fontId="0" fillId="0" borderId="0" xfId="0" applyNumberFormat="1"/>
    <xf numFmtId="166" fontId="0" fillId="0" borderId="0" xfId="0" applyNumberFormat="1"/>
    <xf numFmtId="0" fontId="6" fillId="0" borderId="8" xfId="0" applyFont="1" applyBorder="1"/>
    <xf numFmtId="0" fontId="3" fillId="0" borderId="15" xfId="0" applyFont="1" applyBorder="1"/>
    <xf numFmtId="0" fontId="7" fillId="0" borderId="0" xfId="0" applyFont="1"/>
    <xf numFmtId="0" fontId="6" fillId="0" borderId="6" xfId="0" applyFont="1" applyBorder="1"/>
    <xf numFmtId="0" fontId="6" fillId="0" borderId="5" xfId="0" applyFont="1" applyBorder="1"/>
    <xf numFmtId="2" fontId="3" fillId="0" borderId="4" xfId="0" applyNumberFormat="1" applyFont="1" applyBorder="1"/>
    <xf numFmtId="2" fontId="0" fillId="0" borderId="6" xfId="0" applyNumberFormat="1" applyBorder="1"/>
    <xf numFmtId="0" fontId="3" fillId="0" borderId="4" xfId="0" applyFont="1" applyBorder="1" applyAlignment="1">
      <alignment horizontal="left"/>
    </xf>
    <xf numFmtId="165" fontId="0" fillId="0" borderId="4" xfId="1" applyNumberFormat="1" applyFont="1" applyBorder="1"/>
    <xf numFmtId="165" fontId="0" fillId="0" borderId="5" xfId="1" applyNumberFormat="1" applyFont="1" applyBorder="1"/>
    <xf numFmtId="0" fontId="0" fillId="0" borderId="7" xfId="0" applyNumberFormat="1" applyBorder="1"/>
    <xf numFmtId="0" fontId="5" fillId="0" borderId="7" xfId="0" applyNumberFormat="1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0" borderId="9" xfId="0" applyFont="1" applyBorder="1" applyAlignment="1">
      <alignment horizontal="left"/>
    </xf>
    <xf numFmtId="165" fontId="0" fillId="0" borderId="9" xfId="1" applyNumberFormat="1" applyFont="1" applyBorder="1"/>
    <xf numFmtId="165" fontId="0" fillId="0" borderId="0" xfId="1" applyNumberFormat="1" applyFont="1" applyBorder="1"/>
    <xf numFmtId="0" fontId="0" fillId="0" borderId="14" xfId="0" applyNumberFormat="1" applyBorder="1"/>
    <xf numFmtId="0" fontId="5" fillId="0" borderId="14" xfId="0" applyNumberFormat="1" applyFont="1" applyBorder="1"/>
    <xf numFmtId="0" fontId="0" fillId="0" borderId="19" xfId="0" applyBorder="1"/>
    <xf numFmtId="0" fontId="0" fillId="0" borderId="20" xfId="0" applyBorder="1"/>
    <xf numFmtId="43" fontId="0" fillId="0" borderId="0" xfId="0" applyNumberFormat="1"/>
    <xf numFmtId="0" fontId="8" fillId="0" borderId="1" xfId="2" applyFont="1" applyBorder="1" applyAlignment="1">
      <alignment horizontal="center"/>
    </xf>
    <xf numFmtId="0" fontId="8" fillId="0" borderId="2" xfId="2" applyFont="1" applyBorder="1" applyAlignment="1">
      <alignment horizontal="center"/>
    </xf>
    <xf numFmtId="0" fontId="8" fillId="0" borderId="3" xfId="2" applyFont="1" applyBorder="1" applyAlignment="1">
      <alignment horizontal="center"/>
    </xf>
    <xf numFmtId="0" fontId="3" fillId="0" borderId="11" xfId="0" applyFont="1" applyBorder="1" applyAlignment="1">
      <alignment horizontal="left"/>
    </xf>
    <xf numFmtId="165" fontId="0" fillId="0" borderId="11" xfId="1" applyNumberFormat="1" applyFont="1" applyBorder="1"/>
    <xf numFmtId="165" fontId="0" fillId="0" borderId="12" xfId="1" applyNumberFormat="1" applyFont="1" applyBorder="1"/>
    <xf numFmtId="0" fontId="0" fillId="0" borderId="15" xfId="0" applyNumberFormat="1" applyBorder="1"/>
    <xf numFmtId="0" fontId="5" fillId="0" borderId="15" xfId="0" applyNumberFormat="1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167" fontId="0" fillId="0" borderId="0" xfId="0" applyNumberFormat="1" applyBorder="1"/>
    <xf numFmtId="167" fontId="5" fillId="0" borderId="0" xfId="0" applyNumberFormat="1" applyFont="1" applyBorder="1"/>
    <xf numFmtId="2" fontId="0" fillId="0" borderId="11" xfId="0" applyNumberFormat="1" applyBorder="1"/>
    <xf numFmtId="2" fontId="3" fillId="0" borderId="13" xfId="0" applyNumberFormat="1" applyFont="1" applyBorder="1"/>
    <xf numFmtId="0" fontId="10" fillId="0" borderId="1" xfId="0" applyFont="1" applyBorder="1"/>
    <xf numFmtId="0" fontId="10" fillId="0" borderId="2" xfId="0" applyFont="1" applyBorder="1"/>
    <xf numFmtId="0" fontId="10" fillId="0" borderId="3" xfId="0" applyFont="1" applyBorder="1"/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0" xfId="0" applyFont="1" applyBorder="1"/>
    <xf numFmtId="0" fontId="8" fillId="0" borderId="0" xfId="2" applyFont="1" applyFill="1" applyBorder="1" applyAlignment="1">
      <alignment horizontal="center"/>
    </xf>
    <xf numFmtId="165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Normal 2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36</xdr:row>
          <xdr:rowOff>47625</xdr:rowOff>
        </xdr:from>
        <xdr:to>
          <xdr:col>11</xdr:col>
          <xdr:colOff>19050</xdr:colOff>
          <xdr:row>38</xdr:row>
          <xdr:rowOff>171450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FIX</a:t>
              </a:r>
              <a:endParaRPr lang="sk-SK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36</xdr:row>
          <xdr:rowOff>47625</xdr:rowOff>
        </xdr:from>
        <xdr:to>
          <xdr:col>11</xdr:col>
          <xdr:colOff>19050</xdr:colOff>
          <xdr:row>38</xdr:row>
          <xdr:rowOff>171450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FIX</a:t>
              </a:r>
              <a:endParaRPr lang="sk-SK"/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28575</xdr:colOff>
          <xdr:row>36</xdr:row>
          <xdr:rowOff>47625</xdr:rowOff>
        </xdr:from>
        <xdr:to>
          <xdr:col>11</xdr:col>
          <xdr:colOff>19050</xdr:colOff>
          <xdr:row>38</xdr:row>
          <xdr:rowOff>171450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sk-SK" sz="1100" b="0" i="0" u="none" strike="noStrike" baseline="0">
                  <a:solidFill>
                    <a:srgbClr val="000000"/>
                  </a:solidFill>
                  <a:latin typeface="Calibri"/>
                </a:rPr>
                <a:t>FIX</a:t>
              </a:r>
              <a:endParaRPr lang="sk-SK"/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T.Kol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nalyza%20Potreby%20RK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ytazky"/>
      <sheetName val="8PTK"/>
      <sheetName val="5PTK"/>
      <sheetName val="4PTK"/>
      <sheetName val="3PTK"/>
      <sheetName val="2PTK"/>
      <sheetName val="1PTK"/>
      <sheetName val="Vytazky 2 (bez RK)"/>
      <sheetName val="8.2"/>
      <sheetName val="5.2"/>
      <sheetName val="4.2"/>
      <sheetName val="3.2"/>
      <sheetName val="2.2"/>
      <sheetName val="1.2"/>
      <sheetName val="EXT.Kol"/>
    </sheetNames>
    <definedNames>
      <definedName name="ODLADENIE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rovina"/>
      <sheetName val="EK s RK"/>
      <sheetName val="EK bez RK"/>
    </sheetNames>
    <definedNames>
      <definedName name="ODLADENIE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Worksheet____1"/>
  <dimension ref="A1:AI62"/>
  <sheetViews>
    <sheetView tabSelected="1" topLeftCell="E1" zoomScale="55" zoomScaleNormal="55" workbookViewId="0">
      <selection activeCell="AG19" sqref="AG19"/>
    </sheetView>
  </sheetViews>
  <sheetFormatPr defaultRowHeight="15" x14ac:dyDescent="0.25"/>
  <cols>
    <col min="5" max="5" width="13.5703125" bestFit="1" customWidth="1"/>
    <col min="7" max="9" width="9.28515625" bestFit="1" customWidth="1"/>
    <col min="12" max="17" width="9.28515625" bestFit="1" customWidth="1"/>
    <col min="20" max="24" width="13.85546875" bestFit="1" customWidth="1"/>
    <col min="26" max="26" width="9.28515625" bestFit="1" customWidth="1"/>
    <col min="33" max="34" width="15.7109375" bestFit="1" customWidth="1"/>
    <col min="35" max="35" width="18.5703125" bestFit="1" customWidth="1"/>
  </cols>
  <sheetData>
    <row r="1" spans="1:35" ht="15.75" thickBot="1" x14ac:dyDescent="0.3"/>
    <row r="2" spans="1:35" ht="15.75" thickBot="1" x14ac:dyDescent="0.3">
      <c r="B2" s="1" t="s">
        <v>0</v>
      </c>
      <c r="C2" s="2"/>
      <c r="D2" s="2"/>
      <c r="E2" s="3" t="s">
        <v>1</v>
      </c>
      <c r="G2" s="4" t="s">
        <v>2</v>
      </c>
      <c r="H2" s="4"/>
      <c r="I2" s="4"/>
      <c r="AE2" t="s">
        <v>109</v>
      </c>
    </row>
    <row r="3" spans="1:35" ht="15.75" thickBot="1" x14ac:dyDescent="0.3">
      <c r="B3" s="5" t="s">
        <v>3</v>
      </c>
      <c r="C3" s="6" t="s">
        <v>4</v>
      </c>
      <c r="D3" s="7" t="s">
        <v>5</v>
      </c>
      <c r="E3" s="8" t="s">
        <v>6</v>
      </c>
      <c r="G3" s="9" t="s">
        <v>7</v>
      </c>
      <c r="H3" s="10" t="s">
        <v>8</v>
      </c>
      <c r="I3" s="3" t="s">
        <v>9</v>
      </c>
      <c r="L3">
        <v>1</v>
      </c>
      <c r="M3">
        <v>2</v>
      </c>
      <c r="N3">
        <v>3</v>
      </c>
      <c r="O3">
        <v>4</v>
      </c>
      <c r="P3">
        <v>5</v>
      </c>
      <c r="Q3" s="8" t="s">
        <v>10</v>
      </c>
      <c r="S3" s="11" t="s">
        <v>11</v>
      </c>
      <c r="Z3" s="11" t="s">
        <v>12</v>
      </c>
      <c r="AF3" t="s">
        <v>114</v>
      </c>
      <c r="AG3" t="s">
        <v>12</v>
      </c>
      <c r="AH3" t="s">
        <v>23</v>
      </c>
      <c r="AI3" t="s">
        <v>31</v>
      </c>
    </row>
    <row r="4" spans="1:35" ht="15.75" thickBot="1" x14ac:dyDescent="0.3">
      <c r="A4" s="5" t="s">
        <v>13</v>
      </c>
      <c r="B4" s="12">
        <f>AA26</f>
        <v>0.54019549837901415</v>
      </c>
      <c r="C4" s="12">
        <f t="shared" ref="C4:D4" si="0">AB26</f>
        <v>0.45957174201313017</v>
      </c>
      <c r="D4" s="12">
        <f t="shared" si="0"/>
        <v>2.3275968139497674E-4</v>
      </c>
      <c r="E4" s="13">
        <f>AA30</f>
        <v>25.023297659162392</v>
      </c>
      <c r="G4" s="14" t="s">
        <v>14</v>
      </c>
      <c r="H4" s="15" t="s">
        <v>14</v>
      </c>
      <c r="I4" s="16" t="s">
        <v>14</v>
      </c>
      <c r="K4" s="11" t="s">
        <v>15</v>
      </c>
      <c r="L4" s="12">
        <f>E$10*$G$5+E$5</f>
        <v>15.827692627402449</v>
      </c>
      <c r="M4" s="17">
        <f>-$E$11*$G$6</f>
        <v>-0.15482910807278941</v>
      </c>
      <c r="N4" s="17">
        <v>0</v>
      </c>
      <c r="O4" s="17">
        <v>0</v>
      </c>
      <c r="P4" s="17">
        <v>0</v>
      </c>
      <c r="Q4" s="13">
        <f>$B$4*$E$4</f>
        <v>13.517472750077646</v>
      </c>
      <c r="T4" s="12">
        <f t="array" ref="T4:X8">MINVERSE(L4:P8)</f>
        <v>6.3881963728334046E-2</v>
      </c>
      <c r="U4" s="17">
        <v>7.4274886670659104E-4</v>
      </c>
      <c r="V4" s="17">
        <v>2.0581408136785288E-6</v>
      </c>
      <c r="W4" s="17">
        <v>3.8485209847754072E-9</v>
      </c>
      <c r="X4" s="18">
        <v>6.6182792831206025E-12</v>
      </c>
      <c r="Z4" s="22">
        <f t="array" ref="Z4:Z8">MMULT(T4:X8,Q4:Q8)</f>
        <v>0.86352270391920427</v>
      </c>
      <c r="AD4" s="98" t="s">
        <v>13</v>
      </c>
      <c r="AE4" t="s">
        <v>110</v>
      </c>
      <c r="AF4">
        <v>25</v>
      </c>
      <c r="AG4">
        <v>0.54</v>
      </c>
      <c r="AH4">
        <v>0.46</v>
      </c>
      <c r="AI4">
        <v>0</v>
      </c>
    </row>
    <row r="5" spans="1:35" x14ac:dyDescent="0.25">
      <c r="A5" s="24" t="s">
        <v>16</v>
      </c>
      <c r="B5" s="25">
        <f>S31</f>
        <v>0.86352270391920427</v>
      </c>
      <c r="C5" s="26">
        <f t="shared" ref="C5:D9" si="1">T31</f>
        <v>0.13520573888785364</v>
      </c>
      <c r="D5" s="27">
        <f t="shared" si="1"/>
        <v>1.2715571929420963E-3</v>
      </c>
      <c r="E5" s="28">
        <f t="shared" ref="E5:E9" si="2">AA31</f>
        <v>14.949987572757708</v>
      </c>
      <c r="G5" s="14">
        <f>B10/B5</f>
        <v>4.1913680445015138E-2</v>
      </c>
      <c r="H5" s="15">
        <f t="shared" ref="H5:I9" si="3">C10/C5</f>
        <v>4.1098212268940921</v>
      </c>
      <c r="I5" s="16">
        <f t="shared" si="3"/>
        <v>320.97271905432848</v>
      </c>
      <c r="L5" s="29">
        <f>-$E$5</f>
        <v>-14.949987572757708</v>
      </c>
      <c r="M5" s="15">
        <f>$E$6+$E$11*$G$6</f>
        <v>13.353034485434771</v>
      </c>
      <c r="N5" s="15">
        <f>-$G$7*$E$12</f>
        <v>-3.5758518290186322E-2</v>
      </c>
      <c r="O5" s="15">
        <v>0</v>
      </c>
      <c r="P5" s="15">
        <v>0</v>
      </c>
      <c r="Q5" s="28">
        <v>0</v>
      </c>
      <c r="T5" s="14">
        <v>7.171833814170829E-2</v>
      </c>
      <c r="U5" s="15">
        <v>7.5928879962652879E-2</v>
      </c>
      <c r="V5" s="15">
        <v>2.1039726049123161E-4</v>
      </c>
      <c r="W5" s="15">
        <v>3.9342219286373702E-7</v>
      </c>
      <c r="X5" s="16">
        <v>6.7656587007070727E-10</v>
      </c>
      <c r="Z5" s="23">
        <v>0.96945068151141978</v>
      </c>
      <c r="AD5" s="98"/>
      <c r="AE5" t="s">
        <v>111</v>
      </c>
      <c r="AF5">
        <v>2.3297659162393222E-2</v>
      </c>
      <c r="AG5">
        <v>0.74997878352728975</v>
      </c>
      <c r="AH5">
        <v>2.1295458843912493E-5</v>
      </c>
      <c r="AI5">
        <v>0.25</v>
      </c>
    </row>
    <row r="6" spans="1:35" x14ac:dyDescent="0.25">
      <c r="A6" s="24" t="s">
        <v>17</v>
      </c>
      <c r="B6" s="25">
        <f t="shared" ref="B6:B9" si="4">S32</f>
        <v>0.96945068151141989</v>
      </c>
      <c r="C6" s="26">
        <f t="shared" si="1"/>
        <v>2.9957284470056557E-2</v>
      </c>
      <c r="D6" s="27">
        <f t="shared" si="1"/>
        <v>5.9203401852357023E-4</v>
      </c>
      <c r="E6" s="28">
        <f t="shared" si="2"/>
        <v>13.198205377361981</v>
      </c>
      <c r="G6" s="14">
        <f t="shared" ref="G6:G9" si="5">B11/B6</f>
        <v>1.4247027644866735E-2</v>
      </c>
      <c r="H6" s="15">
        <f t="shared" si="3"/>
        <v>6.6270927123368155</v>
      </c>
      <c r="I6" s="16">
        <f t="shared" si="3"/>
        <v>1330.4277847268684</v>
      </c>
      <c r="L6" s="14">
        <v>0</v>
      </c>
      <c r="M6" s="30">
        <f>-$E$6</f>
        <v>-13.198205377361981</v>
      </c>
      <c r="N6" s="15">
        <f>$E$7+$E$12*$G$7</f>
        <v>12.928764524987765</v>
      </c>
      <c r="O6" s="15">
        <f>-$E$13*$G$8</f>
        <v>-2.4003235921888449E-2</v>
      </c>
      <c r="P6" s="15">
        <v>0</v>
      </c>
      <c r="Q6" s="28">
        <v>0</v>
      </c>
      <c r="T6" s="14">
        <v>7.3349755743932113E-2</v>
      </c>
      <c r="U6" s="15">
        <v>7.7656077141196711E-2</v>
      </c>
      <c r="V6" s="15">
        <v>7.7706594910995685E-2</v>
      </c>
      <c r="W6" s="15">
        <v>1.4530369311121382E-4</v>
      </c>
      <c r="X6" s="16">
        <v>2.4987792081247568E-7</v>
      </c>
      <c r="Z6" s="23">
        <v>0.99150332450217482</v>
      </c>
      <c r="AD6" s="98" t="s">
        <v>29</v>
      </c>
      <c r="AE6" t="s">
        <v>112</v>
      </c>
      <c r="AF6">
        <v>0.10237675725677041</v>
      </c>
      <c r="AG6">
        <v>0</v>
      </c>
      <c r="AH6">
        <v>0</v>
      </c>
      <c r="AI6">
        <v>1</v>
      </c>
    </row>
    <row r="7" spans="1:35" x14ac:dyDescent="0.25">
      <c r="A7" s="24" t="s">
        <v>18</v>
      </c>
      <c r="B7" s="25">
        <f t="shared" si="4"/>
        <v>0.99150332450217504</v>
      </c>
      <c r="C7" s="26">
        <f t="shared" si="1"/>
        <v>8.0061796378132367E-3</v>
      </c>
      <c r="D7" s="27">
        <f t="shared" si="1"/>
        <v>4.9049586001170917E-4</v>
      </c>
      <c r="E7" s="28">
        <f t="shared" si="2"/>
        <v>12.893006006697577</v>
      </c>
      <c r="G7" s="14">
        <f t="shared" si="5"/>
        <v>3.9227460798617504E-3</v>
      </c>
      <c r="H7" s="15">
        <f t="shared" si="3"/>
        <v>7.2836410105514524</v>
      </c>
      <c r="I7" s="16">
        <f t="shared" si="3"/>
        <v>1911.9354969691967</v>
      </c>
      <c r="L7" s="14">
        <v>0</v>
      </c>
      <c r="M7" s="15">
        <v>0</v>
      </c>
      <c r="N7" s="30">
        <f>-$E$7</f>
        <v>-12.893006006697577</v>
      </c>
      <c r="O7" s="15">
        <f>$E$8+$E$13*$G$8</f>
        <v>12.858701648131397</v>
      </c>
      <c r="P7" s="15">
        <f>-$E$14*$G$9</f>
        <v>-2.2052904444201927E-2</v>
      </c>
      <c r="Q7" s="28">
        <v>0</v>
      </c>
      <c r="T7" s="14">
        <v>7.3671894367172683E-2</v>
      </c>
      <c r="U7" s="15">
        <v>7.7997128335202878E-2</v>
      </c>
      <c r="V7" s="15">
        <v>7.804786796974629E-2</v>
      </c>
      <c r="W7" s="15">
        <v>7.8048008695202328E-2</v>
      </c>
      <c r="X7" s="16">
        <v>1.3421870923393671E-4</v>
      </c>
      <c r="Z7" s="23">
        <v>0.99585782923937005</v>
      </c>
      <c r="AD7" s="98"/>
      <c r="AE7" t="s">
        <v>113</v>
      </c>
      <c r="AF7" s="15">
        <v>8.6167860204510944</v>
      </c>
      <c r="AG7">
        <v>4.0504773851130722E-6</v>
      </c>
      <c r="AH7">
        <v>1.9995347460256586E-2</v>
      </c>
      <c r="AI7">
        <v>0.98</v>
      </c>
    </row>
    <row r="8" spans="1:35" ht="15.75" thickBot="1" x14ac:dyDescent="0.3">
      <c r="A8" s="24" t="s">
        <v>19</v>
      </c>
      <c r="B8" s="25">
        <f t="shared" si="4"/>
        <v>0.99585782923937027</v>
      </c>
      <c r="C8" s="26">
        <f t="shared" si="1"/>
        <v>3.6706655461326348E-3</v>
      </c>
      <c r="D8" s="27">
        <f t="shared" si="1"/>
        <v>4.7150521449715451E-4</v>
      </c>
      <c r="E8" s="28">
        <f t="shared" si="2"/>
        <v>12.834698412209509</v>
      </c>
      <c r="G8" s="14">
        <f t="shared" si="5"/>
        <v>2.7243941425808263E-3</v>
      </c>
      <c r="H8" s="15">
        <f t="shared" si="3"/>
        <v>7.4029712099204987</v>
      </c>
      <c r="I8" s="16">
        <f t="shared" si="3"/>
        <v>2057.4810830851684</v>
      </c>
      <c r="L8" s="19">
        <v>0</v>
      </c>
      <c r="M8" s="20">
        <v>0</v>
      </c>
      <c r="N8" s="20">
        <v>0</v>
      </c>
      <c r="O8" s="31">
        <f>-$E$8</f>
        <v>-12.834698412209509</v>
      </c>
      <c r="P8" s="20">
        <f>$E$9+$E$14*$G$9</f>
        <v>12.823735883315607</v>
      </c>
      <c r="Q8" s="32">
        <f>$E$15*$B$15</f>
        <v>3.4902096908195626E-5</v>
      </c>
      <c r="T8" s="19">
        <v>7.3734873695351102E-2</v>
      </c>
      <c r="U8" s="20">
        <v>7.806380514302208E-2</v>
      </c>
      <c r="V8" s="20">
        <v>7.8114588152968317E-2</v>
      </c>
      <c r="W8" s="20">
        <v>7.811472899872525E-2</v>
      </c>
      <c r="X8" s="21">
        <v>7.8114729262132615E-2</v>
      </c>
      <c r="Z8" s="23">
        <v>0.99671187227517621</v>
      </c>
    </row>
    <row r="9" spans="1:35" ht="15.75" thickBot="1" x14ac:dyDescent="0.3">
      <c r="A9" s="33" t="s">
        <v>20</v>
      </c>
      <c r="B9" s="34">
        <f t="shared" si="4"/>
        <v>0.99671187227517632</v>
      </c>
      <c r="C9" s="35">
        <f t="shared" si="1"/>
        <v>2.8203086494330174E-3</v>
      </c>
      <c r="D9" s="36">
        <f t="shared" si="1"/>
        <v>4.6781907539062524E-4</v>
      </c>
      <c r="E9" s="32">
        <f t="shared" si="2"/>
        <v>12.801682978871405</v>
      </c>
      <c r="G9" s="19">
        <f t="shared" si="5"/>
        <v>2.5197046852141729E-3</v>
      </c>
      <c r="H9" s="20">
        <f t="shared" si="3"/>
        <v>7.4260240506607182</v>
      </c>
      <c r="I9" s="21">
        <f t="shared" si="3"/>
        <v>2087.4413890652841</v>
      </c>
      <c r="AD9" t="s">
        <v>115</v>
      </c>
      <c r="AE9" t="s">
        <v>13</v>
      </c>
      <c r="AF9">
        <f>AF4+AF5</f>
        <v>25.023297659162392</v>
      </c>
      <c r="AG9">
        <f>(AG4*$AF$4+AG5*$AF$5)/$AF$9</f>
        <v>0.54019549837901415</v>
      </c>
      <c r="AH9">
        <f t="shared" ref="AH9:AI9" si="6">(AH4*$AF$4+AH5*$AF$5)/$AF$9</f>
        <v>0.45957174201313017</v>
      </c>
      <c r="AI9">
        <f t="shared" si="6"/>
        <v>2.3275968139497674E-4</v>
      </c>
    </row>
    <row r="10" spans="1:35" ht="15.75" thickBot="1" x14ac:dyDescent="0.3">
      <c r="A10" s="5" t="s">
        <v>21</v>
      </c>
      <c r="B10" s="37">
        <f t="shared" ref="B10:D15" si="7">W31</f>
        <v>3.6193414669084947E-2</v>
      </c>
      <c r="C10" s="38">
        <f t="shared" si="7"/>
        <v>0.55567141567920098</v>
      </c>
      <c r="D10" s="39">
        <f t="shared" si="7"/>
        <v>0.40813516965171404</v>
      </c>
      <c r="E10" s="13">
        <f t="shared" ref="E10:E15" si="8">AB31</f>
        <v>20.940777457998855</v>
      </c>
      <c r="L10">
        <v>1</v>
      </c>
      <c r="M10">
        <v>2</v>
      </c>
      <c r="N10">
        <v>3</v>
      </c>
      <c r="O10">
        <v>4</v>
      </c>
      <c r="P10">
        <v>5</v>
      </c>
      <c r="Q10" s="11" t="s">
        <v>22</v>
      </c>
      <c r="S10" s="11" t="s">
        <v>11</v>
      </c>
      <c r="Z10" s="11" t="s">
        <v>23</v>
      </c>
      <c r="AE10" t="s">
        <v>29</v>
      </c>
      <c r="AF10">
        <f>AF6+AF7</f>
        <v>8.7191627777078651</v>
      </c>
      <c r="AG10">
        <f>(AG6*$AF$6+AG7*$AF$7)/$AF$10</f>
        <v>4.0029183762263535E-6</v>
      </c>
      <c r="AH10">
        <f t="shared" ref="AH10" si="9">(AH6*$AF$6+AH7*$AF$7)/$AF$10</f>
        <v>1.9760570465561962E-2</v>
      </c>
      <c r="AI10">
        <f>(AI6*$AF$6+AI7*$AF$7)/$AF$10</f>
        <v>0.98023483162286762</v>
      </c>
    </row>
    <row r="11" spans="1:35" ht="15.75" thickBot="1" x14ac:dyDescent="0.3">
      <c r="A11" s="24" t="s">
        <v>24</v>
      </c>
      <c r="B11" s="25">
        <f t="shared" si="7"/>
        <v>1.3811790659828096E-2</v>
      </c>
      <c r="C11" s="26">
        <f t="shared" si="7"/>
        <v>0.19852970159291267</v>
      </c>
      <c r="D11" s="27">
        <f t="shared" si="7"/>
        <v>0.78765850774725932</v>
      </c>
      <c r="E11" s="28">
        <f t="shared" si="8"/>
        <v>10.867467371594172</v>
      </c>
      <c r="K11" s="11" t="s">
        <v>25</v>
      </c>
      <c r="L11" s="12">
        <f>E$10*$H$5+E$5</f>
        <v>101.01283927730671</v>
      </c>
      <c r="M11" s="17">
        <f>-$E$11*$H$6</f>
        <v>-72.019713819849869</v>
      </c>
      <c r="N11" s="17">
        <v>0</v>
      </c>
      <c r="O11" s="17">
        <v>0</v>
      </c>
      <c r="P11" s="17">
        <v>0</v>
      </c>
      <c r="Q11" s="13">
        <f>$C$4*$E$4</f>
        <v>11.500000496134342</v>
      </c>
      <c r="T11" s="12">
        <f t="array" ref="T11:X15">MINVERSE(L11:P15)</f>
        <v>1.1617178770694198E-2</v>
      </c>
      <c r="U11" s="17">
        <v>1.1604304764506981E-2</v>
      </c>
      <c r="V11" s="17">
        <v>1.1534054134606319E-2</v>
      </c>
      <c r="W11" s="17">
        <v>1.1172283019951478E-2</v>
      </c>
      <c r="X11" s="18">
        <v>9.3338232278382029E-3</v>
      </c>
      <c r="Z11">
        <f t="array" ref="Z11:Z15">MMULT(T11:X15,Q11:Q15)</f>
        <v>0.13520573858439683</v>
      </c>
    </row>
    <row r="12" spans="1:35" x14ac:dyDescent="0.25">
      <c r="A12" s="24" t="s">
        <v>26</v>
      </c>
      <c r="B12" s="25">
        <f t="shared" si="7"/>
        <v>3.8894157793608001E-3</v>
      </c>
      <c r="C12" s="26">
        <f t="shared" si="7"/>
        <v>5.8314138347818463E-2</v>
      </c>
      <c r="D12" s="27">
        <f t="shared" si="7"/>
        <v>0.93779644587282074</v>
      </c>
      <c r="E12" s="28">
        <f t="shared" si="8"/>
        <v>9.1156851761984452</v>
      </c>
      <c r="L12" s="29">
        <f>-$E$5</f>
        <v>-14.949987572757708</v>
      </c>
      <c r="M12" s="15">
        <f>$E$6+$E$11*$H$6</f>
        <v>85.217919197211856</v>
      </c>
      <c r="N12" s="15">
        <f>-$H$7*$E$12</f>
        <v>-66.395378388634938</v>
      </c>
      <c r="O12" s="15">
        <v>0</v>
      </c>
      <c r="P12" s="15">
        <v>0</v>
      </c>
      <c r="Q12" s="28">
        <v>0</v>
      </c>
      <c r="T12" s="14">
        <v>2.4088433960432823E-3</v>
      </c>
      <c r="U12" s="15">
        <v>1.6275873784143729E-2</v>
      </c>
      <c r="V12" s="15">
        <v>1.6177342212565487E-2</v>
      </c>
      <c r="W12" s="15">
        <v>1.5669932150492599E-2</v>
      </c>
      <c r="X12" s="16">
        <v>1.3091359789554604E-2</v>
      </c>
      <c r="Z12">
        <v>2.9957284338253377E-2</v>
      </c>
    </row>
    <row r="13" spans="1:35" x14ac:dyDescent="0.25">
      <c r="A13" s="24" t="s">
        <v>27</v>
      </c>
      <c r="B13" s="25">
        <f t="shared" si="7"/>
        <v>2.713109236822997E-3</v>
      </c>
      <c r="C13" s="26">
        <f t="shared" si="7"/>
        <v>2.7173831359267001E-2</v>
      </c>
      <c r="D13" s="27">
        <f t="shared" si="7"/>
        <v>0.97011305940391002</v>
      </c>
      <c r="E13" s="28">
        <f t="shared" si="8"/>
        <v>8.8104858055340394</v>
      </c>
      <c r="L13" s="14">
        <v>0</v>
      </c>
      <c r="M13" s="30">
        <f>-$E$6</f>
        <v>-13.198205377361981</v>
      </c>
      <c r="N13" s="15">
        <f>$E$7+$E$12*$H$7</f>
        <v>79.288384395332514</v>
      </c>
      <c r="O13" s="15">
        <f>-$E$13*$H$8</f>
        <v>-65.22377276378171</v>
      </c>
      <c r="P13" s="15">
        <v>0</v>
      </c>
      <c r="Q13" s="28">
        <v>0</v>
      </c>
      <c r="T13" s="14">
        <v>4.7593589188400434E-4</v>
      </c>
      <c r="U13" s="15">
        <v>3.2157642619573372E-3</v>
      </c>
      <c r="V13" s="15">
        <v>1.8166407132437296E-2</v>
      </c>
      <c r="W13" s="15">
        <v>1.7596609099510014E-2</v>
      </c>
      <c r="X13" s="16">
        <v>1.4700991592397824E-2</v>
      </c>
      <c r="Z13">
        <v>8.0061796077346807E-3</v>
      </c>
    </row>
    <row r="14" spans="1:35" x14ac:dyDescent="0.25">
      <c r="A14" s="24" t="s">
        <v>28</v>
      </c>
      <c r="B14" s="25">
        <f t="shared" si="7"/>
        <v>2.5114195743803523E-3</v>
      </c>
      <c r="C14" s="26">
        <f t="shared" si="7"/>
        <v>2.0943679860976037E-2</v>
      </c>
      <c r="D14" s="27">
        <f>Y35</f>
        <v>0.9765449005646436</v>
      </c>
      <c r="E14" s="28">
        <f>AB35</f>
        <v>8.7521782110459689</v>
      </c>
      <c r="L14" s="14">
        <v>0</v>
      </c>
      <c r="M14" s="15">
        <v>0</v>
      </c>
      <c r="N14" s="30">
        <f>-$E$7</f>
        <v>-12.893006006697577</v>
      </c>
      <c r="O14" s="15">
        <f>$E$8+$E$13*$H$8</f>
        <v>78.058471175991215</v>
      </c>
      <c r="P14" s="15">
        <f>-$E$14*$H$9</f>
        <v>-64.993885890896067</v>
      </c>
      <c r="Q14" s="28">
        <v>0</v>
      </c>
      <c r="T14" s="14">
        <v>9.1129013678484155E-5</v>
      </c>
      <c r="U14" s="15">
        <v>6.1573298087405669E-4</v>
      </c>
      <c r="V14" s="15">
        <v>3.4783818415280768E-3</v>
      </c>
      <c r="W14" s="15">
        <v>1.8220223596521732E-2</v>
      </c>
      <c r="X14" s="16">
        <v>1.5221986940173206E-2</v>
      </c>
      <c r="Z14">
        <v>3.6706655393719803E-3</v>
      </c>
    </row>
    <row r="15" spans="1:35" ht="15.75" thickBot="1" x14ac:dyDescent="0.3">
      <c r="A15" s="33" t="s">
        <v>29</v>
      </c>
      <c r="B15" s="34">
        <f t="shared" si="7"/>
        <v>4.0029183762263535E-6</v>
      </c>
      <c r="C15" s="35">
        <f t="shared" si="7"/>
        <v>1.9760570465561962E-2</v>
      </c>
      <c r="D15" s="36">
        <f>Y36</f>
        <v>0.98023483162286762</v>
      </c>
      <c r="E15" s="32">
        <f t="shared" si="8"/>
        <v>8.7191627777078651</v>
      </c>
      <c r="L15" s="19">
        <v>0</v>
      </c>
      <c r="M15" s="20">
        <v>0</v>
      </c>
      <c r="N15" s="20">
        <v>0</v>
      </c>
      <c r="O15" s="31">
        <f>-$E$8</f>
        <v>-12.834698412209509</v>
      </c>
      <c r="P15" s="20">
        <f>$E$9+$E$14*$H$9</f>
        <v>77.795568869767465</v>
      </c>
      <c r="Q15" s="32">
        <f>$E$15*$C$15</f>
        <v>0.17229563046960125</v>
      </c>
      <c r="T15" s="19">
        <v>1.5034447644742255E-5</v>
      </c>
      <c r="U15" s="20">
        <v>1.0158351210463878E-4</v>
      </c>
      <c r="V15" s="20">
        <v>5.738627861087359E-4</v>
      </c>
      <c r="W15" s="20">
        <v>3.0059690836100796E-3</v>
      </c>
      <c r="X15" s="21">
        <v>1.5365523113698237E-2</v>
      </c>
      <c r="Z15">
        <v>2.82030864774351E-3</v>
      </c>
    </row>
    <row r="16" spans="1:35" ht="15.75" thickBot="1" x14ac:dyDescent="0.3"/>
    <row r="17" spans="1:35" ht="15.75" thickBot="1" x14ac:dyDescent="0.3">
      <c r="L17">
        <v>1</v>
      </c>
      <c r="M17">
        <v>2</v>
      </c>
      <c r="N17">
        <v>3</v>
      </c>
      <c r="O17">
        <v>4</v>
      </c>
      <c r="P17">
        <v>5</v>
      </c>
      <c r="Q17" s="11" t="s">
        <v>30</v>
      </c>
      <c r="S17" s="11" t="s">
        <v>11</v>
      </c>
      <c r="Z17" s="11" t="s">
        <v>31</v>
      </c>
    </row>
    <row r="18" spans="1:35" ht="15.75" thickBot="1" x14ac:dyDescent="0.3">
      <c r="A18" t="s">
        <v>3</v>
      </c>
      <c r="B18" t="s">
        <v>32</v>
      </c>
      <c r="K18" s="11" t="s">
        <v>33</v>
      </c>
      <c r="L18" s="12">
        <f>E$10*$I$5+E$5</f>
        <v>6736.3682673782396</v>
      </c>
      <c r="M18" s="17">
        <f>-$E$11*$I$6</f>
        <v>-14458.380540781556</v>
      </c>
      <c r="N18" s="17">
        <v>0</v>
      </c>
      <c r="O18" s="17">
        <v>0</v>
      </c>
      <c r="P18" s="17">
        <v>0</v>
      </c>
      <c r="Q18" s="13">
        <f>$D$4*$E$4</f>
        <v>5.8244147905983056E-3</v>
      </c>
      <c r="T18" s="12">
        <f t="array" ref="T18:X22">MINVERSE(L18:P22)</f>
        <v>1.4877812365948146E-4</v>
      </c>
      <c r="U18" s="17">
        <v>1.4877812365943167E-4</v>
      </c>
      <c r="V18" s="17">
        <v>1.4877812360486681E-4</v>
      </c>
      <c r="W18" s="17">
        <v>1.4877804984481005E-4</v>
      </c>
      <c r="X18" s="18">
        <v>1.4867387298060362E-4</v>
      </c>
      <c r="Z18">
        <f t="array" ref="Z18:Z22">MMULT(T18:X22,Q18:Q22)</f>
        <v>1.2715564258079942E-3</v>
      </c>
    </row>
    <row r="19" spans="1:35" x14ac:dyDescent="0.25">
      <c r="A19" t="s">
        <v>4</v>
      </c>
      <c r="B19" t="s">
        <v>34</v>
      </c>
      <c r="L19" s="29">
        <f>-$E$5</f>
        <v>-14.949987572757708</v>
      </c>
      <c r="M19" s="15">
        <f>$E$6+$E$11*$I$6</f>
        <v>14471.578746158919</v>
      </c>
      <c r="N19" s="15">
        <f>-$I$7*$E$12</f>
        <v>-17428.602067569715</v>
      </c>
      <c r="O19" s="15">
        <v>0</v>
      </c>
      <c r="P19" s="15">
        <v>0</v>
      </c>
      <c r="Q19" s="28">
        <v>0</v>
      </c>
      <c r="T19" s="14">
        <v>1.5383680720900992E-7</v>
      </c>
      <c r="U19" s="15">
        <v>6.9317876111545156E-5</v>
      </c>
      <c r="V19" s="15">
        <v>6.9317876086122607E-5</v>
      </c>
      <c r="W19" s="15">
        <v>6.9317841720247092E-5</v>
      </c>
      <c r="X19" s="16">
        <v>6.9269304214939661E-5</v>
      </c>
      <c r="Z19">
        <v>5.9203365951388627E-4</v>
      </c>
    </row>
    <row r="20" spans="1:35" x14ac:dyDescent="0.25">
      <c r="A20" t="s">
        <v>5</v>
      </c>
      <c r="B20" t="s">
        <v>35</v>
      </c>
      <c r="L20" s="14">
        <v>0</v>
      </c>
      <c r="M20" s="30">
        <f>-$E$6</f>
        <v>-13.198205377361981</v>
      </c>
      <c r="N20" s="15">
        <f>$E$7+$E$12*$I$7</f>
        <v>17441.495073576411</v>
      </c>
      <c r="O20" s="15">
        <f>-$E$13*$I$8</f>
        <v>-18127.407877676676</v>
      </c>
      <c r="P20" s="15">
        <v>0</v>
      </c>
      <c r="Q20" s="28">
        <v>0</v>
      </c>
      <c r="T20" s="14">
        <v>1.1649642165940096E-10</v>
      </c>
      <c r="U20" s="15">
        <v>5.2492538492775787E-8</v>
      </c>
      <c r="V20" s="15">
        <v>5.7429440830499642E-5</v>
      </c>
      <c r="W20" s="15">
        <v>5.7429412358579759E-5</v>
      </c>
      <c r="X20" s="16">
        <v>5.7389199329178071E-5</v>
      </c>
      <c r="Z20">
        <v>4.9049556230185934E-4</v>
      </c>
    </row>
    <row r="21" spans="1:35" x14ac:dyDescent="0.25">
      <c r="L21" s="14">
        <v>0</v>
      </c>
      <c r="M21" s="15">
        <v>0</v>
      </c>
      <c r="N21" s="30">
        <f>-$E$7</f>
        <v>-12.893006006697577</v>
      </c>
      <c r="O21" s="15">
        <f>$E$8+$E$13*$I$8</f>
        <v>18140.242576088887</v>
      </c>
      <c r="P21" s="15">
        <f>-$E$14*$I$9</f>
        <v>-18269.659042212712</v>
      </c>
      <c r="Q21" s="28">
        <v>0</v>
      </c>
      <c r="T21" s="14">
        <v>8.2857313616177156E-14</v>
      </c>
      <c r="U21" s="15">
        <v>3.7334972718058509E-11</v>
      </c>
      <c r="V21" s="15">
        <v>4.0846312031854614E-8</v>
      </c>
      <c r="W21" s="15">
        <v>5.5205904140966405E-5</v>
      </c>
      <c r="X21" s="16">
        <v>5.5167248048988544E-5</v>
      </c>
      <c r="Z21">
        <v>4.7150492830229471E-4</v>
      </c>
    </row>
    <row r="22" spans="1:35" ht="15.75" thickBot="1" x14ac:dyDescent="0.3">
      <c r="L22" s="19">
        <v>0</v>
      </c>
      <c r="M22" s="20">
        <v>0</v>
      </c>
      <c r="N22" s="20">
        <v>0</v>
      </c>
      <c r="O22" s="31">
        <f>-$E$8</f>
        <v>-12.834698412209509</v>
      </c>
      <c r="P22" s="20">
        <f>$E$9+$E$14*$I$9</f>
        <v>18282.460725191584</v>
      </c>
      <c r="Q22" s="40">
        <f>$E$15*$D$15</f>
        <v>8.5468270572988434</v>
      </c>
      <c r="T22" s="19">
        <v>5.8167696761090691E-17</v>
      </c>
      <c r="U22" s="20">
        <v>2.6209990124801949E-14</v>
      </c>
      <c r="V22" s="20">
        <v>2.8675029256728506E-11</v>
      </c>
      <c r="W22" s="20">
        <v>3.8755785715777973E-8</v>
      </c>
      <c r="X22" s="21">
        <v>5.4735960877085591E-5</v>
      </c>
      <c r="Z22">
        <v>4.6781879143152638E-4</v>
      </c>
    </row>
    <row r="24" spans="1:35" ht="15.75" thickBot="1" x14ac:dyDescent="0.3"/>
    <row r="25" spans="1:35" ht="15.75" thickBot="1" x14ac:dyDescent="0.3">
      <c r="R25" s="15"/>
      <c r="S25" s="15"/>
      <c r="T25" s="15"/>
      <c r="Y25" s="8"/>
      <c r="Z25" s="9" t="s">
        <v>36</v>
      </c>
      <c r="AA25" s="10" t="s">
        <v>12</v>
      </c>
      <c r="AB25" s="10" t="s">
        <v>23</v>
      </c>
      <c r="AC25" s="3" t="s">
        <v>31</v>
      </c>
      <c r="AE25" s="41" t="s">
        <v>37</v>
      </c>
      <c r="AF25" s="41" t="s">
        <v>38</v>
      </c>
      <c r="AG25" s="41" t="s">
        <v>39</v>
      </c>
      <c r="AH25" s="41" t="s">
        <v>40</v>
      </c>
      <c r="AI25" s="41" t="s">
        <v>41</v>
      </c>
    </row>
    <row r="26" spans="1:35" ht="15.75" thickBot="1" x14ac:dyDescent="0.3">
      <c r="L26" s="42" t="s">
        <v>42</v>
      </c>
      <c r="M26" s="43"/>
      <c r="N26" s="44"/>
      <c r="R26" s="15"/>
      <c r="S26" s="15"/>
      <c r="T26" s="15"/>
      <c r="Y26" s="45" t="s">
        <v>13</v>
      </c>
      <c r="Z26" s="46">
        <f>AF9</f>
        <v>25.023297659162392</v>
      </c>
      <c r="AA26" s="46">
        <f t="shared" ref="AA26:AC26" si="10">AG9</f>
        <v>0.54019549837901415</v>
      </c>
      <c r="AB26" s="46">
        <f t="shared" si="10"/>
        <v>0.45957174201313017</v>
      </c>
      <c r="AC26" s="46">
        <f t="shared" si="10"/>
        <v>2.3275968139497674E-4</v>
      </c>
      <c r="AE26">
        <f>Z27</f>
        <v>8.7191627777078651</v>
      </c>
      <c r="AF26">
        <f>AE26/Z26</f>
        <v>0.34844179598028741</v>
      </c>
      <c r="AG26">
        <f>AB31*W31/Z26/AA26</f>
        <v>5.6069522464990772E-2</v>
      </c>
      <c r="AH26" s="47">
        <f>(X31*AB31-Z27*AB27)/Z26/AB26</f>
        <v>0.99686046351852264</v>
      </c>
      <c r="AI26" s="48">
        <f>AA35*U35/AB36/AC27</f>
        <v>7.0071284401445005E-4</v>
      </c>
    </row>
    <row r="27" spans="1:35" ht="15.75" thickBot="1" x14ac:dyDescent="0.3">
      <c r="L27" s="12" t="s">
        <v>3</v>
      </c>
      <c r="M27" s="17" t="s">
        <v>4</v>
      </c>
      <c r="N27" s="18" t="s">
        <v>5</v>
      </c>
      <c r="O27" s="49" t="s">
        <v>43</v>
      </c>
      <c r="R27" s="15"/>
      <c r="S27" s="15"/>
      <c r="T27" s="15"/>
      <c r="U27" s="15"/>
      <c r="V27" s="15"/>
      <c r="W27" s="92"/>
      <c r="Y27" s="50" t="s">
        <v>29</v>
      </c>
      <c r="Z27" s="46">
        <f>AF10</f>
        <v>8.7191627777078651</v>
      </c>
      <c r="AA27" s="46">
        <f>AG10</f>
        <v>4.0029183762263535E-6</v>
      </c>
      <c r="AB27" s="46">
        <f t="shared" ref="AA27:AC27" si="11">AH10</f>
        <v>1.9760570465561962E-2</v>
      </c>
      <c r="AC27" s="46">
        <f t="shared" si="11"/>
        <v>0.98023483162286762</v>
      </c>
    </row>
    <row r="28" spans="1:35" ht="15.75" thickBot="1" x14ac:dyDescent="0.3">
      <c r="L28" s="12">
        <f>Z4</f>
        <v>0.86352270391920427</v>
      </c>
      <c r="M28" s="17">
        <f>Z11</f>
        <v>0.13520573858439683</v>
      </c>
      <c r="N28" s="18">
        <f>Z18</f>
        <v>1.2715564258079942E-3</v>
      </c>
      <c r="O28" s="13">
        <f>SUM(L28:N28)</f>
        <v>0.99999999892940916</v>
      </c>
      <c r="R28" s="15"/>
      <c r="S28" s="15"/>
      <c r="T28" s="15"/>
      <c r="U28" s="15"/>
      <c r="V28" s="15"/>
      <c r="AG28" s="46"/>
    </row>
    <row r="29" spans="1:35" ht="21.75" thickBot="1" x14ac:dyDescent="0.4">
      <c r="L29" s="14">
        <f>Z5</f>
        <v>0.96945068151141978</v>
      </c>
      <c r="M29" s="15">
        <f t="shared" ref="M29:M32" si="12">Z12</f>
        <v>2.9957284338253377E-2</v>
      </c>
      <c r="N29" s="16">
        <f>Z19</f>
        <v>5.9203365951388627E-4</v>
      </c>
      <c r="O29" s="28">
        <f t="shared" ref="O29:O32" si="13">SUM(L29:N29)</f>
        <v>0.99999999950918705</v>
      </c>
      <c r="R29" s="15"/>
      <c r="S29" s="15"/>
      <c r="T29" s="15"/>
      <c r="U29" s="15"/>
      <c r="V29" s="15"/>
      <c r="AA29" s="9" t="s">
        <v>44</v>
      </c>
      <c r="AB29" s="3" t="s">
        <v>45</v>
      </c>
      <c r="AG29" s="41"/>
      <c r="AI29" s="51"/>
    </row>
    <row r="30" spans="1:35" ht="15.75" thickBot="1" x14ac:dyDescent="0.3">
      <c r="L30" s="14">
        <f>Z6</f>
        <v>0.99150332450217482</v>
      </c>
      <c r="M30" s="15">
        <f t="shared" si="12"/>
        <v>8.0061796077346807E-3</v>
      </c>
      <c r="N30" s="16">
        <f>Z20</f>
        <v>4.9049556230185934E-4</v>
      </c>
      <c r="O30" s="28">
        <f t="shared" si="13"/>
        <v>0.99999999967221131</v>
      </c>
      <c r="R30" s="11" t="s">
        <v>46</v>
      </c>
      <c r="S30" s="5" t="s">
        <v>47</v>
      </c>
      <c r="T30" s="6" t="s">
        <v>48</v>
      </c>
      <c r="U30" s="6" t="s">
        <v>49</v>
      </c>
      <c r="V30" s="52" t="s">
        <v>43</v>
      </c>
      <c r="W30" s="5" t="s">
        <v>50</v>
      </c>
      <c r="X30" s="6" t="s">
        <v>51</v>
      </c>
      <c r="Y30" s="6" t="s">
        <v>52</v>
      </c>
      <c r="Z30" s="53" t="s">
        <v>53</v>
      </c>
      <c r="AA30" s="54">
        <f>Z26</f>
        <v>25.023297659162392</v>
      </c>
      <c r="AB30" s="55"/>
      <c r="AC30" s="6" t="s">
        <v>7</v>
      </c>
      <c r="AD30" s="6" t="s">
        <v>8</v>
      </c>
      <c r="AE30" s="7" t="s">
        <v>9</v>
      </c>
      <c r="AG30" s="41" t="s">
        <v>119</v>
      </c>
    </row>
    <row r="31" spans="1:35" x14ac:dyDescent="0.25">
      <c r="L31" s="14">
        <f>Z7</f>
        <v>0.99585782923937005</v>
      </c>
      <c r="M31" s="15">
        <f t="shared" si="12"/>
        <v>3.6706655393719803E-3</v>
      </c>
      <c r="N31" s="16">
        <f>Z21</f>
        <v>4.7150492830229471E-4</v>
      </c>
      <c r="O31" s="28">
        <f t="shared" si="13"/>
        <v>0.99999999970704434</v>
      </c>
      <c r="R31" s="56">
        <v>1</v>
      </c>
      <c r="S31" s="57">
        <f>C41</f>
        <v>0.86352270391920427</v>
      </c>
      <c r="T31" s="58">
        <f t="shared" ref="T31:U35" si="14">D41</f>
        <v>0.13520573888785364</v>
      </c>
      <c r="U31" s="58">
        <f t="shared" si="14"/>
        <v>1.2715571929420963E-3</v>
      </c>
      <c r="V31" s="59">
        <f>SUM(S31:U31)</f>
        <v>1</v>
      </c>
      <c r="W31" s="58">
        <f>G41</f>
        <v>3.6193414669084947E-2</v>
      </c>
      <c r="X31" s="58">
        <f t="shared" ref="X31:Y35" si="15">H41</f>
        <v>0.55567141567920098</v>
      </c>
      <c r="Y31" s="58">
        <f t="shared" si="15"/>
        <v>0.40813516965171404</v>
      </c>
      <c r="Z31" s="60">
        <f>SUM(W31:Y31)</f>
        <v>1</v>
      </c>
      <c r="AA31" s="30">
        <f t="shared" ref="AA31:AA33" si="16">(AB33*(W32-W33)+AA32*(S32-W32))/(S31-W32)</f>
        <v>14.949987572757708</v>
      </c>
      <c r="AB31" s="30">
        <f>AA30+AB36-AA35</f>
        <v>20.940777457998855</v>
      </c>
      <c r="AC31" s="61">
        <f>W31/S31</f>
        <v>4.1913680445015138E-2</v>
      </c>
      <c r="AD31" s="62">
        <f t="shared" ref="AD31:AE35" si="17">X31/T31</f>
        <v>4.1098212268940921</v>
      </c>
      <c r="AE31" s="63">
        <f t="shared" si="17"/>
        <v>320.97271905432848</v>
      </c>
      <c r="AG31" t="s">
        <v>121</v>
      </c>
      <c r="AH31">
        <v>0.55567183919333374</v>
      </c>
    </row>
    <row r="32" spans="1:35" ht="15.75" thickBot="1" x14ac:dyDescent="0.3">
      <c r="L32" s="19">
        <f>Z8</f>
        <v>0.99671187227517621</v>
      </c>
      <c r="M32" s="20">
        <f t="shared" si="12"/>
        <v>2.82030864774351E-3</v>
      </c>
      <c r="N32" s="21">
        <f>Z22</f>
        <v>4.6781879143152638E-4</v>
      </c>
      <c r="O32" s="32">
        <f t="shared" si="13"/>
        <v>0.99999999971435127</v>
      </c>
      <c r="R32" s="64">
        <v>2</v>
      </c>
      <c r="S32" s="65">
        <f t="shared" ref="S32:S35" si="18">C42</f>
        <v>0.96945068151141989</v>
      </c>
      <c r="T32" s="66">
        <f t="shared" si="14"/>
        <v>2.9957284470056557E-2</v>
      </c>
      <c r="U32" s="66">
        <f t="shared" si="14"/>
        <v>5.9203401852357023E-4</v>
      </c>
      <c r="V32" s="67">
        <f t="shared" ref="V32:V35" si="19">SUM(S32:U32)</f>
        <v>1</v>
      </c>
      <c r="W32" s="66">
        <f t="shared" ref="W32:W35" si="20">G42</f>
        <v>1.3811790659828096E-2</v>
      </c>
      <c r="X32" s="66">
        <f t="shared" si="15"/>
        <v>0.19852970159291267</v>
      </c>
      <c r="Y32" s="66">
        <f t="shared" si="15"/>
        <v>0.78765850774725932</v>
      </c>
      <c r="Z32" s="68">
        <f t="shared" ref="Z32:Z35" si="21">SUM(W32:Y32)</f>
        <v>1</v>
      </c>
      <c r="AA32" s="30">
        <f t="shared" si="16"/>
        <v>13.198205377361981</v>
      </c>
      <c r="AB32" s="30">
        <f>AA31+AB33-AA32</f>
        <v>10.867467371594172</v>
      </c>
      <c r="AC32" s="69">
        <f t="shared" ref="AC32:AC35" si="22">W32/S32</f>
        <v>1.4247027644866735E-2</v>
      </c>
      <c r="AD32" s="15">
        <f t="shared" si="17"/>
        <v>6.6270927123368155</v>
      </c>
      <c r="AE32" s="70">
        <f t="shared" si="17"/>
        <v>1330.4277847268684</v>
      </c>
      <c r="AG32" s="71" t="s">
        <v>120</v>
      </c>
      <c r="AH32">
        <v>1.8667141789004222E-4</v>
      </c>
      <c r="AI32" s="46">
        <v>0.13520594401969205</v>
      </c>
    </row>
    <row r="33" spans="3:35" x14ac:dyDescent="0.25">
      <c r="R33" s="64">
        <v>3</v>
      </c>
      <c r="S33" s="65">
        <f t="shared" si="18"/>
        <v>0.99150332450217504</v>
      </c>
      <c r="T33" s="66">
        <f t="shared" si="14"/>
        <v>8.0061796378132367E-3</v>
      </c>
      <c r="U33" s="66">
        <f t="shared" si="14"/>
        <v>4.9049586001170917E-4</v>
      </c>
      <c r="V33" s="67">
        <f t="shared" si="19"/>
        <v>1</v>
      </c>
      <c r="W33" s="66">
        <f t="shared" si="20"/>
        <v>3.8894157793608001E-3</v>
      </c>
      <c r="X33" s="66">
        <f t="shared" si="15"/>
        <v>5.8314138347818463E-2</v>
      </c>
      <c r="Y33" s="66">
        <f t="shared" si="15"/>
        <v>0.93779644587282074</v>
      </c>
      <c r="Z33" s="68">
        <f t="shared" si="21"/>
        <v>1</v>
      </c>
      <c r="AA33" s="30">
        <f t="shared" si="16"/>
        <v>12.893006006697577</v>
      </c>
      <c r="AB33" s="30">
        <f>AA32+AB34-AA33</f>
        <v>9.1156851761984452</v>
      </c>
      <c r="AC33" s="69">
        <f t="shared" si="22"/>
        <v>3.9227460798617504E-3</v>
      </c>
      <c r="AD33" s="15">
        <f t="shared" si="17"/>
        <v>7.2836410105514524</v>
      </c>
      <c r="AE33" s="70">
        <f t="shared" si="17"/>
        <v>1911.9354969691967</v>
      </c>
      <c r="AG33" t="s">
        <v>122</v>
      </c>
    </row>
    <row r="34" spans="3:35" ht="15.75" thickBot="1" x14ac:dyDescent="0.3">
      <c r="R34" s="64">
        <v>4</v>
      </c>
      <c r="S34" s="65">
        <f t="shared" si="18"/>
        <v>0.99585782923937027</v>
      </c>
      <c r="T34" s="66">
        <f t="shared" si="14"/>
        <v>3.6706655461326348E-3</v>
      </c>
      <c r="U34" s="66">
        <f t="shared" si="14"/>
        <v>4.7150521449715451E-4</v>
      </c>
      <c r="V34" s="67">
        <f t="shared" si="19"/>
        <v>1</v>
      </c>
      <c r="W34" s="66">
        <f t="shared" si="20"/>
        <v>2.713109236822997E-3</v>
      </c>
      <c r="X34" s="66">
        <f t="shared" si="15"/>
        <v>2.7173831359267001E-2</v>
      </c>
      <c r="Y34" s="66">
        <f t="shared" si="15"/>
        <v>0.97011305940391002</v>
      </c>
      <c r="Z34" s="68">
        <f t="shared" si="21"/>
        <v>1</v>
      </c>
      <c r="AA34" s="30">
        <f>(AB36*(W35-W36)+AA35*(S35-W35))/(S34-W35)</f>
        <v>12.834698412209509</v>
      </c>
      <c r="AB34" s="30">
        <f>AA33+AB35-AA34</f>
        <v>8.8104858055340394</v>
      </c>
      <c r="AC34" s="69">
        <f t="shared" si="22"/>
        <v>2.7243941425808263E-3</v>
      </c>
      <c r="AD34" s="15">
        <f t="shared" si="17"/>
        <v>7.4029712099204987</v>
      </c>
      <c r="AE34" s="70">
        <f t="shared" si="17"/>
        <v>2057.4810830851684</v>
      </c>
      <c r="AG34" t="s">
        <v>121</v>
      </c>
      <c r="AH34" s="94">
        <f>(Z26*AB26+Z27*AB27-AA35*T35)/AB31</f>
        <v>0.55567141443101475</v>
      </c>
    </row>
    <row r="35" spans="3:35" ht="18.75" thickBot="1" x14ac:dyDescent="0.4">
      <c r="C35" s="72" t="s">
        <v>54</v>
      </c>
      <c r="D35" s="73" t="s">
        <v>55</v>
      </c>
      <c r="E35" s="73" t="s">
        <v>56</v>
      </c>
      <c r="F35" s="73" t="s">
        <v>57</v>
      </c>
      <c r="G35" s="73" t="s">
        <v>58</v>
      </c>
      <c r="H35" s="74" t="s">
        <v>59</v>
      </c>
      <c r="J35" s="93"/>
      <c r="R35" s="75">
        <v>5</v>
      </c>
      <c r="S35" s="76">
        <f t="shared" si="18"/>
        <v>0.99671187227517632</v>
      </c>
      <c r="T35" s="77">
        <f t="shared" si="14"/>
        <v>2.8203086494330174E-3</v>
      </c>
      <c r="U35" s="77">
        <f t="shared" si="14"/>
        <v>4.6781907539062524E-4</v>
      </c>
      <c r="V35" s="78">
        <f t="shared" si="19"/>
        <v>1</v>
      </c>
      <c r="W35" s="77">
        <f t="shared" si="20"/>
        <v>2.5114195743803523E-3</v>
      </c>
      <c r="X35" s="77">
        <f>H45</f>
        <v>2.0943679860976037E-2</v>
      </c>
      <c r="Y35" s="77">
        <f t="shared" si="15"/>
        <v>0.9765449005646436</v>
      </c>
      <c r="Z35" s="79">
        <f t="shared" si="21"/>
        <v>1</v>
      </c>
      <c r="AA35" s="30">
        <f>(AA30*(AA26-W31)+AB36*(AA27-W31))/(S35-W31)</f>
        <v>12.801682978871405</v>
      </c>
      <c r="AB35" s="30">
        <f>AA34+AB36-AA35</f>
        <v>8.7521782110459689</v>
      </c>
      <c r="AC35" s="80">
        <f t="shared" si="22"/>
        <v>2.5197046852141729E-3</v>
      </c>
      <c r="AD35" s="81">
        <f t="shared" si="17"/>
        <v>7.4260240506607182</v>
      </c>
      <c r="AE35" s="82">
        <f t="shared" si="17"/>
        <v>2087.4413890652841</v>
      </c>
      <c r="AG35" s="71" t="s">
        <v>120</v>
      </c>
      <c r="AH35" s="94">
        <f>(Z26*AB26+Z27*AB27-AB31*X31)/AA35</f>
        <v>2.8203066076710917E-3</v>
      </c>
    </row>
    <row r="36" spans="3:35" ht="15.75" thickBot="1" x14ac:dyDescent="0.3">
      <c r="C36">
        <v>2.1071800296631609</v>
      </c>
      <c r="D36">
        <v>2.8350922655412045</v>
      </c>
      <c r="E36">
        <v>7.2849444468829168</v>
      </c>
      <c r="F36">
        <v>6.1290709297054313</v>
      </c>
      <c r="G36">
        <v>4.0246507210259157</v>
      </c>
      <c r="H36">
        <v>0.21292207917654202</v>
      </c>
      <c r="V36" s="83"/>
      <c r="W36" s="46">
        <f>AA27</f>
        <v>4.0029183762263535E-6</v>
      </c>
      <c r="X36" s="46">
        <f>AB27</f>
        <v>1.9760570465561962E-2</v>
      </c>
      <c r="Y36" s="46">
        <f>AC27</f>
        <v>0.98023483162286762</v>
      </c>
      <c r="Z36" s="84"/>
      <c r="AA36" s="85"/>
      <c r="AB36" s="86">
        <f>Z27</f>
        <v>8.7191627777078651</v>
      </c>
    </row>
    <row r="37" spans="3:35" ht="18.75" thickBot="1" x14ac:dyDescent="0.4">
      <c r="C37" s="72" t="s">
        <v>60</v>
      </c>
      <c r="D37" s="73" t="s">
        <v>61</v>
      </c>
      <c r="E37" s="73" t="s">
        <v>62</v>
      </c>
      <c r="F37" s="73" t="s">
        <v>63</v>
      </c>
      <c r="G37" s="73" t="s">
        <v>64</v>
      </c>
      <c r="H37" s="74" t="s">
        <v>65</v>
      </c>
      <c r="AG37" s="15" t="s">
        <v>116</v>
      </c>
      <c r="AH37" s="15" t="s">
        <v>117</v>
      </c>
      <c r="AI37" t="s">
        <v>118</v>
      </c>
    </row>
    <row r="38" spans="3:35" x14ac:dyDescent="0.25">
      <c r="C38">
        <v>0.43047242445194145</v>
      </c>
      <c r="D38">
        <v>0.32173183009668638</v>
      </c>
      <c r="E38">
        <v>5.425946787469077E-2</v>
      </c>
      <c r="F38">
        <v>8.6153182795249569E-2</v>
      </c>
      <c r="G38">
        <v>0.19991554264238187</v>
      </c>
      <c r="H38">
        <v>0.91835722352796123</v>
      </c>
      <c r="AG38" s="15">
        <f>(AH34-AH31)^2</f>
        <v>1.8042302762916145E-13</v>
      </c>
      <c r="AH38" s="15">
        <f>(AH32-AH35)^2</f>
        <v>6.9360343128530639E-6</v>
      </c>
      <c r="AI38">
        <f>AG38</f>
        <v>1.8042302762916145E-13</v>
      </c>
    </row>
    <row r="39" spans="3:35" ht="15.75" thickBot="1" x14ac:dyDescent="0.3"/>
    <row r="40" spans="3:35" ht="16.5" thickBot="1" x14ac:dyDescent="0.3">
      <c r="C40" s="9" t="s">
        <v>66</v>
      </c>
      <c r="D40" s="10" t="s">
        <v>67</v>
      </c>
      <c r="E40" s="3" t="s">
        <v>68</v>
      </c>
      <c r="G40" s="9" t="s">
        <v>69</v>
      </c>
      <c r="H40" s="10" t="s">
        <v>70</v>
      </c>
      <c r="I40" s="3" t="s">
        <v>71</v>
      </c>
      <c r="L40" s="87" t="s">
        <v>72</v>
      </c>
      <c r="M40" s="88" t="s">
        <v>73</v>
      </c>
      <c r="N40" s="88" t="s">
        <v>74</v>
      </c>
      <c r="O40" s="88" t="s">
        <v>75</v>
      </c>
      <c r="P40" s="88" t="s">
        <v>76</v>
      </c>
      <c r="Q40" s="88" t="s">
        <v>77</v>
      </c>
      <c r="R40" s="88" t="s">
        <v>78</v>
      </c>
      <c r="S40" s="88" t="s">
        <v>79</v>
      </c>
      <c r="T40" s="88" t="s">
        <v>80</v>
      </c>
      <c r="U40" s="88" t="s">
        <v>81</v>
      </c>
      <c r="V40" s="88" t="s">
        <v>82</v>
      </c>
      <c r="W40" s="88" t="s">
        <v>83</v>
      </c>
      <c r="X40" s="88" t="s">
        <v>84</v>
      </c>
      <c r="Y40" s="88" t="s">
        <v>85</v>
      </c>
      <c r="Z40" s="89" t="s">
        <v>86</v>
      </c>
    </row>
    <row r="41" spans="3:35" x14ac:dyDescent="0.25">
      <c r="C41">
        <f>1-D41-E41</f>
        <v>0.86352270391920427</v>
      </c>
      <c r="D41" s="46">
        <v>0.13520573888785364</v>
      </c>
      <c r="E41" s="46">
        <v>1.2715571929420963E-3</v>
      </c>
      <c r="F41" s="46"/>
      <c r="G41" s="46">
        <v>3.6193414669084947E-2</v>
      </c>
      <c r="H41" s="46">
        <v>0.55567141567920098</v>
      </c>
      <c r="I41">
        <f>1-G41-H41</f>
        <v>0.40813516965171404</v>
      </c>
      <c r="L41">
        <f>$C41+$D$38*$D41+$F$38*$E41</f>
        <v>0.90713224243044632</v>
      </c>
      <c r="M41">
        <f>$C$38*$C41+$D41+$H$38*$E41</f>
        <v>0.50809619454651678</v>
      </c>
      <c r="N41">
        <f>$E$38*$C41+$G$38*$D41+$E41</f>
        <v>7.5155568263441733E-2</v>
      </c>
      <c r="O41">
        <f>$D41*$D$36*$D$38+$E41*$F$36*$F$38</f>
        <v>0.12399791641515275</v>
      </c>
      <c r="P41">
        <f>$C41*$C$36*$C$38+$E41*$H$36*$H$38</f>
        <v>0.7835353135650589</v>
      </c>
      <c r="Q41">
        <f>$C41*$E$36*$E$38+$D41*$G$36*$G$38</f>
        <v>0.45011606140575561</v>
      </c>
      <c r="R41">
        <f>(O41/L41)-(C41*O41/L41^2)+(D41*$C$38/M41)*($C$36-P41/M41)+(E41*$E$38/N41)*($E$36-Q41/N41)</f>
        <v>7.2490727653606007E-2</v>
      </c>
      <c r="S41">
        <f>(P41/M41)-(D41*P41/M41^2)+(C41*$D$38/L41)*($D$36-O41/L41)+(E41*$G$38/N41)*($G$36-Q41/N41)</f>
        <v>1.9515239315689483</v>
      </c>
      <c r="T41">
        <f>(Q41/N41)-(E41*Q41/N41^2)+(C41*$F$38/L41)*($F$36-O41/L41)+(D41*$H$38/M41)*($H$36-P41/M41)</f>
        <v>6.0544172624165054</v>
      </c>
      <c r="U41">
        <f>EXP(R41)</f>
        <v>1.075182836576237</v>
      </c>
      <c r="V41">
        <f>EXP(S41)</f>
        <v>7.039406985226659</v>
      </c>
      <c r="W41">
        <f>EXP(T41)</f>
        <v>425.99059238255808</v>
      </c>
      <c r="X41">
        <f>U41/U47</f>
        <v>4.1913680447571558E-2</v>
      </c>
      <c r="Y41">
        <f>V41/V47</f>
        <v>4.109821222691032</v>
      </c>
      <c r="Z41">
        <f>W41/W47</f>
        <v>320.97270677279261</v>
      </c>
    </row>
    <row r="42" spans="3:35" x14ac:dyDescent="0.25">
      <c r="C42">
        <f t="shared" ref="C42:C45" si="23">1-D42-E42</f>
        <v>0.96945068151141989</v>
      </c>
      <c r="D42">
        <v>2.9957284470056557E-2</v>
      </c>
      <c r="E42" s="46">
        <v>5.9203401852357023E-4</v>
      </c>
      <c r="G42" s="46">
        <v>1.3811790659828096E-2</v>
      </c>
      <c r="H42">
        <v>0.19852970159291267</v>
      </c>
      <c r="I42">
        <f t="shared" ref="I42:I45" si="24">1-G42-H42</f>
        <v>0.78765850774725932</v>
      </c>
      <c r="L42">
        <f>$C42+$D$38*$D42+$F$38*$E42</f>
        <v>0.97913989908371712</v>
      </c>
      <c r="M42">
        <f t="shared" ref="M42:M45" si="25">$C$38*$C42+$D42+$H$38*$E42</f>
        <v>0.44782276844434982</v>
      </c>
      <c r="N42">
        <f t="shared" ref="N42:N45" si="26">$E$38*$C42+$G$38*$D42+$E42</f>
        <v>5.9182838909013082E-2</v>
      </c>
      <c r="O42">
        <f t="shared" ref="O42:O45" si="27">$D42*$D$36*$D$38+$E42*$F$36*$F$38</f>
        <v>2.7637837205990456E-2</v>
      </c>
      <c r="P42">
        <f t="shared" ref="P42:P45" si="28">$C42*$C$36*$C$38+$E42*$H$36*$H$38</f>
        <v>0.87948789729789612</v>
      </c>
      <c r="Q42">
        <f t="shared" ref="Q42:Q45" si="29">$C42*$E$36*$E$38+$D42*$G$36*$G$38</f>
        <v>0.40730509831691003</v>
      </c>
      <c r="R42">
        <f>(O42/L42)-(C42*O42/L42^2)+(D42*$C$38/M42)*($C$36-P42/M42)+(E42*$E$38/N42)*($E$36-Q42/N42)</f>
        <v>4.6233695623271159E-3</v>
      </c>
      <c r="S42">
        <f>(P42/M42)-(D42*P42/M42^2)+(C42*$D$38/L42)*($D$36-O42/L42)+(E42*$G$38/N42)*($G$36-Q42/N42)</f>
        <v>2.7209494821995892</v>
      </c>
      <c r="T42">
        <f>(Q42/N42)-(E42*Q42/N42^2)+(C42*$F$38/L42)*($F$36-O42/L42)+(D42*$H$38/M42)*($H$36-P42/M42)</f>
        <v>7.2261386781963921</v>
      </c>
      <c r="U42">
        <f t="shared" ref="U42:W45" si="30">EXP(R42)</f>
        <v>1.0046340738256125</v>
      </c>
      <c r="V42">
        <f t="shared" si="30"/>
        <v>15.194742535530771</v>
      </c>
      <c r="W42">
        <f t="shared" si="30"/>
        <v>1374.9032970323074</v>
      </c>
      <c r="X42">
        <f t="shared" ref="X42:Z45" si="31">U42/U48</f>
        <v>1.4247027642342449E-2</v>
      </c>
      <c r="Y42">
        <f t="shared" si="31"/>
        <v>6.6270927102266048</v>
      </c>
      <c r="Z42">
        <f t="shared" si="31"/>
        <v>1330.4277429226381</v>
      </c>
    </row>
    <row r="43" spans="3:35" x14ac:dyDescent="0.25">
      <c r="C43">
        <f t="shared" si="23"/>
        <v>0.99150332450217504</v>
      </c>
      <c r="D43">
        <v>8.0061796378132367E-3</v>
      </c>
      <c r="E43" s="46">
        <v>4.9049586001170917E-4</v>
      </c>
      <c r="G43" s="46">
        <v>3.8894157793608001E-3</v>
      </c>
      <c r="H43">
        <v>5.8314138347818463E-2</v>
      </c>
      <c r="I43">
        <f t="shared" si="24"/>
        <v>0.93779644587282074</v>
      </c>
      <c r="L43">
        <f t="shared" ref="L43:L45" si="32">$C43+$D$38*$D43+$F$38*$E43</f>
        <v>0.99412142510861934</v>
      </c>
      <c r="M43">
        <f t="shared" si="25"/>
        <v>0.43527147000457689</v>
      </c>
      <c r="N43">
        <f t="shared" si="26"/>
        <v>5.5889498390272394E-2</v>
      </c>
      <c r="O43">
        <f t="shared" si="27"/>
        <v>7.5617530037673051E-3</v>
      </c>
      <c r="P43">
        <f t="shared" si="28"/>
        <v>0.8994716179469795</v>
      </c>
      <c r="Q43">
        <f t="shared" si="29"/>
        <v>0.39836036094537014</v>
      </c>
      <c r="R43">
        <f>(O43/L43)-(C43*O43/L43^2)+(D43*$C$38/M43)*($C$36-P43/M43)+(E43*$E$38/N43)*($E$36-Q43/N43)</f>
        <v>4.1734567584245672E-4</v>
      </c>
      <c r="S43">
        <f>(P43/M43)-(D43*P43/M43^2)+(C43*$D$38/L43)*($D$36-O43/L43)+(E43*$G$38/N43)*($G$36-Q43/N43)</f>
        <v>2.9303039640448341</v>
      </c>
      <c r="T43">
        <f>(Q43/N43)-(E43*Q43/N43^2)+(C43*$F$38/L43)*($F$36-O43/L43)+(D43*$H$38/M43)*($H$36-P43/M43)</f>
        <v>7.5597740925800423</v>
      </c>
      <c r="U43">
        <f t="shared" si="30"/>
        <v>1.0004174327766657</v>
      </c>
      <c r="V43">
        <f t="shared" si="30"/>
        <v>18.733323888238171</v>
      </c>
      <c r="W43">
        <f t="shared" si="30"/>
        <v>1919.4118550120813</v>
      </c>
      <c r="X43">
        <f t="shared" si="31"/>
        <v>3.9227460789293426E-3</v>
      </c>
      <c r="Y43">
        <f t="shared" si="31"/>
        <v>7.2836410089582735</v>
      </c>
      <c r="Z43">
        <f t="shared" si="31"/>
        <v>1911.9354397734949</v>
      </c>
    </row>
    <row r="44" spans="3:35" x14ac:dyDescent="0.25">
      <c r="C44">
        <f t="shared" si="23"/>
        <v>0.99585782923937027</v>
      </c>
      <c r="D44">
        <v>3.6706655461326348E-3</v>
      </c>
      <c r="E44" s="46">
        <v>4.7150521449715451E-4</v>
      </c>
      <c r="G44" s="46">
        <v>2.713109236822997E-3</v>
      </c>
      <c r="H44">
        <v>2.7173831359267001E-2</v>
      </c>
      <c r="I44">
        <f t="shared" si="24"/>
        <v>0.97011305940391002</v>
      </c>
      <c r="L44">
        <f t="shared" si="32"/>
        <v>0.99707942085813384</v>
      </c>
      <c r="M44">
        <f t="shared" si="25"/>
        <v>0.43279300992791647</v>
      </c>
      <c r="N44">
        <f t="shared" si="26"/>
        <v>5.5240044202383855E-2</v>
      </c>
      <c r="O44">
        <f t="shared" si="27"/>
        <v>3.5971318805401394E-3</v>
      </c>
      <c r="P44">
        <f t="shared" si="28"/>
        <v>0.90341780131229066</v>
      </c>
      <c r="Q44">
        <f t="shared" si="29"/>
        <v>0.39659328513276343</v>
      </c>
      <c r="R44">
        <f>(O44/L44)-(C44*O44/L44^2)+(D44*$C$38/M44)*($C$36-P44/M44)+(E44*$E$38/N44)*($E$36-Q44/N44)</f>
        <v>1.2544568510282759E-4</v>
      </c>
      <c r="S44">
        <f>(P44/M44)-(D44*P44/M44^2)+(C44*$D$38/L44)*($D$36-O44/L44)+(E44*$G$38/N44)*($G$36-Q44/N44)</f>
        <v>2.9741883278458348</v>
      </c>
      <c r="T44">
        <f>(Q44/N44)-(E44*Q44/N44^2)+(C44*$F$38/L44)*($F$36-O44/L44)+(D44*$H$38/M44)*($H$36-P44/M44)</f>
        <v>7.6306533698368053</v>
      </c>
      <c r="U44">
        <f t="shared" si="30"/>
        <v>1.0001254535537418</v>
      </c>
      <c r="V44">
        <f t="shared" si="30"/>
        <v>19.57372934908453</v>
      </c>
      <c r="W44">
        <f t="shared" si="30"/>
        <v>2060.3957806046515</v>
      </c>
      <c r="X44">
        <f t="shared" si="31"/>
        <v>2.72439414215628E-3</v>
      </c>
      <c r="Y44">
        <f t="shared" si="31"/>
        <v>7.4029712084263526</v>
      </c>
      <c r="Z44">
        <f t="shared" si="31"/>
        <v>2057.4810221418452</v>
      </c>
    </row>
    <row r="45" spans="3:35" ht="15.75" thickBot="1" x14ac:dyDescent="0.3">
      <c r="C45">
        <f t="shared" si="23"/>
        <v>0.99671187227517632</v>
      </c>
      <c r="D45">
        <v>2.8203086494330174E-3</v>
      </c>
      <c r="E45" s="46">
        <v>4.6781907539062524E-4</v>
      </c>
      <c r="G45" s="46">
        <v>2.5114195743803523E-3</v>
      </c>
      <c r="H45">
        <v>2.0943679860976037E-2</v>
      </c>
      <c r="I45">
        <f t="shared" si="24"/>
        <v>0.9765449005646436</v>
      </c>
      <c r="L45">
        <f t="shared" si="32"/>
        <v>0.99765955944071316</v>
      </c>
      <c r="M45">
        <f t="shared" si="25"/>
        <v>0.43230690981495107</v>
      </c>
      <c r="N45">
        <f t="shared" si="26"/>
        <v>5.5112698423498849E-2</v>
      </c>
      <c r="O45">
        <f t="shared" si="27"/>
        <v>2.8195414062773968E-3</v>
      </c>
      <c r="P45">
        <f t="shared" si="28"/>
        <v>0.9041917683604056</v>
      </c>
      <c r="Q45">
        <f t="shared" si="29"/>
        <v>0.39624668002696772</v>
      </c>
      <c r="R45">
        <f>(O45/L45)-(C45*O45/L45^2)+(D45*$C$38/M45)*($C$36-P45/M45)+(E45*$E$38/N45)*($E$36-Q45/N45)</f>
        <v>9.0420429816151913E-5</v>
      </c>
      <c r="S45">
        <f>(P45/M45)-(D45*P45/M45^2)+(C45*$D$38/L45)*($D$36-O45/L45)+(E45*$G$38/N45)*($G$36-Q45/N45)</f>
        <v>2.9828991083145078</v>
      </c>
      <c r="T45">
        <f>(Q45/N45)-(E45*Q45/N45^2)+(C45*$F$38/L45)*($F$36-O45/L45)+(D45*$H$38/M45)*($H$36-P45/M45)</f>
        <v>7.6447621130857373</v>
      </c>
      <c r="U45">
        <f t="shared" si="30"/>
        <v>1.0000904245178663</v>
      </c>
      <c r="V45">
        <f t="shared" si="30"/>
        <v>19.744976574069945</v>
      </c>
      <c r="W45">
        <f t="shared" si="30"/>
        <v>2089.6714112181721</v>
      </c>
      <c r="X45">
        <f t="shared" si="31"/>
        <v>2.5197046848772775E-3</v>
      </c>
      <c r="Y45">
        <f t="shared" si="31"/>
        <v>7.4260240491861955</v>
      </c>
      <c r="Z45">
        <f t="shared" si="31"/>
        <v>2087.4413273550417</v>
      </c>
    </row>
    <row r="46" spans="3:35" ht="16.5" thickBot="1" x14ac:dyDescent="0.3">
      <c r="L46" s="87" t="s">
        <v>87</v>
      </c>
      <c r="M46" s="88" t="s">
        <v>88</v>
      </c>
      <c r="N46" s="88" t="s">
        <v>89</v>
      </c>
      <c r="O46" s="88" t="s">
        <v>90</v>
      </c>
      <c r="P46" s="88" t="s">
        <v>91</v>
      </c>
      <c r="Q46" s="88" t="s">
        <v>92</v>
      </c>
      <c r="R46" s="88" t="s">
        <v>93</v>
      </c>
      <c r="S46" s="88" t="s">
        <v>94</v>
      </c>
      <c r="T46" s="88" t="s">
        <v>95</v>
      </c>
      <c r="U46" s="88" t="s">
        <v>96</v>
      </c>
      <c r="V46" s="88" t="s">
        <v>97</v>
      </c>
      <c r="W46" s="88" t="s">
        <v>98</v>
      </c>
      <c r="X46" s="88" t="s">
        <v>99</v>
      </c>
      <c r="Y46" s="88" t="s">
        <v>100</v>
      </c>
      <c r="Z46" s="89" t="s">
        <v>101</v>
      </c>
    </row>
    <row r="47" spans="3:35" ht="15.75" thickBot="1" x14ac:dyDescent="0.3">
      <c r="L47">
        <f>$G41+$D$38*$H41+$F$38*$I41</f>
        <v>0.25013274004414515</v>
      </c>
      <c r="M47">
        <f>$C$38*$G41+$H41+$H$38*$I41</f>
        <v>0.9460655638664579</v>
      </c>
      <c r="N47">
        <f>$E$38*$G41+$G$38*$H41+$I41</f>
        <v>0.52118635766859467</v>
      </c>
      <c r="O47">
        <f>$H41*$D$36*$D$38+$I41*$F$36*$F$38</f>
        <v>0.72236107838032737</v>
      </c>
      <c r="P47">
        <f>$G41*$C$36*$C$38+$I41*$H$36*$H$38</f>
        <v>0.11263657829347085</v>
      </c>
      <c r="Q47">
        <f>$G41*$E$36*$E$38+$H41*$G$36*$G$38</f>
        <v>0.4613942256650877</v>
      </c>
      <c r="R47">
        <f>(O47/L47)-(G41*O47/L47^2)+(H41*$C$38/M47)*($C$36-P47/M47)+(I41*$E$38/N47)*($E$36-Q47/N47)</f>
        <v>3.2446337306692601</v>
      </c>
      <c r="S47">
        <f>(P47/M47)-(H41*P47/M47^2)+(G41*$D$38/L47)*($D$36-O47/L47)+(I41*$G$38/N47)*($G$36-Q47/N47)</f>
        <v>0.53814440213557868</v>
      </c>
      <c r="T47">
        <f>(Q47/N47)-(I41*Q47/N47^2)+(G41*$F$38/L47)*($F$36-O47/L47)+(H41*$H$38/M47)*($H$36-P47/M47)</f>
        <v>0.28306116853130286</v>
      </c>
      <c r="U47">
        <f>EXP(R47)</f>
        <v>25.652312683949283</v>
      </c>
      <c r="V47">
        <f>EXP(S47)</f>
        <v>1.7128255960042442</v>
      </c>
      <c r="W47">
        <f>EXP(T47)</f>
        <v>1.3271863413735818</v>
      </c>
      <c r="X47">
        <f>U47/U41</f>
        <v>23.858558573754145</v>
      </c>
      <c r="Y47">
        <f>V47/V41</f>
        <v>0.24331958637977424</v>
      </c>
      <c r="Z47">
        <f>W47/W41</f>
        <v>3.1155296973828725E-3</v>
      </c>
    </row>
    <row r="48" spans="3:35" ht="15.75" thickBot="1" x14ac:dyDescent="0.3">
      <c r="C48" s="95" t="s">
        <v>102</v>
      </c>
      <c r="D48" s="96"/>
      <c r="E48" s="96"/>
      <c r="F48" s="96"/>
      <c r="G48" s="96"/>
      <c r="H48" s="96"/>
      <c r="I48" s="97"/>
      <c r="L48">
        <f t="shared" ref="L48:L51" si="33">$G42+$D$38*$H42+$F$38*$I42</f>
        <v>0.14554440228004806</v>
      </c>
      <c r="M48">
        <f t="shared" ref="M48:M51" si="34">$C$38*$G42+$H42+$H$38*$I42</f>
        <v>0.92782717686722171</v>
      </c>
      <c r="N48">
        <f t="shared" ref="N48:N51" si="35">$E$38*$G42+$G$38*$H42+$I42</f>
        <v>0.82809710118343549</v>
      </c>
      <c r="O48">
        <f t="shared" ref="O48:O51" si="36">$H42*$D$36*$D$38+$I42*$F$36*$F$38</f>
        <v>0.59700115317903257</v>
      </c>
      <c r="P48">
        <f t="shared" ref="P48:P51" si="37">$G42*$C$36*$C$38+$I42*$H$36*$H$38</f>
        <v>0.16654602539424876</v>
      </c>
      <c r="Q48">
        <f t="shared" ref="Q48:Q51" si="38">$G42*$E$36*$E$38+$H42*$G$36*$G$38</f>
        <v>0.16519454489614538</v>
      </c>
      <c r="R48">
        <f>(O48/L48)-(G42*O48/L48^2)+(H42*$C$38/M48)*($C$36-P48/M48)+(I42*$E$38/N48)*($E$36-Q48/N48)</f>
        <v>4.2558303500892789</v>
      </c>
      <c r="S48">
        <f>(P48/M48)-(H42*P48/M48^2)+(G42*$D$38/L48)*($D$36-O48/L48)+(I42*$G$38/N48)*($G$36-Q48/N48)</f>
        <v>0.8297832794182145</v>
      </c>
      <c r="T48">
        <f>(Q48/N48)-(I42*Q48/N48^2)+(G42*$F$38/L48)*($F$36-O48/L48)+(H42*$H$38/M48)*($H$36-P48/M48)</f>
        <v>3.2882897466366579E-2</v>
      </c>
      <c r="U48">
        <f t="shared" ref="U48:W51" si="39">EXP(R48)</f>
        <v>70.515345308927465</v>
      </c>
      <c r="V48">
        <f t="shared" si="39"/>
        <v>2.2928217847447629</v>
      </c>
      <c r="W48">
        <f t="shared" si="39"/>
        <v>1.0334295149407866</v>
      </c>
      <c r="X48">
        <f t="shared" ref="X48:Z51" si="40">U48/U42</f>
        <v>70.190079299627399</v>
      </c>
      <c r="Y48">
        <f t="shared" si="40"/>
        <v>0.15089573116381019</v>
      </c>
      <c r="Z48">
        <f t="shared" si="40"/>
        <v>7.5163796404548384E-4</v>
      </c>
    </row>
    <row r="49" spans="2:26" ht="15.75" thickBot="1" x14ac:dyDescent="0.3">
      <c r="B49" s="11" t="s">
        <v>103</v>
      </c>
      <c r="C49" s="10" t="s">
        <v>66</v>
      </c>
      <c r="D49" s="10" t="s">
        <v>67</v>
      </c>
      <c r="E49" s="10" t="s">
        <v>68</v>
      </c>
      <c r="F49" s="10"/>
      <c r="G49" s="10" t="s">
        <v>69</v>
      </c>
      <c r="H49" s="10" t="s">
        <v>70</v>
      </c>
      <c r="I49" s="10" t="s">
        <v>104</v>
      </c>
      <c r="J49" s="11" t="s">
        <v>103</v>
      </c>
      <c r="L49">
        <f t="shared" si="33"/>
        <v>0.10344507885653229</v>
      </c>
      <c r="M49">
        <f t="shared" si="34"/>
        <v>0.92122056485421511</v>
      </c>
      <c r="N49">
        <f t="shared" si="35"/>
        <v>0.94966538611487938</v>
      </c>
      <c r="O49">
        <f t="shared" si="36"/>
        <v>0.54838369214432681</v>
      </c>
      <c r="P49">
        <f t="shared" si="37"/>
        <v>0.18690336048851272</v>
      </c>
      <c r="Q49">
        <f t="shared" si="38"/>
        <v>4.8456383565756371E-2</v>
      </c>
      <c r="R49">
        <f>(O49/L49)-(G43*O49/L49^2)+(H43*$C$38/M49)*($C$36-P49/M49)+(I43*$E$38/N49)*($E$36-Q49/N49)</f>
        <v>5.5413806857733352</v>
      </c>
      <c r="S49">
        <f>(P49/M49)-(H43*P49/M49^2)+(G43*$D$38/L49)*($D$36-O49/L49)+(I43*$G$38/N49)*($G$36-Q49/N49)</f>
        <v>0.94467308827069063</v>
      </c>
      <c r="T49">
        <f>(Q49/N49)-(I43*Q49/N49^2)+(G43*$F$38/L49)*($F$36-O49/L49)+(H43*$H$38/M49)*($H$36-P49/M49)</f>
        <v>3.9027653476150222E-3</v>
      </c>
      <c r="U49">
        <f t="shared" si="39"/>
        <v>255.02987260641538</v>
      </c>
      <c r="V49">
        <f t="shared" si="39"/>
        <v>2.5719724331824891</v>
      </c>
      <c r="W49">
        <f t="shared" si="39"/>
        <v>1.0039103910535139</v>
      </c>
      <c r="X49">
        <f t="shared" si="40"/>
        <v>254.9234591990047</v>
      </c>
      <c r="Y49">
        <f t="shared" si="40"/>
        <v>0.13729397134895624</v>
      </c>
      <c r="Z49">
        <f t="shared" si="40"/>
        <v>5.2303021283944037E-4</v>
      </c>
    </row>
    <row r="50" spans="2:26" x14ac:dyDescent="0.25">
      <c r="B50" s="90">
        <f>SUM(C50:E50)</f>
        <v>1.0000000001342588</v>
      </c>
      <c r="C50">
        <f>G41*X47</f>
        <v>0.86352270386653573</v>
      </c>
      <c r="D50">
        <f>H41*Y47</f>
        <v>0.13520573902612679</v>
      </c>
      <c r="E50">
        <f>I41*Z47</f>
        <v>1.2715572415963119E-3</v>
      </c>
      <c r="G50">
        <f>C41*X41</f>
        <v>3.6193414671292473E-2</v>
      </c>
      <c r="H50">
        <f>D41*Y41</f>
        <v>0.55567141511092311</v>
      </c>
      <c r="I50">
        <f>E41*Z41</f>
        <v>0.40813515403503875</v>
      </c>
      <c r="J50" s="90">
        <f>SUM(G50:I50)</f>
        <v>0.9999999838172543</v>
      </c>
      <c r="L50">
        <f t="shared" si="33"/>
        <v>9.5034123469662557E-2</v>
      </c>
      <c r="M50">
        <f t="shared" si="34"/>
        <v>0.91925208581263607</v>
      </c>
      <c r="N50">
        <f t="shared" si="35"/>
        <v>0.97569274250924642</v>
      </c>
      <c r="O50">
        <f t="shared" si="36"/>
        <v>0.5370438217568515</v>
      </c>
      <c r="P50">
        <f t="shared" si="37"/>
        <v>0.19215549603018411</v>
      </c>
      <c r="Q50">
        <f t="shared" si="38"/>
        <v>2.2936229547850375E-2</v>
      </c>
      <c r="R50">
        <f>(O50/L50)-(G44*O50/L50^2)+(H44*$C$38/M50)*($C$36-P50/M50)+(I44*$E$38/N50)*($E$36-Q50/N50)</f>
        <v>5.9056346544253708</v>
      </c>
      <c r="S50">
        <f>(P50/M50)-(H44*P50/M50^2)+(G44*$D$38/L50)*($D$36-O50/L50)+(I44*$G$38/N50)*($G$36-Q50/N50)</f>
        <v>0.97230689356893873</v>
      </c>
      <c r="T50">
        <f>(Q50/N50)-(I44*Q50/N50^2)+(G44*$F$38/L50)*($F$36-O50/L50)+(H44*$H$38/M50)*($H$36-P50/M50)</f>
        <v>1.4156610744887361E-3</v>
      </c>
      <c r="U50">
        <f t="shared" si="39"/>
        <v>367.10013359600424</v>
      </c>
      <c r="V50">
        <f t="shared" si="39"/>
        <v>2.6440369411142575</v>
      </c>
      <c r="W50">
        <f t="shared" si="39"/>
        <v>1.0014166635956485</v>
      </c>
      <c r="X50">
        <f t="shared" si="40"/>
        <v>367.0540853565808</v>
      </c>
      <c r="Y50">
        <f t="shared" si="40"/>
        <v>0.1350808981752841</v>
      </c>
      <c r="Z50">
        <f t="shared" si="40"/>
        <v>4.8603121449888089E-4</v>
      </c>
    </row>
    <row r="51" spans="2:26" x14ac:dyDescent="0.25">
      <c r="B51" s="90">
        <f t="shared" ref="B51:B54" si="41">SUM(C51:E51)</f>
        <v>1.0000000001999088</v>
      </c>
      <c r="C51">
        <f t="shared" ref="C51:E54" si="42">G42*X48</f>
        <v>0.96945068168318704</v>
      </c>
      <c r="D51">
        <f t="shared" si="42"/>
        <v>2.995728447959561E-2</v>
      </c>
      <c r="E51">
        <f t="shared" si="42"/>
        <v>5.9203403712625397E-4</v>
      </c>
      <c r="G51">
        <f t="shared" ref="G51:I54" si="43">C42*X42</f>
        <v>1.3811790657380925E-2</v>
      </c>
      <c r="H51">
        <f t="shared" si="43"/>
        <v>0.19852970152969648</v>
      </c>
      <c r="I51">
        <f t="shared" si="43"/>
        <v>0.78765848299773289</v>
      </c>
      <c r="J51" s="90">
        <f t="shared" ref="J51:J54" si="44">SUM(G51:I51)</f>
        <v>0.99999997518481032</v>
      </c>
      <c r="L51">
        <f t="shared" si="33"/>
        <v>9.3382119351125836E-2</v>
      </c>
      <c r="M51">
        <f t="shared" si="34"/>
        <v>0.91884184026691074</v>
      </c>
      <c r="N51">
        <f t="shared" si="35"/>
        <v>0.98086813597869493</v>
      </c>
      <c r="O51">
        <f t="shared" si="36"/>
        <v>0.53475731773342472</v>
      </c>
      <c r="P51">
        <f t="shared" si="37"/>
        <v>0.19323021954934952</v>
      </c>
      <c r="Q51">
        <f t="shared" si="38"/>
        <v>1.7843787176320583E-2</v>
      </c>
      <c r="R51">
        <f>(O51/L51)-(G45*O51/L51^2)+(H45*$C$38/M51)*($C$36-P51/M51)+(I45*$E$38/N51)*($E$36-Q51/N51)</f>
        <v>5.9837039932964977</v>
      </c>
      <c r="S51">
        <f>(P51/M51)-(H45*P51/M51^2)+(G45*$D$38/L51)*($D$36-O51/L51)+(I45*$G$38/N51)*($G$36-Q51/N51)</f>
        <v>0.97790851405339085</v>
      </c>
      <c r="T51">
        <f>(Q51/N51)-(I45*Q51/N51^2)+(G45*$F$38/L51)*($F$36-O51/L51)+(H45*$H$38/M51)*($H$36-P51/M51)</f>
        <v>1.0677634119936625E-3</v>
      </c>
      <c r="U51">
        <f t="shared" si="39"/>
        <v>396.90779261561596</v>
      </c>
      <c r="V51">
        <f t="shared" si="39"/>
        <v>2.6588893926668282</v>
      </c>
      <c r="W51">
        <f t="shared" si="39"/>
        <v>1.001068333674296</v>
      </c>
      <c r="X51">
        <f t="shared" si="40"/>
        <v>396.87190566489153</v>
      </c>
      <c r="Y51">
        <f t="shared" si="40"/>
        <v>0.13466156228104165</v>
      </c>
      <c r="Z51">
        <f t="shared" si="40"/>
        <v>4.7905538081258631E-4</v>
      </c>
    </row>
    <row r="52" spans="2:26" x14ac:dyDescent="0.25">
      <c r="B52" s="90">
        <f t="shared" si="41"/>
        <v>1.0000000002520975</v>
      </c>
      <c r="C52">
        <f t="shared" si="42"/>
        <v>0.99150332473784797</v>
      </c>
      <c r="D52">
        <f t="shared" si="42"/>
        <v>8.0061796395644591E-3</v>
      </c>
      <c r="E52">
        <f t="shared" si="42"/>
        <v>4.9049587468493209E-4</v>
      </c>
      <c r="G52">
        <f t="shared" si="43"/>
        <v>3.8894157784363148E-3</v>
      </c>
      <c r="H52">
        <f t="shared" si="43"/>
        <v>5.8314138335063187E-2</v>
      </c>
      <c r="I52">
        <f t="shared" si="43"/>
        <v>0.93779641781856571</v>
      </c>
      <c r="J52" s="90">
        <f t="shared" si="44"/>
        <v>0.99999997193206525</v>
      </c>
    </row>
    <row r="53" spans="2:26" x14ac:dyDescent="0.25">
      <c r="B53" s="90">
        <f t="shared" si="41"/>
        <v>1.000000000169893</v>
      </c>
      <c r="C53">
        <f t="shared" si="42"/>
        <v>0.99585782939455614</v>
      </c>
      <c r="D53">
        <f t="shared" si="42"/>
        <v>3.6706655468734875E-3</v>
      </c>
      <c r="E53">
        <f t="shared" si="42"/>
        <v>4.7150522846330735E-4</v>
      </c>
      <c r="G53">
        <f t="shared" si="43"/>
        <v>2.7131092364002093E-3</v>
      </c>
      <c r="H53">
        <f t="shared" si="43"/>
        <v>2.7173831353782488E-2</v>
      </c>
      <c r="I53">
        <f t="shared" si="43"/>
        <v>0.97011303066881538</v>
      </c>
      <c r="J53" s="90">
        <f t="shared" si="44"/>
        <v>0.99999997125899809</v>
      </c>
    </row>
    <row r="54" spans="2:26" x14ac:dyDescent="0.25">
      <c r="B54" s="90">
        <f t="shared" si="41"/>
        <v>1.0000000001476548</v>
      </c>
      <c r="C54">
        <f t="shared" si="42"/>
        <v>0.99671187240844117</v>
      </c>
      <c r="D54">
        <f t="shared" si="42"/>
        <v>2.8203086499930222E-3</v>
      </c>
      <c r="E54">
        <f t="shared" si="42"/>
        <v>4.6781908922058455E-4</v>
      </c>
      <c r="G54">
        <f t="shared" si="43"/>
        <v>2.5114195740445645E-3</v>
      </c>
      <c r="H54">
        <f t="shared" si="43"/>
        <v>2.0943679856817426E-2</v>
      </c>
      <c r="I54">
        <f t="shared" si="43"/>
        <v>0.97654487169541504</v>
      </c>
      <c r="J54" s="90">
        <f t="shared" si="44"/>
        <v>0.99999997112627703</v>
      </c>
    </row>
    <row r="55" spans="2:26" ht="15.75" thickBot="1" x14ac:dyDescent="0.3"/>
    <row r="56" spans="2:26" ht="15.75" thickBot="1" x14ac:dyDescent="0.3">
      <c r="C56" s="1" t="s">
        <v>105</v>
      </c>
      <c r="D56" s="2"/>
      <c r="E56" s="2"/>
      <c r="F56" s="2"/>
      <c r="G56" s="2"/>
      <c r="H56" s="2"/>
      <c r="I56" s="91"/>
    </row>
    <row r="57" spans="2:26" ht="15.75" thickBot="1" x14ac:dyDescent="0.3">
      <c r="C57" s="9" t="s">
        <v>106</v>
      </c>
      <c r="D57" s="10" t="s">
        <v>107</v>
      </c>
      <c r="E57" s="3" t="s">
        <v>108</v>
      </c>
      <c r="G57" s="9" t="s">
        <v>106</v>
      </c>
      <c r="H57" s="10" t="s">
        <v>107</v>
      </c>
      <c r="I57" s="3" t="s">
        <v>108</v>
      </c>
    </row>
    <row r="58" spans="2:26" x14ac:dyDescent="0.25">
      <c r="C58">
        <f>(C41+C50)/2</f>
        <v>0.86352270389287</v>
      </c>
      <c r="D58">
        <f>(D41+D50)/2</f>
        <v>0.13520573895699023</v>
      </c>
      <c r="E58">
        <f>(E41+E50)/2</f>
        <v>1.2715572172692041E-3</v>
      </c>
      <c r="G58">
        <f>(G41+G50)/2</f>
        <v>3.619341467018871E-2</v>
      </c>
      <c r="H58">
        <f>(H41+H50)/2</f>
        <v>0.55567141539506204</v>
      </c>
      <c r="I58">
        <f>(I41+I50)/2</f>
        <v>0.40813516184337639</v>
      </c>
    </row>
    <row r="59" spans="2:26" x14ac:dyDescent="0.25">
      <c r="C59">
        <f t="shared" ref="C59:E62" si="45">(C42+C51)/2</f>
        <v>0.96945068159730341</v>
      </c>
      <c r="D59">
        <f t="shared" si="45"/>
        <v>2.9957284474826082E-2</v>
      </c>
      <c r="E59">
        <f t="shared" si="45"/>
        <v>5.9203402782491204E-4</v>
      </c>
      <c r="G59">
        <f t="shared" ref="G59:I62" si="46">(G42+G51)/2</f>
        <v>1.381179065860451E-2</v>
      </c>
      <c r="H59">
        <f t="shared" si="46"/>
        <v>0.19852970156130456</v>
      </c>
      <c r="I59">
        <f t="shared" si="46"/>
        <v>0.7876584953724961</v>
      </c>
    </row>
    <row r="60" spans="2:26" x14ac:dyDescent="0.25">
      <c r="C60">
        <f t="shared" si="45"/>
        <v>0.99150332462001156</v>
      </c>
      <c r="D60">
        <f t="shared" si="45"/>
        <v>8.006179638688847E-3</v>
      </c>
      <c r="E60">
        <f t="shared" si="45"/>
        <v>4.9049586734832063E-4</v>
      </c>
      <c r="G60">
        <f t="shared" si="46"/>
        <v>3.8894157788985574E-3</v>
      </c>
      <c r="H60">
        <f t="shared" si="46"/>
        <v>5.8314138341440822E-2</v>
      </c>
      <c r="I60">
        <f t="shared" si="46"/>
        <v>0.93779643184569328</v>
      </c>
    </row>
    <row r="61" spans="2:26" x14ac:dyDescent="0.25">
      <c r="C61">
        <f t="shared" si="45"/>
        <v>0.99585782931696321</v>
      </c>
      <c r="D61">
        <f t="shared" si="45"/>
        <v>3.6706655465030612E-3</v>
      </c>
      <c r="E61">
        <f t="shared" si="45"/>
        <v>4.7150522148023096E-4</v>
      </c>
      <c r="G61">
        <f t="shared" si="46"/>
        <v>2.7131092366116031E-3</v>
      </c>
      <c r="H61">
        <f t="shared" si="46"/>
        <v>2.7173831356524743E-2</v>
      </c>
      <c r="I61">
        <f t="shared" si="46"/>
        <v>0.97011304503636264</v>
      </c>
    </row>
    <row r="62" spans="2:26" x14ac:dyDescent="0.25">
      <c r="C62">
        <f t="shared" si="45"/>
        <v>0.99671187234180869</v>
      </c>
      <c r="D62">
        <f t="shared" si="45"/>
        <v>2.82030864971302E-3</v>
      </c>
      <c r="E62">
        <f t="shared" si="45"/>
        <v>4.6781908230560489E-4</v>
      </c>
      <c r="G62">
        <f t="shared" si="46"/>
        <v>2.5114195742124584E-3</v>
      </c>
      <c r="H62">
        <f t="shared" si="46"/>
        <v>2.0943679858896731E-2</v>
      </c>
      <c r="I62">
        <f t="shared" si="46"/>
        <v>0.97654488613002932</v>
      </c>
    </row>
  </sheetData>
  <mergeCells count="3">
    <mergeCell ref="C48:I48"/>
    <mergeCell ref="AD4:AD5"/>
    <mergeCell ref="AD6:AD7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Button 2">
              <controlPr defaultSize="0" print="0" autoFill="0" autoPict="0" macro="[1]!ODLADENIE">
                <anchor moveWithCells="1" sizeWithCells="1">
                  <from>
                    <xdr:col>9</xdr:col>
                    <xdr:colOff>28575</xdr:colOff>
                    <xdr:row>36</xdr:row>
                    <xdr:rowOff>47625</xdr:rowOff>
                  </from>
                  <to>
                    <xdr:col>11</xdr:col>
                    <xdr:colOff>19050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Button 4">
              <controlPr defaultSize="0" print="0" autoFill="0" autoPict="0" macro="[1]!ODLADENIE">
                <anchor moveWithCells="1" sizeWithCells="1">
                  <from>
                    <xdr:col>9</xdr:col>
                    <xdr:colOff>28575</xdr:colOff>
                    <xdr:row>36</xdr:row>
                    <xdr:rowOff>47625</xdr:rowOff>
                  </from>
                  <to>
                    <xdr:col>11</xdr:col>
                    <xdr:colOff>19050</xdr:colOff>
                    <xdr:row>38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Button 6">
              <controlPr defaultSize="0" print="0" autoFill="0" autoPict="0" macro="[2]!ODLADENIE">
                <anchor moveWithCells="1" sizeWithCells="1">
                  <from>
                    <xdr:col>9</xdr:col>
                    <xdr:colOff>28575</xdr:colOff>
                    <xdr:row>36</xdr:row>
                    <xdr:rowOff>47625</xdr:rowOff>
                  </from>
                  <to>
                    <xdr:col>11</xdr:col>
                    <xdr:colOff>19050</xdr:colOff>
                    <xdr:row>38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2"/>
  <dimension ref="A1:F18"/>
  <sheetViews>
    <sheetView workbookViewId="0">
      <selection activeCell="J3" sqref="J3"/>
    </sheetView>
  </sheetViews>
  <sheetFormatPr defaultRowHeight="15" x14ac:dyDescent="0.25"/>
  <cols>
    <col min="3" max="3" width="9.5703125" bestFit="1" customWidth="1"/>
    <col min="4" max="4" width="12.140625" bestFit="1" customWidth="1"/>
    <col min="5" max="5" width="9.5703125" bestFit="1" customWidth="1"/>
  </cols>
  <sheetData>
    <row r="1" spans="1:6" x14ac:dyDescent="0.25">
      <c r="B1" t="s">
        <v>109</v>
      </c>
    </row>
    <row r="2" spans="1:6" x14ac:dyDescent="0.25">
      <c r="C2" t="s">
        <v>114</v>
      </c>
      <c r="D2" t="s">
        <v>12</v>
      </c>
      <c r="E2" t="s">
        <v>23</v>
      </c>
      <c r="F2" t="s">
        <v>31</v>
      </c>
    </row>
    <row r="3" spans="1:6" x14ac:dyDescent="0.25">
      <c r="A3" s="98" t="s">
        <v>13</v>
      </c>
      <c r="B3" t="s">
        <v>110</v>
      </c>
      <c r="C3">
        <v>25</v>
      </c>
      <c r="D3">
        <v>0.54</v>
      </c>
      <c r="E3">
        <v>0.46</v>
      </c>
      <c r="F3">
        <v>0</v>
      </c>
    </row>
    <row r="4" spans="1:6" x14ac:dyDescent="0.25">
      <c r="A4" s="98"/>
      <c r="B4" t="s">
        <v>111</v>
      </c>
      <c r="C4">
        <v>2.3297659162393222E-2</v>
      </c>
      <c r="D4">
        <v>0.74997878352728975</v>
      </c>
      <c r="E4">
        <v>2.1295458843912493E-5</v>
      </c>
      <c r="F4">
        <v>0.25</v>
      </c>
    </row>
    <row r="5" spans="1:6" x14ac:dyDescent="0.25">
      <c r="A5" s="98" t="s">
        <v>29</v>
      </c>
      <c r="B5" t="s">
        <v>112</v>
      </c>
      <c r="C5">
        <v>0</v>
      </c>
      <c r="D5">
        <v>0</v>
      </c>
      <c r="E5">
        <v>0</v>
      </c>
      <c r="F5">
        <v>1</v>
      </c>
    </row>
    <row r="6" spans="1:6" x14ac:dyDescent="0.25">
      <c r="A6" s="98"/>
      <c r="B6" t="s">
        <v>113</v>
      </c>
      <c r="C6">
        <v>8.6167860204510944</v>
      </c>
      <c r="D6">
        <v>4.0504773851130722E-6</v>
      </c>
      <c r="E6">
        <v>1.9995347460256586E-2</v>
      </c>
      <c r="F6">
        <v>0.98</v>
      </c>
    </row>
    <row r="8" spans="1:6" x14ac:dyDescent="0.25">
      <c r="A8" t="s">
        <v>115</v>
      </c>
      <c r="B8" t="s">
        <v>13</v>
      </c>
      <c r="C8">
        <f>C3+C4</f>
        <v>25.023297659162392</v>
      </c>
      <c r="D8">
        <f>(D3*$C$3+D4*$C$4)/$C$8</f>
        <v>0.54019549837901415</v>
      </c>
      <c r="E8">
        <f t="shared" ref="E8:F8" si="0">(E3*$C$3+E4*$C$4)/$C$8</f>
        <v>0.45957174201313017</v>
      </c>
      <c r="F8">
        <f t="shared" si="0"/>
        <v>2.3275968139497674E-4</v>
      </c>
    </row>
    <row r="9" spans="1:6" x14ac:dyDescent="0.25">
      <c r="B9" t="s">
        <v>29</v>
      </c>
      <c r="C9">
        <f>C5+C6</f>
        <v>8.6167860204510944</v>
      </c>
      <c r="D9">
        <f>(D5*$C$5+D6*$C$6)/$C$9</f>
        <v>4.0504773851130722E-6</v>
      </c>
      <c r="E9">
        <f t="shared" ref="E9:F9" si="1">(E5*$C$5+E6*$C$6)/$C$9</f>
        <v>1.9995347460256586E-2</v>
      </c>
      <c r="F9">
        <f t="shared" si="1"/>
        <v>0.98</v>
      </c>
    </row>
    <row r="12" spans="1:6" x14ac:dyDescent="0.25">
      <c r="A12" t="s">
        <v>123</v>
      </c>
    </row>
    <row r="13" spans="1:6" x14ac:dyDescent="0.25">
      <c r="B13" t="s">
        <v>114</v>
      </c>
      <c r="C13" t="s">
        <v>12</v>
      </c>
      <c r="D13" t="s">
        <v>23</v>
      </c>
      <c r="E13" t="s">
        <v>31</v>
      </c>
    </row>
    <row r="14" spans="1:6" x14ac:dyDescent="0.25">
      <c r="A14" t="s">
        <v>13</v>
      </c>
      <c r="B14">
        <f>C8</f>
        <v>25.023297659162392</v>
      </c>
      <c r="C14" s="46">
        <f t="shared" ref="C14:E14" si="2">D8</f>
        <v>0.54019549837901415</v>
      </c>
      <c r="D14" s="46">
        <f t="shared" si="2"/>
        <v>0.45957174201313017</v>
      </c>
      <c r="E14" s="46">
        <f t="shared" si="2"/>
        <v>2.3275968139497674E-4</v>
      </c>
    </row>
    <row r="15" spans="1:6" x14ac:dyDescent="0.25">
      <c r="A15" t="s">
        <v>29</v>
      </c>
      <c r="B15">
        <f>C9</f>
        <v>8.6167860204510944</v>
      </c>
      <c r="C15" s="46">
        <f t="shared" ref="C15:E15" si="3">D9</f>
        <v>4.0504773851130722E-6</v>
      </c>
      <c r="D15" s="46">
        <f t="shared" si="3"/>
        <v>1.9995347460256586E-2</v>
      </c>
      <c r="E15" s="46">
        <f t="shared" si="3"/>
        <v>0.98</v>
      </c>
    </row>
    <row r="16" spans="1:6" x14ac:dyDescent="0.25">
      <c r="A16" t="s">
        <v>21</v>
      </c>
      <c r="B16">
        <f>(B14*(D14-D17)+B15*(D15-D17))/(D16-D17)</f>
        <v>21.001490519007969</v>
      </c>
      <c r="C16" s="46">
        <v>3.6193412116217058E-2</v>
      </c>
      <c r="D16" s="46">
        <v>0.55567183919333374</v>
      </c>
      <c r="E16" s="46">
        <v>0.40813474869044919</v>
      </c>
    </row>
    <row r="17" spans="1:5" x14ac:dyDescent="0.25">
      <c r="A17" t="s">
        <v>20</v>
      </c>
      <c r="B17">
        <f>(B14*(D14-D16)+B15*(D15-D16))/(D17-D16)</f>
        <v>12.63859316060552</v>
      </c>
      <c r="C17" s="46">
        <v>0.99935684604679609</v>
      </c>
      <c r="D17" s="46">
        <v>1.8667141789004222E-4</v>
      </c>
      <c r="E17" s="46">
        <v>4.5648253531381674E-4</v>
      </c>
    </row>
    <row r="18" spans="1:5" x14ac:dyDescent="0.25">
      <c r="B18">
        <f>B14+B15-B16-B17</f>
        <v>0</v>
      </c>
    </row>
  </sheetData>
  <mergeCells count="2">
    <mergeCell ref="A3:A4"/>
    <mergeCell ref="A5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2025-03-18T22:36:59Z</dcterms:modified>
</cp:coreProperties>
</file>