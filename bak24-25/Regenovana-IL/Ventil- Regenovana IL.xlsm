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Workbook________" defaultThemeVersion="124226"/>
  <bookViews>
    <workbookView xWindow="240" yWindow="105" windowWidth="14805" windowHeight="8010" activeTab="7"/>
  </bookViews>
  <sheets>
    <sheet name="Лист1" sheetId="1" r:id="rId1"/>
    <sheet name="Лист2" sheetId="4" r:id="rId2"/>
    <sheet name="Лист3" sheetId="5" r:id="rId3"/>
    <sheet name="Лист4" sheetId="6" r:id="rId4"/>
    <sheet name="Лист5" sheetId="7" r:id="rId5"/>
    <sheet name="Лист6" sheetId="8" r:id="rId6"/>
    <sheet name="Лист7" sheetId="9" r:id="rId7"/>
    <sheet name="Лист8" sheetId="10" r:id="rId8"/>
  </sheets>
  <externalReferences>
    <externalReference r:id="rId9"/>
  </externalReferences>
  <definedNames>
    <definedName name="solver_adj" localSheetId="0" hidden="1">Лист1!$C$19:$C$20</definedName>
    <definedName name="solver_adj" localSheetId="1" hidden="1">Лист2!$C$19:$C$20</definedName>
    <definedName name="solver_adj" localSheetId="2" hidden="1">Лист3!$C$19:$C$20</definedName>
    <definedName name="solver_adj" localSheetId="3" hidden="1">Лист4!$C$19:$C$20</definedName>
    <definedName name="solver_adj" localSheetId="4" hidden="1">Лист5!$A$10</definedName>
    <definedName name="solver_adj" localSheetId="5" hidden="1">Лист6!$C$19:$C$20</definedName>
    <definedName name="solver_adj" localSheetId="6" hidden="1">Лист7!$C$19:$C$20</definedName>
    <definedName name="solver_adj" localSheetId="7" hidden="1">Лист8!$C$19:$C$20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ng" localSheetId="7" hidden="1">1</definedName>
    <definedName name="solver_opt" localSheetId="0" hidden="1">Лист1!$F$25</definedName>
    <definedName name="solver_opt" localSheetId="1" hidden="1">Лист2!$F$25</definedName>
    <definedName name="solver_opt" localSheetId="2" hidden="1">Лист3!$F$25</definedName>
    <definedName name="solver_opt" localSheetId="3" hidden="1">Лист4!$F$25</definedName>
    <definedName name="solver_opt" localSheetId="4" hidden="1">Лист5!$L$10</definedName>
    <definedName name="solver_opt" localSheetId="5" hidden="1">Лист6!$F$25</definedName>
    <definedName name="solver_opt" localSheetId="6" hidden="1">Лист7!$F$25</definedName>
    <definedName name="solver_opt" localSheetId="7" hidden="1">Лист8!$F$25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typ" localSheetId="4" hidden="1">3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val" localSheetId="0" hidden="1">1</definedName>
    <definedName name="solver_val" localSheetId="1" hidden="1">1</definedName>
    <definedName name="solver_val" localSheetId="2" hidden="1">1</definedName>
    <definedName name="solver_val" localSheetId="3" hidden="1">1</definedName>
    <definedName name="solver_val" localSheetId="4" hidden="1">1</definedName>
    <definedName name="solver_val" localSheetId="5" hidden="1">1</definedName>
    <definedName name="solver_val" localSheetId="6" hidden="1">1</definedName>
    <definedName name="solver_val" localSheetId="7" hidden="1">1</definedName>
  </definedNames>
  <calcPr calcId="145621" calcMode="manual" iterate="1"/>
</workbook>
</file>

<file path=xl/calcChain.xml><?xml version="1.0" encoding="utf-8"?>
<calcChain xmlns="http://schemas.openxmlformats.org/spreadsheetml/2006/main">
  <c r="A34" i="10" l="1"/>
  <c r="A36" i="10" s="1"/>
  <c r="D32" i="10"/>
  <c r="D34" i="10" s="1"/>
  <c r="D36" i="10" s="1"/>
  <c r="C32" i="10"/>
  <c r="C34" i="10" s="1"/>
  <c r="C36" i="10" s="1"/>
  <c r="B32" i="10"/>
  <c r="B34" i="10" s="1"/>
  <c r="B36" i="10" s="1"/>
  <c r="C21" i="10"/>
  <c r="D10" i="10" s="1"/>
  <c r="T20" i="10"/>
  <c r="C18" i="10"/>
  <c r="B17" i="10"/>
  <c r="D16" i="10"/>
  <c r="D17" i="10" s="1"/>
  <c r="C16" i="10"/>
  <c r="C17" i="10" s="1"/>
  <c r="W11" i="10"/>
  <c r="E10" i="10"/>
  <c r="C10" i="10"/>
  <c r="B10" i="10"/>
  <c r="G10" i="10" s="1"/>
  <c r="W9" i="10"/>
  <c r="J2" i="10"/>
  <c r="A34" i="9"/>
  <c r="A36" i="9" s="1"/>
  <c r="D32" i="9"/>
  <c r="D34" i="9" s="1"/>
  <c r="D36" i="9" s="1"/>
  <c r="C32" i="9"/>
  <c r="C34" i="9" s="1"/>
  <c r="C36" i="9" s="1"/>
  <c r="B32" i="9"/>
  <c r="B34" i="9" s="1"/>
  <c r="B36" i="9" s="1"/>
  <c r="C21" i="9"/>
  <c r="D10" i="9" s="1"/>
  <c r="T20" i="9"/>
  <c r="C18" i="9"/>
  <c r="B17" i="9"/>
  <c r="D16" i="9"/>
  <c r="D17" i="9" s="1"/>
  <c r="C16" i="9"/>
  <c r="C17" i="9" s="1"/>
  <c r="W11" i="9"/>
  <c r="E10" i="9"/>
  <c r="C10" i="9"/>
  <c r="B10" i="9"/>
  <c r="G10" i="9" s="1"/>
  <c r="W9" i="9"/>
  <c r="S7" i="9"/>
  <c r="J2" i="9"/>
  <c r="F13" i="10" l="1"/>
  <c r="L13" i="10" s="1"/>
  <c r="S16" i="10"/>
  <c r="S22" i="10" s="1"/>
  <c r="T18" i="10"/>
  <c r="T16" i="10"/>
  <c r="F10" i="10"/>
  <c r="A13" i="10"/>
  <c r="G13" i="10" s="1"/>
  <c r="C13" i="10"/>
  <c r="E13" i="10"/>
  <c r="K13" i="10" s="1"/>
  <c r="B13" i="10"/>
  <c r="H13" i="10" s="1"/>
  <c r="D13" i="10"/>
  <c r="J13" i="10" s="1"/>
  <c r="D18" i="10"/>
  <c r="D21" i="10" s="1"/>
  <c r="X9" i="10" s="1"/>
  <c r="F13" i="9"/>
  <c r="L13" i="9" s="1"/>
  <c r="S16" i="9"/>
  <c r="S22" i="9" s="1"/>
  <c r="T18" i="9"/>
  <c r="T16" i="9"/>
  <c r="F10" i="9"/>
  <c r="A13" i="9"/>
  <c r="G13" i="9" s="1"/>
  <c r="C13" i="9"/>
  <c r="E13" i="9"/>
  <c r="K13" i="9" s="1"/>
  <c r="B13" i="9"/>
  <c r="H13" i="9" s="1"/>
  <c r="D13" i="9"/>
  <c r="J13" i="9" s="1"/>
  <c r="D18" i="9"/>
  <c r="D21" i="9" s="1"/>
  <c r="Q13" i="10" l="1"/>
  <c r="D19" i="10"/>
  <c r="T22" i="10" s="1"/>
  <c r="D22" i="10" s="1"/>
  <c r="D23" i="10" s="1"/>
  <c r="N13" i="10"/>
  <c r="P13" i="10"/>
  <c r="S20" i="10"/>
  <c r="S24" i="10" s="1"/>
  <c r="B22" i="10" s="1"/>
  <c r="B23" i="10" s="1"/>
  <c r="M13" i="10"/>
  <c r="I13" i="10"/>
  <c r="R13" i="10" s="1"/>
  <c r="Q13" i="9"/>
  <c r="S20" i="9"/>
  <c r="S24" i="9" s="1"/>
  <c r="B22" i="9" s="1"/>
  <c r="B23" i="9" s="1"/>
  <c r="D19" i="9"/>
  <c r="T22" i="9" s="1"/>
  <c r="D22" i="9" s="1"/>
  <c r="D23" i="9" s="1"/>
  <c r="N13" i="9"/>
  <c r="P13" i="9"/>
  <c r="X9" i="9"/>
  <c r="M13" i="9"/>
  <c r="I13" i="9"/>
  <c r="R13" i="9" s="1"/>
  <c r="O13" i="10" l="1"/>
  <c r="T13" i="10" s="1"/>
  <c r="J10" i="10" s="1"/>
  <c r="E21" i="10" s="1"/>
  <c r="F21" i="10" s="1"/>
  <c r="E23" i="10"/>
  <c r="F23" i="10" s="1"/>
  <c r="E23" i="9"/>
  <c r="F23" i="9" s="1"/>
  <c r="O13" i="9"/>
  <c r="U13" i="9" s="1"/>
  <c r="U13" i="10" l="1"/>
  <c r="S13" i="10"/>
  <c r="I10" i="10" s="1"/>
  <c r="L10" i="10" s="1"/>
  <c r="T13" i="9"/>
  <c r="J10" i="9" s="1"/>
  <c r="E21" i="9" s="1"/>
  <c r="F21" i="9" s="1"/>
  <c r="S13" i="9"/>
  <c r="I10" i="9" s="1"/>
  <c r="E19" i="9" s="1"/>
  <c r="F19" i="9" s="1"/>
  <c r="E19" i="10" l="1"/>
  <c r="F19" i="10" s="1"/>
  <c r="F25" i="10" s="1"/>
  <c r="F25" i="9"/>
  <c r="L10" i="9"/>
  <c r="S7" i="8" l="1"/>
  <c r="A34" i="8"/>
  <c r="A36" i="8" s="1"/>
  <c r="D32" i="8"/>
  <c r="D34" i="8" s="1"/>
  <c r="D36" i="8" s="1"/>
  <c r="C32" i="8"/>
  <c r="C34" i="8" s="1"/>
  <c r="C36" i="8" s="1"/>
  <c r="B32" i="8"/>
  <c r="B34" i="8" s="1"/>
  <c r="B36" i="8" s="1"/>
  <c r="C21" i="8"/>
  <c r="D10" i="8" s="1"/>
  <c r="T20" i="8"/>
  <c r="C18" i="8"/>
  <c r="B17" i="8"/>
  <c r="D16" i="8"/>
  <c r="D17" i="8" s="1"/>
  <c r="C16" i="8"/>
  <c r="C17" i="8" s="1"/>
  <c r="S16" i="8" s="1"/>
  <c r="S22" i="8" s="1"/>
  <c r="W11" i="8"/>
  <c r="E10" i="8"/>
  <c r="C10" i="8"/>
  <c r="B10" i="8"/>
  <c r="E13" i="8" s="1"/>
  <c r="K13" i="8" s="1"/>
  <c r="W9" i="8"/>
  <c r="J2" i="8"/>
  <c r="A34" i="7"/>
  <c r="A36" i="7" s="1"/>
  <c r="D32" i="7"/>
  <c r="D34" i="7" s="1"/>
  <c r="D36" i="7" s="1"/>
  <c r="C32" i="7"/>
  <c r="C34" i="7" s="1"/>
  <c r="C36" i="7" s="1"/>
  <c r="B32" i="7"/>
  <c r="B34" i="7" s="1"/>
  <c r="B36" i="7" s="1"/>
  <c r="C21" i="7"/>
  <c r="D10" i="7" s="1"/>
  <c r="T20" i="7"/>
  <c r="C18" i="7"/>
  <c r="B17" i="7"/>
  <c r="D16" i="7"/>
  <c r="D17" i="7" s="1"/>
  <c r="C16" i="7"/>
  <c r="C17" i="7" s="1"/>
  <c r="S16" i="7" s="1"/>
  <c r="S22" i="7" s="1"/>
  <c r="W11" i="7"/>
  <c r="E10" i="7"/>
  <c r="C10" i="7"/>
  <c r="B10" i="7"/>
  <c r="E13" i="7" s="1"/>
  <c r="K13" i="7" s="1"/>
  <c r="W9" i="7"/>
  <c r="J2" i="7"/>
  <c r="A34" i="6"/>
  <c r="A36" i="6" s="1"/>
  <c r="D32" i="6"/>
  <c r="D34" i="6" s="1"/>
  <c r="D36" i="6" s="1"/>
  <c r="C32" i="6"/>
  <c r="C34" i="6" s="1"/>
  <c r="C36" i="6" s="1"/>
  <c r="B32" i="6"/>
  <c r="B34" i="6" s="1"/>
  <c r="B36" i="6" s="1"/>
  <c r="C21" i="6"/>
  <c r="D10" i="6" s="1"/>
  <c r="T20" i="6"/>
  <c r="C18" i="6"/>
  <c r="B17" i="6"/>
  <c r="D16" i="6"/>
  <c r="D17" i="6" s="1"/>
  <c r="C16" i="6"/>
  <c r="C17" i="6" s="1"/>
  <c r="S16" i="6" s="1"/>
  <c r="S22" i="6" s="1"/>
  <c r="W11" i="6"/>
  <c r="E10" i="6"/>
  <c r="C10" i="6"/>
  <c r="B10" i="6"/>
  <c r="G10" i="6" s="1"/>
  <c r="W9" i="6"/>
  <c r="J2" i="6"/>
  <c r="A34" i="5"/>
  <c r="A36" i="5" s="1"/>
  <c r="D32" i="5"/>
  <c r="D34" i="5" s="1"/>
  <c r="D36" i="5" s="1"/>
  <c r="C32" i="5"/>
  <c r="C34" i="5" s="1"/>
  <c r="C36" i="5" s="1"/>
  <c r="B32" i="5"/>
  <c r="B34" i="5" s="1"/>
  <c r="B36" i="5" s="1"/>
  <c r="C21" i="5"/>
  <c r="D10" i="5" s="1"/>
  <c r="T20" i="5"/>
  <c r="C18" i="5"/>
  <c r="B17" i="5"/>
  <c r="D16" i="5"/>
  <c r="D17" i="5" s="1"/>
  <c r="C16" i="5"/>
  <c r="C17" i="5" s="1"/>
  <c r="S16" i="5" s="1"/>
  <c r="S22" i="5" s="1"/>
  <c r="W11" i="5"/>
  <c r="E10" i="5"/>
  <c r="C10" i="5"/>
  <c r="B10" i="5"/>
  <c r="G10" i="5" s="1"/>
  <c r="W9" i="5"/>
  <c r="J2" i="5"/>
  <c r="A34" i="4"/>
  <c r="A36" i="4" s="1"/>
  <c r="D32" i="4"/>
  <c r="D34" i="4" s="1"/>
  <c r="D36" i="4" s="1"/>
  <c r="C32" i="4"/>
  <c r="C34" i="4" s="1"/>
  <c r="C36" i="4" s="1"/>
  <c r="B32" i="4"/>
  <c r="B34" i="4" s="1"/>
  <c r="B36" i="4" s="1"/>
  <c r="C21" i="4"/>
  <c r="D10" i="4" s="1"/>
  <c r="T20" i="4"/>
  <c r="C18" i="4"/>
  <c r="D18" i="4" s="1"/>
  <c r="B17" i="4"/>
  <c r="D16" i="4"/>
  <c r="D17" i="4" s="1"/>
  <c r="T18" i="4" s="1"/>
  <c r="C16" i="4"/>
  <c r="C17" i="4" s="1"/>
  <c r="S16" i="4" s="1"/>
  <c r="S22" i="4" s="1"/>
  <c r="W11" i="4"/>
  <c r="E10" i="4"/>
  <c r="C10" i="4"/>
  <c r="B10" i="4"/>
  <c r="F10" i="4" s="1"/>
  <c r="W9" i="4"/>
  <c r="J2" i="4"/>
  <c r="B10" i="1"/>
  <c r="D13" i="1" s="1"/>
  <c r="J13" i="1" s="1"/>
  <c r="W11" i="1"/>
  <c r="W9" i="1"/>
  <c r="C18" i="1"/>
  <c r="A34" i="1"/>
  <c r="A36" i="1" s="1"/>
  <c r="D32" i="1"/>
  <c r="D34" i="1" s="1"/>
  <c r="D36" i="1" s="1"/>
  <c r="C32" i="1"/>
  <c r="C34" i="1" s="1"/>
  <c r="C36" i="1" s="1"/>
  <c r="B32" i="1"/>
  <c r="B34" i="1" s="1"/>
  <c r="B36" i="1" s="1"/>
  <c r="C21" i="1"/>
  <c r="D10" i="1" s="1"/>
  <c r="T20" i="1"/>
  <c r="B17" i="1"/>
  <c r="E10" i="1"/>
  <c r="C10" i="1"/>
  <c r="D16" i="1"/>
  <c r="D17" i="1" s="1"/>
  <c r="J2" i="1"/>
  <c r="F13" i="8" l="1"/>
  <c r="L13" i="8" s="1"/>
  <c r="T18" i="8"/>
  <c r="T16" i="8"/>
  <c r="S20" i="8"/>
  <c r="S24" i="8" s="1"/>
  <c r="B22" i="8" s="1"/>
  <c r="B23" i="8" s="1"/>
  <c r="F10" i="8"/>
  <c r="C13" i="8"/>
  <c r="G10" i="8"/>
  <c r="B13" i="8"/>
  <c r="H13" i="8" s="1"/>
  <c r="D13" i="8"/>
  <c r="J13" i="8" s="1"/>
  <c r="D18" i="8"/>
  <c r="D21" i="8" s="1"/>
  <c r="A13" i="8"/>
  <c r="G13" i="8" s="1"/>
  <c r="F13" i="7"/>
  <c r="L13" i="7" s="1"/>
  <c r="T18" i="7"/>
  <c r="T16" i="7"/>
  <c r="S20" i="7"/>
  <c r="S24" i="7" s="1"/>
  <c r="B22" i="7" s="1"/>
  <c r="B23" i="7" s="1"/>
  <c r="G10" i="7"/>
  <c r="B13" i="7"/>
  <c r="H13" i="7" s="1"/>
  <c r="D13" i="7"/>
  <c r="J13" i="7" s="1"/>
  <c r="D18" i="7"/>
  <c r="F10" i="7"/>
  <c r="A13" i="7"/>
  <c r="G13" i="7" s="1"/>
  <c r="C13" i="7"/>
  <c r="F13" i="6"/>
  <c r="L13" i="6" s="1"/>
  <c r="T18" i="6"/>
  <c r="T16" i="6"/>
  <c r="S20" i="6"/>
  <c r="S24" i="6" s="1"/>
  <c r="B22" i="6" s="1"/>
  <c r="B23" i="6" s="1"/>
  <c r="F10" i="6"/>
  <c r="A13" i="6"/>
  <c r="G13" i="6" s="1"/>
  <c r="C13" i="6"/>
  <c r="E13" i="6"/>
  <c r="K13" i="6" s="1"/>
  <c r="B13" i="6"/>
  <c r="H13" i="6" s="1"/>
  <c r="D13" i="6"/>
  <c r="J13" i="6" s="1"/>
  <c r="D18" i="6"/>
  <c r="D19" i="6" s="1"/>
  <c r="F13" i="5"/>
  <c r="L13" i="5" s="1"/>
  <c r="S20" i="5"/>
  <c r="S24" i="5" s="1"/>
  <c r="B22" i="5" s="1"/>
  <c r="B23" i="5" s="1"/>
  <c r="T18" i="5"/>
  <c r="T16" i="5"/>
  <c r="F10" i="5"/>
  <c r="A13" i="5"/>
  <c r="G13" i="5" s="1"/>
  <c r="C13" i="5"/>
  <c r="E13" i="5"/>
  <c r="K13" i="5" s="1"/>
  <c r="B13" i="5"/>
  <c r="H13" i="5" s="1"/>
  <c r="D13" i="5"/>
  <c r="J13" i="5" s="1"/>
  <c r="D18" i="5"/>
  <c r="D21" i="5" s="1"/>
  <c r="E13" i="4"/>
  <c r="K13" i="4" s="1"/>
  <c r="G10" i="4"/>
  <c r="S20" i="4"/>
  <c r="S24" i="4" s="1"/>
  <c r="B22" i="4" s="1"/>
  <c r="B23" i="4" s="1"/>
  <c r="B13" i="4"/>
  <c r="H13" i="4" s="1"/>
  <c r="D13" i="4"/>
  <c r="J13" i="4" s="1"/>
  <c r="F13" i="4"/>
  <c r="L13" i="4" s="1"/>
  <c r="D19" i="4"/>
  <c r="D21" i="4"/>
  <c r="A13" i="4"/>
  <c r="G13" i="4" s="1"/>
  <c r="C13" i="4"/>
  <c r="I13" i="4" s="1"/>
  <c r="T16" i="4"/>
  <c r="F13" i="1"/>
  <c r="L13" i="1" s="1"/>
  <c r="E13" i="1"/>
  <c r="K13" i="1" s="1"/>
  <c r="F10" i="1"/>
  <c r="B13" i="1"/>
  <c r="H13" i="1" s="1"/>
  <c r="P13" i="1" s="1"/>
  <c r="G10" i="1"/>
  <c r="D18" i="1"/>
  <c r="D21" i="1" s="1"/>
  <c r="X9" i="1" s="1"/>
  <c r="T18" i="1"/>
  <c r="T16" i="1"/>
  <c r="C16" i="1"/>
  <c r="C17" i="1" s="1"/>
  <c r="S16" i="1" s="1"/>
  <c r="S22" i="1" s="1"/>
  <c r="A13" i="1"/>
  <c r="C13" i="1"/>
  <c r="I13" i="1" s="1"/>
  <c r="Q13" i="8" l="1"/>
  <c r="P13" i="8"/>
  <c r="X9" i="8"/>
  <c r="D19" i="8"/>
  <c r="N13" i="8"/>
  <c r="I13" i="8"/>
  <c r="R13" i="8" s="1"/>
  <c r="M13" i="8"/>
  <c r="Q13" i="7"/>
  <c r="P13" i="7"/>
  <c r="I13" i="7"/>
  <c r="R13" i="7" s="1"/>
  <c r="D19" i="7"/>
  <c r="N13" i="7"/>
  <c r="D21" i="7"/>
  <c r="M13" i="7"/>
  <c r="Q13" i="6"/>
  <c r="N13" i="6"/>
  <c r="P13" i="6"/>
  <c r="M13" i="6"/>
  <c r="I13" i="6"/>
  <c r="R13" i="6" s="1"/>
  <c r="D21" i="6"/>
  <c r="Q13" i="5"/>
  <c r="D19" i="5"/>
  <c r="T22" i="5" s="1"/>
  <c r="D22" i="5" s="1"/>
  <c r="D23" i="5" s="1"/>
  <c r="E23" i="5" s="1"/>
  <c r="F23" i="5" s="1"/>
  <c r="N13" i="5"/>
  <c r="P13" i="5"/>
  <c r="X9" i="5"/>
  <c r="M13" i="5"/>
  <c r="I13" i="5"/>
  <c r="R13" i="5" s="1"/>
  <c r="R13" i="4"/>
  <c r="P13" i="4"/>
  <c r="Q13" i="4"/>
  <c r="X9" i="4"/>
  <c r="T22" i="4"/>
  <c r="D22" i="4" s="1"/>
  <c r="D23" i="4" s="1"/>
  <c r="E23" i="4" s="1"/>
  <c r="F23" i="4" s="1"/>
  <c r="N13" i="4"/>
  <c r="O13" i="4"/>
  <c r="M13" i="4"/>
  <c r="R13" i="1"/>
  <c r="M13" i="1"/>
  <c r="D19" i="1"/>
  <c r="T22" i="1" s="1"/>
  <c r="D22" i="1" s="1"/>
  <c r="D23" i="1" s="1"/>
  <c r="S20" i="1"/>
  <c r="S24" i="1" s="1"/>
  <c r="O13" i="1"/>
  <c r="G13" i="1"/>
  <c r="Q13" i="1" s="1"/>
  <c r="O13" i="8" l="1"/>
  <c r="U13" i="8" s="1"/>
  <c r="T22" i="8"/>
  <c r="D22" i="8" s="1"/>
  <c r="D23" i="8" s="1"/>
  <c r="E23" i="8" s="1"/>
  <c r="F23" i="8" s="1"/>
  <c r="X9" i="7"/>
  <c r="T22" i="7"/>
  <c r="D22" i="7" s="1"/>
  <c r="D23" i="7" s="1"/>
  <c r="E23" i="7" s="1"/>
  <c r="F23" i="7" s="1"/>
  <c r="O13" i="7"/>
  <c r="U13" i="7" s="1"/>
  <c r="O13" i="6"/>
  <c r="U13" i="6" s="1"/>
  <c r="X9" i="6"/>
  <c r="T22" i="6"/>
  <c r="D22" i="6" s="1"/>
  <c r="D23" i="6" s="1"/>
  <c r="E23" i="6" s="1"/>
  <c r="F23" i="6" s="1"/>
  <c r="O13" i="5"/>
  <c r="U13" i="5" s="1"/>
  <c r="U13" i="4"/>
  <c r="S13" i="4"/>
  <c r="I10" i="4" s="1"/>
  <c r="E19" i="4" s="1"/>
  <c r="F19" i="4" s="1"/>
  <c r="T13" i="4"/>
  <c r="J10" i="4" s="1"/>
  <c r="E21" i="4" s="1"/>
  <c r="F21" i="4" s="1"/>
  <c r="B22" i="1"/>
  <c r="B23" i="1" s="1"/>
  <c r="E23" i="1" s="1"/>
  <c r="F23" i="1" s="1"/>
  <c r="N13" i="1"/>
  <c r="T13" i="1" s="1"/>
  <c r="J10" i="1" s="1"/>
  <c r="E21" i="1" s="1"/>
  <c r="F21" i="1" s="1"/>
  <c r="S13" i="8" l="1"/>
  <c r="I10" i="8" s="1"/>
  <c r="T13" i="8"/>
  <c r="J10" i="8" s="1"/>
  <c r="E21" i="8" s="1"/>
  <c r="F21" i="8" s="1"/>
  <c r="S13" i="7"/>
  <c r="I10" i="7" s="1"/>
  <c r="T13" i="7"/>
  <c r="J10" i="7" s="1"/>
  <c r="E21" i="7" s="1"/>
  <c r="F21" i="7" s="1"/>
  <c r="S13" i="6"/>
  <c r="I10" i="6" s="1"/>
  <c r="E19" i="6" s="1"/>
  <c r="F19" i="6" s="1"/>
  <c r="T13" i="6"/>
  <c r="J10" i="6" s="1"/>
  <c r="E21" i="6" s="1"/>
  <c r="F21" i="6" s="1"/>
  <c r="S13" i="5"/>
  <c r="I10" i="5" s="1"/>
  <c r="E19" i="5" s="1"/>
  <c r="F19" i="5" s="1"/>
  <c r="T13" i="5"/>
  <c r="J10" i="5" s="1"/>
  <c r="E21" i="5" s="1"/>
  <c r="F21" i="5" s="1"/>
  <c r="L10" i="4"/>
  <c r="F25" i="4"/>
  <c r="U13" i="1"/>
  <c r="S13" i="1"/>
  <c r="I10" i="1" s="1"/>
  <c r="E19" i="8" l="1"/>
  <c r="F19" i="8" s="1"/>
  <c r="F25" i="8" s="1"/>
  <c r="L10" i="8"/>
  <c r="E19" i="7"/>
  <c r="F19" i="7" s="1"/>
  <c r="F25" i="7" s="1"/>
  <c r="L10" i="7"/>
  <c r="L10" i="6"/>
  <c r="F25" i="6"/>
  <c r="L10" i="5"/>
  <c r="F25" i="5"/>
  <c r="E19" i="1"/>
  <c r="F19" i="1" s="1"/>
  <c r="F25" i="1" s="1"/>
  <c r="L10" i="1"/>
</calcChain>
</file>

<file path=xl/sharedStrings.xml><?xml version="1.0" encoding="utf-8"?>
<sst xmlns="http://schemas.openxmlformats.org/spreadsheetml/2006/main" count="1000" uniqueCount="98">
  <si>
    <t>A</t>
  </si>
  <si>
    <t>MTBE</t>
  </si>
  <si>
    <t>NRTL parameters:</t>
  </si>
  <si>
    <t>R</t>
  </si>
  <si>
    <t>Antoine equation parameters (Pa)</t>
  </si>
  <si>
    <t>B</t>
  </si>
  <si>
    <t>Metanol</t>
  </si>
  <si>
    <t>alphaAB</t>
  </si>
  <si>
    <t>gAB</t>
  </si>
  <si>
    <t>C</t>
  </si>
  <si>
    <t>MACRO</t>
  </si>
  <si>
    <t>[BMIM][HSO4]</t>
  </si>
  <si>
    <t>gBA</t>
  </si>
  <si>
    <t>P - ventil</t>
  </si>
  <si>
    <t>kPa</t>
  </si>
  <si>
    <t>CTRL+Q</t>
  </si>
  <si>
    <t>gAC</t>
  </si>
  <si>
    <t>gCA</t>
  </si>
  <si>
    <t>P - pred</t>
  </si>
  <si>
    <t>gBC</t>
  </si>
  <si>
    <t>gCB</t>
  </si>
  <si>
    <t>t</t>
  </si>
  <si>
    <t>T</t>
  </si>
  <si>
    <t>xA</t>
  </si>
  <si>
    <t>xB</t>
  </si>
  <si>
    <t>xC</t>
  </si>
  <si>
    <t>PA0</t>
  </si>
  <si>
    <t>PB0</t>
  </si>
  <si>
    <t>PC0</t>
  </si>
  <si>
    <t>yA</t>
  </si>
  <si>
    <t>yB</t>
  </si>
  <si>
    <t>yC</t>
  </si>
  <si>
    <t>SUMy</t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</si>
  <si>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AB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</si>
  <si>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</si>
  <si>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AC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</si>
  <si>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CA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</si>
  <si>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BC</t>
    </r>
  </si>
  <si>
    <r>
      <rPr>
        <b/>
        <sz val="11"/>
        <color theme="1"/>
        <rFont val="Calibri"/>
        <family val="2"/>
        <charset val="238"/>
      </rPr>
      <t>τ</t>
    </r>
    <r>
      <rPr>
        <b/>
        <sz val="11"/>
        <color theme="1"/>
        <rFont val="Calibri"/>
        <family val="2"/>
        <charset val="238"/>
        <scheme val="minor"/>
      </rPr>
      <t>CB</t>
    </r>
  </si>
  <si>
    <t>GAB</t>
  </si>
  <si>
    <t>GBA</t>
  </si>
  <si>
    <t>GAC</t>
  </si>
  <si>
    <t>GCA</t>
  </si>
  <si>
    <t>GBC</t>
  </si>
  <si>
    <t>GCB</t>
  </si>
  <si>
    <t>θ1</t>
  </si>
  <si>
    <t>θ2</t>
  </si>
  <si>
    <t>θ3</t>
  </si>
  <si>
    <t>φ1</t>
  </si>
  <si>
    <t>φ2</t>
  </si>
  <si>
    <t>φ3</t>
  </si>
  <si>
    <t>γA</t>
  </si>
  <si>
    <t>γB</t>
  </si>
  <si>
    <t>γC</t>
  </si>
  <si>
    <t>VSTUP</t>
  </si>
  <si>
    <t>L</t>
  </si>
  <si>
    <t>G</t>
  </si>
  <si>
    <t>Stred. T</t>
  </si>
  <si>
    <t>vypA [kJ/kmol]</t>
  </si>
  <si>
    <t>A [kJ/mol]</t>
  </si>
  <si>
    <t>alpha</t>
  </si>
  <si>
    <t>cpA [kJ/kmol/K]</t>
  </si>
  <si>
    <t>vypB</t>
  </si>
  <si>
    <t>n[kmol]</t>
  </si>
  <si>
    <t>odchylka</t>
  </si>
  <si>
    <t>beta</t>
  </si>
  <si>
    <t>Tc [K]</t>
  </si>
  <si>
    <t>NIST</t>
  </si>
  <si>
    <t>cpB</t>
  </si>
  <si>
    <t>vypC</t>
  </si>
  <si>
    <t>cpC</t>
  </si>
  <si>
    <t>vypZ</t>
  </si>
  <si>
    <t>h[kJ/kmol/h]</t>
  </si>
  <si>
    <t>H</t>
  </si>
  <si>
    <t>cpZ</t>
  </si>
  <si>
    <t>kJ/h</t>
  </si>
  <si>
    <t>SUMA</t>
  </si>
  <si>
    <t>Referenčný stav</t>
  </si>
  <si>
    <r>
      <t>Majer, V.</t>
    </r>
    <r>
      <rPr>
        <sz val="12"/>
        <color rgb="FF000000"/>
        <rFont val="Arial"/>
        <family val="2"/>
      </rPr>
      <t>; </t>
    </r>
    <r>
      <rPr>
        <sz val="12"/>
        <color theme="1"/>
        <rFont val="Arial"/>
        <family val="2"/>
      </rPr>
      <t>Svoboda, V.</t>
    </r>
    <r>
      <rPr>
        <sz val="12"/>
        <color rgb="FF000000"/>
        <rFont val="Arial"/>
        <family val="2"/>
      </rPr>
      <t>, </t>
    </r>
    <r>
      <rPr>
        <b/>
        <sz val="12"/>
        <color rgb="FF000000"/>
        <rFont val="Arial"/>
        <family val="2"/>
      </rPr>
      <t>Enthalpies of Vaporization of Organic Compounds: A Critical Review and Data Compilation</t>
    </r>
    <r>
      <rPr>
        <sz val="12"/>
        <color rgb="FF000000"/>
        <rFont val="Arial"/>
        <family val="2"/>
      </rPr>
      <t>, Blackwell Scientific Publications, Oxford, 1985, 300. </t>
    </r>
  </si>
  <si>
    <t>teplota L a G</t>
  </si>
  <si>
    <t>M</t>
  </si>
  <si>
    <t>kg/kmol</t>
  </si>
  <si>
    <r>
      <t>Andon, R.J.L.</t>
    </r>
    <r>
      <rPr>
        <sz val="12"/>
        <color rgb="FF000000"/>
        <rFont val="Arial"/>
        <family val="2"/>
      </rPr>
      <t>; </t>
    </r>
    <r>
      <rPr>
        <sz val="12"/>
        <color theme="1"/>
        <rFont val="Arial"/>
        <family val="2"/>
      </rPr>
      <t>Martin, J.F.</t>
    </r>
    <r>
      <rPr>
        <sz val="12"/>
        <color rgb="FF000000"/>
        <rFont val="Arial"/>
        <family val="2"/>
      </rPr>
      <t>, </t>
    </r>
    <r>
      <rPr>
        <i/>
        <sz val="12"/>
        <color rgb="FF000000"/>
        <rFont val="Arial"/>
        <family val="2"/>
      </rPr>
      <t>Thermodynamic properties of organic oxygen compounds. 40. Heat capacity and entropy of six ethers</t>
    </r>
    <r>
      <rPr>
        <sz val="12"/>
        <color rgb="FF000000"/>
        <rFont val="Arial"/>
        <family val="2"/>
      </rPr>
      <t>, </t>
    </r>
    <r>
      <rPr>
        <b/>
        <sz val="12"/>
        <color rgb="FF000000"/>
        <rFont val="Arial"/>
        <family val="2"/>
      </rPr>
      <t>J. Chem. Thermodynam.</t>
    </r>
    <r>
      <rPr>
        <sz val="12"/>
        <color rgb="FF000000"/>
        <rFont val="Arial"/>
        <family val="2"/>
      </rPr>
      <t>, 1975, 7, 593-606.</t>
    </r>
  </si>
  <si>
    <t>cp</t>
  </si>
  <si>
    <t>kcal/kg/K</t>
  </si>
  <si>
    <t>1kcal</t>
  </si>
  <si>
    <t>=</t>
  </si>
  <si>
    <t>4,1868kJ</t>
  </si>
  <si>
    <t>a</t>
  </si>
  <si>
    <t>b</t>
  </si>
  <si>
    <t>c</t>
  </si>
  <si>
    <t>d</t>
  </si>
  <si>
    <t>kJ/kg/K</t>
  </si>
  <si>
    <t>kJ/kmol/K</t>
  </si>
  <si>
    <t>[EMIM][HSO4]</t>
  </si>
  <si>
    <t>J/mol/K</t>
  </si>
  <si>
    <t>Ficke, L. E.; Novak, R.; Brennecke, J. F. (2010) J. Chem. Eng. Data 55(11),</t>
  </si>
  <si>
    <t>cp[J/mol/K]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</si>
</sst>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1F1F1F"/>
      <name val="Georgia"/>
      <family val="1"/>
    </font>
    <font>
      <b/>
      <sz val="11"/>
      <color theme="1"/>
      <name val="Calibri"/>
      <family val="2"/>
      <charset val="238"/>
    </font>
    <font>
      <b/>
      <i/>
      <sz val="11"/>
      <color theme="1"/>
      <name val="Calibri"/>
      <family val="2"/>
      <charset val="238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i/>
      <sz val="12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8E8E8E"/>
      </top>
      <bottom/>
      <diagonal/>
    </border>
    <border>
      <left/>
      <right/>
      <top/>
      <bottom style="medium">
        <color rgb="FF8E8E8E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64" fontId="3" fillId="0" borderId="16" xfId="0" applyNumberFormat="1" applyFont="1" applyBorder="1" applyAlignment="1">
      <alignment horizontal="left" vertical="center"/>
    </xf>
    <xf numFmtId="0" fontId="0" fillId="0" borderId="15" xfId="0" applyBorder="1" applyAlignment="1">
      <alignment horizontal="center"/>
    </xf>
    <xf numFmtId="164" fontId="3" fillId="0" borderId="0" xfId="0" applyNumberFormat="1" applyFont="1" applyAlignment="1">
      <alignment horizontal="left" vertical="center"/>
    </xf>
    <xf numFmtId="0" fontId="0" fillId="0" borderId="10" xfId="0" applyBorder="1" applyAlignment="1">
      <alignment horizontal="center"/>
    </xf>
    <xf numFmtId="164" fontId="3" fillId="0" borderId="17" xfId="0" applyNumberFormat="1" applyFont="1" applyBorder="1" applyAlignment="1">
      <alignment horizontal="left" vertical="center"/>
    </xf>
    <xf numFmtId="0" fontId="2" fillId="0" borderId="4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0" fillId="0" borderId="2" xfId="0" applyBorder="1"/>
    <xf numFmtId="0" fontId="5" fillId="0" borderId="4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2" fillId="0" borderId="0" xfId="0" applyFont="1" applyBorder="1" applyAlignment="1"/>
    <xf numFmtId="0" fontId="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2" fillId="0" borderId="1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7" xfId="0" applyBorder="1"/>
    <xf numFmtId="0" fontId="0" fillId="0" borderId="11" xfId="0" applyBorder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5" fillId="0" borderId="11" xfId="0" applyFont="1" applyFill="1" applyBorder="1" applyAlignment="1">
      <alignment horizontal="center"/>
    </xf>
    <xf numFmtId="0" fontId="6" fillId="0" borderId="0" xfId="0" applyFont="1"/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quotePrefix="1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0" xfId="0" quotePrefix="1"/>
    <xf numFmtId="0" fontId="7" fillId="0" borderId="0" xfId="0" applyFont="1"/>
    <xf numFmtId="0" fontId="1" fillId="0" borderId="7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64192"/>
        <c:axId val="152436736"/>
      </c:scatterChart>
      <c:valAx>
        <c:axId val="151464192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2436736"/>
        <c:crosses val="autoZero"/>
        <c:crossBetween val="midCat"/>
      </c:valAx>
      <c:valAx>
        <c:axId val="15243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46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473984"/>
        <c:axId val="152475520"/>
      </c:scatterChart>
      <c:valAx>
        <c:axId val="152473984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2475520"/>
        <c:crosses val="autoZero"/>
        <c:crossBetween val="midCat"/>
      </c:valAx>
      <c:valAx>
        <c:axId val="15247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47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43008"/>
        <c:axId val="151248896"/>
      </c:scatterChart>
      <c:valAx>
        <c:axId val="151243008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1248896"/>
        <c:crosses val="autoZero"/>
        <c:crossBetween val="midCat"/>
      </c:valAx>
      <c:valAx>
        <c:axId val="1512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24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431040"/>
        <c:axId val="151432576"/>
      </c:scatterChart>
      <c:valAx>
        <c:axId val="151431040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1432576"/>
        <c:crosses val="autoZero"/>
        <c:crossBetween val="midCat"/>
      </c:valAx>
      <c:valAx>
        <c:axId val="15143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431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50784"/>
        <c:axId val="153101440"/>
      </c:scatterChart>
      <c:valAx>
        <c:axId val="152550784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3101440"/>
        <c:crosses val="autoZero"/>
        <c:crossBetween val="midCat"/>
      </c:valAx>
      <c:valAx>
        <c:axId val="153101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55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139072"/>
        <c:axId val="153140608"/>
      </c:scatterChart>
      <c:valAx>
        <c:axId val="153139072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3140608"/>
        <c:crosses val="autoZero"/>
        <c:crossBetween val="midCat"/>
      </c:valAx>
      <c:valAx>
        <c:axId val="15314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13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2656"/>
        <c:axId val="152504192"/>
      </c:scatterChart>
      <c:valAx>
        <c:axId val="152502656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2504192"/>
        <c:crosses val="autoZero"/>
        <c:crossBetween val="midCat"/>
      </c:valAx>
      <c:valAx>
        <c:axId val="15250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50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0.36180358705161852"/>
                  <c:y val="-6.5799066783318752E-4"/>
                </c:manualLayout>
              </c:layout>
              <c:numFmt formatCode="General" sourceLinked="0"/>
            </c:trendlineLbl>
          </c:trendline>
          <c:xVal>
            <c:numRef>
              <c:f>'[1]Ventil ext'!$A$42:$A$48</c:f>
              <c:numCache>
                <c:formatCode>General</c:formatCode>
                <c:ptCount val="7"/>
                <c:pt idx="0">
                  <c:v>283.14999999999998</c:v>
                </c:pt>
                <c:pt idx="1">
                  <c:v>293.14999999999998</c:v>
                </c:pt>
                <c:pt idx="2">
                  <c:v>303.14999999999998</c:v>
                </c:pt>
                <c:pt idx="3">
                  <c:v>313.14999999999998</c:v>
                </c:pt>
                <c:pt idx="4">
                  <c:v>323.14999999999998</c:v>
                </c:pt>
                <c:pt idx="5">
                  <c:v>333.15</c:v>
                </c:pt>
                <c:pt idx="6">
                  <c:v>343.15</c:v>
                </c:pt>
              </c:numCache>
            </c:numRef>
          </c:xVal>
          <c:yVal>
            <c:numRef>
              <c:f>'[1]Ventil ext'!$B$42:$B$48</c:f>
              <c:numCache>
                <c:formatCode>General</c:formatCode>
                <c:ptCount val="7"/>
                <c:pt idx="0">
                  <c:v>290</c:v>
                </c:pt>
                <c:pt idx="1">
                  <c:v>294</c:v>
                </c:pt>
                <c:pt idx="2">
                  <c:v>297</c:v>
                </c:pt>
                <c:pt idx="3">
                  <c:v>302</c:v>
                </c:pt>
                <c:pt idx="4">
                  <c:v>306</c:v>
                </c:pt>
                <c:pt idx="5">
                  <c:v>313</c:v>
                </c:pt>
                <c:pt idx="6">
                  <c:v>324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01152"/>
        <c:axId val="159202688"/>
      </c:scatterChart>
      <c:valAx>
        <c:axId val="159201152"/>
        <c:scaling>
          <c:orientation val="minMax"/>
          <c:max val="350"/>
          <c:min val="280"/>
        </c:scaling>
        <c:delete val="0"/>
        <c:axPos val="b"/>
        <c:numFmt formatCode="General" sourceLinked="1"/>
        <c:majorTickMark val="out"/>
        <c:minorTickMark val="none"/>
        <c:tickLblPos val="nextTo"/>
        <c:crossAx val="159202688"/>
        <c:crosses val="autoZero"/>
        <c:crossBetween val="midCat"/>
      </c:valAx>
      <c:valAx>
        <c:axId val="15920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20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17</xdr:col>
      <xdr:colOff>75654</xdr:colOff>
      <xdr:row>23</xdr:row>
      <xdr:rowOff>152299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371429" cy="8095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476029</xdr:colOff>
      <xdr:row>16</xdr:row>
      <xdr:rowOff>19014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771429" cy="2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19</xdr:col>
      <xdr:colOff>104071</xdr:colOff>
      <xdr:row>27</xdr:row>
      <xdr:rowOff>175461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638096" cy="575511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108594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9100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17</xdr:col>
      <xdr:colOff>18504</xdr:colOff>
      <xdr:row>23</xdr:row>
      <xdr:rowOff>152299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314279" cy="7714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418879</xdr:colOff>
      <xdr:row>15</xdr:row>
      <xdr:rowOff>199989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714279" cy="26666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19</xdr:col>
      <xdr:colOff>46921</xdr:colOff>
      <xdr:row>27</xdr:row>
      <xdr:rowOff>175461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580946" cy="565986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108594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814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570954</xdr:colOff>
      <xdr:row>23</xdr:row>
      <xdr:rowOff>152299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257129" cy="7714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361729</xdr:colOff>
      <xdr:row>15</xdr:row>
      <xdr:rowOff>180939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657129" cy="24761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599371</xdr:colOff>
      <xdr:row>27</xdr:row>
      <xdr:rowOff>175461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523796" cy="565986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108594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814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513804</xdr:colOff>
      <xdr:row>23</xdr:row>
      <xdr:rowOff>152299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199979" cy="7714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304579</xdr:colOff>
      <xdr:row>15</xdr:row>
      <xdr:rowOff>171414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599979" cy="22856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542221</xdr:colOff>
      <xdr:row>27</xdr:row>
      <xdr:rowOff>175461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466646" cy="565986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108594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814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456654</xdr:colOff>
      <xdr:row>23</xdr:row>
      <xdr:rowOff>152299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142829" cy="7714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247429</xdr:colOff>
      <xdr:row>15</xdr:row>
      <xdr:rowOff>161889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542829" cy="219039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485071</xdr:colOff>
      <xdr:row>27</xdr:row>
      <xdr:rowOff>175461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409496" cy="565986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108594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8147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399504</xdr:colOff>
      <xdr:row>23</xdr:row>
      <xdr:rowOff>152299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085679" cy="7714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190279</xdr:colOff>
      <xdr:row>15</xdr:row>
      <xdr:rowOff>152364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485679" cy="20951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427921</xdr:colOff>
      <xdr:row>27</xdr:row>
      <xdr:rowOff>175461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352346" cy="565986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108594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814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342354</xdr:colOff>
      <xdr:row>23</xdr:row>
      <xdr:rowOff>152299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028529" cy="7714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133129</xdr:colOff>
      <xdr:row>15</xdr:row>
      <xdr:rowOff>142839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428529" cy="199989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370771</xdr:colOff>
      <xdr:row>27</xdr:row>
      <xdr:rowOff>175461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295196" cy="565986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108594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814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85725</xdr:colOff>
      <xdr:row>19</xdr:row>
      <xdr:rowOff>180975</xdr:rowOff>
    </xdr:from>
    <xdr:to>
      <xdr:col>16</xdr:col>
      <xdr:colOff>513804</xdr:colOff>
      <xdr:row>23</xdr:row>
      <xdr:rowOff>152299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3981450"/>
          <a:ext cx="4199979" cy="771424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14</xdr:row>
      <xdr:rowOff>152400</xdr:rowOff>
    </xdr:from>
    <xdr:to>
      <xdr:col>12</xdr:col>
      <xdr:colOff>304579</xdr:colOff>
      <xdr:row>15</xdr:row>
      <xdr:rowOff>171414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7050" y="2952750"/>
          <a:ext cx="1599979" cy="228564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25</xdr:row>
      <xdr:rowOff>0</xdr:rowOff>
    </xdr:from>
    <xdr:to>
      <xdr:col>18</xdr:col>
      <xdr:colOff>542221</xdr:colOff>
      <xdr:row>27</xdr:row>
      <xdr:rowOff>175461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5625" y="5010150"/>
          <a:ext cx="5466646" cy="565986"/>
        </a:xfrm>
        <a:prstGeom prst="rect">
          <a:avLst/>
        </a:prstGeom>
      </xdr:spPr>
    </xdr:pic>
    <xdr:clientData/>
  </xdr:twoCellAnchor>
  <xdr:twoCellAnchor>
    <xdr:from>
      <xdr:col>5</xdr:col>
      <xdr:colOff>709612</xdr:colOff>
      <xdr:row>41</xdr:row>
      <xdr:rowOff>14287</xdr:rowOff>
    </xdr:from>
    <xdr:to>
      <xdr:col>12</xdr:col>
      <xdr:colOff>509587</xdr:colOff>
      <xdr:row>55</xdr:row>
      <xdr:rowOff>90487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353786</xdr:colOff>
      <xdr:row>16</xdr:row>
      <xdr:rowOff>27216</xdr:rowOff>
    </xdr:from>
    <xdr:to>
      <xdr:col>17</xdr:col>
      <xdr:colOff>481105</xdr:colOff>
      <xdr:row>20</xdr:row>
      <xdr:rowOff>108594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9086" y="3227616"/>
          <a:ext cx="3175319" cy="8814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sha/Desktop/bak24-25/ventil%20ILcis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til ext"/>
      <sheetName val="Лист3"/>
      <sheetName val="Ventil Raf"/>
      <sheetName val="Raf-REG.IL"/>
    </sheetNames>
    <sheetDataSet>
      <sheetData sheetId="0">
        <row r="42">
          <cell r="A42">
            <v>283.14999999999998</v>
          </cell>
          <cell r="B42">
            <v>290</v>
          </cell>
        </row>
        <row r="43">
          <cell r="A43">
            <v>293.14999999999998</v>
          </cell>
          <cell r="B43">
            <v>294</v>
          </cell>
        </row>
        <row r="44">
          <cell r="A44">
            <v>303.14999999999998</v>
          </cell>
          <cell r="B44">
            <v>297</v>
          </cell>
        </row>
        <row r="45">
          <cell r="A45">
            <v>313.14999999999998</v>
          </cell>
          <cell r="B45">
            <v>302</v>
          </cell>
        </row>
        <row r="46">
          <cell r="A46">
            <v>323.14999999999998</v>
          </cell>
          <cell r="B46">
            <v>306</v>
          </cell>
        </row>
        <row r="47">
          <cell r="A47">
            <v>333.15</v>
          </cell>
          <cell r="B47">
            <v>313</v>
          </cell>
        </row>
        <row r="48">
          <cell r="A48">
            <v>343.15</v>
          </cell>
          <cell r="B48">
            <v>324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"/>
  <dimension ref="A1:AA206"/>
  <sheetViews>
    <sheetView zoomScale="70" zoomScaleNormal="70" workbookViewId="0">
      <selection activeCell="J31" sqref="J31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4" ht="15.75" thickBot="1" x14ac:dyDescent="0.3">
      <c r="A1" s="1" t="s">
        <v>0</v>
      </c>
      <c r="B1" s="71" t="s">
        <v>1</v>
      </c>
      <c r="C1" s="72"/>
      <c r="E1" s="73" t="s">
        <v>2</v>
      </c>
      <c r="F1" s="74"/>
      <c r="G1" s="74"/>
      <c r="H1" s="75"/>
      <c r="J1" s="2" t="s">
        <v>3</v>
      </c>
      <c r="L1" s="76" t="s">
        <v>4</v>
      </c>
      <c r="M1" s="77"/>
      <c r="N1" s="77"/>
      <c r="O1" s="78"/>
    </row>
    <row r="2" spans="1:24" ht="15.75" thickBot="1" x14ac:dyDescent="0.3">
      <c r="A2" s="3" t="s">
        <v>5</v>
      </c>
      <c r="B2" s="79" t="s">
        <v>6</v>
      </c>
      <c r="C2" s="80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4" ht="15.75" thickBot="1" x14ac:dyDescent="0.3">
      <c r="A3" s="10" t="s">
        <v>9</v>
      </c>
      <c r="B3" s="81" t="s">
        <v>11</v>
      </c>
      <c r="C3" s="82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4" ht="15.75" thickBot="1" x14ac:dyDescent="0.3">
      <c r="E4" s="11"/>
      <c r="F4" s="4"/>
      <c r="G4" s="3" t="s">
        <v>16</v>
      </c>
      <c r="H4" s="12">
        <v>19.269400000000001</v>
      </c>
      <c r="J4" s="6">
        <v>90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4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4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4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</row>
    <row r="8" spans="1:24" ht="15.75" thickBot="1" x14ac:dyDescent="0.3"/>
    <row r="9" spans="1:24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23"/>
      <c r="N9" s="23"/>
      <c r="O9" s="23"/>
      <c r="P9" s="23"/>
      <c r="Q9" s="23"/>
      <c r="R9" s="23"/>
      <c r="S9" s="23"/>
      <c r="T9" s="23"/>
      <c r="U9" s="23"/>
      <c r="W9">
        <f>B21*B18/3</f>
        <v>3.8325392144427899</v>
      </c>
      <c r="X9">
        <f>W9/D21</f>
        <v>9.3425329011549501</v>
      </c>
    </row>
    <row r="10" spans="1:24" ht="15.75" thickBot="1" x14ac:dyDescent="0.3">
      <c r="A10" s="24">
        <v>41.874082796809304</v>
      </c>
      <c r="B10" s="25">
        <f>A10+273.15</f>
        <v>315.0240827968093</v>
      </c>
      <c r="C10" s="18">
        <f>C19</f>
        <v>2.3922095537066042E-2</v>
      </c>
      <c r="D10" s="18">
        <f>C21</f>
        <v>0.55890800070461499</v>
      </c>
      <c r="E10" s="18">
        <f>C20</f>
        <v>0.41716990375831903</v>
      </c>
      <c r="F10" s="26">
        <f>EXP(M3+N3/(B10+O3))/1000</f>
        <v>64.816162075217974</v>
      </c>
      <c r="G10" s="18">
        <f>EXP(M4+N4/(B10+O4))/1000</f>
        <v>38.656046655453558</v>
      </c>
      <c r="H10" s="20">
        <v>0</v>
      </c>
      <c r="I10" s="27">
        <f>(C10*F10*S13)/J4</f>
        <v>0.58977423215052482</v>
      </c>
      <c r="J10" s="24">
        <f>(D10*G10*T13)/J4</f>
        <v>0.41022576783817377</v>
      </c>
      <c r="K10" s="28">
        <v>0</v>
      </c>
      <c r="L10" s="24">
        <f>SUM(I10:K10)</f>
        <v>0.9999999999886986</v>
      </c>
      <c r="M10" s="23"/>
      <c r="N10" s="23"/>
      <c r="O10" s="23"/>
      <c r="P10" s="23"/>
      <c r="Q10" s="23"/>
      <c r="R10" s="23"/>
      <c r="S10" s="23"/>
      <c r="T10" s="23"/>
      <c r="U10" s="23"/>
    </row>
    <row r="11" spans="1:24" ht="15.75" thickBot="1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W11">
        <f>B18/3</f>
        <v>6.8969807605269962</v>
      </c>
    </row>
    <row r="12" spans="1:24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4" ht="15.75" thickBot="1" x14ac:dyDescent="0.3">
      <c r="A13" s="27">
        <f>H2/(J2*B10)</f>
        <v>2.1280891304736929</v>
      </c>
      <c r="B13" s="24">
        <f>H3/(J2*B10)</f>
        <v>2.863224285184935</v>
      </c>
      <c r="C13" s="28">
        <f>H4/(J2*B10)</f>
        <v>7.3572314065611328</v>
      </c>
      <c r="D13" s="24">
        <f>H5/(J2*B10)</f>
        <v>6.1898884014639313</v>
      </c>
      <c r="E13" s="28">
        <f>H6/(J2*B10)</f>
        <v>4.0645864770925506</v>
      </c>
      <c r="F13" s="24">
        <f>H7/(J2*B10)</f>
        <v>0.21503485983866805</v>
      </c>
      <c r="G13" s="28">
        <f t="shared" ref="G13:L13" si="0">EXP(-$F$2*A13)</f>
        <v>0.42688712191421802</v>
      </c>
      <c r="H13" s="28">
        <f t="shared" si="0"/>
        <v>0.31813173719641252</v>
      </c>
      <c r="I13" s="28">
        <f t="shared" si="0"/>
        <v>5.2713032255823015E-2</v>
      </c>
      <c r="J13" s="28">
        <f t="shared" si="0"/>
        <v>8.4082622649789593E-2</v>
      </c>
      <c r="K13" s="28">
        <f t="shared" si="0"/>
        <v>0.19674740308390468</v>
      </c>
      <c r="L13" s="28">
        <f t="shared" si="0"/>
        <v>0.91758143643461076</v>
      </c>
      <c r="M13" s="28">
        <f>D10*B13*H13+E10*D13*J13</f>
        <v>0.72622062940098242</v>
      </c>
      <c r="N13" s="24">
        <f>C10*A13*G13+E10*F13*L13</f>
        <v>0.10404474585329693</v>
      </c>
      <c r="O13" s="28">
        <f>C10*C13*I13+D10*E13*K13</f>
        <v>0.45623447302036102</v>
      </c>
      <c r="P13" s="24">
        <f>C10+H13*D10+J13*E10</f>
        <v>0.23680520833275873</v>
      </c>
      <c r="Q13" s="28">
        <f>G13*C10+D10+L13*E10</f>
        <v>0.95190739474643682</v>
      </c>
      <c r="R13" s="24">
        <f>I13*C10+K13*D10+E10</f>
        <v>0.52839460765344137</v>
      </c>
      <c r="S13" s="28">
        <f>EXP(M13/P13-(C10*M13)/P13^2+D10*G13/Q13*(A13-N13/Q13)+E10*I13/R13*(C13-O13/R13))</f>
        <v>34.233063919743792</v>
      </c>
      <c r="T13" s="24">
        <f>EXP(N13/Q13-D10*N13/Q13^2+C10*H13/P13*(B13-M13/P13)+E10*K13/R13*(E13-O13/R13))</f>
        <v>1.7088647159405119</v>
      </c>
      <c r="U13" s="25">
        <f>EXP(O13/R13-E10*O13/R13^2+C10*J13/P13*(D13-M13/P13)+D10*L13/Q13*(F13-N13/Q13))</f>
        <v>1.303746034978678</v>
      </c>
    </row>
    <row r="14" spans="1:24" ht="15.75" thickBot="1" x14ac:dyDescent="0.3"/>
    <row r="15" spans="1:24" ht="15.75" thickBot="1" x14ac:dyDescent="0.3">
      <c r="A15" s="31"/>
      <c r="B15" s="32" t="s">
        <v>54</v>
      </c>
      <c r="C15" s="33" t="s">
        <v>55</v>
      </c>
      <c r="D15" s="34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4" ht="15.75" thickBot="1" x14ac:dyDescent="0.3">
      <c r="A16" s="37" t="s">
        <v>21</v>
      </c>
      <c r="B16" s="23">
        <v>45</v>
      </c>
      <c r="C16" s="38">
        <f>A10</f>
        <v>41.874082796809304</v>
      </c>
      <c r="D16" s="12">
        <f>A10</f>
        <v>41.874082796809304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316.58704139840461</v>
      </c>
      <c r="T16" s="24">
        <f>J22*1000*EXP(-J23*D17/J24)*(1-D17/J24)^J23</f>
        <v>28781.394085902724</v>
      </c>
    </row>
    <row r="17" spans="1:27" ht="15.75" thickBot="1" x14ac:dyDescent="0.3">
      <c r="A17" s="33" t="s">
        <v>22</v>
      </c>
      <c r="B17" s="4">
        <f>B16+273.15</f>
        <v>318.14999999999998</v>
      </c>
      <c r="C17" s="24">
        <f>C16+273.15</f>
        <v>315.0240827968093</v>
      </c>
      <c r="D17" s="25">
        <f>D16+273.15</f>
        <v>315.0240827968093</v>
      </c>
      <c r="I17" s="40" t="s">
        <v>60</v>
      </c>
      <c r="J17" s="6">
        <v>-0.31</v>
      </c>
      <c r="K17" s="41"/>
      <c r="L17" s="41"/>
      <c r="N17" s="11"/>
      <c r="O17" s="41"/>
      <c r="P17" s="41"/>
      <c r="Q17" s="4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20.24223277845622</v>
      </c>
      <c r="D18" s="12">
        <f>B18-C18</f>
        <v>0.44870950312476765</v>
      </c>
      <c r="F18" s="2" t="s">
        <v>64</v>
      </c>
      <c r="I18" s="3" t="s">
        <v>65</v>
      </c>
      <c r="J18" s="6">
        <v>0.42409999999999998</v>
      </c>
      <c r="L18" s="41"/>
      <c r="N18" s="11"/>
      <c r="O18" s="41"/>
      <c r="P18" s="41"/>
      <c r="Q18" s="41"/>
      <c r="S18" s="24">
        <v>187.5</v>
      </c>
      <c r="T18" s="24">
        <f>J16*1000*EXP(-J17*D17/J19)*(1-D17/J19)</f>
        <v>21124.80830758352</v>
      </c>
    </row>
    <row r="19" spans="1:27" ht="15.75" thickBot="1" x14ac:dyDescent="0.3">
      <c r="A19" s="33" t="s">
        <v>23</v>
      </c>
      <c r="B19" s="43">
        <v>3.6193341415735866E-2</v>
      </c>
      <c r="C19" s="45">
        <v>2.3922095537066042E-2</v>
      </c>
      <c r="D19" s="25">
        <f>(B18*B19-C18*C19)/D18</f>
        <v>0.58977514395811925</v>
      </c>
      <c r="E19" s="23">
        <f>I10</f>
        <v>0.58977423215052482</v>
      </c>
      <c r="F19" s="23">
        <f>(D19-E19)^2</f>
        <v>8.3139308925676675E-13</v>
      </c>
      <c r="I19" s="10" t="s">
        <v>66</v>
      </c>
      <c r="J19" s="18">
        <v>512.6</v>
      </c>
      <c r="K19" s="41"/>
      <c r="L19" s="41" t="s">
        <v>67</v>
      </c>
      <c r="N19" s="11"/>
      <c r="O19" s="41"/>
      <c r="P19" s="41"/>
      <c r="Q19" s="4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0.41716990375831903</v>
      </c>
      <c r="D20" s="25">
        <v>0</v>
      </c>
      <c r="S20" s="24">
        <f>A36+B36*S16+C36*S16^2+D36*S16^3</f>
        <v>86.045222503709795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0.55890800070461499</v>
      </c>
      <c r="D21" s="25">
        <f>(B18*B21-C18*C21)/D18</f>
        <v>0.41022485604187708</v>
      </c>
      <c r="E21" s="23">
        <f>J10</f>
        <v>0.41022576783817377</v>
      </c>
      <c r="F21" s="23">
        <f>(D21-E21)^2</f>
        <v>8.3137248665319207E-13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23">
        <f>S24*(B17-C17)</f>
        <v>556.13715164963492</v>
      </c>
      <c r="C22" s="6">
        <v>0</v>
      </c>
      <c r="D22" s="12">
        <f>T22</f>
        <v>25640.472287219338</v>
      </c>
      <c r="F22" s="2" t="s">
        <v>64</v>
      </c>
      <c r="I22" s="1" t="s">
        <v>59</v>
      </c>
      <c r="J22" s="38">
        <v>46.23</v>
      </c>
      <c r="S22" s="24">
        <f>D43+E43*S16+S16^2*F43</f>
        <v>302.14294706094483</v>
      </c>
      <c r="T22" s="24">
        <f>D19*T16+D21*T18</f>
        <v>25640.472287219338</v>
      </c>
    </row>
    <row r="23" spans="1:27" ht="15.75" thickBot="1" x14ac:dyDescent="0.3">
      <c r="A23" s="33" t="s">
        <v>73</v>
      </c>
      <c r="B23" s="28">
        <f>B18*B22</f>
        <v>11507.001705425449</v>
      </c>
      <c r="C23" s="24">
        <v>0</v>
      </c>
      <c r="D23" s="25">
        <f>D18*D22</f>
        <v>11505.123579882564</v>
      </c>
      <c r="E23">
        <f>(B23-D23)/B23</f>
        <v>1.6321589159061612E-4</v>
      </c>
      <c r="F23">
        <f>E23^2</f>
        <v>2.6639427267719753E-8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177.91167055927633</v>
      </c>
    </row>
    <row r="25" spans="1:27" ht="16.5" thickBot="1" x14ac:dyDescent="0.3">
      <c r="A25" s="73" t="s">
        <v>77</v>
      </c>
      <c r="B25" s="74"/>
      <c r="C25" s="74"/>
      <c r="D25" s="75"/>
      <c r="F25" s="24">
        <f>F19+F21+F23</f>
        <v>2.6641090033295663E-8</v>
      </c>
      <c r="K25" s="47" t="s">
        <v>78</v>
      </c>
    </row>
    <row r="26" spans="1:27" ht="15.75" thickBot="1" x14ac:dyDescent="0.3">
      <c r="A26" s="66" t="s">
        <v>55</v>
      </c>
      <c r="B26" s="67"/>
      <c r="C26" s="68" t="s">
        <v>79</v>
      </c>
      <c r="D26" s="67"/>
      <c r="I26" s="11"/>
      <c r="J26" s="11"/>
    </row>
    <row r="27" spans="1:27" x14ac:dyDescent="0.25">
      <c r="I27" s="39"/>
      <c r="J27" s="39"/>
    </row>
    <row r="28" spans="1:27" ht="15.75" thickBot="1" x14ac:dyDescent="0.3">
      <c r="E28" s="50"/>
      <c r="N28" s="69"/>
      <c r="O28" s="69"/>
      <c r="X28" s="70"/>
      <c r="Y28" s="70"/>
    </row>
    <row r="29" spans="1:27" ht="16.5" thickBot="1" x14ac:dyDescent="0.3">
      <c r="A29" s="53" t="s">
        <v>6</v>
      </c>
      <c r="B29" s="41"/>
      <c r="C29" s="54" t="s">
        <v>80</v>
      </c>
      <c r="D29" s="55">
        <v>32.04</v>
      </c>
      <c r="E29" s="56" t="s">
        <v>81</v>
      </c>
      <c r="K29" s="47" t="s">
        <v>82</v>
      </c>
      <c r="N29" s="41"/>
      <c r="O29" s="41"/>
      <c r="X29" s="23"/>
      <c r="Y29" s="23"/>
      <c r="Z29" s="23"/>
      <c r="AA29" s="23"/>
    </row>
    <row r="30" spans="1:27" ht="15.75" thickBot="1" x14ac:dyDescent="0.3">
      <c r="A30" s="54" t="s">
        <v>83</v>
      </c>
      <c r="B30" s="56" t="s">
        <v>84</v>
      </c>
      <c r="C30" s="41"/>
      <c r="D30" s="41"/>
      <c r="E30" s="54" t="s">
        <v>85</v>
      </c>
      <c r="F30" s="57" t="s">
        <v>86</v>
      </c>
      <c r="G30" s="58" t="s">
        <v>87</v>
      </c>
      <c r="N30" s="41"/>
      <c r="O30" s="41"/>
      <c r="X30" s="23"/>
      <c r="Y30" s="23"/>
      <c r="Z30" s="23"/>
      <c r="AA30" s="23"/>
    </row>
    <row r="31" spans="1:27" ht="15.75" thickBot="1" x14ac:dyDescent="0.3">
      <c r="A31" s="59" t="s">
        <v>88</v>
      </c>
      <c r="B31" s="60" t="s">
        <v>89</v>
      </c>
      <c r="C31" s="60" t="s">
        <v>90</v>
      </c>
      <c r="D31" s="61" t="s">
        <v>91</v>
      </c>
      <c r="E31" s="41"/>
      <c r="N31" s="41"/>
      <c r="O31" s="41"/>
      <c r="X31" s="23"/>
      <c r="Y31" s="23"/>
      <c r="Z31" s="23"/>
      <c r="AA31" s="23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41"/>
      <c r="N32" s="41"/>
      <c r="O32" s="41"/>
      <c r="X32" s="23"/>
      <c r="Y32" s="23"/>
      <c r="Z32" s="23"/>
      <c r="AA32" s="23"/>
    </row>
    <row r="33" spans="1:27" ht="15.75" thickBot="1" x14ac:dyDescent="0.3">
      <c r="A33" s="41"/>
      <c r="B33" s="62" t="s">
        <v>92</v>
      </c>
      <c r="C33" s="41"/>
      <c r="D33" s="41"/>
      <c r="E33" s="41"/>
      <c r="N33" s="41"/>
      <c r="O33" s="41"/>
      <c r="X33" s="23"/>
      <c r="Y33" s="23"/>
      <c r="Z33" s="23"/>
      <c r="AA33" s="23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41"/>
      <c r="N34" s="41"/>
      <c r="O34" s="41"/>
      <c r="X34" s="23"/>
      <c r="Y34" s="23"/>
      <c r="Z34" s="23"/>
      <c r="AA34" s="23"/>
    </row>
    <row r="35" spans="1:27" ht="15.75" thickBot="1" x14ac:dyDescent="0.3">
      <c r="A35" s="41"/>
      <c r="B35" s="62" t="s">
        <v>93</v>
      </c>
      <c r="C35" s="41"/>
      <c r="D35" s="41"/>
      <c r="E35" s="41"/>
      <c r="N35" s="41"/>
      <c r="O35" s="41"/>
      <c r="X35" s="23"/>
      <c r="Y35" s="23"/>
      <c r="Z35" s="23"/>
      <c r="AA35" s="23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41"/>
      <c r="N36" s="41"/>
      <c r="O36" s="41"/>
      <c r="X36" s="23"/>
      <c r="Y36" s="23"/>
      <c r="Z36" s="23"/>
      <c r="AA36" s="23"/>
    </row>
    <row r="37" spans="1:27" x14ac:dyDescent="0.25">
      <c r="A37" s="41"/>
      <c r="B37" s="41"/>
      <c r="C37" s="41"/>
      <c r="D37" s="41"/>
      <c r="E37" s="41"/>
      <c r="N37" s="41"/>
      <c r="O37" s="41"/>
    </row>
    <row r="38" spans="1:27" x14ac:dyDescent="0.25">
      <c r="A38" s="41"/>
      <c r="B38" s="41"/>
      <c r="C38" s="41"/>
      <c r="D38" s="41"/>
      <c r="E38" s="41"/>
      <c r="N38" s="41"/>
      <c r="O38" s="41"/>
    </row>
    <row r="39" spans="1:27" x14ac:dyDescent="0.25">
      <c r="A39" s="41" t="s">
        <v>94</v>
      </c>
      <c r="B39" s="41"/>
      <c r="C39" s="41"/>
      <c r="D39" s="41"/>
      <c r="E39" s="41"/>
      <c r="F39" t="s">
        <v>95</v>
      </c>
      <c r="G39" s="63" t="s">
        <v>86</v>
      </c>
      <c r="H39" t="s">
        <v>93</v>
      </c>
      <c r="N39" s="41"/>
      <c r="O39" s="41"/>
    </row>
    <row r="40" spans="1:27" ht="16.5" thickBot="1" x14ac:dyDescent="0.3">
      <c r="A40" s="64" t="s">
        <v>96</v>
      </c>
      <c r="B40" s="41"/>
      <c r="C40" s="41"/>
      <c r="D40" s="41"/>
      <c r="E40" s="41"/>
    </row>
    <row r="41" spans="1:27" ht="15.75" thickBot="1" x14ac:dyDescent="0.3">
      <c r="A41" s="54" t="s">
        <v>22</v>
      </c>
      <c r="B41" s="56" t="s">
        <v>97</v>
      </c>
      <c r="C41" s="41"/>
      <c r="E41" s="65" t="s">
        <v>83</v>
      </c>
      <c r="F41" s="41"/>
    </row>
    <row r="42" spans="1:27" ht="15.75" thickBot="1" x14ac:dyDescent="0.3">
      <c r="A42" s="41">
        <v>283.14999999999998</v>
      </c>
      <c r="B42" s="41">
        <v>290</v>
      </c>
      <c r="C42" s="41"/>
      <c r="D42" s="54" t="s">
        <v>88</v>
      </c>
      <c r="E42" s="55" t="s">
        <v>89</v>
      </c>
      <c r="F42" s="56" t="s">
        <v>90</v>
      </c>
    </row>
    <row r="43" spans="1:27" ht="15.75" thickBot="1" x14ac:dyDescent="0.3">
      <c r="A43" s="41">
        <v>293.14999999999998</v>
      </c>
      <c r="B43" s="41">
        <v>294</v>
      </c>
      <c r="C43" s="41"/>
      <c r="D43" s="27">
        <v>753.28</v>
      </c>
      <c r="E43" s="28">
        <v>-3.4195000000000002</v>
      </c>
      <c r="F43" s="25">
        <v>6.3E-3</v>
      </c>
    </row>
    <row r="44" spans="1:27" x14ac:dyDescent="0.25">
      <c r="A44" s="41">
        <v>303.14999999999998</v>
      </c>
      <c r="B44" s="41">
        <v>297</v>
      </c>
      <c r="C44" s="41"/>
      <c r="D44" s="41"/>
      <c r="E44" s="41"/>
    </row>
    <row r="45" spans="1:27" x14ac:dyDescent="0.25">
      <c r="A45" s="41">
        <v>313.14999999999998</v>
      </c>
      <c r="B45" s="41">
        <v>302</v>
      </c>
      <c r="C45" s="41"/>
      <c r="D45" s="41"/>
      <c r="E45" s="41"/>
    </row>
    <row r="46" spans="1:27" x14ac:dyDescent="0.25">
      <c r="A46" s="41">
        <v>323.14999999999998</v>
      </c>
      <c r="B46" s="41">
        <v>306</v>
      </c>
      <c r="C46" s="41"/>
      <c r="D46" s="41"/>
      <c r="E46" s="41"/>
    </row>
    <row r="47" spans="1:27" x14ac:dyDescent="0.25">
      <c r="A47" s="41">
        <v>333.15</v>
      </c>
      <c r="B47" s="41">
        <v>313</v>
      </c>
      <c r="C47" s="41"/>
      <c r="D47" s="41"/>
      <c r="E47" s="41"/>
    </row>
    <row r="48" spans="1:27" x14ac:dyDescent="0.25">
      <c r="A48" s="41">
        <v>343.15</v>
      </c>
      <c r="B48" s="41">
        <v>324</v>
      </c>
      <c r="C48" s="41"/>
      <c r="D48" s="41"/>
      <c r="E48" s="41"/>
    </row>
    <row r="49" spans="1:5" x14ac:dyDescent="0.25">
      <c r="A49" s="41"/>
      <c r="B49" s="41"/>
      <c r="C49" s="41"/>
      <c r="D49" s="41"/>
      <c r="E49" s="41"/>
    </row>
    <row r="50" spans="1:5" x14ac:dyDescent="0.25">
      <c r="D50" s="41"/>
      <c r="E50" s="41"/>
    </row>
    <row r="51" spans="1:5" x14ac:dyDescent="0.25">
      <c r="D51" s="41"/>
      <c r="E51" s="41"/>
    </row>
    <row r="52" spans="1:5" x14ac:dyDescent="0.25">
      <c r="D52" s="41"/>
      <c r="E52" s="41"/>
    </row>
    <row r="53" spans="1:5" x14ac:dyDescent="0.25">
      <c r="A53" s="41"/>
      <c r="B53" s="41"/>
      <c r="C53" s="41"/>
      <c r="D53" s="41"/>
      <c r="E53" s="41"/>
    </row>
    <row r="54" spans="1:5" x14ac:dyDescent="0.25">
      <c r="A54" s="41"/>
      <c r="B54" s="41"/>
      <c r="C54" s="41"/>
      <c r="D54" s="41"/>
      <c r="E54" s="41"/>
    </row>
    <row r="55" spans="1:5" x14ac:dyDescent="0.25">
      <c r="A55" s="41"/>
      <c r="B55" s="41"/>
      <c r="C55" s="41"/>
      <c r="D55" s="41"/>
      <c r="E55" s="41"/>
    </row>
    <row r="56" spans="1:5" x14ac:dyDescent="0.25">
      <c r="A56" s="41"/>
      <c r="B56" s="41"/>
      <c r="C56" s="41"/>
      <c r="D56" s="41"/>
      <c r="E56" s="41"/>
    </row>
    <row r="57" spans="1:5" x14ac:dyDescent="0.25">
      <c r="A57" s="41"/>
      <c r="B57" s="41"/>
      <c r="C57" s="41"/>
      <c r="D57" s="41"/>
      <c r="E57" s="41"/>
    </row>
    <row r="58" spans="1:5" x14ac:dyDescent="0.25">
      <c r="A58" s="41"/>
      <c r="B58" s="41"/>
      <c r="C58" s="41"/>
      <c r="D58" s="41"/>
      <c r="E58" s="41"/>
    </row>
    <row r="59" spans="1:5" x14ac:dyDescent="0.25">
      <c r="A59" s="41"/>
      <c r="B59" s="41"/>
      <c r="C59" s="41"/>
      <c r="D59" s="41"/>
      <c r="E59" s="41"/>
    </row>
    <row r="60" spans="1:5" x14ac:dyDescent="0.25">
      <c r="A60" s="41"/>
      <c r="B60" s="41"/>
      <c r="C60" s="41"/>
      <c r="D60" s="41"/>
      <c r="E60" s="41"/>
    </row>
    <row r="61" spans="1:5" x14ac:dyDescent="0.25">
      <c r="A61" s="41"/>
      <c r="B61" s="41"/>
      <c r="C61" s="41"/>
      <c r="D61" s="41"/>
      <c r="E61" s="41"/>
    </row>
    <row r="62" spans="1:5" x14ac:dyDescent="0.25">
      <c r="A62" s="41"/>
      <c r="B62" s="41"/>
      <c r="C62" s="41"/>
      <c r="D62" s="41"/>
      <c r="E62" s="41"/>
    </row>
    <row r="63" spans="1:5" x14ac:dyDescent="0.25">
      <c r="A63" s="41"/>
      <c r="B63" s="41"/>
      <c r="C63" s="41"/>
      <c r="D63" s="41"/>
      <c r="E63" s="41"/>
    </row>
    <row r="64" spans="1:5" x14ac:dyDescent="0.25">
      <c r="A64" s="41"/>
      <c r="B64" s="41"/>
      <c r="C64" s="41"/>
      <c r="D64" s="41"/>
      <c r="E64" s="41"/>
    </row>
    <row r="65" spans="1:5" x14ac:dyDescent="0.25">
      <c r="A65" s="41"/>
      <c r="B65" s="41"/>
      <c r="C65" s="41"/>
      <c r="D65" s="41"/>
      <c r="E65" s="41"/>
    </row>
    <row r="66" spans="1:5" x14ac:dyDescent="0.25">
      <c r="A66" s="41"/>
      <c r="B66" s="41"/>
      <c r="C66" s="41"/>
      <c r="D66" s="41"/>
      <c r="E66" s="41"/>
    </row>
    <row r="67" spans="1:5" x14ac:dyDescent="0.25">
      <c r="A67" s="41"/>
      <c r="B67" s="41"/>
      <c r="C67" s="41"/>
      <c r="D67" s="41"/>
      <c r="E67" s="41"/>
    </row>
    <row r="68" spans="1:5" x14ac:dyDescent="0.25">
      <c r="A68" s="41"/>
      <c r="B68" s="41"/>
      <c r="C68" s="41"/>
      <c r="D68" s="41"/>
      <c r="E68" s="41"/>
    </row>
    <row r="69" spans="1:5" x14ac:dyDescent="0.25">
      <c r="A69" s="41"/>
      <c r="B69" s="41"/>
      <c r="C69" s="41"/>
      <c r="D69" s="41"/>
      <c r="E69" s="41"/>
    </row>
    <row r="70" spans="1:5" x14ac:dyDescent="0.25">
      <c r="A70" s="41"/>
      <c r="B70" s="41"/>
      <c r="C70" s="41"/>
      <c r="D70" s="41"/>
      <c r="E70" s="41"/>
    </row>
    <row r="71" spans="1:5" x14ac:dyDescent="0.25">
      <c r="A71" s="41"/>
      <c r="B71" s="41"/>
      <c r="C71" s="41"/>
      <c r="D71" s="41"/>
      <c r="E71" s="41"/>
    </row>
    <row r="72" spans="1:5" x14ac:dyDescent="0.25">
      <c r="A72" s="41"/>
      <c r="B72" s="41"/>
      <c r="C72" s="41"/>
      <c r="D72" s="41"/>
      <c r="E72" s="41"/>
    </row>
    <row r="73" spans="1:5" x14ac:dyDescent="0.25">
      <c r="A73" s="41"/>
      <c r="B73" s="41"/>
      <c r="C73" s="41"/>
      <c r="D73" s="41"/>
      <c r="E73" s="41"/>
    </row>
    <row r="74" spans="1:5" x14ac:dyDescent="0.25">
      <c r="A74" s="41"/>
      <c r="B74" s="41"/>
      <c r="C74" s="41"/>
      <c r="D74" s="41"/>
      <c r="E74" s="41"/>
    </row>
    <row r="75" spans="1:5" x14ac:dyDescent="0.25">
      <c r="A75" s="41"/>
      <c r="B75" s="41"/>
      <c r="C75" s="41"/>
      <c r="D75" s="41"/>
      <c r="E75" s="41"/>
    </row>
    <row r="76" spans="1:5" x14ac:dyDescent="0.25">
      <c r="A76" s="41"/>
      <c r="B76" s="41"/>
      <c r="C76" s="41"/>
      <c r="D76" s="41"/>
      <c r="E76" s="41"/>
    </row>
    <row r="77" spans="1:5" x14ac:dyDescent="0.25">
      <c r="A77" s="41"/>
      <c r="B77" s="41"/>
      <c r="C77" s="41"/>
      <c r="D77" s="41"/>
      <c r="E77" s="41"/>
    </row>
    <row r="78" spans="1:5" x14ac:dyDescent="0.25">
      <c r="A78" s="41"/>
      <c r="B78" s="41"/>
      <c r="C78" s="41"/>
      <c r="D78" s="41"/>
      <c r="E78" s="41"/>
    </row>
    <row r="79" spans="1:5" x14ac:dyDescent="0.25">
      <c r="A79" s="41"/>
      <c r="B79" s="41"/>
      <c r="C79" s="41"/>
      <c r="D79" s="41"/>
      <c r="E79" s="41"/>
    </row>
    <row r="80" spans="1:5" x14ac:dyDescent="0.25">
      <c r="A80" s="41"/>
      <c r="B80" s="41"/>
      <c r="C80" s="41"/>
      <c r="D80" s="41"/>
      <c r="E80" s="41"/>
    </row>
    <row r="81" spans="1:5" x14ac:dyDescent="0.25">
      <c r="A81" s="41"/>
      <c r="B81" s="41"/>
      <c r="C81" s="41"/>
      <c r="D81" s="41"/>
      <c r="E81" s="41"/>
    </row>
    <row r="82" spans="1:5" x14ac:dyDescent="0.25">
      <c r="A82" s="41"/>
      <c r="B82" s="41"/>
      <c r="C82" s="41"/>
      <c r="D82" s="41"/>
      <c r="E82" s="41"/>
    </row>
    <row r="83" spans="1:5" x14ac:dyDescent="0.25">
      <c r="A83" s="41"/>
      <c r="B83" s="41"/>
      <c r="C83" s="41"/>
      <c r="D83" s="41"/>
      <c r="E83" s="41"/>
    </row>
    <row r="84" spans="1:5" x14ac:dyDescent="0.25">
      <c r="A84" s="41"/>
      <c r="B84" s="41"/>
      <c r="C84" s="41"/>
      <c r="D84" s="41"/>
      <c r="E84" s="41"/>
    </row>
    <row r="85" spans="1:5" x14ac:dyDescent="0.25">
      <c r="A85" s="41"/>
      <c r="B85" s="41"/>
      <c r="C85" s="41"/>
      <c r="D85" s="41"/>
      <c r="E85" s="41"/>
    </row>
    <row r="86" spans="1:5" x14ac:dyDescent="0.25">
      <c r="A86" s="41"/>
      <c r="B86" s="41"/>
      <c r="C86" s="41"/>
      <c r="D86" s="41"/>
      <c r="E86" s="41"/>
    </row>
    <row r="87" spans="1:5" x14ac:dyDescent="0.25">
      <c r="A87" s="41"/>
      <c r="B87" s="41"/>
      <c r="C87" s="41"/>
      <c r="D87" s="41"/>
      <c r="E87" s="41"/>
    </row>
    <row r="88" spans="1:5" x14ac:dyDescent="0.25">
      <c r="A88" s="41"/>
      <c r="B88" s="41"/>
      <c r="C88" s="41"/>
      <c r="D88" s="41"/>
      <c r="E88" s="41"/>
    </row>
    <row r="89" spans="1:5" x14ac:dyDescent="0.25">
      <c r="A89" s="41"/>
      <c r="B89" s="41"/>
      <c r="C89" s="41"/>
      <c r="D89" s="41"/>
      <c r="E89" s="41"/>
    </row>
    <row r="90" spans="1:5" x14ac:dyDescent="0.25">
      <c r="A90" s="41"/>
      <c r="B90" s="41"/>
      <c r="C90" s="41"/>
      <c r="D90" s="41"/>
      <c r="E90" s="41"/>
    </row>
    <row r="91" spans="1:5" x14ac:dyDescent="0.25">
      <c r="A91" s="41"/>
      <c r="B91" s="41"/>
      <c r="C91" s="41"/>
      <c r="D91" s="41"/>
      <c r="E91" s="41"/>
    </row>
    <row r="92" spans="1:5" x14ac:dyDescent="0.25">
      <c r="A92" s="41"/>
      <c r="B92" s="41"/>
      <c r="C92" s="41"/>
      <c r="D92" s="41"/>
      <c r="E92" s="41"/>
    </row>
    <row r="93" spans="1:5" x14ac:dyDescent="0.25">
      <c r="A93" s="41"/>
      <c r="B93" s="41"/>
      <c r="C93" s="41"/>
      <c r="D93" s="41"/>
      <c r="E93" s="41"/>
    </row>
    <row r="94" spans="1:5" x14ac:dyDescent="0.25">
      <c r="A94" s="41"/>
      <c r="B94" s="41"/>
      <c r="C94" s="41"/>
      <c r="D94" s="41"/>
      <c r="E94" s="41"/>
    </row>
    <row r="95" spans="1:5" x14ac:dyDescent="0.25">
      <c r="A95" s="41"/>
      <c r="B95" s="41"/>
      <c r="C95" s="41"/>
      <c r="D95" s="41"/>
      <c r="E95" s="41"/>
    </row>
    <row r="96" spans="1:5" x14ac:dyDescent="0.25">
      <c r="A96" s="41"/>
      <c r="B96" s="41"/>
      <c r="C96" s="41"/>
      <c r="D96" s="41"/>
      <c r="E96" s="41"/>
    </row>
    <row r="97" spans="1:5" x14ac:dyDescent="0.25">
      <c r="A97" s="41"/>
      <c r="B97" s="41"/>
      <c r="C97" s="41"/>
      <c r="D97" s="41"/>
      <c r="E97" s="41"/>
    </row>
    <row r="98" spans="1:5" x14ac:dyDescent="0.25">
      <c r="A98" s="41"/>
      <c r="B98" s="41"/>
      <c r="C98" s="41"/>
      <c r="D98" s="41"/>
      <c r="E98" s="41"/>
    </row>
    <row r="99" spans="1:5" x14ac:dyDescent="0.25">
      <c r="A99" s="41"/>
      <c r="B99" s="41"/>
      <c r="C99" s="41"/>
      <c r="D99" s="41"/>
      <c r="E99" s="41"/>
    </row>
    <row r="100" spans="1:5" x14ac:dyDescent="0.25">
      <c r="A100" s="41"/>
      <c r="B100" s="41"/>
      <c r="C100" s="41"/>
      <c r="D100" s="41"/>
      <c r="E100" s="41"/>
    </row>
    <row r="101" spans="1:5" x14ac:dyDescent="0.25">
      <c r="A101" s="41"/>
      <c r="B101" s="41"/>
      <c r="C101" s="41"/>
      <c r="D101" s="41"/>
      <c r="E101" s="41"/>
    </row>
    <row r="102" spans="1:5" x14ac:dyDescent="0.25">
      <c r="A102" s="41"/>
      <c r="B102" s="41"/>
      <c r="C102" s="41"/>
      <c r="D102" s="41"/>
      <c r="E102" s="41"/>
    </row>
    <row r="103" spans="1:5" x14ac:dyDescent="0.25">
      <c r="A103" s="41"/>
      <c r="B103" s="41"/>
      <c r="C103" s="41"/>
      <c r="D103" s="41"/>
      <c r="E103" s="41"/>
    </row>
    <row r="104" spans="1:5" x14ac:dyDescent="0.25">
      <c r="A104" s="41"/>
      <c r="B104" s="41"/>
      <c r="C104" s="41"/>
      <c r="D104" s="41"/>
      <c r="E104" s="41"/>
    </row>
    <row r="105" spans="1:5" x14ac:dyDescent="0.25">
      <c r="A105" s="41"/>
      <c r="B105" s="41"/>
      <c r="C105" s="41"/>
      <c r="D105" s="41"/>
      <c r="E105" s="41"/>
    </row>
    <row r="106" spans="1:5" x14ac:dyDescent="0.25">
      <c r="A106" s="41"/>
      <c r="B106" s="41"/>
      <c r="C106" s="41"/>
      <c r="D106" s="41"/>
      <c r="E106" s="41"/>
    </row>
    <row r="107" spans="1:5" x14ac:dyDescent="0.25">
      <c r="A107" s="41"/>
      <c r="B107" s="41"/>
      <c r="C107" s="41"/>
      <c r="D107" s="41"/>
      <c r="E107" s="41"/>
    </row>
    <row r="108" spans="1:5" x14ac:dyDescent="0.25">
      <c r="A108" s="41"/>
      <c r="B108" s="41"/>
      <c r="C108" s="41"/>
      <c r="D108" s="41"/>
      <c r="E108" s="41"/>
    </row>
    <row r="109" spans="1:5" x14ac:dyDescent="0.25">
      <c r="A109" s="41"/>
      <c r="B109" s="41"/>
      <c r="C109" s="41"/>
      <c r="D109" s="41"/>
      <c r="E109" s="41"/>
    </row>
    <row r="110" spans="1:5" x14ac:dyDescent="0.25">
      <c r="A110" s="41"/>
      <c r="B110" s="41"/>
      <c r="C110" s="41"/>
      <c r="D110" s="41"/>
      <c r="E110" s="41"/>
    </row>
    <row r="111" spans="1:5" x14ac:dyDescent="0.25">
      <c r="A111" s="41"/>
      <c r="B111" s="41"/>
      <c r="C111" s="41"/>
      <c r="D111" s="41"/>
      <c r="E111" s="41"/>
    </row>
    <row r="112" spans="1:5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39" spans="1:5" x14ac:dyDescent="0.25">
      <c r="A139" s="41"/>
      <c r="B139" s="41"/>
      <c r="C139" s="41"/>
      <c r="D139" s="41"/>
      <c r="E139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2" spans="1:5" x14ac:dyDescent="0.25">
      <c r="A142" s="41"/>
      <c r="B142" s="41"/>
      <c r="C142" s="41"/>
      <c r="D142" s="41"/>
      <c r="E142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5" spans="1:5" x14ac:dyDescent="0.25">
      <c r="A145" s="41"/>
      <c r="B145" s="41"/>
      <c r="C145" s="41"/>
      <c r="D145" s="41"/>
      <c r="E145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8" spans="1:5" x14ac:dyDescent="0.25">
      <c r="A148" s="41"/>
      <c r="B148" s="41"/>
      <c r="C148" s="41"/>
      <c r="D148" s="41"/>
      <c r="E148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1" spans="1:5" x14ac:dyDescent="0.25">
      <c r="A151" s="41"/>
      <c r="B151" s="41"/>
      <c r="C151" s="41"/>
      <c r="D151" s="41"/>
      <c r="E151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4" spans="1:5" x14ac:dyDescent="0.25">
      <c r="A154" s="41"/>
      <c r="B154" s="41"/>
      <c r="C154" s="41"/>
      <c r="D154" s="41"/>
      <c r="E154" s="41"/>
    </row>
    <row r="155" spans="1:5" x14ac:dyDescent="0.25">
      <c r="A155" s="41"/>
      <c r="B155" s="41"/>
      <c r="C155" s="41"/>
      <c r="D155" s="41"/>
      <c r="E155" s="41"/>
    </row>
    <row r="156" spans="1:5" x14ac:dyDescent="0.25">
      <c r="A156" s="41"/>
      <c r="B156" s="41"/>
      <c r="C156" s="41"/>
      <c r="D156" s="41"/>
      <c r="E156" s="41"/>
    </row>
    <row r="157" spans="1:5" x14ac:dyDescent="0.25">
      <c r="A157" s="41"/>
      <c r="B157" s="41"/>
      <c r="C157" s="41"/>
      <c r="D157" s="41"/>
      <c r="E157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0" spans="1:5" x14ac:dyDescent="0.25">
      <c r="A160" s="41"/>
      <c r="B160" s="41"/>
      <c r="C160" s="41"/>
      <c r="D160" s="41"/>
      <c r="E160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3" spans="1:5" x14ac:dyDescent="0.25">
      <c r="A163" s="41"/>
      <c r="B163" s="41"/>
      <c r="C163" s="41"/>
      <c r="D163" s="41"/>
      <c r="E163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6" spans="1:5" x14ac:dyDescent="0.25">
      <c r="A166" s="41"/>
      <c r="B166" s="41"/>
      <c r="C166" s="41"/>
      <c r="D166" s="41"/>
      <c r="E166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  <row r="169" spans="1:5" x14ac:dyDescent="0.25">
      <c r="A169" s="41"/>
      <c r="B169" s="41"/>
      <c r="C169" s="41"/>
      <c r="D169" s="41"/>
      <c r="E169" s="41"/>
    </row>
    <row r="170" spans="1:5" x14ac:dyDescent="0.25">
      <c r="A170" s="41"/>
      <c r="B170" s="41"/>
      <c r="C170" s="41"/>
      <c r="D170" s="41"/>
      <c r="E170" s="41"/>
    </row>
    <row r="171" spans="1:5" x14ac:dyDescent="0.25">
      <c r="A171" s="41"/>
      <c r="B171" s="41"/>
      <c r="C171" s="41"/>
      <c r="D171" s="41"/>
      <c r="E171" s="41"/>
    </row>
    <row r="172" spans="1:5" x14ac:dyDescent="0.25">
      <c r="A172" s="41"/>
      <c r="B172" s="41"/>
      <c r="C172" s="41"/>
      <c r="D172" s="41"/>
      <c r="E172" s="41"/>
    </row>
    <row r="173" spans="1:5" x14ac:dyDescent="0.25">
      <c r="A173" s="41"/>
      <c r="B173" s="41"/>
      <c r="C173" s="41"/>
      <c r="D173" s="41"/>
      <c r="E173" s="41"/>
    </row>
    <row r="174" spans="1:5" x14ac:dyDescent="0.25">
      <c r="A174" s="41"/>
      <c r="B174" s="41"/>
      <c r="C174" s="41"/>
      <c r="D174" s="41"/>
      <c r="E174" s="41"/>
    </row>
    <row r="175" spans="1:5" x14ac:dyDescent="0.25">
      <c r="A175" s="41"/>
      <c r="B175" s="41"/>
      <c r="C175" s="41"/>
      <c r="D175" s="41"/>
      <c r="E175" s="41"/>
    </row>
    <row r="176" spans="1:5" x14ac:dyDescent="0.25">
      <c r="A176" s="41"/>
      <c r="B176" s="41"/>
      <c r="C176" s="41"/>
      <c r="D176" s="41"/>
      <c r="E176" s="41"/>
    </row>
    <row r="177" spans="1:5" x14ac:dyDescent="0.25">
      <c r="A177" s="41"/>
      <c r="B177" s="41"/>
      <c r="C177" s="41"/>
      <c r="D177" s="41"/>
      <c r="E177" s="41"/>
    </row>
    <row r="178" spans="1:5" x14ac:dyDescent="0.25">
      <c r="A178" s="41"/>
      <c r="B178" s="41"/>
      <c r="C178" s="41"/>
      <c r="D178" s="41"/>
      <c r="E178" s="41"/>
    </row>
    <row r="179" spans="1:5" x14ac:dyDescent="0.25">
      <c r="A179" s="41"/>
      <c r="B179" s="41"/>
      <c r="C179" s="41"/>
      <c r="D179" s="41"/>
      <c r="E179" s="41"/>
    </row>
    <row r="180" spans="1:5" x14ac:dyDescent="0.25">
      <c r="A180" s="41"/>
      <c r="B180" s="41"/>
      <c r="C180" s="41"/>
      <c r="D180" s="41"/>
      <c r="E180" s="41"/>
    </row>
    <row r="181" spans="1:5" x14ac:dyDescent="0.25">
      <c r="A181" s="41"/>
      <c r="B181" s="41"/>
      <c r="C181" s="41"/>
      <c r="D181" s="41"/>
      <c r="E181" s="41"/>
    </row>
    <row r="182" spans="1:5" x14ac:dyDescent="0.25">
      <c r="A182" s="41"/>
      <c r="B182" s="41"/>
      <c r="C182" s="41"/>
      <c r="D182" s="41"/>
      <c r="E182" s="41"/>
    </row>
    <row r="183" spans="1:5" x14ac:dyDescent="0.25">
      <c r="A183" s="41"/>
      <c r="B183" s="41"/>
      <c r="C183" s="41"/>
      <c r="D183" s="41"/>
      <c r="E183" s="41"/>
    </row>
    <row r="184" spans="1:5" x14ac:dyDescent="0.25">
      <c r="A184" s="41"/>
      <c r="B184" s="41"/>
      <c r="C184" s="41"/>
      <c r="D184" s="41"/>
      <c r="E184" s="41"/>
    </row>
    <row r="185" spans="1:5" x14ac:dyDescent="0.25">
      <c r="A185" s="41"/>
      <c r="B185" s="41"/>
      <c r="C185" s="41"/>
      <c r="D185" s="41"/>
      <c r="E185" s="41"/>
    </row>
    <row r="186" spans="1:5" x14ac:dyDescent="0.25">
      <c r="A186" s="41"/>
      <c r="B186" s="41"/>
      <c r="C186" s="41"/>
      <c r="D186" s="41"/>
      <c r="E186" s="41"/>
    </row>
    <row r="187" spans="1:5" x14ac:dyDescent="0.25">
      <c r="A187" s="41"/>
      <c r="B187" s="41"/>
      <c r="C187" s="41"/>
      <c r="D187" s="41"/>
      <c r="E187" s="41"/>
    </row>
    <row r="188" spans="1:5" x14ac:dyDescent="0.25">
      <c r="A188" s="41"/>
      <c r="B188" s="41"/>
      <c r="C188" s="41"/>
      <c r="D188" s="41"/>
      <c r="E188" s="41"/>
    </row>
    <row r="189" spans="1:5" x14ac:dyDescent="0.25">
      <c r="A189" s="41"/>
      <c r="B189" s="41"/>
      <c r="C189" s="41"/>
      <c r="D189" s="41"/>
      <c r="E189" s="41"/>
    </row>
    <row r="190" spans="1:5" x14ac:dyDescent="0.25">
      <c r="A190" s="41"/>
      <c r="B190" s="41"/>
      <c r="C190" s="41"/>
      <c r="D190" s="41"/>
      <c r="E190" s="41"/>
    </row>
    <row r="191" spans="1:5" x14ac:dyDescent="0.25">
      <c r="A191" s="41"/>
      <c r="B191" s="41"/>
      <c r="C191" s="41"/>
      <c r="D191" s="41"/>
      <c r="E191" s="41"/>
    </row>
    <row r="192" spans="1:5" x14ac:dyDescent="0.25">
      <c r="A192" s="41"/>
      <c r="B192" s="41"/>
      <c r="C192" s="41"/>
      <c r="D192" s="41"/>
      <c r="E192" s="41"/>
    </row>
    <row r="193" spans="1:5" x14ac:dyDescent="0.25">
      <c r="A193" s="41"/>
      <c r="B193" s="41"/>
      <c r="C193" s="41"/>
      <c r="D193" s="41"/>
      <c r="E193" s="41"/>
    </row>
    <row r="194" spans="1:5" x14ac:dyDescent="0.25">
      <c r="A194" s="41"/>
      <c r="B194" s="41"/>
      <c r="C194" s="41"/>
      <c r="D194" s="41"/>
      <c r="E194" s="41"/>
    </row>
    <row r="195" spans="1:5" x14ac:dyDescent="0.25">
      <c r="A195" s="41"/>
      <c r="B195" s="41"/>
      <c r="C195" s="41"/>
      <c r="D195" s="41"/>
      <c r="E195" s="41"/>
    </row>
    <row r="196" spans="1:5" x14ac:dyDescent="0.25">
      <c r="A196" s="41"/>
      <c r="B196" s="41"/>
      <c r="C196" s="41"/>
      <c r="D196" s="41"/>
      <c r="E196" s="41"/>
    </row>
    <row r="197" spans="1:5" x14ac:dyDescent="0.25">
      <c r="A197" s="41"/>
      <c r="B197" s="41"/>
      <c r="C197" s="41"/>
      <c r="D197" s="41"/>
      <c r="E197" s="41"/>
    </row>
    <row r="198" spans="1:5" x14ac:dyDescent="0.25">
      <c r="A198" s="41"/>
      <c r="B198" s="41"/>
      <c r="C198" s="41"/>
      <c r="D198" s="41"/>
      <c r="E198" s="41"/>
    </row>
    <row r="199" spans="1:5" x14ac:dyDescent="0.25">
      <c r="A199" s="41"/>
      <c r="B199" s="41"/>
      <c r="C199" s="41"/>
      <c r="D199" s="41"/>
      <c r="E199" s="41"/>
    </row>
    <row r="200" spans="1:5" x14ac:dyDescent="0.25">
      <c r="A200" s="41"/>
      <c r="B200" s="41"/>
      <c r="C200" s="41"/>
      <c r="D200" s="41"/>
      <c r="E200" s="41"/>
    </row>
    <row r="201" spans="1:5" x14ac:dyDescent="0.25">
      <c r="A201" s="41"/>
      <c r="B201" s="41"/>
      <c r="C201" s="41"/>
      <c r="D201" s="41"/>
      <c r="E201" s="41"/>
    </row>
    <row r="202" spans="1:5" x14ac:dyDescent="0.25">
      <c r="A202" s="41"/>
      <c r="B202" s="41"/>
      <c r="C202" s="41"/>
      <c r="D202" s="41"/>
      <c r="E202" s="41"/>
    </row>
    <row r="203" spans="1:5" x14ac:dyDescent="0.25">
      <c r="A203" s="41"/>
      <c r="B203" s="41"/>
      <c r="C203" s="41"/>
      <c r="D203" s="41"/>
      <c r="E203" s="41"/>
    </row>
    <row r="204" spans="1:5" x14ac:dyDescent="0.25">
      <c r="A204" s="41"/>
      <c r="B204" s="41"/>
      <c r="C204" s="41"/>
      <c r="D204" s="41"/>
      <c r="E204" s="41"/>
    </row>
    <row r="205" spans="1:5" x14ac:dyDescent="0.25">
      <c r="A205" s="41"/>
      <c r="B205" s="41"/>
      <c r="C205" s="41"/>
      <c r="D205" s="41"/>
      <c r="E205" s="41"/>
    </row>
    <row r="206" spans="1:5" x14ac:dyDescent="0.25">
      <c r="A206" s="41"/>
      <c r="B206" s="41"/>
      <c r="C206" s="41"/>
      <c r="D206" s="41"/>
      <c r="E206" s="4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"/>
  <dimension ref="A1:AA206"/>
  <sheetViews>
    <sheetView zoomScale="70" zoomScaleNormal="70" workbookViewId="0">
      <selection activeCell="G24" sqref="G24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4" ht="15.75" thickBot="1" x14ac:dyDescent="0.3">
      <c r="A1" s="1" t="s">
        <v>0</v>
      </c>
      <c r="B1" s="71" t="s">
        <v>1</v>
      </c>
      <c r="C1" s="72"/>
      <c r="E1" s="73" t="s">
        <v>2</v>
      </c>
      <c r="F1" s="74"/>
      <c r="G1" s="74"/>
      <c r="H1" s="75"/>
      <c r="J1" s="2" t="s">
        <v>3</v>
      </c>
      <c r="L1" s="76" t="s">
        <v>4</v>
      </c>
      <c r="M1" s="77"/>
      <c r="N1" s="77"/>
      <c r="O1" s="78"/>
    </row>
    <row r="2" spans="1:24" ht="15.75" thickBot="1" x14ac:dyDescent="0.3">
      <c r="A2" s="3" t="s">
        <v>5</v>
      </c>
      <c r="B2" s="79" t="s">
        <v>6</v>
      </c>
      <c r="C2" s="80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4" ht="15.75" thickBot="1" x14ac:dyDescent="0.3">
      <c r="A3" s="10" t="s">
        <v>9</v>
      </c>
      <c r="B3" s="81" t="s">
        <v>11</v>
      </c>
      <c r="C3" s="82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4" ht="15.75" thickBot="1" x14ac:dyDescent="0.3">
      <c r="E4" s="11"/>
      <c r="F4" s="4"/>
      <c r="G4" s="3" t="s">
        <v>16</v>
      </c>
      <c r="H4" s="12">
        <v>19.269400000000001</v>
      </c>
      <c r="J4" s="6">
        <v>15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4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4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4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</row>
    <row r="8" spans="1:24" ht="15.75" thickBot="1" x14ac:dyDescent="0.3"/>
    <row r="9" spans="1:24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23"/>
      <c r="N9" s="23"/>
      <c r="O9" s="23"/>
      <c r="P9" s="23"/>
      <c r="Q9" s="23"/>
      <c r="R9" s="23"/>
      <c r="S9" s="23"/>
      <c r="T9" s="23"/>
      <c r="U9" s="23"/>
      <c r="W9">
        <f>B21*B18/3</f>
        <v>3.8325392144427899</v>
      </c>
      <c r="X9">
        <f>W9/D21</f>
        <v>4.784745045707699</v>
      </c>
    </row>
    <row r="10" spans="1:24" ht="15.75" thickBot="1" x14ac:dyDescent="0.3">
      <c r="A10" s="24">
        <v>20.144021180465995</v>
      </c>
      <c r="B10" s="25">
        <f>A10+273.15</f>
        <v>293.29402118046596</v>
      </c>
      <c r="C10" s="18">
        <f>C19</f>
        <v>1.3021773295943324E-3</v>
      </c>
      <c r="D10" s="18">
        <f>C21</f>
        <v>0.50311442561967967</v>
      </c>
      <c r="E10" s="18">
        <f>C20</f>
        <v>0.49558339705072596</v>
      </c>
      <c r="F10" s="26">
        <f>EXP(M3+N3/(B10+O3))/1000</f>
        <v>27.475534210819276</v>
      </c>
      <c r="G10" s="18">
        <f>EXP(M4+N4/(B10+O4))/1000</f>
        <v>13.101160336401907</v>
      </c>
      <c r="H10" s="20">
        <v>0</v>
      </c>
      <c r="I10" s="27">
        <f>(C10*F10*S13)/J4</f>
        <v>0.19900415584317413</v>
      </c>
      <c r="J10" s="24">
        <f>(D10*G10*T13)/J4</f>
        <v>0.80099584411866853</v>
      </c>
      <c r="K10" s="28">
        <v>0</v>
      </c>
      <c r="L10" s="24">
        <f>SUM(I10:K10)</f>
        <v>0.99999999996184263</v>
      </c>
      <c r="M10" s="23"/>
      <c r="N10" s="23"/>
      <c r="O10" s="23"/>
      <c r="P10" s="23"/>
      <c r="Q10" s="23"/>
      <c r="R10" s="23"/>
      <c r="S10" s="23"/>
      <c r="T10" s="23"/>
      <c r="U10" s="23"/>
    </row>
    <row r="11" spans="1:24" ht="15.75" thickBot="1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W11">
        <f>B18/3</f>
        <v>6.8969807605269962</v>
      </c>
    </row>
    <row r="12" spans="1:24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4" ht="15.75" thickBot="1" x14ac:dyDescent="0.3">
      <c r="A13" s="27">
        <f>H2/(J2*B10)</f>
        <v>2.2857585836188354</v>
      </c>
      <c r="B13" s="24">
        <f>H3/(J2*B10)</f>
        <v>3.0753596703116441</v>
      </c>
      <c r="C13" s="28">
        <f>H4/(J2*B10)</f>
        <v>7.9023263633106895</v>
      </c>
      <c r="D13" s="24">
        <f>H5/(J2*B10)</f>
        <v>6.6484952827795825</v>
      </c>
      <c r="E13" s="28">
        <f>H6/(J2*B10)</f>
        <v>4.3657304084849695</v>
      </c>
      <c r="F13" s="24">
        <f>H7/(J2*B10)</f>
        <v>0.23096672484958433</v>
      </c>
      <c r="G13" s="28">
        <f t="shared" ref="G13:L13" si="0">EXP(-$F$2*A13)</f>
        <v>0.40079570976515216</v>
      </c>
      <c r="H13" s="28">
        <f t="shared" si="0"/>
        <v>0.29225052912065336</v>
      </c>
      <c r="I13" s="28">
        <f t="shared" si="0"/>
        <v>4.2386280368358037E-2</v>
      </c>
      <c r="J13" s="28">
        <f t="shared" si="0"/>
        <v>6.9990335334711523E-2</v>
      </c>
      <c r="K13" s="28">
        <f t="shared" si="0"/>
        <v>0.17441946484351237</v>
      </c>
      <c r="L13" s="28">
        <f t="shared" si="0"/>
        <v>0.91175251584403716</v>
      </c>
      <c r="M13" s="28">
        <f>D10*B13*H13+E10*D13*J13</f>
        <v>0.6827969423338538</v>
      </c>
      <c r="N13" s="24">
        <f>C10*A13*G13+E10*F13*L13</f>
        <v>0.10555513174255934</v>
      </c>
      <c r="O13" s="28">
        <f>C10*C13*I13+D10*E13*K13</f>
        <v>0.38354188190719174</v>
      </c>
      <c r="P13" s="24">
        <f>C10+H13*D10+J13*E10</f>
        <v>0.18302368257107512</v>
      </c>
      <c r="Q13" s="28">
        <f>G13*C10+D10+L13*E10</f>
        <v>0.95548574177826828</v>
      </c>
      <c r="R13" s="24">
        <f>I13*C10+K13*D10+E10</f>
        <v>0.58339154037574315</v>
      </c>
      <c r="S13" s="28">
        <f>EXP(M13/P13-(C10*M13)/P13^2+D10*G13/Q13*(A13-N13/Q13)+E10*I13/R13*(C13-O13/R13))</f>
        <v>83.432859724617927</v>
      </c>
      <c r="T13" s="24">
        <f>EXP(N13/Q13-D10*N13/Q13^2+C10*H13/P13*(B13-M13/P13)+E10*K13/R13*(E13-O13/R13))</f>
        <v>1.8228250586610584</v>
      </c>
      <c r="U13" s="25">
        <f>EXP(O13/R13-E10*O13/R13^2+C10*J13/P13*(D13-M13/P13)+D10*L13/Q13*(F13-N13/Q13))</f>
        <v>1.1714627241367752</v>
      </c>
    </row>
    <row r="14" spans="1:24" ht="15.75" thickBot="1" x14ac:dyDescent="0.3"/>
    <row r="15" spans="1:24" ht="15.75" thickBot="1" x14ac:dyDescent="0.3">
      <c r="A15" s="31"/>
      <c r="B15" s="32" t="s">
        <v>54</v>
      </c>
      <c r="C15" s="33" t="s">
        <v>55</v>
      </c>
      <c r="D15" s="34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4" ht="15.75" thickBot="1" x14ac:dyDescent="0.3">
      <c r="A16" s="37" t="s">
        <v>21</v>
      </c>
      <c r="B16" s="23">
        <v>45</v>
      </c>
      <c r="C16" s="38">
        <f>A10</f>
        <v>20.144021180465995</v>
      </c>
      <c r="D16" s="12">
        <f>A10</f>
        <v>20.144021180465995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305.72201059023297</v>
      </c>
      <c r="T16" s="24">
        <f>J22*1000*EXP(-J23*D17/J24)*(1-D17/J24)^J23</f>
        <v>30114.071447734419</v>
      </c>
    </row>
    <row r="17" spans="1:27" ht="15.75" thickBot="1" x14ac:dyDescent="0.3">
      <c r="A17" s="33" t="s">
        <v>22</v>
      </c>
      <c r="B17" s="4">
        <f>B16+273.15</f>
        <v>318.14999999999998</v>
      </c>
      <c r="C17" s="24">
        <f>C16+273.15</f>
        <v>293.29402118046596</v>
      </c>
      <c r="D17" s="25">
        <f>D16+273.15</f>
        <v>293.29402118046596</v>
      </c>
      <c r="I17" s="40" t="s">
        <v>60</v>
      </c>
      <c r="J17" s="6">
        <v>-0.31</v>
      </c>
      <c r="K17" s="41"/>
      <c r="L17" s="41"/>
      <c r="N17" s="11"/>
      <c r="O17" s="41"/>
      <c r="P17" s="41"/>
      <c r="Q17" s="4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17.039413245673629</v>
      </c>
      <c r="D18" s="12">
        <f>B18-C18</f>
        <v>3.6515290359073589</v>
      </c>
      <c r="F18" s="2" t="s">
        <v>64</v>
      </c>
      <c r="I18" s="3" t="s">
        <v>65</v>
      </c>
      <c r="J18" s="6">
        <v>0.42409999999999998</v>
      </c>
      <c r="L18" s="41"/>
      <c r="N18" s="11"/>
      <c r="O18" s="41"/>
      <c r="P18" s="41"/>
      <c r="Q18" s="41"/>
      <c r="S18" s="24">
        <v>187.5</v>
      </c>
      <c r="T18" s="24">
        <f>J16*1000*EXP(-J17*D17/J19)*(1-D17/J19)</f>
        <v>23142.057724023787</v>
      </c>
    </row>
    <row r="19" spans="1:27" ht="15.75" thickBot="1" x14ac:dyDescent="0.3">
      <c r="A19" s="33" t="s">
        <v>23</v>
      </c>
      <c r="B19" s="43">
        <v>3.6193341415735866E-2</v>
      </c>
      <c r="C19" s="45">
        <v>1.3021773295943324E-3</v>
      </c>
      <c r="D19" s="25">
        <f>(B18*B19-C18*C19)/D18</f>
        <v>0.19900868743656797</v>
      </c>
      <c r="E19" s="23">
        <f>I10</f>
        <v>0.19900415584317413</v>
      </c>
      <c r="F19" s="23">
        <f>(D19-E19)^2</f>
        <v>2.0535338687059262E-11</v>
      </c>
      <c r="I19" s="10" t="s">
        <v>66</v>
      </c>
      <c r="J19" s="18">
        <v>512.6</v>
      </c>
      <c r="K19" s="41"/>
      <c r="L19" s="41" t="s">
        <v>67</v>
      </c>
      <c r="N19" s="11"/>
      <c r="O19" s="41"/>
      <c r="P19" s="41"/>
      <c r="Q19" s="4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0.49558339705072596</v>
      </c>
      <c r="D20" s="25">
        <v>0</v>
      </c>
      <c r="S20" s="24">
        <f>A36+B36*S16+C36*S16^2+D36*S16^3</f>
        <v>83.30133127100089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0.50311442561967967</v>
      </c>
      <c r="D21" s="25">
        <f>(B18*B21-C18*C21)/D18</f>
        <v>0.80099131256343237</v>
      </c>
      <c r="E21" s="23">
        <f>J10</f>
        <v>0.80099584411866853</v>
      </c>
      <c r="F21" s="23">
        <f>(D21-E21)^2</f>
        <v>2.0534992858411381E-11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23">
        <f>S24*(B17-C17)</f>
        <v>4329.045469443874</v>
      </c>
      <c r="C22" s="6">
        <v>0</v>
      </c>
      <c r="D22" s="12">
        <f>T22</f>
        <v>24529.549023969186</v>
      </c>
      <c r="F22" s="2" t="s">
        <v>64</v>
      </c>
      <c r="I22" s="1" t="s">
        <v>59</v>
      </c>
      <c r="J22" s="38">
        <v>46.23</v>
      </c>
      <c r="S22" s="24">
        <f>D43+E43*S16+S16^2*F43</f>
        <v>296.6990556705058</v>
      </c>
      <c r="T22" s="24">
        <f>D19*T16+D21*T18</f>
        <v>24529.549023969186</v>
      </c>
    </row>
    <row r="23" spans="1:27" ht="15.75" thickBot="1" x14ac:dyDescent="0.3">
      <c r="A23" s="33" t="s">
        <v>73</v>
      </c>
      <c r="B23" s="28">
        <f>B18*B22</f>
        <v>89572.029942602865</v>
      </c>
      <c r="C23" s="24">
        <v>0</v>
      </c>
      <c r="D23" s="25">
        <f>D18*D22</f>
        <v>89570.360498736496</v>
      </c>
      <c r="E23">
        <f>(B23-D23)/B23</f>
        <v>1.8638004156417279E-5</v>
      </c>
      <c r="F23">
        <f>E23^2</f>
        <v>3.4737519893462778E-10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174.16515764173926</v>
      </c>
    </row>
    <row r="25" spans="1:27" ht="16.5" thickBot="1" x14ac:dyDescent="0.3">
      <c r="A25" s="73" t="s">
        <v>77</v>
      </c>
      <c r="B25" s="74"/>
      <c r="C25" s="74"/>
      <c r="D25" s="75"/>
      <c r="F25" s="24">
        <f>F19+F21+F23</f>
        <v>3.884455304800984E-10</v>
      </c>
      <c r="K25" s="47" t="s">
        <v>78</v>
      </c>
    </row>
    <row r="26" spans="1:27" ht="15.75" thickBot="1" x14ac:dyDescent="0.3">
      <c r="A26" s="66" t="s">
        <v>55</v>
      </c>
      <c r="B26" s="67"/>
      <c r="C26" s="68" t="s">
        <v>79</v>
      </c>
      <c r="D26" s="67"/>
      <c r="I26" s="11"/>
      <c r="J26" s="11"/>
    </row>
    <row r="27" spans="1:27" x14ac:dyDescent="0.25">
      <c r="I27" s="39"/>
      <c r="J27" s="39"/>
    </row>
    <row r="28" spans="1:27" ht="15.75" thickBot="1" x14ac:dyDescent="0.3">
      <c r="E28" s="50"/>
      <c r="N28" s="69"/>
      <c r="O28" s="69"/>
      <c r="X28" s="70"/>
      <c r="Y28" s="70"/>
    </row>
    <row r="29" spans="1:27" ht="16.5" thickBot="1" x14ac:dyDescent="0.3">
      <c r="A29" s="53" t="s">
        <v>6</v>
      </c>
      <c r="B29" s="41"/>
      <c r="C29" s="54" t="s">
        <v>80</v>
      </c>
      <c r="D29" s="55">
        <v>32.04</v>
      </c>
      <c r="E29" s="56" t="s">
        <v>81</v>
      </c>
      <c r="K29" s="47" t="s">
        <v>82</v>
      </c>
      <c r="N29" s="41"/>
      <c r="O29" s="41"/>
      <c r="X29" s="23"/>
      <c r="Y29" s="23"/>
      <c r="Z29" s="23"/>
      <c r="AA29" s="23"/>
    </row>
    <row r="30" spans="1:27" ht="15.75" thickBot="1" x14ac:dyDescent="0.3">
      <c r="A30" s="54" t="s">
        <v>83</v>
      </c>
      <c r="B30" s="56" t="s">
        <v>84</v>
      </c>
      <c r="C30" s="41"/>
      <c r="D30" s="41"/>
      <c r="E30" s="54" t="s">
        <v>85</v>
      </c>
      <c r="F30" s="57" t="s">
        <v>86</v>
      </c>
      <c r="G30" s="58" t="s">
        <v>87</v>
      </c>
      <c r="N30" s="41"/>
      <c r="O30" s="41"/>
      <c r="X30" s="23"/>
      <c r="Y30" s="23"/>
      <c r="Z30" s="23"/>
      <c r="AA30" s="23"/>
    </row>
    <row r="31" spans="1:27" ht="15.75" thickBot="1" x14ac:dyDescent="0.3">
      <c r="A31" s="59" t="s">
        <v>88</v>
      </c>
      <c r="B31" s="60" t="s">
        <v>89</v>
      </c>
      <c r="C31" s="60" t="s">
        <v>90</v>
      </c>
      <c r="D31" s="61" t="s">
        <v>91</v>
      </c>
      <c r="E31" s="41"/>
      <c r="N31" s="41"/>
      <c r="O31" s="41"/>
      <c r="X31" s="23"/>
      <c r="Y31" s="23"/>
      <c r="Z31" s="23"/>
      <c r="AA31" s="23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41"/>
      <c r="N32" s="41"/>
      <c r="O32" s="41"/>
      <c r="X32" s="23"/>
      <c r="Y32" s="23"/>
      <c r="Z32" s="23"/>
      <c r="AA32" s="23"/>
    </row>
    <row r="33" spans="1:27" ht="15.75" thickBot="1" x14ac:dyDescent="0.3">
      <c r="A33" s="41"/>
      <c r="B33" s="62" t="s">
        <v>92</v>
      </c>
      <c r="C33" s="41"/>
      <c r="D33" s="41"/>
      <c r="E33" s="41"/>
      <c r="N33" s="41"/>
      <c r="O33" s="41"/>
      <c r="X33" s="23"/>
      <c r="Y33" s="23"/>
      <c r="Z33" s="23"/>
      <c r="AA33" s="23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41"/>
      <c r="N34" s="41"/>
      <c r="O34" s="41"/>
      <c r="X34" s="23"/>
      <c r="Y34" s="23"/>
      <c r="Z34" s="23"/>
      <c r="AA34" s="23"/>
    </row>
    <row r="35" spans="1:27" ht="15.75" thickBot="1" x14ac:dyDescent="0.3">
      <c r="A35" s="41"/>
      <c r="B35" s="62" t="s">
        <v>93</v>
      </c>
      <c r="C35" s="41"/>
      <c r="D35" s="41"/>
      <c r="E35" s="41"/>
      <c r="N35" s="41"/>
      <c r="O35" s="41"/>
      <c r="X35" s="23"/>
      <c r="Y35" s="23"/>
      <c r="Z35" s="23"/>
      <c r="AA35" s="23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41"/>
      <c r="N36" s="41"/>
      <c r="O36" s="41"/>
      <c r="X36" s="23"/>
      <c r="Y36" s="23"/>
      <c r="Z36" s="23"/>
      <c r="AA36" s="23"/>
    </row>
    <row r="37" spans="1:27" x14ac:dyDescent="0.25">
      <c r="A37" s="41"/>
      <c r="B37" s="41"/>
      <c r="C37" s="41"/>
      <c r="D37" s="41"/>
      <c r="E37" s="41"/>
      <c r="N37" s="41"/>
      <c r="O37" s="41"/>
    </row>
    <row r="38" spans="1:27" x14ac:dyDescent="0.25">
      <c r="A38" s="41"/>
      <c r="B38" s="41"/>
      <c r="C38" s="41"/>
      <c r="D38" s="41"/>
      <c r="E38" s="41"/>
      <c r="N38" s="41"/>
      <c r="O38" s="41"/>
    </row>
    <row r="39" spans="1:27" x14ac:dyDescent="0.25">
      <c r="A39" s="41" t="s">
        <v>94</v>
      </c>
      <c r="B39" s="41"/>
      <c r="C39" s="41"/>
      <c r="D39" s="41"/>
      <c r="E39" s="41"/>
      <c r="F39" t="s">
        <v>95</v>
      </c>
      <c r="G39" s="63" t="s">
        <v>86</v>
      </c>
      <c r="H39" t="s">
        <v>93</v>
      </c>
      <c r="N39" s="41"/>
      <c r="O39" s="41"/>
    </row>
    <row r="40" spans="1:27" ht="16.5" thickBot="1" x14ac:dyDescent="0.3">
      <c r="A40" s="64" t="s">
        <v>96</v>
      </c>
      <c r="B40" s="41"/>
      <c r="C40" s="41"/>
      <c r="D40" s="41"/>
      <c r="E40" s="41"/>
    </row>
    <row r="41" spans="1:27" ht="15.75" thickBot="1" x14ac:dyDescent="0.3">
      <c r="A41" s="54" t="s">
        <v>22</v>
      </c>
      <c r="B41" s="56" t="s">
        <v>97</v>
      </c>
      <c r="C41" s="41"/>
      <c r="E41" s="65" t="s">
        <v>83</v>
      </c>
      <c r="F41" s="41"/>
    </row>
    <row r="42" spans="1:27" ht="15.75" thickBot="1" x14ac:dyDescent="0.3">
      <c r="A42" s="41">
        <v>283.14999999999998</v>
      </c>
      <c r="B42" s="41">
        <v>290</v>
      </c>
      <c r="C42" s="41"/>
      <c r="D42" s="54" t="s">
        <v>88</v>
      </c>
      <c r="E42" s="55" t="s">
        <v>89</v>
      </c>
      <c r="F42" s="56" t="s">
        <v>90</v>
      </c>
    </row>
    <row r="43" spans="1:27" ht="15.75" thickBot="1" x14ac:dyDescent="0.3">
      <c r="A43" s="41">
        <v>293.14999999999998</v>
      </c>
      <c r="B43" s="41">
        <v>294</v>
      </c>
      <c r="C43" s="41"/>
      <c r="D43" s="27">
        <v>753.28</v>
      </c>
      <c r="E43" s="28">
        <v>-3.4195000000000002</v>
      </c>
      <c r="F43" s="25">
        <v>6.3E-3</v>
      </c>
    </row>
    <row r="44" spans="1:27" x14ac:dyDescent="0.25">
      <c r="A44" s="41">
        <v>303.14999999999998</v>
      </c>
      <c r="B44" s="41">
        <v>297</v>
      </c>
      <c r="C44" s="41"/>
      <c r="D44" s="41"/>
      <c r="E44" s="41"/>
    </row>
    <row r="45" spans="1:27" x14ac:dyDescent="0.25">
      <c r="A45" s="41">
        <v>313.14999999999998</v>
      </c>
      <c r="B45" s="41">
        <v>302</v>
      </c>
      <c r="C45" s="41"/>
      <c r="D45" s="41"/>
      <c r="E45" s="41"/>
    </row>
    <row r="46" spans="1:27" x14ac:dyDescent="0.25">
      <c r="A46" s="41">
        <v>323.14999999999998</v>
      </c>
      <c r="B46" s="41">
        <v>306</v>
      </c>
      <c r="C46" s="41"/>
      <c r="D46" s="41"/>
      <c r="E46" s="41"/>
    </row>
    <row r="47" spans="1:27" x14ac:dyDescent="0.25">
      <c r="A47" s="41">
        <v>333.15</v>
      </c>
      <c r="B47" s="41">
        <v>313</v>
      </c>
      <c r="C47" s="41"/>
      <c r="D47" s="41"/>
      <c r="E47" s="41"/>
    </row>
    <row r="48" spans="1:27" x14ac:dyDescent="0.25">
      <c r="A48" s="41">
        <v>343.15</v>
      </c>
      <c r="B48" s="41">
        <v>324</v>
      </c>
      <c r="C48" s="41"/>
      <c r="D48" s="41"/>
      <c r="E48" s="41"/>
    </row>
    <row r="49" spans="1:5" x14ac:dyDescent="0.25">
      <c r="A49" s="41"/>
      <c r="B49" s="41"/>
      <c r="C49" s="41"/>
      <c r="D49" s="41"/>
      <c r="E49" s="41"/>
    </row>
    <row r="50" spans="1:5" x14ac:dyDescent="0.25">
      <c r="D50" s="41"/>
      <c r="E50" s="41"/>
    </row>
    <row r="51" spans="1:5" x14ac:dyDescent="0.25">
      <c r="D51" s="41"/>
      <c r="E51" s="41"/>
    </row>
    <row r="52" spans="1:5" x14ac:dyDescent="0.25">
      <c r="D52" s="41"/>
      <c r="E52" s="41"/>
    </row>
    <row r="53" spans="1:5" x14ac:dyDescent="0.25">
      <c r="A53" s="41"/>
      <c r="B53" s="41"/>
      <c r="C53" s="41"/>
      <c r="D53" s="41"/>
      <c r="E53" s="41"/>
    </row>
    <row r="54" spans="1:5" x14ac:dyDescent="0.25">
      <c r="A54" s="41"/>
      <c r="B54" s="41"/>
      <c r="C54" s="41"/>
      <c r="D54" s="41"/>
      <c r="E54" s="41"/>
    </row>
    <row r="55" spans="1:5" x14ac:dyDescent="0.25">
      <c r="A55" s="41"/>
      <c r="B55" s="41"/>
      <c r="C55" s="41"/>
      <c r="D55" s="41"/>
      <c r="E55" s="41"/>
    </row>
    <row r="56" spans="1:5" x14ac:dyDescent="0.25">
      <c r="A56" s="41"/>
      <c r="B56" s="41"/>
      <c r="C56" s="41"/>
      <c r="D56" s="41"/>
      <c r="E56" s="41"/>
    </row>
    <row r="57" spans="1:5" x14ac:dyDescent="0.25">
      <c r="A57" s="41"/>
      <c r="B57" s="41"/>
      <c r="C57" s="41"/>
      <c r="D57" s="41"/>
      <c r="E57" s="41"/>
    </row>
    <row r="58" spans="1:5" x14ac:dyDescent="0.25">
      <c r="A58" s="41"/>
      <c r="B58" s="41"/>
      <c r="C58" s="41"/>
      <c r="D58" s="41"/>
      <c r="E58" s="41"/>
    </row>
    <row r="59" spans="1:5" x14ac:dyDescent="0.25">
      <c r="A59" s="41"/>
      <c r="B59" s="41"/>
      <c r="C59" s="41"/>
      <c r="D59" s="41"/>
      <c r="E59" s="41"/>
    </row>
    <row r="60" spans="1:5" x14ac:dyDescent="0.25">
      <c r="A60" s="41"/>
      <c r="B60" s="41"/>
      <c r="C60" s="41"/>
      <c r="D60" s="41"/>
      <c r="E60" s="41"/>
    </row>
    <row r="61" spans="1:5" x14ac:dyDescent="0.25">
      <c r="A61" s="41"/>
      <c r="B61" s="41"/>
      <c r="C61" s="41"/>
      <c r="D61" s="41"/>
      <c r="E61" s="41"/>
    </row>
    <row r="62" spans="1:5" x14ac:dyDescent="0.25">
      <c r="A62" s="41"/>
      <c r="B62" s="41"/>
      <c r="C62" s="41"/>
      <c r="D62" s="41"/>
      <c r="E62" s="41"/>
    </row>
    <row r="63" spans="1:5" x14ac:dyDescent="0.25">
      <c r="A63" s="41"/>
      <c r="B63" s="41"/>
      <c r="C63" s="41"/>
      <c r="D63" s="41"/>
      <c r="E63" s="41"/>
    </row>
    <row r="64" spans="1:5" x14ac:dyDescent="0.25">
      <c r="A64" s="41"/>
      <c r="B64" s="41"/>
      <c r="C64" s="41"/>
      <c r="D64" s="41"/>
      <c r="E64" s="41"/>
    </row>
    <row r="65" spans="1:5" x14ac:dyDescent="0.25">
      <c r="A65" s="41"/>
      <c r="B65" s="41"/>
      <c r="C65" s="41"/>
      <c r="D65" s="41"/>
      <c r="E65" s="41"/>
    </row>
    <row r="66" spans="1:5" x14ac:dyDescent="0.25">
      <c r="A66" s="41"/>
      <c r="B66" s="41"/>
      <c r="C66" s="41"/>
      <c r="D66" s="41"/>
      <c r="E66" s="41"/>
    </row>
    <row r="67" spans="1:5" x14ac:dyDescent="0.25">
      <c r="A67" s="41"/>
      <c r="B67" s="41"/>
      <c r="C67" s="41"/>
      <c r="D67" s="41"/>
      <c r="E67" s="41"/>
    </row>
    <row r="68" spans="1:5" x14ac:dyDescent="0.25">
      <c r="A68" s="41"/>
      <c r="B68" s="41"/>
      <c r="C68" s="41"/>
      <c r="D68" s="41"/>
      <c r="E68" s="41"/>
    </row>
    <row r="69" spans="1:5" x14ac:dyDescent="0.25">
      <c r="A69" s="41"/>
      <c r="B69" s="41"/>
      <c r="C69" s="41"/>
      <c r="D69" s="41"/>
      <c r="E69" s="41"/>
    </row>
    <row r="70" spans="1:5" x14ac:dyDescent="0.25">
      <c r="A70" s="41"/>
      <c r="B70" s="41"/>
      <c r="C70" s="41"/>
      <c r="D70" s="41"/>
      <c r="E70" s="41"/>
    </row>
    <row r="71" spans="1:5" x14ac:dyDescent="0.25">
      <c r="A71" s="41"/>
      <c r="B71" s="41"/>
      <c r="C71" s="41"/>
      <c r="D71" s="41"/>
      <c r="E71" s="41"/>
    </row>
    <row r="72" spans="1:5" x14ac:dyDescent="0.25">
      <c r="A72" s="41"/>
      <c r="B72" s="41"/>
      <c r="C72" s="41"/>
      <c r="D72" s="41"/>
      <c r="E72" s="41"/>
    </row>
    <row r="73" spans="1:5" x14ac:dyDescent="0.25">
      <c r="A73" s="41"/>
      <c r="B73" s="41"/>
      <c r="C73" s="41"/>
      <c r="D73" s="41"/>
      <c r="E73" s="41"/>
    </row>
    <row r="74" spans="1:5" x14ac:dyDescent="0.25">
      <c r="A74" s="41"/>
      <c r="B74" s="41"/>
      <c r="C74" s="41"/>
      <c r="D74" s="41"/>
      <c r="E74" s="41"/>
    </row>
    <row r="75" spans="1:5" x14ac:dyDescent="0.25">
      <c r="A75" s="41"/>
      <c r="B75" s="41"/>
      <c r="C75" s="41"/>
      <c r="D75" s="41"/>
      <c r="E75" s="41"/>
    </row>
    <row r="76" spans="1:5" x14ac:dyDescent="0.25">
      <c r="A76" s="41"/>
      <c r="B76" s="41"/>
      <c r="C76" s="41"/>
      <c r="D76" s="41"/>
      <c r="E76" s="41"/>
    </row>
    <row r="77" spans="1:5" x14ac:dyDescent="0.25">
      <c r="A77" s="41"/>
      <c r="B77" s="41"/>
      <c r="C77" s="41"/>
      <c r="D77" s="41"/>
      <c r="E77" s="41"/>
    </row>
    <row r="78" spans="1:5" x14ac:dyDescent="0.25">
      <c r="A78" s="41"/>
      <c r="B78" s="41"/>
      <c r="C78" s="41"/>
      <c r="D78" s="41"/>
      <c r="E78" s="41"/>
    </row>
    <row r="79" spans="1:5" x14ac:dyDescent="0.25">
      <c r="A79" s="41"/>
      <c r="B79" s="41"/>
      <c r="C79" s="41"/>
      <c r="D79" s="41"/>
      <c r="E79" s="41"/>
    </row>
    <row r="80" spans="1:5" x14ac:dyDescent="0.25">
      <c r="A80" s="41"/>
      <c r="B80" s="41"/>
      <c r="C80" s="41"/>
      <c r="D80" s="41"/>
      <c r="E80" s="41"/>
    </row>
    <row r="81" spans="1:5" x14ac:dyDescent="0.25">
      <c r="A81" s="41"/>
      <c r="B81" s="41"/>
      <c r="C81" s="41"/>
      <c r="D81" s="41"/>
      <c r="E81" s="41"/>
    </row>
    <row r="82" spans="1:5" x14ac:dyDescent="0.25">
      <c r="A82" s="41"/>
      <c r="B82" s="41"/>
      <c r="C82" s="41"/>
      <c r="D82" s="41"/>
      <c r="E82" s="41"/>
    </row>
    <row r="83" spans="1:5" x14ac:dyDescent="0.25">
      <c r="A83" s="41"/>
      <c r="B83" s="41"/>
      <c r="C83" s="41"/>
      <c r="D83" s="41"/>
      <c r="E83" s="41"/>
    </row>
    <row r="84" spans="1:5" x14ac:dyDescent="0.25">
      <c r="A84" s="41"/>
      <c r="B84" s="41"/>
      <c r="C84" s="41"/>
      <c r="D84" s="41"/>
      <c r="E84" s="41"/>
    </row>
    <row r="85" spans="1:5" x14ac:dyDescent="0.25">
      <c r="A85" s="41"/>
      <c r="B85" s="41"/>
      <c r="C85" s="41"/>
      <c r="D85" s="41"/>
      <c r="E85" s="41"/>
    </row>
    <row r="86" spans="1:5" x14ac:dyDescent="0.25">
      <c r="A86" s="41"/>
      <c r="B86" s="41"/>
      <c r="C86" s="41"/>
      <c r="D86" s="41"/>
      <c r="E86" s="41"/>
    </row>
    <row r="87" spans="1:5" x14ac:dyDescent="0.25">
      <c r="A87" s="41"/>
      <c r="B87" s="41"/>
      <c r="C87" s="41"/>
      <c r="D87" s="41"/>
      <c r="E87" s="41"/>
    </row>
    <row r="88" spans="1:5" x14ac:dyDescent="0.25">
      <c r="A88" s="41"/>
      <c r="B88" s="41"/>
      <c r="C88" s="41"/>
      <c r="D88" s="41"/>
      <c r="E88" s="41"/>
    </row>
    <row r="89" spans="1:5" x14ac:dyDescent="0.25">
      <c r="A89" s="41"/>
      <c r="B89" s="41"/>
      <c r="C89" s="41"/>
      <c r="D89" s="41"/>
      <c r="E89" s="41"/>
    </row>
    <row r="90" spans="1:5" x14ac:dyDescent="0.25">
      <c r="A90" s="41"/>
      <c r="B90" s="41"/>
      <c r="C90" s="41"/>
      <c r="D90" s="41"/>
      <c r="E90" s="41"/>
    </row>
    <row r="91" spans="1:5" x14ac:dyDescent="0.25">
      <c r="A91" s="41"/>
      <c r="B91" s="41"/>
      <c r="C91" s="41"/>
      <c r="D91" s="41"/>
      <c r="E91" s="41"/>
    </row>
    <row r="92" spans="1:5" x14ac:dyDescent="0.25">
      <c r="A92" s="41"/>
      <c r="B92" s="41"/>
      <c r="C92" s="41"/>
      <c r="D92" s="41"/>
      <c r="E92" s="41"/>
    </row>
    <row r="93" spans="1:5" x14ac:dyDescent="0.25">
      <c r="A93" s="41"/>
      <c r="B93" s="41"/>
      <c r="C93" s="41"/>
      <c r="D93" s="41"/>
      <c r="E93" s="41"/>
    </row>
    <row r="94" spans="1:5" x14ac:dyDescent="0.25">
      <c r="A94" s="41"/>
      <c r="B94" s="41"/>
      <c r="C94" s="41"/>
      <c r="D94" s="41"/>
      <c r="E94" s="41"/>
    </row>
    <row r="95" spans="1:5" x14ac:dyDescent="0.25">
      <c r="A95" s="41"/>
      <c r="B95" s="41"/>
      <c r="C95" s="41"/>
      <c r="D95" s="41"/>
      <c r="E95" s="41"/>
    </row>
    <row r="96" spans="1:5" x14ac:dyDescent="0.25">
      <c r="A96" s="41"/>
      <c r="B96" s="41"/>
      <c r="C96" s="41"/>
      <c r="D96" s="41"/>
      <c r="E96" s="41"/>
    </row>
    <row r="97" spans="1:5" x14ac:dyDescent="0.25">
      <c r="A97" s="41"/>
      <c r="B97" s="41"/>
      <c r="C97" s="41"/>
      <c r="D97" s="41"/>
      <c r="E97" s="41"/>
    </row>
    <row r="98" spans="1:5" x14ac:dyDescent="0.25">
      <c r="A98" s="41"/>
      <c r="B98" s="41"/>
      <c r="C98" s="41"/>
      <c r="D98" s="41"/>
      <c r="E98" s="41"/>
    </row>
    <row r="99" spans="1:5" x14ac:dyDescent="0.25">
      <c r="A99" s="41"/>
      <c r="B99" s="41"/>
      <c r="C99" s="41"/>
      <c r="D99" s="41"/>
      <c r="E99" s="41"/>
    </row>
    <row r="100" spans="1:5" x14ac:dyDescent="0.25">
      <c r="A100" s="41"/>
      <c r="B100" s="41"/>
      <c r="C100" s="41"/>
      <c r="D100" s="41"/>
      <c r="E100" s="41"/>
    </row>
    <row r="101" spans="1:5" x14ac:dyDescent="0.25">
      <c r="A101" s="41"/>
      <c r="B101" s="41"/>
      <c r="C101" s="41"/>
      <c r="D101" s="41"/>
      <c r="E101" s="41"/>
    </row>
    <row r="102" spans="1:5" x14ac:dyDescent="0.25">
      <c r="A102" s="41"/>
      <c r="B102" s="41"/>
      <c r="C102" s="41"/>
      <c r="D102" s="41"/>
      <c r="E102" s="41"/>
    </row>
    <row r="103" spans="1:5" x14ac:dyDescent="0.25">
      <c r="A103" s="41"/>
      <c r="B103" s="41"/>
      <c r="C103" s="41"/>
      <c r="D103" s="41"/>
      <c r="E103" s="41"/>
    </row>
    <row r="104" spans="1:5" x14ac:dyDescent="0.25">
      <c r="A104" s="41"/>
      <c r="B104" s="41"/>
      <c r="C104" s="41"/>
      <c r="D104" s="41"/>
      <c r="E104" s="41"/>
    </row>
    <row r="105" spans="1:5" x14ac:dyDescent="0.25">
      <c r="A105" s="41"/>
      <c r="B105" s="41"/>
      <c r="C105" s="41"/>
      <c r="D105" s="41"/>
      <c r="E105" s="41"/>
    </row>
    <row r="106" spans="1:5" x14ac:dyDescent="0.25">
      <c r="A106" s="41"/>
      <c r="B106" s="41"/>
      <c r="C106" s="41"/>
      <c r="D106" s="41"/>
      <c r="E106" s="41"/>
    </row>
    <row r="107" spans="1:5" x14ac:dyDescent="0.25">
      <c r="A107" s="41"/>
      <c r="B107" s="41"/>
      <c r="C107" s="41"/>
      <c r="D107" s="41"/>
      <c r="E107" s="41"/>
    </row>
    <row r="108" spans="1:5" x14ac:dyDescent="0.25">
      <c r="A108" s="41"/>
      <c r="B108" s="41"/>
      <c r="C108" s="41"/>
      <c r="D108" s="41"/>
      <c r="E108" s="41"/>
    </row>
    <row r="109" spans="1:5" x14ac:dyDescent="0.25">
      <c r="A109" s="41"/>
      <c r="B109" s="41"/>
      <c r="C109" s="41"/>
      <c r="D109" s="41"/>
      <c r="E109" s="41"/>
    </row>
    <row r="110" spans="1:5" x14ac:dyDescent="0.25">
      <c r="A110" s="41"/>
      <c r="B110" s="41"/>
      <c r="C110" s="41"/>
      <c r="D110" s="41"/>
      <c r="E110" s="41"/>
    </row>
    <row r="111" spans="1:5" x14ac:dyDescent="0.25">
      <c r="A111" s="41"/>
      <c r="B111" s="41"/>
      <c r="C111" s="41"/>
      <c r="D111" s="41"/>
      <c r="E111" s="41"/>
    </row>
    <row r="112" spans="1:5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39" spans="1:5" x14ac:dyDescent="0.25">
      <c r="A139" s="41"/>
      <c r="B139" s="41"/>
      <c r="C139" s="41"/>
      <c r="D139" s="41"/>
      <c r="E139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2" spans="1:5" x14ac:dyDescent="0.25">
      <c r="A142" s="41"/>
      <c r="B142" s="41"/>
      <c r="C142" s="41"/>
      <c r="D142" s="41"/>
      <c r="E142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5" spans="1:5" x14ac:dyDescent="0.25">
      <c r="A145" s="41"/>
      <c r="B145" s="41"/>
      <c r="C145" s="41"/>
      <c r="D145" s="41"/>
      <c r="E145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8" spans="1:5" x14ac:dyDescent="0.25">
      <c r="A148" s="41"/>
      <c r="B148" s="41"/>
      <c r="C148" s="41"/>
      <c r="D148" s="41"/>
      <c r="E148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1" spans="1:5" x14ac:dyDescent="0.25">
      <c r="A151" s="41"/>
      <c r="B151" s="41"/>
      <c r="C151" s="41"/>
      <c r="D151" s="41"/>
      <c r="E151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4" spans="1:5" x14ac:dyDescent="0.25">
      <c r="A154" s="41"/>
      <c r="B154" s="41"/>
      <c r="C154" s="41"/>
      <c r="D154" s="41"/>
      <c r="E154" s="41"/>
    </row>
    <row r="155" spans="1:5" x14ac:dyDescent="0.25">
      <c r="A155" s="41"/>
      <c r="B155" s="41"/>
      <c r="C155" s="41"/>
      <c r="D155" s="41"/>
      <c r="E155" s="41"/>
    </row>
    <row r="156" spans="1:5" x14ac:dyDescent="0.25">
      <c r="A156" s="41"/>
      <c r="B156" s="41"/>
      <c r="C156" s="41"/>
      <c r="D156" s="41"/>
      <c r="E156" s="41"/>
    </row>
    <row r="157" spans="1:5" x14ac:dyDescent="0.25">
      <c r="A157" s="41"/>
      <c r="B157" s="41"/>
      <c r="C157" s="41"/>
      <c r="D157" s="41"/>
      <c r="E157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0" spans="1:5" x14ac:dyDescent="0.25">
      <c r="A160" s="41"/>
      <c r="B160" s="41"/>
      <c r="C160" s="41"/>
      <c r="D160" s="41"/>
      <c r="E160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3" spans="1:5" x14ac:dyDescent="0.25">
      <c r="A163" s="41"/>
      <c r="B163" s="41"/>
      <c r="C163" s="41"/>
      <c r="D163" s="41"/>
      <c r="E163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6" spans="1:5" x14ac:dyDescent="0.25">
      <c r="A166" s="41"/>
      <c r="B166" s="41"/>
      <c r="C166" s="41"/>
      <c r="D166" s="41"/>
      <c r="E166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  <row r="169" spans="1:5" x14ac:dyDescent="0.25">
      <c r="A169" s="41"/>
      <c r="B169" s="41"/>
      <c r="C169" s="41"/>
      <c r="D169" s="41"/>
      <c r="E169" s="41"/>
    </row>
    <row r="170" spans="1:5" x14ac:dyDescent="0.25">
      <c r="A170" s="41"/>
      <c r="B170" s="41"/>
      <c r="C170" s="41"/>
      <c r="D170" s="41"/>
      <c r="E170" s="41"/>
    </row>
    <row r="171" spans="1:5" x14ac:dyDescent="0.25">
      <c r="A171" s="41"/>
      <c r="B171" s="41"/>
      <c r="C171" s="41"/>
      <c r="D171" s="41"/>
      <c r="E171" s="41"/>
    </row>
    <row r="172" spans="1:5" x14ac:dyDescent="0.25">
      <c r="A172" s="41"/>
      <c r="B172" s="41"/>
      <c r="C172" s="41"/>
      <c r="D172" s="41"/>
      <c r="E172" s="41"/>
    </row>
    <row r="173" spans="1:5" x14ac:dyDescent="0.25">
      <c r="A173" s="41"/>
      <c r="B173" s="41"/>
      <c r="C173" s="41"/>
      <c r="D173" s="41"/>
      <c r="E173" s="41"/>
    </row>
    <row r="174" spans="1:5" x14ac:dyDescent="0.25">
      <c r="A174" s="41"/>
      <c r="B174" s="41"/>
      <c r="C174" s="41"/>
      <c r="D174" s="41"/>
      <c r="E174" s="41"/>
    </row>
    <row r="175" spans="1:5" x14ac:dyDescent="0.25">
      <c r="A175" s="41"/>
      <c r="B175" s="41"/>
      <c r="C175" s="41"/>
      <c r="D175" s="41"/>
      <c r="E175" s="41"/>
    </row>
    <row r="176" spans="1:5" x14ac:dyDescent="0.25">
      <c r="A176" s="41"/>
      <c r="B176" s="41"/>
      <c r="C176" s="41"/>
      <c r="D176" s="41"/>
      <c r="E176" s="41"/>
    </row>
    <row r="177" spans="1:5" x14ac:dyDescent="0.25">
      <c r="A177" s="41"/>
      <c r="B177" s="41"/>
      <c r="C177" s="41"/>
      <c r="D177" s="41"/>
      <c r="E177" s="41"/>
    </row>
    <row r="178" spans="1:5" x14ac:dyDescent="0.25">
      <c r="A178" s="41"/>
      <c r="B178" s="41"/>
      <c r="C178" s="41"/>
      <c r="D178" s="41"/>
      <c r="E178" s="41"/>
    </row>
    <row r="179" spans="1:5" x14ac:dyDescent="0.25">
      <c r="A179" s="41"/>
      <c r="B179" s="41"/>
      <c r="C179" s="41"/>
      <c r="D179" s="41"/>
      <c r="E179" s="41"/>
    </row>
    <row r="180" spans="1:5" x14ac:dyDescent="0.25">
      <c r="A180" s="41"/>
      <c r="B180" s="41"/>
      <c r="C180" s="41"/>
      <c r="D180" s="41"/>
      <c r="E180" s="41"/>
    </row>
    <row r="181" spans="1:5" x14ac:dyDescent="0.25">
      <c r="A181" s="41"/>
      <c r="B181" s="41"/>
      <c r="C181" s="41"/>
      <c r="D181" s="41"/>
      <c r="E181" s="41"/>
    </row>
    <row r="182" spans="1:5" x14ac:dyDescent="0.25">
      <c r="A182" s="41"/>
      <c r="B182" s="41"/>
      <c r="C182" s="41"/>
      <c r="D182" s="41"/>
      <c r="E182" s="41"/>
    </row>
    <row r="183" spans="1:5" x14ac:dyDescent="0.25">
      <c r="A183" s="41"/>
      <c r="B183" s="41"/>
      <c r="C183" s="41"/>
      <c r="D183" s="41"/>
      <c r="E183" s="41"/>
    </row>
    <row r="184" spans="1:5" x14ac:dyDescent="0.25">
      <c r="A184" s="41"/>
      <c r="B184" s="41"/>
      <c r="C184" s="41"/>
      <c r="D184" s="41"/>
      <c r="E184" s="41"/>
    </row>
    <row r="185" spans="1:5" x14ac:dyDescent="0.25">
      <c r="A185" s="41"/>
      <c r="B185" s="41"/>
      <c r="C185" s="41"/>
      <c r="D185" s="41"/>
      <c r="E185" s="41"/>
    </row>
    <row r="186" spans="1:5" x14ac:dyDescent="0.25">
      <c r="A186" s="41"/>
      <c r="B186" s="41"/>
      <c r="C186" s="41"/>
      <c r="D186" s="41"/>
      <c r="E186" s="41"/>
    </row>
    <row r="187" spans="1:5" x14ac:dyDescent="0.25">
      <c r="A187" s="41"/>
      <c r="B187" s="41"/>
      <c r="C187" s="41"/>
      <c r="D187" s="41"/>
      <c r="E187" s="41"/>
    </row>
    <row r="188" spans="1:5" x14ac:dyDescent="0.25">
      <c r="A188" s="41"/>
      <c r="B188" s="41"/>
      <c r="C188" s="41"/>
      <c r="D188" s="41"/>
      <c r="E188" s="41"/>
    </row>
    <row r="189" spans="1:5" x14ac:dyDescent="0.25">
      <c r="A189" s="41"/>
      <c r="B189" s="41"/>
      <c r="C189" s="41"/>
      <c r="D189" s="41"/>
      <c r="E189" s="41"/>
    </row>
    <row r="190" spans="1:5" x14ac:dyDescent="0.25">
      <c r="A190" s="41"/>
      <c r="B190" s="41"/>
      <c r="C190" s="41"/>
      <c r="D190" s="41"/>
      <c r="E190" s="41"/>
    </row>
    <row r="191" spans="1:5" x14ac:dyDescent="0.25">
      <c r="A191" s="41"/>
      <c r="B191" s="41"/>
      <c r="C191" s="41"/>
      <c r="D191" s="41"/>
      <c r="E191" s="41"/>
    </row>
    <row r="192" spans="1:5" x14ac:dyDescent="0.25">
      <c r="A192" s="41"/>
      <c r="B192" s="41"/>
      <c r="C192" s="41"/>
      <c r="D192" s="41"/>
      <c r="E192" s="41"/>
    </row>
    <row r="193" spans="1:5" x14ac:dyDescent="0.25">
      <c r="A193" s="41"/>
      <c r="B193" s="41"/>
      <c r="C193" s="41"/>
      <c r="D193" s="41"/>
      <c r="E193" s="41"/>
    </row>
    <row r="194" spans="1:5" x14ac:dyDescent="0.25">
      <c r="A194" s="41"/>
      <c r="B194" s="41"/>
      <c r="C194" s="41"/>
      <c r="D194" s="41"/>
      <c r="E194" s="41"/>
    </row>
    <row r="195" spans="1:5" x14ac:dyDescent="0.25">
      <c r="A195" s="41"/>
      <c r="B195" s="41"/>
      <c r="C195" s="41"/>
      <c r="D195" s="41"/>
      <c r="E195" s="41"/>
    </row>
    <row r="196" spans="1:5" x14ac:dyDescent="0.25">
      <c r="A196" s="41"/>
      <c r="B196" s="41"/>
      <c r="C196" s="41"/>
      <c r="D196" s="41"/>
      <c r="E196" s="41"/>
    </row>
    <row r="197" spans="1:5" x14ac:dyDescent="0.25">
      <c r="A197" s="41"/>
      <c r="B197" s="41"/>
      <c r="C197" s="41"/>
      <c r="D197" s="41"/>
      <c r="E197" s="41"/>
    </row>
    <row r="198" spans="1:5" x14ac:dyDescent="0.25">
      <c r="A198" s="41"/>
      <c r="B198" s="41"/>
      <c r="C198" s="41"/>
      <c r="D198" s="41"/>
      <c r="E198" s="41"/>
    </row>
    <row r="199" spans="1:5" x14ac:dyDescent="0.25">
      <c r="A199" s="41"/>
      <c r="B199" s="41"/>
      <c r="C199" s="41"/>
      <c r="D199" s="41"/>
      <c r="E199" s="41"/>
    </row>
    <row r="200" spans="1:5" x14ac:dyDescent="0.25">
      <c r="A200" s="41"/>
      <c r="B200" s="41"/>
      <c r="C200" s="41"/>
      <c r="D200" s="41"/>
      <c r="E200" s="41"/>
    </row>
    <row r="201" spans="1:5" x14ac:dyDescent="0.25">
      <c r="A201" s="41"/>
      <c r="B201" s="41"/>
      <c r="C201" s="41"/>
      <c r="D201" s="41"/>
      <c r="E201" s="41"/>
    </row>
    <row r="202" spans="1:5" x14ac:dyDescent="0.25">
      <c r="A202" s="41"/>
      <c r="B202" s="41"/>
      <c r="C202" s="41"/>
      <c r="D202" s="41"/>
      <c r="E202" s="41"/>
    </row>
    <row r="203" spans="1:5" x14ac:dyDescent="0.25">
      <c r="A203" s="41"/>
      <c r="B203" s="41"/>
      <c r="C203" s="41"/>
      <c r="D203" s="41"/>
      <c r="E203" s="41"/>
    </row>
    <row r="204" spans="1:5" x14ac:dyDescent="0.25">
      <c r="A204" s="41"/>
      <c r="B204" s="41"/>
      <c r="C204" s="41"/>
      <c r="D204" s="41"/>
      <c r="E204" s="41"/>
    </row>
    <row r="205" spans="1:5" x14ac:dyDescent="0.25">
      <c r="A205" s="41"/>
      <c r="B205" s="41"/>
      <c r="C205" s="41"/>
      <c r="D205" s="41"/>
      <c r="E205" s="41"/>
    </row>
    <row r="206" spans="1:5" x14ac:dyDescent="0.25">
      <c r="A206" s="41"/>
      <c r="B206" s="41"/>
      <c r="C206" s="41"/>
      <c r="D206" s="41"/>
      <c r="E206" s="4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/>
  <dimension ref="A1:AA206"/>
  <sheetViews>
    <sheetView zoomScale="70" zoomScaleNormal="70" workbookViewId="0">
      <selection sqref="A1:XFD1048576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4" ht="15.75" thickBot="1" x14ac:dyDescent="0.3">
      <c r="A1" s="1" t="s">
        <v>0</v>
      </c>
      <c r="B1" s="71" t="s">
        <v>1</v>
      </c>
      <c r="C1" s="72"/>
      <c r="E1" s="73" t="s">
        <v>2</v>
      </c>
      <c r="F1" s="74"/>
      <c r="G1" s="74"/>
      <c r="H1" s="75"/>
      <c r="J1" s="2" t="s">
        <v>3</v>
      </c>
      <c r="L1" s="76" t="s">
        <v>4</v>
      </c>
      <c r="M1" s="77"/>
      <c r="N1" s="77"/>
      <c r="O1" s="78"/>
    </row>
    <row r="2" spans="1:24" ht="15.75" thickBot="1" x14ac:dyDescent="0.3">
      <c r="A2" s="3" t="s">
        <v>5</v>
      </c>
      <c r="B2" s="79" t="s">
        <v>6</v>
      </c>
      <c r="C2" s="80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4" ht="15.75" thickBot="1" x14ac:dyDescent="0.3">
      <c r="A3" s="10" t="s">
        <v>9</v>
      </c>
      <c r="B3" s="81" t="s">
        <v>11</v>
      </c>
      <c r="C3" s="82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4" ht="15.75" thickBot="1" x14ac:dyDescent="0.3">
      <c r="E4" s="11"/>
      <c r="F4" s="4"/>
      <c r="G4" s="3" t="s">
        <v>16</v>
      </c>
      <c r="H4" s="12">
        <v>19.269400000000001</v>
      </c>
      <c r="J4" s="6">
        <v>10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4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4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4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</row>
    <row r="8" spans="1:24" ht="15.75" thickBot="1" x14ac:dyDescent="0.3"/>
    <row r="9" spans="1:24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23"/>
      <c r="N9" s="23"/>
      <c r="O9" s="23"/>
      <c r="P9" s="23"/>
      <c r="Q9" s="23"/>
      <c r="R9" s="23"/>
      <c r="S9" s="23"/>
      <c r="T9" s="23"/>
      <c r="U9" s="23"/>
      <c r="W9">
        <f>B21*B18/3</f>
        <v>3.8325392144427899</v>
      </c>
      <c r="X9">
        <f>W9/D21</f>
        <v>4.5883012319708136</v>
      </c>
    </row>
    <row r="10" spans="1:24" ht="15.75" thickBot="1" x14ac:dyDescent="0.3">
      <c r="A10" s="24">
        <v>14.108857238760079</v>
      </c>
      <c r="B10" s="25">
        <f>A10+273.15</f>
        <v>287.25885723876007</v>
      </c>
      <c r="C10" s="18">
        <f>C19</f>
        <v>8.4123759166445462E-4</v>
      </c>
      <c r="D10" s="18">
        <f>C21</f>
        <v>0.47877441944271526</v>
      </c>
      <c r="E10" s="18">
        <f>C20</f>
        <v>0.52038434296562031</v>
      </c>
      <c r="F10" s="26">
        <f>EXP(M3+N3/(B10+O3))/1000</f>
        <v>21.062180486670766</v>
      </c>
      <c r="G10" s="18">
        <f>EXP(M4+N4/(B10+O4))/1000</f>
        <v>9.3877586069332448</v>
      </c>
      <c r="H10" s="20">
        <v>0</v>
      </c>
      <c r="I10" s="27">
        <f>(C10*F10*S13)/J4</f>
        <v>0.1647145228869123</v>
      </c>
      <c r="J10" s="24">
        <f>(D10*G10*T13)/J4</f>
        <v>0.83528547711357626</v>
      </c>
      <c r="K10" s="28">
        <v>0</v>
      </c>
      <c r="L10" s="24">
        <f>SUM(I10:K10)</f>
        <v>1.0000000000004885</v>
      </c>
      <c r="M10" s="23"/>
      <c r="N10" s="23"/>
      <c r="O10" s="23"/>
      <c r="P10" s="23"/>
      <c r="Q10" s="23"/>
      <c r="R10" s="23"/>
      <c r="S10" s="23"/>
      <c r="T10" s="23"/>
      <c r="U10" s="23"/>
    </row>
    <row r="11" spans="1:24" ht="15.75" thickBot="1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W11">
        <f>B18/3</f>
        <v>6.8969807605269962</v>
      </c>
    </row>
    <row r="12" spans="1:24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4" ht="15.75" thickBot="1" x14ac:dyDescent="0.3">
      <c r="A13" s="27">
        <f>H2/(J2*B10)</f>
        <v>2.3337812204694557</v>
      </c>
      <c r="B13" s="24">
        <f>H3/(J2*B10)</f>
        <v>3.1399714283909246</v>
      </c>
      <c r="C13" s="28">
        <f>H4/(J2*B10)</f>
        <v>8.0683502609961302</v>
      </c>
      <c r="D13" s="24">
        <f>H5/(J2*B10)</f>
        <v>6.7881768208283217</v>
      </c>
      <c r="E13" s="28">
        <f>H6/(J2*B10)</f>
        <v>4.4574522060085107</v>
      </c>
      <c r="F13" s="24">
        <f>H7/(J2*B10)</f>
        <v>0.23581921943563477</v>
      </c>
      <c r="G13" s="28">
        <f t="shared" ref="G13:L13" si="0">EXP(-$F$2*A13)</f>
        <v>0.39317027619492867</v>
      </c>
      <c r="H13" s="28">
        <f t="shared" si="0"/>
        <v>0.28479416965912646</v>
      </c>
      <c r="I13" s="28">
        <f t="shared" si="0"/>
        <v>3.9662857665122377E-2</v>
      </c>
      <c r="J13" s="28">
        <f t="shared" si="0"/>
        <v>6.6187031876608252E-2</v>
      </c>
      <c r="K13" s="28">
        <f t="shared" si="0"/>
        <v>0.16813620526956982</v>
      </c>
      <c r="L13" s="28">
        <f t="shared" si="0"/>
        <v>0.90998452257588125</v>
      </c>
      <c r="M13" s="28">
        <f>D10*B13*H13+E10*D13*J13</f>
        <v>0.66194500126764899</v>
      </c>
      <c r="N13" s="24">
        <f>C10*A13*G13+E10*F13*L13</f>
        <v>0.1124421308096407</v>
      </c>
      <c r="O13" s="28">
        <f>C10*C13*I13+D10*E13*K13</f>
        <v>0.35909105272423492</v>
      </c>
      <c r="P13" s="24">
        <f>C10+H13*D10+J13*E10</f>
        <v>0.17163609592683624</v>
      </c>
      <c r="Q13" s="28">
        <f>G13*C10+D10+L13*E10</f>
        <v>0.9526468669485092</v>
      </c>
      <c r="R13" s="24">
        <f>I13*C10+K13*D10+E10</f>
        <v>0.60091702291772053</v>
      </c>
      <c r="S13" s="28">
        <f>EXP(M13/P13-(C10*M13)/P13^2+D10*G13/Q13*(A13-N13/Q13)+E10*I13/R13*(C13-O13/R13))</f>
        <v>92.962948811586514</v>
      </c>
      <c r="T13" s="24">
        <f>EXP(N13/Q13-D10*N13/Q13^2+C10*H13/P13*(B13-M13/P13)+E10*K13/R13*(E13-O13/R13))</f>
        <v>1.8584123307411706</v>
      </c>
      <c r="U13" s="25">
        <f>EXP(O13/R13-E10*O13/R13^2+C10*J13/P13*(D13-M13/P13)+D10*L13/Q13*(F13-N13/Q13))</f>
        <v>1.1444265861570435</v>
      </c>
    </row>
    <row r="14" spans="1:24" ht="15.75" thickBot="1" x14ac:dyDescent="0.3"/>
    <row r="15" spans="1:24" ht="15.75" thickBot="1" x14ac:dyDescent="0.3">
      <c r="A15" s="31"/>
      <c r="B15" s="32" t="s">
        <v>54</v>
      </c>
      <c r="C15" s="33" t="s">
        <v>55</v>
      </c>
      <c r="D15" s="34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4" ht="15.75" thickBot="1" x14ac:dyDescent="0.3">
      <c r="A16" s="37" t="s">
        <v>21</v>
      </c>
      <c r="B16" s="23">
        <v>45</v>
      </c>
      <c r="C16" s="38">
        <f>A10</f>
        <v>14.108857238760079</v>
      </c>
      <c r="D16" s="12">
        <f>A10</f>
        <v>14.108857238760079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302.70442861938</v>
      </c>
      <c r="T16" s="24">
        <f>J22*1000*EXP(-J23*D17/J24)*(1-D17/J24)^J23</f>
        <v>30476.238554730942</v>
      </c>
    </row>
    <row r="17" spans="1:27" ht="15.75" thickBot="1" x14ac:dyDescent="0.3">
      <c r="A17" s="33" t="s">
        <v>22</v>
      </c>
      <c r="B17" s="4">
        <f>B16+273.15</f>
        <v>318.14999999999998</v>
      </c>
      <c r="C17" s="24">
        <f>C16+273.15</f>
        <v>287.25885723876007</v>
      </c>
      <c r="D17" s="25">
        <f>D16+273.15</f>
        <v>287.25885723876007</v>
      </c>
      <c r="I17" s="40" t="s">
        <v>60</v>
      </c>
      <c r="J17" s="6">
        <v>-0.31</v>
      </c>
      <c r="K17" s="41"/>
      <c r="L17" s="41"/>
      <c r="N17" s="11"/>
      <c r="O17" s="41"/>
      <c r="P17" s="41"/>
      <c r="Q17" s="4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16.227333535667047</v>
      </c>
      <c r="D18" s="12">
        <f>B18-C18</f>
        <v>4.4636087459139411</v>
      </c>
      <c r="F18" s="2" t="s">
        <v>64</v>
      </c>
      <c r="I18" s="3" t="s">
        <v>65</v>
      </c>
      <c r="J18" s="6">
        <v>0.42409999999999998</v>
      </c>
      <c r="L18" s="41"/>
      <c r="N18" s="11"/>
      <c r="O18" s="41"/>
      <c r="P18" s="41"/>
      <c r="Q18" s="41"/>
      <c r="S18" s="24">
        <v>187.5</v>
      </c>
      <c r="T18" s="24">
        <f>J16*1000*EXP(-J17*D17/J19)*(1-D17/J19)</f>
        <v>23692.282033527114</v>
      </c>
    </row>
    <row r="19" spans="1:27" ht="15.75" thickBot="1" x14ac:dyDescent="0.3">
      <c r="A19" s="33" t="s">
        <v>23</v>
      </c>
      <c r="B19" s="43">
        <v>3.6193341415735866E-2</v>
      </c>
      <c r="C19" s="45">
        <v>8.4123759166445462E-4</v>
      </c>
      <c r="D19" s="25">
        <f>(B18*B19-C18*C19)/D18</f>
        <v>0.16471499566374412</v>
      </c>
      <c r="E19" s="23">
        <f>I10</f>
        <v>0.1647145228869123</v>
      </c>
      <c r="F19" s="23">
        <f>(D19-E19)^2</f>
        <v>2.2351793270807537E-13</v>
      </c>
      <c r="I19" s="10" t="s">
        <v>66</v>
      </c>
      <c r="J19" s="18">
        <v>512.6</v>
      </c>
      <c r="K19" s="41"/>
      <c r="L19" s="41" t="s">
        <v>67</v>
      </c>
      <c r="N19" s="11"/>
      <c r="O19" s="41"/>
      <c r="P19" s="41"/>
      <c r="Q19" s="4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0.52038434296562031</v>
      </c>
      <c r="D20" s="25">
        <v>0</v>
      </c>
      <c r="S20" s="24">
        <f>A36+B36*S16+C36*S16^2+D36*S16^3</f>
        <v>82.585003206912731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0.47877441944271526</v>
      </c>
      <c r="D21" s="25">
        <f>(B18*B21-C18*C21)/D18</f>
        <v>0.83528500433625597</v>
      </c>
      <c r="E21" s="23">
        <f>J10</f>
        <v>0.83528547711357626</v>
      </c>
      <c r="F21" s="23">
        <f>(D21-E21)^2</f>
        <v>2.2351839458326688E-13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23">
        <f>S24*(B17-C17)</f>
        <v>5352.1300600793893</v>
      </c>
      <c r="C22" s="6">
        <v>0</v>
      </c>
      <c r="D22" s="12">
        <f>T22</f>
        <v>24809.701402500232</v>
      </c>
      <c r="F22" s="2" t="s">
        <v>64</v>
      </c>
      <c r="I22" s="1" t="s">
        <v>59</v>
      </c>
      <c r="J22" s="38">
        <v>46.23</v>
      </c>
      <c r="S22" s="24">
        <f>D43+E43*S16+S16^2*F43</f>
        <v>295.45102430247755</v>
      </c>
      <c r="T22" s="24">
        <f>D19*T16+D21*T18</f>
        <v>24809.701402500232</v>
      </c>
    </row>
    <row r="23" spans="1:27" ht="15.75" thickBot="1" x14ac:dyDescent="0.3">
      <c r="A23" s="33" t="s">
        <v>73</v>
      </c>
      <c r="B23" s="28">
        <f>B18*B22</f>
        <v>110740.61415661723</v>
      </c>
      <c r="C23" s="24">
        <v>0</v>
      </c>
      <c r="D23" s="25">
        <f>D18*D22</f>
        <v>110740.8001637134</v>
      </c>
      <c r="E23">
        <f>(B23-D23)/B23</f>
        <v>-1.6796646613061988E-6</v>
      </c>
      <c r="F23">
        <f>E23^2</f>
        <v>2.8212733744408676E-12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173.25775551414293</v>
      </c>
    </row>
    <row r="25" spans="1:27" ht="16.5" thickBot="1" x14ac:dyDescent="0.3">
      <c r="A25" s="73" t="s">
        <v>77</v>
      </c>
      <c r="B25" s="74"/>
      <c r="C25" s="74"/>
      <c r="D25" s="75"/>
      <c r="F25" s="24">
        <f>F19+F21+F23</f>
        <v>3.26830970173221E-12</v>
      </c>
      <c r="K25" s="47" t="s">
        <v>78</v>
      </c>
    </row>
    <row r="26" spans="1:27" ht="15.75" thickBot="1" x14ac:dyDescent="0.3">
      <c r="A26" s="66" t="s">
        <v>55</v>
      </c>
      <c r="B26" s="67"/>
      <c r="C26" s="68" t="s">
        <v>79</v>
      </c>
      <c r="D26" s="67"/>
      <c r="I26" s="11"/>
      <c r="J26" s="11"/>
    </row>
    <row r="27" spans="1:27" x14ac:dyDescent="0.25">
      <c r="I27" s="39"/>
      <c r="J27" s="39"/>
    </row>
    <row r="28" spans="1:27" ht="15.75" thickBot="1" x14ac:dyDescent="0.3">
      <c r="E28" s="50"/>
      <c r="N28" s="69"/>
      <c r="O28" s="69"/>
      <c r="X28" s="70"/>
      <c r="Y28" s="70"/>
    </row>
    <row r="29" spans="1:27" ht="16.5" thickBot="1" x14ac:dyDescent="0.3">
      <c r="A29" s="53" t="s">
        <v>6</v>
      </c>
      <c r="B29" s="41"/>
      <c r="C29" s="54" t="s">
        <v>80</v>
      </c>
      <c r="D29" s="55">
        <v>32.04</v>
      </c>
      <c r="E29" s="56" t="s">
        <v>81</v>
      </c>
      <c r="K29" s="47" t="s">
        <v>82</v>
      </c>
      <c r="N29" s="41"/>
      <c r="O29" s="41"/>
      <c r="X29" s="23"/>
      <c r="Y29" s="23"/>
      <c r="Z29" s="23"/>
      <c r="AA29" s="23"/>
    </row>
    <row r="30" spans="1:27" ht="15.75" thickBot="1" x14ac:dyDescent="0.3">
      <c r="A30" s="54" t="s">
        <v>83</v>
      </c>
      <c r="B30" s="56" t="s">
        <v>84</v>
      </c>
      <c r="C30" s="41"/>
      <c r="D30" s="41"/>
      <c r="E30" s="54" t="s">
        <v>85</v>
      </c>
      <c r="F30" s="57" t="s">
        <v>86</v>
      </c>
      <c r="G30" s="58" t="s">
        <v>87</v>
      </c>
      <c r="N30" s="41"/>
      <c r="O30" s="41"/>
      <c r="X30" s="23"/>
      <c r="Y30" s="23"/>
      <c r="Z30" s="23"/>
      <c r="AA30" s="23"/>
    </row>
    <row r="31" spans="1:27" ht="15.75" thickBot="1" x14ac:dyDescent="0.3">
      <c r="A31" s="59" t="s">
        <v>88</v>
      </c>
      <c r="B31" s="60" t="s">
        <v>89</v>
      </c>
      <c r="C31" s="60" t="s">
        <v>90</v>
      </c>
      <c r="D31" s="61" t="s">
        <v>91</v>
      </c>
      <c r="E31" s="41"/>
      <c r="N31" s="41"/>
      <c r="O31" s="41"/>
      <c r="X31" s="23"/>
      <c r="Y31" s="23"/>
      <c r="Z31" s="23"/>
      <c r="AA31" s="23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41"/>
      <c r="N32" s="41"/>
      <c r="O32" s="41"/>
      <c r="X32" s="23"/>
      <c r="Y32" s="23"/>
      <c r="Z32" s="23"/>
      <c r="AA32" s="23"/>
    </row>
    <row r="33" spans="1:27" ht="15.75" thickBot="1" x14ac:dyDescent="0.3">
      <c r="A33" s="41"/>
      <c r="B33" s="62" t="s">
        <v>92</v>
      </c>
      <c r="C33" s="41"/>
      <c r="D33" s="41"/>
      <c r="E33" s="41"/>
      <c r="N33" s="41"/>
      <c r="O33" s="41"/>
      <c r="X33" s="23"/>
      <c r="Y33" s="23"/>
      <c r="Z33" s="23"/>
      <c r="AA33" s="23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41"/>
      <c r="N34" s="41"/>
      <c r="O34" s="41"/>
      <c r="X34" s="23"/>
      <c r="Y34" s="23"/>
      <c r="Z34" s="23"/>
      <c r="AA34" s="23"/>
    </row>
    <row r="35" spans="1:27" ht="15.75" thickBot="1" x14ac:dyDescent="0.3">
      <c r="A35" s="41"/>
      <c r="B35" s="62" t="s">
        <v>93</v>
      </c>
      <c r="C35" s="41"/>
      <c r="D35" s="41"/>
      <c r="E35" s="41"/>
      <c r="N35" s="41"/>
      <c r="O35" s="41"/>
      <c r="X35" s="23"/>
      <c r="Y35" s="23"/>
      <c r="Z35" s="23"/>
      <c r="AA35" s="23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41"/>
      <c r="N36" s="41"/>
      <c r="O36" s="41"/>
      <c r="X36" s="23"/>
      <c r="Y36" s="23"/>
      <c r="Z36" s="23"/>
      <c r="AA36" s="23"/>
    </row>
    <row r="37" spans="1:27" x14ac:dyDescent="0.25">
      <c r="A37" s="41"/>
      <c r="B37" s="41"/>
      <c r="C37" s="41"/>
      <c r="D37" s="41"/>
      <c r="E37" s="41"/>
      <c r="N37" s="41"/>
      <c r="O37" s="41"/>
    </row>
    <row r="38" spans="1:27" x14ac:dyDescent="0.25">
      <c r="A38" s="41"/>
      <c r="B38" s="41"/>
      <c r="C38" s="41"/>
      <c r="D38" s="41"/>
      <c r="E38" s="41"/>
      <c r="N38" s="41"/>
      <c r="O38" s="41"/>
    </row>
    <row r="39" spans="1:27" x14ac:dyDescent="0.25">
      <c r="A39" s="41" t="s">
        <v>94</v>
      </c>
      <c r="B39" s="41"/>
      <c r="C39" s="41"/>
      <c r="D39" s="41"/>
      <c r="E39" s="41"/>
      <c r="F39" t="s">
        <v>95</v>
      </c>
      <c r="G39" s="63" t="s">
        <v>86</v>
      </c>
      <c r="H39" t="s">
        <v>93</v>
      </c>
      <c r="N39" s="41"/>
      <c r="O39" s="41"/>
    </row>
    <row r="40" spans="1:27" ht="16.5" thickBot="1" x14ac:dyDescent="0.3">
      <c r="A40" s="64" t="s">
        <v>96</v>
      </c>
      <c r="B40" s="41"/>
      <c r="C40" s="41"/>
      <c r="D40" s="41"/>
      <c r="E40" s="41"/>
    </row>
    <row r="41" spans="1:27" ht="15.75" thickBot="1" x14ac:dyDescent="0.3">
      <c r="A41" s="54" t="s">
        <v>22</v>
      </c>
      <c r="B41" s="56" t="s">
        <v>97</v>
      </c>
      <c r="C41" s="41"/>
      <c r="E41" s="65" t="s">
        <v>83</v>
      </c>
      <c r="F41" s="41"/>
    </row>
    <row r="42" spans="1:27" ht="15.75" thickBot="1" x14ac:dyDescent="0.3">
      <c r="A42" s="41">
        <v>283.14999999999998</v>
      </c>
      <c r="B42" s="41">
        <v>290</v>
      </c>
      <c r="C42" s="41"/>
      <c r="D42" s="54" t="s">
        <v>88</v>
      </c>
      <c r="E42" s="55" t="s">
        <v>89</v>
      </c>
      <c r="F42" s="56" t="s">
        <v>90</v>
      </c>
    </row>
    <row r="43" spans="1:27" ht="15.75" thickBot="1" x14ac:dyDescent="0.3">
      <c r="A43" s="41">
        <v>293.14999999999998</v>
      </c>
      <c r="B43" s="41">
        <v>294</v>
      </c>
      <c r="C43" s="41"/>
      <c r="D43" s="27">
        <v>753.28</v>
      </c>
      <c r="E43" s="28">
        <v>-3.4195000000000002</v>
      </c>
      <c r="F43" s="25">
        <v>6.3E-3</v>
      </c>
    </row>
    <row r="44" spans="1:27" x14ac:dyDescent="0.25">
      <c r="A44" s="41">
        <v>303.14999999999998</v>
      </c>
      <c r="B44" s="41">
        <v>297</v>
      </c>
      <c r="C44" s="41"/>
      <c r="D44" s="41"/>
      <c r="E44" s="41"/>
    </row>
    <row r="45" spans="1:27" x14ac:dyDescent="0.25">
      <c r="A45" s="41">
        <v>313.14999999999998</v>
      </c>
      <c r="B45" s="41">
        <v>302</v>
      </c>
      <c r="C45" s="41"/>
      <c r="D45" s="41"/>
      <c r="E45" s="41"/>
    </row>
    <row r="46" spans="1:27" x14ac:dyDescent="0.25">
      <c r="A46" s="41">
        <v>323.14999999999998</v>
      </c>
      <c r="B46" s="41">
        <v>306</v>
      </c>
      <c r="C46" s="41"/>
      <c r="D46" s="41"/>
      <c r="E46" s="41"/>
    </row>
    <row r="47" spans="1:27" x14ac:dyDescent="0.25">
      <c r="A47" s="41">
        <v>333.15</v>
      </c>
      <c r="B47" s="41">
        <v>313</v>
      </c>
      <c r="C47" s="41"/>
      <c r="D47" s="41"/>
      <c r="E47" s="41"/>
    </row>
    <row r="48" spans="1:27" x14ac:dyDescent="0.25">
      <c r="A48" s="41">
        <v>343.15</v>
      </c>
      <c r="B48" s="41">
        <v>324</v>
      </c>
      <c r="C48" s="41"/>
      <c r="D48" s="41"/>
      <c r="E48" s="41"/>
    </row>
    <row r="49" spans="1:5" x14ac:dyDescent="0.25">
      <c r="A49" s="41"/>
      <c r="B49" s="41"/>
      <c r="C49" s="41"/>
      <c r="D49" s="41"/>
      <c r="E49" s="41"/>
    </row>
    <row r="50" spans="1:5" x14ac:dyDescent="0.25">
      <c r="D50" s="41"/>
      <c r="E50" s="41"/>
    </row>
    <row r="51" spans="1:5" x14ac:dyDescent="0.25">
      <c r="D51" s="41"/>
      <c r="E51" s="41"/>
    </row>
    <row r="52" spans="1:5" x14ac:dyDescent="0.25">
      <c r="D52" s="41"/>
      <c r="E52" s="41"/>
    </row>
    <row r="53" spans="1:5" x14ac:dyDescent="0.25">
      <c r="A53" s="41"/>
      <c r="B53" s="41"/>
      <c r="C53" s="41"/>
      <c r="D53" s="41"/>
      <c r="E53" s="41"/>
    </row>
    <row r="54" spans="1:5" x14ac:dyDescent="0.25">
      <c r="A54" s="41"/>
      <c r="B54" s="41"/>
      <c r="C54" s="41"/>
      <c r="D54" s="41"/>
      <c r="E54" s="41"/>
    </row>
    <row r="55" spans="1:5" x14ac:dyDescent="0.25">
      <c r="A55" s="41"/>
      <c r="B55" s="41"/>
      <c r="C55" s="41"/>
      <c r="D55" s="41"/>
      <c r="E55" s="41"/>
    </row>
    <row r="56" spans="1:5" x14ac:dyDescent="0.25">
      <c r="A56" s="41"/>
      <c r="B56" s="41"/>
      <c r="C56" s="41"/>
      <c r="D56" s="41"/>
      <c r="E56" s="41"/>
    </row>
    <row r="57" spans="1:5" x14ac:dyDescent="0.25">
      <c r="A57" s="41"/>
      <c r="B57" s="41"/>
      <c r="C57" s="41"/>
      <c r="D57" s="41"/>
      <c r="E57" s="41"/>
    </row>
    <row r="58" spans="1:5" x14ac:dyDescent="0.25">
      <c r="A58" s="41"/>
      <c r="B58" s="41"/>
      <c r="C58" s="41"/>
      <c r="D58" s="41"/>
      <c r="E58" s="41"/>
    </row>
    <row r="59" spans="1:5" x14ac:dyDescent="0.25">
      <c r="A59" s="41"/>
      <c r="B59" s="41"/>
      <c r="C59" s="41"/>
      <c r="D59" s="41"/>
      <c r="E59" s="41"/>
    </row>
    <row r="60" spans="1:5" x14ac:dyDescent="0.25">
      <c r="A60" s="41"/>
      <c r="B60" s="41"/>
      <c r="C60" s="41"/>
      <c r="D60" s="41"/>
      <c r="E60" s="41"/>
    </row>
    <row r="61" spans="1:5" x14ac:dyDescent="0.25">
      <c r="A61" s="41"/>
      <c r="B61" s="41"/>
      <c r="C61" s="41"/>
      <c r="D61" s="41"/>
      <c r="E61" s="41"/>
    </row>
    <row r="62" spans="1:5" x14ac:dyDescent="0.25">
      <c r="A62" s="41"/>
      <c r="B62" s="41"/>
      <c r="C62" s="41"/>
      <c r="D62" s="41"/>
      <c r="E62" s="41"/>
    </row>
    <row r="63" spans="1:5" x14ac:dyDescent="0.25">
      <c r="A63" s="41"/>
      <c r="B63" s="41"/>
      <c r="C63" s="41"/>
      <c r="D63" s="41"/>
      <c r="E63" s="41"/>
    </row>
    <row r="64" spans="1:5" x14ac:dyDescent="0.25">
      <c r="A64" s="41"/>
      <c r="B64" s="41"/>
      <c r="C64" s="41"/>
      <c r="D64" s="41"/>
      <c r="E64" s="41"/>
    </row>
    <row r="65" spans="1:5" x14ac:dyDescent="0.25">
      <c r="A65" s="41"/>
      <c r="B65" s="41"/>
      <c r="C65" s="41"/>
      <c r="D65" s="41"/>
      <c r="E65" s="41"/>
    </row>
    <row r="66" spans="1:5" x14ac:dyDescent="0.25">
      <c r="A66" s="41"/>
      <c r="B66" s="41"/>
      <c r="C66" s="41"/>
      <c r="D66" s="41"/>
      <c r="E66" s="41"/>
    </row>
    <row r="67" spans="1:5" x14ac:dyDescent="0.25">
      <c r="A67" s="41"/>
      <c r="B67" s="41"/>
      <c r="C67" s="41"/>
      <c r="D67" s="41"/>
      <c r="E67" s="41"/>
    </row>
    <row r="68" spans="1:5" x14ac:dyDescent="0.25">
      <c r="A68" s="41"/>
      <c r="B68" s="41"/>
      <c r="C68" s="41"/>
      <c r="D68" s="41"/>
      <c r="E68" s="41"/>
    </row>
    <row r="69" spans="1:5" x14ac:dyDescent="0.25">
      <c r="A69" s="41"/>
      <c r="B69" s="41"/>
      <c r="C69" s="41"/>
      <c r="D69" s="41"/>
      <c r="E69" s="41"/>
    </row>
    <row r="70" spans="1:5" x14ac:dyDescent="0.25">
      <c r="A70" s="41"/>
      <c r="B70" s="41"/>
      <c r="C70" s="41"/>
      <c r="D70" s="41"/>
      <c r="E70" s="41"/>
    </row>
    <row r="71" spans="1:5" x14ac:dyDescent="0.25">
      <c r="A71" s="41"/>
      <c r="B71" s="41"/>
      <c r="C71" s="41"/>
      <c r="D71" s="41"/>
      <c r="E71" s="41"/>
    </row>
    <row r="72" spans="1:5" x14ac:dyDescent="0.25">
      <c r="A72" s="41"/>
      <c r="B72" s="41"/>
      <c r="C72" s="41"/>
      <c r="D72" s="41"/>
      <c r="E72" s="41"/>
    </row>
    <row r="73" spans="1:5" x14ac:dyDescent="0.25">
      <c r="A73" s="41"/>
      <c r="B73" s="41"/>
      <c r="C73" s="41"/>
      <c r="D73" s="41"/>
      <c r="E73" s="41"/>
    </row>
    <row r="74" spans="1:5" x14ac:dyDescent="0.25">
      <c r="A74" s="41"/>
      <c r="B74" s="41"/>
      <c r="C74" s="41"/>
      <c r="D74" s="41"/>
      <c r="E74" s="41"/>
    </row>
    <row r="75" spans="1:5" x14ac:dyDescent="0.25">
      <c r="A75" s="41"/>
      <c r="B75" s="41"/>
      <c r="C75" s="41"/>
      <c r="D75" s="41"/>
      <c r="E75" s="41"/>
    </row>
    <row r="76" spans="1:5" x14ac:dyDescent="0.25">
      <c r="A76" s="41"/>
      <c r="B76" s="41"/>
      <c r="C76" s="41"/>
      <c r="D76" s="41"/>
      <c r="E76" s="41"/>
    </row>
    <row r="77" spans="1:5" x14ac:dyDescent="0.25">
      <c r="A77" s="41"/>
      <c r="B77" s="41"/>
      <c r="C77" s="41"/>
      <c r="D77" s="41"/>
      <c r="E77" s="41"/>
    </row>
    <row r="78" spans="1:5" x14ac:dyDescent="0.25">
      <c r="A78" s="41"/>
      <c r="B78" s="41"/>
      <c r="C78" s="41"/>
      <c r="D78" s="41"/>
      <c r="E78" s="41"/>
    </row>
    <row r="79" spans="1:5" x14ac:dyDescent="0.25">
      <c r="A79" s="41"/>
      <c r="B79" s="41"/>
      <c r="C79" s="41"/>
      <c r="D79" s="41"/>
      <c r="E79" s="41"/>
    </row>
    <row r="80" spans="1:5" x14ac:dyDescent="0.25">
      <c r="A80" s="41"/>
      <c r="B80" s="41"/>
      <c r="C80" s="41"/>
      <c r="D80" s="41"/>
      <c r="E80" s="41"/>
    </row>
    <row r="81" spans="1:5" x14ac:dyDescent="0.25">
      <c r="A81" s="41"/>
      <c r="B81" s="41"/>
      <c r="C81" s="41"/>
      <c r="D81" s="41"/>
      <c r="E81" s="41"/>
    </row>
    <row r="82" spans="1:5" x14ac:dyDescent="0.25">
      <c r="A82" s="41"/>
      <c r="B82" s="41"/>
      <c r="C82" s="41"/>
      <c r="D82" s="41"/>
      <c r="E82" s="41"/>
    </row>
    <row r="83" spans="1:5" x14ac:dyDescent="0.25">
      <c r="A83" s="41"/>
      <c r="B83" s="41"/>
      <c r="C83" s="41"/>
      <c r="D83" s="41"/>
      <c r="E83" s="41"/>
    </row>
    <row r="84" spans="1:5" x14ac:dyDescent="0.25">
      <c r="A84" s="41"/>
      <c r="B84" s="41"/>
      <c r="C84" s="41"/>
      <c r="D84" s="41"/>
      <c r="E84" s="41"/>
    </row>
    <row r="85" spans="1:5" x14ac:dyDescent="0.25">
      <c r="A85" s="41"/>
      <c r="B85" s="41"/>
      <c r="C85" s="41"/>
      <c r="D85" s="41"/>
      <c r="E85" s="41"/>
    </row>
    <row r="86" spans="1:5" x14ac:dyDescent="0.25">
      <c r="A86" s="41"/>
      <c r="B86" s="41"/>
      <c r="C86" s="41"/>
      <c r="D86" s="41"/>
      <c r="E86" s="41"/>
    </row>
    <row r="87" spans="1:5" x14ac:dyDescent="0.25">
      <c r="A87" s="41"/>
      <c r="B87" s="41"/>
      <c r="C87" s="41"/>
      <c r="D87" s="41"/>
      <c r="E87" s="41"/>
    </row>
    <row r="88" spans="1:5" x14ac:dyDescent="0.25">
      <c r="A88" s="41"/>
      <c r="B88" s="41"/>
      <c r="C88" s="41"/>
      <c r="D88" s="41"/>
      <c r="E88" s="41"/>
    </row>
    <row r="89" spans="1:5" x14ac:dyDescent="0.25">
      <c r="A89" s="41"/>
      <c r="B89" s="41"/>
      <c r="C89" s="41"/>
      <c r="D89" s="41"/>
      <c r="E89" s="41"/>
    </row>
    <row r="90" spans="1:5" x14ac:dyDescent="0.25">
      <c r="A90" s="41"/>
      <c r="B90" s="41"/>
      <c r="C90" s="41"/>
      <c r="D90" s="41"/>
      <c r="E90" s="41"/>
    </row>
    <row r="91" spans="1:5" x14ac:dyDescent="0.25">
      <c r="A91" s="41"/>
      <c r="B91" s="41"/>
      <c r="C91" s="41"/>
      <c r="D91" s="41"/>
      <c r="E91" s="41"/>
    </row>
    <row r="92" spans="1:5" x14ac:dyDescent="0.25">
      <c r="A92" s="41"/>
      <c r="B92" s="41"/>
      <c r="C92" s="41"/>
      <c r="D92" s="41"/>
      <c r="E92" s="41"/>
    </row>
    <row r="93" spans="1:5" x14ac:dyDescent="0.25">
      <c r="A93" s="41"/>
      <c r="B93" s="41"/>
      <c r="C93" s="41"/>
      <c r="D93" s="41"/>
      <c r="E93" s="41"/>
    </row>
    <row r="94" spans="1:5" x14ac:dyDescent="0.25">
      <c r="A94" s="41"/>
      <c r="B94" s="41"/>
      <c r="C94" s="41"/>
      <c r="D94" s="41"/>
      <c r="E94" s="41"/>
    </row>
    <row r="95" spans="1:5" x14ac:dyDescent="0.25">
      <c r="A95" s="41"/>
      <c r="B95" s="41"/>
      <c r="C95" s="41"/>
      <c r="D95" s="41"/>
      <c r="E95" s="41"/>
    </row>
    <row r="96" spans="1:5" x14ac:dyDescent="0.25">
      <c r="A96" s="41"/>
      <c r="B96" s="41"/>
      <c r="C96" s="41"/>
      <c r="D96" s="41"/>
      <c r="E96" s="41"/>
    </row>
    <row r="97" spans="1:5" x14ac:dyDescent="0.25">
      <c r="A97" s="41"/>
      <c r="B97" s="41"/>
      <c r="C97" s="41"/>
      <c r="D97" s="41"/>
      <c r="E97" s="41"/>
    </row>
    <row r="98" spans="1:5" x14ac:dyDescent="0.25">
      <c r="A98" s="41"/>
      <c r="B98" s="41"/>
      <c r="C98" s="41"/>
      <c r="D98" s="41"/>
      <c r="E98" s="41"/>
    </row>
    <row r="99" spans="1:5" x14ac:dyDescent="0.25">
      <c r="A99" s="41"/>
      <c r="B99" s="41"/>
      <c r="C99" s="41"/>
      <c r="D99" s="41"/>
      <c r="E99" s="41"/>
    </row>
    <row r="100" spans="1:5" x14ac:dyDescent="0.25">
      <c r="A100" s="41"/>
      <c r="B100" s="41"/>
      <c r="C100" s="41"/>
      <c r="D100" s="41"/>
      <c r="E100" s="41"/>
    </row>
    <row r="101" spans="1:5" x14ac:dyDescent="0.25">
      <c r="A101" s="41"/>
      <c r="B101" s="41"/>
      <c r="C101" s="41"/>
      <c r="D101" s="41"/>
      <c r="E101" s="41"/>
    </row>
    <row r="102" spans="1:5" x14ac:dyDescent="0.25">
      <c r="A102" s="41"/>
      <c r="B102" s="41"/>
      <c r="C102" s="41"/>
      <c r="D102" s="41"/>
      <c r="E102" s="41"/>
    </row>
    <row r="103" spans="1:5" x14ac:dyDescent="0.25">
      <c r="A103" s="41"/>
      <c r="B103" s="41"/>
      <c r="C103" s="41"/>
      <c r="D103" s="41"/>
      <c r="E103" s="41"/>
    </row>
    <row r="104" spans="1:5" x14ac:dyDescent="0.25">
      <c r="A104" s="41"/>
      <c r="B104" s="41"/>
      <c r="C104" s="41"/>
      <c r="D104" s="41"/>
      <c r="E104" s="41"/>
    </row>
    <row r="105" spans="1:5" x14ac:dyDescent="0.25">
      <c r="A105" s="41"/>
      <c r="B105" s="41"/>
      <c r="C105" s="41"/>
      <c r="D105" s="41"/>
      <c r="E105" s="41"/>
    </row>
    <row r="106" spans="1:5" x14ac:dyDescent="0.25">
      <c r="A106" s="41"/>
      <c r="B106" s="41"/>
      <c r="C106" s="41"/>
      <c r="D106" s="41"/>
      <c r="E106" s="41"/>
    </row>
    <row r="107" spans="1:5" x14ac:dyDescent="0.25">
      <c r="A107" s="41"/>
      <c r="B107" s="41"/>
      <c r="C107" s="41"/>
      <c r="D107" s="41"/>
      <c r="E107" s="41"/>
    </row>
    <row r="108" spans="1:5" x14ac:dyDescent="0.25">
      <c r="A108" s="41"/>
      <c r="B108" s="41"/>
      <c r="C108" s="41"/>
      <c r="D108" s="41"/>
      <c r="E108" s="41"/>
    </row>
    <row r="109" spans="1:5" x14ac:dyDescent="0.25">
      <c r="A109" s="41"/>
      <c r="B109" s="41"/>
      <c r="C109" s="41"/>
      <c r="D109" s="41"/>
      <c r="E109" s="41"/>
    </row>
    <row r="110" spans="1:5" x14ac:dyDescent="0.25">
      <c r="A110" s="41"/>
      <c r="B110" s="41"/>
      <c r="C110" s="41"/>
      <c r="D110" s="41"/>
      <c r="E110" s="41"/>
    </row>
    <row r="111" spans="1:5" x14ac:dyDescent="0.25">
      <c r="A111" s="41"/>
      <c r="B111" s="41"/>
      <c r="C111" s="41"/>
      <c r="D111" s="41"/>
      <c r="E111" s="41"/>
    </row>
    <row r="112" spans="1:5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39" spans="1:5" x14ac:dyDescent="0.25">
      <c r="A139" s="41"/>
      <c r="B139" s="41"/>
      <c r="C139" s="41"/>
      <c r="D139" s="41"/>
      <c r="E139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2" spans="1:5" x14ac:dyDescent="0.25">
      <c r="A142" s="41"/>
      <c r="B142" s="41"/>
      <c r="C142" s="41"/>
      <c r="D142" s="41"/>
      <c r="E142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5" spans="1:5" x14ac:dyDescent="0.25">
      <c r="A145" s="41"/>
      <c r="B145" s="41"/>
      <c r="C145" s="41"/>
      <c r="D145" s="41"/>
      <c r="E145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8" spans="1:5" x14ac:dyDescent="0.25">
      <c r="A148" s="41"/>
      <c r="B148" s="41"/>
      <c r="C148" s="41"/>
      <c r="D148" s="41"/>
      <c r="E148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1" spans="1:5" x14ac:dyDescent="0.25">
      <c r="A151" s="41"/>
      <c r="B151" s="41"/>
      <c r="C151" s="41"/>
      <c r="D151" s="41"/>
      <c r="E151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4" spans="1:5" x14ac:dyDescent="0.25">
      <c r="A154" s="41"/>
      <c r="B154" s="41"/>
      <c r="C154" s="41"/>
      <c r="D154" s="41"/>
      <c r="E154" s="41"/>
    </row>
    <row r="155" spans="1:5" x14ac:dyDescent="0.25">
      <c r="A155" s="41"/>
      <c r="B155" s="41"/>
      <c r="C155" s="41"/>
      <c r="D155" s="41"/>
      <c r="E155" s="41"/>
    </row>
    <row r="156" spans="1:5" x14ac:dyDescent="0.25">
      <c r="A156" s="41"/>
      <c r="B156" s="41"/>
      <c r="C156" s="41"/>
      <c r="D156" s="41"/>
      <c r="E156" s="41"/>
    </row>
    <row r="157" spans="1:5" x14ac:dyDescent="0.25">
      <c r="A157" s="41"/>
      <c r="B157" s="41"/>
      <c r="C157" s="41"/>
      <c r="D157" s="41"/>
      <c r="E157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0" spans="1:5" x14ac:dyDescent="0.25">
      <c r="A160" s="41"/>
      <c r="B160" s="41"/>
      <c r="C160" s="41"/>
      <c r="D160" s="41"/>
      <c r="E160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3" spans="1:5" x14ac:dyDescent="0.25">
      <c r="A163" s="41"/>
      <c r="B163" s="41"/>
      <c r="C163" s="41"/>
      <c r="D163" s="41"/>
      <c r="E163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6" spans="1:5" x14ac:dyDescent="0.25">
      <c r="A166" s="41"/>
      <c r="B166" s="41"/>
      <c r="C166" s="41"/>
      <c r="D166" s="41"/>
      <c r="E166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  <row r="169" spans="1:5" x14ac:dyDescent="0.25">
      <c r="A169" s="41"/>
      <c r="B169" s="41"/>
      <c r="C169" s="41"/>
      <c r="D169" s="41"/>
      <c r="E169" s="41"/>
    </row>
    <row r="170" spans="1:5" x14ac:dyDescent="0.25">
      <c r="A170" s="41"/>
      <c r="B170" s="41"/>
      <c r="C170" s="41"/>
      <c r="D170" s="41"/>
      <c r="E170" s="41"/>
    </row>
    <row r="171" spans="1:5" x14ac:dyDescent="0.25">
      <c r="A171" s="41"/>
      <c r="B171" s="41"/>
      <c r="C171" s="41"/>
      <c r="D171" s="41"/>
      <c r="E171" s="41"/>
    </row>
    <row r="172" spans="1:5" x14ac:dyDescent="0.25">
      <c r="A172" s="41"/>
      <c r="B172" s="41"/>
      <c r="C172" s="41"/>
      <c r="D172" s="41"/>
      <c r="E172" s="41"/>
    </row>
    <row r="173" spans="1:5" x14ac:dyDescent="0.25">
      <c r="A173" s="41"/>
      <c r="B173" s="41"/>
      <c r="C173" s="41"/>
      <c r="D173" s="41"/>
      <c r="E173" s="41"/>
    </row>
    <row r="174" spans="1:5" x14ac:dyDescent="0.25">
      <c r="A174" s="41"/>
      <c r="B174" s="41"/>
      <c r="C174" s="41"/>
      <c r="D174" s="41"/>
      <c r="E174" s="41"/>
    </row>
    <row r="175" spans="1:5" x14ac:dyDescent="0.25">
      <c r="A175" s="41"/>
      <c r="B175" s="41"/>
      <c r="C175" s="41"/>
      <c r="D175" s="41"/>
      <c r="E175" s="41"/>
    </row>
    <row r="176" spans="1:5" x14ac:dyDescent="0.25">
      <c r="A176" s="41"/>
      <c r="B176" s="41"/>
      <c r="C176" s="41"/>
      <c r="D176" s="41"/>
      <c r="E176" s="41"/>
    </row>
    <row r="177" spans="1:5" x14ac:dyDescent="0.25">
      <c r="A177" s="41"/>
      <c r="B177" s="41"/>
      <c r="C177" s="41"/>
      <c r="D177" s="41"/>
      <c r="E177" s="41"/>
    </row>
    <row r="178" spans="1:5" x14ac:dyDescent="0.25">
      <c r="A178" s="41"/>
      <c r="B178" s="41"/>
      <c r="C178" s="41"/>
      <c r="D178" s="41"/>
      <c r="E178" s="41"/>
    </row>
    <row r="179" spans="1:5" x14ac:dyDescent="0.25">
      <c r="A179" s="41"/>
      <c r="B179" s="41"/>
      <c r="C179" s="41"/>
      <c r="D179" s="41"/>
      <c r="E179" s="41"/>
    </row>
    <row r="180" spans="1:5" x14ac:dyDescent="0.25">
      <c r="A180" s="41"/>
      <c r="B180" s="41"/>
      <c r="C180" s="41"/>
      <c r="D180" s="41"/>
      <c r="E180" s="41"/>
    </row>
    <row r="181" spans="1:5" x14ac:dyDescent="0.25">
      <c r="A181" s="41"/>
      <c r="B181" s="41"/>
      <c r="C181" s="41"/>
      <c r="D181" s="41"/>
      <c r="E181" s="41"/>
    </row>
    <row r="182" spans="1:5" x14ac:dyDescent="0.25">
      <c r="A182" s="41"/>
      <c r="B182" s="41"/>
      <c r="C182" s="41"/>
      <c r="D182" s="41"/>
      <c r="E182" s="41"/>
    </row>
    <row r="183" spans="1:5" x14ac:dyDescent="0.25">
      <c r="A183" s="41"/>
      <c r="B183" s="41"/>
      <c r="C183" s="41"/>
      <c r="D183" s="41"/>
      <c r="E183" s="41"/>
    </row>
    <row r="184" spans="1:5" x14ac:dyDescent="0.25">
      <c r="A184" s="41"/>
      <c r="B184" s="41"/>
      <c r="C184" s="41"/>
      <c r="D184" s="41"/>
      <c r="E184" s="41"/>
    </row>
    <row r="185" spans="1:5" x14ac:dyDescent="0.25">
      <c r="A185" s="41"/>
      <c r="B185" s="41"/>
      <c r="C185" s="41"/>
      <c r="D185" s="41"/>
      <c r="E185" s="41"/>
    </row>
    <row r="186" spans="1:5" x14ac:dyDescent="0.25">
      <c r="A186" s="41"/>
      <c r="B186" s="41"/>
      <c r="C186" s="41"/>
      <c r="D186" s="41"/>
      <c r="E186" s="41"/>
    </row>
    <row r="187" spans="1:5" x14ac:dyDescent="0.25">
      <c r="A187" s="41"/>
      <c r="B187" s="41"/>
      <c r="C187" s="41"/>
      <c r="D187" s="41"/>
      <c r="E187" s="41"/>
    </row>
    <row r="188" spans="1:5" x14ac:dyDescent="0.25">
      <c r="A188" s="41"/>
      <c r="B188" s="41"/>
      <c r="C188" s="41"/>
      <c r="D188" s="41"/>
      <c r="E188" s="41"/>
    </row>
    <row r="189" spans="1:5" x14ac:dyDescent="0.25">
      <c r="A189" s="41"/>
      <c r="B189" s="41"/>
      <c r="C189" s="41"/>
      <c r="D189" s="41"/>
      <c r="E189" s="41"/>
    </row>
    <row r="190" spans="1:5" x14ac:dyDescent="0.25">
      <c r="A190" s="41"/>
      <c r="B190" s="41"/>
      <c r="C190" s="41"/>
      <c r="D190" s="41"/>
      <c r="E190" s="41"/>
    </row>
    <row r="191" spans="1:5" x14ac:dyDescent="0.25">
      <c r="A191" s="41"/>
      <c r="B191" s="41"/>
      <c r="C191" s="41"/>
      <c r="D191" s="41"/>
      <c r="E191" s="41"/>
    </row>
    <row r="192" spans="1:5" x14ac:dyDescent="0.25">
      <c r="A192" s="41"/>
      <c r="B192" s="41"/>
      <c r="C192" s="41"/>
      <c r="D192" s="41"/>
      <c r="E192" s="41"/>
    </row>
    <row r="193" spans="1:5" x14ac:dyDescent="0.25">
      <c r="A193" s="41"/>
      <c r="B193" s="41"/>
      <c r="C193" s="41"/>
      <c r="D193" s="41"/>
      <c r="E193" s="41"/>
    </row>
    <row r="194" spans="1:5" x14ac:dyDescent="0.25">
      <c r="A194" s="41"/>
      <c r="B194" s="41"/>
      <c r="C194" s="41"/>
      <c r="D194" s="41"/>
      <c r="E194" s="41"/>
    </row>
    <row r="195" spans="1:5" x14ac:dyDescent="0.25">
      <c r="A195" s="41"/>
      <c r="B195" s="41"/>
      <c r="C195" s="41"/>
      <c r="D195" s="41"/>
      <c r="E195" s="41"/>
    </row>
    <row r="196" spans="1:5" x14ac:dyDescent="0.25">
      <c r="A196" s="41"/>
      <c r="B196" s="41"/>
      <c r="C196" s="41"/>
      <c r="D196" s="41"/>
      <c r="E196" s="41"/>
    </row>
    <row r="197" spans="1:5" x14ac:dyDescent="0.25">
      <c r="A197" s="41"/>
      <c r="B197" s="41"/>
      <c r="C197" s="41"/>
      <c r="D197" s="41"/>
      <c r="E197" s="41"/>
    </row>
    <row r="198" spans="1:5" x14ac:dyDescent="0.25">
      <c r="A198" s="41"/>
      <c r="B198" s="41"/>
      <c r="C198" s="41"/>
      <c r="D198" s="41"/>
      <c r="E198" s="41"/>
    </row>
    <row r="199" spans="1:5" x14ac:dyDescent="0.25">
      <c r="A199" s="41"/>
      <c r="B199" s="41"/>
      <c r="C199" s="41"/>
      <c r="D199" s="41"/>
      <c r="E199" s="41"/>
    </row>
    <row r="200" spans="1:5" x14ac:dyDescent="0.25">
      <c r="A200" s="41"/>
      <c r="B200" s="41"/>
      <c r="C200" s="41"/>
      <c r="D200" s="41"/>
      <c r="E200" s="41"/>
    </row>
    <row r="201" spans="1:5" x14ac:dyDescent="0.25">
      <c r="A201" s="41"/>
      <c r="B201" s="41"/>
      <c r="C201" s="41"/>
      <c r="D201" s="41"/>
      <c r="E201" s="41"/>
    </row>
    <row r="202" spans="1:5" x14ac:dyDescent="0.25">
      <c r="A202" s="41"/>
      <c r="B202" s="41"/>
      <c r="C202" s="41"/>
      <c r="D202" s="41"/>
      <c r="E202" s="41"/>
    </row>
    <row r="203" spans="1:5" x14ac:dyDescent="0.25">
      <c r="A203" s="41"/>
      <c r="B203" s="41"/>
      <c r="C203" s="41"/>
      <c r="D203" s="41"/>
      <c r="E203" s="41"/>
    </row>
    <row r="204" spans="1:5" x14ac:dyDescent="0.25">
      <c r="A204" s="41"/>
      <c r="B204" s="41"/>
      <c r="C204" s="41"/>
      <c r="D204" s="41"/>
      <c r="E204" s="41"/>
    </row>
    <row r="205" spans="1:5" x14ac:dyDescent="0.25">
      <c r="A205" s="41"/>
      <c r="B205" s="41"/>
      <c r="C205" s="41"/>
      <c r="D205" s="41"/>
      <c r="E205" s="41"/>
    </row>
    <row r="206" spans="1:5" x14ac:dyDescent="0.25">
      <c r="A206" s="41"/>
      <c r="B206" s="41"/>
      <c r="C206" s="41"/>
      <c r="D206" s="41"/>
      <c r="E206" s="4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AA206"/>
  <sheetViews>
    <sheetView zoomScale="85" zoomScaleNormal="85" workbookViewId="0">
      <selection sqref="A1:XFD1048576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4" ht="15.75" thickBot="1" x14ac:dyDescent="0.3">
      <c r="A1" s="1" t="s">
        <v>0</v>
      </c>
      <c r="B1" s="71" t="s">
        <v>1</v>
      </c>
      <c r="C1" s="72"/>
      <c r="E1" s="73" t="s">
        <v>2</v>
      </c>
      <c r="F1" s="74"/>
      <c r="G1" s="74"/>
      <c r="H1" s="75"/>
      <c r="J1" s="2" t="s">
        <v>3</v>
      </c>
      <c r="L1" s="76" t="s">
        <v>4</v>
      </c>
      <c r="M1" s="77"/>
      <c r="N1" s="77"/>
      <c r="O1" s="78"/>
    </row>
    <row r="2" spans="1:24" ht="15.75" thickBot="1" x14ac:dyDescent="0.3">
      <c r="A2" s="3" t="s">
        <v>5</v>
      </c>
      <c r="B2" s="79" t="s">
        <v>6</v>
      </c>
      <c r="C2" s="80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4" ht="15.75" thickBot="1" x14ac:dyDescent="0.3">
      <c r="A3" s="10" t="s">
        <v>9</v>
      </c>
      <c r="B3" s="81" t="s">
        <v>11</v>
      </c>
      <c r="C3" s="82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4" ht="15.75" thickBot="1" x14ac:dyDescent="0.3">
      <c r="E4" s="11"/>
      <c r="F4" s="4"/>
      <c r="G4" s="3" t="s">
        <v>16</v>
      </c>
      <c r="H4" s="12">
        <v>19.269400000000001</v>
      </c>
      <c r="J4" s="6">
        <v>40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4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4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4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</row>
    <row r="8" spans="1:24" ht="15.75" thickBot="1" x14ac:dyDescent="0.3"/>
    <row r="9" spans="1:24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23"/>
      <c r="N9" s="23"/>
      <c r="O9" s="23"/>
      <c r="P9" s="23"/>
      <c r="Q9" s="23"/>
      <c r="R9" s="23"/>
      <c r="S9" s="23"/>
      <c r="T9" s="23"/>
      <c r="U9" s="23"/>
      <c r="W9">
        <f>B21*B18/3</f>
        <v>3.8325392144427899</v>
      </c>
      <c r="X9">
        <f>W9/D21</f>
        <v>6.18108455016087</v>
      </c>
    </row>
    <row r="10" spans="1:24" ht="15.75" thickBot="1" x14ac:dyDescent="0.3">
      <c r="A10" s="24">
        <v>33.419130861817251</v>
      </c>
      <c r="B10" s="25">
        <f>A10+273.15</f>
        <v>306.56913086181726</v>
      </c>
      <c r="C10" s="18">
        <f>C19</f>
        <v>5.2385297827889374E-3</v>
      </c>
      <c r="D10" s="18">
        <f>C21</f>
        <v>0.54988824403166081</v>
      </c>
      <c r="E10" s="18">
        <f>C20</f>
        <v>0.44487322618555031</v>
      </c>
      <c r="F10" s="26">
        <f>EXP(M3+N3/(B10+O3))/1000</f>
        <v>47.211518953081892</v>
      </c>
      <c r="G10" s="18">
        <f>EXP(M4+N4/(B10+O4))/1000</f>
        <v>25.896782396479622</v>
      </c>
      <c r="H10" s="20">
        <v>0</v>
      </c>
      <c r="I10" s="27">
        <f>(C10*F10*S13)/J4</f>
        <v>0.3799549813001396</v>
      </c>
      <c r="J10" s="24">
        <f>(D10*G10*T13)/J4</f>
        <v>0.62004501869393969</v>
      </c>
      <c r="K10" s="28">
        <v>0</v>
      </c>
      <c r="L10" s="24">
        <f>SUM(I10:K10)</f>
        <v>0.99999999999407929</v>
      </c>
      <c r="M10" s="23"/>
      <c r="N10" s="23"/>
      <c r="O10" s="23"/>
      <c r="P10" s="23"/>
      <c r="Q10" s="23"/>
      <c r="R10" s="23"/>
      <c r="S10" s="23"/>
      <c r="T10" s="23"/>
      <c r="U10" s="23"/>
    </row>
    <row r="11" spans="1:24" ht="15.75" thickBot="1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W11">
        <f>B18/3</f>
        <v>6.8969807605269962</v>
      </c>
    </row>
    <row r="12" spans="1:24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4" ht="15.75" thickBot="1" x14ac:dyDescent="0.3">
      <c r="A13" s="27">
        <f>H2/(J2*B10)</f>
        <v>2.1867802689485716</v>
      </c>
      <c r="B13" s="24">
        <f>H3/(J2*B10)</f>
        <v>2.9421899124230286</v>
      </c>
      <c r="C13" s="28">
        <f>H4/(J2*B10)</f>
        <v>7.5601384564073433</v>
      </c>
      <c r="D13" s="24">
        <f>H5/(J2*B10)</f>
        <v>6.3606009868120355</v>
      </c>
      <c r="E13" s="28">
        <f>H6/(J2*B10)</f>
        <v>4.1766847930672464</v>
      </c>
      <c r="F13" s="24">
        <f>H7/(J2*B10)</f>
        <v>0.22096536366719335</v>
      </c>
      <c r="G13" s="28">
        <f t="shared" ref="G13:L13" si="0">EXP(-$F$2*A13)</f>
        <v>0.41698204837124436</v>
      </c>
      <c r="H13" s="28">
        <f t="shared" si="0"/>
        <v>0.30824018916541207</v>
      </c>
      <c r="I13" s="28">
        <f t="shared" si="0"/>
        <v>4.8603711505633432E-2</v>
      </c>
      <c r="J13" s="28">
        <f t="shared" si="0"/>
        <v>7.8532683170180959E-2</v>
      </c>
      <c r="K13" s="28">
        <f t="shared" si="0"/>
        <v>0.18812024543625905</v>
      </c>
      <c r="L13" s="28">
        <f t="shared" si="0"/>
        <v>0.91540732807703196</v>
      </c>
      <c r="M13" s="28">
        <f>D10*B13*H13+E10*D13*J13</f>
        <v>0.72091517191321686</v>
      </c>
      <c r="N13" s="24">
        <f>C10*A13*G13+E10*F13*L13</f>
        <v>9.476272490567765E-2</v>
      </c>
      <c r="O13" s="28">
        <f>C10*C13*I13+D10*E13*K13</f>
        <v>0.43398252572493229</v>
      </c>
      <c r="P13" s="24">
        <f>C10+H13*D10+J13*E10</f>
        <v>0.2096732742658704</v>
      </c>
      <c r="Q13" s="28">
        <f>G13*C10+D10+L13*E10</f>
        <v>0.95931282822646557</v>
      </c>
      <c r="R13" s="24">
        <f>I13*C10+K13*D10+E10</f>
        <v>0.54857294960557623</v>
      </c>
      <c r="S13" s="28">
        <f>EXP(M13/P13-(C10*M13)/P13^2+D10*G13/Q13*(A13-N13/Q13)+E10*I13/R13*(C13-O13/R13))</f>
        <v>61.45181906659495</v>
      </c>
      <c r="T13" s="24">
        <f>EXP(N13/Q13-D10*N13/Q13^2+C10*H13/P13*(B13-M13/P13)+E10*K13/R13*(E13-O13/R13))</f>
        <v>1.7416583711779663</v>
      </c>
      <c r="U13" s="25">
        <f>EXP(O13/R13-E10*O13/R13^2+C10*J13/P13*(D13-M13/P13)+D10*L13/Q13*(F13-N13/Q13))</f>
        <v>1.245322141992536</v>
      </c>
    </row>
    <row r="14" spans="1:24" ht="15.75" thickBot="1" x14ac:dyDescent="0.3"/>
    <row r="15" spans="1:24" ht="15.75" thickBot="1" x14ac:dyDescent="0.3">
      <c r="A15" s="31"/>
      <c r="B15" s="32" t="s">
        <v>54</v>
      </c>
      <c r="C15" s="33" t="s">
        <v>55</v>
      </c>
      <c r="D15" s="34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4" ht="15.75" thickBot="1" x14ac:dyDescent="0.3">
      <c r="A16" s="37" t="s">
        <v>21</v>
      </c>
      <c r="B16" s="23">
        <v>45</v>
      </c>
      <c r="C16" s="38">
        <f>A10</f>
        <v>33.419130861817251</v>
      </c>
      <c r="D16" s="12">
        <f>A10</f>
        <v>33.419130861817251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312.35956543090862</v>
      </c>
      <c r="T16" s="24">
        <f>J22*1000*EXP(-J23*D17/J24)*(1-D17/J24)^J23</f>
        <v>29305.675046545559</v>
      </c>
    </row>
    <row r="17" spans="1:27" ht="15.75" thickBot="1" x14ac:dyDescent="0.3">
      <c r="A17" s="33" t="s">
        <v>22</v>
      </c>
      <c r="B17" s="4">
        <f>B16+273.15</f>
        <v>318.14999999999998</v>
      </c>
      <c r="C17" s="24">
        <f>C16+273.15</f>
        <v>306.56913086181726</v>
      </c>
      <c r="D17" s="25">
        <f>D16+273.15</f>
        <v>306.56913086181726</v>
      </c>
      <c r="I17" s="40" t="s">
        <v>60</v>
      </c>
      <c r="J17" s="6">
        <v>-0.31</v>
      </c>
      <c r="K17" s="41"/>
      <c r="L17" s="41"/>
      <c r="N17" s="11"/>
      <c r="O17" s="41"/>
      <c r="P17" s="41"/>
      <c r="Q17" s="4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18.981700410354684</v>
      </c>
      <c r="D18" s="12">
        <f>B18-C18</f>
        <v>1.709241871226304</v>
      </c>
      <c r="F18" s="2" t="s">
        <v>64</v>
      </c>
      <c r="I18" s="3" t="s">
        <v>65</v>
      </c>
      <c r="J18" s="6">
        <v>0.42409999999999998</v>
      </c>
      <c r="L18" s="41"/>
      <c r="N18" s="11"/>
      <c r="O18" s="41"/>
      <c r="P18" s="41"/>
      <c r="Q18" s="41"/>
      <c r="S18" s="24">
        <v>187.5</v>
      </c>
      <c r="T18" s="24">
        <f>J16*1000*EXP(-J17*D17/J19)*(1-D17/J19)</f>
        <v>21916.460779209603</v>
      </c>
    </row>
    <row r="19" spans="1:27" ht="15.75" thickBot="1" x14ac:dyDescent="0.3">
      <c r="A19" s="33" t="s">
        <v>23</v>
      </c>
      <c r="B19" s="43">
        <v>3.6193341415735866E-2</v>
      </c>
      <c r="C19" s="45">
        <v>5.2385297827889374E-3</v>
      </c>
      <c r="D19" s="25">
        <f>(B18*B19-C18*C19)/D18</f>
        <v>0.37995683713094558</v>
      </c>
      <c r="E19" s="23">
        <f>I10</f>
        <v>0.3799549813001396</v>
      </c>
      <c r="F19" s="23">
        <f>(D19-E19)^2</f>
        <v>3.4441079804044193E-12</v>
      </c>
      <c r="I19" s="10" t="s">
        <v>66</v>
      </c>
      <c r="J19" s="18">
        <v>512.6</v>
      </c>
      <c r="K19" s="41"/>
      <c r="L19" s="41" t="s">
        <v>67</v>
      </c>
      <c r="N19" s="11"/>
      <c r="O19" s="41"/>
      <c r="P19" s="41"/>
      <c r="Q19" s="4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0.44487322618555031</v>
      </c>
      <c r="D20" s="25">
        <v>0</v>
      </c>
      <c r="S20" s="24">
        <f>A36+B36*S16+C36*S16^2+D36*S16^3</f>
        <v>84.946968626241741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0.54988824403166081</v>
      </c>
      <c r="D21" s="25">
        <f>(B18*B21-C18*C21)/D18</f>
        <v>0.62004316286905403</v>
      </c>
      <c r="E21" s="23">
        <f>J10</f>
        <v>0.62004501869393969</v>
      </c>
      <c r="F21" s="23">
        <f>(D21-E21)^2</f>
        <v>3.4440860062157746E-12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23">
        <f>S24*(B17-C17)</f>
        <v>2042.4573194928855</v>
      </c>
      <c r="C22" s="6">
        <v>0</v>
      </c>
      <c r="D22" s="12">
        <f>T22</f>
        <v>24724.043261109422</v>
      </c>
      <c r="F22" s="2" t="s">
        <v>64</v>
      </c>
      <c r="I22" s="1" t="s">
        <v>59</v>
      </c>
      <c r="J22" s="38">
        <v>46.23</v>
      </c>
      <c r="S22" s="24">
        <f>D43+E43*S16+S16^2*F43</f>
        <v>299.84800414098027</v>
      </c>
      <c r="T22" s="24">
        <f>D19*T16+D21*T18</f>
        <v>24724.043261109422</v>
      </c>
    </row>
    <row r="23" spans="1:27" ht="15.75" thickBot="1" x14ac:dyDescent="0.3">
      <c r="A23" s="33" t="s">
        <v>73</v>
      </c>
      <c r="B23" s="28">
        <f>B18*B22</f>
        <v>42260.366510219916</v>
      </c>
      <c r="C23" s="24">
        <v>0</v>
      </c>
      <c r="D23" s="25">
        <f>D18*D22</f>
        <v>42259.369967898761</v>
      </c>
      <c r="E23">
        <f>(B23-D23)/B23</f>
        <v>2.3581014634912589E-5</v>
      </c>
      <c r="F23">
        <f>E23^2</f>
        <v>5.5606425121196172E-10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176.36476978733822</v>
      </c>
    </row>
    <row r="25" spans="1:27" ht="16.5" thickBot="1" x14ac:dyDescent="0.3">
      <c r="A25" s="73" t="s">
        <v>77</v>
      </c>
      <c r="B25" s="74"/>
      <c r="C25" s="74"/>
      <c r="D25" s="75"/>
      <c r="F25" s="24">
        <f>F19+F21+F23</f>
        <v>5.6295244519858191E-10</v>
      </c>
      <c r="K25" s="47" t="s">
        <v>78</v>
      </c>
    </row>
    <row r="26" spans="1:27" ht="15.75" thickBot="1" x14ac:dyDescent="0.3">
      <c r="A26" s="66" t="s">
        <v>55</v>
      </c>
      <c r="B26" s="67"/>
      <c r="C26" s="68" t="s">
        <v>79</v>
      </c>
      <c r="D26" s="67"/>
      <c r="I26" s="11"/>
      <c r="J26" s="11"/>
    </row>
    <row r="27" spans="1:27" x14ac:dyDescent="0.25">
      <c r="I27" s="39"/>
      <c r="J27" s="39"/>
    </row>
    <row r="28" spans="1:27" ht="15.75" thickBot="1" x14ac:dyDescent="0.3">
      <c r="E28" s="50"/>
      <c r="N28" s="69"/>
      <c r="O28" s="69"/>
      <c r="X28" s="70"/>
      <c r="Y28" s="70"/>
    </row>
    <row r="29" spans="1:27" ht="16.5" thickBot="1" x14ac:dyDescent="0.3">
      <c r="A29" s="53" t="s">
        <v>6</v>
      </c>
      <c r="B29" s="41"/>
      <c r="C29" s="54" t="s">
        <v>80</v>
      </c>
      <c r="D29" s="55">
        <v>32.04</v>
      </c>
      <c r="E29" s="56" t="s">
        <v>81</v>
      </c>
      <c r="K29" s="47" t="s">
        <v>82</v>
      </c>
      <c r="N29" s="41"/>
      <c r="O29" s="41"/>
      <c r="X29" s="23"/>
      <c r="Y29" s="23"/>
      <c r="Z29" s="23"/>
      <c r="AA29" s="23"/>
    </row>
    <row r="30" spans="1:27" ht="15.75" thickBot="1" x14ac:dyDescent="0.3">
      <c r="A30" s="54" t="s">
        <v>83</v>
      </c>
      <c r="B30" s="56" t="s">
        <v>84</v>
      </c>
      <c r="C30" s="41"/>
      <c r="D30" s="41"/>
      <c r="E30" s="54" t="s">
        <v>85</v>
      </c>
      <c r="F30" s="57" t="s">
        <v>86</v>
      </c>
      <c r="G30" s="58" t="s">
        <v>87</v>
      </c>
      <c r="N30" s="41"/>
      <c r="O30" s="41"/>
      <c r="X30" s="23"/>
      <c r="Y30" s="23"/>
      <c r="Z30" s="23"/>
      <c r="AA30" s="23"/>
    </row>
    <row r="31" spans="1:27" ht="15.75" thickBot="1" x14ac:dyDescent="0.3">
      <c r="A31" s="59" t="s">
        <v>88</v>
      </c>
      <c r="B31" s="60" t="s">
        <v>89</v>
      </c>
      <c r="C31" s="60" t="s">
        <v>90</v>
      </c>
      <c r="D31" s="61" t="s">
        <v>91</v>
      </c>
      <c r="E31" s="41"/>
      <c r="N31" s="41"/>
      <c r="O31" s="41"/>
      <c r="X31" s="23"/>
      <c r="Y31" s="23"/>
      <c r="Z31" s="23"/>
      <c r="AA31" s="23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41"/>
      <c r="N32" s="41"/>
      <c r="O32" s="41"/>
      <c r="X32" s="23"/>
      <c r="Y32" s="23"/>
      <c r="Z32" s="23"/>
      <c r="AA32" s="23"/>
    </row>
    <row r="33" spans="1:27" ht="15.75" thickBot="1" x14ac:dyDescent="0.3">
      <c r="A33" s="41"/>
      <c r="B33" s="62" t="s">
        <v>92</v>
      </c>
      <c r="C33" s="41"/>
      <c r="D33" s="41"/>
      <c r="E33" s="41"/>
      <c r="N33" s="41"/>
      <c r="O33" s="41"/>
      <c r="X33" s="23"/>
      <c r="Y33" s="23"/>
      <c r="Z33" s="23"/>
      <c r="AA33" s="23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41"/>
      <c r="N34" s="41"/>
      <c r="O34" s="41"/>
      <c r="X34" s="23"/>
      <c r="Y34" s="23"/>
      <c r="Z34" s="23"/>
      <c r="AA34" s="23"/>
    </row>
    <row r="35" spans="1:27" ht="15.75" thickBot="1" x14ac:dyDescent="0.3">
      <c r="A35" s="41"/>
      <c r="B35" s="62" t="s">
        <v>93</v>
      </c>
      <c r="C35" s="41"/>
      <c r="D35" s="41"/>
      <c r="E35" s="41"/>
      <c r="N35" s="41"/>
      <c r="O35" s="41"/>
      <c r="X35" s="23"/>
      <c r="Y35" s="23"/>
      <c r="Z35" s="23"/>
      <c r="AA35" s="23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41"/>
      <c r="N36" s="41"/>
      <c r="O36" s="41"/>
      <c r="X36" s="23"/>
      <c r="Y36" s="23"/>
      <c r="Z36" s="23"/>
      <c r="AA36" s="23"/>
    </row>
    <row r="37" spans="1:27" x14ac:dyDescent="0.25">
      <c r="A37" s="41"/>
      <c r="B37" s="41"/>
      <c r="C37" s="41"/>
      <c r="D37" s="41"/>
      <c r="E37" s="41"/>
      <c r="N37" s="41"/>
      <c r="O37" s="41"/>
    </row>
    <row r="38" spans="1:27" x14ac:dyDescent="0.25">
      <c r="A38" s="41"/>
      <c r="B38" s="41"/>
      <c r="C38" s="41"/>
      <c r="D38" s="41"/>
      <c r="E38" s="41"/>
      <c r="N38" s="41"/>
      <c r="O38" s="41"/>
    </row>
    <row r="39" spans="1:27" x14ac:dyDescent="0.25">
      <c r="A39" s="41" t="s">
        <v>94</v>
      </c>
      <c r="B39" s="41"/>
      <c r="C39" s="41"/>
      <c r="D39" s="41"/>
      <c r="E39" s="41"/>
      <c r="F39" t="s">
        <v>95</v>
      </c>
      <c r="G39" s="63" t="s">
        <v>86</v>
      </c>
      <c r="H39" t="s">
        <v>93</v>
      </c>
      <c r="N39" s="41"/>
      <c r="O39" s="41"/>
    </row>
    <row r="40" spans="1:27" ht="16.5" thickBot="1" x14ac:dyDescent="0.3">
      <c r="A40" s="64" t="s">
        <v>96</v>
      </c>
      <c r="B40" s="41"/>
      <c r="C40" s="41"/>
      <c r="D40" s="41"/>
      <c r="E40" s="41"/>
    </row>
    <row r="41" spans="1:27" ht="15.75" thickBot="1" x14ac:dyDescent="0.3">
      <c r="A41" s="54" t="s">
        <v>22</v>
      </c>
      <c r="B41" s="56" t="s">
        <v>97</v>
      </c>
      <c r="C41" s="41"/>
      <c r="E41" s="65" t="s">
        <v>83</v>
      </c>
      <c r="F41" s="41"/>
    </row>
    <row r="42" spans="1:27" ht="15.75" thickBot="1" x14ac:dyDescent="0.3">
      <c r="A42" s="41">
        <v>283.14999999999998</v>
      </c>
      <c r="B42" s="41">
        <v>290</v>
      </c>
      <c r="C42" s="41"/>
      <c r="D42" s="54" t="s">
        <v>88</v>
      </c>
      <c r="E42" s="55" t="s">
        <v>89</v>
      </c>
      <c r="F42" s="56" t="s">
        <v>90</v>
      </c>
    </row>
    <row r="43" spans="1:27" ht="15.75" thickBot="1" x14ac:dyDescent="0.3">
      <c r="A43" s="41">
        <v>293.14999999999998</v>
      </c>
      <c r="B43" s="41">
        <v>294</v>
      </c>
      <c r="C43" s="41"/>
      <c r="D43" s="27">
        <v>753.28</v>
      </c>
      <c r="E43" s="28">
        <v>-3.4195000000000002</v>
      </c>
      <c r="F43" s="25">
        <v>6.3E-3</v>
      </c>
    </row>
    <row r="44" spans="1:27" x14ac:dyDescent="0.25">
      <c r="A44" s="41">
        <v>303.14999999999998</v>
      </c>
      <c r="B44" s="41">
        <v>297</v>
      </c>
      <c r="C44" s="41"/>
      <c r="D44" s="41"/>
      <c r="E44" s="41"/>
    </row>
    <row r="45" spans="1:27" x14ac:dyDescent="0.25">
      <c r="A45" s="41">
        <v>313.14999999999998</v>
      </c>
      <c r="B45" s="41">
        <v>302</v>
      </c>
      <c r="C45" s="41"/>
      <c r="D45" s="41"/>
      <c r="E45" s="41"/>
    </row>
    <row r="46" spans="1:27" x14ac:dyDescent="0.25">
      <c r="A46" s="41">
        <v>323.14999999999998</v>
      </c>
      <c r="B46" s="41">
        <v>306</v>
      </c>
      <c r="C46" s="41"/>
      <c r="D46" s="41"/>
      <c r="E46" s="41"/>
    </row>
    <row r="47" spans="1:27" x14ac:dyDescent="0.25">
      <c r="A47" s="41">
        <v>333.15</v>
      </c>
      <c r="B47" s="41">
        <v>313</v>
      </c>
      <c r="C47" s="41"/>
      <c r="D47" s="41"/>
      <c r="E47" s="41"/>
    </row>
    <row r="48" spans="1:27" x14ac:dyDescent="0.25">
      <c r="A48" s="41">
        <v>343.15</v>
      </c>
      <c r="B48" s="41">
        <v>324</v>
      </c>
      <c r="C48" s="41"/>
      <c r="D48" s="41"/>
      <c r="E48" s="41"/>
    </row>
    <row r="49" spans="1:5" x14ac:dyDescent="0.25">
      <c r="A49" s="41"/>
      <c r="B49" s="41"/>
      <c r="C49" s="41"/>
      <c r="D49" s="41"/>
      <c r="E49" s="41"/>
    </row>
    <row r="50" spans="1:5" x14ac:dyDescent="0.25">
      <c r="D50" s="41"/>
      <c r="E50" s="41"/>
    </row>
    <row r="51" spans="1:5" x14ac:dyDescent="0.25">
      <c r="D51" s="41"/>
      <c r="E51" s="41"/>
    </row>
    <row r="52" spans="1:5" x14ac:dyDescent="0.25">
      <c r="D52" s="41"/>
      <c r="E52" s="41"/>
    </row>
    <row r="53" spans="1:5" x14ac:dyDescent="0.25">
      <c r="A53" s="41"/>
      <c r="B53" s="41"/>
      <c r="C53" s="41"/>
      <c r="D53" s="41"/>
      <c r="E53" s="41"/>
    </row>
    <row r="54" spans="1:5" x14ac:dyDescent="0.25">
      <c r="A54" s="41"/>
      <c r="B54" s="41"/>
      <c r="C54" s="41"/>
      <c r="D54" s="41"/>
      <c r="E54" s="41"/>
    </row>
    <row r="55" spans="1:5" x14ac:dyDescent="0.25">
      <c r="A55" s="41"/>
      <c r="B55" s="41"/>
      <c r="C55" s="41"/>
      <c r="D55" s="41"/>
      <c r="E55" s="41"/>
    </row>
    <row r="56" spans="1:5" x14ac:dyDescent="0.25">
      <c r="A56" s="41"/>
      <c r="B56" s="41"/>
      <c r="C56" s="41"/>
      <c r="D56" s="41"/>
      <c r="E56" s="41"/>
    </row>
    <row r="57" spans="1:5" x14ac:dyDescent="0.25">
      <c r="A57" s="41"/>
      <c r="B57" s="41"/>
      <c r="C57" s="41"/>
      <c r="D57" s="41"/>
      <c r="E57" s="41"/>
    </row>
    <row r="58" spans="1:5" x14ac:dyDescent="0.25">
      <c r="A58" s="41"/>
      <c r="B58" s="41"/>
      <c r="C58" s="41"/>
      <c r="D58" s="41"/>
      <c r="E58" s="41"/>
    </row>
    <row r="59" spans="1:5" x14ac:dyDescent="0.25">
      <c r="A59" s="41"/>
      <c r="B59" s="41"/>
      <c r="C59" s="41"/>
      <c r="D59" s="41"/>
      <c r="E59" s="41"/>
    </row>
    <row r="60" spans="1:5" x14ac:dyDescent="0.25">
      <c r="A60" s="41"/>
      <c r="B60" s="41"/>
      <c r="C60" s="41"/>
      <c r="D60" s="41"/>
      <c r="E60" s="41"/>
    </row>
    <row r="61" spans="1:5" x14ac:dyDescent="0.25">
      <c r="A61" s="41"/>
      <c r="B61" s="41"/>
      <c r="C61" s="41"/>
      <c r="D61" s="41"/>
      <c r="E61" s="41"/>
    </row>
    <row r="62" spans="1:5" x14ac:dyDescent="0.25">
      <c r="A62" s="41"/>
      <c r="B62" s="41"/>
      <c r="C62" s="41"/>
      <c r="D62" s="41"/>
      <c r="E62" s="41"/>
    </row>
    <row r="63" spans="1:5" x14ac:dyDescent="0.25">
      <c r="A63" s="41"/>
      <c r="B63" s="41"/>
      <c r="C63" s="41"/>
      <c r="D63" s="41"/>
      <c r="E63" s="41"/>
    </row>
    <row r="64" spans="1:5" x14ac:dyDescent="0.25">
      <c r="A64" s="41"/>
      <c r="B64" s="41"/>
      <c r="C64" s="41"/>
      <c r="D64" s="41"/>
      <c r="E64" s="41"/>
    </row>
    <row r="65" spans="1:5" x14ac:dyDescent="0.25">
      <c r="A65" s="41"/>
      <c r="B65" s="41"/>
      <c r="C65" s="41"/>
      <c r="D65" s="41"/>
      <c r="E65" s="41"/>
    </row>
    <row r="66" spans="1:5" x14ac:dyDescent="0.25">
      <c r="A66" s="41"/>
      <c r="B66" s="41"/>
      <c r="C66" s="41"/>
      <c r="D66" s="41"/>
      <c r="E66" s="41"/>
    </row>
    <row r="67" spans="1:5" x14ac:dyDescent="0.25">
      <c r="A67" s="41"/>
      <c r="B67" s="41"/>
      <c r="C67" s="41"/>
      <c r="D67" s="41"/>
      <c r="E67" s="41"/>
    </row>
    <row r="68" spans="1:5" x14ac:dyDescent="0.25">
      <c r="A68" s="41"/>
      <c r="B68" s="41"/>
      <c r="C68" s="41"/>
      <c r="D68" s="41"/>
      <c r="E68" s="41"/>
    </row>
    <row r="69" spans="1:5" x14ac:dyDescent="0.25">
      <c r="A69" s="41"/>
      <c r="B69" s="41"/>
      <c r="C69" s="41"/>
      <c r="D69" s="41"/>
      <c r="E69" s="41"/>
    </row>
    <row r="70" spans="1:5" x14ac:dyDescent="0.25">
      <c r="A70" s="41"/>
      <c r="B70" s="41"/>
      <c r="C70" s="41"/>
      <c r="D70" s="41"/>
      <c r="E70" s="41"/>
    </row>
    <row r="71" spans="1:5" x14ac:dyDescent="0.25">
      <c r="A71" s="41"/>
      <c r="B71" s="41"/>
      <c r="C71" s="41"/>
      <c r="D71" s="41"/>
      <c r="E71" s="41"/>
    </row>
    <row r="72" spans="1:5" x14ac:dyDescent="0.25">
      <c r="A72" s="41"/>
      <c r="B72" s="41"/>
      <c r="C72" s="41"/>
      <c r="D72" s="41"/>
      <c r="E72" s="41"/>
    </row>
    <row r="73" spans="1:5" x14ac:dyDescent="0.25">
      <c r="A73" s="41"/>
      <c r="B73" s="41"/>
      <c r="C73" s="41"/>
      <c r="D73" s="41"/>
      <c r="E73" s="41"/>
    </row>
    <row r="74" spans="1:5" x14ac:dyDescent="0.25">
      <c r="A74" s="41"/>
      <c r="B74" s="41"/>
      <c r="C74" s="41"/>
      <c r="D74" s="41"/>
      <c r="E74" s="41"/>
    </row>
    <row r="75" spans="1:5" x14ac:dyDescent="0.25">
      <c r="A75" s="41"/>
      <c r="B75" s="41"/>
      <c r="C75" s="41"/>
      <c r="D75" s="41"/>
      <c r="E75" s="41"/>
    </row>
    <row r="76" spans="1:5" x14ac:dyDescent="0.25">
      <c r="A76" s="41"/>
      <c r="B76" s="41"/>
      <c r="C76" s="41"/>
      <c r="D76" s="41"/>
      <c r="E76" s="41"/>
    </row>
    <row r="77" spans="1:5" x14ac:dyDescent="0.25">
      <c r="A77" s="41"/>
      <c r="B77" s="41"/>
      <c r="C77" s="41"/>
      <c r="D77" s="41"/>
      <c r="E77" s="41"/>
    </row>
    <row r="78" spans="1:5" x14ac:dyDescent="0.25">
      <c r="A78" s="41"/>
      <c r="B78" s="41"/>
      <c r="C78" s="41"/>
      <c r="D78" s="41"/>
      <c r="E78" s="41"/>
    </row>
    <row r="79" spans="1:5" x14ac:dyDescent="0.25">
      <c r="A79" s="41"/>
      <c r="B79" s="41"/>
      <c r="C79" s="41"/>
      <c r="D79" s="41"/>
      <c r="E79" s="41"/>
    </row>
    <row r="80" spans="1:5" x14ac:dyDescent="0.25">
      <c r="A80" s="41"/>
      <c r="B80" s="41"/>
      <c r="C80" s="41"/>
      <c r="D80" s="41"/>
      <c r="E80" s="41"/>
    </row>
    <row r="81" spans="1:5" x14ac:dyDescent="0.25">
      <c r="A81" s="41"/>
      <c r="B81" s="41"/>
      <c r="C81" s="41"/>
      <c r="D81" s="41"/>
      <c r="E81" s="41"/>
    </row>
    <row r="82" spans="1:5" x14ac:dyDescent="0.25">
      <c r="A82" s="41"/>
      <c r="B82" s="41"/>
      <c r="C82" s="41"/>
      <c r="D82" s="41"/>
      <c r="E82" s="41"/>
    </row>
    <row r="83" spans="1:5" x14ac:dyDescent="0.25">
      <c r="A83" s="41"/>
      <c r="B83" s="41"/>
      <c r="C83" s="41"/>
      <c r="D83" s="41"/>
      <c r="E83" s="41"/>
    </row>
    <row r="84" spans="1:5" x14ac:dyDescent="0.25">
      <c r="A84" s="41"/>
      <c r="B84" s="41"/>
      <c r="C84" s="41"/>
      <c r="D84" s="41"/>
      <c r="E84" s="41"/>
    </row>
    <row r="85" spans="1:5" x14ac:dyDescent="0.25">
      <c r="A85" s="41"/>
      <c r="B85" s="41"/>
      <c r="C85" s="41"/>
      <c r="D85" s="41"/>
      <c r="E85" s="41"/>
    </row>
    <row r="86" spans="1:5" x14ac:dyDescent="0.25">
      <c r="A86" s="41"/>
      <c r="B86" s="41"/>
      <c r="C86" s="41"/>
      <c r="D86" s="41"/>
      <c r="E86" s="41"/>
    </row>
    <row r="87" spans="1:5" x14ac:dyDescent="0.25">
      <c r="A87" s="41"/>
      <c r="B87" s="41"/>
      <c r="C87" s="41"/>
      <c r="D87" s="41"/>
      <c r="E87" s="41"/>
    </row>
    <row r="88" spans="1:5" x14ac:dyDescent="0.25">
      <c r="A88" s="41"/>
      <c r="B88" s="41"/>
      <c r="C88" s="41"/>
      <c r="D88" s="41"/>
      <c r="E88" s="41"/>
    </row>
    <row r="89" spans="1:5" x14ac:dyDescent="0.25">
      <c r="A89" s="41"/>
      <c r="B89" s="41"/>
      <c r="C89" s="41"/>
      <c r="D89" s="41"/>
      <c r="E89" s="41"/>
    </row>
    <row r="90" spans="1:5" x14ac:dyDescent="0.25">
      <c r="A90" s="41"/>
      <c r="B90" s="41"/>
      <c r="C90" s="41"/>
      <c r="D90" s="41"/>
      <c r="E90" s="41"/>
    </row>
    <row r="91" spans="1:5" x14ac:dyDescent="0.25">
      <c r="A91" s="41"/>
      <c r="B91" s="41"/>
      <c r="C91" s="41"/>
      <c r="D91" s="41"/>
      <c r="E91" s="41"/>
    </row>
    <row r="92" spans="1:5" x14ac:dyDescent="0.25">
      <c r="A92" s="41"/>
      <c r="B92" s="41"/>
      <c r="C92" s="41"/>
      <c r="D92" s="41"/>
      <c r="E92" s="41"/>
    </row>
    <row r="93" spans="1:5" x14ac:dyDescent="0.25">
      <c r="A93" s="41"/>
      <c r="B93" s="41"/>
      <c r="C93" s="41"/>
      <c r="D93" s="41"/>
      <c r="E93" s="41"/>
    </row>
    <row r="94" spans="1:5" x14ac:dyDescent="0.25">
      <c r="A94" s="41"/>
      <c r="B94" s="41"/>
      <c r="C94" s="41"/>
      <c r="D94" s="41"/>
      <c r="E94" s="41"/>
    </row>
    <row r="95" spans="1:5" x14ac:dyDescent="0.25">
      <c r="A95" s="41"/>
      <c r="B95" s="41"/>
      <c r="C95" s="41"/>
      <c r="D95" s="41"/>
      <c r="E95" s="41"/>
    </row>
    <row r="96" spans="1:5" x14ac:dyDescent="0.25">
      <c r="A96" s="41"/>
      <c r="B96" s="41"/>
      <c r="C96" s="41"/>
      <c r="D96" s="41"/>
      <c r="E96" s="41"/>
    </row>
    <row r="97" spans="1:5" x14ac:dyDescent="0.25">
      <c r="A97" s="41"/>
      <c r="B97" s="41"/>
      <c r="C97" s="41"/>
      <c r="D97" s="41"/>
      <c r="E97" s="41"/>
    </row>
    <row r="98" spans="1:5" x14ac:dyDescent="0.25">
      <c r="A98" s="41"/>
      <c r="B98" s="41"/>
      <c r="C98" s="41"/>
      <c r="D98" s="41"/>
      <c r="E98" s="41"/>
    </row>
    <row r="99" spans="1:5" x14ac:dyDescent="0.25">
      <c r="A99" s="41"/>
      <c r="B99" s="41"/>
      <c r="C99" s="41"/>
      <c r="D99" s="41"/>
      <c r="E99" s="41"/>
    </row>
    <row r="100" spans="1:5" x14ac:dyDescent="0.25">
      <c r="A100" s="41"/>
      <c r="B100" s="41"/>
      <c r="C100" s="41"/>
      <c r="D100" s="41"/>
      <c r="E100" s="41"/>
    </row>
    <row r="101" spans="1:5" x14ac:dyDescent="0.25">
      <c r="A101" s="41"/>
      <c r="B101" s="41"/>
      <c r="C101" s="41"/>
      <c r="D101" s="41"/>
      <c r="E101" s="41"/>
    </row>
    <row r="102" spans="1:5" x14ac:dyDescent="0.25">
      <c r="A102" s="41"/>
      <c r="B102" s="41"/>
      <c r="C102" s="41"/>
      <c r="D102" s="41"/>
      <c r="E102" s="41"/>
    </row>
    <row r="103" spans="1:5" x14ac:dyDescent="0.25">
      <c r="A103" s="41"/>
      <c r="B103" s="41"/>
      <c r="C103" s="41"/>
      <c r="D103" s="41"/>
      <c r="E103" s="41"/>
    </row>
    <row r="104" spans="1:5" x14ac:dyDescent="0.25">
      <c r="A104" s="41"/>
      <c r="B104" s="41"/>
      <c r="C104" s="41"/>
      <c r="D104" s="41"/>
      <c r="E104" s="41"/>
    </row>
    <row r="105" spans="1:5" x14ac:dyDescent="0.25">
      <c r="A105" s="41"/>
      <c r="B105" s="41"/>
      <c r="C105" s="41"/>
      <c r="D105" s="41"/>
      <c r="E105" s="41"/>
    </row>
    <row r="106" spans="1:5" x14ac:dyDescent="0.25">
      <c r="A106" s="41"/>
      <c r="B106" s="41"/>
      <c r="C106" s="41"/>
      <c r="D106" s="41"/>
      <c r="E106" s="41"/>
    </row>
    <row r="107" spans="1:5" x14ac:dyDescent="0.25">
      <c r="A107" s="41"/>
      <c r="B107" s="41"/>
      <c r="C107" s="41"/>
      <c r="D107" s="41"/>
      <c r="E107" s="41"/>
    </row>
    <row r="108" spans="1:5" x14ac:dyDescent="0.25">
      <c r="A108" s="41"/>
      <c r="B108" s="41"/>
      <c r="C108" s="41"/>
      <c r="D108" s="41"/>
      <c r="E108" s="41"/>
    </row>
    <row r="109" spans="1:5" x14ac:dyDescent="0.25">
      <c r="A109" s="41"/>
      <c r="B109" s="41"/>
      <c r="C109" s="41"/>
      <c r="D109" s="41"/>
      <c r="E109" s="41"/>
    </row>
    <row r="110" spans="1:5" x14ac:dyDescent="0.25">
      <c r="A110" s="41"/>
      <c r="B110" s="41"/>
      <c r="C110" s="41"/>
      <c r="D110" s="41"/>
      <c r="E110" s="41"/>
    </row>
    <row r="111" spans="1:5" x14ac:dyDescent="0.25">
      <c r="A111" s="41"/>
      <c r="B111" s="41"/>
      <c r="C111" s="41"/>
      <c r="D111" s="41"/>
      <c r="E111" s="41"/>
    </row>
    <row r="112" spans="1:5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39" spans="1:5" x14ac:dyDescent="0.25">
      <c r="A139" s="41"/>
      <c r="B139" s="41"/>
      <c r="C139" s="41"/>
      <c r="D139" s="41"/>
      <c r="E139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2" spans="1:5" x14ac:dyDescent="0.25">
      <c r="A142" s="41"/>
      <c r="B142" s="41"/>
      <c r="C142" s="41"/>
      <c r="D142" s="41"/>
      <c r="E142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5" spans="1:5" x14ac:dyDescent="0.25">
      <c r="A145" s="41"/>
      <c r="B145" s="41"/>
      <c r="C145" s="41"/>
      <c r="D145" s="41"/>
      <c r="E145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8" spans="1:5" x14ac:dyDescent="0.25">
      <c r="A148" s="41"/>
      <c r="B148" s="41"/>
      <c r="C148" s="41"/>
      <c r="D148" s="41"/>
      <c r="E148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1" spans="1:5" x14ac:dyDescent="0.25">
      <c r="A151" s="41"/>
      <c r="B151" s="41"/>
      <c r="C151" s="41"/>
      <c r="D151" s="41"/>
      <c r="E151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4" spans="1:5" x14ac:dyDescent="0.25">
      <c r="A154" s="41"/>
      <c r="B154" s="41"/>
      <c r="C154" s="41"/>
      <c r="D154" s="41"/>
      <c r="E154" s="41"/>
    </row>
    <row r="155" spans="1:5" x14ac:dyDescent="0.25">
      <c r="A155" s="41"/>
      <c r="B155" s="41"/>
      <c r="C155" s="41"/>
      <c r="D155" s="41"/>
      <c r="E155" s="41"/>
    </row>
    <row r="156" spans="1:5" x14ac:dyDescent="0.25">
      <c r="A156" s="41"/>
      <c r="B156" s="41"/>
      <c r="C156" s="41"/>
      <c r="D156" s="41"/>
      <c r="E156" s="41"/>
    </row>
    <row r="157" spans="1:5" x14ac:dyDescent="0.25">
      <c r="A157" s="41"/>
      <c r="B157" s="41"/>
      <c r="C157" s="41"/>
      <c r="D157" s="41"/>
      <c r="E157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0" spans="1:5" x14ac:dyDescent="0.25">
      <c r="A160" s="41"/>
      <c r="B160" s="41"/>
      <c r="C160" s="41"/>
      <c r="D160" s="41"/>
      <c r="E160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3" spans="1:5" x14ac:dyDescent="0.25">
      <c r="A163" s="41"/>
      <c r="B163" s="41"/>
      <c r="C163" s="41"/>
      <c r="D163" s="41"/>
      <c r="E163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6" spans="1:5" x14ac:dyDescent="0.25">
      <c r="A166" s="41"/>
      <c r="B166" s="41"/>
      <c r="C166" s="41"/>
      <c r="D166" s="41"/>
      <c r="E166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  <row r="169" spans="1:5" x14ac:dyDescent="0.25">
      <c r="A169" s="41"/>
      <c r="B169" s="41"/>
      <c r="C169" s="41"/>
      <c r="D169" s="41"/>
      <c r="E169" s="41"/>
    </row>
    <row r="170" spans="1:5" x14ac:dyDescent="0.25">
      <c r="A170" s="41"/>
      <c r="B170" s="41"/>
      <c r="C170" s="41"/>
      <c r="D170" s="41"/>
      <c r="E170" s="41"/>
    </row>
    <row r="171" spans="1:5" x14ac:dyDescent="0.25">
      <c r="A171" s="41"/>
      <c r="B171" s="41"/>
      <c r="C171" s="41"/>
      <c r="D171" s="41"/>
      <c r="E171" s="41"/>
    </row>
    <row r="172" spans="1:5" x14ac:dyDescent="0.25">
      <c r="A172" s="41"/>
      <c r="B172" s="41"/>
      <c r="C172" s="41"/>
      <c r="D172" s="41"/>
      <c r="E172" s="41"/>
    </row>
    <row r="173" spans="1:5" x14ac:dyDescent="0.25">
      <c r="A173" s="41"/>
      <c r="B173" s="41"/>
      <c r="C173" s="41"/>
      <c r="D173" s="41"/>
      <c r="E173" s="41"/>
    </row>
    <row r="174" spans="1:5" x14ac:dyDescent="0.25">
      <c r="A174" s="41"/>
      <c r="B174" s="41"/>
      <c r="C174" s="41"/>
      <c r="D174" s="41"/>
      <c r="E174" s="41"/>
    </row>
    <row r="175" spans="1:5" x14ac:dyDescent="0.25">
      <c r="A175" s="41"/>
      <c r="B175" s="41"/>
      <c r="C175" s="41"/>
      <c r="D175" s="41"/>
      <c r="E175" s="41"/>
    </row>
    <row r="176" spans="1:5" x14ac:dyDescent="0.25">
      <c r="A176" s="41"/>
      <c r="B176" s="41"/>
      <c r="C176" s="41"/>
      <c r="D176" s="41"/>
      <c r="E176" s="41"/>
    </row>
    <row r="177" spans="1:5" x14ac:dyDescent="0.25">
      <c r="A177" s="41"/>
      <c r="B177" s="41"/>
      <c r="C177" s="41"/>
      <c r="D177" s="41"/>
      <c r="E177" s="41"/>
    </row>
    <row r="178" spans="1:5" x14ac:dyDescent="0.25">
      <c r="A178" s="41"/>
      <c r="B178" s="41"/>
      <c r="C178" s="41"/>
      <c r="D178" s="41"/>
      <c r="E178" s="41"/>
    </row>
    <row r="179" spans="1:5" x14ac:dyDescent="0.25">
      <c r="A179" s="41"/>
      <c r="B179" s="41"/>
      <c r="C179" s="41"/>
      <c r="D179" s="41"/>
      <c r="E179" s="41"/>
    </row>
    <row r="180" spans="1:5" x14ac:dyDescent="0.25">
      <c r="A180" s="41"/>
      <c r="B180" s="41"/>
      <c r="C180" s="41"/>
      <c r="D180" s="41"/>
      <c r="E180" s="41"/>
    </row>
    <row r="181" spans="1:5" x14ac:dyDescent="0.25">
      <c r="A181" s="41"/>
      <c r="B181" s="41"/>
      <c r="C181" s="41"/>
      <c r="D181" s="41"/>
      <c r="E181" s="41"/>
    </row>
    <row r="182" spans="1:5" x14ac:dyDescent="0.25">
      <c r="A182" s="41"/>
      <c r="B182" s="41"/>
      <c r="C182" s="41"/>
      <c r="D182" s="41"/>
      <c r="E182" s="41"/>
    </row>
    <row r="183" spans="1:5" x14ac:dyDescent="0.25">
      <c r="A183" s="41"/>
      <c r="B183" s="41"/>
      <c r="C183" s="41"/>
      <c r="D183" s="41"/>
      <c r="E183" s="41"/>
    </row>
    <row r="184" spans="1:5" x14ac:dyDescent="0.25">
      <c r="A184" s="41"/>
      <c r="B184" s="41"/>
      <c r="C184" s="41"/>
      <c r="D184" s="41"/>
      <c r="E184" s="41"/>
    </row>
    <row r="185" spans="1:5" x14ac:dyDescent="0.25">
      <c r="A185" s="41"/>
      <c r="B185" s="41"/>
      <c r="C185" s="41"/>
      <c r="D185" s="41"/>
      <c r="E185" s="41"/>
    </row>
    <row r="186" spans="1:5" x14ac:dyDescent="0.25">
      <c r="A186" s="41"/>
      <c r="B186" s="41"/>
      <c r="C186" s="41"/>
      <c r="D186" s="41"/>
      <c r="E186" s="41"/>
    </row>
    <row r="187" spans="1:5" x14ac:dyDescent="0.25">
      <c r="A187" s="41"/>
      <c r="B187" s="41"/>
      <c r="C187" s="41"/>
      <c r="D187" s="41"/>
      <c r="E187" s="41"/>
    </row>
    <row r="188" spans="1:5" x14ac:dyDescent="0.25">
      <c r="A188" s="41"/>
      <c r="B188" s="41"/>
      <c r="C188" s="41"/>
      <c r="D188" s="41"/>
      <c r="E188" s="41"/>
    </row>
    <row r="189" spans="1:5" x14ac:dyDescent="0.25">
      <c r="A189" s="41"/>
      <c r="B189" s="41"/>
      <c r="C189" s="41"/>
      <c r="D189" s="41"/>
      <c r="E189" s="41"/>
    </row>
    <row r="190" spans="1:5" x14ac:dyDescent="0.25">
      <c r="A190" s="41"/>
      <c r="B190" s="41"/>
      <c r="C190" s="41"/>
      <c r="D190" s="41"/>
      <c r="E190" s="41"/>
    </row>
    <row r="191" spans="1:5" x14ac:dyDescent="0.25">
      <c r="A191" s="41"/>
      <c r="B191" s="41"/>
      <c r="C191" s="41"/>
      <c r="D191" s="41"/>
      <c r="E191" s="41"/>
    </row>
    <row r="192" spans="1:5" x14ac:dyDescent="0.25">
      <c r="A192" s="41"/>
      <c r="B192" s="41"/>
      <c r="C192" s="41"/>
      <c r="D192" s="41"/>
      <c r="E192" s="41"/>
    </row>
    <row r="193" spans="1:5" x14ac:dyDescent="0.25">
      <c r="A193" s="41"/>
      <c r="B193" s="41"/>
      <c r="C193" s="41"/>
      <c r="D193" s="41"/>
      <c r="E193" s="41"/>
    </row>
    <row r="194" spans="1:5" x14ac:dyDescent="0.25">
      <c r="A194" s="41"/>
      <c r="B194" s="41"/>
      <c r="C194" s="41"/>
      <c r="D194" s="41"/>
      <c r="E194" s="41"/>
    </row>
    <row r="195" spans="1:5" x14ac:dyDescent="0.25">
      <c r="A195" s="41"/>
      <c r="B195" s="41"/>
      <c r="C195" s="41"/>
      <c r="D195" s="41"/>
      <c r="E195" s="41"/>
    </row>
    <row r="196" spans="1:5" x14ac:dyDescent="0.25">
      <c r="A196" s="41"/>
      <c r="B196" s="41"/>
      <c r="C196" s="41"/>
      <c r="D196" s="41"/>
      <c r="E196" s="41"/>
    </row>
    <row r="197" spans="1:5" x14ac:dyDescent="0.25">
      <c r="A197" s="41"/>
      <c r="B197" s="41"/>
      <c r="C197" s="41"/>
      <c r="D197" s="41"/>
      <c r="E197" s="41"/>
    </row>
    <row r="198" spans="1:5" x14ac:dyDescent="0.25">
      <c r="A198" s="41"/>
      <c r="B198" s="41"/>
      <c r="C198" s="41"/>
      <c r="D198" s="41"/>
      <c r="E198" s="41"/>
    </row>
    <row r="199" spans="1:5" x14ac:dyDescent="0.25">
      <c r="A199" s="41"/>
      <c r="B199" s="41"/>
      <c r="C199" s="41"/>
      <c r="D199" s="41"/>
      <c r="E199" s="41"/>
    </row>
    <row r="200" spans="1:5" x14ac:dyDescent="0.25">
      <c r="A200" s="41"/>
      <c r="B200" s="41"/>
      <c r="C200" s="41"/>
      <c r="D200" s="41"/>
      <c r="E200" s="41"/>
    </row>
    <row r="201" spans="1:5" x14ac:dyDescent="0.25">
      <c r="A201" s="41"/>
      <c r="B201" s="41"/>
      <c r="C201" s="41"/>
      <c r="D201" s="41"/>
      <c r="E201" s="41"/>
    </row>
    <row r="202" spans="1:5" x14ac:dyDescent="0.25">
      <c r="A202" s="41"/>
      <c r="B202" s="41"/>
      <c r="C202" s="41"/>
      <c r="D202" s="41"/>
      <c r="E202" s="41"/>
    </row>
    <row r="203" spans="1:5" x14ac:dyDescent="0.25">
      <c r="A203" s="41"/>
      <c r="B203" s="41"/>
      <c r="C203" s="41"/>
      <c r="D203" s="41"/>
      <c r="E203" s="41"/>
    </row>
    <row r="204" spans="1:5" x14ac:dyDescent="0.25">
      <c r="A204" s="41"/>
      <c r="B204" s="41"/>
      <c r="C204" s="41"/>
      <c r="D204" s="41"/>
      <c r="E204" s="41"/>
    </row>
    <row r="205" spans="1:5" x14ac:dyDescent="0.25">
      <c r="A205" s="41"/>
      <c r="B205" s="41"/>
      <c r="C205" s="41"/>
      <c r="D205" s="41"/>
      <c r="E205" s="41"/>
    </row>
    <row r="206" spans="1:5" x14ac:dyDescent="0.25">
      <c r="A206" s="41"/>
      <c r="B206" s="41"/>
      <c r="C206" s="41"/>
      <c r="D206" s="41"/>
      <c r="E206" s="4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/>
  <dimension ref="A1:AA206"/>
  <sheetViews>
    <sheetView zoomScale="85" zoomScaleNormal="85" workbookViewId="0">
      <selection activeCell="J4" sqref="J4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4" ht="15.75" thickBot="1" x14ac:dyDescent="0.3">
      <c r="A1" s="1" t="s">
        <v>0</v>
      </c>
      <c r="B1" s="71" t="s">
        <v>1</v>
      </c>
      <c r="C1" s="72"/>
      <c r="E1" s="73" t="s">
        <v>2</v>
      </c>
      <c r="F1" s="74"/>
      <c r="G1" s="74"/>
      <c r="H1" s="75"/>
      <c r="J1" s="2" t="s">
        <v>3</v>
      </c>
      <c r="L1" s="76" t="s">
        <v>4</v>
      </c>
      <c r="M1" s="77"/>
      <c r="N1" s="77"/>
      <c r="O1" s="78"/>
    </row>
    <row r="2" spans="1:24" ht="15.75" thickBot="1" x14ac:dyDescent="0.3">
      <c r="A2" s="3" t="s">
        <v>5</v>
      </c>
      <c r="B2" s="79" t="s">
        <v>6</v>
      </c>
      <c r="C2" s="80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4" ht="15.75" thickBot="1" x14ac:dyDescent="0.3">
      <c r="A3" s="10" t="s">
        <v>9</v>
      </c>
      <c r="B3" s="81" t="s">
        <v>11</v>
      </c>
      <c r="C3" s="82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4" ht="15.75" thickBot="1" x14ac:dyDescent="0.3">
      <c r="E4" s="11"/>
      <c r="F4" s="4"/>
      <c r="G4" s="3" t="s">
        <v>16</v>
      </c>
      <c r="H4" s="12">
        <v>19.269400000000001</v>
      </c>
      <c r="J4" s="6">
        <v>50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4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4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4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</row>
    <row r="8" spans="1:24" ht="15.75" thickBot="1" x14ac:dyDescent="0.3"/>
    <row r="9" spans="1:24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23"/>
      <c r="N9" s="23"/>
      <c r="O9" s="23"/>
      <c r="P9" s="23"/>
      <c r="Q9" s="23"/>
      <c r="R9" s="23"/>
      <c r="S9" s="23"/>
      <c r="T9" s="23"/>
      <c r="U9" s="23"/>
      <c r="W9">
        <f>B21*B18/3</f>
        <v>3.8325392144427899</v>
      </c>
      <c r="X9">
        <f>W9/D21</f>
        <v>6.8823671637038411</v>
      </c>
    </row>
    <row r="10" spans="1:24" ht="15.75" thickBot="1" x14ac:dyDescent="0.3">
      <c r="A10" s="24">
        <v>35.753962404324589</v>
      </c>
      <c r="B10" s="25">
        <f>A10+273.15</f>
        <v>308.90396240432455</v>
      </c>
      <c r="C10" s="18">
        <f>C19</f>
        <v>7.7335622088209079E-3</v>
      </c>
      <c r="D10" s="18">
        <f>C21</f>
        <v>0.5556010996265105</v>
      </c>
      <c r="E10" s="18">
        <f>C20</f>
        <v>0.43666533816466857</v>
      </c>
      <c r="F10" s="26">
        <f>EXP(M3+N3/(B10+O3))/1000</f>
        <v>51.634646832683892</v>
      </c>
      <c r="G10" s="18">
        <f>EXP(M4+N4/(B10+O4))/1000</f>
        <v>28.996981395591213</v>
      </c>
      <c r="H10" s="20">
        <v>0</v>
      </c>
      <c r="I10" s="27">
        <f>(C10*F10*S13)/J4</f>
        <v>0.44313538135895569</v>
      </c>
      <c r="J10" s="24">
        <f>(D10*G10*T13)/J4</f>
        <v>0.55686461863856462</v>
      </c>
      <c r="K10" s="28">
        <v>0</v>
      </c>
      <c r="L10" s="24">
        <f>SUM(I10:K10)</f>
        <v>0.99999999999752032</v>
      </c>
      <c r="M10" s="23"/>
      <c r="N10" s="23"/>
      <c r="O10" s="23"/>
      <c r="P10" s="23"/>
      <c r="Q10" s="23"/>
      <c r="R10" s="23"/>
      <c r="S10" s="23"/>
      <c r="T10" s="23"/>
      <c r="U10" s="23"/>
    </row>
    <row r="11" spans="1:24" ht="15.75" thickBot="1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W11">
        <f>B18/3</f>
        <v>6.8969807605269962</v>
      </c>
    </row>
    <row r="12" spans="1:24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4" ht="15.75" thickBot="1" x14ac:dyDescent="0.3">
      <c r="A13" s="27">
        <f>H2/(J2*B10)</f>
        <v>2.1702516251955632</v>
      </c>
      <c r="B13" s="24">
        <f>H3/(J2*B10)</f>
        <v>2.9199515514835834</v>
      </c>
      <c r="C13" s="28">
        <f>H4/(J2*B10)</f>
        <v>7.5029956162949913</v>
      </c>
      <c r="D13" s="24">
        <f>H5/(J2*B10)</f>
        <v>6.3125247766601129</v>
      </c>
      <c r="E13" s="28">
        <f>H6/(J2*B10)</f>
        <v>4.1451155787325993</v>
      </c>
      <c r="F13" s="24">
        <f>H7/(J2*B10)</f>
        <v>0.21929521059801232</v>
      </c>
      <c r="G13" s="28">
        <f t="shared" ref="G13:L13" si="0">EXP(-$F$2*A13)</f>
        <v>0.41974804100876462</v>
      </c>
      <c r="H13" s="28">
        <f t="shared" si="0"/>
        <v>0.31099432312295744</v>
      </c>
      <c r="I13" s="28">
        <f t="shared" si="0"/>
        <v>4.9727446914284143E-2</v>
      </c>
      <c r="J13" s="28">
        <f t="shared" si="0"/>
        <v>8.0057519359610183E-2</v>
      </c>
      <c r="K13" s="28">
        <f t="shared" si="0"/>
        <v>0.1905108307895842</v>
      </c>
      <c r="L13" s="28">
        <f t="shared" si="0"/>
        <v>0.9160190805417463</v>
      </c>
      <c r="M13" s="28">
        <f>D10*B13*H13+E10*D13*J13</f>
        <v>0.72521030048126522</v>
      </c>
      <c r="N13" s="24">
        <f>C10*A13*G13+E10*F13*L13</f>
        <v>9.4761677643984202E-2</v>
      </c>
      <c r="O13" s="28">
        <f>C10*C13*I13+D10*E13*K13</f>
        <v>0.44163773532341138</v>
      </c>
      <c r="P13" s="24">
        <f>C10+H13*D10+J13*E10</f>
        <v>0.21548069387732705</v>
      </c>
      <c r="Q13" s="28">
        <f>G13*C10+D10+L13*E10</f>
        <v>0.95884102878373301</v>
      </c>
      <c r="R13" s="24">
        <f>I13*C10+K13*D10+E10</f>
        <v>0.54289793554631904</v>
      </c>
      <c r="S13" s="28">
        <f>EXP(M13/P13-(C10*M13)/P13^2+D10*G13/Q13*(A13-N13/Q13)+E10*I13/R13*(C13-O13/R13))</f>
        <v>55.486283557677361</v>
      </c>
      <c r="T13" s="24">
        <f>EXP(N13/Q13-D10*N13/Q13^2+C10*H13/P13*(B13-M13/P13)+E10*K13/R13*(E13-O13/R13))</f>
        <v>1.7282387675376778</v>
      </c>
      <c r="U13" s="25">
        <f>EXP(O13/R13-E10*O13/R13^2+C10*J13/P13*(D13-M13/P13)+D10*L13/Q13*(F13-N13/Q13))</f>
        <v>1.2606013495197088</v>
      </c>
    </row>
    <row r="14" spans="1:24" ht="15.75" thickBot="1" x14ac:dyDescent="0.3"/>
    <row r="15" spans="1:24" ht="15.75" thickBot="1" x14ac:dyDescent="0.3">
      <c r="A15" s="31"/>
      <c r="B15" s="32" t="s">
        <v>54</v>
      </c>
      <c r="C15" s="33" t="s">
        <v>55</v>
      </c>
      <c r="D15" s="34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4" ht="15.75" thickBot="1" x14ac:dyDescent="0.3">
      <c r="A16" s="37" t="s">
        <v>21</v>
      </c>
      <c r="B16" s="23">
        <v>45</v>
      </c>
      <c r="C16" s="38">
        <f>A10</f>
        <v>35.753962404324589</v>
      </c>
      <c r="D16" s="12">
        <f>A10</f>
        <v>35.753962404324589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313.52698120216223</v>
      </c>
      <c r="T16" s="24">
        <f>J22*1000*EXP(-J23*D17/J24)*(1-D17/J24)^J23</f>
        <v>29161.673224976021</v>
      </c>
    </row>
    <row r="17" spans="1:27" ht="15.75" thickBot="1" x14ac:dyDescent="0.3">
      <c r="A17" s="33" t="s">
        <v>22</v>
      </c>
      <c r="B17" s="4">
        <f>B16+273.15</f>
        <v>318.14999999999998</v>
      </c>
      <c r="C17" s="24">
        <f>C16+273.15</f>
        <v>308.90396240432455</v>
      </c>
      <c r="D17" s="25">
        <f>D16+273.15</f>
        <v>308.90396240432455</v>
      </c>
      <c r="I17" s="40" t="s">
        <v>60</v>
      </c>
      <c r="J17" s="6">
        <v>-0.31</v>
      </c>
      <c r="K17" s="41"/>
      <c r="L17" s="41"/>
      <c r="N17" s="11"/>
      <c r="O17" s="41"/>
      <c r="P17" s="41"/>
      <c r="Q17" s="4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19.338494636498101</v>
      </c>
      <c r="D18" s="12">
        <f>B18-C18</f>
        <v>1.3524476450828864</v>
      </c>
      <c r="F18" s="2" t="s">
        <v>64</v>
      </c>
      <c r="I18" s="3" t="s">
        <v>65</v>
      </c>
      <c r="J18" s="6">
        <v>0.42409999999999998</v>
      </c>
      <c r="L18" s="41"/>
      <c r="N18" s="11"/>
      <c r="O18" s="41"/>
      <c r="P18" s="41"/>
      <c r="Q18" s="41"/>
      <c r="S18" s="24">
        <v>187.5</v>
      </c>
      <c r="T18" s="24">
        <f>J16*1000*EXP(-J17*D17/J19)*(1-D17/J19)</f>
        <v>21698.711137829614</v>
      </c>
    </row>
    <row r="19" spans="1:27" ht="15.75" thickBot="1" x14ac:dyDescent="0.3">
      <c r="A19" s="33" t="s">
        <v>23</v>
      </c>
      <c r="B19" s="43">
        <v>3.6193341415735866E-2</v>
      </c>
      <c r="C19" s="45">
        <v>7.7335622088209079E-3</v>
      </c>
      <c r="D19" s="25">
        <f>(B18*B19-C18*C19)/D18</f>
        <v>0.44313647858620653</v>
      </c>
      <c r="E19" s="23">
        <f>I10</f>
        <v>0.44313538135895569</v>
      </c>
      <c r="F19" s="23">
        <f>(D19-E19)^2</f>
        <v>1.2039076399743183E-12</v>
      </c>
      <c r="I19" s="10" t="s">
        <v>66</v>
      </c>
      <c r="J19" s="18">
        <v>512.6</v>
      </c>
      <c r="K19" s="41"/>
      <c r="L19" s="41" t="s">
        <v>67</v>
      </c>
      <c r="N19" s="11"/>
      <c r="O19" s="41"/>
      <c r="P19" s="41"/>
      <c r="Q19" s="4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0.43666533816466857</v>
      </c>
      <c r="D20" s="25">
        <v>0</v>
      </c>
      <c r="S20" s="24">
        <f>A36+B36*S16+C36*S16^2+D36*S16^3</f>
        <v>85.246351705409751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0.5556010996265105</v>
      </c>
      <c r="D21" s="25">
        <f>(B18*B21-C18*C21)/D18</f>
        <v>0.55686352141379447</v>
      </c>
      <c r="E21" s="23">
        <f>J10</f>
        <v>0.55686461863856462</v>
      </c>
      <c r="F21" s="23">
        <f>(D21-E21)^2</f>
        <v>1.203902196235974E-12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23">
        <f>S24*(B17-C17)</f>
        <v>1634.5200171048216</v>
      </c>
      <c r="C22" s="6">
        <v>0</v>
      </c>
      <c r="D22" s="12">
        <f>T22</f>
        <v>25005.82187695006</v>
      </c>
      <c r="F22" s="2" t="s">
        <v>64</v>
      </c>
      <c r="I22" s="1" t="s">
        <v>59</v>
      </c>
      <c r="J22" s="38">
        <v>46.23</v>
      </c>
      <c r="S22" s="24">
        <f>D43+E43*S16+S16^2*F43</f>
        <v>300.45924581217446</v>
      </c>
      <c r="T22" s="24">
        <f>D19*T16+D21*T18</f>
        <v>25005.82187695006</v>
      </c>
    </row>
    <row r="23" spans="1:27" ht="15.75" thickBot="1" x14ac:dyDescent="0.3">
      <c r="A23" s="33" t="s">
        <v>73</v>
      </c>
      <c r="B23" s="28">
        <f>B18*B22</f>
        <v>33819.759332004629</v>
      </c>
      <c r="C23" s="24">
        <v>0</v>
      </c>
      <c r="D23" s="25">
        <f>D18*D22</f>
        <v>33819.064910843234</v>
      </c>
      <c r="E23">
        <f>(B23-D23)/B23</f>
        <v>2.0533001272374175E-5</v>
      </c>
      <c r="F23">
        <f>E23^2</f>
        <v>4.216041412513195E-10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176.78059386967249</v>
      </c>
    </row>
    <row r="25" spans="1:27" ht="16.5" thickBot="1" x14ac:dyDescent="0.3">
      <c r="A25" s="73" t="s">
        <v>77</v>
      </c>
      <c r="B25" s="74"/>
      <c r="C25" s="74"/>
      <c r="D25" s="75"/>
      <c r="F25" s="24">
        <f>F19+F21+F23</f>
        <v>4.2401195108752978E-10</v>
      </c>
      <c r="K25" s="47" t="s">
        <v>78</v>
      </c>
    </row>
    <row r="26" spans="1:27" ht="15.75" thickBot="1" x14ac:dyDescent="0.3">
      <c r="A26" s="66" t="s">
        <v>55</v>
      </c>
      <c r="B26" s="67"/>
      <c r="C26" s="68" t="s">
        <v>79</v>
      </c>
      <c r="D26" s="67"/>
      <c r="I26" s="11"/>
      <c r="J26" s="11"/>
    </row>
    <row r="27" spans="1:27" x14ac:dyDescent="0.25">
      <c r="I27" s="39"/>
      <c r="J27" s="39"/>
    </row>
    <row r="28" spans="1:27" ht="15.75" thickBot="1" x14ac:dyDescent="0.3">
      <c r="E28" s="50"/>
      <c r="N28" s="69"/>
      <c r="O28" s="69"/>
      <c r="X28" s="70"/>
      <c r="Y28" s="70"/>
    </row>
    <row r="29" spans="1:27" ht="16.5" thickBot="1" x14ac:dyDescent="0.3">
      <c r="A29" s="53" t="s">
        <v>6</v>
      </c>
      <c r="B29" s="41"/>
      <c r="C29" s="54" t="s">
        <v>80</v>
      </c>
      <c r="D29" s="55">
        <v>32.04</v>
      </c>
      <c r="E29" s="56" t="s">
        <v>81</v>
      </c>
      <c r="K29" s="47" t="s">
        <v>82</v>
      </c>
      <c r="N29" s="41"/>
      <c r="O29" s="41"/>
      <c r="X29" s="23"/>
      <c r="Y29" s="23"/>
      <c r="Z29" s="23"/>
      <c r="AA29" s="23"/>
    </row>
    <row r="30" spans="1:27" ht="15.75" thickBot="1" x14ac:dyDescent="0.3">
      <c r="A30" s="54" t="s">
        <v>83</v>
      </c>
      <c r="B30" s="56" t="s">
        <v>84</v>
      </c>
      <c r="C30" s="41"/>
      <c r="D30" s="41"/>
      <c r="E30" s="54" t="s">
        <v>85</v>
      </c>
      <c r="F30" s="57" t="s">
        <v>86</v>
      </c>
      <c r="G30" s="58" t="s">
        <v>87</v>
      </c>
      <c r="N30" s="41"/>
      <c r="O30" s="41"/>
      <c r="X30" s="23"/>
      <c r="Y30" s="23"/>
      <c r="Z30" s="23"/>
      <c r="AA30" s="23"/>
    </row>
    <row r="31" spans="1:27" ht="15.75" thickBot="1" x14ac:dyDescent="0.3">
      <c r="A31" s="59" t="s">
        <v>88</v>
      </c>
      <c r="B31" s="60" t="s">
        <v>89</v>
      </c>
      <c r="C31" s="60" t="s">
        <v>90</v>
      </c>
      <c r="D31" s="61" t="s">
        <v>91</v>
      </c>
      <c r="E31" s="41"/>
      <c r="N31" s="41"/>
      <c r="O31" s="41"/>
      <c r="X31" s="23"/>
      <c r="Y31" s="23"/>
      <c r="Z31" s="23"/>
      <c r="AA31" s="23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41"/>
      <c r="N32" s="41"/>
      <c r="O32" s="41"/>
      <c r="X32" s="23"/>
      <c r="Y32" s="23"/>
      <c r="Z32" s="23"/>
      <c r="AA32" s="23"/>
    </row>
    <row r="33" spans="1:27" ht="15.75" thickBot="1" x14ac:dyDescent="0.3">
      <c r="A33" s="41"/>
      <c r="B33" s="62" t="s">
        <v>92</v>
      </c>
      <c r="C33" s="41"/>
      <c r="D33" s="41"/>
      <c r="E33" s="41"/>
      <c r="N33" s="41"/>
      <c r="O33" s="41"/>
      <c r="X33" s="23"/>
      <c r="Y33" s="23"/>
      <c r="Z33" s="23"/>
      <c r="AA33" s="23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41"/>
      <c r="N34" s="41"/>
      <c r="O34" s="41"/>
      <c r="X34" s="23"/>
      <c r="Y34" s="23"/>
      <c r="Z34" s="23"/>
      <c r="AA34" s="23"/>
    </row>
    <row r="35" spans="1:27" ht="15.75" thickBot="1" x14ac:dyDescent="0.3">
      <c r="A35" s="41"/>
      <c r="B35" s="62" t="s">
        <v>93</v>
      </c>
      <c r="C35" s="41"/>
      <c r="D35" s="41"/>
      <c r="E35" s="41"/>
      <c r="N35" s="41"/>
      <c r="O35" s="41"/>
      <c r="X35" s="23"/>
      <c r="Y35" s="23"/>
      <c r="Z35" s="23"/>
      <c r="AA35" s="23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41"/>
      <c r="N36" s="41"/>
      <c r="O36" s="41"/>
      <c r="X36" s="23"/>
      <c r="Y36" s="23"/>
      <c r="Z36" s="23"/>
      <c r="AA36" s="23"/>
    </row>
    <row r="37" spans="1:27" x14ac:dyDescent="0.25">
      <c r="A37" s="41"/>
      <c r="B37" s="41"/>
      <c r="C37" s="41"/>
      <c r="D37" s="41"/>
      <c r="E37" s="41"/>
      <c r="N37" s="41"/>
      <c r="O37" s="41"/>
    </row>
    <row r="38" spans="1:27" x14ac:dyDescent="0.25">
      <c r="A38" s="41"/>
      <c r="B38" s="41"/>
      <c r="C38" s="41"/>
      <c r="D38" s="41"/>
      <c r="E38" s="41"/>
      <c r="N38" s="41"/>
      <c r="O38" s="41"/>
    </row>
    <row r="39" spans="1:27" x14ac:dyDescent="0.25">
      <c r="A39" s="41" t="s">
        <v>94</v>
      </c>
      <c r="B39" s="41"/>
      <c r="C39" s="41"/>
      <c r="D39" s="41"/>
      <c r="E39" s="41"/>
      <c r="F39" t="s">
        <v>95</v>
      </c>
      <c r="G39" s="63" t="s">
        <v>86</v>
      </c>
      <c r="H39" t="s">
        <v>93</v>
      </c>
      <c r="N39" s="41"/>
      <c r="O39" s="41"/>
    </row>
    <row r="40" spans="1:27" ht="16.5" thickBot="1" x14ac:dyDescent="0.3">
      <c r="A40" s="64" t="s">
        <v>96</v>
      </c>
      <c r="B40" s="41"/>
      <c r="C40" s="41"/>
      <c r="D40" s="41"/>
      <c r="E40" s="41"/>
    </row>
    <row r="41" spans="1:27" ht="15.75" thickBot="1" x14ac:dyDescent="0.3">
      <c r="A41" s="54" t="s">
        <v>22</v>
      </c>
      <c r="B41" s="56" t="s">
        <v>97</v>
      </c>
      <c r="C41" s="41"/>
      <c r="E41" s="65" t="s">
        <v>83</v>
      </c>
      <c r="F41" s="41"/>
    </row>
    <row r="42" spans="1:27" ht="15.75" thickBot="1" x14ac:dyDescent="0.3">
      <c r="A42" s="41">
        <v>283.14999999999998</v>
      </c>
      <c r="B42" s="41">
        <v>290</v>
      </c>
      <c r="C42" s="41"/>
      <c r="D42" s="54" t="s">
        <v>88</v>
      </c>
      <c r="E42" s="55" t="s">
        <v>89</v>
      </c>
      <c r="F42" s="56" t="s">
        <v>90</v>
      </c>
    </row>
    <row r="43" spans="1:27" ht="15.75" thickBot="1" x14ac:dyDescent="0.3">
      <c r="A43" s="41">
        <v>293.14999999999998</v>
      </c>
      <c r="B43" s="41">
        <v>294</v>
      </c>
      <c r="C43" s="41"/>
      <c r="D43" s="27">
        <v>753.28</v>
      </c>
      <c r="E43" s="28">
        <v>-3.4195000000000002</v>
      </c>
      <c r="F43" s="25">
        <v>6.3E-3</v>
      </c>
    </row>
    <row r="44" spans="1:27" x14ac:dyDescent="0.25">
      <c r="A44" s="41">
        <v>303.14999999999998</v>
      </c>
      <c r="B44" s="41">
        <v>297</v>
      </c>
      <c r="C44" s="41"/>
      <c r="D44" s="41"/>
      <c r="E44" s="41"/>
    </row>
    <row r="45" spans="1:27" x14ac:dyDescent="0.25">
      <c r="A45" s="41">
        <v>313.14999999999998</v>
      </c>
      <c r="B45" s="41">
        <v>302</v>
      </c>
      <c r="C45" s="41"/>
      <c r="D45" s="41"/>
      <c r="E45" s="41"/>
    </row>
    <row r="46" spans="1:27" x14ac:dyDescent="0.25">
      <c r="A46" s="41">
        <v>323.14999999999998</v>
      </c>
      <c r="B46" s="41">
        <v>306</v>
      </c>
      <c r="C46" s="41"/>
      <c r="D46" s="41"/>
      <c r="E46" s="41"/>
    </row>
    <row r="47" spans="1:27" x14ac:dyDescent="0.25">
      <c r="A47" s="41">
        <v>333.15</v>
      </c>
      <c r="B47" s="41">
        <v>313</v>
      </c>
      <c r="C47" s="41"/>
      <c r="D47" s="41"/>
      <c r="E47" s="41"/>
    </row>
    <row r="48" spans="1:27" x14ac:dyDescent="0.25">
      <c r="A48" s="41">
        <v>343.15</v>
      </c>
      <c r="B48" s="41">
        <v>324</v>
      </c>
      <c r="C48" s="41"/>
      <c r="D48" s="41"/>
      <c r="E48" s="41"/>
    </row>
    <row r="49" spans="1:5" x14ac:dyDescent="0.25">
      <c r="A49" s="41"/>
      <c r="B49" s="41"/>
      <c r="C49" s="41"/>
      <c r="D49" s="41"/>
      <c r="E49" s="41"/>
    </row>
    <row r="50" spans="1:5" x14ac:dyDescent="0.25">
      <c r="D50" s="41"/>
      <c r="E50" s="41"/>
    </row>
    <row r="51" spans="1:5" x14ac:dyDescent="0.25">
      <c r="D51" s="41"/>
      <c r="E51" s="41"/>
    </row>
    <row r="52" spans="1:5" x14ac:dyDescent="0.25">
      <c r="D52" s="41"/>
      <c r="E52" s="41"/>
    </row>
    <row r="53" spans="1:5" x14ac:dyDescent="0.25">
      <c r="A53" s="41"/>
      <c r="B53" s="41"/>
      <c r="C53" s="41"/>
      <c r="D53" s="41"/>
      <c r="E53" s="41"/>
    </row>
    <row r="54" spans="1:5" x14ac:dyDescent="0.25">
      <c r="A54" s="41"/>
      <c r="B54" s="41"/>
      <c r="C54" s="41"/>
      <c r="D54" s="41"/>
      <c r="E54" s="41"/>
    </row>
    <row r="55" spans="1:5" x14ac:dyDescent="0.25">
      <c r="A55" s="41"/>
      <c r="B55" s="41"/>
      <c r="C55" s="41"/>
      <c r="D55" s="41"/>
      <c r="E55" s="41"/>
    </row>
    <row r="56" spans="1:5" x14ac:dyDescent="0.25">
      <c r="A56" s="41"/>
      <c r="B56" s="41"/>
      <c r="C56" s="41"/>
      <c r="D56" s="41"/>
      <c r="E56" s="41"/>
    </row>
    <row r="57" spans="1:5" x14ac:dyDescent="0.25">
      <c r="A57" s="41"/>
      <c r="B57" s="41"/>
      <c r="C57" s="41"/>
      <c r="D57" s="41"/>
      <c r="E57" s="41"/>
    </row>
    <row r="58" spans="1:5" x14ac:dyDescent="0.25">
      <c r="A58" s="41"/>
      <c r="B58" s="41"/>
      <c r="C58" s="41"/>
      <c r="D58" s="41"/>
      <c r="E58" s="41"/>
    </row>
    <row r="59" spans="1:5" x14ac:dyDescent="0.25">
      <c r="A59" s="41"/>
      <c r="B59" s="41"/>
      <c r="C59" s="41"/>
      <c r="D59" s="41"/>
      <c r="E59" s="41"/>
    </row>
    <row r="60" spans="1:5" x14ac:dyDescent="0.25">
      <c r="A60" s="41"/>
      <c r="B60" s="41"/>
      <c r="C60" s="41"/>
      <c r="D60" s="41"/>
      <c r="E60" s="41"/>
    </row>
    <row r="61" spans="1:5" x14ac:dyDescent="0.25">
      <c r="A61" s="41"/>
      <c r="B61" s="41"/>
      <c r="C61" s="41"/>
      <c r="D61" s="41"/>
      <c r="E61" s="41"/>
    </row>
    <row r="62" spans="1:5" x14ac:dyDescent="0.25">
      <c r="A62" s="41"/>
      <c r="B62" s="41"/>
      <c r="C62" s="41"/>
      <c r="D62" s="41"/>
      <c r="E62" s="41"/>
    </row>
    <row r="63" spans="1:5" x14ac:dyDescent="0.25">
      <c r="A63" s="41"/>
      <c r="B63" s="41"/>
      <c r="C63" s="41"/>
      <c r="D63" s="41"/>
      <c r="E63" s="41"/>
    </row>
    <row r="64" spans="1:5" x14ac:dyDescent="0.25">
      <c r="A64" s="41"/>
      <c r="B64" s="41"/>
      <c r="C64" s="41"/>
      <c r="D64" s="41"/>
      <c r="E64" s="41"/>
    </row>
    <row r="65" spans="1:5" x14ac:dyDescent="0.25">
      <c r="A65" s="41"/>
      <c r="B65" s="41"/>
      <c r="C65" s="41"/>
      <c r="D65" s="41"/>
      <c r="E65" s="41"/>
    </row>
    <row r="66" spans="1:5" x14ac:dyDescent="0.25">
      <c r="A66" s="41"/>
      <c r="B66" s="41"/>
      <c r="C66" s="41"/>
      <c r="D66" s="41"/>
      <c r="E66" s="41"/>
    </row>
    <row r="67" spans="1:5" x14ac:dyDescent="0.25">
      <c r="A67" s="41"/>
      <c r="B67" s="41"/>
      <c r="C67" s="41"/>
      <c r="D67" s="41"/>
      <c r="E67" s="41"/>
    </row>
    <row r="68" spans="1:5" x14ac:dyDescent="0.25">
      <c r="A68" s="41"/>
      <c r="B68" s="41"/>
      <c r="C68" s="41"/>
      <c r="D68" s="41"/>
      <c r="E68" s="41"/>
    </row>
    <row r="69" spans="1:5" x14ac:dyDescent="0.25">
      <c r="A69" s="41"/>
      <c r="B69" s="41"/>
      <c r="C69" s="41"/>
      <c r="D69" s="41"/>
      <c r="E69" s="41"/>
    </row>
    <row r="70" spans="1:5" x14ac:dyDescent="0.25">
      <c r="A70" s="41"/>
      <c r="B70" s="41"/>
      <c r="C70" s="41"/>
      <c r="D70" s="41"/>
      <c r="E70" s="41"/>
    </row>
    <row r="71" spans="1:5" x14ac:dyDescent="0.25">
      <c r="A71" s="41"/>
      <c r="B71" s="41"/>
      <c r="C71" s="41"/>
      <c r="D71" s="41"/>
      <c r="E71" s="41"/>
    </row>
    <row r="72" spans="1:5" x14ac:dyDescent="0.25">
      <c r="A72" s="41"/>
      <c r="B72" s="41"/>
      <c r="C72" s="41"/>
      <c r="D72" s="41"/>
      <c r="E72" s="41"/>
    </row>
    <row r="73" spans="1:5" x14ac:dyDescent="0.25">
      <c r="A73" s="41"/>
      <c r="B73" s="41"/>
      <c r="C73" s="41"/>
      <c r="D73" s="41"/>
      <c r="E73" s="41"/>
    </row>
    <row r="74" spans="1:5" x14ac:dyDescent="0.25">
      <c r="A74" s="41"/>
      <c r="B74" s="41"/>
      <c r="C74" s="41"/>
      <c r="D74" s="41"/>
      <c r="E74" s="41"/>
    </row>
    <row r="75" spans="1:5" x14ac:dyDescent="0.25">
      <c r="A75" s="41"/>
      <c r="B75" s="41"/>
      <c r="C75" s="41"/>
      <c r="D75" s="41"/>
      <c r="E75" s="41"/>
    </row>
    <row r="76" spans="1:5" x14ac:dyDescent="0.25">
      <c r="A76" s="41"/>
      <c r="B76" s="41"/>
      <c r="C76" s="41"/>
      <c r="D76" s="41"/>
      <c r="E76" s="41"/>
    </row>
    <row r="77" spans="1:5" x14ac:dyDescent="0.25">
      <c r="A77" s="41"/>
      <c r="B77" s="41"/>
      <c r="C77" s="41"/>
      <c r="D77" s="41"/>
      <c r="E77" s="41"/>
    </row>
    <row r="78" spans="1:5" x14ac:dyDescent="0.25">
      <c r="A78" s="41"/>
      <c r="B78" s="41"/>
      <c r="C78" s="41"/>
      <c r="D78" s="41"/>
      <c r="E78" s="41"/>
    </row>
    <row r="79" spans="1:5" x14ac:dyDescent="0.25">
      <c r="A79" s="41"/>
      <c r="B79" s="41"/>
      <c r="C79" s="41"/>
      <c r="D79" s="41"/>
      <c r="E79" s="41"/>
    </row>
    <row r="80" spans="1:5" x14ac:dyDescent="0.25">
      <c r="A80" s="41"/>
      <c r="B80" s="41"/>
      <c r="C80" s="41"/>
      <c r="D80" s="41"/>
      <c r="E80" s="41"/>
    </row>
    <row r="81" spans="1:5" x14ac:dyDescent="0.25">
      <c r="A81" s="41"/>
      <c r="B81" s="41"/>
      <c r="C81" s="41"/>
      <c r="D81" s="41"/>
      <c r="E81" s="41"/>
    </row>
    <row r="82" spans="1:5" x14ac:dyDescent="0.25">
      <c r="A82" s="41"/>
      <c r="B82" s="41"/>
      <c r="C82" s="41"/>
      <c r="D82" s="41"/>
      <c r="E82" s="41"/>
    </row>
    <row r="83" spans="1:5" x14ac:dyDescent="0.25">
      <c r="A83" s="41"/>
      <c r="B83" s="41"/>
      <c r="C83" s="41"/>
      <c r="D83" s="41"/>
      <c r="E83" s="41"/>
    </row>
    <row r="84" spans="1:5" x14ac:dyDescent="0.25">
      <c r="A84" s="41"/>
      <c r="B84" s="41"/>
      <c r="C84" s="41"/>
      <c r="D84" s="41"/>
      <c r="E84" s="41"/>
    </row>
    <row r="85" spans="1:5" x14ac:dyDescent="0.25">
      <c r="A85" s="41"/>
      <c r="B85" s="41"/>
      <c r="C85" s="41"/>
      <c r="D85" s="41"/>
      <c r="E85" s="41"/>
    </row>
    <row r="86" spans="1:5" x14ac:dyDescent="0.25">
      <c r="A86" s="41"/>
      <c r="B86" s="41"/>
      <c r="C86" s="41"/>
      <c r="D86" s="41"/>
      <c r="E86" s="41"/>
    </row>
    <row r="87" spans="1:5" x14ac:dyDescent="0.25">
      <c r="A87" s="41"/>
      <c r="B87" s="41"/>
      <c r="C87" s="41"/>
      <c r="D87" s="41"/>
      <c r="E87" s="41"/>
    </row>
    <row r="88" spans="1:5" x14ac:dyDescent="0.25">
      <c r="A88" s="41"/>
      <c r="B88" s="41"/>
      <c r="C88" s="41"/>
      <c r="D88" s="41"/>
      <c r="E88" s="41"/>
    </row>
    <row r="89" spans="1:5" x14ac:dyDescent="0.25">
      <c r="A89" s="41"/>
      <c r="B89" s="41"/>
      <c r="C89" s="41"/>
      <c r="D89" s="41"/>
      <c r="E89" s="41"/>
    </row>
    <row r="90" spans="1:5" x14ac:dyDescent="0.25">
      <c r="A90" s="41"/>
      <c r="B90" s="41"/>
      <c r="C90" s="41"/>
      <c r="D90" s="41"/>
      <c r="E90" s="41"/>
    </row>
    <row r="91" spans="1:5" x14ac:dyDescent="0.25">
      <c r="A91" s="41"/>
      <c r="B91" s="41"/>
      <c r="C91" s="41"/>
      <c r="D91" s="41"/>
      <c r="E91" s="41"/>
    </row>
    <row r="92" spans="1:5" x14ac:dyDescent="0.25">
      <c r="A92" s="41"/>
      <c r="B92" s="41"/>
      <c r="C92" s="41"/>
      <c r="D92" s="41"/>
      <c r="E92" s="41"/>
    </row>
    <row r="93" spans="1:5" x14ac:dyDescent="0.25">
      <c r="A93" s="41"/>
      <c r="B93" s="41"/>
      <c r="C93" s="41"/>
      <c r="D93" s="41"/>
      <c r="E93" s="41"/>
    </row>
    <row r="94" spans="1:5" x14ac:dyDescent="0.25">
      <c r="A94" s="41"/>
      <c r="B94" s="41"/>
      <c r="C94" s="41"/>
      <c r="D94" s="41"/>
      <c r="E94" s="41"/>
    </row>
    <row r="95" spans="1:5" x14ac:dyDescent="0.25">
      <c r="A95" s="41"/>
      <c r="B95" s="41"/>
      <c r="C95" s="41"/>
      <c r="D95" s="41"/>
      <c r="E95" s="41"/>
    </row>
    <row r="96" spans="1:5" x14ac:dyDescent="0.25">
      <c r="A96" s="41"/>
      <c r="B96" s="41"/>
      <c r="C96" s="41"/>
      <c r="D96" s="41"/>
      <c r="E96" s="41"/>
    </row>
    <row r="97" spans="1:5" x14ac:dyDescent="0.25">
      <c r="A97" s="41"/>
      <c r="B97" s="41"/>
      <c r="C97" s="41"/>
      <c r="D97" s="41"/>
      <c r="E97" s="41"/>
    </row>
    <row r="98" spans="1:5" x14ac:dyDescent="0.25">
      <c r="A98" s="41"/>
      <c r="B98" s="41"/>
      <c r="C98" s="41"/>
      <c r="D98" s="41"/>
      <c r="E98" s="41"/>
    </row>
    <row r="99" spans="1:5" x14ac:dyDescent="0.25">
      <c r="A99" s="41"/>
      <c r="B99" s="41"/>
      <c r="C99" s="41"/>
      <c r="D99" s="41"/>
      <c r="E99" s="41"/>
    </row>
    <row r="100" spans="1:5" x14ac:dyDescent="0.25">
      <c r="A100" s="41"/>
      <c r="B100" s="41"/>
      <c r="C100" s="41"/>
      <c r="D100" s="41"/>
      <c r="E100" s="41"/>
    </row>
    <row r="101" spans="1:5" x14ac:dyDescent="0.25">
      <c r="A101" s="41"/>
      <c r="B101" s="41"/>
      <c r="C101" s="41"/>
      <c r="D101" s="41"/>
      <c r="E101" s="41"/>
    </row>
    <row r="102" spans="1:5" x14ac:dyDescent="0.25">
      <c r="A102" s="41"/>
      <c r="B102" s="41"/>
      <c r="C102" s="41"/>
      <c r="D102" s="41"/>
      <c r="E102" s="41"/>
    </row>
    <row r="103" spans="1:5" x14ac:dyDescent="0.25">
      <c r="A103" s="41"/>
      <c r="B103" s="41"/>
      <c r="C103" s="41"/>
      <c r="D103" s="41"/>
      <c r="E103" s="41"/>
    </row>
    <row r="104" spans="1:5" x14ac:dyDescent="0.25">
      <c r="A104" s="41"/>
      <c r="B104" s="41"/>
      <c r="C104" s="41"/>
      <c r="D104" s="41"/>
      <c r="E104" s="41"/>
    </row>
    <row r="105" spans="1:5" x14ac:dyDescent="0.25">
      <c r="A105" s="41"/>
      <c r="B105" s="41"/>
      <c r="C105" s="41"/>
      <c r="D105" s="41"/>
      <c r="E105" s="41"/>
    </row>
    <row r="106" spans="1:5" x14ac:dyDescent="0.25">
      <c r="A106" s="41"/>
      <c r="B106" s="41"/>
      <c r="C106" s="41"/>
      <c r="D106" s="41"/>
      <c r="E106" s="41"/>
    </row>
    <row r="107" spans="1:5" x14ac:dyDescent="0.25">
      <c r="A107" s="41"/>
      <c r="B107" s="41"/>
      <c r="C107" s="41"/>
      <c r="D107" s="41"/>
      <c r="E107" s="41"/>
    </row>
    <row r="108" spans="1:5" x14ac:dyDescent="0.25">
      <c r="A108" s="41"/>
      <c r="B108" s="41"/>
      <c r="C108" s="41"/>
      <c r="D108" s="41"/>
      <c r="E108" s="41"/>
    </row>
    <row r="109" spans="1:5" x14ac:dyDescent="0.25">
      <c r="A109" s="41"/>
      <c r="B109" s="41"/>
      <c r="C109" s="41"/>
      <c r="D109" s="41"/>
      <c r="E109" s="41"/>
    </row>
    <row r="110" spans="1:5" x14ac:dyDescent="0.25">
      <c r="A110" s="41"/>
      <c r="B110" s="41"/>
      <c r="C110" s="41"/>
      <c r="D110" s="41"/>
      <c r="E110" s="41"/>
    </row>
    <row r="111" spans="1:5" x14ac:dyDescent="0.25">
      <c r="A111" s="41"/>
      <c r="B111" s="41"/>
      <c r="C111" s="41"/>
      <c r="D111" s="41"/>
      <c r="E111" s="41"/>
    </row>
    <row r="112" spans="1:5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39" spans="1:5" x14ac:dyDescent="0.25">
      <c r="A139" s="41"/>
      <c r="B139" s="41"/>
      <c r="C139" s="41"/>
      <c r="D139" s="41"/>
      <c r="E139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2" spans="1:5" x14ac:dyDescent="0.25">
      <c r="A142" s="41"/>
      <c r="B142" s="41"/>
      <c r="C142" s="41"/>
      <c r="D142" s="41"/>
      <c r="E142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5" spans="1:5" x14ac:dyDescent="0.25">
      <c r="A145" s="41"/>
      <c r="B145" s="41"/>
      <c r="C145" s="41"/>
      <c r="D145" s="41"/>
      <c r="E145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8" spans="1:5" x14ac:dyDescent="0.25">
      <c r="A148" s="41"/>
      <c r="B148" s="41"/>
      <c r="C148" s="41"/>
      <c r="D148" s="41"/>
      <c r="E148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1" spans="1:5" x14ac:dyDescent="0.25">
      <c r="A151" s="41"/>
      <c r="B151" s="41"/>
      <c r="C151" s="41"/>
      <c r="D151" s="41"/>
      <c r="E151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4" spans="1:5" x14ac:dyDescent="0.25">
      <c r="A154" s="41"/>
      <c r="B154" s="41"/>
      <c r="C154" s="41"/>
      <c r="D154" s="41"/>
      <c r="E154" s="41"/>
    </row>
    <row r="155" spans="1:5" x14ac:dyDescent="0.25">
      <c r="A155" s="41"/>
      <c r="B155" s="41"/>
      <c r="C155" s="41"/>
      <c r="D155" s="41"/>
      <c r="E155" s="41"/>
    </row>
    <row r="156" spans="1:5" x14ac:dyDescent="0.25">
      <c r="A156" s="41"/>
      <c r="B156" s="41"/>
      <c r="C156" s="41"/>
      <c r="D156" s="41"/>
      <c r="E156" s="41"/>
    </row>
    <row r="157" spans="1:5" x14ac:dyDescent="0.25">
      <c r="A157" s="41"/>
      <c r="B157" s="41"/>
      <c r="C157" s="41"/>
      <c r="D157" s="41"/>
      <c r="E157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0" spans="1:5" x14ac:dyDescent="0.25">
      <c r="A160" s="41"/>
      <c r="B160" s="41"/>
      <c r="C160" s="41"/>
      <c r="D160" s="41"/>
      <c r="E160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3" spans="1:5" x14ac:dyDescent="0.25">
      <c r="A163" s="41"/>
      <c r="B163" s="41"/>
      <c r="C163" s="41"/>
      <c r="D163" s="41"/>
      <c r="E163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6" spans="1:5" x14ac:dyDescent="0.25">
      <c r="A166" s="41"/>
      <c r="B166" s="41"/>
      <c r="C166" s="41"/>
      <c r="D166" s="41"/>
      <c r="E166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  <row r="169" spans="1:5" x14ac:dyDescent="0.25">
      <c r="A169" s="41"/>
      <c r="B169" s="41"/>
      <c r="C169" s="41"/>
      <c r="D169" s="41"/>
      <c r="E169" s="41"/>
    </row>
    <row r="170" spans="1:5" x14ac:dyDescent="0.25">
      <c r="A170" s="41"/>
      <c r="B170" s="41"/>
      <c r="C170" s="41"/>
      <c r="D170" s="41"/>
      <c r="E170" s="41"/>
    </row>
    <row r="171" spans="1:5" x14ac:dyDescent="0.25">
      <c r="A171" s="41"/>
      <c r="B171" s="41"/>
      <c r="C171" s="41"/>
      <c r="D171" s="41"/>
      <c r="E171" s="41"/>
    </row>
    <row r="172" spans="1:5" x14ac:dyDescent="0.25">
      <c r="A172" s="41"/>
      <c r="B172" s="41"/>
      <c r="C172" s="41"/>
      <c r="D172" s="41"/>
      <c r="E172" s="41"/>
    </row>
    <row r="173" spans="1:5" x14ac:dyDescent="0.25">
      <c r="A173" s="41"/>
      <c r="B173" s="41"/>
      <c r="C173" s="41"/>
      <c r="D173" s="41"/>
      <c r="E173" s="41"/>
    </row>
    <row r="174" spans="1:5" x14ac:dyDescent="0.25">
      <c r="A174" s="41"/>
      <c r="B174" s="41"/>
      <c r="C174" s="41"/>
      <c r="D174" s="41"/>
      <c r="E174" s="41"/>
    </row>
    <row r="175" spans="1:5" x14ac:dyDescent="0.25">
      <c r="A175" s="41"/>
      <c r="B175" s="41"/>
      <c r="C175" s="41"/>
      <c r="D175" s="41"/>
      <c r="E175" s="41"/>
    </row>
    <row r="176" spans="1:5" x14ac:dyDescent="0.25">
      <c r="A176" s="41"/>
      <c r="B176" s="41"/>
      <c r="C176" s="41"/>
      <c r="D176" s="41"/>
      <c r="E176" s="41"/>
    </row>
    <row r="177" spans="1:5" x14ac:dyDescent="0.25">
      <c r="A177" s="41"/>
      <c r="B177" s="41"/>
      <c r="C177" s="41"/>
      <c r="D177" s="41"/>
      <c r="E177" s="41"/>
    </row>
    <row r="178" spans="1:5" x14ac:dyDescent="0.25">
      <c r="A178" s="41"/>
      <c r="B178" s="41"/>
      <c r="C178" s="41"/>
      <c r="D178" s="41"/>
      <c r="E178" s="41"/>
    </row>
    <row r="179" spans="1:5" x14ac:dyDescent="0.25">
      <c r="A179" s="41"/>
      <c r="B179" s="41"/>
      <c r="C179" s="41"/>
      <c r="D179" s="41"/>
      <c r="E179" s="41"/>
    </row>
    <row r="180" spans="1:5" x14ac:dyDescent="0.25">
      <c r="A180" s="41"/>
      <c r="B180" s="41"/>
      <c r="C180" s="41"/>
      <c r="D180" s="41"/>
      <c r="E180" s="41"/>
    </row>
    <row r="181" spans="1:5" x14ac:dyDescent="0.25">
      <c r="A181" s="41"/>
      <c r="B181" s="41"/>
      <c r="C181" s="41"/>
      <c r="D181" s="41"/>
      <c r="E181" s="41"/>
    </row>
    <row r="182" spans="1:5" x14ac:dyDescent="0.25">
      <c r="A182" s="41"/>
      <c r="B182" s="41"/>
      <c r="C182" s="41"/>
      <c r="D182" s="41"/>
      <c r="E182" s="41"/>
    </row>
    <row r="183" spans="1:5" x14ac:dyDescent="0.25">
      <c r="A183" s="41"/>
      <c r="B183" s="41"/>
      <c r="C183" s="41"/>
      <c r="D183" s="41"/>
      <c r="E183" s="41"/>
    </row>
    <row r="184" spans="1:5" x14ac:dyDescent="0.25">
      <c r="A184" s="41"/>
      <c r="B184" s="41"/>
      <c r="C184" s="41"/>
      <c r="D184" s="41"/>
      <c r="E184" s="41"/>
    </row>
    <row r="185" spans="1:5" x14ac:dyDescent="0.25">
      <c r="A185" s="41"/>
      <c r="B185" s="41"/>
      <c r="C185" s="41"/>
      <c r="D185" s="41"/>
      <c r="E185" s="41"/>
    </row>
    <row r="186" spans="1:5" x14ac:dyDescent="0.25">
      <c r="A186" s="41"/>
      <c r="B186" s="41"/>
      <c r="C186" s="41"/>
      <c r="D186" s="41"/>
      <c r="E186" s="41"/>
    </row>
    <row r="187" spans="1:5" x14ac:dyDescent="0.25">
      <c r="A187" s="41"/>
      <c r="B187" s="41"/>
      <c r="C187" s="41"/>
      <c r="D187" s="41"/>
      <c r="E187" s="41"/>
    </row>
    <row r="188" spans="1:5" x14ac:dyDescent="0.25">
      <c r="A188" s="41"/>
      <c r="B188" s="41"/>
      <c r="C188" s="41"/>
      <c r="D188" s="41"/>
      <c r="E188" s="41"/>
    </row>
    <row r="189" spans="1:5" x14ac:dyDescent="0.25">
      <c r="A189" s="41"/>
      <c r="B189" s="41"/>
      <c r="C189" s="41"/>
      <c r="D189" s="41"/>
      <c r="E189" s="41"/>
    </row>
    <row r="190" spans="1:5" x14ac:dyDescent="0.25">
      <c r="A190" s="41"/>
      <c r="B190" s="41"/>
      <c r="C190" s="41"/>
      <c r="D190" s="41"/>
      <c r="E190" s="41"/>
    </row>
    <row r="191" spans="1:5" x14ac:dyDescent="0.25">
      <c r="A191" s="41"/>
      <c r="B191" s="41"/>
      <c r="C191" s="41"/>
      <c r="D191" s="41"/>
      <c r="E191" s="41"/>
    </row>
    <row r="192" spans="1:5" x14ac:dyDescent="0.25">
      <c r="A192" s="41"/>
      <c r="B192" s="41"/>
      <c r="C192" s="41"/>
      <c r="D192" s="41"/>
      <c r="E192" s="41"/>
    </row>
    <row r="193" spans="1:5" x14ac:dyDescent="0.25">
      <c r="A193" s="41"/>
      <c r="B193" s="41"/>
      <c r="C193" s="41"/>
      <c r="D193" s="41"/>
      <c r="E193" s="41"/>
    </row>
    <row r="194" spans="1:5" x14ac:dyDescent="0.25">
      <c r="A194" s="41"/>
      <c r="B194" s="41"/>
      <c r="C194" s="41"/>
      <c r="D194" s="41"/>
      <c r="E194" s="41"/>
    </row>
    <row r="195" spans="1:5" x14ac:dyDescent="0.25">
      <c r="A195" s="41"/>
      <c r="B195" s="41"/>
      <c r="C195" s="41"/>
      <c r="D195" s="41"/>
      <c r="E195" s="41"/>
    </row>
    <row r="196" spans="1:5" x14ac:dyDescent="0.25">
      <c r="A196" s="41"/>
      <c r="B196" s="41"/>
      <c r="C196" s="41"/>
      <c r="D196" s="41"/>
      <c r="E196" s="41"/>
    </row>
    <row r="197" spans="1:5" x14ac:dyDescent="0.25">
      <c r="A197" s="41"/>
      <c r="B197" s="41"/>
      <c r="C197" s="41"/>
      <c r="D197" s="41"/>
      <c r="E197" s="41"/>
    </row>
    <row r="198" spans="1:5" x14ac:dyDescent="0.25">
      <c r="A198" s="41"/>
      <c r="B198" s="41"/>
      <c r="C198" s="41"/>
      <c r="D198" s="41"/>
      <c r="E198" s="41"/>
    </row>
    <row r="199" spans="1:5" x14ac:dyDescent="0.25">
      <c r="A199" s="41"/>
      <c r="B199" s="41"/>
      <c r="C199" s="41"/>
      <c r="D199" s="41"/>
      <c r="E199" s="41"/>
    </row>
    <row r="200" spans="1:5" x14ac:dyDescent="0.25">
      <c r="A200" s="41"/>
      <c r="B200" s="41"/>
      <c r="C200" s="41"/>
      <c r="D200" s="41"/>
      <c r="E200" s="41"/>
    </row>
    <row r="201" spans="1:5" x14ac:dyDescent="0.25">
      <c r="A201" s="41"/>
      <c r="B201" s="41"/>
      <c r="C201" s="41"/>
      <c r="D201" s="41"/>
      <c r="E201" s="41"/>
    </row>
    <row r="202" spans="1:5" x14ac:dyDescent="0.25">
      <c r="A202" s="41"/>
      <c r="B202" s="41"/>
      <c r="C202" s="41"/>
      <c r="D202" s="41"/>
      <c r="E202" s="41"/>
    </row>
    <row r="203" spans="1:5" x14ac:dyDescent="0.25">
      <c r="A203" s="41"/>
      <c r="B203" s="41"/>
      <c r="C203" s="41"/>
      <c r="D203" s="41"/>
      <c r="E203" s="41"/>
    </row>
    <row r="204" spans="1:5" x14ac:dyDescent="0.25">
      <c r="A204" s="41"/>
      <c r="B204" s="41"/>
      <c r="C204" s="41"/>
      <c r="D204" s="41"/>
      <c r="E204" s="41"/>
    </row>
    <row r="205" spans="1:5" x14ac:dyDescent="0.25">
      <c r="A205" s="41"/>
      <c r="B205" s="41"/>
      <c r="C205" s="41"/>
      <c r="D205" s="41"/>
      <c r="E205" s="41"/>
    </row>
    <row r="206" spans="1:5" x14ac:dyDescent="0.25">
      <c r="A206" s="41"/>
      <c r="B206" s="41"/>
      <c r="C206" s="41"/>
      <c r="D206" s="41"/>
      <c r="E206" s="4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5"/>
  <dimension ref="A1:AA206"/>
  <sheetViews>
    <sheetView zoomScale="85" zoomScaleNormal="85" workbookViewId="0">
      <selection activeCell="H16" sqref="H16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4" ht="15.75" thickBot="1" x14ac:dyDescent="0.3">
      <c r="A1" s="1" t="s">
        <v>0</v>
      </c>
      <c r="B1" s="71" t="s">
        <v>1</v>
      </c>
      <c r="C1" s="72"/>
      <c r="E1" s="73" t="s">
        <v>2</v>
      </c>
      <c r="F1" s="74"/>
      <c r="G1" s="74"/>
      <c r="H1" s="75"/>
      <c r="J1" s="2" t="s">
        <v>3</v>
      </c>
      <c r="L1" s="76" t="s">
        <v>4</v>
      </c>
      <c r="M1" s="77"/>
      <c r="N1" s="77"/>
      <c r="O1" s="78"/>
    </row>
    <row r="2" spans="1:24" ht="15.75" thickBot="1" x14ac:dyDescent="0.3">
      <c r="A2" s="3" t="s">
        <v>5</v>
      </c>
      <c r="B2" s="79" t="s">
        <v>6</v>
      </c>
      <c r="C2" s="80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4" ht="15.75" thickBot="1" x14ac:dyDescent="0.3">
      <c r="A3" s="10" t="s">
        <v>9</v>
      </c>
      <c r="B3" s="81" t="s">
        <v>11</v>
      </c>
      <c r="C3" s="82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4" ht="15.75" thickBot="1" x14ac:dyDescent="0.3">
      <c r="E4" s="11"/>
      <c r="F4" s="4"/>
      <c r="G4" s="3" t="s">
        <v>16</v>
      </c>
      <c r="H4" s="12">
        <v>19.269400000000001</v>
      </c>
      <c r="J4" s="6">
        <v>40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4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4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4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  <c r="S7">
        <f>B18*B19</f>
        <v>0.7488743382105455</v>
      </c>
    </row>
    <row r="8" spans="1:24" ht="15.75" thickBot="1" x14ac:dyDescent="0.3"/>
    <row r="9" spans="1:24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23"/>
      <c r="N9" s="23"/>
      <c r="O9" s="23"/>
      <c r="P9" s="23"/>
      <c r="Q9" s="23"/>
      <c r="R9" s="23"/>
      <c r="S9" s="23"/>
      <c r="T9" s="23"/>
      <c r="U9" s="23"/>
      <c r="W9">
        <f>B21*B18/3</f>
        <v>3.8325392144427899</v>
      </c>
      <c r="X9">
        <f>W9/D21</f>
        <v>4.3028727088440553</v>
      </c>
    </row>
    <row r="10" spans="1:24" ht="15.75" thickBot="1" x14ac:dyDescent="0.3">
      <c r="A10" s="24">
        <v>45.162288402565601</v>
      </c>
      <c r="B10" s="25">
        <f>A10+273.15</f>
        <v>318.31228840256557</v>
      </c>
      <c r="C10" s="18">
        <f>C19</f>
        <v>7.0180027210197077E-4</v>
      </c>
      <c r="D10" s="18">
        <f>C21</f>
        <v>0.39305972757135754</v>
      </c>
      <c r="E10" s="18">
        <f>C20</f>
        <v>0.60623847215654048</v>
      </c>
      <c r="F10" s="26">
        <f>EXP(M3+N3/(B10+O3))/1000</f>
        <v>72.929176386583691</v>
      </c>
      <c r="G10" s="18">
        <f>EXP(M4+N4/(B10+O4))/1000</f>
        <v>44.884253538617067</v>
      </c>
      <c r="H10" s="20">
        <v>0</v>
      </c>
      <c r="I10" s="27">
        <f>(C10*F10*S13)/J4</f>
        <v>0.10930653827570432</v>
      </c>
      <c r="J10" s="24">
        <f>(D10*G10*T13)/J4</f>
        <v>0.89069346179121445</v>
      </c>
      <c r="K10" s="28">
        <v>0</v>
      </c>
      <c r="L10" s="24">
        <f>SUM(I10:K10)</f>
        <v>1.0000000000669187</v>
      </c>
      <c r="M10" s="23"/>
      <c r="N10" s="23"/>
      <c r="O10" s="23"/>
      <c r="P10" s="23"/>
      <c r="Q10" s="23"/>
      <c r="R10" s="23"/>
      <c r="S10" s="23"/>
      <c r="T10" s="23"/>
      <c r="U10" s="23"/>
    </row>
    <row r="11" spans="1:24" ht="15.75" thickBot="1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W11">
        <f>B18/3</f>
        <v>6.8969807605269962</v>
      </c>
    </row>
    <row r="12" spans="1:24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4" ht="15.75" thickBot="1" x14ac:dyDescent="0.3">
      <c r="A13" s="27">
        <f>H2/(J2*B10)</f>
        <v>2.1061057045635918</v>
      </c>
      <c r="B13" s="24">
        <f>H3/(J2*B10)</f>
        <v>2.8336468215176334</v>
      </c>
      <c r="C13" s="28">
        <f>H4/(J2*B10)</f>
        <v>7.2812302893083016</v>
      </c>
      <c r="D13" s="24">
        <f>H5/(J2*B10)</f>
        <v>6.1259460829224661</v>
      </c>
      <c r="E13" s="28">
        <f>H6/(J2*B10)</f>
        <v>4.0225987922748221</v>
      </c>
      <c r="F13" s="24">
        <f>H7/(J2*B10)</f>
        <v>0.21281352293991693</v>
      </c>
      <c r="G13" s="28">
        <f t="shared" ref="G13:L13" si="0">EXP(-$F$2*A13)</f>
        <v>0.43065745113696086</v>
      </c>
      <c r="H13" s="28">
        <f t="shared" si="0"/>
        <v>0.32191790202321607</v>
      </c>
      <c r="I13" s="28">
        <f t="shared" si="0"/>
        <v>5.4340139070399744E-2</v>
      </c>
      <c r="J13" s="28">
        <f t="shared" si="0"/>
        <v>8.6260936322312978E-2</v>
      </c>
      <c r="K13" s="28">
        <f t="shared" si="0"/>
        <v>0.20007969497884162</v>
      </c>
      <c r="L13" s="28">
        <f t="shared" si="0"/>
        <v>0.91839710175538658</v>
      </c>
      <c r="M13" s="28">
        <f>D10*B13*H13+E10*D13*J13</f>
        <v>0.67890422991090449</v>
      </c>
      <c r="N13" s="24">
        <f>C10*A13*G13+E10*F13*L13</f>
        <v>0.11912422623524037</v>
      </c>
      <c r="O13" s="28">
        <f>C10*C13*I13+D10*E13*K13</f>
        <v>0.31662800098312649</v>
      </c>
      <c r="P13" s="24">
        <f>C10+H13*D10+J13*E10</f>
        <v>0.17952946138452192</v>
      </c>
      <c r="Q13" s="28">
        <f>G13*C10+D10+L13*E10</f>
        <v>0.95012961888892855</v>
      </c>
      <c r="R13" s="24">
        <f>I13*C10+K13*D10+E10</f>
        <v>0.68491987848186997</v>
      </c>
      <c r="S13" s="28">
        <f>EXP(M13/P13-(C10*M13)/P13^2+D10*G13/Q13*(A13-N13/Q13)+E10*I13/R13*(C13-O13/R13))</f>
        <v>85.426239818846895</v>
      </c>
      <c r="T13" s="24">
        <f>EXP(N13/Q13-D10*N13/Q13^2+C10*H13/P13*(B13-M13/P13)+E10*K13/R13*(E13-O13/R13))</f>
        <v>2.0194620672007551</v>
      </c>
      <c r="U13" s="25">
        <f>EXP(O13/R13-E10*O13/R13^2+C10*J13/P13*(D13-M13/P13)+D10*L13/Q13*(F13-N13/Q13))</f>
        <v>1.0910236124242727</v>
      </c>
    </row>
    <row r="14" spans="1:24" ht="15.75" thickBot="1" x14ac:dyDescent="0.3"/>
    <row r="15" spans="1:24" ht="15.75" thickBot="1" x14ac:dyDescent="0.3">
      <c r="A15" s="31"/>
      <c r="B15" s="32" t="s">
        <v>54</v>
      </c>
      <c r="C15" s="33" t="s">
        <v>55</v>
      </c>
      <c r="D15" s="34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4" ht="15.75" thickBot="1" x14ac:dyDescent="0.3">
      <c r="A16" s="37" t="s">
        <v>21</v>
      </c>
      <c r="B16" s="23">
        <v>83</v>
      </c>
      <c r="C16" s="38">
        <f>A10</f>
        <v>45.162288402565601</v>
      </c>
      <c r="D16" s="12">
        <f>A10</f>
        <v>45.162288402565601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337.23114420128275</v>
      </c>
      <c r="T16" s="24">
        <f>J22*1000*EXP(-J23*D17/J24)*(1-D17/J24)^J23</f>
        <v>28575.311466656371</v>
      </c>
    </row>
    <row r="17" spans="1:27" ht="15.75" thickBot="1" x14ac:dyDescent="0.3">
      <c r="A17" s="33" t="s">
        <v>22</v>
      </c>
      <c r="B17" s="4">
        <f>B16+273.15</f>
        <v>356.15</v>
      </c>
      <c r="C17" s="24">
        <f>C16+273.15</f>
        <v>318.31228840256557</v>
      </c>
      <c r="D17" s="25">
        <f>D16+273.15</f>
        <v>318.31228840256557</v>
      </c>
      <c r="I17" s="40" t="s">
        <v>60</v>
      </c>
      <c r="J17" s="6">
        <v>-0.31</v>
      </c>
      <c r="K17" s="41"/>
      <c r="L17" s="41"/>
      <c r="N17" s="11"/>
      <c r="O17" s="41"/>
      <c r="P17" s="41"/>
      <c r="Q17" s="4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13.929255050414518</v>
      </c>
      <c r="D18" s="12">
        <f>B18-C18</f>
        <v>6.7616872311664693</v>
      </c>
      <c r="F18" s="2" t="s">
        <v>64</v>
      </c>
      <c r="I18" s="3" t="s">
        <v>65</v>
      </c>
      <c r="J18" s="6">
        <v>0.42409999999999998</v>
      </c>
      <c r="L18" s="41"/>
      <c r="N18" s="11"/>
      <c r="O18" s="41"/>
      <c r="P18" s="41"/>
      <c r="Q18" s="41"/>
      <c r="S18" s="24">
        <v>187.5</v>
      </c>
      <c r="T18" s="24">
        <f>J16*1000*EXP(-J17*D17/J19)*(1-D17/J19)</f>
        <v>20814.583751051847</v>
      </c>
    </row>
    <row r="19" spans="1:27" ht="15.75" thickBot="1" x14ac:dyDescent="0.3">
      <c r="A19" s="33" t="s">
        <v>23</v>
      </c>
      <c r="B19" s="43">
        <v>3.6193341415735866E-2</v>
      </c>
      <c r="C19" s="45">
        <v>7.0180027210197077E-4</v>
      </c>
      <c r="D19" s="25">
        <f>(B18*B19-C18*C19)/D18</f>
        <v>0.1093068575871534</v>
      </c>
      <c r="E19" s="23">
        <f>I10</f>
        <v>0.10930653827570432</v>
      </c>
      <c r="F19" s="23">
        <f>(D19-E19)^2</f>
        <v>1.0195980151827429E-13</v>
      </c>
      <c r="I19" s="10" t="s">
        <v>66</v>
      </c>
      <c r="J19" s="18">
        <v>512.6</v>
      </c>
      <c r="K19" s="41"/>
      <c r="L19" s="41" t="s">
        <v>67</v>
      </c>
      <c r="N19" s="11"/>
      <c r="O19" s="41"/>
      <c r="P19" s="41"/>
      <c r="Q19" s="4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0.60623847215654048</v>
      </c>
      <c r="D20" s="25">
        <v>0</v>
      </c>
      <c r="S20" s="24">
        <f>A36+B36*S16+C36*S16^2+D36*S16^3</f>
        <v>91.968507256171407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0.39305972757135754</v>
      </c>
      <c r="D21" s="25">
        <f>(B18*B21-C18*C21)/D18</f>
        <v>0.89069314241284681</v>
      </c>
      <c r="E21" s="23">
        <f>J10</f>
        <v>0.89069346179121445</v>
      </c>
      <c r="F21" s="23">
        <f>(D21-E21)^2</f>
        <v>1.0200254171728436E-13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23">
        <f>S24*(B17-C17)</f>
        <v>7079.3270100049322</v>
      </c>
      <c r="C22" s="6">
        <v>0</v>
      </c>
      <c r="D22" s="12">
        <f>T22</f>
        <v>21662.884510234107</v>
      </c>
      <c r="F22" s="2" t="s">
        <v>64</v>
      </c>
      <c r="I22" s="1" t="s">
        <v>59</v>
      </c>
      <c r="J22" s="38">
        <v>46.23</v>
      </c>
      <c r="S22" s="24">
        <f>D43+E43*S16+S16^2*F43</f>
        <v>316.58462350534353</v>
      </c>
      <c r="T22" s="24">
        <f>D19*T16+D21*T18</f>
        <v>21662.884510234107</v>
      </c>
    </row>
    <row r="23" spans="1:27" ht="15.75" thickBot="1" x14ac:dyDescent="0.3">
      <c r="A23" s="33" t="s">
        <v>73</v>
      </c>
      <c r="B23" s="28">
        <f>B18*B22</f>
        <v>146477.94655644937</v>
      </c>
      <c r="C23" s="24">
        <v>0</v>
      </c>
      <c r="D23" s="25">
        <f>D18*D22</f>
        <v>146477.64958308387</v>
      </c>
      <c r="E23">
        <f>(B23-D23)/B23</f>
        <v>2.0274271484962445E-6</v>
      </c>
      <c r="F23">
        <f>E23^2</f>
        <v>4.1104608424596133E-12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187.09712377227768</v>
      </c>
    </row>
    <row r="25" spans="1:27" ht="16.5" thickBot="1" x14ac:dyDescent="0.3">
      <c r="A25" s="73" t="s">
        <v>77</v>
      </c>
      <c r="B25" s="74"/>
      <c r="C25" s="74"/>
      <c r="D25" s="75"/>
      <c r="F25" s="24">
        <f>F19+F21+F23</f>
        <v>4.3144231856951722E-12</v>
      </c>
      <c r="K25" s="47" t="s">
        <v>78</v>
      </c>
    </row>
    <row r="26" spans="1:27" ht="15.75" thickBot="1" x14ac:dyDescent="0.3">
      <c r="A26" s="66" t="s">
        <v>55</v>
      </c>
      <c r="B26" s="67"/>
      <c r="C26" s="68" t="s">
        <v>79</v>
      </c>
      <c r="D26" s="67"/>
      <c r="I26" s="11"/>
      <c r="J26" s="11"/>
    </row>
    <row r="27" spans="1:27" x14ac:dyDescent="0.25">
      <c r="I27" s="39"/>
      <c r="J27" s="39"/>
    </row>
    <row r="28" spans="1:27" ht="15.75" thickBot="1" x14ac:dyDescent="0.3">
      <c r="E28" s="50"/>
      <c r="N28" s="69"/>
      <c r="O28" s="69"/>
      <c r="X28" s="70"/>
      <c r="Y28" s="70"/>
    </row>
    <row r="29" spans="1:27" ht="16.5" thickBot="1" x14ac:dyDescent="0.3">
      <c r="A29" s="53" t="s">
        <v>6</v>
      </c>
      <c r="B29" s="41"/>
      <c r="C29" s="54" t="s">
        <v>80</v>
      </c>
      <c r="D29" s="55">
        <v>32.04</v>
      </c>
      <c r="E29" s="56" t="s">
        <v>81</v>
      </c>
      <c r="K29" s="47" t="s">
        <v>82</v>
      </c>
      <c r="N29" s="41"/>
      <c r="O29" s="41"/>
      <c r="X29" s="23"/>
      <c r="Y29" s="23"/>
      <c r="Z29" s="23"/>
      <c r="AA29" s="23"/>
    </row>
    <row r="30" spans="1:27" ht="15.75" thickBot="1" x14ac:dyDescent="0.3">
      <c r="A30" s="54" t="s">
        <v>83</v>
      </c>
      <c r="B30" s="56" t="s">
        <v>84</v>
      </c>
      <c r="C30" s="41"/>
      <c r="D30" s="41"/>
      <c r="E30" s="54" t="s">
        <v>85</v>
      </c>
      <c r="F30" s="57" t="s">
        <v>86</v>
      </c>
      <c r="G30" s="58" t="s">
        <v>87</v>
      </c>
      <c r="N30" s="41"/>
      <c r="O30" s="41"/>
      <c r="X30" s="23"/>
      <c r="Y30" s="23"/>
      <c r="Z30" s="23"/>
      <c r="AA30" s="23"/>
    </row>
    <row r="31" spans="1:27" ht="15.75" thickBot="1" x14ac:dyDescent="0.3">
      <c r="A31" s="59" t="s">
        <v>88</v>
      </c>
      <c r="B31" s="60" t="s">
        <v>89</v>
      </c>
      <c r="C31" s="60" t="s">
        <v>90</v>
      </c>
      <c r="D31" s="61" t="s">
        <v>91</v>
      </c>
      <c r="E31" s="41"/>
      <c r="N31" s="41"/>
      <c r="O31" s="41"/>
      <c r="X31" s="23"/>
      <c r="Y31" s="23"/>
      <c r="Z31" s="23"/>
      <c r="AA31" s="23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41"/>
      <c r="N32" s="41"/>
      <c r="O32" s="41"/>
      <c r="X32" s="23"/>
      <c r="Y32" s="23"/>
      <c r="Z32" s="23"/>
      <c r="AA32" s="23"/>
    </row>
    <row r="33" spans="1:27" ht="15.75" thickBot="1" x14ac:dyDescent="0.3">
      <c r="A33" s="41"/>
      <c r="B33" s="62" t="s">
        <v>92</v>
      </c>
      <c r="C33" s="41"/>
      <c r="D33" s="41"/>
      <c r="E33" s="41"/>
      <c r="N33" s="41"/>
      <c r="O33" s="41"/>
      <c r="X33" s="23"/>
      <c r="Y33" s="23"/>
      <c r="Z33" s="23"/>
      <c r="AA33" s="23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41"/>
      <c r="N34" s="41"/>
      <c r="O34" s="41"/>
      <c r="X34" s="23"/>
      <c r="Y34" s="23"/>
      <c r="Z34" s="23"/>
      <c r="AA34" s="23"/>
    </row>
    <row r="35" spans="1:27" ht="15.75" thickBot="1" x14ac:dyDescent="0.3">
      <c r="A35" s="41"/>
      <c r="B35" s="62" t="s">
        <v>93</v>
      </c>
      <c r="C35" s="41"/>
      <c r="D35" s="41"/>
      <c r="E35" s="41"/>
      <c r="N35" s="41"/>
      <c r="O35" s="41"/>
      <c r="X35" s="23"/>
      <c r="Y35" s="23"/>
      <c r="Z35" s="23"/>
      <c r="AA35" s="23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41"/>
      <c r="N36" s="41"/>
      <c r="O36" s="41"/>
      <c r="X36" s="23"/>
      <c r="Y36" s="23"/>
      <c r="Z36" s="23"/>
      <c r="AA36" s="23"/>
    </row>
    <row r="37" spans="1:27" x14ac:dyDescent="0.25">
      <c r="A37" s="41"/>
      <c r="B37" s="41"/>
      <c r="C37" s="41"/>
      <c r="D37" s="41"/>
      <c r="E37" s="41"/>
      <c r="N37" s="41"/>
      <c r="O37" s="41"/>
    </row>
    <row r="38" spans="1:27" x14ac:dyDescent="0.25">
      <c r="A38" s="41"/>
      <c r="B38" s="41"/>
      <c r="C38" s="41"/>
      <c r="D38" s="41"/>
      <c r="E38" s="41"/>
      <c r="N38" s="41"/>
      <c r="O38" s="41"/>
    </row>
    <row r="39" spans="1:27" x14ac:dyDescent="0.25">
      <c r="A39" s="41" t="s">
        <v>94</v>
      </c>
      <c r="B39" s="41"/>
      <c r="C39" s="41"/>
      <c r="D39" s="41"/>
      <c r="E39" s="41"/>
      <c r="F39" t="s">
        <v>95</v>
      </c>
      <c r="G39" s="63" t="s">
        <v>86</v>
      </c>
      <c r="H39" t="s">
        <v>93</v>
      </c>
      <c r="N39" s="41"/>
      <c r="O39" s="41"/>
    </row>
    <row r="40" spans="1:27" ht="16.5" thickBot="1" x14ac:dyDescent="0.3">
      <c r="A40" s="64" t="s">
        <v>96</v>
      </c>
      <c r="B40" s="41"/>
      <c r="C40" s="41"/>
      <c r="D40" s="41"/>
      <c r="E40" s="41"/>
    </row>
    <row r="41" spans="1:27" ht="15.75" thickBot="1" x14ac:dyDescent="0.3">
      <c r="A41" s="54" t="s">
        <v>22</v>
      </c>
      <c r="B41" s="56" t="s">
        <v>97</v>
      </c>
      <c r="C41" s="41"/>
      <c r="E41" s="65" t="s">
        <v>83</v>
      </c>
      <c r="F41" s="41"/>
    </row>
    <row r="42" spans="1:27" ht="15.75" thickBot="1" x14ac:dyDescent="0.3">
      <c r="A42" s="41">
        <v>283.14999999999998</v>
      </c>
      <c r="B42" s="41">
        <v>290</v>
      </c>
      <c r="C42" s="41"/>
      <c r="D42" s="54" t="s">
        <v>88</v>
      </c>
      <c r="E42" s="55" t="s">
        <v>89</v>
      </c>
      <c r="F42" s="56" t="s">
        <v>90</v>
      </c>
    </row>
    <row r="43" spans="1:27" ht="15.75" thickBot="1" x14ac:dyDescent="0.3">
      <c r="A43" s="41">
        <v>293.14999999999998</v>
      </c>
      <c r="B43" s="41">
        <v>294</v>
      </c>
      <c r="C43" s="41"/>
      <c r="D43" s="27">
        <v>753.28</v>
      </c>
      <c r="E43" s="28">
        <v>-3.4195000000000002</v>
      </c>
      <c r="F43" s="25">
        <v>6.3E-3</v>
      </c>
    </row>
    <row r="44" spans="1:27" x14ac:dyDescent="0.25">
      <c r="A44" s="41">
        <v>303.14999999999998</v>
      </c>
      <c r="B44" s="41">
        <v>297</v>
      </c>
      <c r="C44" s="41"/>
      <c r="D44" s="41"/>
      <c r="E44" s="41"/>
    </row>
    <row r="45" spans="1:27" x14ac:dyDescent="0.25">
      <c r="A45" s="41">
        <v>313.14999999999998</v>
      </c>
      <c r="B45" s="41">
        <v>302</v>
      </c>
      <c r="C45" s="41"/>
      <c r="D45" s="41"/>
      <c r="E45" s="41"/>
    </row>
    <row r="46" spans="1:27" x14ac:dyDescent="0.25">
      <c r="A46" s="41">
        <v>323.14999999999998</v>
      </c>
      <c r="B46" s="41">
        <v>306</v>
      </c>
      <c r="C46" s="41"/>
      <c r="D46" s="41"/>
      <c r="E46" s="41"/>
    </row>
    <row r="47" spans="1:27" x14ac:dyDescent="0.25">
      <c r="A47" s="41">
        <v>333.15</v>
      </c>
      <c r="B47" s="41">
        <v>313</v>
      </c>
      <c r="C47" s="41"/>
      <c r="D47" s="41"/>
      <c r="E47" s="41"/>
    </row>
    <row r="48" spans="1:27" x14ac:dyDescent="0.25">
      <c r="A48" s="41">
        <v>343.15</v>
      </c>
      <c r="B48" s="41">
        <v>324</v>
      </c>
      <c r="C48" s="41"/>
      <c r="D48" s="41"/>
      <c r="E48" s="41"/>
    </row>
    <row r="49" spans="1:5" x14ac:dyDescent="0.25">
      <c r="A49" s="41"/>
      <c r="B49" s="41"/>
      <c r="C49" s="41"/>
      <c r="D49" s="41"/>
      <c r="E49" s="41"/>
    </row>
    <row r="50" spans="1:5" x14ac:dyDescent="0.25">
      <c r="D50" s="41"/>
      <c r="E50" s="41"/>
    </row>
    <row r="51" spans="1:5" x14ac:dyDescent="0.25">
      <c r="D51" s="41"/>
      <c r="E51" s="41"/>
    </row>
    <row r="52" spans="1:5" x14ac:dyDescent="0.25">
      <c r="D52" s="41"/>
      <c r="E52" s="41"/>
    </row>
    <row r="53" spans="1:5" x14ac:dyDescent="0.25">
      <c r="A53" s="41"/>
      <c r="B53" s="41"/>
      <c r="C53" s="41"/>
      <c r="D53" s="41"/>
      <c r="E53" s="41"/>
    </row>
    <row r="54" spans="1:5" x14ac:dyDescent="0.25">
      <c r="A54" s="41"/>
      <c r="B54" s="41"/>
      <c r="C54" s="41"/>
      <c r="D54" s="41"/>
      <c r="E54" s="41"/>
    </row>
    <row r="55" spans="1:5" x14ac:dyDescent="0.25">
      <c r="A55" s="41"/>
      <c r="B55" s="41"/>
      <c r="C55" s="41"/>
      <c r="D55" s="41"/>
      <c r="E55" s="41"/>
    </row>
    <row r="56" spans="1:5" x14ac:dyDescent="0.25">
      <c r="A56" s="41"/>
      <c r="B56" s="41"/>
      <c r="C56" s="41"/>
      <c r="D56" s="41"/>
      <c r="E56" s="41"/>
    </row>
    <row r="57" spans="1:5" x14ac:dyDescent="0.25">
      <c r="A57" s="41"/>
      <c r="B57" s="41"/>
      <c r="C57" s="41"/>
      <c r="D57" s="41"/>
      <c r="E57" s="41"/>
    </row>
    <row r="58" spans="1:5" x14ac:dyDescent="0.25">
      <c r="A58" s="41"/>
      <c r="B58" s="41"/>
      <c r="C58" s="41"/>
      <c r="D58" s="41"/>
      <c r="E58" s="41"/>
    </row>
    <row r="59" spans="1:5" x14ac:dyDescent="0.25">
      <c r="A59" s="41"/>
      <c r="B59" s="41"/>
      <c r="C59" s="41"/>
      <c r="D59" s="41"/>
      <c r="E59" s="41"/>
    </row>
    <row r="60" spans="1:5" x14ac:dyDescent="0.25">
      <c r="A60" s="41"/>
      <c r="B60" s="41"/>
      <c r="C60" s="41"/>
      <c r="D60" s="41"/>
      <c r="E60" s="41"/>
    </row>
    <row r="61" spans="1:5" x14ac:dyDescent="0.25">
      <c r="A61" s="41"/>
      <c r="B61" s="41"/>
      <c r="C61" s="41"/>
      <c r="D61" s="41"/>
      <c r="E61" s="41"/>
    </row>
    <row r="62" spans="1:5" x14ac:dyDescent="0.25">
      <c r="A62" s="41"/>
      <c r="B62" s="41"/>
      <c r="C62" s="41"/>
      <c r="D62" s="41"/>
      <c r="E62" s="41"/>
    </row>
    <row r="63" spans="1:5" x14ac:dyDescent="0.25">
      <c r="A63" s="41"/>
      <c r="B63" s="41"/>
      <c r="C63" s="41"/>
      <c r="D63" s="41"/>
      <c r="E63" s="41"/>
    </row>
    <row r="64" spans="1:5" x14ac:dyDescent="0.25">
      <c r="A64" s="41"/>
      <c r="B64" s="41"/>
      <c r="C64" s="41"/>
      <c r="D64" s="41"/>
      <c r="E64" s="41"/>
    </row>
    <row r="65" spans="1:5" x14ac:dyDescent="0.25">
      <c r="A65" s="41"/>
      <c r="B65" s="41"/>
      <c r="C65" s="41"/>
      <c r="D65" s="41"/>
      <c r="E65" s="41"/>
    </row>
    <row r="66" spans="1:5" x14ac:dyDescent="0.25">
      <c r="A66" s="41"/>
      <c r="B66" s="41"/>
      <c r="C66" s="41"/>
      <c r="D66" s="41"/>
      <c r="E66" s="41"/>
    </row>
    <row r="67" spans="1:5" x14ac:dyDescent="0.25">
      <c r="A67" s="41"/>
      <c r="B67" s="41"/>
      <c r="C67" s="41"/>
      <c r="D67" s="41"/>
      <c r="E67" s="41"/>
    </row>
    <row r="68" spans="1:5" x14ac:dyDescent="0.25">
      <c r="A68" s="41"/>
      <c r="B68" s="41"/>
      <c r="C68" s="41"/>
      <c r="D68" s="41"/>
      <c r="E68" s="41"/>
    </row>
    <row r="69" spans="1:5" x14ac:dyDescent="0.25">
      <c r="A69" s="41"/>
      <c r="B69" s="41"/>
      <c r="C69" s="41"/>
      <c r="D69" s="41"/>
      <c r="E69" s="41"/>
    </row>
    <row r="70" spans="1:5" x14ac:dyDescent="0.25">
      <c r="A70" s="41"/>
      <c r="B70" s="41"/>
      <c r="C70" s="41"/>
      <c r="D70" s="41"/>
      <c r="E70" s="41"/>
    </row>
    <row r="71" spans="1:5" x14ac:dyDescent="0.25">
      <c r="A71" s="41"/>
      <c r="B71" s="41"/>
      <c r="C71" s="41"/>
      <c r="D71" s="41"/>
      <c r="E71" s="41"/>
    </row>
    <row r="72" spans="1:5" x14ac:dyDescent="0.25">
      <c r="A72" s="41"/>
      <c r="B72" s="41"/>
      <c r="C72" s="41"/>
      <c r="D72" s="41"/>
      <c r="E72" s="41"/>
    </row>
    <row r="73" spans="1:5" x14ac:dyDescent="0.25">
      <c r="A73" s="41"/>
      <c r="B73" s="41"/>
      <c r="C73" s="41"/>
      <c r="D73" s="41"/>
      <c r="E73" s="41"/>
    </row>
    <row r="74" spans="1:5" x14ac:dyDescent="0.25">
      <c r="A74" s="41"/>
      <c r="B74" s="41"/>
      <c r="C74" s="41"/>
      <c r="D74" s="41"/>
      <c r="E74" s="41"/>
    </row>
    <row r="75" spans="1:5" x14ac:dyDescent="0.25">
      <c r="A75" s="41"/>
      <c r="B75" s="41"/>
      <c r="C75" s="41"/>
      <c r="D75" s="41"/>
      <c r="E75" s="41"/>
    </row>
    <row r="76" spans="1:5" x14ac:dyDescent="0.25">
      <c r="A76" s="41"/>
      <c r="B76" s="41"/>
      <c r="C76" s="41"/>
      <c r="D76" s="41"/>
      <c r="E76" s="41"/>
    </row>
    <row r="77" spans="1:5" x14ac:dyDescent="0.25">
      <c r="A77" s="41"/>
      <c r="B77" s="41"/>
      <c r="C77" s="41"/>
      <c r="D77" s="41"/>
      <c r="E77" s="41"/>
    </row>
    <row r="78" spans="1:5" x14ac:dyDescent="0.25">
      <c r="A78" s="41"/>
      <c r="B78" s="41"/>
      <c r="C78" s="41"/>
      <c r="D78" s="41"/>
      <c r="E78" s="41"/>
    </row>
    <row r="79" spans="1:5" x14ac:dyDescent="0.25">
      <c r="A79" s="41"/>
      <c r="B79" s="41"/>
      <c r="C79" s="41"/>
      <c r="D79" s="41"/>
      <c r="E79" s="41"/>
    </row>
    <row r="80" spans="1:5" x14ac:dyDescent="0.25">
      <c r="A80" s="41"/>
      <c r="B80" s="41"/>
      <c r="C80" s="41"/>
      <c r="D80" s="41"/>
      <c r="E80" s="41"/>
    </row>
    <row r="81" spans="1:5" x14ac:dyDescent="0.25">
      <c r="A81" s="41"/>
      <c r="B81" s="41"/>
      <c r="C81" s="41"/>
      <c r="D81" s="41"/>
      <c r="E81" s="41"/>
    </row>
    <row r="82" spans="1:5" x14ac:dyDescent="0.25">
      <c r="A82" s="41"/>
      <c r="B82" s="41"/>
      <c r="C82" s="41"/>
      <c r="D82" s="41"/>
      <c r="E82" s="41"/>
    </row>
    <row r="83" spans="1:5" x14ac:dyDescent="0.25">
      <c r="A83" s="41"/>
      <c r="B83" s="41"/>
      <c r="C83" s="41"/>
      <c r="D83" s="41"/>
      <c r="E83" s="41"/>
    </row>
    <row r="84" spans="1:5" x14ac:dyDescent="0.25">
      <c r="A84" s="41"/>
      <c r="B84" s="41"/>
      <c r="C84" s="41"/>
      <c r="D84" s="41"/>
      <c r="E84" s="41"/>
    </row>
    <row r="85" spans="1:5" x14ac:dyDescent="0.25">
      <c r="A85" s="41"/>
      <c r="B85" s="41"/>
      <c r="C85" s="41"/>
      <c r="D85" s="41"/>
      <c r="E85" s="41"/>
    </row>
    <row r="86" spans="1:5" x14ac:dyDescent="0.25">
      <c r="A86" s="41"/>
      <c r="B86" s="41"/>
      <c r="C86" s="41"/>
      <c r="D86" s="41"/>
      <c r="E86" s="41"/>
    </row>
    <row r="87" spans="1:5" x14ac:dyDescent="0.25">
      <c r="A87" s="41"/>
      <c r="B87" s="41"/>
      <c r="C87" s="41"/>
      <c r="D87" s="41"/>
      <c r="E87" s="41"/>
    </row>
    <row r="88" spans="1:5" x14ac:dyDescent="0.25">
      <c r="A88" s="41"/>
      <c r="B88" s="41"/>
      <c r="C88" s="41"/>
      <c r="D88" s="41"/>
      <c r="E88" s="41"/>
    </row>
    <row r="89" spans="1:5" x14ac:dyDescent="0.25">
      <c r="A89" s="41"/>
      <c r="B89" s="41"/>
      <c r="C89" s="41"/>
      <c r="D89" s="41"/>
      <c r="E89" s="41"/>
    </row>
    <row r="90" spans="1:5" x14ac:dyDescent="0.25">
      <c r="A90" s="41"/>
      <c r="B90" s="41"/>
      <c r="C90" s="41"/>
      <c r="D90" s="41"/>
      <c r="E90" s="41"/>
    </row>
    <row r="91" spans="1:5" x14ac:dyDescent="0.25">
      <c r="A91" s="41"/>
      <c r="B91" s="41"/>
      <c r="C91" s="41"/>
      <c r="D91" s="41"/>
      <c r="E91" s="41"/>
    </row>
    <row r="92" spans="1:5" x14ac:dyDescent="0.25">
      <c r="A92" s="41"/>
      <c r="B92" s="41"/>
      <c r="C92" s="41"/>
      <c r="D92" s="41"/>
      <c r="E92" s="41"/>
    </row>
    <row r="93" spans="1:5" x14ac:dyDescent="0.25">
      <c r="A93" s="41"/>
      <c r="B93" s="41"/>
      <c r="C93" s="41"/>
      <c r="D93" s="41"/>
      <c r="E93" s="41"/>
    </row>
    <row r="94" spans="1:5" x14ac:dyDescent="0.25">
      <c r="A94" s="41"/>
      <c r="B94" s="41"/>
      <c r="C94" s="41"/>
      <c r="D94" s="41"/>
      <c r="E94" s="41"/>
    </row>
    <row r="95" spans="1:5" x14ac:dyDescent="0.25">
      <c r="A95" s="41"/>
      <c r="B95" s="41"/>
      <c r="C95" s="41"/>
      <c r="D95" s="41"/>
      <c r="E95" s="41"/>
    </row>
    <row r="96" spans="1:5" x14ac:dyDescent="0.25">
      <c r="A96" s="41"/>
      <c r="B96" s="41"/>
      <c r="C96" s="41"/>
      <c r="D96" s="41"/>
      <c r="E96" s="41"/>
    </row>
    <row r="97" spans="1:5" x14ac:dyDescent="0.25">
      <c r="A97" s="41"/>
      <c r="B97" s="41"/>
      <c r="C97" s="41"/>
      <c r="D97" s="41"/>
      <c r="E97" s="41"/>
    </row>
    <row r="98" spans="1:5" x14ac:dyDescent="0.25">
      <c r="A98" s="41"/>
      <c r="B98" s="41"/>
      <c r="C98" s="41"/>
      <c r="D98" s="41"/>
      <c r="E98" s="41"/>
    </row>
    <row r="99" spans="1:5" x14ac:dyDescent="0.25">
      <c r="A99" s="41"/>
      <c r="B99" s="41"/>
      <c r="C99" s="41"/>
      <c r="D99" s="41"/>
      <c r="E99" s="41"/>
    </row>
    <row r="100" spans="1:5" x14ac:dyDescent="0.25">
      <c r="A100" s="41"/>
      <c r="B100" s="41"/>
      <c r="C100" s="41"/>
      <c r="D100" s="41"/>
      <c r="E100" s="41"/>
    </row>
    <row r="101" spans="1:5" x14ac:dyDescent="0.25">
      <c r="A101" s="41"/>
      <c r="B101" s="41"/>
      <c r="C101" s="41"/>
      <c r="D101" s="41"/>
      <c r="E101" s="41"/>
    </row>
    <row r="102" spans="1:5" x14ac:dyDescent="0.25">
      <c r="A102" s="41"/>
      <c r="B102" s="41"/>
      <c r="C102" s="41"/>
      <c r="D102" s="41"/>
      <c r="E102" s="41"/>
    </row>
    <row r="103" spans="1:5" x14ac:dyDescent="0.25">
      <c r="A103" s="41"/>
      <c r="B103" s="41"/>
      <c r="C103" s="41"/>
      <c r="D103" s="41"/>
      <c r="E103" s="41"/>
    </row>
    <row r="104" spans="1:5" x14ac:dyDescent="0.25">
      <c r="A104" s="41"/>
      <c r="B104" s="41"/>
      <c r="C104" s="41"/>
      <c r="D104" s="41"/>
      <c r="E104" s="41"/>
    </row>
    <row r="105" spans="1:5" x14ac:dyDescent="0.25">
      <c r="A105" s="41"/>
      <c r="B105" s="41"/>
      <c r="C105" s="41"/>
      <c r="D105" s="41"/>
      <c r="E105" s="41"/>
    </row>
    <row r="106" spans="1:5" x14ac:dyDescent="0.25">
      <c r="A106" s="41"/>
      <c r="B106" s="41"/>
      <c r="C106" s="41"/>
      <c r="D106" s="41"/>
      <c r="E106" s="41"/>
    </row>
    <row r="107" spans="1:5" x14ac:dyDescent="0.25">
      <c r="A107" s="41"/>
      <c r="B107" s="41"/>
      <c r="C107" s="41"/>
      <c r="D107" s="41"/>
      <c r="E107" s="41"/>
    </row>
    <row r="108" spans="1:5" x14ac:dyDescent="0.25">
      <c r="A108" s="41"/>
      <c r="B108" s="41"/>
      <c r="C108" s="41"/>
      <c r="D108" s="41"/>
      <c r="E108" s="41"/>
    </row>
    <row r="109" spans="1:5" x14ac:dyDescent="0.25">
      <c r="A109" s="41"/>
      <c r="B109" s="41"/>
      <c r="C109" s="41"/>
      <c r="D109" s="41"/>
      <c r="E109" s="41"/>
    </row>
    <row r="110" spans="1:5" x14ac:dyDescent="0.25">
      <c r="A110" s="41"/>
      <c r="B110" s="41"/>
      <c r="C110" s="41"/>
      <c r="D110" s="41"/>
      <c r="E110" s="41"/>
    </row>
    <row r="111" spans="1:5" x14ac:dyDescent="0.25">
      <c r="A111" s="41"/>
      <c r="B111" s="41"/>
      <c r="C111" s="41"/>
      <c r="D111" s="41"/>
      <c r="E111" s="41"/>
    </row>
    <row r="112" spans="1:5" x14ac:dyDescent="0.25">
      <c r="A112" s="41"/>
      <c r="B112" s="41"/>
      <c r="C112" s="41"/>
      <c r="D112" s="41"/>
      <c r="E112" s="41"/>
    </row>
    <row r="113" spans="1:5" x14ac:dyDescent="0.25">
      <c r="A113" s="41"/>
      <c r="B113" s="41"/>
      <c r="C113" s="41"/>
      <c r="D113" s="41"/>
      <c r="E113" s="41"/>
    </row>
    <row r="114" spans="1:5" x14ac:dyDescent="0.25">
      <c r="A114" s="41"/>
      <c r="B114" s="41"/>
      <c r="C114" s="41"/>
      <c r="D114" s="41"/>
      <c r="E114" s="41"/>
    </row>
    <row r="115" spans="1:5" x14ac:dyDescent="0.25">
      <c r="A115" s="41"/>
      <c r="B115" s="41"/>
      <c r="C115" s="41"/>
      <c r="D115" s="41"/>
      <c r="E115" s="41"/>
    </row>
    <row r="116" spans="1:5" x14ac:dyDescent="0.25">
      <c r="A116" s="41"/>
      <c r="B116" s="41"/>
      <c r="C116" s="41"/>
      <c r="D116" s="41"/>
      <c r="E116" s="41"/>
    </row>
    <row r="117" spans="1:5" x14ac:dyDescent="0.25">
      <c r="A117" s="41"/>
      <c r="B117" s="41"/>
      <c r="C117" s="41"/>
      <c r="D117" s="41"/>
      <c r="E117" s="41"/>
    </row>
    <row r="118" spans="1:5" x14ac:dyDescent="0.25">
      <c r="A118" s="41"/>
      <c r="B118" s="41"/>
      <c r="C118" s="41"/>
      <c r="D118" s="41"/>
      <c r="E118" s="41"/>
    </row>
    <row r="119" spans="1:5" x14ac:dyDescent="0.25">
      <c r="A119" s="41"/>
      <c r="B119" s="41"/>
      <c r="C119" s="41"/>
      <c r="D119" s="41"/>
      <c r="E119" s="41"/>
    </row>
    <row r="120" spans="1:5" x14ac:dyDescent="0.25">
      <c r="A120" s="41"/>
      <c r="B120" s="41"/>
      <c r="C120" s="41"/>
      <c r="D120" s="41"/>
      <c r="E120" s="41"/>
    </row>
    <row r="121" spans="1:5" x14ac:dyDescent="0.25">
      <c r="A121" s="41"/>
      <c r="B121" s="41"/>
      <c r="C121" s="41"/>
      <c r="D121" s="41"/>
      <c r="E121" s="41"/>
    </row>
    <row r="122" spans="1:5" x14ac:dyDescent="0.25">
      <c r="A122" s="41"/>
      <c r="B122" s="41"/>
      <c r="C122" s="41"/>
      <c r="D122" s="41"/>
      <c r="E122" s="41"/>
    </row>
    <row r="123" spans="1:5" x14ac:dyDescent="0.25">
      <c r="A123" s="41"/>
      <c r="B123" s="41"/>
      <c r="C123" s="41"/>
      <c r="D123" s="41"/>
      <c r="E123" s="41"/>
    </row>
    <row r="124" spans="1:5" x14ac:dyDescent="0.25">
      <c r="A124" s="41"/>
      <c r="B124" s="41"/>
      <c r="C124" s="41"/>
      <c r="D124" s="41"/>
      <c r="E124" s="41"/>
    </row>
    <row r="125" spans="1:5" x14ac:dyDescent="0.25">
      <c r="A125" s="41"/>
      <c r="B125" s="41"/>
      <c r="C125" s="41"/>
      <c r="D125" s="41"/>
      <c r="E125" s="41"/>
    </row>
    <row r="126" spans="1:5" x14ac:dyDescent="0.25">
      <c r="A126" s="41"/>
      <c r="B126" s="41"/>
      <c r="C126" s="41"/>
      <c r="D126" s="41"/>
      <c r="E126" s="41"/>
    </row>
    <row r="127" spans="1:5" x14ac:dyDescent="0.25">
      <c r="A127" s="41"/>
      <c r="B127" s="41"/>
      <c r="C127" s="41"/>
      <c r="D127" s="41"/>
      <c r="E127" s="41"/>
    </row>
    <row r="128" spans="1:5" x14ac:dyDescent="0.25">
      <c r="A128" s="41"/>
      <c r="B128" s="41"/>
      <c r="C128" s="41"/>
      <c r="D128" s="41"/>
      <c r="E128" s="41"/>
    </row>
    <row r="129" spans="1:5" x14ac:dyDescent="0.25">
      <c r="A129" s="41"/>
      <c r="B129" s="41"/>
      <c r="C129" s="41"/>
      <c r="D129" s="41"/>
      <c r="E129" s="41"/>
    </row>
    <row r="130" spans="1:5" x14ac:dyDescent="0.25">
      <c r="A130" s="41"/>
      <c r="B130" s="41"/>
      <c r="C130" s="41"/>
      <c r="D130" s="41"/>
      <c r="E130" s="41"/>
    </row>
    <row r="131" spans="1:5" x14ac:dyDescent="0.25">
      <c r="A131" s="41"/>
      <c r="B131" s="41"/>
      <c r="C131" s="41"/>
      <c r="D131" s="41"/>
      <c r="E131" s="41"/>
    </row>
    <row r="132" spans="1:5" x14ac:dyDescent="0.25">
      <c r="A132" s="41"/>
      <c r="B132" s="41"/>
      <c r="C132" s="41"/>
      <c r="D132" s="41"/>
      <c r="E132" s="41"/>
    </row>
    <row r="133" spans="1:5" x14ac:dyDescent="0.25">
      <c r="A133" s="41"/>
      <c r="B133" s="41"/>
      <c r="C133" s="41"/>
      <c r="D133" s="41"/>
      <c r="E133" s="41"/>
    </row>
    <row r="134" spans="1:5" x14ac:dyDescent="0.25">
      <c r="A134" s="41"/>
      <c r="B134" s="41"/>
      <c r="C134" s="41"/>
      <c r="D134" s="41"/>
      <c r="E134" s="41"/>
    </row>
    <row r="135" spans="1:5" x14ac:dyDescent="0.25">
      <c r="A135" s="41"/>
      <c r="B135" s="41"/>
      <c r="C135" s="41"/>
      <c r="D135" s="41"/>
      <c r="E135" s="41"/>
    </row>
    <row r="136" spans="1:5" x14ac:dyDescent="0.25">
      <c r="A136" s="41"/>
      <c r="B136" s="41"/>
      <c r="C136" s="41"/>
      <c r="D136" s="41"/>
      <c r="E136" s="41"/>
    </row>
    <row r="137" spans="1:5" x14ac:dyDescent="0.25">
      <c r="A137" s="41"/>
      <c r="B137" s="41"/>
      <c r="C137" s="41"/>
      <c r="D137" s="41"/>
      <c r="E137" s="41"/>
    </row>
    <row r="138" spans="1:5" x14ac:dyDescent="0.25">
      <c r="A138" s="41"/>
      <c r="B138" s="41"/>
      <c r="C138" s="41"/>
      <c r="D138" s="41"/>
      <c r="E138" s="41"/>
    </row>
    <row r="139" spans="1:5" x14ac:dyDescent="0.25">
      <c r="A139" s="41"/>
      <c r="B139" s="41"/>
      <c r="C139" s="41"/>
      <c r="D139" s="41"/>
      <c r="E139" s="41"/>
    </row>
    <row r="140" spans="1:5" x14ac:dyDescent="0.25">
      <c r="A140" s="41"/>
      <c r="B140" s="41"/>
      <c r="C140" s="41"/>
      <c r="D140" s="41"/>
      <c r="E140" s="41"/>
    </row>
    <row r="141" spans="1:5" x14ac:dyDescent="0.25">
      <c r="A141" s="41"/>
      <c r="B141" s="41"/>
      <c r="C141" s="41"/>
      <c r="D141" s="41"/>
      <c r="E141" s="41"/>
    </row>
    <row r="142" spans="1:5" x14ac:dyDescent="0.25">
      <c r="A142" s="41"/>
      <c r="B142" s="41"/>
      <c r="C142" s="41"/>
      <c r="D142" s="41"/>
      <c r="E142" s="41"/>
    </row>
    <row r="143" spans="1:5" x14ac:dyDescent="0.25">
      <c r="A143" s="41"/>
      <c r="B143" s="41"/>
      <c r="C143" s="41"/>
      <c r="D143" s="41"/>
      <c r="E143" s="41"/>
    </row>
    <row r="144" spans="1:5" x14ac:dyDescent="0.25">
      <c r="A144" s="41"/>
      <c r="B144" s="41"/>
      <c r="C144" s="41"/>
      <c r="D144" s="41"/>
      <c r="E144" s="41"/>
    </row>
    <row r="145" spans="1:5" x14ac:dyDescent="0.25">
      <c r="A145" s="41"/>
      <c r="B145" s="41"/>
      <c r="C145" s="41"/>
      <c r="D145" s="41"/>
      <c r="E145" s="41"/>
    </row>
    <row r="146" spans="1:5" x14ac:dyDescent="0.25">
      <c r="A146" s="41"/>
      <c r="B146" s="41"/>
      <c r="C146" s="41"/>
      <c r="D146" s="41"/>
      <c r="E146" s="41"/>
    </row>
    <row r="147" spans="1:5" x14ac:dyDescent="0.25">
      <c r="A147" s="41"/>
      <c r="B147" s="41"/>
      <c r="C147" s="41"/>
      <c r="D147" s="41"/>
      <c r="E147" s="41"/>
    </row>
    <row r="148" spans="1:5" x14ac:dyDescent="0.25">
      <c r="A148" s="41"/>
      <c r="B148" s="41"/>
      <c r="C148" s="41"/>
      <c r="D148" s="41"/>
      <c r="E148" s="41"/>
    </row>
    <row r="149" spans="1:5" x14ac:dyDescent="0.25">
      <c r="A149" s="41"/>
      <c r="B149" s="41"/>
      <c r="C149" s="41"/>
      <c r="D149" s="41"/>
      <c r="E149" s="41"/>
    </row>
    <row r="150" spans="1:5" x14ac:dyDescent="0.25">
      <c r="A150" s="41"/>
      <c r="B150" s="41"/>
      <c r="C150" s="41"/>
      <c r="D150" s="41"/>
      <c r="E150" s="41"/>
    </row>
    <row r="151" spans="1:5" x14ac:dyDescent="0.25">
      <c r="A151" s="41"/>
      <c r="B151" s="41"/>
      <c r="C151" s="41"/>
      <c r="D151" s="41"/>
      <c r="E151" s="41"/>
    </row>
    <row r="152" spans="1:5" x14ac:dyDescent="0.25">
      <c r="A152" s="41"/>
      <c r="B152" s="41"/>
      <c r="C152" s="41"/>
      <c r="D152" s="41"/>
      <c r="E152" s="41"/>
    </row>
    <row r="153" spans="1:5" x14ac:dyDescent="0.25">
      <c r="A153" s="41"/>
      <c r="B153" s="41"/>
      <c r="C153" s="41"/>
      <c r="D153" s="41"/>
      <c r="E153" s="41"/>
    </row>
    <row r="154" spans="1:5" x14ac:dyDescent="0.25">
      <c r="A154" s="41"/>
      <c r="B154" s="41"/>
      <c r="C154" s="41"/>
      <c r="D154" s="41"/>
      <c r="E154" s="41"/>
    </row>
    <row r="155" spans="1:5" x14ac:dyDescent="0.25">
      <c r="A155" s="41"/>
      <c r="B155" s="41"/>
      <c r="C155" s="41"/>
      <c r="D155" s="41"/>
      <c r="E155" s="41"/>
    </row>
    <row r="156" spans="1:5" x14ac:dyDescent="0.25">
      <c r="A156" s="41"/>
      <c r="B156" s="41"/>
      <c r="C156" s="41"/>
      <c r="D156" s="41"/>
      <c r="E156" s="41"/>
    </row>
    <row r="157" spans="1:5" x14ac:dyDescent="0.25">
      <c r="A157" s="41"/>
      <c r="B157" s="41"/>
      <c r="C157" s="41"/>
      <c r="D157" s="41"/>
      <c r="E157" s="41"/>
    </row>
    <row r="158" spans="1:5" x14ac:dyDescent="0.25">
      <c r="A158" s="41"/>
      <c r="B158" s="41"/>
      <c r="C158" s="41"/>
      <c r="D158" s="41"/>
      <c r="E158" s="41"/>
    </row>
    <row r="159" spans="1:5" x14ac:dyDescent="0.25">
      <c r="A159" s="41"/>
      <c r="B159" s="41"/>
      <c r="C159" s="41"/>
      <c r="D159" s="41"/>
      <c r="E159" s="41"/>
    </row>
    <row r="160" spans="1:5" x14ac:dyDescent="0.25">
      <c r="A160" s="41"/>
      <c r="B160" s="41"/>
      <c r="C160" s="41"/>
      <c r="D160" s="41"/>
      <c r="E160" s="41"/>
    </row>
    <row r="161" spans="1:5" x14ac:dyDescent="0.25">
      <c r="A161" s="41"/>
      <c r="B161" s="41"/>
      <c r="C161" s="41"/>
      <c r="D161" s="41"/>
      <c r="E161" s="41"/>
    </row>
    <row r="162" spans="1:5" x14ac:dyDescent="0.25">
      <c r="A162" s="41"/>
      <c r="B162" s="41"/>
      <c r="C162" s="41"/>
      <c r="D162" s="41"/>
      <c r="E162" s="41"/>
    </row>
    <row r="163" spans="1:5" x14ac:dyDescent="0.25">
      <c r="A163" s="41"/>
      <c r="B163" s="41"/>
      <c r="C163" s="41"/>
      <c r="D163" s="41"/>
      <c r="E163" s="41"/>
    </row>
    <row r="164" spans="1:5" x14ac:dyDescent="0.25">
      <c r="A164" s="41"/>
      <c r="B164" s="41"/>
      <c r="C164" s="41"/>
      <c r="D164" s="41"/>
      <c r="E164" s="41"/>
    </row>
    <row r="165" spans="1:5" x14ac:dyDescent="0.25">
      <c r="A165" s="41"/>
      <c r="B165" s="41"/>
      <c r="C165" s="41"/>
      <c r="D165" s="41"/>
      <c r="E165" s="41"/>
    </row>
    <row r="166" spans="1:5" x14ac:dyDescent="0.25">
      <c r="A166" s="41"/>
      <c r="B166" s="41"/>
      <c r="C166" s="41"/>
      <c r="D166" s="41"/>
      <c r="E166" s="41"/>
    </row>
    <row r="167" spans="1:5" x14ac:dyDescent="0.25">
      <c r="A167" s="41"/>
      <c r="B167" s="41"/>
      <c r="C167" s="41"/>
      <c r="D167" s="41"/>
      <c r="E167" s="41"/>
    </row>
    <row r="168" spans="1:5" x14ac:dyDescent="0.25">
      <c r="A168" s="41"/>
      <c r="B168" s="41"/>
      <c r="C168" s="41"/>
      <c r="D168" s="41"/>
      <c r="E168" s="41"/>
    </row>
    <row r="169" spans="1:5" x14ac:dyDescent="0.25">
      <c r="A169" s="41"/>
      <c r="B169" s="41"/>
      <c r="C169" s="41"/>
      <c r="D169" s="41"/>
      <c r="E169" s="41"/>
    </row>
    <row r="170" spans="1:5" x14ac:dyDescent="0.25">
      <c r="A170" s="41"/>
      <c r="B170" s="41"/>
      <c r="C170" s="41"/>
      <c r="D170" s="41"/>
      <c r="E170" s="41"/>
    </row>
    <row r="171" spans="1:5" x14ac:dyDescent="0.25">
      <c r="A171" s="41"/>
      <c r="B171" s="41"/>
      <c r="C171" s="41"/>
      <c r="D171" s="41"/>
      <c r="E171" s="41"/>
    </row>
    <row r="172" spans="1:5" x14ac:dyDescent="0.25">
      <c r="A172" s="41"/>
      <c r="B172" s="41"/>
      <c r="C172" s="41"/>
      <c r="D172" s="41"/>
      <c r="E172" s="41"/>
    </row>
    <row r="173" spans="1:5" x14ac:dyDescent="0.25">
      <c r="A173" s="41"/>
      <c r="B173" s="41"/>
      <c r="C173" s="41"/>
      <c r="D173" s="41"/>
      <c r="E173" s="41"/>
    </row>
    <row r="174" spans="1:5" x14ac:dyDescent="0.25">
      <c r="A174" s="41"/>
      <c r="B174" s="41"/>
      <c r="C174" s="41"/>
      <c r="D174" s="41"/>
      <c r="E174" s="41"/>
    </row>
    <row r="175" spans="1:5" x14ac:dyDescent="0.25">
      <c r="A175" s="41"/>
      <c r="B175" s="41"/>
      <c r="C175" s="41"/>
      <c r="D175" s="41"/>
      <c r="E175" s="41"/>
    </row>
    <row r="176" spans="1:5" x14ac:dyDescent="0.25">
      <c r="A176" s="41"/>
      <c r="B176" s="41"/>
      <c r="C176" s="41"/>
      <c r="D176" s="41"/>
      <c r="E176" s="41"/>
    </row>
    <row r="177" spans="1:5" x14ac:dyDescent="0.25">
      <c r="A177" s="41"/>
      <c r="B177" s="41"/>
      <c r="C177" s="41"/>
      <c r="D177" s="41"/>
      <c r="E177" s="41"/>
    </row>
    <row r="178" spans="1:5" x14ac:dyDescent="0.25">
      <c r="A178" s="41"/>
      <c r="B178" s="41"/>
      <c r="C178" s="41"/>
      <c r="D178" s="41"/>
      <c r="E178" s="41"/>
    </row>
    <row r="179" spans="1:5" x14ac:dyDescent="0.25">
      <c r="A179" s="41"/>
      <c r="B179" s="41"/>
      <c r="C179" s="41"/>
      <c r="D179" s="41"/>
      <c r="E179" s="41"/>
    </row>
    <row r="180" spans="1:5" x14ac:dyDescent="0.25">
      <c r="A180" s="41"/>
      <c r="B180" s="41"/>
      <c r="C180" s="41"/>
      <c r="D180" s="41"/>
      <c r="E180" s="41"/>
    </row>
    <row r="181" spans="1:5" x14ac:dyDescent="0.25">
      <c r="A181" s="41"/>
      <c r="B181" s="41"/>
      <c r="C181" s="41"/>
      <c r="D181" s="41"/>
      <c r="E181" s="41"/>
    </row>
    <row r="182" spans="1:5" x14ac:dyDescent="0.25">
      <c r="A182" s="41"/>
      <c r="B182" s="41"/>
      <c r="C182" s="41"/>
      <c r="D182" s="41"/>
      <c r="E182" s="41"/>
    </row>
    <row r="183" spans="1:5" x14ac:dyDescent="0.25">
      <c r="A183" s="41"/>
      <c r="B183" s="41"/>
      <c r="C183" s="41"/>
      <c r="D183" s="41"/>
      <c r="E183" s="41"/>
    </row>
    <row r="184" spans="1:5" x14ac:dyDescent="0.25">
      <c r="A184" s="41"/>
      <c r="B184" s="41"/>
      <c r="C184" s="41"/>
      <c r="D184" s="41"/>
      <c r="E184" s="41"/>
    </row>
    <row r="185" spans="1:5" x14ac:dyDescent="0.25">
      <c r="A185" s="41"/>
      <c r="B185" s="41"/>
      <c r="C185" s="41"/>
      <c r="D185" s="41"/>
      <c r="E185" s="41"/>
    </row>
    <row r="186" spans="1:5" x14ac:dyDescent="0.25">
      <c r="A186" s="41"/>
      <c r="B186" s="41"/>
      <c r="C186" s="41"/>
      <c r="D186" s="41"/>
      <c r="E186" s="41"/>
    </row>
    <row r="187" spans="1:5" x14ac:dyDescent="0.25">
      <c r="A187" s="41"/>
      <c r="B187" s="41"/>
      <c r="C187" s="41"/>
      <c r="D187" s="41"/>
      <c r="E187" s="41"/>
    </row>
    <row r="188" spans="1:5" x14ac:dyDescent="0.25">
      <c r="A188" s="41"/>
      <c r="B188" s="41"/>
      <c r="C188" s="41"/>
      <c r="D188" s="41"/>
      <c r="E188" s="41"/>
    </row>
    <row r="189" spans="1:5" x14ac:dyDescent="0.25">
      <c r="A189" s="41"/>
      <c r="B189" s="41"/>
      <c r="C189" s="41"/>
      <c r="D189" s="41"/>
      <c r="E189" s="41"/>
    </row>
    <row r="190" spans="1:5" x14ac:dyDescent="0.25">
      <c r="A190" s="41"/>
      <c r="B190" s="41"/>
      <c r="C190" s="41"/>
      <c r="D190" s="41"/>
      <c r="E190" s="41"/>
    </row>
    <row r="191" spans="1:5" x14ac:dyDescent="0.25">
      <c r="A191" s="41"/>
      <c r="B191" s="41"/>
      <c r="C191" s="41"/>
      <c r="D191" s="41"/>
      <c r="E191" s="41"/>
    </row>
    <row r="192" spans="1:5" x14ac:dyDescent="0.25">
      <c r="A192" s="41"/>
      <c r="B192" s="41"/>
      <c r="C192" s="41"/>
      <c r="D192" s="41"/>
      <c r="E192" s="41"/>
    </row>
    <row r="193" spans="1:5" x14ac:dyDescent="0.25">
      <c r="A193" s="41"/>
      <c r="B193" s="41"/>
      <c r="C193" s="41"/>
      <c r="D193" s="41"/>
      <c r="E193" s="41"/>
    </row>
    <row r="194" spans="1:5" x14ac:dyDescent="0.25">
      <c r="A194" s="41"/>
      <c r="B194" s="41"/>
      <c r="C194" s="41"/>
      <c r="D194" s="41"/>
      <c r="E194" s="41"/>
    </row>
    <row r="195" spans="1:5" x14ac:dyDescent="0.25">
      <c r="A195" s="41"/>
      <c r="B195" s="41"/>
      <c r="C195" s="41"/>
      <c r="D195" s="41"/>
      <c r="E195" s="41"/>
    </row>
    <row r="196" spans="1:5" x14ac:dyDescent="0.25">
      <c r="A196" s="41"/>
      <c r="B196" s="41"/>
      <c r="C196" s="41"/>
      <c r="D196" s="41"/>
      <c r="E196" s="41"/>
    </row>
    <row r="197" spans="1:5" x14ac:dyDescent="0.25">
      <c r="A197" s="41"/>
      <c r="B197" s="41"/>
      <c r="C197" s="41"/>
      <c r="D197" s="41"/>
      <c r="E197" s="41"/>
    </row>
    <row r="198" spans="1:5" x14ac:dyDescent="0.25">
      <c r="A198" s="41"/>
      <c r="B198" s="41"/>
      <c r="C198" s="41"/>
      <c r="D198" s="41"/>
      <c r="E198" s="41"/>
    </row>
    <row r="199" spans="1:5" x14ac:dyDescent="0.25">
      <c r="A199" s="41"/>
      <c r="B199" s="41"/>
      <c r="C199" s="41"/>
      <c r="D199" s="41"/>
      <c r="E199" s="41"/>
    </row>
    <row r="200" spans="1:5" x14ac:dyDescent="0.25">
      <c r="A200" s="41"/>
      <c r="B200" s="41"/>
      <c r="C200" s="41"/>
      <c r="D200" s="41"/>
      <c r="E200" s="41"/>
    </row>
    <row r="201" spans="1:5" x14ac:dyDescent="0.25">
      <c r="A201" s="41"/>
      <c r="B201" s="41"/>
      <c r="C201" s="41"/>
      <c r="D201" s="41"/>
      <c r="E201" s="41"/>
    </row>
    <row r="202" spans="1:5" x14ac:dyDescent="0.25">
      <c r="A202" s="41"/>
      <c r="B202" s="41"/>
      <c r="C202" s="41"/>
      <c r="D202" s="41"/>
      <c r="E202" s="41"/>
    </row>
    <row r="203" spans="1:5" x14ac:dyDescent="0.25">
      <c r="A203" s="41"/>
      <c r="B203" s="41"/>
      <c r="C203" s="41"/>
      <c r="D203" s="41"/>
      <c r="E203" s="41"/>
    </row>
    <row r="204" spans="1:5" x14ac:dyDescent="0.25">
      <c r="A204" s="41"/>
      <c r="B204" s="41"/>
      <c r="C204" s="41"/>
      <c r="D204" s="41"/>
      <c r="E204" s="41"/>
    </row>
    <row r="205" spans="1:5" x14ac:dyDescent="0.25">
      <c r="A205" s="41"/>
      <c r="B205" s="41"/>
      <c r="C205" s="41"/>
      <c r="D205" s="41"/>
      <c r="E205" s="41"/>
    </row>
    <row r="206" spans="1:5" x14ac:dyDescent="0.25">
      <c r="A206" s="41"/>
      <c r="B206" s="41"/>
      <c r="C206" s="41"/>
      <c r="D206" s="41"/>
      <c r="E206" s="4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6"/>
  <dimension ref="A1:AA206"/>
  <sheetViews>
    <sheetView zoomScale="70" zoomScaleNormal="70" workbookViewId="0">
      <selection activeCell="B16" sqref="B16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4" ht="15.75" thickBot="1" x14ac:dyDescent="0.3">
      <c r="A1" s="1" t="s">
        <v>0</v>
      </c>
      <c r="B1" s="71" t="s">
        <v>1</v>
      </c>
      <c r="C1" s="72"/>
      <c r="E1" s="73" t="s">
        <v>2</v>
      </c>
      <c r="F1" s="74"/>
      <c r="G1" s="74"/>
      <c r="H1" s="75"/>
      <c r="J1" s="2" t="s">
        <v>3</v>
      </c>
      <c r="L1" s="76" t="s">
        <v>4</v>
      </c>
      <c r="M1" s="77"/>
      <c r="N1" s="77"/>
      <c r="O1" s="78"/>
    </row>
    <row r="2" spans="1:24" ht="15.75" thickBot="1" x14ac:dyDescent="0.3">
      <c r="A2" s="3" t="s">
        <v>5</v>
      </c>
      <c r="B2" s="79" t="s">
        <v>6</v>
      </c>
      <c r="C2" s="80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4" ht="15.75" thickBot="1" x14ac:dyDescent="0.3">
      <c r="A3" s="10" t="s">
        <v>9</v>
      </c>
      <c r="B3" s="81" t="s">
        <v>11</v>
      </c>
      <c r="C3" s="82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4" ht="15.75" thickBot="1" x14ac:dyDescent="0.3">
      <c r="E4" s="11"/>
      <c r="F4" s="4"/>
      <c r="G4" s="3" t="s">
        <v>16</v>
      </c>
      <c r="H4" s="12">
        <v>19.269400000000001</v>
      </c>
      <c r="J4" s="6">
        <v>50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4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4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4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  <c r="S7">
        <f>B18*B19</f>
        <v>0.7488743382105455</v>
      </c>
    </row>
    <row r="8" spans="1:24" ht="15.75" thickBot="1" x14ac:dyDescent="0.3"/>
    <row r="9" spans="1:24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52"/>
      <c r="N9" s="52"/>
      <c r="O9" s="52"/>
      <c r="P9" s="52"/>
      <c r="Q9" s="52"/>
      <c r="R9" s="52"/>
      <c r="S9" s="52"/>
      <c r="T9" s="52"/>
      <c r="U9" s="52"/>
      <c r="W9">
        <f>B21*B18/3</f>
        <v>3.8325392144427899</v>
      </c>
      <c r="X9">
        <f>W9/D21</f>
        <v>4.6957243084479634</v>
      </c>
    </row>
    <row r="10" spans="1:24" ht="15.75" thickBot="1" x14ac:dyDescent="0.3">
      <c r="A10" s="24">
        <v>45.113897105896456</v>
      </c>
      <c r="B10" s="25">
        <f>A10+273.15</f>
        <v>318.26389710589643</v>
      </c>
      <c r="C10" s="18">
        <f>C19</f>
        <v>1.8542782363381138E-3</v>
      </c>
      <c r="D10" s="18">
        <f>C21</f>
        <v>0.4950925479888969</v>
      </c>
      <c r="E10" s="18">
        <f>C20</f>
        <v>0.50305317377476499</v>
      </c>
      <c r="F10" s="26">
        <f>EXP(M3+N3/(B10+O3))/1000</f>
        <v>72.8042156051295</v>
      </c>
      <c r="G10" s="18">
        <f>EXP(M4+N4/(B10+O4))/1000</f>
        <v>44.786804536633596</v>
      </c>
      <c r="H10" s="20">
        <v>0</v>
      </c>
      <c r="I10" s="27">
        <f>(C10*F10*S13)/J4</f>
        <v>0.18381822480481591</v>
      </c>
      <c r="J10" s="24">
        <f>(D10*G10*T13)/J4</f>
        <v>0.816181774943324</v>
      </c>
      <c r="K10" s="28">
        <v>0</v>
      </c>
      <c r="L10" s="24">
        <f>SUM(I10:K10)</f>
        <v>0.99999999974813991</v>
      </c>
      <c r="M10" s="52"/>
      <c r="N10" s="52"/>
      <c r="O10" s="52"/>
      <c r="P10" s="52"/>
      <c r="Q10" s="52"/>
      <c r="R10" s="52"/>
      <c r="S10" s="52"/>
      <c r="T10" s="52"/>
      <c r="U10" s="52"/>
    </row>
    <row r="11" spans="1:24" ht="15.75" thickBot="1" x14ac:dyDescent="0.3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W11">
        <f>B18/3</f>
        <v>6.8969807605269962</v>
      </c>
    </row>
    <row r="12" spans="1:24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4" ht="15.75" thickBot="1" x14ac:dyDescent="0.3">
      <c r="A13" s="27">
        <f>H2/(J2*B10)</f>
        <v>2.1064259331125816</v>
      </c>
      <c r="B13" s="24">
        <f>H3/(J2*B10)</f>
        <v>2.8340776710272464</v>
      </c>
      <c r="C13" s="28">
        <f>H4/(J2*B10)</f>
        <v>7.2823373836983665</v>
      </c>
      <c r="D13" s="24">
        <f>H5/(J2*B10)</f>
        <v>6.1268775189947746</v>
      </c>
      <c r="E13" s="28">
        <f>H6/(J2*B10)</f>
        <v>4.0232104192086586</v>
      </c>
      <c r="F13" s="24">
        <f>H7/(J2*B10)</f>
        <v>0.21284588074869587</v>
      </c>
      <c r="G13" s="28">
        <f t="shared" ref="G13:L13" si="0">EXP(-$F$2*A13)</f>
        <v>0.4306022911455214</v>
      </c>
      <c r="H13" s="28">
        <f t="shared" si="0"/>
        <v>0.3218624275354956</v>
      </c>
      <c r="I13" s="28">
        <f t="shared" si="0"/>
        <v>5.4316080532559291E-2</v>
      </c>
      <c r="J13" s="28">
        <f t="shared" si="0"/>
        <v>8.6228803689494635E-2</v>
      </c>
      <c r="K13" s="28">
        <f t="shared" si="0"/>
        <v>0.20003075131399337</v>
      </c>
      <c r="L13" s="28">
        <f t="shared" si="0"/>
        <v>0.91838521490519254</v>
      </c>
      <c r="M13" s="28">
        <f>D10*B13*H13+E10*D13*J13</f>
        <v>0.71738475640590704</v>
      </c>
      <c r="N13" s="24">
        <f>C10*A13*G13+E10*F13*L13</f>
        <v>0.10001596200136242</v>
      </c>
      <c r="O13" s="28">
        <f>C10*C13*I13+D10*E13*K13</f>
        <v>0.39916700795859639</v>
      </c>
      <c r="P13" s="24">
        <f>C10+H13*D10+J13*E10</f>
        <v>0.20458364095357973</v>
      </c>
      <c r="Q13" s="28">
        <f>G13*C10+D10+L13*E10</f>
        <v>0.95788760155176211</v>
      </c>
      <c r="R13" s="24">
        <f>I13*C10+K13*D10+E10</f>
        <v>0.60218762524495806</v>
      </c>
      <c r="S13" s="28">
        <f>EXP(M13/P13-(C10*M13)/P13^2+D10*G13/Q13*(A13-N13/Q13)+E10*I13/R13*(C13-O13/R13))</f>
        <v>68.081190878582916</v>
      </c>
      <c r="T13" s="24">
        <f>EXP(N13/Q13-D10*N13/Q13^2+C10*H13/P13*(B13-M13/P13)+E10*K13/R13*(E13-O13/R13))</f>
        <v>1.8404347738159224</v>
      </c>
      <c r="U13" s="25">
        <f>EXP(O13/R13-E10*O13/R13^2+C10*J13/P13*(D13-M13/P13)+D10*L13/Q13*(F13-N13/Q13))</f>
        <v>1.1766143616329292</v>
      </c>
    </row>
    <row r="14" spans="1:24" ht="15.75" thickBot="1" x14ac:dyDescent="0.3"/>
    <row r="15" spans="1:24" ht="15.75" thickBot="1" x14ac:dyDescent="0.3">
      <c r="A15" s="31"/>
      <c r="B15" s="48" t="s">
        <v>54</v>
      </c>
      <c r="C15" s="33" t="s">
        <v>55</v>
      </c>
      <c r="D15" s="49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4" ht="15.75" thickBot="1" x14ac:dyDescent="0.3">
      <c r="A16" s="37" t="s">
        <v>21</v>
      </c>
      <c r="B16" s="52">
        <v>68</v>
      </c>
      <c r="C16" s="38">
        <f>A10</f>
        <v>45.113897105896456</v>
      </c>
      <c r="D16" s="12">
        <f>A10</f>
        <v>45.113897105896456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329.70694855294823</v>
      </c>
      <c r="T16" s="24">
        <f>J22*1000*EXP(-J23*D17/J24)*(1-D17/J24)^J23</f>
        <v>28578.353610064791</v>
      </c>
    </row>
    <row r="17" spans="1:27" ht="15.75" thickBot="1" x14ac:dyDescent="0.3">
      <c r="A17" s="33" t="s">
        <v>22</v>
      </c>
      <c r="B17" s="4">
        <f>B16+273.15</f>
        <v>341.15</v>
      </c>
      <c r="C17" s="24">
        <f>C16+273.15</f>
        <v>318.26389710589643</v>
      </c>
      <c r="D17" s="25">
        <f>D16+273.15</f>
        <v>318.26389710589643</v>
      </c>
      <c r="I17" s="40" t="s">
        <v>60</v>
      </c>
      <c r="J17" s="6">
        <v>-0.31</v>
      </c>
      <c r="K17" s="51"/>
      <c r="L17" s="51"/>
      <c r="N17" s="11"/>
      <c r="O17" s="51"/>
      <c r="P17" s="51"/>
      <c r="Q17" s="5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16.786397025740577</v>
      </c>
      <c r="D18" s="12">
        <f>B18-C18</f>
        <v>3.9045452558404108</v>
      </c>
      <c r="F18" s="2" t="s">
        <v>64</v>
      </c>
      <c r="I18" s="3" t="s">
        <v>65</v>
      </c>
      <c r="J18" s="6">
        <v>0.42409999999999998</v>
      </c>
      <c r="L18" s="51"/>
      <c r="N18" s="11"/>
      <c r="O18" s="51"/>
      <c r="P18" s="51"/>
      <c r="Q18" s="51"/>
      <c r="S18" s="24">
        <v>187.5</v>
      </c>
      <c r="T18" s="24">
        <f>J16*1000*EXP(-J17*D17/J19)*(1-D17/J19)</f>
        <v>20819.158761308841</v>
      </c>
    </row>
    <row r="19" spans="1:27" ht="15.75" thickBot="1" x14ac:dyDescent="0.3">
      <c r="A19" s="33" t="s">
        <v>23</v>
      </c>
      <c r="B19" s="43">
        <v>3.6193341415735866E-2</v>
      </c>
      <c r="C19" s="45">
        <v>1.8542782363381138E-3</v>
      </c>
      <c r="D19" s="25">
        <f>(B18*B19-C18*C19)/D18</f>
        <v>0.18382363130906945</v>
      </c>
      <c r="E19" s="52">
        <f>I10</f>
        <v>0.18381822480481591</v>
      </c>
      <c r="F19" s="52">
        <f>(D19-E19)^2</f>
        <v>2.9230288243558727E-11</v>
      </c>
      <c r="I19" s="10" t="s">
        <v>66</v>
      </c>
      <c r="J19" s="18">
        <v>512.6</v>
      </c>
      <c r="K19" s="51"/>
      <c r="L19" s="51" t="s">
        <v>67</v>
      </c>
      <c r="N19" s="11"/>
      <c r="O19" s="51"/>
      <c r="P19" s="51"/>
      <c r="Q19" s="5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0.50305317377476499</v>
      </c>
      <c r="D20" s="25">
        <v>0</v>
      </c>
      <c r="S20" s="24">
        <f>A36+B36*S16+C36*S16^2+D36*S16^3</f>
        <v>89.701977453629652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0.4950925479888969</v>
      </c>
      <c r="D21" s="25">
        <f>(B18*B21-C18*C21)/D18</f>
        <v>0.81617636869093058</v>
      </c>
      <c r="E21" s="52">
        <f>J10</f>
        <v>0.816181774943324</v>
      </c>
      <c r="F21" s="52">
        <f>(D21-E21)^2</f>
        <v>2.9227564941414302E-11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52">
        <f>S24*(B17-C17)</f>
        <v>4198.1269713049096</v>
      </c>
      <c r="C22" s="6">
        <v>0</v>
      </c>
      <c r="D22" s="12">
        <f>T22</f>
        <v>22245.482134441787</v>
      </c>
      <c r="F22" s="2" t="s">
        <v>64</v>
      </c>
      <c r="I22" s="1" t="s">
        <v>59</v>
      </c>
      <c r="J22" s="38">
        <v>46.23</v>
      </c>
      <c r="S22" s="24">
        <f>D43+E43*S16+S16^2*F43</f>
        <v>310.69912254500116</v>
      </c>
      <c r="T22" s="24">
        <f>D19*T16+D21*T18</f>
        <v>22245.482134441787</v>
      </c>
    </row>
    <row r="23" spans="1:27" ht="15.75" thickBot="1" x14ac:dyDescent="0.3">
      <c r="A23" s="33" t="s">
        <v>73</v>
      </c>
      <c r="B23" s="28">
        <f>B18*B22</f>
        <v>86863.202854018295</v>
      </c>
      <c r="C23" s="24">
        <v>0</v>
      </c>
      <c r="D23" s="25">
        <f>D18*D22</f>
        <v>86858.491731917296</v>
      </c>
      <c r="E23">
        <f>(B23-D23)/B23</f>
        <v>5.4236108573105015E-5</v>
      </c>
      <c r="F23">
        <f>E23^2</f>
        <v>2.9415554731536354E-9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183.43564173988443</v>
      </c>
    </row>
    <row r="25" spans="1:27" ht="16.5" thickBot="1" x14ac:dyDescent="0.3">
      <c r="A25" s="73" t="s">
        <v>77</v>
      </c>
      <c r="B25" s="74"/>
      <c r="C25" s="74"/>
      <c r="D25" s="75"/>
      <c r="F25" s="24">
        <f>F19+F21+F23</f>
        <v>3.0000133263386083E-9</v>
      </c>
      <c r="K25" s="47" t="s">
        <v>78</v>
      </c>
    </row>
    <row r="26" spans="1:27" ht="15.75" thickBot="1" x14ac:dyDescent="0.3">
      <c r="A26" s="66" t="s">
        <v>55</v>
      </c>
      <c r="B26" s="67"/>
      <c r="C26" s="68" t="s">
        <v>79</v>
      </c>
      <c r="D26" s="67"/>
      <c r="I26" s="11"/>
      <c r="J26" s="11"/>
    </row>
    <row r="27" spans="1:27" x14ac:dyDescent="0.25">
      <c r="I27" s="39"/>
      <c r="J27" s="39"/>
    </row>
    <row r="28" spans="1:27" ht="15.75" thickBot="1" x14ac:dyDescent="0.3">
      <c r="E28" s="50"/>
      <c r="N28" s="69"/>
      <c r="O28" s="69"/>
      <c r="X28" s="70"/>
      <c r="Y28" s="70"/>
    </row>
    <row r="29" spans="1:27" ht="16.5" thickBot="1" x14ac:dyDescent="0.3">
      <c r="A29" s="53" t="s">
        <v>6</v>
      </c>
      <c r="B29" s="51"/>
      <c r="C29" s="54" t="s">
        <v>80</v>
      </c>
      <c r="D29" s="55">
        <v>32.04</v>
      </c>
      <c r="E29" s="56" t="s">
        <v>81</v>
      </c>
      <c r="K29" s="47" t="s">
        <v>82</v>
      </c>
      <c r="N29" s="51"/>
      <c r="O29" s="51"/>
      <c r="X29" s="52"/>
      <c r="Y29" s="52"/>
      <c r="Z29" s="52"/>
      <c r="AA29" s="52"/>
    </row>
    <row r="30" spans="1:27" ht="15.75" thickBot="1" x14ac:dyDescent="0.3">
      <c r="A30" s="54" t="s">
        <v>83</v>
      </c>
      <c r="B30" s="56" t="s">
        <v>84</v>
      </c>
      <c r="C30" s="51"/>
      <c r="D30" s="51"/>
      <c r="E30" s="54" t="s">
        <v>85</v>
      </c>
      <c r="F30" s="57" t="s">
        <v>86</v>
      </c>
      <c r="G30" s="58" t="s">
        <v>87</v>
      </c>
      <c r="N30" s="51"/>
      <c r="O30" s="51"/>
      <c r="X30" s="52"/>
      <c r="Y30" s="52"/>
      <c r="Z30" s="52"/>
      <c r="AA30" s="52"/>
    </row>
    <row r="31" spans="1:27" ht="15.75" thickBot="1" x14ac:dyDescent="0.3">
      <c r="A31" s="59" t="s">
        <v>88</v>
      </c>
      <c r="B31" s="60" t="s">
        <v>89</v>
      </c>
      <c r="C31" s="60" t="s">
        <v>90</v>
      </c>
      <c r="D31" s="61" t="s">
        <v>91</v>
      </c>
      <c r="E31" s="51"/>
      <c r="N31" s="51"/>
      <c r="O31" s="51"/>
      <c r="X31" s="52"/>
      <c r="Y31" s="52"/>
      <c r="Z31" s="52"/>
      <c r="AA31" s="52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51"/>
      <c r="N32" s="51"/>
      <c r="O32" s="51"/>
      <c r="X32" s="52"/>
      <c r="Y32" s="52"/>
      <c r="Z32" s="52"/>
      <c r="AA32" s="52"/>
    </row>
    <row r="33" spans="1:27" ht="15.75" thickBot="1" x14ac:dyDescent="0.3">
      <c r="A33" s="51"/>
      <c r="B33" s="62" t="s">
        <v>92</v>
      </c>
      <c r="C33" s="51"/>
      <c r="D33" s="51"/>
      <c r="E33" s="51"/>
      <c r="N33" s="51"/>
      <c r="O33" s="51"/>
      <c r="X33" s="52"/>
      <c r="Y33" s="52"/>
      <c r="Z33" s="52"/>
      <c r="AA33" s="52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51"/>
      <c r="N34" s="51"/>
      <c r="O34" s="51"/>
      <c r="X34" s="52"/>
      <c r="Y34" s="52"/>
      <c r="Z34" s="52"/>
      <c r="AA34" s="52"/>
    </row>
    <row r="35" spans="1:27" ht="15.75" thickBot="1" x14ac:dyDescent="0.3">
      <c r="A35" s="51"/>
      <c r="B35" s="62" t="s">
        <v>93</v>
      </c>
      <c r="C35" s="51"/>
      <c r="D35" s="51"/>
      <c r="E35" s="51"/>
      <c r="N35" s="51"/>
      <c r="O35" s="51"/>
      <c r="X35" s="52"/>
      <c r="Y35" s="52"/>
      <c r="Z35" s="52"/>
      <c r="AA35" s="52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51"/>
      <c r="N36" s="51"/>
      <c r="O36" s="51"/>
      <c r="X36" s="52"/>
      <c r="Y36" s="52"/>
      <c r="Z36" s="52"/>
      <c r="AA36" s="52"/>
    </row>
    <row r="37" spans="1:27" x14ac:dyDescent="0.25">
      <c r="A37" s="51"/>
      <c r="B37" s="51"/>
      <c r="C37" s="51"/>
      <c r="D37" s="51"/>
      <c r="E37" s="51"/>
      <c r="N37" s="51"/>
      <c r="O37" s="51"/>
    </row>
    <row r="38" spans="1:27" x14ac:dyDescent="0.25">
      <c r="A38" s="51"/>
      <c r="B38" s="51"/>
      <c r="C38" s="51"/>
      <c r="D38" s="51"/>
      <c r="E38" s="51"/>
      <c r="N38" s="51"/>
      <c r="O38" s="51"/>
    </row>
    <row r="39" spans="1:27" x14ac:dyDescent="0.25">
      <c r="A39" s="51" t="s">
        <v>94</v>
      </c>
      <c r="B39" s="51"/>
      <c r="C39" s="51"/>
      <c r="D39" s="51"/>
      <c r="E39" s="51"/>
      <c r="F39" t="s">
        <v>95</v>
      </c>
      <c r="G39" s="63" t="s">
        <v>86</v>
      </c>
      <c r="H39" t="s">
        <v>93</v>
      </c>
      <c r="N39" s="51"/>
      <c r="O39" s="51"/>
    </row>
    <row r="40" spans="1:27" ht="16.5" thickBot="1" x14ac:dyDescent="0.3">
      <c r="A40" s="64" t="s">
        <v>96</v>
      </c>
      <c r="B40" s="51"/>
      <c r="C40" s="51"/>
      <c r="D40" s="51"/>
      <c r="E40" s="51"/>
    </row>
    <row r="41" spans="1:27" ht="15.75" thickBot="1" x14ac:dyDescent="0.3">
      <c r="A41" s="54" t="s">
        <v>22</v>
      </c>
      <c r="B41" s="56" t="s">
        <v>97</v>
      </c>
      <c r="C41" s="51"/>
      <c r="E41" s="65" t="s">
        <v>83</v>
      </c>
      <c r="F41" s="51"/>
    </row>
    <row r="42" spans="1:27" ht="15.75" thickBot="1" x14ac:dyDescent="0.3">
      <c r="A42" s="51">
        <v>283.14999999999998</v>
      </c>
      <c r="B42" s="51">
        <v>290</v>
      </c>
      <c r="C42" s="51"/>
      <c r="D42" s="54" t="s">
        <v>88</v>
      </c>
      <c r="E42" s="55" t="s">
        <v>89</v>
      </c>
      <c r="F42" s="56" t="s">
        <v>90</v>
      </c>
    </row>
    <row r="43" spans="1:27" ht="15.75" thickBot="1" x14ac:dyDescent="0.3">
      <c r="A43" s="51">
        <v>293.14999999999998</v>
      </c>
      <c r="B43" s="51">
        <v>294</v>
      </c>
      <c r="C43" s="51"/>
      <c r="D43" s="27">
        <v>753.28</v>
      </c>
      <c r="E43" s="28">
        <v>-3.4195000000000002</v>
      </c>
      <c r="F43" s="25">
        <v>6.3E-3</v>
      </c>
    </row>
    <row r="44" spans="1:27" x14ac:dyDescent="0.25">
      <c r="A44" s="51">
        <v>303.14999999999998</v>
      </c>
      <c r="B44" s="51">
        <v>297</v>
      </c>
      <c r="C44" s="51"/>
      <c r="D44" s="51"/>
      <c r="E44" s="51"/>
    </row>
    <row r="45" spans="1:27" x14ac:dyDescent="0.25">
      <c r="A45" s="51">
        <v>313.14999999999998</v>
      </c>
      <c r="B45" s="51">
        <v>302</v>
      </c>
      <c r="C45" s="51"/>
      <c r="D45" s="51"/>
      <c r="E45" s="51"/>
    </row>
    <row r="46" spans="1:27" x14ac:dyDescent="0.25">
      <c r="A46" s="51">
        <v>323.14999999999998</v>
      </c>
      <c r="B46" s="51">
        <v>306</v>
      </c>
      <c r="C46" s="51"/>
      <c r="D46" s="51"/>
      <c r="E46" s="51"/>
    </row>
    <row r="47" spans="1:27" x14ac:dyDescent="0.25">
      <c r="A47" s="51">
        <v>333.15</v>
      </c>
      <c r="B47" s="51">
        <v>313</v>
      </c>
      <c r="C47" s="51"/>
      <c r="D47" s="51"/>
      <c r="E47" s="51"/>
    </row>
    <row r="48" spans="1:27" x14ac:dyDescent="0.25">
      <c r="A48" s="51">
        <v>343.15</v>
      </c>
      <c r="B48" s="51">
        <v>324</v>
      </c>
      <c r="C48" s="51"/>
      <c r="D48" s="51"/>
      <c r="E48" s="51"/>
    </row>
    <row r="49" spans="1:5" x14ac:dyDescent="0.25">
      <c r="A49" s="51"/>
      <c r="B49" s="51"/>
      <c r="C49" s="51"/>
      <c r="D49" s="51"/>
      <c r="E49" s="51"/>
    </row>
    <row r="50" spans="1:5" x14ac:dyDescent="0.25">
      <c r="D50" s="51"/>
      <c r="E50" s="51"/>
    </row>
    <row r="51" spans="1:5" x14ac:dyDescent="0.25">
      <c r="D51" s="51"/>
      <c r="E51" s="51"/>
    </row>
    <row r="52" spans="1:5" x14ac:dyDescent="0.25">
      <c r="D52" s="51"/>
      <c r="E52" s="51"/>
    </row>
    <row r="53" spans="1:5" x14ac:dyDescent="0.25">
      <c r="A53" s="51"/>
      <c r="B53" s="51"/>
      <c r="C53" s="51"/>
      <c r="D53" s="51"/>
      <c r="E53" s="51"/>
    </row>
    <row r="54" spans="1:5" x14ac:dyDescent="0.25">
      <c r="A54" s="51"/>
      <c r="B54" s="51"/>
      <c r="C54" s="51"/>
      <c r="D54" s="51"/>
      <c r="E54" s="51"/>
    </row>
    <row r="55" spans="1:5" x14ac:dyDescent="0.25">
      <c r="A55" s="51"/>
      <c r="B55" s="51"/>
      <c r="C55" s="51"/>
      <c r="D55" s="51"/>
      <c r="E55" s="51"/>
    </row>
    <row r="56" spans="1:5" x14ac:dyDescent="0.25">
      <c r="A56" s="51"/>
      <c r="B56" s="51"/>
      <c r="C56" s="51"/>
      <c r="D56" s="51"/>
      <c r="E56" s="51"/>
    </row>
    <row r="57" spans="1:5" x14ac:dyDescent="0.25">
      <c r="A57" s="51"/>
      <c r="B57" s="51"/>
      <c r="C57" s="51"/>
      <c r="D57" s="51"/>
      <c r="E57" s="51"/>
    </row>
    <row r="58" spans="1:5" x14ac:dyDescent="0.25">
      <c r="A58" s="51"/>
      <c r="B58" s="51"/>
      <c r="C58" s="51"/>
      <c r="D58" s="51"/>
      <c r="E58" s="51"/>
    </row>
    <row r="59" spans="1:5" x14ac:dyDescent="0.25">
      <c r="A59" s="51"/>
      <c r="B59" s="51"/>
      <c r="C59" s="51"/>
      <c r="D59" s="51"/>
      <c r="E59" s="51"/>
    </row>
    <row r="60" spans="1:5" x14ac:dyDescent="0.25">
      <c r="A60" s="51"/>
      <c r="B60" s="51"/>
      <c r="C60" s="51"/>
      <c r="D60" s="51"/>
      <c r="E60" s="51"/>
    </row>
    <row r="61" spans="1:5" x14ac:dyDescent="0.25">
      <c r="A61" s="51"/>
      <c r="B61" s="51"/>
      <c r="C61" s="51"/>
      <c r="D61" s="51"/>
      <c r="E61" s="51"/>
    </row>
    <row r="62" spans="1:5" x14ac:dyDescent="0.25">
      <c r="A62" s="51"/>
      <c r="B62" s="51"/>
      <c r="C62" s="51"/>
      <c r="D62" s="51"/>
      <c r="E62" s="51"/>
    </row>
    <row r="63" spans="1:5" x14ac:dyDescent="0.25">
      <c r="A63" s="51"/>
      <c r="B63" s="51"/>
      <c r="C63" s="51"/>
      <c r="D63" s="51"/>
      <c r="E63" s="51"/>
    </row>
    <row r="64" spans="1:5" x14ac:dyDescent="0.25">
      <c r="A64" s="51"/>
      <c r="B64" s="51"/>
      <c r="C64" s="51"/>
      <c r="D64" s="51"/>
      <c r="E64" s="51"/>
    </row>
    <row r="65" spans="1:5" x14ac:dyDescent="0.25">
      <c r="A65" s="51"/>
      <c r="B65" s="51"/>
      <c r="C65" s="51"/>
      <c r="D65" s="51"/>
      <c r="E65" s="51"/>
    </row>
    <row r="66" spans="1:5" x14ac:dyDescent="0.25">
      <c r="A66" s="51"/>
      <c r="B66" s="51"/>
      <c r="C66" s="51"/>
      <c r="D66" s="51"/>
      <c r="E66" s="51"/>
    </row>
    <row r="67" spans="1:5" x14ac:dyDescent="0.25">
      <c r="A67" s="51"/>
      <c r="B67" s="51"/>
      <c r="C67" s="51"/>
      <c r="D67" s="51"/>
      <c r="E67" s="51"/>
    </row>
    <row r="68" spans="1:5" x14ac:dyDescent="0.25">
      <c r="A68" s="51"/>
      <c r="B68" s="51"/>
      <c r="C68" s="51"/>
      <c r="D68" s="51"/>
      <c r="E68" s="51"/>
    </row>
    <row r="69" spans="1:5" x14ac:dyDescent="0.25">
      <c r="A69" s="51"/>
      <c r="B69" s="51"/>
      <c r="C69" s="51"/>
      <c r="D69" s="51"/>
      <c r="E69" s="51"/>
    </row>
    <row r="70" spans="1:5" x14ac:dyDescent="0.25">
      <c r="A70" s="51"/>
      <c r="B70" s="51"/>
      <c r="C70" s="51"/>
      <c r="D70" s="51"/>
      <c r="E70" s="51"/>
    </row>
    <row r="71" spans="1:5" x14ac:dyDescent="0.25">
      <c r="A71" s="51"/>
      <c r="B71" s="51"/>
      <c r="C71" s="51"/>
      <c r="D71" s="51"/>
      <c r="E71" s="51"/>
    </row>
    <row r="72" spans="1:5" x14ac:dyDescent="0.25">
      <c r="A72" s="51"/>
      <c r="B72" s="51"/>
      <c r="C72" s="51"/>
      <c r="D72" s="51"/>
      <c r="E72" s="51"/>
    </row>
    <row r="73" spans="1:5" x14ac:dyDescent="0.25">
      <c r="A73" s="51"/>
      <c r="B73" s="51"/>
      <c r="C73" s="51"/>
      <c r="D73" s="51"/>
      <c r="E73" s="51"/>
    </row>
    <row r="74" spans="1:5" x14ac:dyDescent="0.25">
      <c r="A74" s="51"/>
      <c r="B74" s="51"/>
      <c r="C74" s="51"/>
      <c r="D74" s="51"/>
      <c r="E74" s="51"/>
    </row>
    <row r="75" spans="1:5" x14ac:dyDescent="0.25">
      <c r="A75" s="51"/>
      <c r="B75" s="51"/>
      <c r="C75" s="51"/>
      <c r="D75" s="51"/>
      <c r="E75" s="51"/>
    </row>
    <row r="76" spans="1:5" x14ac:dyDescent="0.25">
      <c r="A76" s="51"/>
      <c r="B76" s="51"/>
      <c r="C76" s="51"/>
      <c r="D76" s="51"/>
      <c r="E76" s="51"/>
    </row>
    <row r="77" spans="1:5" x14ac:dyDescent="0.25">
      <c r="A77" s="51"/>
      <c r="B77" s="51"/>
      <c r="C77" s="51"/>
      <c r="D77" s="51"/>
      <c r="E77" s="51"/>
    </row>
    <row r="78" spans="1:5" x14ac:dyDescent="0.25">
      <c r="A78" s="51"/>
      <c r="B78" s="51"/>
      <c r="C78" s="51"/>
      <c r="D78" s="51"/>
      <c r="E78" s="51"/>
    </row>
    <row r="79" spans="1:5" x14ac:dyDescent="0.25">
      <c r="A79" s="51"/>
      <c r="B79" s="51"/>
      <c r="C79" s="51"/>
      <c r="D79" s="51"/>
      <c r="E79" s="51"/>
    </row>
    <row r="80" spans="1:5" x14ac:dyDescent="0.25">
      <c r="A80" s="51"/>
      <c r="B80" s="51"/>
      <c r="C80" s="51"/>
      <c r="D80" s="51"/>
      <c r="E80" s="51"/>
    </row>
    <row r="81" spans="1:5" x14ac:dyDescent="0.25">
      <c r="A81" s="51"/>
      <c r="B81" s="51"/>
      <c r="C81" s="51"/>
      <c r="D81" s="51"/>
      <c r="E81" s="51"/>
    </row>
    <row r="82" spans="1:5" x14ac:dyDescent="0.25">
      <c r="A82" s="51"/>
      <c r="B82" s="51"/>
      <c r="C82" s="51"/>
      <c r="D82" s="51"/>
      <c r="E82" s="51"/>
    </row>
    <row r="83" spans="1:5" x14ac:dyDescent="0.25">
      <c r="A83" s="51"/>
      <c r="B83" s="51"/>
      <c r="C83" s="51"/>
      <c r="D83" s="51"/>
      <c r="E83" s="51"/>
    </row>
    <row r="84" spans="1:5" x14ac:dyDescent="0.25">
      <c r="A84" s="51"/>
      <c r="B84" s="51"/>
      <c r="C84" s="51"/>
      <c r="D84" s="51"/>
      <c r="E84" s="51"/>
    </row>
    <row r="85" spans="1:5" x14ac:dyDescent="0.25">
      <c r="A85" s="51"/>
      <c r="B85" s="51"/>
      <c r="C85" s="51"/>
      <c r="D85" s="51"/>
      <c r="E85" s="51"/>
    </row>
    <row r="86" spans="1:5" x14ac:dyDescent="0.25">
      <c r="A86" s="51"/>
      <c r="B86" s="51"/>
      <c r="C86" s="51"/>
      <c r="D86" s="51"/>
      <c r="E86" s="51"/>
    </row>
    <row r="87" spans="1:5" x14ac:dyDescent="0.25">
      <c r="A87" s="51"/>
      <c r="B87" s="51"/>
      <c r="C87" s="51"/>
      <c r="D87" s="51"/>
      <c r="E87" s="51"/>
    </row>
    <row r="88" spans="1:5" x14ac:dyDescent="0.25">
      <c r="A88" s="51"/>
      <c r="B88" s="51"/>
      <c r="C88" s="51"/>
      <c r="D88" s="51"/>
      <c r="E88" s="51"/>
    </row>
    <row r="89" spans="1:5" x14ac:dyDescent="0.25">
      <c r="A89" s="51"/>
      <c r="B89" s="51"/>
      <c r="C89" s="51"/>
      <c r="D89" s="51"/>
      <c r="E89" s="51"/>
    </row>
    <row r="90" spans="1:5" x14ac:dyDescent="0.25">
      <c r="A90" s="51"/>
      <c r="B90" s="51"/>
      <c r="C90" s="51"/>
      <c r="D90" s="51"/>
      <c r="E90" s="51"/>
    </row>
    <row r="91" spans="1:5" x14ac:dyDescent="0.25">
      <c r="A91" s="51"/>
      <c r="B91" s="51"/>
      <c r="C91" s="51"/>
      <c r="D91" s="51"/>
      <c r="E91" s="51"/>
    </row>
    <row r="92" spans="1:5" x14ac:dyDescent="0.25">
      <c r="A92" s="51"/>
      <c r="B92" s="51"/>
      <c r="C92" s="51"/>
      <c r="D92" s="51"/>
      <c r="E92" s="51"/>
    </row>
    <row r="93" spans="1:5" x14ac:dyDescent="0.25">
      <c r="A93" s="51"/>
      <c r="B93" s="51"/>
      <c r="C93" s="51"/>
      <c r="D93" s="51"/>
      <c r="E93" s="51"/>
    </row>
    <row r="94" spans="1:5" x14ac:dyDescent="0.25">
      <c r="A94" s="51"/>
      <c r="B94" s="51"/>
      <c r="C94" s="51"/>
      <c r="D94" s="51"/>
      <c r="E94" s="51"/>
    </row>
    <row r="95" spans="1:5" x14ac:dyDescent="0.25">
      <c r="A95" s="51"/>
      <c r="B95" s="51"/>
      <c r="C95" s="51"/>
      <c r="D95" s="51"/>
      <c r="E95" s="51"/>
    </row>
    <row r="96" spans="1:5" x14ac:dyDescent="0.25">
      <c r="A96" s="51"/>
      <c r="B96" s="51"/>
      <c r="C96" s="51"/>
      <c r="D96" s="51"/>
      <c r="E96" s="51"/>
    </row>
    <row r="97" spans="1:5" x14ac:dyDescent="0.25">
      <c r="A97" s="51"/>
      <c r="B97" s="51"/>
      <c r="C97" s="51"/>
      <c r="D97" s="51"/>
      <c r="E97" s="51"/>
    </row>
    <row r="98" spans="1:5" x14ac:dyDescent="0.25">
      <c r="A98" s="51"/>
      <c r="B98" s="51"/>
      <c r="C98" s="51"/>
      <c r="D98" s="51"/>
      <c r="E98" s="51"/>
    </row>
    <row r="99" spans="1:5" x14ac:dyDescent="0.25">
      <c r="A99" s="51"/>
      <c r="B99" s="51"/>
      <c r="C99" s="51"/>
      <c r="D99" s="51"/>
      <c r="E99" s="51"/>
    </row>
    <row r="100" spans="1:5" x14ac:dyDescent="0.25">
      <c r="A100" s="51"/>
      <c r="B100" s="51"/>
      <c r="C100" s="51"/>
      <c r="D100" s="51"/>
      <c r="E100" s="51"/>
    </row>
    <row r="101" spans="1:5" x14ac:dyDescent="0.25">
      <c r="A101" s="51"/>
      <c r="B101" s="51"/>
      <c r="C101" s="51"/>
      <c r="D101" s="51"/>
      <c r="E101" s="51"/>
    </row>
    <row r="102" spans="1:5" x14ac:dyDescent="0.25">
      <c r="A102" s="51"/>
      <c r="B102" s="51"/>
      <c r="C102" s="51"/>
      <c r="D102" s="51"/>
      <c r="E102" s="51"/>
    </row>
    <row r="103" spans="1:5" x14ac:dyDescent="0.25">
      <c r="A103" s="51"/>
      <c r="B103" s="51"/>
      <c r="C103" s="51"/>
      <c r="D103" s="51"/>
      <c r="E103" s="51"/>
    </row>
    <row r="104" spans="1:5" x14ac:dyDescent="0.25">
      <c r="A104" s="51"/>
      <c r="B104" s="51"/>
      <c r="C104" s="51"/>
      <c r="D104" s="51"/>
      <c r="E104" s="51"/>
    </row>
    <row r="105" spans="1:5" x14ac:dyDescent="0.25">
      <c r="A105" s="51"/>
      <c r="B105" s="51"/>
      <c r="C105" s="51"/>
      <c r="D105" s="51"/>
      <c r="E105" s="51"/>
    </row>
    <row r="106" spans="1:5" x14ac:dyDescent="0.25">
      <c r="A106" s="51"/>
      <c r="B106" s="51"/>
      <c r="C106" s="51"/>
      <c r="D106" s="51"/>
      <c r="E106" s="51"/>
    </row>
    <row r="107" spans="1:5" x14ac:dyDescent="0.25">
      <c r="A107" s="51"/>
      <c r="B107" s="51"/>
      <c r="C107" s="51"/>
      <c r="D107" s="51"/>
      <c r="E107" s="51"/>
    </row>
    <row r="108" spans="1:5" x14ac:dyDescent="0.25">
      <c r="A108" s="51"/>
      <c r="B108" s="51"/>
      <c r="C108" s="51"/>
      <c r="D108" s="51"/>
      <c r="E108" s="51"/>
    </row>
    <row r="109" spans="1:5" x14ac:dyDescent="0.25">
      <c r="A109" s="51"/>
      <c r="B109" s="51"/>
      <c r="C109" s="51"/>
      <c r="D109" s="51"/>
      <c r="E109" s="51"/>
    </row>
    <row r="110" spans="1:5" x14ac:dyDescent="0.25">
      <c r="A110" s="51"/>
      <c r="B110" s="51"/>
      <c r="C110" s="51"/>
      <c r="D110" s="51"/>
      <c r="E110" s="51"/>
    </row>
    <row r="111" spans="1:5" x14ac:dyDescent="0.25">
      <c r="A111" s="51"/>
      <c r="B111" s="51"/>
      <c r="C111" s="51"/>
      <c r="D111" s="51"/>
      <c r="E111" s="51"/>
    </row>
    <row r="112" spans="1:5" x14ac:dyDescent="0.25">
      <c r="A112" s="51"/>
      <c r="B112" s="51"/>
      <c r="C112" s="51"/>
      <c r="D112" s="51"/>
      <c r="E112" s="51"/>
    </row>
    <row r="113" spans="1:5" x14ac:dyDescent="0.25">
      <c r="A113" s="51"/>
      <c r="B113" s="51"/>
      <c r="C113" s="51"/>
      <c r="D113" s="51"/>
      <c r="E113" s="51"/>
    </row>
    <row r="114" spans="1:5" x14ac:dyDescent="0.25">
      <c r="A114" s="51"/>
      <c r="B114" s="51"/>
      <c r="C114" s="51"/>
      <c r="D114" s="51"/>
      <c r="E114" s="51"/>
    </row>
    <row r="115" spans="1:5" x14ac:dyDescent="0.25">
      <c r="A115" s="51"/>
      <c r="B115" s="51"/>
      <c r="C115" s="51"/>
      <c r="D115" s="51"/>
      <c r="E115" s="51"/>
    </row>
    <row r="116" spans="1:5" x14ac:dyDescent="0.25">
      <c r="A116" s="51"/>
      <c r="B116" s="51"/>
      <c r="C116" s="51"/>
      <c r="D116" s="51"/>
      <c r="E116" s="51"/>
    </row>
    <row r="117" spans="1:5" x14ac:dyDescent="0.25">
      <c r="A117" s="51"/>
      <c r="B117" s="51"/>
      <c r="C117" s="51"/>
      <c r="D117" s="51"/>
      <c r="E117" s="51"/>
    </row>
    <row r="118" spans="1:5" x14ac:dyDescent="0.25">
      <c r="A118" s="51"/>
      <c r="B118" s="51"/>
      <c r="C118" s="51"/>
      <c r="D118" s="51"/>
      <c r="E118" s="51"/>
    </row>
    <row r="119" spans="1:5" x14ac:dyDescent="0.25">
      <c r="A119" s="51"/>
      <c r="B119" s="51"/>
      <c r="C119" s="51"/>
      <c r="D119" s="51"/>
      <c r="E119" s="51"/>
    </row>
    <row r="120" spans="1:5" x14ac:dyDescent="0.25">
      <c r="A120" s="51"/>
      <c r="B120" s="51"/>
      <c r="C120" s="51"/>
      <c r="D120" s="51"/>
      <c r="E120" s="51"/>
    </row>
    <row r="121" spans="1:5" x14ac:dyDescent="0.25">
      <c r="A121" s="51"/>
      <c r="B121" s="51"/>
      <c r="C121" s="51"/>
      <c r="D121" s="51"/>
      <c r="E121" s="51"/>
    </row>
    <row r="122" spans="1:5" x14ac:dyDescent="0.25">
      <c r="A122" s="51"/>
      <c r="B122" s="51"/>
      <c r="C122" s="51"/>
      <c r="D122" s="51"/>
      <c r="E122" s="51"/>
    </row>
    <row r="123" spans="1:5" x14ac:dyDescent="0.25">
      <c r="A123" s="51"/>
      <c r="B123" s="51"/>
      <c r="C123" s="51"/>
      <c r="D123" s="51"/>
      <c r="E123" s="51"/>
    </row>
    <row r="124" spans="1:5" x14ac:dyDescent="0.25">
      <c r="A124" s="51"/>
      <c r="B124" s="51"/>
      <c r="C124" s="51"/>
      <c r="D124" s="51"/>
      <c r="E124" s="51"/>
    </row>
    <row r="125" spans="1:5" x14ac:dyDescent="0.25">
      <c r="A125" s="51"/>
      <c r="B125" s="51"/>
      <c r="C125" s="51"/>
      <c r="D125" s="51"/>
      <c r="E125" s="51"/>
    </row>
    <row r="126" spans="1:5" x14ac:dyDescent="0.25">
      <c r="A126" s="51"/>
      <c r="B126" s="51"/>
      <c r="C126" s="51"/>
      <c r="D126" s="51"/>
      <c r="E126" s="51"/>
    </row>
    <row r="127" spans="1:5" x14ac:dyDescent="0.25">
      <c r="A127" s="51"/>
      <c r="B127" s="51"/>
      <c r="C127" s="51"/>
      <c r="D127" s="51"/>
      <c r="E127" s="51"/>
    </row>
    <row r="128" spans="1:5" x14ac:dyDescent="0.25">
      <c r="A128" s="51"/>
      <c r="B128" s="51"/>
      <c r="C128" s="51"/>
      <c r="D128" s="51"/>
      <c r="E128" s="51"/>
    </row>
    <row r="129" spans="1:5" x14ac:dyDescent="0.25">
      <c r="A129" s="51"/>
      <c r="B129" s="51"/>
      <c r="C129" s="51"/>
      <c r="D129" s="51"/>
      <c r="E129" s="51"/>
    </row>
    <row r="130" spans="1:5" x14ac:dyDescent="0.25">
      <c r="A130" s="51"/>
      <c r="B130" s="51"/>
      <c r="C130" s="51"/>
      <c r="D130" s="51"/>
      <c r="E130" s="51"/>
    </row>
    <row r="131" spans="1:5" x14ac:dyDescent="0.25">
      <c r="A131" s="51"/>
      <c r="B131" s="51"/>
      <c r="C131" s="51"/>
      <c r="D131" s="51"/>
      <c r="E131" s="51"/>
    </row>
    <row r="132" spans="1:5" x14ac:dyDescent="0.25">
      <c r="A132" s="51"/>
      <c r="B132" s="51"/>
      <c r="C132" s="51"/>
      <c r="D132" s="51"/>
      <c r="E132" s="51"/>
    </row>
    <row r="133" spans="1:5" x14ac:dyDescent="0.25">
      <c r="A133" s="51"/>
      <c r="B133" s="51"/>
      <c r="C133" s="51"/>
      <c r="D133" s="51"/>
      <c r="E133" s="51"/>
    </row>
    <row r="134" spans="1:5" x14ac:dyDescent="0.25">
      <c r="A134" s="51"/>
      <c r="B134" s="51"/>
      <c r="C134" s="51"/>
      <c r="D134" s="51"/>
      <c r="E134" s="51"/>
    </row>
    <row r="135" spans="1:5" x14ac:dyDescent="0.25">
      <c r="A135" s="51"/>
      <c r="B135" s="51"/>
      <c r="C135" s="51"/>
      <c r="D135" s="51"/>
      <c r="E135" s="51"/>
    </row>
    <row r="136" spans="1:5" x14ac:dyDescent="0.25">
      <c r="A136" s="51"/>
      <c r="B136" s="51"/>
      <c r="C136" s="51"/>
      <c r="D136" s="51"/>
      <c r="E136" s="51"/>
    </row>
    <row r="137" spans="1:5" x14ac:dyDescent="0.25">
      <c r="A137" s="51"/>
      <c r="B137" s="51"/>
      <c r="C137" s="51"/>
      <c r="D137" s="51"/>
      <c r="E137" s="51"/>
    </row>
    <row r="138" spans="1:5" x14ac:dyDescent="0.25">
      <c r="A138" s="51"/>
      <c r="B138" s="51"/>
      <c r="C138" s="51"/>
      <c r="D138" s="51"/>
      <c r="E138" s="51"/>
    </row>
    <row r="139" spans="1:5" x14ac:dyDescent="0.25">
      <c r="A139" s="51"/>
      <c r="B139" s="51"/>
      <c r="C139" s="51"/>
      <c r="D139" s="51"/>
      <c r="E139" s="51"/>
    </row>
    <row r="140" spans="1:5" x14ac:dyDescent="0.25">
      <c r="A140" s="51"/>
      <c r="B140" s="51"/>
      <c r="C140" s="51"/>
      <c r="D140" s="51"/>
      <c r="E140" s="51"/>
    </row>
    <row r="141" spans="1:5" x14ac:dyDescent="0.25">
      <c r="A141" s="51"/>
      <c r="B141" s="51"/>
      <c r="C141" s="51"/>
      <c r="D141" s="51"/>
      <c r="E141" s="51"/>
    </row>
    <row r="142" spans="1:5" x14ac:dyDescent="0.25">
      <c r="A142" s="51"/>
      <c r="B142" s="51"/>
      <c r="C142" s="51"/>
      <c r="D142" s="51"/>
      <c r="E142" s="51"/>
    </row>
    <row r="143" spans="1:5" x14ac:dyDescent="0.25">
      <c r="A143" s="51"/>
      <c r="B143" s="51"/>
      <c r="C143" s="51"/>
      <c r="D143" s="51"/>
      <c r="E143" s="51"/>
    </row>
    <row r="144" spans="1:5" x14ac:dyDescent="0.25">
      <c r="A144" s="51"/>
      <c r="B144" s="51"/>
      <c r="C144" s="51"/>
      <c r="D144" s="51"/>
      <c r="E144" s="51"/>
    </row>
    <row r="145" spans="1:5" x14ac:dyDescent="0.25">
      <c r="A145" s="51"/>
      <c r="B145" s="51"/>
      <c r="C145" s="51"/>
      <c r="D145" s="51"/>
      <c r="E145" s="51"/>
    </row>
    <row r="146" spans="1:5" x14ac:dyDescent="0.25">
      <c r="A146" s="51"/>
      <c r="B146" s="51"/>
      <c r="C146" s="51"/>
      <c r="D146" s="51"/>
      <c r="E146" s="51"/>
    </row>
    <row r="147" spans="1:5" x14ac:dyDescent="0.25">
      <c r="A147" s="51"/>
      <c r="B147" s="51"/>
      <c r="C147" s="51"/>
      <c r="D147" s="51"/>
      <c r="E147" s="51"/>
    </row>
    <row r="148" spans="1:5" x14ac:dyDescent="0.25">
      <c r="A148" s="51"/>
      <c r="B148" s="51"/>
      <c r="C148" s="51"/>
      <c r="D148" s="51"/>
      <c r="E148" s="51"/>
    </row>
    <row r="149" spans="1:5" x14ac:dyDescent="0.25">
      <c r="A149" s="51"/>
      <c r="B149" s="51"/>
      <c r="C149" s="51"/>
      <c r="D149" s="51"/>
      <c r="E149" s="51"/>
    </row>
    <row r="150" spans="1:5" x14ac:dyDescent="0.25">
      <c r="A150" s="51"/>
      <c r="B150" s="51"/>
      <c r="C150" s="51"/>
      <c r="D150" s="51"/>
      <c r="E150" s="51"/>
    </row>
    <row r="151" spans="1:5" x14ac:dyDescent="0.25">
      <c r="A151" s="51"/>
      <c r="B151" s="51"/>
      <c r="C151" s="51"/>
      <c r="D151" s="51"/>
      <c r="E151" s="51"/>
    </row>
    <row r="152" spans="1:5" x14ac:dyDescent="0.25">
      <c r="A152" s="51"/>
      <c r="B152" s="51"/>
      <c r="C152" s="51"/>
      <c r="D152" s="51"/>
      <c r="E152" s="51"/>
    </row>
    <row r="153" spans="1:5" x14ac:dyDescent="0.25">
      <c r="A153" s="51"/>
      <c r="B153" s="51"/>
      <c r="C153" s="51"/>
      <c r="D153" s="51"/>
      <c r="E153" s="51"/>
    </row>
    <row r="154" spans="1:5" x14ac:dyDescent="0.25">
      <c r="A154" s="51"/>
      <c r="B154" s="51"/>
      <c r="C154" s="51"/>
      <c r="D154" s="51"/>
      <c r="E154" s="51"/>
    </row>
    <row r="155" spans="1:5" x14ac:dyDescent="0.25">
      <c r="A155" s="51"/>
      <c r="B155" s="51"/>
      <c r="C155" s="51"/>
      <c r="D155" s="51"/>
      <c r="E155" s="51"/>
    </row>
    <row r="156" spans="1:5" x14ac:dyDescent="0.25">
      <c r="A156" s="51"/>
      <c r="B156" s="51"/>
      <c r="C156" s="51"/>
      <c r="D156" s="51"/>
      <c r="E156" s="51"/>
    </row>
    <row r="157" spans="1:5" x14ac:dyDescent="0.25">
      <c r="A157" s="51"/>
      <c r="B157" s="51"/>
      <c r="C157" s="51"/>
      <c r="D157" s="51"/>
      <c r="E157" s="51"/>
    </row>
    <row r="158" spans="1:5" x14ac:dyDescent="0.25">
      <c r="A158" s="51"/>
      <c r="B158" s="51"/>
      <c r="C158" s="51"/>
      <c r="D158" s="51"/>
      <c r="E158" s="51"/>
    </row>
    <row r="159" spans="1:5" x14ac:dyDescent="0.25">
      <c r="A159" s="51"/>
      <c r="B159" s="51"/>
      <c r="C159" s="51"/>
      <c r="D159" s="51"/>
      <c r="E159" s="51"/>
    </row>
    <row r="160" spans="1:5" x14ac:dyDescent="0.25">
      <c r="A160" s="51"/>
      <c r="B160" s="51"/>
      <c r="C160" s="51"/>
      <c r="D160" s="51"/>
      <c r="E160" s="51"/>
    </row>
    <row r="161" spans="1:5" x14ac:dyDescent="0.25">
      <c r="A161" s="51"/>
      <c r="B161" s="51"/>
      <c r="C161" s="51"/>
      <c r="D161" s="51"/>
      <c r="E161" s="51"/>
    </row>
    <row r="162" spans="1:5" x14ac:dyDescent="0.25">
      <c r="A162" s="51"/>
      <c r="B162" s="51"/>
      <c r="C162" s="51"/>
      <c r="D162" s="51"/>
      <c r="E162" s="51"/>
    </row>
    <row r="163" spans="1:5" x14ac:dyDescent="0.25">
      <c r="A163" s="51"/>
      <c r="B163" s="51"/>
      <c r="C163" s="51"/>
      <c r="D163" s="51"/>
      <c r="E163" s="51"/>
    </row>
    <row r="164" spans="1:5" x14ac:dyDescent="0.25">
      <c r="A164" s="51"/>
      <c r="B164" s="51"/>
      <c r="C164" s="51"/>
      <c r="D164" s="51"/>
      <c r="E164" s="51"/>
    </row>
    <row r="165" spans="1:5" x14ac:dyDescent="0.25">
      <c r="A165" s="51"/>
      <c r="B165" s="51"/>
      <c r="C165" s="51"/>
      <c r="D165" s="51"/>
      <c r="E165" s="51"/>
    </row>
    <row r="166" spans="1:5" x14ac:dyDescent="0.25">
      <c r="A166" s="51"/>
      <c r="B166" s="51"/>
      <c r="C166" s="51"/>
      <c r="D166" s="51"/>
      <c r="E166" s="51"/>
    </row>
    <row r="167" spans="1:5" x14ac:dyDescent="0.25">
      <c r="A167" s="51"/>
      <c r="B167" s="51"/>
      <c r="C167" s="51"/>
      <c r="D167" s="51"/>
      <c r="E167" s="51"/>
    </row>
    <row r="168" spans="1:5" x14ac:dyDescent="0.25">
      <c r="A168" s="51"/>
      <c r="B168" s="51"/>
      <c r="C168" s="51"/>
      <c r="D168" s="51"/>
      <c r="E168" s="51"/>
    </row>
    <row r="169" spans="1:5" x14ac:dyDescent="0.25">
      <c r="A169" s="51"/>
      <c r="B169" s="51"/>
      <c r="C169" s="51"/>
      <c r="D169" s="51"/>
      <c r="E169" s="51"/>
    </row>
    <row r="170" spans="1:5" x14ac:dyDescent="0.25">
      <c r="A170" s="51"/>
      <c r="B170" s="51"/>
      <c r="C170" s="51"/>
      <c r="D170" s="51"/>
      <c r="E170" s="51"/>
    </row>
    <row r="171" spans="1:5" x14ac:dyDescent="0.25">
      <c r="A171" s="51"/>
      <c r="B171" s="51"/>
      <c r="C171" s="51"/>
      <c r="D171" s="51"/>
      <c r="E171" s="51"/>
    </row>
    <row r="172" spans="1:5" x14ac:dyDescent="0.25">
      <c r="A172" s="51"/>
      <c r="B172" s="51"/>
      <c r="C172" s="51"/>
      <c r="D172" s="51"/>
      <c r="E172" s="51"/>
    </row>
    <row r="173" spans="1:5" x14ac:dyDescent="0.25">
      <c r="A173" s="51"/>
      <c r="B173" s="51"/>
      <c r="C173" s="51"/>
      <c r="D173" s="51"/>
      <c r="E173" s="51"/>
    </row>
    <row r="174" spans="1:5" x14ac:dyDescent="0.25">
      <c r="A174" s="51"/>
      <c r="B174" s="51"/>
      <c r="C174" s="51"/>
      <c r="D174" s="51"/>
      <c r="E174" s="51"/>
    </row>
    <row r="175" spans="1:5" x14ac:dyDescent="0.25">
      <c r="A175" s="51"/>
      <c r="B175" s="51"/>
      <c r="C175" s="51"/>
      <c r="D175" s="51"/>
      <c r="E175" s="51"/>
    </row>
    <row r="176" spans="1:5" x14ac:dyDescent="0.25">
      <c r="A176" s="51"/>
      <c r="B176" s="51"/>
      <c r="C176" s="51"/>
      <c r="D176" s="51"/>
      <c r="E176" s="51"/>
    </row>
    <row r="177" spans="1:5" x14ac:dyDescent="0.25">
      <c r="A177" s="51"/>
      <c r="B177" s="51"/>
      <c r="C177" s="51"/>
      <c r="D177" s="51"/>
      <c r="E177" s="51"/>
    </row>
    <row r="178" spans="1:5" x14ac:dyDescent="0.25">
      <c r="A178" s="51"/>
      <c r="B178" s="51"/>
      <c r="C178" s="51"/>
      <c r="D178" s="51"/>
      <c r="E178" s="51"/>
    </row>
    <row r="179" spans="1:5" x14ac:dyDescent="0.25">
      <c r="A179" s="51"/>
      <c r="B179" s="51"/>
      <c r="C179" s="51"/>
      <c r="D179" s="51"/>
      <c r="E179" s="51"/>
    </row>
    <row r="180" spans="1:5" x14ac:dyDescent="0.25">
      <c r="A180" s="51"/>
      <c r="B180" s="51"/>
      <c r="C180" s="51"/>
      <c r="D180" s="51"/>
      <c r="E180" s="51"/>
    </row>
    <row r="181" spans="1:5" x14ac:dyDescent="0.25">
      <c r="A181" s="51"/>
      <c r="B181" s="51"/>
      <c r="C181" s="51"/>
      <c r="D181" s="51"/>
      <c r="E181" s="51"/>
    </row>
    <row r="182" spans="1:5" x14ac:dyDescent="0.25">
      <c r="A182" s="51"/>
      <c r="B182" s="51"/>
      <c r="C182" s="51"/>
      <c r="D182" s="51"/>
      <c r="E182" s="51"/>
    </row>
    <row r="183" spans="1:5" x14ac:dyDescent="0.25">
      <c r="A183" s="51"/>
      <c r="B183" s="51"/>
      <c r="C183" s="51"/>
      <c r="D183" s="51"/>
      <c r="E183" s="51"/>
    </row>
    <row r="184" spans="1:5" x14ac:dyDescent="0.25">
      <c r="A184" s="51"/>
      <c r="B184" s="51"/>
      <c r="C184" s="51"/>
      <c r="D184" s="51"/>
      <c r="E184" s="51"/>
    </row>
    <row r="185" spans="1:5" x14ac:dyDescent="0.25">
      <c r="A185" s="51"/>
      <c r="B185" s="51"/>
      <c r="C185" s="51"/>
      <c r="D185" s="51"/>
      <c r="E185" s="51"/>
    </row>
    <row r="186" spans="1:5" x14ac:dyDescent="0.25">
      <c r="A186" s="51"/>
      <c r="B186" s="51"/>
      <c r="C186" s="51"/>
      <c r="D186" s="51"/>
      <c r="E186" s="51"/>
    </row>
    <row r="187" spans="1:5" x14ac:dyDescent="0.25">
      <c r="A187" s="51"/>
      <c r="B187" s="51"/>
      <c r="C187" s="51"/>
      <c r="D187" s="51"/>
      <c r="E187" s="51"/>
    </row>
    <row r="188" spans="1:5" x14ac:dyDescent="0.25">
      <c r="A188" s="51"/>
      <c r="B188" s="51"/>
      <c r="C188" s="51"/>
      <c r="D188" s="51"/>
      <c r="E188" s="51"/>
    </row>
    <row r="189" spans="1:5" x14ac:dyDescent="0.25">
      <c r="A189" s="51"/>
      <c r="B189" s="51"/>
      <c r="C189" s="51"/>
      <c r="D189" s="51"/>
      <c r="E189" s="51"/>
    </row>
    <row r="190" spans="1:5" x14ac:dyDescent="0.25">
      <c r="A190" s="51"/>
      <c r="B190" s="51"/>
      <c r="C190" s="51"/>
      <c r="D190" s="51"/>
      <c r="E190" s="51"/>
    </row>
    <row r="191" spans="1:5" x14ac:dyDescent="0.25">
      <c r="A191" s="51"/>
      <c r="B191" s="51"/>
      <c r="C191" s="51"/>
      <c r="D191" s="51"/>
      <c r="E191" s="51"/>
    </row>
    <row r="192" spans="1:5" x14ac:dyDescent="0.25">
      <c r="A192" s="51"/>
      <c r="B192" s="51"/>
      <c r="C192" s="51"/>
      <c r="D192" s="51"/>
      <c r="E192" s="51"/>
    </row>
    <row r="193" spans="1:5" x14ac:dyDescent="0.25">
      <c r="A193" s="51"/>
      <c r="B193" s="51"/>
      <c r="C193" s="51"/>
      <c r="D193" s="51"/>
      <c r="E193" s="51"/>
    </row>
    <row r="194" spans="1:5" x14ac:dyDescent="0.25">
      <c r="A194" s="51"/>
      <c r="B194" s="51"/>
      <c r="C194" s="51"/>
      <c r="D194" s="51"/>
      <c r="E194" s="51"/>
    </row>
    <row r="195" spans="1:5" x14ac:dyDescent="0.25">
      <c r="A195" s="51"/>
      <c r="B195" s="51"/>
      <c r="C195" s="51"/>
      <c r="D195" s="51"/>
      <c r="E195" s="51"/>
    </row>
    <row r="196" spans="1:5" x14ac:dyDescent="0.25">
      <c r="A196" s="51"/>
      <c r="B196" s="51"/>
      <c r="C196" s="51"/>
      <c r="D196" s="51"/>
      <c r="E196" s="51"/>
    </row>
    <row r="197" spans="1:5" x14ac:dyDescent="0.25">
      <c r="A197" s="51"/>
      <c r="B197" s="51"/>
      <c r="C197" s="51"/>
      <c r="D197" s="51"/>
      <c r="E197" s="51"/>
    </row>
    <row r="198" spans="1:5" x14ac:dyDescent="0.25">
      <c r="A198" s="51"/>
      <c r="B198" s="51"/>
      <c r="C198" s="51"/>
      <c r="D198" s="51"/>
      <c r="E198" s="51"/>
    </row>
    <row r="199" spans="1:5" x14ac:dyDescent="0.25">
      <c r="A199" s="51"/>
      <c r="B199" s="51"/>
      <c r="C199" s="51"/>
      <c r="D199" s="51"/>
      <c r="E199" s="51"/>
    </row>
    <row r="200" spans="1:5" x14ac:dyDescent="0.25">
      <c r="A200" s="51"/>
      <c r="B200" s="51"/>
      <c r="C200" s="51"/>
      <c r="D200" s="51"/>
      <c r="E200" s="51"/>
    </row>
    <row r="201" spans="1:5" x14ac:dyDescent="0.25">
      <c r="A201" s="51"/>
      <c r="B201" s="51"/>
      <c r="C201" s="51"/>
      <c r="D201" s="51"/>
      <c r="E201" s="51"/>
    </row>
    <row r="202" spans="1:5" x14ac:dyDescent="0.25">
      <c r="A202" s="51"/>
      <c r="B202" s="51"/>
      <c r="C202" s="51"/>
      <c r="D202" s="51"/>
      <c r="E202" s="51"/>
    </row>
    <row r="203" spans="1:5" x14ac:dyDescent="0.25">
      <c r="A203" s="51"/>
      <c r="B203" s="51"/>
      <c r="C203" s="51"/>
      <c r="D203" s="51"/>
      <c r="E203" s="51"/>
    </row>
    <row r="204" spans="1:5" x14ac:dyDescent="0.25">
      <c r="A204" s="51"/>
      <c r="B204" s="51"/>
      <c r="C204" s="51"/>
      <c r="D204" s="51"/>
      <c r="E204" s="51"/>
    </row>
    <row r="205" spans="1:5" x14ac:dyDescent="0.25">
      <c r="A205" s="51"/>
      <c r="B205" s="51"/>
      <c r="C205" s="51"/>
      <c r="D205" s="51"/>
      <c r="E205" s="51"/>
    </row>
    <row r="206" spans="1:5" x14ac:dyDescent="0.25">
      <c r="A206" s="51"/>
      <c r="B206" s="51"/>
      <c r="C206" s="51"/>
      <c r="D206" s="51"/>
      <c r="E206" s="5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6"/>
  <sheetViews>
    <sheetView tabSelected="1" zoomScale="70" zoomScaleNormal="70" workbookViewId="0">
      <selection activeCell="G17" sqref="G17"/>
    </sheetView>
  </sheetViews>
  <sheetFormatPr defaultRowHeight="15" x14ac:dyDescent="0.25"/>
  <cols>
    <col min="3" max="3" width="9.85546875" customWidth="1"/>
    <col min="4" max="4" width="11.28515625" customWidth="1"/>
    <col min="5" max="6" width="10.7109375" customWidth="1"/>
    <col min="7" max="7" width="12.7109375" bestFit="1" customWidth="1"/>
    <col min="9" max="9" width="10.7109375" customWidth="1"/>
    <col min="11" max="11" width="10" customWidth="1"/>
    <col min="24" max="24" width="10.7109375" customWidth="1"/>
    <col min="25" max="25" width="11" customWidth="1"/>
  </cols>
  <sheetData>
    <row r="1" spans="1:24" ht="15.75" thickBot="1" x14ac:dyDescent="0.3">
      <c r="A1" s="1" t="s">
        <v>0</v>
      </c>
      <c r="B1" s="71" t="s">
        <v>1</v>
      </c>
      <c r="C1" s="72"/>
      <c r="E1" s="73" t="s">
        <v>2</v>
      </c>
      <c r="F1" s="74"/>
      <c r="G1" s="74"/>
      <c r="H1" s="75"/>
      <c r="J1" s="2" t="s">
        <v>3</v>
      </c>
      <c r="L1" s="76" t="s">
        <v>4</v>
      </c>
      <c r="M1" s="77"/>
      <c r="N1" s="77"/>
      <c r="O1" s="78"/>
    </row>
    <row r="2" spans="1:24" ht="15.75" thickBot="1" x14ac:dyDescent="0.3">
      <c r="A2" s="3" t="s">
        <v>5</v>
      </c>
      <c r="B2" s="79" t="s">
        <v>6</v>
      </c>
      <c r="C2" s="80"/>
      <c r="E2" s="1" t="s">
        <v>7</v>
      </c>
      <c r="F2" s="4">
        <v>0.4</v>
      </c>
      <c r="G2" s="1" t="s">
        <v>8</v>
      </c>
      <c r="H2" s="5">
        <v>5.5736999999999997</v>
      </c>
      <c r="J2" s="6">
        <f>8.314/1000</f>
        <v>8.3140000000000002E-3</v>
      </c>
      <c r="L2" s="2"/>
      <c r="M2" s="7" t="s">
        <v>0</v>
      </c>
      <c r="N2" s="7" t="s">
        <v>5</v>
      </c>
      <c r="O2" s="8" t="s">
        <v>9</v>
      </c>
      <c r="R2" s="9" t="s">
        <v>10</v>
      </c>
    </row>
    <row r="3" spans="1:24" ht="15.75" thickBot="1" x14ac:dyDescent="0.3">
      <c r="A3" s="10" t="s">
        <v>9</v>
      </c>
      <c r="B3" s="81" t="s">
        <v>11</v>
      </c>
      <c r="C3" s="82"/>
      <c r="E3" s="11"/>
      <c r="F3" s="4"/>
      <c r="G3" s="3" t="s">
        <v>12</v>
      </c>
      <c r="H3" s="12">
        <v>7.4991000000000003</v>
      </c>
      <c r="J3" s="2" t="s">
        <v>13</v>
      </c>
      <c r="K3" t="s">
        <v>14</v>
      </c>
      <c r="L3" s="3" t="s">
        <v>0</v>
      </c>
      <c r="M3" s="13">
        <v>20.840540000000001</v>
      </c>
      <c r="N3" s="1">
        <v>-2624.5250000000001</v>
      </c>
      <c r="O3" s="14">
        <v>-46.151710000000001</v>
      </c>
      <c r="R3" t="s">
        <v>15</v>
      </c>
    </row>
    <row r="4" spans="1:24" ht="15.75" thickBot="1" x14ac:dyDescent="0.3">
      <c r="E4" s="11"/>
      <c r="F4" s="4"/>
      <c r="G4" s="3" t="s">
        <v>16</v>
      </c>
      <c r="H4" s="12">
        <v>19.269400000000001</v>
      </c>
      <c r="J4" s="6">
        <v>25</v>
      </c>
      <c r="L4" s="3" t="s">
        <v>5</v>
      </c>
      <c r="M4" s="13">
        <v>23.534700000000001</v>
      </c>
      <c r="N4" s="3">
        <v>-3661.4679999999998</v>
      </c>
      <c r="O4" s="14">
        <v>-32.770009999999999</v>
      </c>
    </row>
    <row r="5" spans="1:24" ht="15.75" thickBot="1" x14ac:dyDescent="0.3">
      <c r="E5" s="11"/>
      <c r="F5" s="4"/>
      <c r="G5" s="3" t="s">
        <v>17</v>
      </c>
      <c r="H5" s="12">
        <v>16.212</v>
      </c>
      <c r="J5" s="2" t="s">
        <v>18</v>
      </c>
      <c r="K5" t="s">
        <v>14</v>
      </c>
      <c r="L5" s="10" t="s">
        <v>9</v>
      </c>
      <c r="M5" s="15">
        <v>0</v>
      </c>
      <c r="N5" s="10">
        <v>0</v>
      </c>
      <c r="O5" s="16">
        <v>0</v>
      </c>
      <c r="Q5" s="17"/>
      <c r="R5" s="17"/>
    </row>
    <row r="6" spans="1:24" ht="15.75" thickBot="1" x14ac:dyDescent="0.3">
      <c r="E6" s="11"/>
      <c r="F6" s="4"/>
      <c r="G6" s="3" t="s">
        <v>19</v>
      </c>
      <c r="H6" s="12">
        <v>10.6456</v>
      </c>
      <c r="J6" s="18">
        <v>101.325</v>
      </c>
      <c r="Q6" s="19"/>
      <c r="R6" s="19"/>
    </row>
    <row r="7" spans="1:24" ht="15.75" thickBot="1" x14ac:dyDescent="0.3">
      <c r="E7" s="11"/>
      <c r="F7" s="4"/>
      <c r="G7" s="10" t="s">
        <v>20</v>
      </c>
      <c r="H7" s="20">
        <v>0.56320000000000003</v>
      </c>
      <c r="Q7" s="21"/>
      <c r="R7" s="21"/>
    </row>
    <row r="8" spans="1:24" ht="15.75" thickBot="1" x14ac:dyDescent="0.3"/>
    <row r="9" spans="1:24" ht="15.75" thickBot="1" x14ac:dyDescent="0.3">
      <c r="A9" s="2" t="s">
        <v>21</v>
      </c>
      <c r="B9" s="8" t="s">
        <v>22</v>
      </c>
      <c r="C9" s="2" t="s">
        <v>23</v>
      </c>
      <c r="D9" s="2" t="s">
        <v>24</v>
      </c>
      <c r="E9" s="2" t="s">
        <v>25</v>
      </c>
      <c r="F9" s="22" t="s">
        <v>26</v>
      </c>
      <c r="G9" s="2" t="s">
        <v>27</v>
      </c>
      <c r="H9" s="8" t="s">
        <v>28</v>
      </c>
      <c r="I9" s="22" t="s">
        <v>29</v>
      </c>
      <c r="J9" s="2" t="s">
        <v>30</v>
      </c>
      <c r="K9" s="8" t="s">
        <v>31</v>
      </c>
      <c r="L9" s="2" t="s">
        <v>32</v>
      </c>
      <c r="M9" s="52"/>
      <c r="N9" s="52"/>
      <c r="O9" s="52"/>
      <c r="P9" s="52"/>
      <c r="Q9" s="52"/>
      <c r="R9" s="52"/>
      <c r="S9" s="52"/>
      <c r="T9" s="52"/>
      <c r="U9" s="52"/>
      <c r="W9">
        <f>B21*B18/3</f>
        <v>3.8325392144427899</v>
      </c>
      <c r="X9">
        <f>W9/D21</f>
        <v>4.2589831858827809</v>
      </c>
    </row>
    <row r="10" spans="1:24" ht="15.75" thickBot="1" x14ac:dyDescent="0.3">
      <c r="A10" s="24">
        <v>36.450447991534652</v>
      </c>
      <c r="B10" s="25">
        <f>A10+273.15</f>
        <v>309.60044799153462</v>
      </c>
      <c r="C10" s="18">
        <f>C19</f>
        <v>4.7872142933454024E-4</v>
      </c>
      <c r="D10" s="18">
        <f>C21</f>
        <v>0.36341653271665364</v>
      </c>
      <c r="E10" s="18">
        <f>C20</f>
        <v>0.63610474585401178</v>
      </c>
      <c r="F10" s="26">
        <f>EXP(M3+N3/(B10+O3))/1000</f>
        <v>53.016329566011379</v>
      </c>
      <c r="G10" s="18">
        <f>EXP(M4+N4/(B10+O4))/1000</f>
        <v>29.980654544329273</v>
      </c>
      <c r="H10" s="20">
        <v>0</v>
      </c>
      <c r="I10" s="27">
        <f>(C10*F10*S13)/J4</f>
        <v>0.10012976120733326</v>
      </c>
      <c r="J10" s="24">
        <f>(D10*G10*T13)/J4</f>
        <v>0.89987023945630751</v>
      </c>
      <c r="K10" s="28">
        <v>0</v>
      </c>
      <c r="L10" s="24">
        <f>SUM(I10:K10)</f>
        <v>1.0000000006636407</v>
      </c>
      <c r="M10" s="52"/>
      <c r="N10" s="52"/>
      <c r="O10" s="52"/>
      <c r="P10" s="52"/>
      <c r="Q10" s="52"/>
      <c r="R10" s="52"/>
      <c r="S10" s="52"/>
      <c r="T10" s="52"/>
      <c r="U10" s="52"/>
    </row>
    <row r="11" spans="1:24" ht="15.75" thickBot="1" x14ac:dyDescent="0.3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W11">
        <f>B18/3</f>
        <v>6.8969807605269962</v>
      </c>
    </row>
    <row r="12" spans="1:24" ht="15.75" thickBot="1" x14ac:dyDescent="0.3">
      <c r="A12" s="2" t="s">
        <v>33</v>
      </c>
      <c r="B12" s="8" t="s">
        <v>34</v>
      </c>
      <c r="C12" s="8" t="s">
        <v>35</v>
      </c>
      <c r="D12" s="8" t="s">
        <v>36</v>
      </c>
      <c r="E12" s="8" t="s">
        <v>37</v>
      </c>
      <c r="F12" s="8" t="s">
        <v>38</v>
      </c>
      <c r="G12" s="2" t="s">
        <v>39</v>
      </c>
      <c r="H12" s="8" t="s">
        <v>40</v>
      </c>
      <c r="I12" s="8" t="s">
        <v>41</v>
      </c>
      <c r="J12" s="8" t="s">
        <v>42</v>
      </c>
      <c r="K12" s="8" t="s">
        <v>43</v>
      </c>
      <c r="L12" s="8" t="s">
        <v>44</v>
      </c>
      <c r="M12" s="29" t="s">
        <v>45</v>
      </c>
      <c r="N12" s="30" t="s">
        <v>46</v>
      </c>
      <c r="O12" s="30" t="s">
        <v>47</v>
      </c>
      <c r="P12" s="29" t="s">
        <v>48</v>
      </c>
      <c r="Q12" s="30" t="s">
        <v>49</v>
      </c>
      <c r="R12" s="30" t="s">
        <v>50</v>
      </c>
      <c r="S12" s="29" t="s">
        <v>51</v>
      </c>
      <c r="T12" s="30" t="s">
        <v>52</v>
      </c>
      <c r="U12" s="30" t="s">
        <v>53</v>
      </c>
    </row>
    <row r="13" spans="1:24" ht="15.75" thickBot="1" x14ac:dyDescent="0.3">
      <c r="A13" s="27">
        <f>H2/(J2*B10)</f>
        <v>2.1653693681207633</v>
      </c>
      <c r="B13" s="24">
        <f>H3/(J2*B10)</f>
        <v>2.9133827490669426</v>
      </c>
      <c r="C13" s="28">
        <f>H4/(J2*B10)</f>
        <v>7.4861166733168707</v>
      </c>
      <c r="D13" s="24">
        <f>H5/(J2*B10)</f>
        <v>6.2983239492570133</v>
      </c>
      <c r="E13" s="28">
        <f>H6/(J2*B10)</f>
        <v>4.1357906140026195</v>
      </c>
      <c r="F13" s="24">
        <f>H7/(J2*B10)</f>
        <v>0.21880187812864238</v>
      </c>
      <c r="G13" s="28">
        <f t="shared" ref="G13:L13" si="0">EXP(-$F$2*A13)</f>
        <v>0.42056856909093138</v>
      </c>
      <c r="H13" s="28">
        <f t="shared" si="0"/>
        <v>0.31181254169996803</v>
      </c>
      <c r="I13" s="28">
        <f t="shared" si="0"/>
        <v>5.0064321548530362E-2</v>
      </c>
      <c r="J13" s="28">
        <f t="shared" si="0"/>
        <v>8.051356658886627E-2</v>
      </c>
      <c r="K13" s="28">
        <f t="shared" si="0"/>
        <v>0.19122276041902725</v>
      </c>
      <c r="L13" s="28">
        <f t="shared" si="0"/>
        <v>0.9161998591599495</v>
      </c>
      <c r="M13" s="28">
        <f>D10*B13*H13+E10*D13*J13</f>
        <v>0.65270726950926172</v>
      </c>
      <c r="N13" s="24">
        <f>C10*A13*G13+E10*F13*L13</f>
        <v>0.12795349800673339</v>
      </c>
      <c r="O13" s="28">
        <f>C10*C13*I13+D10*E13*K13</f>
        <v>0.2875900357497484</v>
      </c>
      <c r="P13" s="24">
        <f>C10+H13*D10+J13*E10</f>
        <v>0.16501161600431474</v>
      </c>
      <c r="Q13" s="28">
        <f>G13*C10+D10+L13*E10</f>
        <v>0.94641694646560315</v>
      </c>
      <c r="R13" s="24">
        <f>I13*C10+K13*D10+E10</f>
        <v>0.70562222528557239</v>
      </c>
      <c r="S13" s="28">
        <f>EXP(M13/P13-(C10*M13)/P13^2+D10*G13/Q13*(A13-N13/Q13)+E10*I13/R13*(C13-O13/R13))</f>
        <v>98.63037021574165</v>
      </c>
      <c r="T13" s="24">
        <f>EXP(N13/Q13-D10*N13/Q13^2+C10*H13/P13*(B13-M13/P13)+E10*K13/R13*(E13-O13/R13))</f>
        <v>2.0647815312490261</v>
      </c>
      <c r="U13" s="25">
        <f>EXP(O13/R13-E10*O13/R13^2+C10*J13/P13*(D13-M13/P13)+D10*L13/Q13*(F13-N13/Q13))</f>
        <v>1.0726301978109198</v>
      </c>
    </row>
    <row r="14" spans="1:24" ht="15.75" thickBot="1" x14ac:dyDescent="0.3"/>
    <row r="15" spans="1:24" ht="15.75" thickBot="1" x14ac:dyDescent="0.3">
      <c r="A15" s="31"/>
      <c r="B15" s="48" t="s">
        <v>54</v>
      </c>
      <c r="C15" s="33" t="s">
        <v>55</v>
      </c>
      <c r="D15" s="49" t="s">
        <v>56</v>
      </c>
      <c r="I15" s="35" t="s">
        <v>6</v>
      </c>
      <c r="K15" s="36"/>
      <c r="L15" s="36"/>
      <c r="N15" s="36"/>
      <c r="O15" s="36"/>
      <c r="P15" s="36"/>
      <c r="Q15" s="36"/>
      <c r="S15" s="33" t="s">
        <v>57</v>
      </c>
      <c r="T15" s="33" t="s">
        <v>58</v>
      </c>
    </row>
    <row r="16" spans="1:24" ht="15.75" thickBot="1" x14ac:dyDescent="0.3">
      <c r="A16" s="37" t="s">
        <v>21</v>
      </c>
      <c r="B16" s="52">
        <v>80</v>
      </c>
      <c r="C16" s="38">
        <f>A10</f>
        <v>36.450447991534652</v>
      </c>
      <c r="D16" s="12">
        <f>A10</f>
        <v>36.450447991534652</v>
      </c>
      <c r="I16" s="1" t="s">
        <v>59</v>
      </c>
      <c r="J16" s="38">
        <v>45.3</v>
      </c>
      <c r="K16" s="11"/>
      <c r="L16" s="11"/>
      <c r="N16" s="39"/>
      <c r="O16" s="11"/>
      <c r="P16" s="11"/>
      <c r="Q16" s="11"/>
      <c r="S16" s="24">
        <f>(B17+C17)/2</f>
        <v>331.37522399576733</v>
      </c>
      <c r="T16" s="24">
        <f>J22*1000*EXP(-J23*D17/J24)*(1-D17/J24)^J23</f>
        <v>29118.604692343895</v>
      </c>
    </row>
    <row r="17" spans="1:27" ht="15.75" thickBot="1" x14ac:dyDescent="0.3">
      <c r="A17" s="33" t="s">
        <v>22</v>
      </c>
      <c r="B17" s="4">
        <f>B16+273.15</f>
        <v>353.15</v>
      </c>
      <c r="C17" s="24">
        <f>C16+273.15</f>
        <v>309.60044799153462</v>
      </c>
      <c r="D17" s="25">
        <f>D16+273.15</f>
        <v>309.60044799153462</v>
      </c>
      <c r="I17" s="40" t="s">
        <v>60</v>
      </c>
      <c r="J17" s="6">
        <v>-0.31</v>
      </c>
      <c r="K17" s="51"/>
      <c r="L17" s="51"/>
      <c r="N17" s="11"/>
      <c r="O17" s="51"/>
      <c r="P17" s="51"/>
      <c r="Q17" s="51"/>
      <c r="S17" s="2" t="s">
        <v>61</v>
      </c>
      <c r="T17" s="2" t="s">
        <v>62</v>
      </c>
    </row>
    <row r="18" spans="1:27" ht="15.75" thickBot="1" x14ac:dyDescent="0.3">
      <c r="A18" s="42" t="s">
        <v>63</v>
      </c>
      <c r="B18" s="43">
        <v>20.690942281580988</v>
      </c>
      <c r="C18" s="44">
        <f>(B18*B20)/C20</f>
        <v>13.275251214648385</v>
      </c>
      <c r="D18" s="12">
        <f>B18-C18</f>
        <v>7.4156910669326024</v>
      </c>
      <c r="F18" s="2" t="s">
        <v>64</v>
      </c>
      <c r="I18" s="3" t="s">
        <v>65</v>
      </c>
      <c r="J18" s="6">
        <v>0.42409999999999998</v>
      </c>
      <c r="L18" s="51"/>
      <c r="N18" s="11"/>
      <c r="O18" s="51"/>
      <c r="P18" s="51"/>
      <c r="Q18" s="51"/>
      <c r="S18" s="24">
        <v>187.5</v>
      </c>
      <c r="T18" s="24">
        <f>J16*1000*EXP(-J17*D17/J19)*(1-D17/J19)</f>
        <v>21633.628351804502</v>
      </c>
    </row>
    <row r="19" spans="1:27" ht="15.75" thickBot="1" x14ac:dyDescent="0.3">
      <c r="A19" s="33" t="s">
        <v>23</v>
      </c>
      <c r="B19" s="43">
        <v>3.6193341415735866E-2</v>
      </c>
      <c r="C19" s="45">
        <v>4.7872142933454024E-4</v>
      </c>
      <c r="D19" s="25">
        <f>(B18*B19-C18*C19)/D18</f>
        <v>0.10012811810422771</v>
      </c>
      <c r="E19" s="52">
        <f>I10</f>
        <v>0.10012976120733326</v>
      </c>
      <c r="F19" s="52">
        <f>(D19-E19)^2</f>
        <v>2.6997878154598199E-12</v>
      </c>
      <c r="I19" s="10" t="s">
        <v>66</v>
      </c>
      <c r="J19" s="18">
        <v>512.6</v>
      </c>
      <c r="K19" s="51"/>
      <c r="L19" s="51" t="s">
        <v>67</v>
      </c>
      <c r="N19" s="11"/>
      <c r="O19" s="51"/>
      <c r="P19" s="51"/>
      <c r="Q19" s="51"/>
      <c r="S19" s="2" t="s">
        <v>68</v>
      </c>
      <c r="T19" s="2" t="s">
        <v>69</v>
      </c>
    </row>
    <row r="20" spans="1:27" ht="15.75" thickBot="1" x14ac:dyDescent="0.3">
      <c r="A20" s="33" t="s">
        <v>25</v>
      </c>
      <c r="B20" s="43">
        <v>0.40812304172146363</v>
      </c>
      <c r="C20" s="45">
        <v>0.63610474585401178</v>
      </c>
      <c r="D20" s="25">
        <v>0</v>
      </c>
      <c r="S20" s="24">
        <f>A36+B36*S16+C36*S16^2+D36*S16^3</f>
        <v>90.19386473711694</v>
      </c>
      <c r="T20" s="24">
        <f>0</f>
        <v>0</v>
      </c>
    </row>
    <row r="21" spans="1:27" ht="15.75" thickBot="1" x14ac:dyDescent="0.3">
      <c r="A21" s="33" t="s">
        <v>24</v>
      </c>
      <c r="B21" s="43">
        <v>0.55568361686280054</v>
      </c>
      <c r="C21" s="24">
        <f>1-C19-C20</f>
        <v>0.36341653271665364</v>
      </c>
      <c r="D21" s="25">
        <f>(B18*B21-C18*C21)/D18</f>
        <v>0.89987188189577239</v>
      </c>
      <c r="E21" s="52">
        <f>J10</f>
        <v>0.89987023945630751</v>
      </c>
      <c r="F21" s="52">
        <f>(D21-E21)^2</f>
        <v>2.697607395786428E-12</v>
      </c>
      <c r="I21" s="35" t="s">
        <v>1</v>
      </c>
      <c r="S21" s="2" t="s">
        <v>70</v>
      </c>
      <c r="T21" s="2" t="s">
        <v>71</v>
      </c>
    </row>
    <row r="22" spans="1:27" ht="15.75" thickBot="1" x14ac:dyDescent="0.3">
      <c r="A22" s="42" t="s">
        <v>72</v>
      </c>
      <c r="B22" s="52">
        <f>S24*(B17-C17)</f>
        <v>8022.5431590767148</v>
      </c>
      <c r="C22" s="6">
        <v>0</v>
      </c>
      <c r="D22" s="12">
        <f>T22</f>
        <v>22383.084946837382</v>
      </c>
      <c r="F22" s="2" t="s">
        <v>64</v>
      </c>
      <c r="I22" s="1" t="s">
        <v>59</v>
      </c>
      <c r="J22" s="38">
        <v>46.23</v>
      </c>
      <c r="S22" s="24">
        <f>D43+E43*S16+S16^2*F43</f>
        <v>311.94251773941687</v>
      </c>
      <c r="T22" s="24">
        <f>D19*T16+D21*T18</f>
        <v>22383.084946837382</v>
      </c>
    </row>
    <row r="23" spans="1:27" ht="15.75" thickBot="1" x14ac:dyDescent="0.3">
      <c r="A23" s="33" t="s">
        <v>73</v>
      </c>
      <c r="B23" s="28">
        <f>B18*B22</f>
        <v>165993.97745594871</v>
      </c>
      <c r="C23" s="24">
        <v>0</v>
      </c>
      <c r="D23" s="25">
        <f>D18*D22</f>
        <v>165986.04309065558</v>
      </c>
      <c r="E23">
        <f>(B23-D23)/B23</f>
        <v>4.779911545425253E-5</v>
      </c>
      <c r="F23">
        <f>E23^2</f>
        <v>2.2847554382089631E-9</v>
      </c>
      <c r="I23" s="3" t="s">
        <v>65</v>
      </c>
      <c r="J23" s="6">
        <v>0.2893</v>
      </c>
      <c r="S23" s="2" t="s">
        <v>74</v>
      </c>
    </row>
    <row r="24" spans="1:27" ht="15.75" thickBot="1" x14ac:dyDescent="0.3">
      <c r="A24" s="46" t="s">
        <v>75</v>
      </c>
      <c r="F24" s="2" t="s">
        <v>76</v>
      </c>
      <c r="I24" s="10" t="s">
        <v>66</v>
      </c>
      <c r="J24" s="18">
        <v>497.1</v>
      </c>
      <c r="S24" s="24">
        <f>S18*B19+S20*B21+S22*B20</f>
        <v>184.21643367346826</v>
      </c>
    </row>
    <row r="25" spans="1:27" ht="16.5" thickBot="1" x14ac:dyDescent="0.3">
      <c r="A25" s="73" t="s">
        <v>77</v>
      </c>
      <c r="B25" s="74"/>
      <c r="C25" s="74"/>
      <c r="D25" s="75"/>
      <c r="F25" s="24">
        <f>F19+F21+F23</f>
        <v>2.2901528334202094E-9</v>
      </c>
      <c r="K25" s="47" t="s">
        <v>78</v>
      </c>
    </row>
    <row r="26" spans="1:27" ht="15.75" thickBot="1" x14ac:dyDescent="0.3">
      <c r="A26" s="66" t="s">
        <v>55</v>
      </c>
      <c r="B26" s="67"/>
      <c r="C26" s="68" t="s">
        <v>79</v>
      </c>
      <c r="D26" s="67"/>
      <c r="I26" s="11"/>
      <c r="J26" s="11"/>
    </row>
    <row r="27" spans="1:27" x14ac:dyDescent="0.25">
      <c r="I27" s="39"/>
      <c r="J27" s="39"/>
    </row>
    <row r="28" spans="1:27" ht="15.75" thickBot="1" x14ac:dyDescent="0.3">
      <c r="E28" s="50"/>
      <c r="N28" s="69"/>
      <c r="O28" s="69"/>
      <c r="X28" s="70"/>
      <c r="Y28" s="70"/>
    </row>
    <row r="29" spans="1:27" ht="16.5" thickBot="1" x14ac:dyDescent="0.3">
      <c r="A29" s="53" t="s">
        <v>6</v>
      </c>
      <c r="B29" s="51"/>
      <c r="C29" s="54" t="s">
        <v>80</v>
      </c>
      <c r="D29" s="55">
        <v>32.04</v>
      </c>
      <c r="E29" s="56" t="s">
        <v>81</v>
      </c>
      <c r="K29" s="47" t="s">
        <v>82</v>
      </c>
      <c r="N29" s="51"/>
      <c r="O29" s="51"/>
      <c r="X29" s="52"/>
      <c r="Y29" s="52"/>
      <c r="Z29" s="52"/>
      <c r="AA29" s="52"/>
    </row>
    <row r="30" spans="1:27" ht="15.75" thickBot="1" x14ac:dyDescent="0.3">
      <c r="A30" s="54" t="s">
        <v>83</v>
      </c>
      <c r="B30" s="56" t="s">
        <v>84</v>
      </c>
      <c r="C30" s="51"/>
      <c r="D30" s="51"/>
      <c r="E30" s="54" t="s">
        <v>85</v>
      </c>
      <c r="F30" s="57" t="s">
        <v>86</v>
      </c>
      <c r="G30" s="58" t="s">
        <v>87</v>
      </c>
      <c r="N30" s="51"/>
      <c r="O30" s="51"/>
      <c r="X30" s="52"/>
      <c r="Y30" s="52"/>
      <c r="Z30" s="52"/>
      <c r="AA30" s="52"/>
    </row>
    <row r="31" spans="1:27" ht="15.75" thickBot="1" x14ac:dyDescent="0.3">
      <c r="A31" s="59" t="s">
        <v>88</v>
      </c>
      <c r="B31" s="60" t="s">
        <v>89</v>
      </c>
      <c r="C31" s="60" t="s">
        <v>90</v>
      </c>
      <c r="D31" s="61" t="s">
        <v>91</v>
      </c>
      <c r="E31" s="51"/>
      <c r="N31" s="51"/>
      <c r="O31" s="51"/>
      <c r="X31" s="52"/>
      <c r="Y31" s="52"/>
      <c r="Z31" s="52"/>
      <c r="AA31" s="52"/>
    </row>
    <row r="32" spans="1:27" ht="15.75" thickBot="1" x14ac:dyDescent="0.3">
      <c r="A32" s="27">
        <v>0.83819999999999995</v>
      </c>
      <c r="B32" s="28">
        <f>-3.231*10^-3</f>
        <v>-3.2309999999999999E-3</v>
      </c>
      <c r="C32" s="28">
        <f>8.296*10^-6</f>
        <v>8.2959999999999982E-6</v>
      </c>
      <c r="D32" s="25">
        <f>-0.1689*10^-9</f>
        <v>-1.6890000000000001E-10</v>
      </c>
      <c r="E32" s="51"/>
      <c r="N32" s="51"/>
      <c r="O32" s="51"/>
      <c r="X32" s="52"/>
      <c r="Y32" s="52"/>
      <c r="Z32" s="52"/>
      <c r="AA32" s="52"/>
    </row>
    <row r="33" spans="1:27" ht="15.75" thickBot="1" x14ac:dyDescent="0.3">
      <c r="A33" s="51"/>
      <c r="B33" s="62" t="s">
        <v>92</v>
      </c>
      <c r="C33" s="51"/>
      <c r="D33" s="51"/>
      <c r="E33" s="51"/>
      <c r="N33" s="51"/>
      <c r="O33" s="51"/>
      <c r="X33" s="52"/>
      <c r="Y33" s="52"/>
      <c r="Z33" s="52"/>
      <c r="AA33" s="52"/>
    </row>
    <row r="34" spans="1:27" ht="15.75" thickBot="1" x14ac:dyDescent="0.3">
      <c r="A34" s="27">
        <f>A32*4.1868</f>
        <v>3.5093757599999997</v>
      </c>
      <c r="B34" s="28">
        <f t="shared" ref="B34:D34" si="1">B32*4.1868</f>
        <v>-1.35275508E-2</v>
      </c>
      <c r="C34" s="28">
        <f t="shared" si="1"/>
        <v>3.4733692799999993E-5</v>
      </c>
      <c r="D34" s="25">
        <f t="shared" si="1"/>
        <v>-7.0715052000000002E-10</v>
      </c>
      <c r="E34" s="51"/>
      <c r="N34" s="51"/>
      <c r="O34" s="51"/>
      <c r="X34" s="52"/>
      <c r="Y34" s="52"/>
      <c r="Z34" s="52"/>
      <c r="AA34" s="52"/>
    </row>
    <row r="35" spans="1:27" ht="15.75" thickBot="1" x14ac:dyDescent="0.3">
      <c r="A35" s="51"/>
      <c r="B35" s="62" t="s">
        <v>93</v>
      </c>
      <c r="C35" s="51"/>
      <c r="D35" s="51"/>
      <c r="E35" s="51"/>
      <c r="N35" s="51"/>
      <c r="O35" s="51"/>
      <c r="X35" s="52"/>
      <c r="Y35" s="52"/>
      <c r="Z35" s="52"/>
      <c r="AA35" s="52"/>
    </row>
    <row r="36" spans="1:27" ht="15.75" thickBot="1" x14ac:dyDescent="0.3">
      <c r="A36" s="27">
        <f>A34*$D$29</f>
        <v>112.44039935039999</v>
      </c>
      <c r="B36" s="28">
        <f t="shared" ref="B36:D36" si="2">B34*$D$29</f>
        <v>-0.43342272763199996</v>
      </c>
      <c r="C36" s="28">
        <f t="shared" si="2"/>
        <v>1.1128675173119997E-3</v>
      </c>
      <c r="D36" s="25">
        <f t="shared" si="2"/>
        <v>-2.26571026608E-8</v>
      </c>
      <c r="E36" s="51"/>
      <c r="N36" s="51"/>
      <c r="O36" s="51"/>
      <c r="X36" s="52"/>
      <c r="Y36" s="52"/>
      <c r="Z36" s="52"/>
      <c r="AA36" s="52"/>
    </row>
    <row r="37" spans="1:27" x14ac:dyDescent="0.25">
      <c r="A37" s="51"/>
      <c r="B37" s="51"/>
      <c r="C37" s="51"/>
      <c r="D37" s="51"/>
      <c r="E37" s="51"/>
      <c r="N37" s="51"/>
      <c r="O37" s="51"/>
    </row>
    <row r="38" spans="1:27" x14ac:dyDescent="0.25">
      <c r="A38" s="51"/>
      <c r="B38" s="51"/>
      <c r="C38" s="51"/>
      <c r="D38" s="51"/>
      <c r="E38" s="51"/>
      <c r="N38" s="51"/>
      <c r="O38" s="51"/>
    </row>
    <row r="39" spans="1:27" x14ac:dyDescent="0.25">
      <c r="A39" s="51" t="s">
        <v>94</v>
      </c>
      <c r="B39" s="51"/>
      <c r="C39" s="51"/>
      <c r="D39" s="51"/>
      <c r="E39" s="51"/>
      <c r="F39" t="s">
        <v>95</v>
      </c>
      <c r="G39" s="63" t="s">
        <v>86</v>
      </c>
      <c r="H39" t="s">
        <v>93</v>
      </c>
      <c r="N39" s="51"/>
      <c r="O39" s="51"/>
    </row>
    <row r="40" spans="1:27" ht="16.5" thickBot="1" x14ac:dyDescent="0.3">
      <c r="A40" s="64" t="s">
        <v>96</v>
      </c>
      <c r="B40" s="51"/>
      <c r="C40" s="51"/>
      <c r="D40" s="51"/>
      <c r="E40" s="51"/>
    </row>
    <row r="41" spans="1:27" ht="15.75" thickBot="1" x14ac:dyDescent="0.3">
      <c r="A41" s="54" t="s">
        <v>22</v>
      </c>
      <c r="B41" s="56" t="s">
        <v>97</v>
      </c>
      <c r="C41" s="51"/>
      <c r="E41" s="65" t="s">
        <v>83</v>
      </c>
      <c r="F41" s="51"/>
    </row>
    <row r="42" spans="1:27" ht="15.75" thickBot="1" x14ac:dyDescent="0.3">
      <c r="A42" s="51">
        <v>283.14999999999998</v>
      </c>
      <c r="B42" s="51">
        <v>290</v>
      </c>
      <c r="C42" s="51"/>
      <c r="D42" s="54" t="s">
        <v>88</v>
      </c>
      <c r="E42" s="55" t="s">
        <v>89</v>
      </c>
      <c r="F42" s="56" t="s">
        <v>90</v>
      </c>
    </row>
    <row r="43" spans="1:27" ht="15.75" thickBot="1" x14ac:dyDescent="0.3">
      <c r="A43" s="51">
        <v>293.14999999999998</v>
      </c>
      <c r="B43" s="51">
        <v>294</v>
      </c>
      <c r="C43" s="51"/>
      <c r="D43" s="27">
        <v>753.28</v>
      </c>
      <c r="E43" s="28">
        <v>-3.4195000000000002</v>
      </c>
      <c r="F43" s="25">
        <v>6.3E-3</v>
      </c>
    </row>
    <row r="44" spans="1:27" x14ac:dyDescent="0.25">
      <c r="A44" s="51">
        <v>303.14999999999998</v>
      </c>
      <c r="B44" s="51">
        <v>297</v>
      </c>
      <c r="C44" s="51"/>
      <c r="D44" s="51"/>
      <c r="E44" s="51"/>
    </row>
    <row r="45" spans="1:27" x14ac:dyDescent="0.25">
      <c r="A45" s="51">
        <v>313.14999999999998</v>
      </c>
      <c r="B45" s="51">
        <v>302</v>
      </c>
      <c r="C45" s="51"/>
      <c r="D45" s="51"/>
      <c r="E45" s="51"/>
    </row>
    <row r="46" spans="1:27" x14ac:dyDescent="0.25">
      <c r="A46" s="51">
        <v>323.14999999999998</v>
      </c>
      <c r="B46" s="51">
        <v>306</v>
      </c>
      <c r="C46" s="51"/>
      <c r="D46" s="51"/>
      <c r="E46" s="51"/>
    </row>
    <row r="47" spans="1:27" x14ac:dyDescent="0.25">
      <c r="A47" s="51">
        <v>333.15</v>
      </c>
      <c r="B47" s="51">
        <v>313</v>
      </c>
      <c r="C47" s="51"/>
      <c r="D47" s="51"/>
      <c r="E47" s="51"/>
    </row>
    <row r="48" spans="1:27" x14ac:dyDescent="0.25">
      <c r="A48" s="51">
        <v>343.15</v>
      </c>
      <c r="B48" s="51">
        <v>324</v>
      </c>
      <c r="C48" s="51"/>
      <c r="D48" s="51"/>
      <c r="E48" s="51"/>
    </row>
    <row r="49" spans="1:5" x14ac:dyDescent="0.25">
      <c r="A49" s="51"/>
      <c r="B49" s="51"/>
      <c r="C49" s="51"/>
      <c r="D49" s="51"/>
      <c r="E49" s="51"/>
    </row>
    <row r="50" spans="1:5" x14ac:dyDescent="0.25">
      <c r="D50" s="51"/>
      <c r="E50" s="51"/>
    </row>
    <row r="51" spans="1:5" x14ac:dyDescent="0.25">
      <c r="D51" s="51"/>
      <c r="E51" s="51"/>
    </row>
    <row r="52" spans="1:5" x14ac:dyDescent="0.25">
      <c r="D52" s="51"/>
      <c r="E52" s="51"/>
    </row>
    <row r="53" spans="1:5" x14ac:dyDescent="0.25">
      <c r="A53" s="51"/>
      <c r="B53" s="51"/>
      <c r="C53" s="51"/>
      <c r="D53" s="51"/>
      <c r="E53" s="51"/>
    </row>
    <row r="54" spans="1:5" x14ac:dyDescent="0.25">
      <c r="A54" s="51"/>
      <c r="B54" s="51"/>
      <c r="C54" s="51"/>
      <c r="D54" s="51"/>
      <c r="E54" s="51"/>
    </row>
    <row r="55" spans="1:5" x14ac:dyDescent="0.25">
      <c r="A55" s="51"/>
      <c r="B55" s="51"/>
      <c r="C55" s="51"/>
      <c r="D55" s="51"/>
      <c r="E55" s="51"/>
    </row>
    <row r="56" spans="1:5" x14ac:dyDescent="0.25">
      <c r="A56" s="51"/>
      <c r="B56" s="51"/>
      <c r="C56" s="51"/>
      <c r="D56" s="51"/>
      <c r="E56" s="51"/>
    </row>
    <row r="57" spans="1:5" x14ac:dyDescent="0.25">
      <c r="A57" s="51"/>
      <c r="B57" s="51"/>
      <c r="C57" s="51"/>
      <c r="D57" s="51"/>
      <c r="E57" s="51"/>
    </row>
    <row r="58" spans="1:5" x14ac:dyDescent="0.25">
      <c r="A58" s="51"/>
      <c r="B58" s="51"/>
      <c r="C58" s="51"/>
      <c r="D58" s="51"/>
      <c r="E58" s="51"/>
    </row>
    <row r="59" spans="1:5" x14ac:dyDescent="0.25">
      <c r="A59" s="51"/>
      <c r="B59" s="51"/>
      <c r="C59" s="51"/>
      <c r="D59" s="51"/>
      <c r="E59" s="51"/>
    </row>
    <row r="60" spans="1:5" x14ac:dyDescent="0.25">
      <c r="A60" s="51"/>
      <c r="B60" s="51"/>
      <c r="C60" s="51"/>
      <c r="D60" s="51"/>
      <c r="E60" s="51"/>
    </row>
    <row r="61" spans="1:5" x14ac:dyDescent="0.25">
      <c r="A61" s="51"/>
      <c r="B61" s="51"/>
      <c r="C61" s="51"/>
      <c r="D61" s="51"/>
      <c r="E61" s="51"/>
    </row>
    <row r="62" spans="1:5" x14ac:dyDescent="0.25">
      <c r="A62" s="51"/>
      <c r="B62" s="51"/>
      <c r="C62" s="51"/>
      <c r="D62" s="51"/>
      <c r="E62" s="51"/>
    </row>
    <row r="63" spans="1:5" x14ac:dyDescent="0.25">
      <c r="A63" s="51"/>
      <c r="B63" s="51"/>
      <c r="C63" s="51"/>
      <c r="D63" s="51"/>
      <c r="E63" s="51"/>
    </row>
    <row r="64" spans="1:5" x14ac:dyDescent="0.25">
      <c r="A64" s="51"/>
      <c r="B64" s="51"/>
      <c r="C64" s="51"/>
      <c r="D64" s="51"/>
      <c r="E64" s="51"/>
    </row>
    <row r="65" spans="1:5" x14ac:dyDescent="0.25">
      <c r="A65" s="51"/>
      <c r="B65" s="51"/>
      <c r="C65" s="51"/>
      <c r="D65" s="51"/>
      <c r="E65" s="51"/>
    </row>
    <row r="66" spans="1:5" x14ac:dyDescent="0.25">
      <c r="A66" s="51"/>
      <c r="B66" s="51"/>
      <c r="C66" s="51"/>
      <c r="D66" s="51"/>
      <c r="E66" s="51"/>
    </row>
    <row r="67" spans="1:5" x14ac:dyDescent="0.25">
      <c r="A67" s="51"/>
      <c r="B67" s="51"/>
      <c r="C67" s="51"/>
      <c r="D67" s="51"/>
      <c r="E67" s="51"/>
    </row>
    <row r="68" spans="1:5" x14ac:dyDescent="0.25">
      <c r="A68" s="51"/>
      <c r="B68" s="51"/>
      <c r="C68" s="51"/>
      <c r="D68" s="51"/>
      <c r="E68" s="51"/>
    </row>
    <row r="69" spans="1:5" x14ac:dyDescent="0.25">
      <c r="A69" s="51"/>
      <c r="B69" s="51"/>
      <c r="C69" s="51"/>
      <c r="D69" s="51"/>
      <c r="E69" s="51"/>
    </row>
    <row r="70" spans="1:5" x14ac:dyDescent="0.25">
      <c r="A70" s="51"/>
      <c r="B70" s="51"/>
      <c r="C70" s="51"/>
      <c r="D70" s="51"/>
      <c r="E70" s="51"/>
    </row>
    <row r="71" spans="1:5" x14ac:dyDescent="0.25">
      <c r="A71" s="51"/>
      <c r="B71" s="51"/>
      <c r="C71" s="51"/>
      <c r="D71" s="51"/>
      <c r="E71" s="51"/>
    </row>
    <row r="72" spans="1:5" x14ac:dyDescent="0.25">
      <c r="A72" s="51"/>
      <c r="B72" s="51"/>
      <c r="C72" s="51"/>
      <c r="D72" s="51"/>
      <c r="E72" s="51"/>
    </row>
    <row r="73" spans="1:5" x14ac:dyDescent="0.25">
      <c r="A73" s="51"/>
      <c r="B73" s="51"/>
      <c r="C73" s="51"/>
      <c r="D73" s="51"/>
      <c r="E73" s="51"/>
    </row>
    <row r="74" spans="1:5" x14ac:dyDescent="0.25">
      <c r="A74" s="51"/>
      <c r="B74" s="51"/>
      <c r="C74" s="51"/>
      <c r="D74" s="51"/>
      <c r="E74" s="51"/>
    </row>
    <row r="75" spans="1:5" x14ac:dyDescent="0.25">
      <c r="A75" s="51"/>
      <c r="B75" s="51"/>
      <c r="C75" s="51"/>
      <c r="D75" s="51"/>
      <c r="E75" s="51"/>
    </row>
    <row r="76" spans="1:5" x14ac:dyDescent="0.25">
      <c r="A76" s="51"/>
      <c r="B76" s="51"/>
      <c r="C76" s="51"/>
      <c r="D76" s="51"/>
      <c r="E76" s="51"/>
    </row>
    <row r="77" spans="1:5" x14ac:dyDescent="0.25">
      <c r="A77" s="51"/>
      <c r="B77" s="51"/>
      <c r="C77" s="51"/>
      <c r="D77" s="51"/>
      <c r="E77" s="51"/>
    </row>
    <row r="78" spans="1:5" x14ac:dyDescent="0.25">
      <c r="A78" s="51"/>
      <c r="B78" s="51"/>
      <c r="C78" s="51"/>
      <c r="D78" s="51"/>
      <c r="E78" s="51"/>
    </row>
    <row r="79" spans="1:5" x14ac:dyDescent="0.25">
      <c r="A79" s="51"/>
      <c r="B79" s="51"/>
      <c r="C79" s="51"/>
      <c r="D79" s="51"/>
      <c r="E79" s="51"/>
    </row>
    <row r="80" spans="1:5" x14ac:dyDescent="0.25">
      <c r="A80" s="51"/>
      <c r="B80" s="51"/>
      <c r="C80" s="51"/>
      <c r="D80" s="51"/>
      <c r="E80" s="51"/>
    </row>
    <row r="81" spans="1:5" x14ac:dyDescent="0.25">
      <c r="A81" s="51"/>
      <c r="B81" s="51"/>
      <c r="C81" s="51"/>
      <c r="D81" s="51"/>
      <c r="E81" s="51"/>
    </row>
    <row r="82" spans="1:5" x14ac:dyDescent="0.25">
      <c r="A82" s="51"/>
      <c r="B82" s="51"/>
      <c r="C82" s="51"/>
      <c r="D82" s="51"/>
      <c r="E82" s="51"/>
    </row>
    <row r="83" spans="1:5" x14ac:dyDescent="0.25">
      <c r="A83" s="51"/>
      <c r="B83" s="51"/>
      <c r="C83" s="51"/>
      <c r="D83" s="51"/>
      <c r="E83" s="51"/>
    </row>
    <row r="84" spans="1:5" x14ac:dyDescent="0.25">
      <c r="A84" s="51"/>
      <c r="B84" s="51"/>
      <c r="C84" s="51"/>
      <c r="D84" s="51"/>
      <c r="E84" s="51"/>
    </row>
    <row r="85" spans="1:5" x14ac:dyDescent="0.25">
      <c r="A85" s="51"/>
      <c r="B85" s="51"/>
      <c r="C85" s="51"/>
      <c r="D85" s="51"/>
      <c r="E85" s="51"/>
    </row>
    <row r="86" spans="1:5" x14ac:dyDescent="0.25">
      <c r="A86" s="51"/>
      <c r="B86" s="51"/>
      <c r="C86" s="51"/>
      <c r="D86" s="51"/>
      <c r="E86" s="51"/>
    </row>
    <row r="87" spans="1:5" x14ac:dyDescent="0.25">
      <c r="A87" s="51"/>
      <c r="B87" s="51"/>
      <c r="C87" s="51"/>
      <c r="D87" s="51"/>
      <c r="E87" s="51"/>
    </row>
    <row r="88" spans="1:5" x14ac:dyDescent="0.25">
      <c r="A88" s="51"/>
      <c r="B88" s="51"/>
      <c r="C88" s="51"/>
      <c r="D88" s="51"/>
      <c r="E88" s="51"/>
    </row>
    <row r="89" spans="1:5" x14ac:dyDescent="0.25">
      <c r="A89" s="51"/>
      <c r="B89" s="51"/>
      <c r="C89" s="51"/>
      <c r="D89" s="51"/>
      <c r="E89" s="51"/>
    </row>
    <row r="90" spans="1:5" x14ac:dyDescent="0.25">
      <c r="A90" s="51"/>
      <c r="B90" s="51"/>
      <c r="C90" s="51"/>
      <c r="D90" s="51"/>
      <c r="E90" s="51"/>
    </row>
    <row r="91" spans="1:5" x14ac:dyDescent="0.25">
      <c r="A91" s="51"/>
      <c r="B91" s="51"/>
      <c r="C91" s="51"/>
      <c r="D91" s="51"/>
      <c r="E91" s="51"/>
    </row>
    <row r="92" spans="1:5" x14ac:dyDescent="0.25">
      <c r="A92" s="51"/>
      <c r="B92" s="51"/>
      <c r="C92" s="51"/>
      <c r="D92" s="51"/>
      <c r="E92" s="51"/>
    </row>
    <row r="93" spans="1:5" x14ac:dyDescent="0.25">
      <c r="A93" s="51"/>
      <c r="B93" s="51"/>
      <c r="C93" s="51"/>
      <c r="D93" s="51"/>
      <c r="E93" s="51"/>
    </row>
    <row r="94" spans="1:5" x14ac:dyDescent="0.25">
      <c r="A94" s="51"/>
      <c r="B94" s="51"/>
      <c r="C94" s="51"/>
      <c r="D94" s="51"/>
      <c r="E94" s="51"/>
    </row>
    <row r="95" spans="1:5" x14ac:dyDescent="0.25">
      <c r="A95" s="51"/>
      <c r="B95" s="51"/>
      <c r="C95" s="51"/>
      <c r="D95" s="51"/>
      <c r="E95" s="51"/>
    </row>
    <row r="96" spans="1:5" x14ac:dyDescent="0.25">
      <c r="A96" s="51"/>
      <c r="B96" s="51"/>
      <c r="C96" s="51"/>
      <c r="D96" s="51"/>
      <c r="E96" s="51"/>
    </row>
    <row r="97" spans="1:5" x14ac:dyDescent="0.25">
      <c r="A97" s="51"/>
      <c r="B97" s="51"/>
      <c r="C97" s="51"/>
      <c r="D97" s="51"/>
      <c r="E97" s="51"/>
    </row>
    <row r="98" spans="1:5" x14ac:dyDescent="0.25">
      <c r="A98" s="51"/>
      <c r="B98" s="51"/>
      <c r="C98" s="51"/>
      <c r="D98" s="51"/>
      <c r="E98" s="51"/>
    </row>
    <row r="99" spans="1:5" x14ac:dyDescent="0.25">
      <c r="A99" s="51"/>
      <c r="B99" s="51"/>
      <c r="C99" s="51"/>
      <c r="D99" s="51"/>
      <c r="E99" s="51"/>
    </row>
    <row r="100" spans="1:5" x14ac:dyDescent="0.25">
      <c r="A100" s="51"/>
      <c r="B100" s="51"/>
      <c r="C100" s="51"/>
      <c r="D100" s="51"/>
      <c r="E100" s="51"/>
    </row>
    <row r="101" spans="1:5" x14ac:dyDescent="0.25">
      <c r="A101" s="51"/>
      <c r="B101" s="51"/>
      <c r="C101" s="51"/>
      <c r="D101" s="51"/>
      <c r="E101" s="51"/>
    </row>
    <row r="102" spans="1:5" x14ac:dyDescent="0.25">
      <c r="A102" s="51"/>
      <c r="B102" s="51"/>
      <c r="C102" s="51"/>
      <c r="D102" s="51"/>
      <c r="E102" s="51"/>
    </row>
    <row r="103" spans="1:5" x14ac:dyDescent="0.25">
      <c r="A103" s="51"/>
      <c r="B103" s="51"/>
      <c r="C103" s="51"/>
      <c r="D103" s="51"/>
      <c r="E103" s="51"/>
    </row>
    <row r="104" spans="1:5" x14ac:dyDescent="0.25">
      <c r="A104" s="51"/>
      <c r="B104" s="51"/>
      <c r="C104" s="51"/>
      <c r="D104" s="51"/>
      <c r="E104" s="51"/>
    </row>
    <row r="105" spans="1:5" x14ac:dyDescent="0.25">
      <c r="A105" s="51"/>
      <c r="B105" s="51"/>
      <c r="C105" s="51"/>
      <c r="D105" s="51"/>
      <c r="E105" s="51"/>
    </row>
    <row r="106" spans="1:5" x14ac:dyDescent="0.25">
      <c r="A106" s="51"/>
      <c r="B106" s="51"/>
      <c r="C106" s="51"/>
      <c r="D106" s="51"/>
      <c r="E106" s="51"/>
    </row>
    <row r="107" spans="1:5" x14ac:dyDescent="0.25">
      <c r="A107" s="51"/>
      <c r="B107" s="51"/>
      <c r="C107" s="51"/>
      <c r="D107" s="51"/>
      <c r="E107" s="51"/>
    </row>
    <row r="108" spans="1:5" x14ac:dyDescent="0.25">
      <c r="A108" s="51"/>
      <c r="B108" s="51"/>
      <c r="C108" s="51"/>
      <c r="D108" s="51"/>
      <c r="E108" s="51"/>
    </row>
    <row r="109" spans="1:5" x14ac:dyDescent="0.25">
      <c r="A109" s="51"/>
      <c r="B109" s="51"/>
      <c r="C109" s="51"/>
      <c r="D109" s="51"/>
      <c r="E109" s="51"/>
    </row>
    <row r="110" spans="1:5" x14ac:dyDescent="0.25">
      <c r="A110" s="51"/>
      <c r="B110" s="51"/>
      <c r="C110" s="51"/>
      <c r="D110" s="51"/>
      <c r="E110" s="51"/>
    </row>
    <row r="111" spans="1:5" x14ac:dyDescent="0.25">
      <c r="A111" s="51"/>
      <c r="B111" s="51"/>
      <c r="C111" s="51"/>
      <c r="D111" s="51"/>
      <c r="E111" s="51"/>
    </row>
    <row r="112" spans="1:5" x14ac:dyDescent="0.25">
      <c r="A112" s="51"/>
      <c r="B112" s="51"/>
      <c r="C112" s="51"/>
      <c r="D112" s="51"/>
      <c r="E112" s="51"/>
    </row>
    <row r="113" spans="1:5" x14ac:dyDescent="0.25">
      <c r="A113" s="51"/>
      <c r="B113" s="51"/>
      <c r="C113" s="51"/>
      <c r="D113" s="51"/>
      <c r="E113" s="51"/>
    </row>
    <row r="114" spans="1:5" x14ac:dyDescent="0.25">
      <c r="A114" s="51"/>
      <c r="B114" s="51"/>
      <c r="C114" s="51"/>
      <c r="D114" s="51"/>
      <c r="E114" s="51"/>
    </row>
    <row r="115" spans="1:5" x14ac:dyDescent="0.25">
      <c r="A115" s="51"/>
      <c r="B115" s="51"/>
      <c r="C115" s="51"/>
      <c r="D115" s="51"/>
      <c r="E115" s="51"/>
    </row>
    <row r="116" spans="1:5" x14ac:dyDescent="0.25">
      <c r="A116" s="51"/>
      <c r="B116" s="51"/>
      <c r="C116" s="51"/>
      <c r="D116" s="51"/>
      <c r="E116" s="51"/>
    </row>
    <row r="117" spans="1:5" x14ac:dyDescent="0.25">
      <c r="A117" s="51"/>
      <c r="B117" s="51"/>
      <c r="C117" s="51"/>
      <c r="D117" s="51"/>
      <c r="E117" s="51"/>
    </row>
    <row r="118" spans="1:5" x14ac:dyDescent="0.25">
      <c r="A118" s="51"/>
      <c r="B118" s="51"/>
      <c r="C118" s="51"/>
      <c r="D118" s="51"/>
      <c r="E118" s="51"/>
    </row>
    <row r="119" spans="1:5" x14ac:dyDescent="0.25">
      <c r="A119" s="51"/>
      <c r="B119" s="51"/>
      <c r="C119" s="51"/>
      <c r="D119" s="51"/>
      <c r="E119" s="51"/>
    </row>
    <row r="120" spans="1:5" x14ac:dyDescent="0.25">
      <c r="A120" s="51"/>
      <c r="B120" s="51"/>
      <c r="C120" s="51"/>
      <c r="D120" s="51"/>
      <c r="E120" s="51"/>
    </row>
    <row r="121" spans="1:5" x14ac:dyDescent="0.25">
      <c r="A121" s="51"/>
      <c r="B121" s="51"/>
      <c r="C121" s="51"/>
      <c r="D121" s="51"/>
      <c r="E121" s="51"/>
    </row>
    <row r="122" spans="1:5" x14ac:dyDescent="0.25">
      <c r="A122" s="51"/>
      <c r="B122" s="51"/>
      <c r="C122" s="51"/>
      <c r="D122" s="51"/>
      <c r="E122" s="51"/>
    </row>
    <row r="123" spans="1:5" x14ac:dyDescent="0.25">
      <c r="A123" s="51"/>
      <c r="B123" s="51"/>
      <c r="C123" s="51"/>
      <c r="D123" s="51"/>
      <c r="E123" s="51"/>
    </row>
    <row r="124" spans="1:5" x14ac:dyDescent="0.25">
      <c r="A124" s="51"/>
      <c r="B124" s="51"/>
      <c r="C124" s="51"/>
      <c r="D124" s="51"/>
      <c r="E124" s="51"/>
    </row>
    <row r="125" spans="1:5" x14ac:dyDescent="0.25">
      <c r="A125" s="51"/>
      <c r="B125" s="51"/>
      <c r="C125" s="51"/>
      <c r="D125" s="51"/>
      <c r="E125" s="51"/>
    </row>
    <row r="126" spans="1:5" x14ac:dyDescent="0.25">
      <c r="A126" s="51"/>
      <c r="B126" s="51"/>
      <c r="C126" s="51"/>
      <c r="D126" s="51"/>
      <c r="E126" s="51"/>
    </row>
    <row r="127" spans="1:5" x14ac:dyDescent="0.25">
      <c r="A127" s="51"/>
      <c r="B127" s="51"/>
      <c r="C127" s="51"/>
      <c r="D127" s="51"/>
      <c r="E127" s="51"/>
    </row>
    <row r="128" spans="1:5" x14ac:dyDescent="0.25">
      <c r="A128" s="51"/>
      <c r="B128" s="51"/>
      <c r="C128" s="51"/>
      <c r="D128" s="51"/>
      <c r="E128" s="51"/>
    </row>
    <row r="129" spans="1:5" x14ac:dyDescent="0.25">
      <c r="A129" s="51"/>
      <c r="B129" s="51"/>
      <c r="C129" s="51"/>
      <c r="D129" s="51"/>
      <c r="E129" s="51"/>
    </row>
    <row r="130" spans="1:5" x14ac:dyDescent="0.25">
      <c r="A130" s="51"/>
      <c r="B130" s="51"/>
      <c r="C130" s="51"/>
      <c r="D130" s="51"/>
      <c r="E130" s="51"/>
    </row>
    <row r="131" spans="1:5" x14ac:dyDescent="0.25">
      <c r="A131" s="51"/>
      <c r="B131" s="51"/>
      <c r="C131" s="51"/>
      <c r="D131" s="51"/>
      <c r="E131" s="51"/>
    </row>
    <row r="132" spans="1:5" x14ac:dyDescent="0.25">
      <c r="A132" s="51"/>
      <c r="B132" s="51"/>
      <c r="C132" s="51"/>
      <c r="D132" s="51"/>
      <c r="E132" s="51"/>
    </row>
    <row r="133" spans="1:5" x14ac:dyDescent="0.25">
      <c r="A133" s="51"/>
      <c r="B133" s="51"/>
      <c r="C133" s="51"/>
      <c r="D133" s="51"/>
      <c r="E133" s="51"/>
    </row>
    <row r="134" spans="1:5" x14ac:dyDescent="0.25">
      <c r="A134" s="51"/>
      <c r="B134" s="51"/>
      <c r="C134" s="51"/>
      <c r="D134" s="51"/>
      <c r="E134" s="51"/>
    </row>
    <row r="135" spans="1:5" x14ac:dyDescent="0.25">
      <c r="A135" s="51"/>
      <c r="B135" s="51"/>
      <c r="C135" s="51"/>
      <c r="D135" s="51"/>
      <c r="E135" s="51"/>
    </row>
    <row r="136" spans="1:5" x14ac:dyDescent="0.25">
      <c r="A136" s="51"/>
      <c r="B136" s="51"/>
      <c r="C136" s="51"/>
      <c r="D136" s="51"/>
      <c r="E136" s="51"/>
    </row>
    <row r="137" spans="1:5" x14ac:dyDescent="0.25">
      <c r="A137" s="51"/>
      <c r="B137" s="51"/>
      <c r="C137" s="51"/>
      <c r="D137" s="51"/>
      <c r="E137" s="51"/>
    </row>
    <row r="138" spans="1:5" x14ac:dyDescent="0.25">
      <c r="A138" s="51"/>
      <c r="B138" s="51"/>
      <c r="C138" s="51"/>
      <c r="D138" s="51"/>
      <c r="E138" s="51"/>
    </row>
    <row r="139" spans="1:5" x14ac:dyDescent="0.25">
      <c r="A139" s="51"/>
      <c r="B139" s="51"/>
      <c r="C139" s="51"/>
      <c r="D139" s="51"/>
      <c r="E139" s="51"/>
    </row>
    <row r="140" spans="1:5" x14ac:dyDescent="0.25">
      <c r="A140" s="51"/>
      <c r="B140" s="51"/>
      <c r="C140" s="51"/>
      <c r="D140" s="51"/>
      <c r="E140" s="51"/>
    </row>
    <row r="141" spans="1:5" x14ac:dyDescent="0.25">
      <c r="A141" s="51"/>
      <c r="B141" s="51"/>
      <c r="C141" s="51"/>
      <c r="D141" s="51"/>
      <c r="E141" s="51"/>
    </row>
    <row r="142" spans="1:5" x14ac:dyDescent="0.25">
      <c r="A142" s="51"/>
      <c r="B142" s="51"/>
      <c r="C142" s="51"/>
      <c r="D142" s="51"/>
      <c r="E142" s="51"/>
    </row>
    <row r="143" spans="1:5" x14ac:dyDescent="0.25">
      <c r="A143" s="51"/>
      <c r="B143" s="51"/>
      <c r="C143" s="51"/>
      <c r="D143" s="51"/>
      <c r="E143" s="51"/>
    </row>
    <row r="144" spans="1:5" x14ac:dyDescent="0.25">
      <c r="A144" s="51"/>
      <c r="B144" s="51"/>
      <c r="C144" s="51"/>
      <c r="D144" s="51"/>
      <c r="E144" s="51"/>
    </row>
    <row r="145" spans="1:5" x14ac:dyDescent="0.25">
      <c r="A145" s="51"/>
      <c r="B145" s="51"/>
      <c r="C145" s="51"/>
      <c r="D145" s="51"/>
      <c r="E145" s="51"/>
    </row>
    <row r="146" spans="1:5" x14ac:dyDescent="0.25">
      <c r="A146" s="51"/>
      <c r="B146" s="51"/>
      <c r="C146" s="51"/>
      <c r="D146" s="51"/>
      <c r="E146" s="51"/>
    </row>
    <row r="147" spans="1:5" x14ac:dyDescent="0.25">
      <c r="A147" s="51"/>
      <c r="B147" s="51"/>
      <c r="C147" s="51"/>
      <c r="D147" s="51"/>
      <c r="E147" s="51"/>
    </row>
    <row r="148" spans="1:5" x14ac:dyDescent="0.25">
      <c r="A148" s="51"/>
      <c r="B148" s="51"/>
      <c r="C148" s="51"/>
      <c r="D148" s="51"/>
      <c r="E148" s="51"/>
    </row>
    <row r="149" spans="1:5" x14ac:dyDescent="0.25">
      <c r="A149" s="51"/>
      <c r="B149" s="51"/>
      <c r="C149" s="51"/>
      <c r="D149" s="51"/>
      <c r="E149" s="51"/>
    </row>
    <row r="150" spans="1:5" x14ac:dyDescent="0.25">
      <c r="A150" s="51"/>
      <c r="B150" s="51"/>
      <c r="C150" s="51"/>
      <c r="D150" s="51"/>
      <c r="E150" s="51"/>
    </row>
    <row r="151" spans="1:5" x14ac:dyDescent="0.25">
      <c r="A151" s="51"/>
      <c r="B151" s="51"/>
      <c r="C151" s="51"/>
      <c r="D151" s="51"/>
      <c r="E151" s="51"/>
    </row>
    <row r="152" spans="1:5" x14ac:dyDescent="0.25">
      <c r="A152" s="51"/>
      <c r="B152" s="51"/>
      <c r="C152" s="51"/>
      <c r="D152" s="51"/>
      <c r="E152" s="51"/>
    </row>
    <row r="153" spans="1:5" x14ac:dyDescent="0.25">
      <c r="A153" s="51"/>
      <c r="B153" s="51"/>
      <c r="C153" s="51"/>
      <c r="D153" s="51"/>
      <c r="E153" s="51"/>
    </row>
    <row r="154" spans="1:5" x14ac:dyDescent="0.25">
      <c r="A154" s="51"/>
      <c r="B154" s="51"/>
      <c r="C154" s="51"/>
      <c r="D154" s="51"/>
      <c r="E154" s="51"/>
    </row>
    <row r="155" spans="1:5" x14ac:dyDescent="0.25">
      <c r="A155" s="51"/>
      <c r="B155" s="51"/>
      <c r="C155" s="51"/>
      <c r="D155" s="51"/>
      <c r="E155" s="51"/>
    </row>
    <row r="156" spans="1:5" x14ac:dyDescent="0.25">
      <c r="A156" s="51"/>
      <c r="B156" s="51"/>
      <c r="C156" s="51"/>
      <c r="D156" s="51"/>
      <c r="E156" s="51"/>
    </row>
    <row r="157" spans="1:5" x14ac:dyDescent="0.25">
      <c r="A157" s="51"/>
      <c r="B157" s="51"/>
      <c r="C157" s="51"/>
      <c r="D157" s="51"/>
      <c r="E157" s="51"/>
    </row>
    <row r="158" spans="1:5" x14ac:dyDescent="0.25">
      <c r="A158" s="51"/>
      <c r="B158" s="51"/>
      <c r="C158" s="51"/>
      <c r="D158" s="51"/>
      <c r="E158" s="51"/>
    </row>
    <row r="159" spans="1:5" x14ac:dyDescent="0.25">
      <c r="A159" s="51"/>
      <c r="B159" s="51"/>
      <c r="C159" s="51"/>
      <c r="D159" s="51"/>
      <c r="E159" s="51"/>
    </row>
    <row r="160" spans="1:5" x14ac:dyDescent="0.25">
      <c r="A160" s="51"/>
      <c r="B160" s="51"/>
      <c r="C160" s="51"/>
      <c r="D160" s="51"/>
      <c r="E160" s="51"/>
    </row>
    <row r="161" spans="1:5" x14ac:dyDescent="0.25">
      <c r="A161" s="51"/>
      <c r="B161" s="51"/>
      <c r="C161" s="51"/>
      <c r="D161" s="51"/>
      <c r="E161" s="51"/>
    </row>
    <row r="162" spans="1:5" x14ac:dyDescent="0.25">
      <c r="A162" s="51"/>
      <c r="B162" s="51"/>
      <c r="C162" s="51"/>
      <c r="D162" s="51"/>
      <c r="E162" s="51"/>
    </row>
    <row r="163" spans="1:5" x14ac:dyDescent="0.25">
      <c r="A163" s="51"/>
      <c r="B163" s="51"/>
      <c r="C163" s="51"/>
      <c r="D163" s="51"/>
      <c r="E163" s="51"/>
    </row>
    <row r="164" spans="1:5" x14ac:dyDescent="0.25">
      <c r="A164" s="51"/>
      <c r="B164" s="51"/>
      <c r="C164" s="51"/>
      <c r="D164" s="51"/>
      <c r="E164" s="51"/>
    </row>
    <row r="165" spans="1:5" x14ac:dyDescent="0.25">
      <c r="A165" s="51"/>
      <c r="B165" s="51"/>
      <c r="C165" s="51"/>
      <c r="D165" s="51"/>
      <c r="E165" s="51"/>
    </row>
    <row r="166" spans="1:5" x14ac:dyDescent="0.25">
      <c r="A166" s="51"/>
      <c r="B166" s="51"/>
      <c r="C166" s="51"/>
      <c r="D166" s="51"/>
      <c r="E166" s="51"/>
    </row>
    <row r="167" spans="1:5" x14ac:dyDescent="0.25">
      <c r="A167" s="51"/>
      <c r="B167" s="51"/>
      <c r="C167" s="51"/>
      <c r="D167" s="51"/>
      <c r="E167" s="51"/>
    </row>
    <row r="168" spans="1:5" x14ac:dyDescent="0.25">
      <c r="A168" s="51"/>
      <c r="B168" s="51"/>
      <c r="C168" s="51"/>
      <c r="D168" s="51"/>
      <c r="E168" s="51"/>
    </row>
    <row r="169" spans="1:5" x14ac:dyDescent="0.25">
      <c r="A169" s="51"/>
      <c r="B169" s="51"/>
      <c r="C169" s="51"/>
      <c r="D169" s="51"/>
      <c r="E169" s="51"/>
    </row>
    <row r="170" spans="1:5" x14ac:dyDescent="0.25">
      <c r="A170" s="51"/>
      <c r="B170" s="51"/>
      <c r="C170" s="51"/>
      <c r="D170" s="51"/>
      <c r="E170" s="51"/>
    </row>
    <row r="171" spans="1:5" x14ac:dyDescent="0.25">
      <c r="A171" s="51"/>
      <c r="B171" s="51"/>
      <c r="C171" s="51"/>
      <c r="D171" s="51"/>
      <c r="E171" s="51"/>
    </row>
    <row r="172" spans="1:5" x14ac:dyDescent="0.25">
      <c r="A172" s="51"/>
      <c r="B172" s="51"/>
      <c r="C172" s="51"/>
      <c r="D172" s="51"/>
      <c r="E172" s="51"/>
    </row>
    <row r="173" spans="1:5" x14ac:dyDescent="0.25">
      <c r="A173" s="51"/>
      <c r="B173" s="51"/>
      <c r="C173" s="51"/>
      <c r="D173" s="51"/>
      <c r="E173" s="51"/>
    </row>
    <row r="174" spans="1:5" x14ac:dyDescent="0.25">
      <c r="A174" s="51"/>
      <c r="B174" s="51"/>
      <c r="C174" s="51"/>
      <c r="D174" s="51"/>
      <c r="E174" s="51"/>
    </row>
    <row r="175" spans="1:5" x14ac:dyDescent="0.25">
      <c r="A175" s="51"/>
      <c r="B175" s="51"/>
      <c r="C175" s="51"/>
      <c r="D175" s="51"/>
      <c r="E175" s="51"/>
    </row>
    <row r="176" spans="1:5" x14ac:dyDescent="0.25">
      <c r="A176" s="51"/>
      <c r="B176" s="51"/>
      <c r="C176" s="51"/>
      <c r="D176" s="51"/>
      <c r="E176" s="51"/>
    </row>
    <row r="177" spans="1:5" x14ac:dyDescent="0.25">
      <c r="A177" s="51"/>
      <c r="B177" s="51"/>
      <c r="C177" s="51"/>
      <c r="D177" s="51"/>
      <c r="E177" s="51"/>
    </row>
    <row r="178" spans="1:5" x14ac:dyDescent="0.25">
      <c r="A178" s="51"/>
      <c r="B178" s="51"/>
      <c r="C178" s="51"/>
      <c r="D178" s="51"/>
      <c r="E178" s="51"/>
    </row>
    <row r="179" spans="1:5" x14ac:dyDescent="0.25">
      <c r="A179" s="51"/>
      <c r="B179" s="51"/>
      <c r="C179" s="51"/>
      <c r="D179" s="51"/>
      <c r="E179" s="51"/>
    </row>
    <row r="180" spans="1:5" x14ac:dyDescent="0.25">
      <c r="A180" s="51"/>
      <c r="B180" s="51"/>
      <c r="C180" s="51"/>
      <c r="D180" s="51"/>
      <c r="E180" s="51"/>
    </row>
    <row r="181" spans="1:5" x14ac:dyDescent="0.25">
      <c r="A181" s="51"/>
      <c r="B181" s="51"/>
      <c r="C181" s="51"/>
      <c r="D181" s="51"/>
      <c r="E181" s="51"/>
    </row>
    <row r="182" spans="1:5" x14ac:dyDescent="0.25">
      <c r="A182" s="51"/>
      <c r="B182" s="51"/>
      <c r="C182" s="51"/>
      <c r="D182" s="51"/>
      <c r="E182" s="51"/>
    </row>
    <row r="183" spans="1:5" x14ac:dyDescent="0.25">
      <c r="A183" s="51"/>
      <c r="B183" s="51"/>
      <c r="C183" s="51"/>
      <c r="D183" s="51"/>
      <c r="E183" s="51"/>
    </row>
    <row r="184" spans="1:5" x14ac:dyDescent="0.25">
      <c r="A184" s="51"/>
      <c r="B184" s="51"/>
      <c r="C184" s="51"/>
      <c r="D184" s="51"/>
      <c r="E184" s="51"/>
    </row>
    <row r="185" spans="1:5" x14ac:dyDescent="0.25">
      <c r="A185" s="51"/>
      <c r="B185" s="51"/>
      <c r="C185" s="51"/>
      <c r="D185" s="51"/>
      <c r="E185" s="51"/>
    </row>
    <row r="186" spans="1:5" x14ac:dyDescent="0.25">
      <c r="A186" s="51"/>
      <c r="B186" s="51"/>
      <c r="C186" s="51"/>
      <c r="D186" s="51"/>
      <c r="E186" s="51"/>
    </row>
    <row r="187" spans="1:5" x14ac:dyDescent="0.25">
      <c r="A187" s="51"/>
      <c r="B187" s="51"/>
      <c r="C187" s="51"/>
      <c r="D187" s="51"/>
      <c r="E187" s="51"/>
    </row>
    <row r="188" spans="1:5" x14ac:dyDescent="0.25">
      <c r="A188" s="51"/>
      <c r="B188" s="51"/>
      <c r="C188" s="51"/>
      <c r="D188" s="51"/>
      <c r="E188" s="51"/>
    </row>
    <row r="189" spans="1:5" x14ac:dyDescent="0.25">
      <c r="A189" s="51"/>
      <c r="B189" s="51"/>
      <c r="C189" s="51"/>
      <c r="D189" s="51"/>
      <c r="E189" s="51"/>
    </row>
    <row r="190" spans="1:5" x14ac:dyDescent="0.25">
      <c r="A190" s="51"/>
      <c r="B190" s="51"/>
      <c r="C190" s="51"/>
      <c r="D190" s="51"/>
      <c r="E190" s="51"/>
    </row>
    <row r="191" spans="1:5" x14ac:dyDescent="0.25">
      <c r="A191" s="51"/>
      <c r="B191" s="51"/>
      <c r="C191" s="51"/>
      <c r="D191" s="51"/>
      <c r="E191" s="51"/>
    </row>
    <row r="192" spans="1:5" x14ac:dyDescent="0.25">
      <c r="A192" s="51"/>
      <c r="B192" s="51"/>
      <c r="C192" s="51"/>
      <c r="D192" s="51"/>
      <c r="E192" s="51"/>
    </row>
    <row r="193" spans="1:5" x14ac:dyDescent="0.25">
      <c r="A193" s="51"/>
      <c r="B193" s="51"/>
      <c r="C193" s="51"/>
      <c r="D193" s="51"/>
      <c r="E193" s="51"/>
    </row>
    <row r="194" spans="1:5" x14ac:dyDescent="0.25">
      <c r="A194" s="51"/>
      <c r="B194" s="51"/>
      <c r="C194" s="51"/>
      <c r="D194" s="51"/>
      <c r="E194" s="51"/>
    </row>
    <row r="195" spans="1:5" x14ac:dyDescent="0.25">
      <c r="A195" s="51"/>
      <c r="B195" s="51"/>
      <c r="C195" s="51"/>
      <c r="D195" s="51"/>
      <c r="E195" s="51"/>
    </row>
    <row r="196" spans="1:5" x14ac:dyDescent="0.25">
      <c r="A196" s="51"/>
      <c r="B196" s="51"/>
      <c r="C196" s="51"/>
      <c r="D196" s="51"/>
      <c r="E196" s="51"/>
    </row>
    <row r="197" spans="1:5" x14ac:dyDescent="0.25">
      <c r="A197" s="51"/>
      <c r="B197" s="51"/>
      <c r="C197" s="51"/>
      <c r="D197" s="51"/>
      <c r="E197" s="51"/>
    </row>
    <row r="198" spans="1:5" x14ac:dyDescent="0.25">
      <c r="A198" s="51"/>
      <c r="B198" s="51"/>
      <c r="C198" s="51"/>
      <c r="D198" s="51"/>
      <c r="E198" s="51"/>
    </row>
    <row r="199" spans="1:5" x14ac:dyDescent="0.25">
      <c r="A199" s="51"/>
      <c r="B199" s="51"/>
      <c r="C199" s="51"/>
      <c r="D199" s="51"/>
      <c r="E199" s="51"/>
    </row>
    <row r="200" spans="1:5" x14ac:dyDescent="0.25">
      <c r="A200" s="51"/>
      <c r="B200" s="51"/>
      <c r="C200" s="51"/>
      <c r="D200" s="51"/>
      <c r="E200" s="51"/>
    </row>
    <row r="201" spans="1:5" x14ac:dyDescent="0.25">
      <c r="A201" s="51"/>
      <c r="B201" s="51"/>
      <c r="C201" s="51"/>
      <c r="D201" s="51"/>
      <c r="E201" s="51"/>
    </row>
    <row r="202" spans="1:5" x14ac:dyDescent="0.25">
      <c r="A202" s="51"/>
      <c r="B202" s="51"/>
      <c r="C202" s="51"/>
      <c r="D202" s="51"/>
      <c r="E202" s="51"/>
    </row>
    <row r="203" spans="1:5" x14ac:dyDescent="0.25">
      <c r="A203" s="51"/>
      <c r="B203" s="51"/>
      <c r="C203" s="51"/>
      <c r="D203" s="51"/>
      <c r="E203" s="51"/>
    </row>
    <row r="204" spans="1:5" x14ac:dyDescent="0.25">
      <c r="A204" s="51"/>
      <c r="B204" s="51"/>
      <c r="C204" s="51"/>
      <c r="D204" s="51"/>
      <c r="E204" s="51"/>
    </row>
    <row r="205" spans="1:5" x14ac:dyDescent="0.25">
      <c r="A205" s="51"/>
      <c r="B205" s="51"/>
      <c r="C205" s="51"/>
      <c r="D205" s="51"/>
      <c r="E205" s="51"/>
    </row>
    <row r="206" spans="1:5" x14ac:dyDescent="0.25">
      <c r="A206" s="51"/>
      <c r="B206" s="51"/>
      <c r="C206" s="51"/>
      <c r="D206" s="51"/>
      <c r="E206" s="51"/>
    </row>
  </sheetData>
  <mergeCells count="10">
    <mergeCell ref="A26:B26"/>
    <mergeCell ref="C26:D26"/>
    <mergeCell ref="N28:O28"/>
    <mergeCell ref="X28:Y28"/>
    <mergeCell ref="B1:C1"/>
    <mergeCell ref="E1:H1"/>
    <mergeCell ref="L1:O1"/>
    <mergeCell ref="B2:C2"/>
    <mergeCell ref="B3:C3"/>
    <mergeCell ref="A25:D2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2025-04-14T20:21:10Z</dcterms:modified>
</cp:coreProperties>
</file>