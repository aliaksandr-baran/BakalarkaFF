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MTBE-Metanol" sheetId="1" r:id="rId1"/>
    <sheet name="trojzlozkova zmes" sheetId="3" r:id="rId2"/>
    <sheet name="EXP.udaje" sheetId="4" r:id="rId3"/>
    <sheet name="tlaky" sheetId="5" r:id="rId4"/>
  </sheets>
  <definedNames>
    <definedName name="solver_adj" localSheetId="0" hidden="1">'MTBE-Metanol'!$E$11:$E$26</definedName>
    <definedName name="solver_adj" localSheetId="1" hidden="1">'trojzlozkova zmes'!$A$14:$A$64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'MTBE-Metanol'!$W$26</definedName>
    <definedName name="solver_opt" localSheetId="1" hidden="1">'trojzlozkova zmes'!$AL$65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2</definedName>
    <definedName name="solver_val" localSheetId="0" hidden="1">1</definedName>
    <definedName name="solver_val" localSheetId="1" hidden="1">1</definedName>
    <definedName name="solver_ver" localSheetId="0" hidden="1">3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F12" i="1" l="1"/>
  <c r="F13" i="1"/>
  <c r="F14" i="1"/>
  <c r="F15" i="1"/>
  <c r="I15" i="1" s="1"/>
  <c r="K15" i="1" s="1"/>
  <c r="F16" i="1"/>
  <c r="I16" i="1" s="1"/>
  <c r="F17" i="1"/>
  <c r="I17" i="1" s="1"/>
  <c r="K17" i="1" s="1"/>
  <c r="F18" i="1"/>
  <c r="I18" i="1" s="1"/>
  <c r="F19" i="1"/>
  <c r="I19" i="1" s="1"/>
  <c r="K19" i="1" s="1"/>
  <c r="F20" i="1"/>
  <c r="I20" i="1" s="1"/>
  <c r="F21" i="1"/>
  <c r="I21" i="1" s="1"/>
  <c r="K21" i="1" s="1"/>
  <c r="F22" i="1"/>
  <c r="I22" i="1" s="1"/>
  <c r="F23" i="1"/>
  <c r="J23" i="1" s="1"/>
  <c r="L23" i="1" s="1"/>
  <c r="F24" i="1"/>
  <c r="J24" i="1" s="1"/>
  <c r="L24" i="1" s="1"/>
  <c r="F25" i="1"/>
  <c r="I25" i="1" s="1"/>
  <c r="K25" i="1" s="1"/>
  <c r="F26" i="1"/>
  <c r="J26" i="1" s="1"/>
  <c r="L26" i="1" s="1"/>
  <c r="F11" i="1"/>
  <c r="I11" i="1" s="1"/>
  <c r="H15" i="1"/>
  <c r="H16" i="1"/>
  <c r="H17" i="1"/>
  <c r="H18" i="1"/>
  <c r="H19" i="1"/>
  <c r="H20" i="1"/>
  <c r="H21" i="1"/>
  <c r="H22" i="1"/>
  <c r="H23" i="1"/>
  <c r="H24" i="1"/>
  <c r="H25" i="1"/>
  <c r="H26" i="1"/>
  <c r="H12" i="1"/>
  <c r="H13" i="1"/>
  <c r="H14" i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12" i="1"/>
  <c r="Q18" i="1" l="1"/>
  <c r="R17" i="1"/>
  <c r="J16" i="1"/>
  <c r="L16" i="1" s="1"/>
  <c r="I24" i="1"/>
  <c r="K24" i="1" s="1"/>
  <c r="M24" i="1" s="1"/>
  <c r="O24" i="1" s="1"/>
  <c r="J20" i="1"/>
  <c r="L20" i="1" s="1"/>
  <c r="J25" i="1"/>
  <c r="L25" i="1" s="1"/>
  <c r="N25" i="1" s="1"/>
  <c r="P25" i="1" s="1"/>
  <c r="J21" i="1"/>
  <c r="L21" i="1" s="1"/>
  <c r="Q19" i="1"/>
  <c r="I23" i="1"/>
  <c r="K23" i="1" s="1"/>
  <c r="M23" i="1" s="1"/>
  <c r="O23" i="1" s="1"/>
  <c r="R25" i="1"/>
  <c r="R21" i="1"/>
  <c r="Q23" i="1"/>
  <c r="I26" i="1"/>
  <c r="K26" i="1" s="1"/>
  <c r="M26" i="1" s="1"/>
  <c r="O26" i="1" s="1"/>
  <c r="J22" i="1"/>
  <c r="L22" i="1" s="1"/>
  <c r="Q25" i="1"/>
  <c r="R23" i="1"/>
  <c r="Q21" i="1"/>
  <c r="R19" i="1"/>
  <c r="Q17" i="1"/>
  <c r="R15" i="1"/>
  <c r="J19" i="1"/>
  <c r="L19" i="1" s="1"/>
  <c r="N19" i="1" s="1"/>
  <c r="P19" i="1" s="1"/>
  <c r="J17" i="1"/>
  <c r="L17" i="1" s="1"/>
  <c r="M17" i="1" s="1"/>
  <c r="O17" i="1" s="1"/>
  <c r="Q15" i="1"/>
  <c r="R26" i="1"/>
  <c r="R24" i="1"/>
  <c r="R22" i="1"/>
  <c r="Q20" i="1"/>
  <c r="J18" i="1"/>
  <c r="L18" i="1" s="1"/>
  <c r="R16" i="1"/>
  <c r="J15" i="1"/>
  <c r="L15" i="1" s="1"/>
  <c r="N21" i="1"/>
  <c r="P21" i="1" s="1"/>
  <c r="T21" i="1" s="1"/>
  <c r="V21" i="1" s="1"/>
  <c r="N17" i="1"/>
  <c r="P17" i="1" s="1"/>
  <c r="T17" i="1" s="1"/>
  <c r="V17" i="1" s="1"/>
  <c r="K22" i="1"/>
  <c r="K16" i="1"/>
  <c r="Q26" i="1"/>
  <c r="Q24" i="1"/>
  <c r="Q22" i="1"/>
  <c r="R20" i="1"/>
  <c r="R18" i="1"/>
  <c r="Q16" i="1"/>
  <c r="K20" i="1"/>
  <c r="K18" i="1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M21" i="1" l="1"/>
  <c r="O21" i="1" s="1"/>
  <c r="S21" i="1" s="1"/>
  <c r="U21" i="1" s="1"/>
  <c r="W21" i="1" s="1"/>
  <c r="X21" i="1" s="1"/>
  <c r="S24" i="1"/>
  <c r="U24" i="1" s="1"/>
  <c r="N23" i="1"/>
  <c r="P23" i="1" s="1"/>
  <c r="M16" i="1"/>
  <c r="O16" i="1" s="1"/>
  <c r="M20" i="1"/>
  <c r="O20" i="1" s="1"/>
  <c r="S20" i="1" s="1"/>
  <c r="U20" i="1" s="1"/>
  <c r="S17" i="1"/>
  <c r="U17" i="1" s="1"/>
  <c r="W17" i="1" s="1"/>
  <c r="X17" i="1" s="1"/>
  <c r="T19" i="1"/>
  <c r="V19" i="1" s="1"/>
  <c r="T25" i="1"/>
  <c r="V25" i="1" s="1"/>
  <c r="T23" i="1"/>
  <c r="V23" i="1" s="1"/>
  <c r="S23" i="1"/>
  <c r="U23" i="1" s="1"/>
  <c r="M22" i="1"/>
  <c r="O22" i="1" s="1"/>
  <c r="S22" i="1" s="1"/>
  <c r="U22" i="1" s="1"/>
  <c r="N15" i="1"/>
  <c r="P15" i="1" s="1"/>
  <c r="T15" i="1" s="1"/>
  <c r="V15" i="1" s="1"/>
  <c r="N18" i="1"/>
  <c r="P18" i="1" s="1"/>
  <c r="T18" i="1" s="1"/>
  <c r="V18" i="1" s="1"/>
  <c r="S26" i="1"/>
  <c r="U26" i="1" s="1"/>
  <c r="M15" i="1"/>
  <c r="O15" i="1" s="1"/>
  <c r="S15" i="1" s="1"/>
  <c r="U15" i="1" s="1"/>
  <c r="S16" i="1"/>
  <c r="U16" i="1" s="1"/>
  <c r="N16" i="1"/>
  <c r="P16" i="1" s="1"/>
  <c r="T16" i="1" s="1"/>
  <c r="V16" i="1" s="1"/>
  <c r="N22" i="1"/>
  <c r="P22" i="1" s="1"/>
  <c r="T22" i="1" s="1"/>
  <c r="V22" i="1" s="1"/>
  <c r="M18" i="1"/>
  <c r="O18" i="1" s="1"/>
  <c r="S18" i="1" s="1"/>
  <c r="U18" i="1" s="1"/>
  <c r="N20" i="1"/>
  <c r="P20" i="1" s="1"/>
  <c r="T20" i="1" s="1"/>
  <c r="V20" i="1" s="1"/>
  <c r="M25" i="1"/>
  <c r="O25" i="1" s="1"/>
  <c r="S25" i="1" s="1"/>
  <c r="U25" i="1" s="1"/>
  <c r="M19" i="1"/>
  <c r="O19" i="1" s="1"/>
  <c r="S19" i="1" s="1"/>
  <c r="U19" i="1" s="1"/>
  <c r="N24" i="1"/>
  <c r="P24" i="1" s="1"/>
  <c r="T24" i="1" s="1"/>
  <c r="V24" i="1" s="1"/>
  <c r="N26" i="1"/>
  <c r="P26" i="1" s="1"/>
  <c r="T26" i="1" s="1"/>
  <c r="V26" i="1" s="1"/>
  <c r="W26" i="1" s="1"/>
  <c r="X26" i="1" s="1"/>
  <c r="U14" i="5"/>
  <c r="P14" i="5"/>
  <c r="O14" i="5"/>
  <c r="N14" i="5"/>
  <c r="M14" i="5"/>
  <c r="L14" i="5"/>
  <c r="K14" i="5"/>
  <c r="J14" i="5"/>
  <c r="AH15" i="5"/>
  <c r="F14" i="5"/>
  <c r="AD14" i="5" s="1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I15" i="5"/>
  <c r="AJ15" i="5"/>
  <c r="AH16" i="5"/>
  <c r="AI16" i="5"/>
  <c r="AJ16" i="5"/>
  <c r="AH17" i="5"/>
  <c r="AI17" i="5"/>
  <c r="AJ17" i="5"/>
  <c r="AH18" i="5"/>
  <c r="AI18" i="5"/>
  <c r="AJ18" i="5"/>
  <c r="AH19" i="5"/>
  <c r="AI19" i="5"/>
  <c r="AJ19" i="5"/>
  <c r="AH20" i="5"/>
  <c r="AI20" i="5"/>
  <c r="AJ20" i="5"/>
  <c r="AH21" i="5"/>
  <c r="AI21" i="5"/>
  <c r="AJ21" i="5"/>
  <c r="AH22" i="5"/>
  <c r="AI22" i="5"/>
  <c r="AJ22" i="5"/>
  <c r="AH23" i="5"/>
  <c r="AI23" i="5"/>
  <c r="AJ23" i="5"/>
  <c r="AH24" i="5"/>
  <c r="AI24" i="5"/>
  <c r="AJ24" i="5"/>
  <c r="AH25" i="5"/>
  <c r="AI25" i="5"/>
  <c r="AJ25" i="5"/>
  <c r="AH26" i="5"/>
  <c r="AI26" i="5"/>
  <c r="AJ26" i="5"/>
  <c r="AH27" i="5"/>
  <c r="AI27" i="5"/>
  <c r="AJ27" i="5"/>
  <c r="AH28" i="5"/>
  <c r="AI28" i="5"/>
  <c r="AJ28" i="5"/>
  <c r="AH29" i="5"/>
  <c r="AI29" i="5"/>
  <c r="AJ29" i="5"/>
  <c r="AH30" i="5"/>
  <c r="AI30" i="5"/>
  <c r="AJ30" i="5"/>
  <c r="AH31" i="5"/>
  <c r="AI31" i="5"/>
  <c r="AJ31" i="5"/>
  <c r="AH32" i="5"/>
  <c r="AI32" i="5"/>
  <c r="AJ32" i="5"/>
  <c r="AH33" i="5"/>
  <c r="AI33" i="5"/>
  <c r="AJ33" i="5"/>
  <c r="AH34" i="5"/>
  <c r="AI34" i="5"/>
  <c r="AJ34" i="5"/>
  <c r="AH35" i="5"/>
  <c r="AI35" i="5"/>
  <c r="AJ35" i="5"/>
  <c r="AH36" i="5"/>
  <c r="AI36" i="5"/>
  <c r="AJ36" i="5"/>
  <c r="AH37" i="5"/>
  <c r="AI37" i="5"/>
  <c r="AJ37" i="5"/>
  <c r="AH38" i="5"/>
  <c r="AI38" i="5"/>
  <c r="AJ38" i="5"/>
  <c r="AH39" i="5"/>
  <c r="AI39" i="5"/>
  <c r="AJ39" i="5"/>
  <c r="AH40" i="5"/>
  <c r="AI40" i="5"/>
  <c r="AJ40" i="5"/>
  <c r="AH41" i="5"/>
  <c r="AI41" i="5"/>
  <c r="AJ41" i="5"/>
  <c r="AH42" i="5"/>
  <c r="AI42" i="5"/>
  <c r="AJ42" i="5"/>
  <c r="AH43" i="5"/>
  <c r="AI43" i="5"/>
  <c r="AJ43" i="5"/>
  <c r="AH44" i="5"/>
  <c r="AI44" i="5"/>
  <c r="AJ44" i="5"/>
  <c r="AH45" i="5"/>
  <c r="AI45" i="5"/>
  <c r="AJ45" i="5"/>
  <c r="AH46" i="5"/>
  <c r="AI46" i="5"/>
  <c r="AJ46" i="5"/>
  <c r="AH47" i="5"/>
  <c r="AI47" i="5"/>
  <c r="AJ47" i="5"/>
  <c r="AH48" i="5"/>
  <c r="AI48" i="5"/>
  <c r="AJ48" i="5"/>
  <c r="AH49" i="5"/>
  <c r="AI49" i="5"/>
  <c r="AJ49" i="5"/>
  <c r="AH50" i="5"/>
  <c r="AI50" i="5"/>
  <c r="AJ50" i="5"/>
  <c r="AH51" i="5"/>
  <c r="AI51" i="5"/>
  <c r="AJ51" i="5"/>
  <c r="AH52" i="5"/>
  <c r="AI52" i="5"/>
  <c r="AJ52" i="5"/>
  <c r="AH53" i="5"/>
  <c r="AI53" i="5"/>
  <c r="AJ53" i="5"/>
  <c r="AH54" i="5"/>
  <c r="AI54" i="5"/>
  <c r="AJ54" i="5"/>
  <c r="AH55" i="5"/>
  <c r="AI55" i="5"/>
  <c r="AJ55" i="5"/>
  <c r="AH56" i="5"/>
  <c r="AI56" i="5"/>
  <c r="AJ56" i="5"/>
  <c r="AH57" i="5"/>
  <c r="AI57" i="5"/>
  <c r="AJ57" i="5"/>
  <c r="AH58" i="5"/>
  <c r="AI58" i="5"/>
  <c r="AJ58" i="5"/>
  <c r="AH59" i="5"/>
  <c r="AI59" i="5"/>
  <c r="AJ59" i="5"/>
  <c r="AH60" i="5"/>
  <c r="AI60" i="5"/>
  <c r="AJ60" i="5"/>
  <c r="AH61" i="5"/>
  <c r="AI61" i="5"/>
  <c r="AJ61" i="5"/>
  <c r="AH62" i="5"/>
  <c r="AI62" i="5"/>
  <c r="AJ62" i="5"/>
  <c r="G14" i="5"/>
  <c r="E64" i="5"/>
  <c r="C64" i="5" s="1"/>
  <c r="B64" i="5"/>
  <c r="F64" i="5" s="1"/>
  <c r="E63" i="5"/>
  <c r="C63" i="5"/>
  <c r="B63" i="5"/>
  <c r="G63" i="5" s="1"/>
  <c r="E62" i="5"/>
  <c r="C62" i="5" s="1"/>
  <c r="B62" i="5"/>
  <c r="F62" i="5" s="1"/>
  <c r="E61" i="5"/>
  <c r="C61" i="5"/>
  <c r="B61" i="5"/>
  <c r="G61" i="5" s="1"/>
  <c r="E60" i="5"/>
  <c r="C60" i="5" s="1"/>
  <c r="B60" i="5"/>
  <c r="F60" i="5" s="1"/>
  <c r="E59" i="5"/>
  <c r="C59" i="5"/>
  <c r="B59" i="5"/>
  <c r="G59" i="5" s="1"/>
  <c r="E58" i="5"/>
  <c r="C58" i="5" s="1"/>
  <c r="B58" i="5"/>
  <c r="G58" i="5" s="1"/>
  <c r="E57" i="5"/>
  <c r="C57" i="5"/>
  <c r="B57" i="5"/>
  <c r="G57" i="5" s="1"/>
  <c r="E56" i="5"/>
  <c r="C56" i="5" s="1"/>
  <c r="B56" i="5"/>
  <c r="E55" i="5"/>
  <c r="C55" i="5"/>
  <c r="B55" i="5"/>
  <c r="G55" i="5" s="1"/>
  <c r="E54" i="5"/>
  <c r="C54" i="5" s="1"/>
  <c r="B54" i="5"/>
  <c r="F54" i="5" s="1"/>
  <c r="E53" i="5"/>
  <c r="C53" i="5"/>
  <c r="B53" i="5"/>
  <c r="G53" i="5" s="1"/>
  <c r="E52" i="5"/>
  <c r="C52" i="5" s="1"/>
  <c r="B52" i="5"/>
  <c r="F52" i="5" s="1"/>
  <c r="E51" i="5"/>
  <c r="C51" i="5"/>
  <c r="B51" i="5"/>
  <c r="G51" i="5" s="1"/>
  <c r="E50" i="5"/>
  <c r="C50" i="5" s="1"/>
  <c r="B50" i="5"/>
  <c r="F50" i="5" s="1"/>
  <c r="E49" i="5"/>
  <c r="C49" i="5"/>
  <c r="B49" i="5"/>
  <c r="G49" i="5" s="1"/>
  <c r="E48" i="5"/>
  <c r="C48" i="5" s="1"/>
  <c r="B48" i="5"/>
  <c r="F48" i="5" s="1"/>
  <c r="E47" i="5"/>
  <c r="C47" i="5"/>
  <c r="B47" i="5"/>
  <c r="G47" i="5" s="1"/>
  <c r="E46" i="5"/>
  <c r="C46" i="5" s="1"/>
  <c r="B46" i="5"/>
  <c r="F46" i="5" s="1"/>
  <c r="E45" i="5"/>
  <c r="C45" i="5"/>
  <c r="B45" i="5"/>
  <c r="G45" i="5" s="1"/>
  <c r="E44" i="5"/>
  <c r="C44" i="5" s="1"/>
  <c r="B44" i="5"/>
  <c r="F44" i="5" s="1"/>
  <c r="E43" i="5"/>
  <c r="C43" i="5"/>
  <c r="B43" i="5"/>
  <c r="G43" i="5" s="1"/>
  <c r="E42" i="5"/>
  <c r="C42" i="5" s="1"/>
  <c r="B42" i="5"/>
  <c r="F42" i="5" s="1"/>
  <c r="E41" i="5"/>
  <c r="C41" i="5"/>
  <c r="B41" i="5"/>
  <c r="G41" i="5" s="1"/>
  <c r="E40" i="5"/>
  <c r="C40" i="5" s="1"/>
  <c r="B40" i="5"/>
  <c r="F40" i="5" s="1"/>
  <c r="E39" i="5"/>
  <c r="C39" i="5"/>
  <c r="B39" i="5"/>
  <c r="G39" i="5" s="1"/>
  <c r="E38" i="5"/>
  <c r="C38" i="5" s="1"/>
  <c r="B38" i="5"/>
  <c r="F38" i="5" s="1"/>
  <c r="E37" i="5"/>
  <c r="C37" i="5"/>
  <c r="B37" i="5"/>
  <c r="G37" i="5" s="1"/>
  <c r="E36" i="5"/>
  <c r="C36" i="5" s="1"/>
  <c r="B36" i="5"/>
  <c r="F36" i="5" s="1"/>
  <c r="E35" i="5"/>
  <c r="C35" i="5"/>
  <c r="B35" i="5"/>
  <c r="G35" i="5" s="1"/>
  <c r="E34" i="5"/>
  <c r="C34" i="5" s="1"/>
  <c r="B34" i="5"/>
  <c r="F34" i="5" s="1"/>
  <c r="E33" i="5"/>
  <c r="C33" i="5"/>
  <c r="B33" i="5"/>
  <c r="G33" i="5" s="1"/>
  <c r="E32" i="5"/>
  <c r="C32" i="5" s="1"/>
  <c r="B32" i="5"/>
  <c r="F32" i="5" s="1"/>
  <c r="E31" i="5"/>
  <c r="C31" i="5"/>
  <c r="B31" i="5"/>
  <c r="G31" i="5" s="1"/>
  <c r="E30" i="5"/>
  <c r="C30" i="5" s="1"/>
  <c r="B30" i="5"/>
  <c r="F30" i="5" s="1"/>
  <c r="E29" i="5"/>
  <c r="C29" i="5"/>
  <c r="B29" i="5"/>
  <c r="G29" i="5" s="1"/>
  <c r="E28" i="5"/>
  <c r="C28" i="5" s="1"/>
  <c r="B28" i="5"/>
  <c r="F28" i="5" s="1"/>
  <c r="E27" i="5"/>
  <c r="C27" i="5" s="1"/>
  <c r="B27" i="5"/>
  <c r="G27" i="5" s="1"/>
  <c r="E26" i="5"/>
  <c r="C26" i="5"/>
  <c r="B26" i="5"/>
  <c r="G26" i="5" s="1"/>
  <c r="E25" i="5"/>
  <c r="C25" i="5" s="1"/>
  <c r="B25" i="5"/>
  <c r="G25" i="5" s="1"/>
  <c r="E24" i="5"/>
  <c r="C24" i="5"/>
  <c r="B24" i="5"/>
  <c r="G24" i="5" s="1"/>
  <c r="E23" i="5"/>
  <c r="C23" i="5" s="1"/>
  <c r="B23" i="5"/>
  <c r="G23" i="5" s="1"/>
  <c r="E22" i="5"/>
  <c r="C22" i="5"/>
  <c r="B22" i="5"/>
  <c r="G22" i="5" s="1"/>
  <c r="E21" i="5"/>
  <c r="C21" i="5" s="1"/>
  <c r="B21" i="5"/>
  <c r="G21" i="5" s="1"/>
  <c r="E20" i="5"/>
  <c r="C20" i="5"/>
  <c r="B20" i="5"/>
  <c r="G20" i="5" s="1"/>
  <c r="E19" i="5"/>
  <c r="C19" i="5" s="1"/>
  <c r="B19" i="5"/>
  <c r="G19" i="5" s="1"/>
  <c r="E18" i="5"/>
  <c r="C18" i="5"/>
  <c r="B18" i="5"/>
  <c r="G18" i="5" s="1"/>
  <c r="E17" i="5"/>
  <c r="C17" i="5" s="1"/>
  <c r="B17" i="5"/>
  <c r="G17" i="5" s="1"/>
  <c r="E16" i="5"/>
  <c r="C16" i="5"/>
  <c r="B16" i="5"/>
  <c r="G16" i="5" s="1"/>
  <c r="E15" i="5"/>
  <c r="C15" i="5" s="1"/>
  <c r="B15" i="5"/>
  <c r="G15" i="5" s="1"/>
  <c r="E14" i="5"/>
  <c r="C14" i="5"/>
  <c r="B14" i="5"/>
  <c r="Q1" i="5"/>
  <c r="W24" i="1" l="1"/>
  <c r="X24" i="1" s="1"/>
  <c r="W25" i="1"/>
  <c r="X25" i="1" s="1"/>
  <c r="W19" i="1"/>
  <c r="X19" i="1" s="1"/>
  <c r="W20" i="1"/>
  <c r="X20" i="1" s="1"/>
  <c r="W23" i="1"/>
  <c r="X23" i="1" s="1"/>
  <c r="W18" i="1"/>
  <c r="X18" i="1" s="1"/>
  <c r="W15" i="1"/>
  <c r="X15" i="1" s="1"/>
  <c r="W16" i="1"/>
  <c r="X16" i="1" s="1"/>
  <c r="W22" i="1"/>
  <c r="X22" i="1" s="1"/>
  <c r="F16" i="5"/>
  <c r="F18" i="5"/>
  <c r="F20" i="5"/>
  <c r="F22" i="5"/>
  <c r="F24" i="5"/>
  <c r="F26" i="5"/>
  <c r="F29" i="5"/>
  <c r="F31" i="5"/>
  <c r="F33" i="5"/>
  <c r="F35" i="5"/>
  <c r="F37" i="5"/>
  <c r="F39" i="5"/>
  <c r="F41" i="5"/>
  <c r="F43" i="5"/>
  <c r="F45" i="5"/>
  <c r="F47" i="5"/>
  <c r="F49" i="5"/>
  <c r="F51" i="5"/>
  <c r="F53" i="5"/>
  <c r="F55" i="5"/>
  <c r="F57" i="5"/>
  <c r="F59" i="5"/>
  <c r="F61" i="5"/>
  <c r="F63" i="5"/>
  <c r="M64" i="5"/>
  <c r="S64" i="5" s="1"/>
  <c r="K64" i="5"/>
  <c r="Q64" i="5" s="1"/>
  <c r="I64" i="5"/>
  <c r="O64" i="5" s="1"/>
  <c r="N63" i="5"/>
  <c r="T63" i="5" s="1"/>
  <c r="L63" i="5"/>
  <c r="R63" i="5" s="1"/>
  <c r="J63" i="5"/>
  <c r="M62" i="5"/>
  <c r="S62" i="5" s="1"/>
  <c r="K62" i="5"/>
  <c r="Q62" i="5" s="1"/>
  <c r="Z62" i="5" s="1"/>
  <c r="I62" i="5"/>
  <c r="O62" i="5" s="1"/>
  <c r="N61" i="5"/>
  <c r="T61" i="5" s="1"/>
  <c r="L61" i="5"/>
  <c r="R61" i="5" s="1"/>
  <c r="J61" i="5"/>
  <c r="M60" i="5"/>
  <c r="S60" i="5" s="1"/>
  <c r="K60" i="5"/>
  <c r="Q60" i="5" s="1"/>
  <c r="Z60" i="5" s="1"/>
  <c r="I60" i="5"/>
  <c r="O60" i="5" s="1"/>
  <c r="N64" i="5"/>
  <c r="T64" i="5" s="1"/>
  <c r="L64" i="5"/>
  <c r="R64" i="5" s="1"/>
  <c r="J64" i="5"/>
  <c r="M63" i="5"/>
  <c r="S63" i="5" s="1"/>
  <c r="K63" i="5"/>
  <c r="Q63" i="5" s="1"/>
  <c r="Z63" i="5" s="1"/>
  <c r="I63" i="5"/>
  <c r="O63" i="5" s="1"/>
  <c r="Y63" i="5" s="1"/>
  <c r="N62" i="5"/>
  <c r="T62" i="5" s="1"/>
  <c r="L62" i="5"/>
  <c r="R62" i="5" s="1"/>
  <c r="J62" i="5"/>
  <c r="K61" i="5"/>
  <c r="Q61" i="5" s="1"/>
  <c r="N60" i="5"/>
  <c r="T60" i="5" s="1"/>
  <c r="J60" i="5"/>
  <c r="M59" i="5"/>
  <c r="S59" i="5" s="1"/>
  <c r="K59" i="5"/>
  <c r="Q59" i="5" s="1"/>
  <c r="I59" i="5"/>
  <c r="O59" i="5" s="1"/>
  <c r="N58" i="5"/>
  <c r="T58" i="5" s="1"/>
  <c r="L58" i="5"/>
  <c r="R58" i="5" s="1"/>
  <c r="J58" i="5"/>
  <c r="M57" i="5"/>
  <c r="S57" i="5" s="1"/>
  <c r="K57" i="5"/>
  <c r="Q57" i="5" s="1"/>
  <c r="I57" i="5"/>
  <c r="O57" i="5" s="1"/>
  <c r="N56" i="5"/>
  <c r="T56" i="5" s="1"/>
  <c r="L56" i="5"/>
  <c r="R56" i="5" s="1"/>
  <c r="M61" i="5"/>
  <c r="S61" i="5" s="1"/>
  <c r="I61" i="5"/>
  <c r="O61" i="5" s="1"/>
  <c r="Y61" i="5" s="1"/>
  <c r="L60" i="5"/>
  <c r="R60" i="5" s="1"/>
  <c r="N59" i="5"/>
  <c r="T59" i="5" s="1"/>
  <c r="L59" i="5"/>
  <c r="R59" i="5" s="1"/>
  <c r="J59" i="5"/>
  <c r="M58" i="5"/>
  <c r="S58" i="5" s="1"/>
  <c r="K58" i="5"/>
  <c r="Q58" i="5" s="1"/>
  <c r="Z58" i="5" s="1"/>
  <c r="I58" i="5"/>
  <c r="O58" i="5" s="1"/>
  <c r="Y58" i="5" s="1"/>
  <c r="N57" i="5"/>
  <c r="T57" i="5" s="1"/>
  <c r="L57" i="5"/>
  <c r="R57" i="5" s="1"/>
  <c r="J57" i="5"/>
  <c r="M56" i="5"/>
  <c r="S56" i="5" s="1"/>
  <c r="K56" i="5"/>
  <c r="Q56" i="5" s="1"/>
  <c r="Z56" i="5" s="1"/>
  <c r="I56" i="5"/>
  <c r="O56" i="5" s="1"/>
  <c r="Y56" i="5" s="1"/>
  <c r="J56" i="5"/>
  <c r="N55" i="5"/>
  <c r="T55" i="5" s="1"/>
  <c r="L55" i="5"/>
  <c r="R55" i="5" s="1"/>
  <c r="J55" i="5"/>
  <c r="M54" i="5"/>
  <c r="S54" i="5" s="1"/>
  <c r="K54" i="5"/>
  <c r="Q54" i="5" s="1"/>
  <c r="I54" i="5"/>
  <c r="O54" i="5" s="1"/>
  <c r="N53" i="5"/>
  <c r="T53" i="5" s="1"/>
  <c r="L53" i="5"/>
  <c r="R53" i="5" s="1"/>
  <c r="J53" i="5"/>
  <c r="M52" i="5"/>
  <c r="S52" i="5" s="1"/>
  <c r="K52" i="5"/>
  <c r="Q52" i="5" s="1"/>
  <c r="I52" i="5"/>
  <c r="O52" i="5" s="1"/>
  <c r="N51" i="5"/>
  <c r="T51" i="5" s="1"/>
  <c r="L51" i="5"/>
  <c r="R51" i="5" s="1"/>
  <c r="J51" i="5"/>
  <c r="M50" i="5"/>
  <c r="S50" i="5" s="1"/>
  <c r="K50" i="5"/>
  <c r="Q50" i="5" s="1"/>
  <c r="I50" i="5"/>
  <c r="O50" i="5" s="1"/>
  <c r="N49" i="5"/>
  <c r="T49" i="5" s="1"/>
  <c r="L49" i="5"/>
  <c r="R49" i="5" s="1"/>
  <c r="J49" i="5"/>
  <c r="M48" i="5"/>
  <c r="S48" i="5" s="1"/>
  <c r="K48" i="5"/>
  <c r="Q48" i="5" s="1"/>
  <c r="I48" i="5"/>
  <c r="O48" i="5" s="1"/>
  <c r="N47" i="5"/>
  <c r="T47" i="5" s="1"/>
  <c r="L47" i="5"/>
  <c r="R47" i="5" s="1"/>
  <c r="J47" i="5"/>
  <c r="M46" i="5"/>
  <c r="S46" i="5" s="1"/>
  <c r="K46" i="5"/>
  <c r="Q46" i="5" s="1"/>
  <c r="I46" i="5"/>
  <c r="O46" i="5" s="1"/>
  <c r="K55" i="5"/>
  <c r="N54" i="5"/>
  <c r="T54" i="5" s="1"/>
  <c r="J54" i="5"/>
  <c r="M53" i="5"/>
  <c r="S53" i="5" s="1"/>
  <c r="I53" i="5"/>
  <c r="O53" i="5" s="1"/>
  <c r="Y53" i="5" s="1"/>
  <c r="L52" i="5"/>
  <c r="R52" i="5" s="1"/>
  <c r="K51" i="5"/>
  <c r="Q51" i="5" s="1"/>
  <c r="N50" i="5"/>
  <c r="T50" i="5" s="1"/>
  <c r="J50" i="5"/>
  <c r="M49" i="5"/>
  <c r="S49" i="5" s="1"/>
  <c r="I49" i="5"/>
  <c r="O49" i="5" s="1"/>
  <c r="Y49" i="5" s="1"/>
  <c r="L48" i="5"/>
  <c r="R48" i="5" s="1"/>
  <c r="K47" i="5"/>
  <c r="Q47" i="5" s="1"/>
  <c r="N46" i="5"/>
  <c r="T46" i="5" s="1"/>
  <c r="J46" i="5"/>
  <c r="N45" i="5"/>
  <c r="T45" i="5" s="1"/>
  <c r="L45" i="5"/>
  <c r="R45" i="5" s="1"/>
  <c r="J45" i="5"/>
  <c r="M44" i="5"/>
  <c r="S44" i="5" s="1"/>
  <c r="K44" i="5"/>
  <c r="Q44" i="5" s="1"/>
  <c r="Z44" i="5" s="1"/>
  <c r="I44" i="5"/>
  <c r="O44" i="5" s="1"/>
  <c r="N43" i="5"/>
  <c r="T43" i="5" s="1"/>
  <c r="L43" i="5"/>
  <c r="R43" i="5" s="1"/>
  <c r="J43" i="5"/>
  <c r="M42" i="5"/>
  <c r="S42" i="5" s="1"/>
  <c r="K42" i="5"/>
  <c r="Q42" i="5" s="1"/>
  <c r="Z42" i="5" s="1"/>
  <c r="I42" i="5"/>
  <c r="O42" i="5" s="1"/>
  <c r="N41" i="5"/>
  <c r="T41" i="5" s="1"/>
  <c r="L41" i="5"/>
  <c r="R41" i="5" s="1"/>
  <c r="J41" i="5"/>
  <c r="M40" i="5"/>
  <c r="S40" i="5" s="1"/>
  <c r="K40" i="5"/>
  <c r="Q40" i="5" s="1"/>
  <c r="Z40" i="5" s="1"/>
  <c r="I40" i="5"/>
  <c r="O40" i="5" s="1"/>
  <c r="N39" i="5"/>
  <c r="T39" i="5" s="1"/>
  <c r="L39" i="5"/>
  <c r="R39" i="5" s="1"/>
  <c r="J39" i="5"/>
  <c r="M38" i="5"/>
  <c r="S38" i="5" s="1"/>
  <c r="K38" i="5"/>
  <c r="Q38" i="5" s="1"/>
  <c r="Z38" i="5" s="1"/>
  <c r="I38" i="5"/>
  <c r="O38" i="5" s="1"/>
  <c r="N37" i="5"/>
  <c r="T37" i="5" s="1"/>
  <c r="L37" i="5"/>
  <c r="R37" i="5" s="1"/>
  <c r="J37" i="5"/>
  <c r="M36" i="5"/>
  <c r="S36" i="5" s="1"/>
  <c r="K36" i="5"/>
  <c r="Q36" i="5" s="1"/>
  <c r="Z36" i="5" s="1"/>
  <c r="I36" i="5"/>
  <c r="O36" i="5" s="1"/>
  <c r="N35" i="5"/>
  <c r="T35" i="5" s="1"/>
  <c r="L35" i="5"/>
  <c r="R35" i="5" s="1"/>
  <c r="J35" i="5"/>
  <c r="M34" i="5"/>
  <c r="S34" i="5" s="1"/>
  <c r="K34" i="5"/>
  <c r="Q34" i="5" s="1"/>
  <c r="Z34" i="5" s="1"/>
  <c r="I34" i="5"/>
  <c r="O34" i="5" s="1"/>
  <c r="N33" i="5"/>
  <c r="T33" i="5" s="1"/>
  <c r="L33" i="5"/>
  <c r="R33" i="5" s="1"/>
  <c r="J33" i="5"/>
  <c r="M32" i="5"/>
  <c r="S32" i="5" s="1"/>
  <c r="K32" i="5"/>
  <c r="Q32" i="5" s="1"/>
  <c r="Z32" i="5" s="1"/>
  <c r="I32" i="5"/>
  <c r="O32" i="5" s="1"/>
  <c r="N31" i="5"/>
  <c r="T31" i="5" s="1"/>
  <c r="L31" i="5"/>
  <c r="R31" i="5" s="1"/>
  <c r="J31" i="5"/>
  <c r="M30" i="5"/>
  <c r="S30" i="5" s="1"/>
  <c r="K30" i="5"/>
  <c r="Q30" i="5" s="1"/>
  <c r="Z30" i="5" s="1"/>
  <c r="I30" i="5"/>
  <c r="O30" i="5" s="1"/>
  <c r="M55" i="5"/>
  <c r="S55" i="5" s="1"/>
  <c r="I55" i="5"/>
  <c r="O55" i="5" s="1"/>
  <c r="Y55" i="5" s="1"/>
  <c r="L54" i="5"/>
  <c r="R54" i="5" s="1"/>
  <c r="K53" i="5"/>
  <c r="Q53" i="5" s="1"/>
  <c r="Z53" i="5" s="1"/>
  <c r="N52" i="5"/>
  <c r="T52" i="5" s="1"/>
  <c r="J52" i="5"/>
  <c r="M51" i="5"/>
  <c r="S51" i="5" s="1"/>
  <c r="I51" i="5"/>
  <c r="O51" i="5" s="1"/>
  <c r="Y51" i="5" s="1"/>
  <c r="L50" i="5"/>
  <c r="R50" i="5" s="1"/>
  <c r="K49" i="5"/>
  <c r="Q49" i="5" s="1"/>
  <c r="Z49" i="5" s="1"/>
  <c r="N48" i="5"/>
  <c r="T48" i="5" s="1"/>
  <c r="J48" i="5"/>
  <c r="M47" i="5"/>
  <c r="S47" i="5" s="1"/>
  <c r="I47" i="5"/>
  <c r="O47" i="5" s="1"/>
  <c r="Y47" i="5" s="1"/>
  <c r="L46" i="5"/>
  <c r="R46" i="5" s="1"/>
  <c r="M45" i="5"/>
  <c r="S45" i="5" s="1"/>
  <c r="I45" i="5"/>
  <c r="O45" i="5" s="1"/>
  <c r="Y45" i="5" s="1"/>
  <c r="L44" i="5"/>
  <c r="R44" i="5" s="1"/>
  <c r="K43" i="5"/>
  <c r="Q43" i="5" s="1"/>
  <c r="N42" i="5"/>
  <c r="T42" i="5" s="1"/>
  <c r="J42" i="5"/>
  <c r="M41" i="5"/>
  <c r="S41" i="5" s="1"/>
  <c r="I41" i="5"/>
  <c r="O41" i="5" s="1"/>
  <c r="Y41" i="5" s="1"/>
  <c r="L40" i="5"/>
  <c r="R40" i="5" s="1"/>
  <c r="K39" i="5"/>
  <c r="Q39" i="5" s="1"/>
  <c r="N38" i="5"/>
  <c r="T38" i="5" s="1"/>
  <c r="J38" i="5"/>
  <c r="M37" i="5"/>
  <c r="S37" i="5" s="1"/>
  <c r="I37" i="5"/>
  <c r="O37" i="5" s="1"/>
  <c r="Y37" i="5" s="1"/>
  <c r="L36" i="5"/>
  <c r="R36" i="5" s="1"/>
  <c r="K35" i="5"/>
  <c r="Q35" i="5" s="1"/>
  <c r="N34" i="5"/>
  <c r="T34" i="5" s="1"/>
  <c r="J34" i="5"/>
  <c r="M33" i="5"/>
  <c r="S33" i="5" s="1"/>
  <c r="I33" i="5"/>
  <c r="O33" i="5" s="1"/>
  <c r="Y33" i="5" s="1"/>
  <c r="L32" i="5"/>
  <c r="R32" i="5" s="1"/>
  <c r="K31" i="5"/>
  <c r="Q31" i="5" s="1"/>
  <c r="N30" i="5"/>
  <c r="T30" i="5" s="1"/>
  <c r="J30" i="5"/>
  <c r="M29" i="5"/>
  <c r="S29" i="5" s="1"/>
  <c r="K29" i="5"/>
  <c r="Q29" i="5" s="1"/>
  <c r="Z29" i="5" s="1"/>
  <c r="I29" i="5"/>
  <c r="O29" i="5" s="1"/>
  <c r="N28" i="5"/>
  <c r="T28" i="5" s="1"/>
  <c r="L28" i="5"/>
  <c r="R28" i="5" s="1"/>
  <c r="J28" i="5"/>
  <c r="K45" i="5"/>
  <c r="Q45" i="5" s="1"/>
  <c r="Z45" i="5" s="1"/>
  <c r="N44" i="5"/>
  <c r="T44" i="5" s="1"/>
  <c r="J44" i="5"/>
  <c r="M43" i="5"/>
  <c r="S43" i="5" s="1"/>
  <c r="I43" i="5"/>
  <c r="O43" i="5" s="1"/>
  <c r="Y43" i="5" s="1"/>
  <c r="L42" i="5"/>
  <c r="R42" i="5" s="1"/>
  <c r="K41" i="5"/>
  <c r="Q41" i="5" s="1"/>
  <c r="Z41" i="5" s="1"/>
  <c r="N40" i="5"/>
  <c r="T40" i="5" s="1"/>
  <c r="J40" i="5"/>
  <c r="M39" i="5"/>
  <c r="S39" i="5" s="1"/>
  <c r="I39" i="5"/>
  <c r="O39" i="5" s="1"/>
  <c r="Y39" i="5" s="1"/>
  <c r="L38" i="5"/>
  <c r="R38" i="5" s="1"/>
  <c r="K37" i="5"/>
  <c r="Q37" i="5" s="1"/>
  <c r="Z37" i="5" s="1"/>
  <c r="N36" i="5"/>
  <c r="T36" i="5" s="1"/>
  <c r="J36" i="5"/>
  <c r="M35" i="5"/>
  <c r="S35" i="5" s="1"/>
  <c r="I35" i="5"/>
  <c r="O35" i="5" s="1"/>
  <c r="Y35" i="5" s="1"/>
  <c r="L34" i="5"/>
  <c r="R34" i="5" s="1"/>
  <c r="K33" i="5"/>
  <c r="Q33" i="5" s="1"/>
  <c r="Z33" i="5" s="1"/>
  <c r="N32" i="5"/>
  <c r="T32" i="5" s="1"/>
  <c r="J32" i="5"/>
  <c r="M31" i="5"/>
  <c r="S31" i="5" s="1"/>
  <c r="I31" i="5"/>
  <c r="O31" i="5" s="1"/>
  <c r="Y31" i="5" s="1"/>
  <c r="L30" i="5"/>
  <c r="R30" i="5" s="1"/>
  <c r="N29" i="5"/>
  <c r="T29" i="5" s="1"/>
  <c r="L29" i="5"/>
  <c r="R29" i="5" s="1"/>
  <c r="J29" i="5"/>
  <c r="M28" i="5"/>
  <c r="S28" i="5" s="1"/>
  <c r="K28" i="5"/>
  <c r="Q28" i="5" s="1"/>
  <c r="I28" i="5"/>
  <c r="O28" i="5" s="1"/>
  <c r="Y28" i="5" s="1"/>
  <c r="I14" i="5"/>
  <c r="Q14" i="5"/>
  <c r="S14" i="5"/>
  <c r="J15" i="5"/>
  <c r="L15" i="5"/>
  <c r="R15" i="5" s="1"/>
  <c r="N15" i="5"/>
  <c r="T15" i="5" s="1"/>
  <c r="R14" i="5"/>
  <c r="T14" i="5"/>
  <c r="F15" i="5"/>
  <c r="I15" i="5"/>
  <c r="O15" i="5" s="1"/>
  <c r="Y15" i="5" s="1"/>
  <c r="K15" i="5"/>
  <c r="Q15" i="5" s="1"/>
  <c r="Z15" i="5" s="1"/>
  <c r="M15" i="5"/>
  <c r="S15" i="5" s="1"/>
  <c r="J16" i="5"/>
  <c r="L16" i="5"/>
  <c r="R16" i="5" s="1"/>
  <c r="N16" i="5"/>
  <c r="T16" i="5" s="1"/>
  <c r="F17" i="5"/>
  <c r="I17" i="5"/>
  <c r="O17" i="5" s="1"/>
  <c r="K17" i="5"/>
  <c r="Q17" i="5" s="1"/>
  <c r="M17" i="5"/>
  <c r="S17" i="5" s="1"/>
  <c r="J18" i="5"/>
  <c r="L18" i="5"/>
  <c r="R18" i="5" s="1"/>
  <c r="N18" i="5"/>
  <c r="T18" i="5" s="1"/>
  <c r="F19" i="5"/>
  <c r="I19" i="5"/>
  <c r="O19" i="5" s="1"/>
  <c r="K19" i="5"/>
  <c r="Q19" i="5" s="1"/>
  <c r="Z19" i="5" s="1"/>
  <c r="M19" i="5"/>
  <c r="S19" i="5" s="1"/>
  <c r="J20" i="5"/>
  <c r="L20" i="5"/>
  <c r="R20" i="5" s="1"/>
  <c r="N20" i="5"/>
  <c r="T20" i="5" s="1"/>
  <c r="F21" i="5"/>
  <c r="I21" i="5"/>
  <c r="O21" i="5" s="1"/>
  <c r="K21" i="5"/>
  <c r="Q21" i="5" s="1"/>
  <c r="M21" i="5"/>
  <c r="S21" i="5" s="1"/>
  <c r="J22" i="5"/>
  <c r="L22" i="5"/>
  <c r="R22" i="5" s="1"/>
  <c r="N22" i="5"/>
  <c r="T22" i="5" s="1"/>
  <c r="F23" i="5"/>
  <c r="I23" i="5"/>
  <c r="O23" i="5" s="1"/>
  <c r="K23" i="5"/>
  <c r="Q23" i="5" s="1"/>
  <c r="Z23" i="5" s="1"/>
  <c r="M23" i="5"/>
  <c r="S23" i="5" s="1"/>
  <c r="J24" i="5"/>
  <c r="L24" i="5"/>
  <c r="R24" i="5" s="1"/>
  <c r="N24" i="5"/>
  <c r="T24" i="5" s="1"/>
  <c r="F25" i="5"/>
  <c r="I25" i="5"/>
  <c r="O25" i="5" s="1"/>
  <c r="K25" i="5"/>
  <c r="Q25" i="5" s="1"/>
  <c r="M25" i="5"/>
  <c r="S25" i="5" s="1"/>
  <c r="J26" i="5"/>
  <c r="L26" i="5"/>
  <c r="R26" i="5" s="1"/>
  <c r="N26" i="5"/>
  <c r="T26" i="5" s="1"/>
  <c r="F27" i="5"/>
  <c r="I27" i="5"/>
  <c r="O27" i="5" s="1"/>
  <c r="K27" i="5"/>
  <c r="Q27" i="5" s="1"/>
  <c r="Z27" i="5" s="1"/>
  <c r="M27" i="5"/>
  <c r="S27" i="5" s="1"/>
  <c r="V28" i="5"/>
  <c r="W28" i="5"/>
  <c r="I16" i="5"/>
  <c r="O16" i="5" s="1"/>
  <c r="K16" i="5"/>
  <c r="Q16" i="5" s="1"/>
  <c r="M16" i="5"/>
  <c r="S16" i="5" s="1"/>
  <c r="J17" i="5"/>
  <c r="L17" i="5"/>
  <c r="R17" i="5" s="1"/>
  <c r="N17" i="5"/>
  <c r="T17" i="5" s="1"/>
  <c r="I18" i="5"/>
  <c r="O18" i="5" s="1"/>
  <c r="Y18" i="5" s="1"/>
  <c r="K18" i="5"/>
  <c r="Q18" i="5" s="1"/>
  <c r="M18" i="5"/>
  <c r="S18" i="5" s="1"/>
  <c r="J19" i="5"/>
  <c r="L19" i="5"/>
  <c r="R19" i="5" s="1"/>
  <c r="N19" i="5"/>
  <c r="T19" i="5" s="1"/>
  <c r="I20" i="5"/>
  <c r="O20" i="5" s="1"/>
  <c r="K20" i="5"/>
  <c r="Q20" i="5" s="1"/>
  <c r="M20" i="5"/>
  <c r="S20" i="5" s="1"/>
  <c r="J21" i="5"/>
  <c r="L21" i="5"/>
  <c r="R21" i="5" s="1"/>
  <c r="N21" i="5"/>
  <c r="T21" i="5" s="1"/>
  <c r="I22" i="5"/>
  <c r="O22" i="5" s="1"/>
  <c r="Y22" i="5" s="1"/>
  <c r="K22" i="5"/>
  <c r="Q22" i="5" s="1"/>
  <c r="M22" i="5"/>
  <c r="S22" i="5" s="1"/>
  <c r="J23" i="5"/>
  <c r="L23" i="5"/>
  <c r="R23" i="5" s="1"/>
  <c r="N23" i="5"/>
  <c r="T23" i="5" s="1"/>
  <c r="I24" i="5"/>
  <c r="O24" i="5" s="1"/>
  <c r="K24" i="5"/>
  <c r="Q24" i="5" s="1"/>
  <c r="M24" i="5"/>
  <c r="S24" i="5" s="1"/>
  <c r="J25" i="5"/>
  <c r="L25" i="5"/>
  <c r="R25" i="5" s="1"/>
  <c r="N25" i="5"/>
  <c r="T25" i="5" s="1"/>
  <c r="I26" i="5"/>
  <c r="O26" i="5" s="1"/>
  <c r="Y26" i="5" s="1"/>
  <c r="K26" i="5"/>
  <c r="Q26" i="5" s="1"/>
  <c r="M26" i="5"/>
  <c r="S26" i="5" s="1"/>
  <c r="J27" i="5"/>
  <c r="L27" i="5"/>
  <c r="R27" i="5" s="1"/>
  <c r="N27" i="5"/>
  <c r="T27" i="5" s="1"/>
  <c r="G28" i="5"/>
  <c r="W29" i="5"/>
  <c r="V29" i="5"/>
  <c r="G30" i="5"/>
  <c r="W32" i="5"/>
  <c r="V32" i="5"/>
  <c r="V33" i="5"/>
  <c r="W33" i="5"/>
  <c r="G34" i="5"/>
  <c r="W36" i="5"/>
  <c r="V36" i="5"/>
  <c r="V37" i="5"/>
  <c r="W37" i="5"/>
  <c r="G38" i="5"/>
  <c r="W40" i="5"/>
  <c r="V40" i="5"/>
  <c r="V41" i="5"/>
  <c r="W41" i="5"/>
  <c r="G42" i="5"/>
  <c r="W44" i="5"/>
  <c r="V44" i="5"/>
  <c r="V45" i="5"/>
  <c r="W45" i="5"/>
  <c r="W30" i="5"/>
  <c r="V30" i="5"/>
  <c r="V31" i="5"/>
  <c r="W31" i="5"/>
  <c r="G32" i="5"/>
  <c r="W34" i="5"/>
  <c r="V34" i="5"/>
  <c r="V35" i="5"/>
  <c r="W35" i="5"/>
  <c r="G36" i="5"/>
  <c r="W38" i="5"/>
  <c r="V38" i="5"/>
  <c r="V39" i="5"/>
  <c r="W39" i="5"/>
  <c r="G40" i="5"/>
  <c r="W42" i="5"/>
  <c r="V42" i="5"/>
  <c r="V43" i="5"/>
  <c r="W43" i="5"/>
  <c r="G44" i="5"/>
  <c r="G46" i="5"/>
  <c r="W48" i="5"/>
  <c r="V48" i="5"/>
  <c r="V49" i="5"/>
  <c r="W49" i="5"/>
  <c r="G50" i="5"/>
  <c r="W52" i="5"/>
  <c r="V52" i="5"/>
  <c r="V53" i="5"/>
  <c r="W53" i="5"/>
  <c r="G54" i="5"/>
  <c r="F56" i="5"/>
  <c r="G56" i="5"/>
  <c r="W46" i="5"/>
  <c r="V46" i="5"/>
  <c r="V47" i="5"/>
  <c r="W47" i="5"/>
  <c r="G48" i="5"/>
  <c r="W50" i="5"/>
  <c r="V50" i="5"/>
  <c r="V51" i="5"/>
  <c r="W51" i="5"/>
  <c r="G52" i="5"/>
  <c r="W54" i="5"/>
  <c r="V54" i="5"/>
  <c r="V55" i="5"/>
  <c r="V56" i="5"/>
  <c r="W56" i="5"/>
  <c r="W57" i="5"/>
  <c r="V58" i="5"/>
  <c r="W58" i="5"/>
  <c r="W59" i="5"/>
  <c r="V57" i="5"/>
  <c r="F58" i="5"/>
  <c r="V59" i="5"/>
  <c r="G60" i="5"/>
  <c r="W60" i="5"/>
  <c r="V60" i="5"/>
  <c r="V61" i="5"/>
  <c r="W61" i="5"/>
  <c r="W62" i="5"/>
  <c r="V62" i="5"/>
  <c r="W64" i="5"/>
  <c r="V64" i="5"/>
  <c r="G62" i="5"/>
  <c r="W63" i="5"/>
  <c r="G64" i="5"/>
  <c r="V63" i="5"/>
  <c r="B33" i="3"/>
  <c r="G33" i="3" s="1"/>
  <c r="C33" i="3"/>
  <c r="B34" i="3"/>
  <c r="G34" i="3" s="1"/>
  <c r="C34" i="3"/>
  <c r="B35" i="3"/>
  <c r="G35" i="3" s="1"/>
  <c r="C35" i="3"/>
  <c r="B36" i="3"/>
  <c r="G36" i="3" s="1"/>
  <c r="C36" i="3"/>
  <c r="B37" i="3"/>
  <c r="G37" i="3" s="1"/>
  <c r="C37" i="3"/>
  <c r="B38" i="3"/>
  <c r="G38" i="3" s="1"/>
  <c r="C38" i="3"/>
  <c r="B39" i="3"/>
  <c r="G39" i="3" s="1"/>
  <c r="C39" i="3"/>
  <c r="B40" i="3"/>
  <c r="G40" i="3" s="1"/>
  <c r="C40" i="3"/>
  <c r="B41" i="3"/>
  <c r="G41" i="3" s="1"/>
  <c r="C41" i="3"/>
  <c r="B42" i="3"/>
  <c r="G42" i="3" s="1"/>
  <c r="C42" i="3"/>
  <c r="B43" i="3"/>
  <c r="G43" i="3" s="1"/>
  <c r="C43" i="3"/>
  <c r="B44" i="3"/>
  <c r="G44" i="3" s="1"/>
  <c r="C44" i="3"/>
  <c r="B45" i="3"/>
  <c r="G45" i="3" s="1"/>
  <c r="C45" i="3"/>
  <c r="B46" i="3"/>
  <c r="G46" i="3" s="1"/>
  <c r="C46" i="3"/>
  <c r="B47" i="3"/>
  <c r="G47" i="3" s="1"/>
  <c r="C47" i="3"/>
  <c r="B48" i="3"/>
  <c r="G48" i="3" s="1"/>
  <c r="C48" i="3"/>
  <c r="B49" i="3"/>
  <c r="G49" i="3" s="1"/>
  <c r="C49" i="3"/>
  <c r="B50" i="3"/>
  <c r="G50" i="3" s="1"/>
  <c r="C50" i="3"/>
  <c r="B51" i="3"/>
  <c r="G51" i="3" s="1"/>
  <c r="C51" i="3"/>
  <c r="B52" i="3"/>
  <c r="G52" i="3" s="1"/>
  <c r="C52" i="3"/>
  <c r="B53" i="3"/>
  <c r="G53" i="3" s="1"/>
  <c r="C53" i="3"/>
  <c r="B54" i="3"/>
  <c r="G54" i="3" s="1"/>
  <c r="C54" i="3"/>
  <c r="B55" i="3"/>
  <c r="G55" i="3" s="1"/>
  <c r="C55" i="3"/>
  <c r="B56" i="3"/>
  <c r="C56" i="3"/>
  <c r="B57" i="3"/>
  <c r="C57" i="3"/>
  <c r="B58" i="3"/>
  <c r="G58" i="3" s="1"/>
  <c r="C58" i="3"/>
  <c r="B59" i="3"/>
  <c r="G59" i="3" s="1"/>
  <c r="C59" i="3"/>
  <c r="B60" i="3"/>
  <c r="C60" i="3"/>
  <c r="B61" i="3"/>
  <c r="C61" i="3"/>
  <c r="B62" i="3"/>
  <c r="G62" i="3" s="1"/>
  <c r="C62" i="3"/>
  <c r="B63" i="3"/>
  <c r="G63" i="3" s="1"/>
  <c r="C63" i="3"/>
  <c r="B64" i="3"/>
  <c r="C64" i="3"/>
  <c r="Z26" i="5" l="1"/>
  <c r="Z24" i="5"/>
  <c r="Z22" i="5"/>
  <c r="Z20" i="5"/>
  <c r="Z18" i="5"/>
  <c r="Z16" i="5"/>
  <c r="Z64" i="5"/>
  <c r="W14" i="5"/>
  <c r="Z14" i="5"/>
  <c r="P27" i="5"/>
  <c r="X27" i="5" s="1"/>
  <c r="U27" i="5"/>
  <c r="P25" i="5"/>
  <c r="X25" i="5" s="1"/>
  <c r="P23" i="5"/>
  <c r="X23" i="5" s="1"/>
  <c r="P21" i="5"/>
  <c r="X21" i="5" s="1"/>
  <c r="P19" i="5"/>
  <c r="X19" i="5" s="1"/>
  <c r="U19" i="5"/>
  <c r="P17" i="5"/>
  <c r="X17" i="5" s="1"/>
  <c r="V26" i="5"/>
  <c r="Y25" i="5"/>
  <c r="U24" i="5"/>
  <c r="P24" i="5"/>
  <c r="X24" i="5" s="1"/>
  <c r="V22" i="5"/>
  <c r="Y21" i="5"/>
  <c r="P20" i="5"/>
  <c r="X20" i="5" s="1"/>
  <c r="V18" i="5"/>
  <c r="Y17" i="5"/>
  <c r="P16" i="5"/>
  <c r="X16" i="5" s="1"/>
  <c r="X14" i="5"/>
  <c r="P28" i="5"/>
  <c r="X28" i="5" s="1"/>
  <c r="U30" i="5"/>
  <c r="P30" i="5"/>
  <c r="X30" i="5" s="1"/>
  <c r="Z31" i="5"/>
  <c r="P34" i="5"/>
  <c r="X34" i="5" s="1"/>
  <c r="Z35" i="5"/>
  <c r="U38" i="5"/>
  <c r="P38" i="5"/>
  <c r="X38" i="5" s="1"/>
  <c r="Z39" i="5"/>
  <c r="P42" i="5"/>
  <c r="X42" i="5" s="1"/>
  <c r="Z43" i="5"/>
  <c r="P31" i="5"/>
  <c r="X31" i="5" s="1"/>
  <c r="P33" i="5"/>
  <c r="X33" i="5" s="1"/>
  <c r="P35" i="5"/>
  <c r="X35" i="5" s="1"/>
  <c r="U35" i="5"/>
  <c r="P37" i="5"/>
  <c r="X37" i="5" s="1"/>
  <c r="P39" i="5"/>
  <c r="X39" i="5" s="1"/>
  <c r="P41" i="5"/>
  <c r="X41" i="5" s="1"/>
  <c r="P43" i="5"/>
  <c r="X43" i="5" s="1"/>
  <c r="U43" i="5"/>
  <c r="P45" i="5"/>
  <c r="X45" i="5" s="1"/>
  <c r="Y46" i="5"/>
  <c r="Y48" i="5"/>
  <c r="Y50" i="5"/>
  <c r="Y52" i="5"/>
  <c r="Y54" i="5"/>
  <c r="P56" i="5"/>
  <c r="X56" i="5" s="1"/>
  <c r="U56" i="5"/>
  <c r="AC56" i="5" s="1"/>
  <c r="P57" i="5"/>
  <c r="X57" i="5" s="1"/>
  <c r="P59" i="5"/>
  <c r="X59" i="5" s="1"/>
  <c r="Y57" i="5"/>
  <c r="Y59" i="5"/>
  <c r="U62" i="5"/>
  <c r="P62" i="5"/>
  <c r="X62" i="5" s="1"/>
  <c r="P64" i="5"/>
  <c r="X64" i="5" s="1"/>
  <c r="P61" i="5"/>
  <c r="X61" i="5" s="1"/>
  <c r="P63" i="5"/>
  <c r="X63" i="5" s="1"/>
  <c r="W27" i="5"/>
  <c r="W25" i="5"/>
  <c r="W23" i="5"/>
  <c r="W21" i="5"/>
  <c r="W19" i="5"/>
  <c r="W17" i="5"/>
  <c r="W15" i="5"/>
  <c r="Y24" i="5"/>
  <c r="Y20" i="5"/>
  <c r="Y16" i="5"/>
  <c r="Y27" i="5"/>
  <c r="P26" i="5"/>
  <c r="X26" i="5" s="1"/>
  <c r="Z25" i="5"/>
  <c r="V24" i="5"/>
  <c r="Y23" i="5"/>
  <c r="P22" i="5"/>
  <c r="X22" i="5" s="1"/>
  <c r="Z21" i="5"/>
  <c r="V20" i="5"/>
  <c r="Y19" i="5"/>
  <c r="U18" i="5"/>
  <c r="P18" i="5"/>
  <c r="X18" i="5" s="1"/>
  <c r="Z17" i="5"/>
  <c r="V16" i="5"/>
  <c r="V14" i="5"/>
  <c r="P15" i="5"/>
  <c r="X15" i="5" s="1"/>
  <c r="Y14" i="5"/>
  <c r="Z28" i="5"/>
  <c r="U29" i="5"/>
  <c r="P29" i="5"/>
  <c r="X29" i="5" s="1"/>
  <c r="P32" i="5"/>
  <c r="X32" i="5" s="1"/>
  <c r="AB35" i="5"/>
  <c r="P36" i="5"/>
  <c r="X36" i="5" s="1"/>
  <c r="P40" i="5"/>
  <c r="X40" i="5" s="1"/>
  <c r="AB43" i="5"/>
  <c r="P44" i="5"/>
  <c r="X44" i="5" s="1"/>
  <c r="Y29" i="5"/>
  <c r="AB29" i="5" s="1"/>
  <c r="P48" i="5"/>
  <c r="X48" i="5" s="1"/>
  <c r="P52" i="5"/>
  <c r="X52" i="5" s="1"/>
  <c r="Y30" i="5"/>
  <c r="AB30" i="5" s="1"/>
  <c r="Y32" i="5"/>
  <c r="Y34" i="5"/>
  <c r="Y36" i="5"/>
  <c r="Y38" i="5"/>
  <c r="AB38" i="5" s="1"/>
  <c r="Y40" i="5"/>
  <c r="Y42" i="5"/>
  <c r="Y44" i="5"/>
  <c r="P46" i="5"/>
  <c r="X46" i="5" s="1"/>
  <c r="Z47" i="5"/>
  <c r="U50" i="5"/>
  <c r="P50" i="5"/>
  <c r="X50" i="5" s="1"/>
  <c r="Z51" i="5"/>
  <c r="P54" i="5"/>
  <c r="X54" i="5" s="1"/>
  <c r="Q55" i="5"/>
  <c r="Z55" i="5" s="1"/>
  <c r="Z46" i="5"/>
  <c r="P47" i="5"/>
  <c r="X47" i="5" s="1"/>
  <c r="Z48" i="5"/>
  <c r="P49" i="5"/>
  <c r="X49" i="5" s="1"/>
  <c r="Z50" i="5"/>
  <c r="AC50" i="5" s="1"/>
  <c r="P51" i="5"/>
  <c r="X51" i="5" s="1"/>
  <c r="U51" i="5"/>
  <c r="AB51" i="5" s="1"/>
  <c r="Z52" i="5"/>
  <c r="P53" i="5"/>
  <c r="X53" i="5" s="1"/>
  <c r="Z54" i="5"/>
  <c r="P55" i="5"/>
  <c r="X55" i="5" s="1"/>
  <c r="Z57" i="5"/>
  <c r="P58" i="5"/>
  <c r="X58" i="5" s="1"/>
  <c r="Z59" i="5"/>
  <c r="P60" i="5"/>
  <c r="X60" i="5" s="1"/>
  <c r="Z61" i="5"/>
  <c r="Y60" i="5"/>
  <c r="Y62" i="5"/>
  <c r="AB62" i="5" s="1"/>
  <c r="Y64" i="5"/>
  <c r="V27" i="5"/>
  <c r="W26" i="5"/>
  <c r="V25" i="5"/>
  <c r="W24" i="5"/>
  <c r="V23" i="5"/>
  <c r="W22" i="5"/>
  <c r="V21" i="5"/>
  <c r="W20" i="5"/>
  <c r="V19" i="5"/>
  <c r="W18" i="5"/>
  <c r="AC18" i="5" s="1"/>
  <c r="V17" i="5"/>
  <c r="W16" i="5"/>
  <c r="V15" i="5"/>
  <c r="F64" i="3"/>
  <c r="G64" i="3"/>
  <c r="F61" i="3"/>
  <c r="G61" i="3"/>
  <c r="F60" i="3"/>
  <c r="G60" i="3"/>
  <c r="F57" i="3"/>
  <c r="G57" i="3"/>
  <c r="F56" i="3"/>
  <c r="G56" i="3"/>
  <c r="F53" i="3"/>
  <c r="I53" i="3"/>
  <c r="O53" i="3" s="1"/>
  <c r="K53" i="3"/>
  <c r="Q53" i="3" s="1"/>
  <c r="M53" i="3"/>
  <c r="S53" i="3" s="1"/>
  <c r="J51" i="3"/>
  <c r="L51" i="3"/>
  <c r="R51" i="3" s="1"/>
  <c r="N51" i="3"/>
  <c r="T51" i="3" s="1"/>
  <c r="J49" i="3"/>
  <c r="L49" i="3"/>
  <c r="R49" i="3" s="1"/>
  <c r="N49" i="3"/>
  <c r="T49" i="3" s="1"/>
  <c r="F49" i="3"/>
  <c r="I49" i="3"/>
  <c r="O49" i="3" s="1"/>
  <c r="Y49" i="3" s="1"/>
  <c r="K49" i="3"/>
  <c r="Q49" i="3" s="1"/>
  <c r="M49" i="3"/>
  <c r="S49" i="3" s="1"/>
  <c r="F46" i="3"/>
  <c r="I46" i="3"/>
  <c r="O46" i="3" s="1"/>
  <c r="K46" i="3"/>
  <c r="Q46" i="3" s="1"/>
  <c r="M46" i="3"/>
  <c r="S46" i="3" s="1"/>
  <c r="J46" i="3"/>
  <c r="L46" i="3"/>
  <c r="R46" i="3" s="1"/>
  <c r="N46" i="3"/>
  <c r="T46" i="3" s="1"/>
  <c r="F44" i="3"/>
  <c r="I44" i="3"/>
  <c r="O44" i="3" s="1"/>
  <c r="K44" i="3"/>
  <c r="Q44" i="3" s="1"/>
  <c r="M44" i="3"/>
  <c r="S44" i="3" s="1"/>
  <c r="L44" i="3"/>
  <c r="R44" i="3" s="1"/>
  <c r="J44" i="3"/>
  <c r="N44" i="3"/>
  <c r="T44" i="3" s="1"/>
  <c r="J42" i="3"/>
  <c r="L42" i="3"/>
  <c r="R42" i="3" s="1"/>
  <c r="N42" i="3"/>
  <c r="T42" i="3" s="1"/>
  <c r="I42" i="3"/>
  <c r="O42" i="3" s="1"/>
  <c r="M42" i="3"/>
  <c r="S42" i="3" s="1"/>
  <c r="F42" i="3"/>
  <c r="K42" i="3"/>
  <c r="Q42" i="3" s="1"/>
  <c r="Z42" i="3" s="1"/>
  <c r="F40" i="3"/>
  <c r="I40" i="3"/>
  <c r="O40" i="3" s="1"/>
  <c r="K40" i="3"/>
  <c r="Q40" i="3" s="1"/>
  <c r="M40" i="3"/>
  <c r="S40" i="3" s="1"/>
  <c r="J40" i="3"/>
  <c r="N40" i="3"/>
  <c r="T40" i="3" s="1"/>
  <c r="L40" i="3"/>
  <c r="R40" i="3" s="1"/>
  <c r="J38" i="3"/>
  <c r="L38" i="3"/>
  <c r="R38" i="3" s="1"/>
  <c r="N38" i="3"/>
  <c r="T38" i="3" s="1"/>
  <c r="F38" i="3"/>
  <c r="K38" i="3"/>
  <c r="Q38" i="3" s="1"/>
  <c r="I38" i="3"/>
  <c r="O38" i="3" s="1"/>
  <c r="M38" i="3"/>
  <c r="S38" i="3" s="1"/>
  <c r="F36" i="3"/>
  <c r="I36" i="3"/>
  <c r="O36" i="3" s="1"/>
  <c r="K36" i="3"/>
  <c r="Q36" i="3" s="1"/>
  <c r="M36" i="3"/>
  <c r="S36" i="3" s="1"/>
  <c r="L36" i="3"/>
  <c r="R36" i="3" s="1"/>
  <c r="J36" i="3"/>
  <c r="N36" i="3"/>
  <c r="T36" i="3" s="1"/>
  <c r="J34" i="3"/>
  <c r="L34" i="3"/>
  <c r="R34" i="3" s="1"/>
  <c r="N34" i="3"/>
  <c r="T34" i="3" s="1"/>
  <c r="I34" i="3"/>
  <c r="O34" i="3" s="1"/>
  <c r="M34" i="3"/>
  <c r="S34" i="3" s="1"/>
  <c r="F34" i="3"/>
  <c r="K34" i="3"/>
  <c r="Q34" i="3" s="1"/>
  <c r="Z34" i="3" s="1"/>
  <c r="J64" i="3"/>
  <c r="P64" i="3" s="1"/>
  <c r="M63" i="3"/>
  <c r="S63" i="3" s="1"/>
  <c r="K63" i="3"/>
  <c r="Q63" i="3" s="1"/>
  <c r="I63" i="3"/>
  <c r="O63" i="3" s="1"/>
  <c r="F63" i="3"/>
  <c r="M62" i="3"/>
  <c r="S62" i="3" s="1"/>
  <c r="K62" i="3"/>
  <c r="Q62" i="3" s="1"/>
  <c r="I62" i="3"/>
  <c r="O62" i="3" s="1"/>
  <c r="F62" i="3"/>
  <c r="N61" i="3"/>
  <c r="T61" i="3" s="1"/>
  <c r="L61" i="3"/>
  <c r="R61" i="3" s="1"/>
  <c r="J61" i="3"/>
  <c r="N60" i="3"/>
  <c r="T60" i="3" s="1"/>
  <c r="L60" i="3"/>
  <c r="R60" i="3" s="1"/>
  <c r="J60" i="3"/>
  <c r="P60" i="3" s="1"/>
  <c r="M59" i="3"/>
  <c r="S59" i="3" s="1"/>
  <c r="K59" i="3"/>
  <c r="Q59" i="3" s="1"/>
  <c r="I59" i="3"/>
  <c r="O59" i="3" s="1"/>
  <c r="F59" i="3"/>
  <c r="M58" i="3"/>
  <c r="S58" i="3" s="1"/>
  <c r="K58" i="3"/>
  <c r="Q58" i="3" s="1"/>
  <c r="I58" i="3"/>
  <c r="O58" i="3" s="1"/>
  <c r="F58" i="3"/>
  <c r="N57" i="3"/>
  <c r="T57" i="3" s="1"/>
  <c r="L57" i="3"/>
  <c r="R57" i="3" s="1"/>
  <c r="J57" i="3"/>
  <c r="N56" i="3"/>
  <c r="T56" i="3" s="1"/>
  <c r="L56" i="3"/>
  <c r="R56" i="3" s="1"/>
  <c r="J56" i="3"/>
  <c r="P56" i="3" s="1"/>
  <c r="M55" i="3"/>
  <c r="S55" i="3" s="1"/>
  <c r="K55" i="3"/>
  <c r="Q55" i="3" s="1"/>
  <c r="I55" i="3"/>
  <c r="O55" i="3" s="1"/>
  <c r="F55" i="3"/>
  <c r="M54" i="3"/>
  <c r="S54" i="3" s="1"/>
  <c r="K54" i="3"/>
  <c r="Q54" i="3" s="1"/>
  <c r="I54" i="3"/>
  <c r="O54" i="3" s="1"/>
  <c r="F54" i="3"/>
  <c r="N53" i="3"/>
  <c r="T53" i="3" s="1"/>
  <c r="J53" i="3"/>
  <c r="L52" i="3"/>
  <c r="R52" i="3" s="1"/>
  <c r="K51" i="3"/>
  <c r="Q51" i="3" s="1"/>
  <c r="F51" i="3"/>
  <c r="F52" i="3"/>
  <c r="I52" i="3"/>
  <c r="O52" i="3" s="1"/>
  <c r="K52" i="3"/>
  <c r="Q52" i="3" s="1"/>
  <c r="M52" i="3"/>
  <c r="S52" i="3" s="1"/>
  <c r="F50" i="3"/>
  <c r="I50" i="3"/>
  <c r="O50" i="3" s="1"/>
  <c r="K50" i="3"/>
  <c r="Q50" i="3" s="1"/>
  <c r="M50" i="3"/>
  <c r="S50" i="3" s="1"/>
  <c r="J50" i="3"/>
  <c r="L50" i="3"/>
  <c r="R50" i="3" s="1"/>
  <c r="N50" i="3"/>
  <c r="T50" i="3" s="1"/>
  <c r="J48" i="3"/>
  <c r="L48" i="3"/>
  <c r="R48" i="3" s="1"/>
  <c r="N48" i="3"/>
  <c r="T48" i="3" s="1"/>
  <c r="F48" i="3"/>
  <c r="I48" i="3"/>
  <c r="O48" i="3" s="1"/>
  <c r="K48" i="3"/>
  <c r="Q48" i="3" s="1"/>
  <c r="M48" i="3"/>
  <c r="S48" i="3" s="1"/>
  <c r="F47" i="3"/>
  <c r="I47" i="3"/>
  <c r="O47" i="3" s="1"/>
  <c r="K47" i="3"/>
  <c r="Q47" i="3" s="1"/>
  <c r="M47" i="3"/>
  <c r="S47" i="3" s="1"/>
  <c r="J47" i="3"/>
  <c r="L47" i="3"/>
  <c r="R47" i="3" s="1"/>
  <c r="N47" i="3"/>
  <c r="T47" i="3" s="1"/>
  <c r="J45" i="3"/>
  <c r="L45" i="3"/>
  <c r="R45" i="3" s="1"/>
  <c r="N45" i="3"/>
  <c r="T45" i="3" s="1"/>
  <c r="F45" i="3"/>
  <c r="I45" i="3"/>
  <c r="O45" i="3" s="1"/>
  <c r="K45" i="3"/>
  <c r="Q45" i="3" s="1"/>
  <c r="M45" i="3"/>
  <c r="S45" i="3" s="1"/>
  <c r="F43" i="3"/>
  <c r="I43" i="3"/>
  <c r="O43" i="3" s="1"/>
  <c r="K43" i="3"/>
  <c r="Q43" i="3" s="1"/>
  <c r="M43" i="3"/>
  <c r="S43" i="3" s="1"/>
  <c r="J43" i="3"/>
  <c r="N43" i="3"/>
  <c r="T43" i="3" s="1"/>
  <c r="L43" i="3"/>
  <c r="R43" i="3" s="1"/>
  <c r="J41" i="3"/>
  <c r="L41" i="3"/>
  <c r="R41" i="3" s="1"/>
  <c r="N41" i="3"/>
  <c r="T41" i="3" s="1"/>
  <c r="F41" i="3"/>
  <c r="K41" i="3"/>
  <c r="Q41" i="3" s="1"/>
  <c r="I41" i="3"/>
  <c r="O41" i="3" s="1"/>
  <c r="M41" i="3"/>
  <c r="S41" i="3" s="1"/>
  <c r="F39" i="3"/>
  <c r="I39" i="3"/>
  <c r="O39" i="3" s="1"/>
  <c r="K39" i="3"/>
  <c r="Q39" i="3" s="1"/>
  <c r="M39" i="3"/>
  <c r="S39" i="3" s="1"/>
  <c r="L39" i="3"/>
  <c r="R39" i="3" s="1"/>
  <c r="J39" i="3"/>
  <c r="N39" i="3"/>
  <c r="T39" i="3" s="1"/>
  <c r="J37" i="3"/>
  <c r="L37" i="3"/>
  <c r="R37" i="3" s="1"/>
  <c r="N37" i="3"/>
  <c r="T37" i="3" s="1"/>
  <c r="I37" i="3"/>
  <c r="O37" i="3" s="1"/>
  <c r="M37" i="3"/>
  <c r="S37" i="3" s="1"/>
  <c r="F37" i="3"/>
  <c r="K37" i="3"/>
  <c r="Q37" i="3" s="1"/>
  <c r="F35" i="3"/>
  <c r="I35" i="3"/>
  <c r="O35" i="3" s="1"/>
  <c r="K35" i="3"/>
  <c r="Q35" i="3" s="1"/>
  <c r="M35" i="3"/>
  <c r="S35" i="3" s="1"/>
  <c r="J35" i="3"/>
  <c r="N35" i="3"/>
  <c r="T35" i="3" s="1"/>
  <c r="L35" i="3"/>
  <c r="R35" i="3" s="1"/>
  <c r="J33" i="3"/>
  <c r="L33" i="3"/>
  <c r="R33" i="3" s="1"/>
  <c r="N33" i="3"/>
  <c r="T33" i="3" s="1"/>
  <c r="F33" i="3"/>
  <c r="K33" i="3"/>
  <c r="Q33" i="3" s="1"/>
  <c r="I33" i="3"/>
  <c r="O33" i="3" s="1"/>
  <c r="M33" i="3"/>
  <c r="S33" i="3" s="1"/>
  <c r="N64" i="3"/>
  <c r="T64" i="3" s="1"/>
  <c r="L64" i="3"/>
  <c r="R64" i="3" s="1"/>
  <c r="M64" i="3"/>
  <c r="S64" i="3" s="1"/>
  <c r="K64" i="3"/>
  <c r="Q64" i="3" s="1"/>
  <c r="I64" i="3"/>
  <c r="O64" i="3" s="1"/>
  <c r="N63" i="3"/>
  <c r="T63" i="3" s="1"/>
  <c r="L63" i="3"/>
  <c r="R63" i="3" s="1"/>
  <c r="J63" i="3"/>
  <c r="N62" i="3"/>
  <c r="T62" i="3" s="1"/>
  <c r="L62" i="3"/>
  <c r="R62" i="3" s="1"/>
  <c r="J62" i="3"/>
  <c r="P62" i="3" s="1"/>
  <c r="M61" i="3"/>
  <c r="S61" i="3" s="1"/>
  <c r="K61" i="3"/>
  <c r="Q61" i="3" s="1"/>
  <c r="I61" i="3"/>
  <c r="O61" i="3" s="1"/>
  <c r="M60" i="3"/>
  <c r="S60" i="3" s="1"/>
  <c r="K60" i="3"/>
  <c r="Q60" i="3" s="1"/>
  <c r="I60" i="3"/>
  <c r="O60" i="3" s="1"/>
  <c r="N59" i="3"/>
  <c r="T59" i="3" s="1"/>
  <c r="L59" i="3"/>
  <c r="R59" i="3" s="1"/>
  <c r="J59" i="3"/>
  <c r="N58" i="3"/>
  <c r="T58" i="3" s="1"/>
  <c r="L58" i="3"/>
  <c r="R58" i="3" s="1"/>
  <c r="J58" i="3"/>
  <c r="P58" i="3" s="1"/>
  <c r="M57" i="3"/>
  <c r="S57" i="3" s="1"/>
  <c r="K57" i="3"/>
  <c r="Q57" i="3" s="1"/>
  <c r="I57" i="3"/>
  <c r="O57" i="3" s="1"/>
  <c r="M56" i="3"/>
  <c r="S56" i="3" s="1"/>
  <c r="K56" i="3"/>
  <c r="Q56" i="3" s="1"/>
  <c r="I56" i="3"/>
  <c r="O56" i="3" s="1"/>
  <c r="N55" i="3"/>
  <c r="T55" i="3" s="1"/>
  <c r="L55" i="3"/>
  <c r="R55" i="3" s="1"/>
  <c r="J55" i="3"/>
  <c r="N54" i="3"/>
  <c r="T54" i="3" s="1"/>
  <c r="L54" i="3"/>
  <c r="R54" i="3" s="1"/>
  <c r="J54" i="3"/>
  <c r="P54" i="3" s="1"/>
  <c r="L53" i="3"/>
  <c r="R53" i="3" s="1"/>
  <c r="N52" i="3"/>
  <c r="T52" i="3" s="1"/>
  <c r="J52" i="3"/>
  <c r="M51" i="3"/>
  <c r="S51" i="3" s="1"/>
  <c r="Z51" i="3" s="1"/>
  <c r="I51" i="3"/>
  <c r="O51" i="3" s="1"/>
  <c r="Y40" i="3" l="1"/>
  <c r="Y48" i="3"/>
  <c r="U47" i="5"/>
  <c r="AB47" i="5" s="1"/>
  <c r="W55" i="5"/>
  <c r="U54" i="5"/>
  <c r="AC54" i="5" s="1"/>
  <c r="U46" i="5"/>
  <c r="AC46" i="5" s="1"/>
  <c r="U52" i="5"/>
  <c r="U48" i="5"/>
  <c r="U26" i="5"/>
  <c r="AC26" i="5" s="1"/>
  <c r="AB24" i="5"/>
  <c r="U63" i="5"/>
  <c r="U57" i="5"/>
  <c r="U39" i="5"/>
  <c r="AB39" i="5" s="1"/>
  <c r="U31" i="5"/>
  <c r="AB31" i="5" s="1"/>
  <c r="U42" i="5"/>
  <c r="AB42" i="5" s="1"/>
  <c r="U34" i="5"/>
  <c r="AB34" i="5" s="1"/>
  <c r="U28" i="5"/>
  <c r="AB28" i="5" s="1"/>
  <c r="U16" i="5"/>
  <c r="AC16" i="5" s="1"/>
  <c r="U23" i="5"/>
  <c r="AC23" i="5" s="1"/>
  <c r="AC29" i="5"/>
  <c r="AC19" i="5"/>
  <c r="AC27" i="5"/>
  <c r="AB57" i="5"/>
  <c r="AC24" i="5"/>
  <c r="AC14" i="5"/>
  <c r="AF14" i="5" s="1"/>
  <c r="AB26" i="5"/>
  <c r="AB14" i="5"/>
  <c r="AB18" i="5"/>
  <c r="AF18" i="5"/>
  <c r="AE47" i="5"/>
  <c r="AE28" i="5"/>
  <c r="AF24" i="5"/>
  <c r="AE26" i="5"/>
  <c r="AE51" i="5"/>
  <c r="AF29" i="5"/>
  <c r="AF19" i="5"/>
  <c r="AF27" i="5"/>
  <c r="AF56" i="5"/>
  <c r="AF16" i="5"/>
  <c r="AE18" i="5"/>
  <c r="AE62" i="5"/>
  <c r="AC47" i="5"/>
  <c r="AE30" i="5"/>
  <c r="AE29" i="5"/>
  <c r="AE39" i="5"/>
  <c r="AE14" i="5"/>
  <c r="AC62" i="5"/>
  <c r="AB46" i="5"/>
  <c r="AC38" i="5"/>
  <c r="AC34" i="5"/>
  <c r="AC39" i="5"/>
  <c r="AF50" i="5"/>
  <c r="AC51" i="5"/>
  <c r="AE38" i="5"/>
  <c r="AE43" i="5"/>
  <c r="AE35" i="5"/>
  <c r="AE31" i="5"/>
  <c r="AB23" i="5"/>
  <c r="AE24" i="5"/>
  <c r="AE57" i="5"/>
  <c r="AB54" i="5"/>
  <c r="AB50" i="5"/>
  <c r="AC42" i="5"/>
  <c r="AC30" i="5"/>
  <c r="AC43" i="5"/>
  <c r="AC35" i="5"/>
  <c r="AC31" i="5"/>
  <c r="U60" i="5"/>
  <c r="AC60" i="5" s="1"/>
  <c r="U58" i="5"/>
  <c r="AC57" i="5"/>
  <c r="AB56" i="5"/>
  <c r="U55" i="5"/>
  <c r="AB55" i="5" s="1"/>
  <c r="U53" i="5"/>
  <c r="AC52" i="5"/>
  <c r="AA51" i="5"/>
  <c r="U49" i="5"/>
  <c r="AC48" i="5"/>
  <c r="AA47" i="5"/>
  <c r="AA54" i="5"/>
  <c r="AA50" i="5"/>
  <c r="AA46" i="5"/>
  <c r="AA52" i="5"/>
  <c r="AA48" i="5"/>
  <c r="U44" i="5"/>
  <c r="AC44" i="5" s="1"/>
  <c r="U40" i="5"/>
  <c r="AC40" i="5" s="1"/>
  <c r="U36" i="5"/>
  <c r="AC36" i="5" s="1"/>
  <c r="U32" i="5"/>
  <c r="AC32" i="5" s="1"/>
  <c r="AA29" i="5"/>
  <c r="AC28" i="5"/>
  <c r="U15" i="5"/>
  <c r="AC15" i="5" s="1"/>
  <c r="AA18" i="5"/>
  <c r="AB19" i="5"/>
  <c r="U22" i="5"/>
  <c r="AB22" i="5" s="1"/>
  <c r="AA26" i="5"/>
  <c r="AB27" i="5"/>
  <c r="AA63" i="5"/>
  <c r="U61" i="5"/>
  <c r="AB61" i="5" s="1"/>
  <c r="U64" i="5"/>
  <c r="AC64" i="5" s="1"/>
  <c r="AA62" i="5"/>
  <c r="AB59" i="5"/>
  <c r="U59" i="5"/>
  <c r="AC59" i="5" s="1"/>
  <c r="AA57" i="5"/>
  <c r="AA56" i="5"/>
  <c r="AB52" i="5"/>
  <c r="AB48" i="5"/>
  <c r="U45" i="5"/>
  <c r="AA45" i="5" s="1"/>
  <c r="AA43" i="5"/>
  <c r="U41" i="5"/>
  <c r="AA39" i="5"/>
  <c r="U37" i="5"/>
  <c r="AA37" i="5" s="1"/>
  <c r="AA35" i="5"/>
  <c r="U33" i="5"/>
  <c r="AA31" i="5"/>
  <c r="AA42" i="5"/>
  <c r="AA38" i="5"/>
  <c r="AA34" i="5"/>
  <c r="AA30" i="5"/>
  <c r="AA28" i="5"/>
  <c r="AA14" i="5"/>
  <c r="AA16" i="5"/>
  <c r="U20" i="5"/>
  <c r="AC20" i="5" s="1"/>
  <c r="AA24" i="5"/>
  <c r="U17" i="5"/>
  <c r="AC17" i="5" s="1"/>
  <c r="AA19" i="5"/>
  <c r="U21" i="5"/>
  <c r="AA21" i="5" s="1"/>
  <c r="AA23" i="5"/>
  <c r="U25" i="5"/>
  <c r="AA25" i="5" s="1"/>
  <c r="AA27" i="5"/>
  <c r="Y39" i="3"/>
  <c r="Y53" i="3"/>
  <c r="Z37" i="3"/>
  <c r="W33" i="3"/>
  <c r="Y43" i="3"/>
  <c r="Z46" i="3"/>
  <c r="X64" i="3"/>
  <c r="Z53" i="3"/>
  <c r="X60" i="3"/>
  <c r="Z59" i="3"/>
  <c r="Y42" i="3"/>
  <c r="Y38" i="3"/>
  <c r="V34" i="3"/>
  <c r="Y61" i="3"/>
  <c r="Z40" i="3"/>
  <c r="Y57" i="3"/>
  <c r="W47" i="3"/>
  <c r="Y63" i="3"/>
  <c r="Y52" i="3"/>
  <c r="V48" i="3"/>
  <c r="V44" i="3"/>
  <c r="Z62" i="3"/>
  <c r="Y64" i="3"/>
  <c r="W62" i="3"/>
  <c r="W48" i="3"/>
  <c r="X56" i="3"/>
  <c r="W58" i="3"/>
  <c r="Z63" i="3"/>
  <c r="W52" i="3"/>
  <c r="Z49" i="3"/>
  <c r="Z47" i="3"/>
  <c r="Z45" i="3"/>
  <c r="V45" i="3"/>
  <c r="Z44" i="3"/>
  <c r="Y37" i="3"/>
  <c r="Y36" i="3"/>
  <c r="Z38" i="3"/>
  <c r="V40" i="3"/>
  <c r="Y44" i="3"/>
  <c r="Y46" i="3"/>
  <c r="V49" i="3"/>
  <c r="V37" i="3"/>
  <c r="W41" i="3"/>
  <c r="V41" i="3"/>
  <c r="Y45" i="3"/>
  <c r="Z58" i="3"/>
  <c r="W59" i="3"/>
  <c r="V38" i="3"/>
  <c r="W38" i="3"/>
  <c r="W40" i="3"/>
  <c r="V42" i="3"/>
  <c r="W42" i="3"/>
  <c r="Z48" i="3"/>
  <c r="W49" i="3"/>
  <c r="W53" i="3"/>
  <c r="V51" i="3"/>
  <c r="Y54" i="3"/>
  <c r="Y56" i="3"/>
  <c r="Y58" i="3"/>
  <c r="Y62" i="3"/>
  <c r="V46" i="3"/>
  <c r="X62" i="3"/>
  <c r="Z61" i="3"/>
  <c r="V60" i="3"/>
  <c r="Z60" i="3"/>
  <c r="W51" i="3"/>
  <c r="Z50" i="3"/>
  <c r="Y47" i="3"/>
  <c r="W46" i="3"/>
  <c r="W44" i="3"/>
  <c r="Z43" i="3"/>
  <c r="Y41" i="3"/>
  <c r="Y59" i="3"/>
  <c r="Y60" i="3"/>
  <c r="Z54" i="3"/>
  <c r="Z55" i="3"/>
  <c r="W45" i="3"/>
  <c r="Z41" i="3"/>
  <c r="Z52" i="3"/>
  <c r="V47" i="3"/>
  <c r="W43" i="3"/>
  <c r="Z39" i="3"/>
  <c r="Y34" i="3"/>
  <c r="Y55" i="3"/>
  <c r="Z36" i="3"/>
  <c r="W55" i="3"/>
  <c r="V54" i="3"/>
  <c r="W54" i="3"/>
  <c r="Y50" i="3"/>
  <c r="V43" i="3"/>
  <c r="W39" i="3"/>
  <c r="V36" i="3"/>
  <c r="W36" i="3"/>
  <c r="Z35" i="3"/>
  <c r="V58" i="3"/>
  <c r="Z57" i="3"/>
  <c r="Y33" i="3"/>
  <c r="V62" i="3"/>
  <c r="W61" i="3"/>
  <c r="W57" i="3"/>
  <c r="X58" i="3"/>
  <c r="V56" i="3"/>
  <c r="V53" i="3"/>
  <c r="W34" i="3"/>
  <c r="W35" i="3"/>
  <c r="Z33" i="3"/>
  <c r="V50" i="3"/>
  <c r="Z64" i="3"/>
  <c r="W63" i="3"/>
  <c r="V64" i="3"/>
  <c r="U64" i="3"/>
  <c r="Z56" i="3"/>
  <c r="U54" i="3"/>
  <c r="Y51" i="3"/>
  <c r="W50" i="3"/>
  <c r="V39" i="3"/>
  <c r="W37" i="3"/>
  <c r="V35" i="3"/>
  <c r="Y35" i="3"/>
  <c r="V33" i="3"/>
  <c r="X54" i="3"/>
  <c r="U56" i="3"/>
  <c r="U60" i="3"/>
  <c r="P55" i="3"/>
  <c r="X55" i="3" s="1"/>
  <c r="P59" i="3"/>
  <c r="X59" i="3" s="1"/>
  <c r="P63" i="3"/>
  <c r="X63" i="3" s="1"/>
  <c r="W56" i="3"/>
  <c r="W60" i="3"/>
  <c r="W64" i="3"/>
  <c r="P33" i="3"/>
  <c r="X33" i="3" s="1"/>
  <c r="P37" i="3"/>
  <c r="X37" i="3" s="1"/>
  <c r="P41" i="3"/>
  <c r="X41" i="3" s="1"/>
  <c r="P45" i="3"/>
  <c r="X45" i="3" s="1"/>
  <c r="P47" i="3"/>
  <c r="X47" i="3" s="1"/>
  <c r="P48" i="3"/>
  <c r="X48" i="3" s="1"/>
  <c r="P50" i="3"/>
  <c r="X50" i="3" s="1"/>
  <c r="P57" i="3"/>
  <c r="X57" i="3" s="1"/>
  <c r="P61" i="3"/>
  <c r="X61" i="3" s="1"/>
  <c r="P34" i="3"/>
  <c r="X34" i="3" s="1"/>
  <c r="P38" i="3"/>
  <c r="X38" i="3" s="1"/>
  <c r="P42" i="3"/>
  <c r="X42" i="3" s="1"/>
  <c r="P46" i="3"/>
  <c r="X46" i="3" s="1"/>
  <c r="P49" i="3"/>
  <c r="X49" i="3" s="1"/>
  <c r="P51" i="3"/>
  <c r="X51" i="3" s="1"/>
  <c r="V52" i="3"/>
  <c r="P52" i="3"/>
  <c r="X52" i="3" s="1"/>
  <c r="U58" i="3"/>
  <c r="U62" i="3"/>
  <c r="V55" i="3"/>
  <c r="V57" i="3"/>
  <c r="V59" i="3"/>
  <c r="V61" i="3"/>
  <c r="V63" i="3"/>
  <c r="P35" i="3"/>
  <c r="X35" i="3" s="1"/>
  <c r="P39" i="3"/>
  <c r="X39" i="3" s="1"/>
  <c r="P43" i="3"/>
  <c r="X43" i="3" s="1"/>
  <c r="P53" i="3"/>
  <c r="X53" i="3" s="1"/>
  <c r="P36" i="3"/>
  <c r="X36" i="3" s="1"/>
  <c r="P40" i="3"/>
  <c r="X40" i="3" s="1"/>
  <c r="P44" i="3"/>
  <c r="X44" i="3" s="1"/>
  <c r="AE34" i="5" l="1"/>
  <c r="AF46" i="5"/>
  <c r="AF23" i="5"/>
  <c r="AE42" i="5"/>
  <c r="AF26" i="5"/>
  <c r="AF54" i="5"/>
  <c r="AB25" i="5"/>
  <c r="AC63" i="5"/>
  <c r="AB63" i="5"/>
  <c r="AB16" i="5"/>
  <c r="AD25" i="5"/>
  <c r="AD21" i="5"/>
  <c r="AF17" i="5"/>
  <c r="AD37" i="5"/>
  <c r="AD45" i="5"/>
  <c r="AF15" i="5"/>
  <c r="AF59" i="5"/>
  <c r="AD27" i="5"/>
  <c r="AD19" i="5"/>
  <c r="AE25" i="5"/>
  <c r="AD28" i="5"/>
  <c r="AK24" i="5"/>
  <c r="AD24" i="5"/>
  <c r="AB17" i="5"/>
  <c r="AD30" i="5"/>
  <c r="AD38" i="5"/>
  <c r="AD31" i="5"/>
  <c r="AD35" i="5"/>
  <c r="AD39" i="5"/>
  <c r="AD43" i="5"/>
  <c r="AE48" i="5"/>
  <c r="AD56" i="5"/>
  <c r="AD62" i="5"/>
  <c r="AE61" i="5"/>
  <c r="AE27" i="5"/>
  <c r="AE22" i="5"/>
  <c r="AE19" i="5"/>
  <c r="AK29" i="5"/>
  <c r="AD29" i="5"/>
  <c r="AF36" i="5"/>
  <c r="AF44" i="5"/>
  <c r="AD52" i="5"/>
  <c r="AB36" i="5"/>
  <c r="AB44" i="5"/>
  <c r="AD50" i="5"/>
  <c r="AC55" i="5"/>
  <c r="AF48" i="5"/>
  <c r="AD51" i="5"/>
  <c r="AB53" i="5"/>
  <c r="AC53" i="5"/>
  <c r="AE56" i="5"/>
  <c r="AC58" i="5"/>
  <c r="AB58" i="5"/>
  <c r="AC61" i="5"/>
  <c r="AB64" i="5"/>
  <c r="AA17" i="5"/>
  <c r="AA20" i="5"/>
  <c r="AF35" i="5"/>
  <c r="AF30" i="5"/>
  <c r="AE54" i="5"/>
  <c r="AC25" i="5"/>
  <c r="AA22" i="5"/>
  <c r="AA15" i="5"/>
  <c r="AF51" i="5"/>
  <c r="AA58" i="5"/>
  <c r="AF39" i="5"/>
  <c r="AF38" i="5"/>
  <c r="AE46" i="5"/>
  <c r="AA64" i="5"/>
  <c r="AB20" i="5"/>
  <c r="AA36" i="5"/>
  <c r="AF47" i="5"/>
  <c r="AA55" i="5"/>
  <c r="AA60" i="5"/>
  <c r="AB15" i="5"/>
  <c r="AD23" i="5"/>
  <c r="AF20" i="5"/>
  <c r="AD16" i="5"/>
  <c r="AD34" i="5"/>
  <c r="AD42" i="5"/>
  <c r="AB33" i="5"/>
  <c r="AC33" i="5"/>
  <c r="AB37" i="5"/>
  <c r="AC37" i="5"/>
  <c r="AB41" i="5"/>
  <c r="AC41" i="5"/>
  <c r="AB45" i="5"/>
  <c r="AC45" i="5"/>
  <c r="AE52" i="5"/>
  <c r="AD57" i="5"/>
  <c r="AE59" i="5"/>
  <c r="AF64" i="5"/>
  <c r="AD63" i="5"/>
  <c r="AK26" i="5"/>
  <c r="AD26" i="5"/>
  <c r="AC21" i="5"/>
  <c r="AK18" i="5"/>
  <c r="AD18" i="5"/>
  <c r="AF28" i="5"/>
  <c r="AF32" i="5"/>
  <c r="AF40" i="5"/>
  <c r="AK48" i="5"/>
  <c r="AD48" i="5"/>
  <c r="AB32" i="5"/>
  <c r="AB40" i="5"/>
  <c r="AK46" i="5"/>
  <c r="AD46" i="5"/>
  <c r="AK54" i="5"/>
  <c r="AD54" i="5"/>
  <c r="AK47" i="5"/>
  <c r="AD47" i="5"/>
  <c r="AB49" i="5"/>
  <c r="AC49" i="5"/>
  <c r="AF52" i="5"/>
  <c r="AE55" i="5"/>
  <c r="AF57" i="5"/>
  <c r="AF60" i="5"/>
  <c r="AB60" i="5"/>
  <c r="AB21" i="5"/>
  <c r="AF31" i="5"/>
  <c r="AF43" i="5"/>
  <c r="AA33" i="5"/>
  <c r="AF42" i="5"/>
  <c r="AE50" i="5"/>
  <c r="AA61" i="5"/>
  <c r="AE23" i="5"/>
  <c r="AA40" i="5"/>
  <c r="AA49" i="5"/>
  <c r="AF34" i="5"/>
  <c r="AA41" i="5"/>
  <c r="AA59" i="5"/>
  <c r="AF62" i="5"/>
  <c r="AA32" i="5"/>
  <c r="AA44" i="5"/>
  <c r="AA53" i="5"/>
  <c r="AC22" i="5"/>
  <c r="U45" i="3"/>
  <c r="U43" i="3"/>
  <c r="U35" i="3"/>
  <c r="U51" i="3"/>
  <c r="U49" i="3"/>
  <c r="U40" i="3"/>
  <c r="U36" i="3"/>
  <c r="U53" i="3"/>
  <c r="U39" i="3"/>
  <c r="U42" i="3"/>
  <c r="U38" i="3"/>
  <c r="U34" i="3"/>
  <c r="U44" i="3"/>
  <c r="U52" i="3"/>
  <c r="U46" i="3"/>
  <c r="U61" i="3"/>
  <c r="U57" i="3"/>
  <c r="U50" i="3"/>
  <c r="U48" i="3"/>
  <c r="U47" i="3"/>
  <c r="U41" i="3"/>
  <c r="U37" i="3"/>
  <c r="U33" i="3"/>
  <c r="U63" i="3"/>
  <c r="U59" i="3"/>
  <c r="U55" i="3"/>
  <c r="AE16" i="5" l="1"/>
  <c r="AF63" i="5"/>
  <c r="AK16" i="5"/>
  <c r="AE63" i="5"/>
  <c r="AD53" i="5"/>
  <c r="AD32" i="5"/>
  <c r="AD41" i="5"/>
  <c r="AD40" i="5"/>
  <c r="AD33" i="5"/>
  <c r="AE60" i="5"/>
  <c r="AE49" i="5"/>
  <c r="AE32" i="5"/>
  <c r="AF45" i="5"/>
  <c r="AF41" i="5"/>
  <c r="AF37" i="5"/>
  <c r="AF33" i="5"/>
  <c r="AE15" i="5"/>
  <c r="AD55" i="5"/>
  <c r="AE20" i="5"/>
  <c r="AD58" i="5"/>
  <c r="AD22" i="5"/>
  <c r="AK20" i="5"/>
  <c r="AD20" i="5"/>
  <c r="AE64" i="5"/>
  <c r="AE58" i="5"/>
  <c r="AF53" i="5"/>
  <c r="AF55" i="5"/>
  <c r="AK50" i="5"/>
  <c r="AE36" i="5"/>
  <c r="AK52" i="5"/>
  <c r="AK62" i="5"/>
  <c r="AK56" i="5"/>
  <c r="AK43" i="5"/>
  <c r="AK39" i="5"/>
  <c r="AK35" i="5"/>
  <c r="AK31" i="5"/>
  <c r="AK38" i="5"/>
  <c r="AK30" i="5"/>
  <c r="AF22" i="5"/>
  <c r="AD44" i="5"/>
  <c r="AK59" i="5"/>
  <c r="AD59" i="5"/>
  <c r="AD49" i="5"/>
  <c r="AD61" i="5"/>
  <c r="AE21" i="5"/>
  <c r="AF49" i="5"/>
  <c r="AE40" i="5"/>
  <c r="AF21" i="5"/>
  <c r="AK57" i="5"/>
  <c r="AE45" i="5"/>
  <c r="AE41" i="5"/>
  <c r="AE37" i="5"/>
  <c r="AE33" i="5"/>
  <c r="AK42" i="5"/>
  <c r="AK34" i="5"/>
  <c r="AK23" i="5"/>
  <c r="AK60" i="5"/>
  <c r="AD60" i="5"/>
  <c r="AK36" i="5"/>
  <c r="AD36" i="5"/>
  <c r="AD64" i="5"/>
  <c r="AK15" i="5"/>
  <c r="AD15" i="5"/>
  <c r="AF25" i="5"/>
  <c r="AD17" i="5"/>
  <c r="AF61" i="5"/>
  <c r="AF58" i="5"/>
  <c r="AE53" i="5"/>
  <c r="AK51" i="5"/>
  <c r="AE44" i="5"/>
  <c r="AE17" i="5"/>
  <c r="AK28" i="5"/>
  <c r="AK19" i="5"/>
  <c r="AK27" i="5"/>
  <c r="AK45" i="5"/>
  <c r="AK37" i="5"/>
  <c r="AK21" i="5"/>
  <c r="AK25" i="5"/>
  <c r="C32" i="3"/>
  <c r="AK17" i="5" l="1"/>
  <c r="AK61" i="5"/>
  <c r="AK49" i="5"/>
  <c r="AK44" i="5"/>
  <c r="AK22" i="5"/>
  <c r="AK58" i="5"/>
  <c r="AK55" i="5"/>
  <c r="AK33" i="5"/>
  <c r="AK40" i="5"/>
  <c r="AK41" i="5"/>
  <c r="AK32" i="5"/>
  <c r="AK53" i="5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B15" i="3"/>
  <c r="B16" i="3"/>
  <c r="G16" i="3" s="1"/>
  <c r="B17" i="3"/>
  <c r="G17" i="3" s="1"/>
  <c r="B18" i="3"/>
  <c r="G18" i="3" s="1"/>
  <c r="B19" i="3"/>
  <c r="G19" i="3" s="1"/>
  <c r="B20" i="3"/>
  <c r="G20" i="3" s="1"/>
  <c r="B21" i="3"/>
  <c r="G21" i="3" s="1"/>
  <c r="B22" i="3"/>
  <c r="G22" i="3" s="1"/>
  <c r="B23" i="3"/>
  <c r="G23" i="3" s="1"/>
  <c r="B24" i="3"/>
  <c r="G24" i="3" s="1"/>
  <c r="B25" i="3"/>
  <c r="G25" i="3" s="1"/>
  <c r="B26" i="3"/>
  <c r="G26" i="3" s="1"/>
  <c r="B27" i="3"/>
  <c r="G27" i="3" s="1"/>
  <c r="B28" i="3"/>
  <c r="G28" i="3" s="1"/>
  <c r="B29" i="3"/>
  <c r="G29" i="3" s="1"/>
  <c r="B30" i="3"/>
  <c r="G30" i="3" s="1"/>
  <c r="B31" i="3"/>
  <c r="G31" i="3" s="1"/>
  <c r="B32" i="3"/>
  <c r="F15" i="3" l="1"/>
  <c r="G15" i="3"/>
  <c r="I32" i="3"/>
  <c r="O32" i="3" s="1"/>
  <c r="G32" i="3"/>
  <c r="F30" i="3"/>
  <c r="J30" i="3"/>
  <c r="L30" i="3"/>
  <c r="R30" i="3" s="1"/>
  <c r="N30" i="3"/>
  <c r="T30" i="3" s="1"/>
  <c r="I30" i="3"/>
  <c r="O30" i="3" s="1"/>
  <c r="K30" i="3"/>
  <c r="M30" i="3"/>
  <c r="S30" i="3" s="1"/>
  <c r="I26" i="3"/>
  <c r="O26" i="3" s="1"/>
  <c r="K26" i="3"/>
  <c r="M26" i="3"/>
  <c r="S26" i="3" s="1"/>
  <c r="F26" i="3"/>
  <c r="J26" i="3"/>
  <c r="P26" i="3" s="1"/>
  <c r="L26" i="3"/>
  <c r="R26" i="3" s="1"/>
  <c r="N26" i="3"/>
  <c r="F22" i="3"/>
  <c r="J22" i="3"/>
  <c r="P22" i="3" s="1"/>
  <c r="L22" i="3"/>
  <c r="R22" i="3" s="1"/>
  <c r="N22" i="3"/>
  <c r="K22" i="3"/>
  <c r="I22" i="3"/>
  <c r="O22" i="3" s="1"/>
  <c r="M22" i="3"/>
  <c r="S22" i="3" s="1"/>
  <c r="I18" i="3"/>
  <c r="O18" i="3" s="1"/>
  <c r="K18" i="3"/>
  <c r="M18" i="3"/>
  <c r="S18" i="3" s="1"/>
  <c r="F18" i="3"/>
  <c r="J18" i="3"/>
  <c r="L18" i="3"/>
  <c r="R18" i="3" s="1"/>
  <c r="N18" i="3"/>
  <c r="T18" i="3" s="1"/>
  <c r="F16" i="3"/>
  <c r="J16" i="3"/>
  <c r="L16" i="3"/>
  <c r="R16" i="3" s="1"/>
  <c r="N16" i="3"/>
  <c r="T16" i="3" s="1"/>
  <c r="I16" i="3"/>
  <c r="O16" i="3" s="1"/>
  <c r="K16" i="3"/>
  <c r="M16" i="3"/>
  <c r="S16" i="3" s="1"/>
  <c r="M32" i="3"/>
  <c r="S32" i="3" s="1"/>
  <c r="K32" i="3"/>
  <c r="F32" i="3"/>
  <c r="I28" i="3"/>
  <c r="O28" i="3" s="1"/>
  <c r="K28" i="3"/>
  <c r="M28" i="3"/>
  <c r="S28" i="3" s="1"/>
  <c r="F28" i="3"/>
  <c r="J28" i="3"/>
  <c r="P28" i="3" s="1"/>
  <c r="L28" i="3"/>
  <c r="R28" i="3" s="1"/>
  <c r="N28" i="3"/>
  <c r="I24" i="3"/>
  <c r="O24" i="3" s="1"/>
  <c r="K24" i="3"/>
  <c r="M24" i="3"/>
  <c r="S24" i="3" s="1"/>
  <c r="F24" i="3"/>
  <c r="J24" i="3"/>
  <c r="P24" i="3" s="1"/>
  <c r="L24" i="3"/>
  <c r="R24" i="3" s="1"/>
  <c r="N24" i="3"/>
  <c r="F20" i="3"/>
  <c r="J20" i="3"/>
  <c r="L20" i="3"/>
  <c r="R20" i="3" s="1"/>
  <c r="N20" i="3"/>
  <c r="T20" i="3" s="1"/>
  <c r="I20" i="3"/>
  <c r="O20" i="3" s="1"/>
  <c r="K20" i="3"/>
  <c r="M20" i="3"/>
  <c r="S20" i="3" s="1"/>
  <c r="F31" i="3"/>
  <c r="J31" i="3"/>
  <c r="L31" i="3"/>
  <c r="R31" i="3" s="1"/>
  <c r="N31" i="3"/>
  <c r="T31" i="3" s="1"/>
  <c r="I31" i="3"/>
  <c r="O31" i="3" s="1"/>
  <c r="K31" i="3"/>
  <c r="M31" i="3"/>
  <c r="S31" i="3" s="1"/>
  <c r="F29" i="3"/>
  <c r="J29" i="3"/>
  <c r="L29" i="3"/>
  <c r="R29" i="3" s="1"/>
  <c r="N29" i="3"/>
  <c r="T29" i="3" s="1"/>
  <c r="I29" i="3"/>
  <c r="O29" i="3" s="1"/>
  <c r="K29" i="3"/>
  <c r="M29" i="3"/>
  <c r="S29" i="3" s="1"/>
  <c r="I27" i="3"/>
  <c r="O27" i="3" s="1"/>
  <c r="K27" i="3"/>
  <c r="Q27" i="3" s="1"/>
  <c r="M27" i="3"/>
  <c r="S27" i="3" s="1"/>
  <c r="F27" i="3"/>
  <c r="J27" i="3"/>
  <c r="L27" i="3"/>
  <c r="R27" i="3" s="1"/>
  <c r="N27" i="3"/>
  <c r="T27" i="3" s="1"/>
  <c r="F25" i="3"/>
  <c r="J25" i="3"/>
  <c r="L25" i="3"/>
  <c r="R25" i="3" s="1"/>
  <c r="N25" i="3"/>
  <c r="T25" i="3" s="1"/>
  <c r="I25" i="3"/>
  <c r="O25" i="3" s="1"/>
  <c r="K25" i="3"/>
  <c r="Q25" i="3" s="1"/>
  <c r="M25" i="3"/>
  <c r="S25" i="3" s="1"/>
  <c r="F23" i="3"/>
  <c r="I23" i="3"/>
  <c r="O23" i="3" s="1"/>
  <c r="K23" i="3"/>
  <c r="Q23" i="3" s="1"/>
  <c r="M23" i="3"/>
  <c r="S23" i="3" s="1"/>
  <c r="J23" i="3"/>
  <c r="L23" i="3"/>
  <c r="R23" i="3" s="1"/>
  <c r="N23" i="3"/>
  <c r="T23" i="3" s="1"/>
  <c r="F21" i="3"/>
  <c r="J21" i="3"/>
  <c r="I21" i="3"/>
  <c r="O21" i="3" s="1"/>
  <c r="K21" i="3"/>
  <c r="M21" i="3"/>
  <c r="S21" i="3" s="1"/>
  <c r="L21" i="3"/>
  <c r="R21" i="3" s="1"/>
  <c r="N21" i="3"/>
  <c r="T21" i="3" s="1"/>
  <c r="I19" i="3"/>
  <c r="O19" i="3" s="1"/>
  <c r="K19" i="3"/>
  <c r="M19" i="3"/>
  <c r="S19" i="3" s="1"/>
  <c r="F19" i="3"/>
  <c r="J19" i="3"/>
  <c r="L19" i="3"/>
  <c r="R19" i="3" s="1"/>
  <c r="N19" i="3"/>
  <c r="T19" i="3" s="1"/>
  <c r="F17" i="3"/>
  <c r="J17" i="3"/>
  <c r="L17" i="3"/>
  <c r="R17" i="3" s="1"/>
  <c r="N17" i="3"/>
  <c r="T17" i="3" s="1"/>
  <c r="I17" i="3"/>
  <c r="O17" i="3" s="1"/>
  <c r="K17" i="3"/>
  <c r="M17" i="3"/>
  <c r="S17" i="3" s="1"/>
  <c r="I15" i="3"/>
  <c r="O15" i="3" s="1"/>
  <c r="K15" i="3"/>
  <c r="M15" i="3"/>
  <c r="S15" i="3" s="1"/>
  <c r="J15" i="3"/>
  <c r="L15" i="3"/>
  <c r="R15" i="3" s="1"/>
  <c r="N15" i="3"/>
  <c r="T15" i="3" s="1"/>
  <c r="N32" i="3"/>
  <c r="T32" i="3" s="1"/>
  <c r="L32" i="3"/>
  <c r="R32" i="3" s="1"/>
  <c r="J3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E2" i="4"/>
  <c r="C2" i="4"/>
  <c r="Y32" i="3" l="1"/>
  <c r="Y30" i="3"/>
  <c r="Y25" i="3"/>
  <c r="Y17" i="3"/>
  <c r="Y29" i="3"/>
  <c r="V29" i="3"/>
  <c r="U24" i="3"/>
  <c r="Y27" i="3"/>
  <c r="V23" i="3"/>
  <c r="X22" i="3"/>
  <c r="Z23" i="3"/>
  <c r="Z27" i="3"/>
  <c r="V31" i="3"/>
  <c r="W27" i="3"/>
  <c r="U26" i="3"/>
  <c r="W25" i="3"/>
  <c r="Z25" i="3"/>
  <c r="X24" i="3"/>
  <c r="Y23" i="3"/>
  <c r="V25" i="3"/>
  <c r="U28" i="3"/>
  <c r="W23" i="3"/>
  <c r="U22" i="3"/>
  <c r="V27" i="3"/>
  <c r="P15" i="3"/>
  <c r="X15" i="3" s="1"/>
  <c r="V15" i="3"/>
  <c r="Q15" i="3"/>
  <c r="V17" i="3"/>
  <c r="Q17" i="3"/>
  <c r="P19" i="3"/>
  <c r="X19" i="3" s="1"/>
  <c r="V19" i="3"/>
  <c r="Q19" i="3"/>
  <c r="V21" i="3"/>
  <c r="Q21" i="3"/>
  <c r="P23" i="3"/>
  <c r="X23" i="3" s="1"/>
  <c r="P27" i="3"/>
  <c r="X27" i="3" s="1"/>
  <c r="Q29" i="3"/>
  <c r="Z29" i="3" s="1"/>
  <c r="Y31" i="3"/>
  <c r="P31" i="3"/>
  <c r="X31" i="3" s="1"/>
  <c r="Q20" i="3"/>
  <c r="Z20" i="3" s="1"/>
  <c r="V20" i="3"/>
  <c r="T24" i="3"/>
  <c r="Y24" i="3" s="1"/>
  <c r="Q24" i="3"/>
  <c r="Z24" i="3" s="1"/>
  <c r="V32" i="3"/>
  <c r="Q32" i="3"/>
  <c r="Z32" i="3" s="1"/>
  <c r="Y16" i="3"/>
  <c r="P16" i="3"/>
  <c r="X16" i="3" s="1"/>
  <c r="Q22" i="3"/>
  <c r="Z22" i="3" s="1"/>
  <c r="T22" i="3"/>
  <c r="Y22" i="3" s="1"/>
  <c r="P30" i="3"/>
  <c r="X30" i="3" s="1"/>
  <c r="P32" i="3"/>
  <c r="X32" i="3" s="1"/>
  <c r="Y15" i="3"/>
  <c r="P17" i="3"/>
  <c r="X17" i="3" s="1"/>
  <c r="Y19" i="3"/>
  <c r="Y21" i="3"/>
  <c r="P21" i="3"/>
  <c r="X21" i="3" s="1"/>
  <c r="P25" i="3"/>
  <c r="X25" i="3" s="1"/>
  <c r="P29" i="3"/>
  <c r="X29" i="3" s="1"/>
  <c r="Q31" i="3"/>
  <c r="Z31" i="3" s="1"/>
  <c r="Y20" i="3"/>
  <c r="P20" i="3"/>
  <c r="X20" i="3" s="1"/>
  <c r="T28" i="3"/>
  <c r="Y28" i="3" s="1"/>
  <c r="X28" i="3"/>
  <c r="Q28" i="3"/>
  <c r="Z28" i="3" s="1"/>
  <c r="Q16" i="3"/>
  <c r="Z16" i="3" s="1"/>
  <c r="V16" i="3"/>
  <c r="Y18" i="3"/>
  <c r="P18" i="3"/>
  <c r="X18" i="3" s="1"/>
  <c r="Q18" i="3"/>
  <c r="Z18" i="3" s="1"/>
  <c r="V18" i="3"/>
  <c r="T26" i="3"/>
  <c r="Y26" i="3" s="1"/>
  <c r="X26" i="3"/>
  <c r="Q26" i="3"/>
  <c r="Z26" i="3" s="1"/>
  <c r="V30" i="3"/>
  <c r="Q30" i="3"/>
  <c r="Z30" i="3" s="1"/>
  <c r="B14" i="3"/>
  <c r="Q1" i="3"/>
  <c r="R12" i="1"/>
  <c r="R13" i="1"/>
  <c r="R14" i="1"/>
  <c r="R11" i="1"/>
  <c r="Q12" i="1"/>
  <c r="Q13" i="1"/>
  <c r="Q14" i="1"/>
  <c r="Q11" i="1"/>
  <c r="G14" i="3" l="1"/>
  <c r="F14" i="3"/>
  <c r="W18" i="3"/>
  <c r="I14" i="3"/>
  <c r="O14" i="3" s="1"/>
  <c r="M14" i="3"/>
  <c r="S14" i="3" s="1"/>
  <c r="U18" i="3"/>
  <c r="W16" i="3"/>
  <c r="U21" i="3"/>
  <c r="W22" i="3"/>
  <c r="W20" i="3"/>
  <c r="U31" i="3"/>
  <c r="K14" i="3"/>
  <c r="Q14" i="3" s="1"/>
  <c r="U32" i="3"/>
  <c r="U30" i="3"/>
  <c r="W32" i="3"/>
  <c r="W24" i="3"/>
  <c r="Z21" i="3"/>
  <c r="W21" i="3"/>
  <c r="Z19" i="3"/>
  <c r="W19" i="3"/>
  <c r="Z17" i="3"/>
  <c r="W17" i="3"/>
  <c r="Z15" i="3"/>
  <c r="W15" i="3"/>
  <c r="W30" i="3"/>
  <c r="W26" i="3"/>
  <c r="V26" i="3"/>
  <c r="W28" i="3"/>
  <c r="V28" i="3"/>
  <c r="U20" i="3"/>
  <c r="W31" i="3"/>
  <c r="U29" i="3"/>
  <c r="U25" i="3"/>
  <c r="U17" i="3"/>
  <c r="V22" i="3"/>
  <c r="U16" i="3"/>
  <c r="V24" i="3"/>
  <c r="W29" i="3"/>
  <c r="U27" i="3"/>
  <c r="U23" i="3"/>
  <c r="U19" i="3"/>
  <c r="U15" i="3"/>
  <c r="J14" i="3"/>
  <c r="L14" i="3"/>
  <c r="R14" i="3" s="1"/>
  <c r="N14" i="3"/>
  <c r="T14" i="3" s="1"/>
  <c r="AA54" i="3" l="1"/>
  <c r="AA56" i="3"/>
  <c r="AA60" i="3"/>
  <c r="AA64" i="3"/>
  <c r="AA43" i="3"/>
  <c r="AA45" i="3"/>
  <c r="AA34" i="3"/>
  <c r="AA38" i="3"/>
  <c r="AA42" i="3"/>
  <c r="AA49" i="3"/>
  <c r="AA53" i="3"/>
  <c r="AA58" i="3"/>
  <c r="AA62" i="3"/>
  <c r="AA51" i="3"/>
  <c r="AA35" i="3"/>
  <c r="AA40" i="3"/>
  <c r="AA39" i="3"/>
  <c r="AA36" i="3"/>
  <c r="AA50" i="3"/>
  <c r="AA59" i="3"/>
  <c r="AA33" i="3"/>
  <c r="AA44" i="3"/>
  <c r="AA63" i="3"/>
  <c r="AA37" i="3"/>
  <c r="AA47" i="3"/>
  <c r="AA48" i="3"/>
  <c r="AA52" i="3"/>
  <c r="AA41" i="3"/>
  <c r="AA57" i="3"/>
  <c r="AA55" i="3"/>
  <c r="AA61" i="3"/>
  <c r="AA46" i="3"/>
  <c r="AC38" i="3"/>
  <c r="AC45" i="3"/>
  <c r="AC54" i="3"/>
  <c r="AC58" i="3"/>
  <c r="AC62" i="3"/>
  <c r="AC51" i="3"/>
  <c r="AC35" i="3"/>
  <c r="AC56" i="3"/>
  <c r="AC60" i="3"/>
  <c r="AC64" i="3"/>
  <c r="AC40" i="3"/>
  <c r="AC39" i="3"/>
  <c r="AC49" i="3"/>
  <c r="AC34" i="3"/>
  <c r="AC53" i="3"/>
  <c r="AC36" i="3"/>
  <c r="AC43" i="3"/>
  <c r="AC42" i="3"/>
  <c r="AC33" i="3"/>
  <c r="AC41" i="3"/>
  <c r="AC57" i="3"/>
  <c r="AC44" i="3"/>
  <c r="AC55" i="3"/>
  <c r="AC61" i="3"/>
  <c r="AC59" i="3"/>
  <c r="AC48" i="3"/>
  <c r="AC46" i="3"/>
  <c r="AC63" i="3"/>
  <c r="AC37" i="3"/>
  <c r="AC47" i="3"/>
  <c r="AC50" i="3"/>
  <c r="AC52" i="3"/>
  <c r="P14" i="3"/>
  <c r="AB23" i="3" s="1"/>
  <c r="AA18" i="3"/>
  <c r="AC18" i="3"/>
  <c r="AA15" i="3"/>
  <c r="AA16" i="3"/>
  <c r="AA17" i="3"/>
  <c r="AH17" i="3" s="1"/>
  <c r="AA20" i="3"/>
  <c r="AC29" i="3"/>
  <c r="AC26" i="3"/>
  <c r="AA19" i="3"/>
  <c r="AA26" i="3"/>
  <c r="AC30" i="3"/>
  <c r="AA23" i="3"/>
  <c r="AC32" i="3"/>
  <c r="AA32" i="3"/>
  <c r="AA21" i="3"/>
  <c r="AA29" i="3"/>
  <c r="AC28" i="3"/>
  <c r="AC19" i="3"/>
  <c r="AC21" i="3"/>
  <c r="AA24" i="3"/>
  <c r="AC23" i="3"/>
  <c r="AC22" i="3"/>
  <c r="AC25" i="3"/>
  <c r="AC27" i="3"/>
  <c r="AA27" i="3"/>
  <c r="AA31" i="3"/>
  <c r="AC20" i="3"/>
  <c r="AC24" i="3"/>
  <c r="AA30" i="3"/>
  <c r="AA25" i="3"/>
  <c r="AC31" i="3"/>
  <c r="AC16" i="3"/>
  <c r="AC15" i="3"/>
  <c r="AC17" i="3"/>
  <c r="AA22" i="3"/>
  <c r="AA28" i="3"/>
  <c r="I12" i="1"/>
  <c r="K12" i="1" s="1"/>
  <c r="J12" i="1"/>
  <c r="L12" i="1" s="1"/>
  <c r="I13" i="1"/>
  <c r="K13" i="1" s="1"/>
  <c r="J13" i="1"/>
  <c r="L13" i="1" s="1"/>
  <c r="I14" i="1"/>
  <c r="K14" i="1" s="1"/>
  <c r="J14" i="1"/>
  <c r="L14" i="1" s="1"/>
  <c r="H11" i="1"/>
  <c r="B16" i="1"/>
  <c r="B13" i="1"/>
  <c r="AB18" i="3" l="1"/>
  <c r="AE18" i="3" s="1"/>
  <c r="AB31" i="3"/>
  <c r="AE31" i="3" s="1"/>
  <c r="M12" i="1"/>
  <c r="O12" i="1" s="1"/>
  <c r="S12" i="1" s="1"/>
  <c r="U12" i="1" s="1"/>
  <c r="AJ17" i="3"/>
  <c r="AF17" i="3"/>
  <c r="AJ16" i="3"/>
  <c r="AF16" i="3"/>
  <c r="AH25" i="3"/>
  <c r="AD25" i="3"/>
  <c r="AJ24" i="3"/>
  <c r="AF24" i="3"/>
  <c r="AH31" i="3"/>
  <c r="AD31" i="3"/>
  <c r="AJ27" i="3"/>
  <c r="AF27" i="3"/>
  <c r="AJ22" i="3"/>
  <c r="AF22" i="3"/>
  <c r="AH24" i="3"/>
  <c r="AD24" i="3"/>
  <c r="AJ19" i="3"/>
  <c r="AF19" i="3"/>
  <c r="AJ28" i="3"/>
  <c r="AF28" i="3"/>
  <c r="AH21" i="3"/>
  <c r="AD21" i="3"/>
  <c r="AJ32" i="3"/>
  <c r="AF32" i="3"/>
  <c r="AH23" i="3"/>
  <c r="AD23" i="3"/>
  <c r="AJ30" i="3"/>
  <c r="AF30" i="3"/>
  <c r="AH19" i="3"/>
  <c r="AD19" i="3"/>
  <c r="AJ29" i="3"/>
  <c r="AF29" i="3"/>
  <c r="AD17" i="3"/>
  <c r="AH15" i="3"/>
  <c r="AD15" i="3"/>
  <c r="AH18" i="3"/>
  <c r="AD18" i="3"/>
  <c r="AJ52" i="3"/>
  <c r="AF52" i="3"/>
  <c r="AJ47" i="3"/>
  <c r="AF47" i="3"/>
  <c r="AJ63" i="3"/>
  <c r="AF63" i="3"/>
  <c r="AJ48" i="3"/>
  <c r="AF48" i="3"/>
  <c r="AJ61" i="3"/>
  <c r="AF61" i="3"/>
  <c r="AJ44" i="3"/>
  <c r="AF44" i="3"/>
  <c r="AJ41" i="3"/>
  <c r="AF41" i="3"/>
  <c r="AJ42" i="3"/>
  <c r="AF42" i="3"/>
  <c r="AJ36" i="3"/>
  <c r="AF36" i="3"/>
  <c r="AJ34" i="3"/>
  <c r="AF34" i="3"/>
  <c r="AJ39" i="3"/>
  <c r="AF39" i="3"/>
  <c r="AJ64" i="3"/>
  <c r="AF64" i="3"/>
  <c r="AJ56" i="3"/>
  <c r="AF56" i="3"/>
  <c r="AJ51" i="3"/>
  <c r="AF51" i="3"/>
  <c r="AJ58" i="3"/>
  <c r="AF58" i="3"/>
  <c r="AJ45" i="3"/>
  <c r="AF45" i="3"/>
  <c r="AH46" i="3"/>
  <c r="AD46" i="3"/>
  <c r="AH55" i="3"/>
  <c r="AD55" i="3"/>
  <c r="AH41" i="3"/>
  <c r="AD41" i="3"/>
  <c r="AH48" i="3"/>
  <c r="AD48" i="3"/>
  <c r="AH37" i="3"/>
  <c r="AD37" i="3"/>
  <c r="AH44" i="3"/>
  <c r="AD44" i="3"/>
  <c r="AH59" i="3"/>
  <c r="AD59" i="3"/>
  <c r="AH36" i="3"/>
  <c r="AD36" i="3"/>
  <c r="AH40" i="3"/>
  <c r="AD40" i="3"/>
  <c r="AH51" i="3"/>
  <c r="AD51" i="3"/>
  <c r="AH58" i="3"/>
  <c r="AD58" i="3"/>
  <c r="AH49" i="3"/>
  <c r="AD49" i="3"/>
  <c r="AH38" i="3"/>
  <c r="AD38" i="3"/>
  <c r="AH45" i="3"/>
  <c r="AD45" i="3"/>
  <c r="AH64" i="3"/>
  <c r="AD64" i="3"/>
  <c r="AH56" i="3"/>
  <c r="AD56" i="3"/>
  <c r="AH28" i="3"/>
  <c r="AD28" i="3"/>
  <c r="AH22" i="3"/>
  <c r="AD22" i="3"/>
  <c r="AJ15" i="3"/>
  <c r="AF15" i="3"/>
  <c r="AJ31" i="3"/>
  <c r="AF31" i="3"/>
  <c r="AH30" i="3"/>
  <c r="AD30" i="3"/>
  <c r="AJ20" i="3"/>
  <c r="AF20" i="3"/>
  <c r="AH27" i="3"/>
  <c r="AD27" i="3"/>
  <c r="AJ25" i="3"/>
  <c r="AF25" i="3"/>
  <c r="AJ23" i="3"/>
  <c r="AF23" i="3"/>
  <c r="AJ21" i="3"/>
  <c r="AF21" i="3"/>
  <c r="AI18" i="3"/>
  <c r="AH29" i="3"/>
  <c r="AD29" i="3"/>
  <c r="AH32" i="3"/>
  <c r="AD32" i="3"/>
  <c r="AI31" i="3"/>
  <c r="AI23" i="3"/>
  <c r="AE23" i="3"/>
  <c r="AH26" i="3"/>
  <c r="AD26" i="3"/>
  <c r="AJ26" i="3"/>
  <c r="AF26" i="3"/>
  <c r="AH20" i="3"/>
  <c r="AD20" i="3"/>
  <c r="AH16" i="3"/>
  <c r="AD16" i="3"/>
  <c r="AJ18" i="3"/>
  <c r="AF18" i="3"/>
  <c r="AJ50" i="3"/>
  <c r="AF50" i="3"/>
  <c r="AJ37" i="3"/>
  <c r="AF37" i="3"/>
  <c r="AJ46" i="3"/>
  <c r="AF46" i="3"/>
  <c r="AJ59" i="3"/>
  <c r="AF59" i="3"/>
  <c r="AJ55" i="3"/>
  <c r="AF55" i="3"/>
  <c r="AJ57" i="3"/>
  <c r="AF57" i="3"/>
  <c r="AJ33" i="3"/>
  <c r="AF33" i="3"/>
  <c r="AJ43" i="3"/>
  <c r="AF43" i="3"/>
  <c r="AJ53" i="3"/>
  <c r="AF53" i="3"/>
  <c r="AJ49" i="3"/>
  <c r="AF49" i="3"/>
  <c r="AJ40" i="3"/>
  <c r="AF40" i="3"/>
  <c r="AJ60" i="3"/>
  <c r="AF60" i="3"/>
  <c r="AJ35" i="3"/>
  <c r="AF35" i="3"/>
  <c r="AJ62" i="3"/>
  <c r="AF62" i="3"/>
  <c r="AJ54" i="3"/>
  <c r="AF54" i="3"/>
  <c r="AJ38" i="3"/>
  <c r="AF38" i="3"/>
  <c r="AH61" i="3"/>
  <c r="AD61" i="3"/>
  <c r="AH57" i="3"/>
  <c r="AD57" i="3"/>
  <c r="AH52" i="3"/>
  <c r="AD52" i="3"/>
  <c r="AH47" i="3"/>
  <c r="AD47" i="3"/>
  <c r="AH63" i="3"/>
  <c r="AD63" i="3"/>
  <c r="AH33" i="3"/>
  <c r="AD33" i="3"/>
  <c r="AH50" i="3"/>
  <c r="AD50" i="3"/>
  <c r="AH39" i="3"/>
  <c r="AD39" i="3"/>
  <c r="AH35" i="3"/>
  <c r="AD35" i="3"/>
  <c r="AH62" i="3"/>
  <c r="AD62" i="3"/>
  <c r="AH53" i="3"/>
  <c r="AD53" i="3"/>
  <c r="AH42" i="3"/>
  <c r="AD42" i="3"/>
  <c r="AH34" i="3"/>
  <c r="AD34" i="3"/>
  <c r="AH43" i="3"/>
  <c r="AD43" i="3"/>
  <c r="AH60" i="3"/>
  <c r="AD60" i="3"/>
  <c r="AH54" i="3"/>
  <c r="AD54" i="3"/>
  <c r="U14" i="3"/>
  <c r="AB36" i="3"/>
  <c r="AB49" i="3"/>
  <c r="AB35" i="3"/>
  <c r="AB54" i="3"/>
  <c r="AB40" i="3"/>
  <c r="AB39" i="3"/>
  <c r="AB45" i="3"/>
  <c r="AB34" i="3"/>
  <c r="AB38" i="3"/>
  <c r="AB42" i="3"/>
  <c r="AB51" i="3"/>
  <c r="AB53" i="3"/>
  <c r="AB58" i="3"/>
  <c r="AB56" i="3"/>
  <c r="AB62" i="3"/>
  <c r="AB60" i="3"/>
  <c r="AB64" i="3"/>
  <c r="AB43" i="3"/>
  <c r="AB48" i="3"/>
  <c r="AB46" i="3"/>
  <c r="AB55" i="3"/>
  <c r="AB37" i="3"/>
  <c r="AB50" i="3"/>
  <c r="AB52" i="3"/>
  <c r="AB59" i="3"/>
  <c r="AB33" i="3"/>
  <c r="AB41" i="3"/>
  <c r="AB44" i="3"/>
  <c r="AB57" i="3"/>
  <c r="AB63" i="3"/>
  <c r="AB47" i="3"/>
  <c r="AB61" i="3"/>
  <c r="AB26" i="3"/>
  <c r="AB21" i="3"/>
  <c r="AB17" i="3"/>
  <c r="AI17" i="3" s="1"/>
  <c r="AB32" i="3"/>
  <c r="AB27" i="3"/>
  <c r="AB30" i="3"/>
  <c r="AB19" i="3"/>
  <c r="AB16" i="3"/>
  <c r="AB28" i="3"/>
  <c r="AB15" i="3"/>
  <c r="AB20" i="3"/>
  <c r="AB22" i="3"/>
  <c r="AB24" i="3"/>
  <c r="AB29" i="3"/>
  <c r="AB25" i="3"/>
  <c r="M14" i="1"/>
  <c r="O14" i="1" s="1"/>
  <c r="S14" i="1" s="1"/>
  <c r="U14" i="1" s="1"/>
  <c r="M13" i="1"/>
  <c r="O13" i="1" s="1"/>
  <c r="S13" i="1" s="1"/>
  <c r="U13" i="1" s="1"/>
  <c r="N13" i="1"/>
  <c r="P13" i="1" s="1"/>
  <c r="T13" i="1" s="1"/>
  <c r="V13" i="1" s="1"/>
  <c r="N12" i="1"/>
  <c r="P12" i="1" s="1"/>
  <c r="T12" i="1" s="1"/>
  <c r="V12" i="1" s="1"/>
  <c r="N14" i="1"/>
  <c r="P14" i="1" s="1"/>
  <c r="T14" i="1" s="1"/>
  <c r="V14" i="1" s="1"/>
  <c r="K11" i="1"/>
  <c r="J11" i="1"/>
  <c r="L11" i="1" s="1"/>
  <c r="W14" i="1" l="1"/>
  <c r="X14" i="1" s="1"/>
  <c r="W13" i="1"/>
  <c r="X13" i="1" s="1"/>
  <c r="AK18" i="3"/>
  <c r="AL18" i="3" s="1"/>
  <c r="W12" i="1"/>
  <c r="X12" i="1" s="1"/>
  <c r="AK23" i="3"/>
  <c r="AL23" i="3" s="1"/>
  <c r="AK31" i="3"/>
  <c r="AL31" i="3" s="1"/>
  <c r="AI24" i="3"/>
  <c r="AK24" i="3" s="1"/>
  <c r="AL24" i="3" s="1"/>
  <c r="AE24" i="3"/>
  <c r="AG24" i="3" s="1"/>
  <c r="AI28" i="3"/>
  <c r="AK28" i="3" s="1"/>
  <c r="AL28" i="3" s="1"/>
  <c r="AE28" i="3"/>
  <c r="AG28" i="3" s="1"/>
  <c r="AI27" i="3"/>
  <c r="AK27" i="3" s="1"/>
  <c r="AL27" i="3" s="1"/>
  <c r="AE27" i="3"/>
  <c r="AG27" i="3" s="1"/>
  <c r="AI26" i="3"/>
  <c r="AK26" i="3" s="1"/>
  <c r="AL26" i="3" s="1"/>
  <c r="AE26" i="3"/>
  <c r="AG26" i="3" s="1"/>
  <c r="AI63" i="3"/>
  <c r="AK63" i="3" s="1"/>
  <c r="AL63" i="3" s="1"/>
  <c r="AE63" i="3"/>
  <c r="AG63" i="3" s="1"/>
  <c r="AI33" i="3"/>
  <c r="AK33" i="3" s="1"/>
  <c r="AL33" i="3" s="1"/>
  <c r="AE33" i="3"/>
  <c r="AG33" i="3" s="1"/>
  <c r="AI52" i="3"/>
  <c r="AK52" i="3" s="1"/>
  <c r="AL52" i="3" s="1"/>
  <c r="AE52" i="3"/>
  <c r="AG52" i="3" s="1"/>
  <c r="AI46" i="3"/>
  <c r="AK46" i="3" s="1"/>
  <c r="AL46" i="3" s="1"/>
  <c r="AE46" i="3"/>
  <c r="AG46" i="3" s="1"/>
  <c r="AI29" i="3"/>
  <c r="AK29" i="3" s="1"/>
  <c r="AL29" i="3" s="1"/>
  <c r="AE29" i="3"/>
  <c r="AG29" i="3" s="1"/>
  <c r="AI22" i="3"/>
  <c r="AK22" i="3" s="1"/>
  <c r="AL22" i="3" s="1"/>
  <c r="AE22" i="3"/>
  <c r="AG22" i="3" s="1"/>
  <c r="AI15" i="3"/>
  <c r="AK15" i="3" s="1"/>
  <c r="AL15" i="3" s="1"/>
  <c r="AE15" i="3"/>
  <c r="AG15" i="3" s="1"/>
  <c r="AI16" i="3"/>
  <c r="AK16" i="3" s="1"/>
  <c r="AL16" i="3" s="1"/>
  <c r="AE16" i="3"/>
  <c r="AG16" i="3" s="1"/>
  <c r="AI30" i="3"/>
  <c r="AK30" i="3" s="1"/>
  <c r="AL30" i="3" s="1"/>
  <c r="AE30" i="3"/>
  <c r="AG30" i="3" s="1"/>
  <c r="AI32" i="3"/>
  <c r="AK32" i="3" s="1"/>
  <c r="AL32" i="3" s="1"/>
  <c r="AE32" i="3"/>
  <c r="AG32" i="3" s="1"/>
  <c r="AI21" i="3"/>
  <c r="AK21" i="3" s="1"/>
  <c r="AL21" i="3" s="1"/>
  <c r="AE21" i="3"/>
  <c r="AG21" i="3" s="1"/>
  <c r="AI47" i="3"/>
  <c r="AK47" i="3" s="1"/>
  <c r="AL47" i="3" s="1"/>
  <c r="AE47" i="3"/>
  <c r="AG47" i="3" s="1"/>
  <c r="AI57" i="3"/>
  <c r="AK57" i="3" s="1"/>
  <c r="AL57" i="3" s="1"/>
  <c r="AE57" i="3"/>
  <c r="AG57" i="3" s="1"/>
  <c r="AI41" i="3"/>
  <c r="AK41" i="3" s="1"/>
  <c r="AL41" i="3" s="1"/>
  <c r="AE41" i="3"/>
  <c r="AG41" i="3" s="1"/>
  <c r="AI59" i="3"/>
  <c r="AK59" i="3" s="1"/>
  <c r="AL59" i="3" s="1"/>
  <c r="AE59" i="3"/>
  <c r="AG59" i="3" s="1"/>
  <c r="AI50" i="3"/>
  <c r="AK50" i="3" s="1"/>
  <c r="AL50" i="3" s="1"/>
  <c r="AE50" i="3"/>
  <c r="AG50" i="3" s="1"/>
  <c r="AI55" i="3"/>
  <c r="AK55" i="3" s="1"/>
  <c r="AL55" i="3" s="1"/>
  <c r="AE55" i="3"/>
  <c r="AG55" i="3" s="1"/>
  <c r="AI48" i="3"/>
  <c r="AK48" i="3" s="1"/>
  <c r="AL48" i="3" s="1"/>
  <c r="AE48" i="3"/>
  <c r="AG48" i="3" s="1"/>
  <c r="AI64" i="3"/>
  <c r="AK64" i="3" s="1"/>
  <c r="AL64" i="3" s="1"/>
  <c r="AE64" i="3"/>
  <c r="AG64" i="3" s="1"/>
  <c r="AI62" i="3"/>
  <c r="AK62" i="3" s="1"/>
  <c r="AL62" i="3" s="1"/>
  <c r="AE62" i="3"/>
  <c r="AG62" i="3" s="1"/>
  <c r="AI58" i="3"/>
  <c r="AK58" i="3" s="1"/>
  <c r="AL58" i="3" s="1"/>
  <c r="AE58" i="3"/>
  <c r="AG58" i="3" s="1"/>
  <c r="AI51" i="3"/>
  <c r="AK51" i="3" s="1"/>
  <c r="AL51" i="3" s="1"/>
  <c r="AE51" i="3"/>
  <c r="AG51" i="3" s="1"/>
  <c r="AI38" i="3"/>
  <c r="AK38" i="3" s="1"/>
  <c r="AL38" i="3" s="1"/>
  <c r="AE38" i="3"/>
  <c r="AG38" i="3" s="1"/>
  <c r="AI45" i="3"/>
  <c r="AK45" i="3" s="1"/>
  <c r="AL45" i="3" s="1"/>
  <c r="AE45" i="3"/>
  <c r="AG45" i="3" s="1"/>
  <c r="AI40" i="3"/>
  <c r="AK40" i="3" s="1"/>
  <c r="AL40" i="3" s="1"/>
  <c r="AE40" i="3"/>
  <c r="AG40" i="3" s="1"/>
  <c r="AI35" i="3"/>
  <c r="AK35" i="3" s="1"/>
  <c r="AL35" i="3" s="1"/>
  <c r="AE35" i="3"/>
  <c r="AG35" i="3" s="1"/>
  <c r="AI36" i="3"/>
  <c r="AK36" i="3" s="1"/>
  <c r="AL36" i="3" s="1"/>
  <c r="AE36" i="3"/>
  <c r="AG36" i="3" s="1"/>
  <c r="AG18" i="3"/>
  <c r="AG23" i="3"/>
  <c r="AG31" i="3"/>
  <c r="AI25" i="3"/>
  <c r="AK25" i="3" s="1"/>
  <c r="AL25" i="3" s="1"/>
  <c r="AE25" i="3"/>
  <c r="AG25" i="3" s="1"/>
  <c r="AI20" i="3"/>
  <c r="AK20" i="3" s="1"/>
  <c r="AL20" i="3" s="1"/>
  <c r="AE20" i="3"/>
  <c r="AG20" i="3" s="1"/>
  <c r="AI19" i="3"/>
  <c r="AK19" i="3" s="1"/>
  <c r="AL19" i="3" s="1"/>
  <c r="AE19" i="3"/>
  <c r="AG19" i="3" s="1"/>
  <c r="AK17" i="3"/>
  <c r="AL17" i="3" s="1"/>
  <c r="AE17" i="3"/>
  <c r="AG17" i="3" s="1"/>
  <c r="AI61" i="3"/>
  <c r="AK61" i="3" s="1"/>
  <c r="AL61" i="3" s="1"/>
  <c r="AE61" i="3"/>
  <c r="AG61" i="3" s="1"/>
  <c r="AI44" i="3"/>
  <c r="AK44" i="3" s="1"/>
  <c r="AL44" i="3" s="1"/>
  <c r="AE44" i="3"/>
  <c r="AG44" i="3" s="1"/>
  <c r="AI37" i="3"/>
  <c r="AK37" i="3" s="1"/>
  <c r="AL37" i="3" s="1"/>
  <c r="AE37" i="3"/>
  <c r="AG37" i="3" s="1"/>
  <c r="AI43" i="3"/>
  <c r="AK43" i="3" s="1"/>
  <c r="AL43" i="3" s="1"/>
  <c r="AE43" i="3"/>
  <c r="AG43" i="3" s="1"/>
  <c r="AI60" i="3"/>
  <c r="AK60" i="3" s="1"/>
  <c r="AL60" i="3" s="1"/>
  <c r="AE60" i="3"/>
  <c r="AG60" i="3" s="1"/>
  <c r="AI56" i="3"/>
  <c r="AK56" i="3" s="1"/>
  <c r="AL56" i="3" s="1"/>
  <c r="AE56" i="3"/>
  <c r="AG56" i="3" s="1"/>
  <c r="AI53" i="3"/>
  <c r="AK53" i="3" s="1"/>
  <c r="AL53" i="3" s="1"/>
  <c r="AE53" i="3"/>
  <c r="AG53" i="3" s="1"/>
  <c r="AI42" i="3"/>
  <c r="AK42" i="3" s="1"/>
  <c r="AL42" i="3" s="1"/>
  <c r="AE42" i="3"/>
  <c r="AG42" i="3" s="1"/>
  <c r="AI34" i="3"/>
  <c r="AK34" i="3" s="1"/>
  <c r="AL34" i="3" s="1"/>
  <c r="AE34" i="3"/>
  <c r="AG34" i="3" s="1"/>
  <c r="AI39" i="3"/>
  <c r="AK39" i="3" s="1"/>
  <c r="AL39" i="3" s="1"/>
  <c r="AE39" i="3"/>
  <c r="AG39" i="3" s="1"/>
  <c r="AI54" i="3"/>
  <c r="AK54" i="3" s="1"/>
  <c r="AL54" i="3" s="1"/>
  <c r="AE54" i="3"/>
  <c r="AG54" i="3" s="1"/>
  <c r="AI49" i="3"/>
  <c r="AK49" i="3" s="1"/>
  <c r="AL49" i="3" s="1"/>
  <c r="AE49" i="3"/>
  <c r="AG49" i="3" s="1"/>
  <c r="M11" i="1"/>
  <c r="O11" i="1" s="1"/>
  <c r="S11" i="1" s="1"/>
  <c r="U11" i="1" s="1"/>
  <c r="N11" i="1"/>
  <c r="P11" i="1" s="1"/>
  <c r="T11" i="1" l="1"/>
  <c r="V11" i="1" s="1"/>
  <c r="W11" i="1" s="1"/>
  <c r="X27" i="1" l="1"/>
  <c r="X11" i="1"/>
  <c r="C14" i="3"/>
  <c r="W14" i="3" l="1"/>
  <c r="Z14" i="3"/>
  <c r="Y14" i="3"/>
  <c r="V14" i="3"/>
  <c r="X14" i="3"/>
  <c r="AA14" i="3" l="1"/>
  <c r="AC14" i="3"/>
  <c r="AB14" i="3"/>
  <c r="AI14" i="3" l="1"/>
  <c r="AE14" i="3"/>
  <c r="AJ14" i="3"/>
  <c r="AF14" i="3"/>
  <c r="AD14" i="3"/>
  <c r="AH14" i="3"/>
  <c r="AG14" i="3" l="1"/>
  <c r="AK14" i="3"/>
  <c r="AL14" i="3" s="1"/>
  <c r="AL65" i="3" s="1"/>
</calcChain>
</file>

<file path=xl/sharedStrings.xml><?xml version="1.0" encoding="utf-8"?>
<sst xmlns="http://schemas.openxmlformats.org/spreadsheetml/2006/main" count="170" uniqueCount="93">
  <si>
    <t>MTBE(1)</t>
  </si>
  <si>
    <t>Methanol(2)</t>
  </si>
  <si>
    <t>A</t>
  </si>
  <si>
    <t>B</t>
  </si>
  <si>
    <t>C</t>
  </si>
  <si>
    <t>Tboil()</t>
  </si>
  <si>
    <t>P[kPa]</t>
  </si>
  <si>
    <t>a</t>
  </si>
  <si>
    <t>T[C]</t>
  </si>
  <si>
    <t>x1</t>
  </si>
  <si>
    <t>x2</t>
  </si>
  <si>
    <r>
      <t>Δgij</t>
    </r>
    <r>
      <rPr>
        <b/>
        <sz val="11"/>
        <color rgb="FF1F1F1F"/>
        <rFont val="Georgia"/>
        <family val="1"/>
      </rPr>
      <t>(J·mol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</si>
  <si>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</si>
  <si>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</t>
  </si>
  <si>
    <t>J.mol^-1.K^-1</t>
  </si>
  <si>
    <t>T[K]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</si>
  <si>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</si>
  <si>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</si>
  <si>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</si>
  <si>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</si>
  <si>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t>lnγ1</t>
  </si>
  <si>
    <t>lnγ2</t>
  </si>
  <si>
    <t>γ1</t>
  </si>
  <si>
    <t>γ2</t>
  </si>
  <si>
    <t>P1</t>
  </si>
  <si>
    <t>P2</t>
  </si>
  <si>
    <t>Psat1</t>
  </si>
  <si>
    <t>Psat2</t>
  </si>
  <si>
    <t>y1</t>
  </si>
  <si>
    <t>y2</t>
  </si>
  <si>
    <t>Methanol</t>
  </si>
  <si>
    <t>MTBE</t>
  </si>
  <si>
    <t>[BMIM][HSO4]</t>
  </si>
  <si>
    <t>Antoine equation parameters (P = Pa)</t>
  </si>
  <si>
    <t>https://pdf.sciencedirectassets.com/271415/1-s2.0-S0378381200X00222/1-s2.0-0378381296030439/main.pdf?X-Amz-Security-Token=IQoJb3JpZ2luX2VjEPr%2F%2F%2F%2F%2F%2F%2F%2F%2F%2FwEaCXVzLWVhc3QtMSJHMEUCIDuVTO06MurBpQVBwTB3cqoAALfQk3lXR%2FNvnGh%2BmG2SAiEA1SM8xWR6d90bZKWC%2F8Smksq2lXWNw9QhawNgltraCbIqswUIMxAFGgwwNTkwMDM1NDY4NjUiDCNN8rTxlRYYOfYuYCqQBfus7VcuNFHMlUX0sk9lD0dOaau9AotLL%2BJzxaJ6%2FysfGP11khbTryEYbq264j5jkVM9JGWs5KM0ZsnBl0uVn%2BcLEUWfIb1jtZg2gaGGVnOleA1%2FmfBeEpzkdFR02lXye9rG4z6Hu%2FwJDGnxieIZnCeyj5nv6zUt063vv2lxPjlT7pj32%2FQ2XCCOs%2BJ02oBVDC4EAnger2PYn1s1ciexgWMD8uCaprZSiDtW3Vmh2qWdZAqdJjOohX5ZL3SEAxp88VakKRIbGctLP3xdoJ2A%2FJo1gvM02MnHAII3DgoRyO4QEFJzFx%2FLFGFM1LDGjE4zim0r4Rv5tmZz80PTAcbXRfIuSin5YLu2kTdC5zpZKrOwd58sNTDJX%2B9lgrB4IA2FP0NLGGktcoIhf1LS0lFkAQsTCylmrupj1pvST7zTn07PUZJw4FmYgvN0ZkVwUJbg%2FJeUlR%2FxPOkXnWZR8USRzKlTaa8cUn7ZJqD3U48QWuIxA%2BeRPcM7GJAKuhglviyewQwM7%2BgjsrRQCezfjwLGE3m7UKT%2FoNaSN%2BKjwfQOdXg3CKkQOHiNS8YSLLN08d9sSuZ%2BKtCBryjNQK9T8OUipOzzWZIeOJIyuLDw96l0hiagRAiFX0d0Hf6sxSS032LUCqWcspajUa4D9TatFrGrXKNYJDYSuJy%2BdjX3QC1mS%2B2P6sspeg9lGMtBDlz69NCar8fM1ygqAIer19HTG4%2FdLz0VvNLc5AuOWaAzCpQXdqjdKPhKTMF1OwHNbkbiZ%2BXUAgIa8JbNFiohFeNheWPJ8x%2FTg4IugAbmXaXrE2yA%2BmDy6zA2ZsgdYjnTQT%2BZYjeBAZ9E31Bd9j29BCQwVF5kFnCcYUMdXm98mpN3oJAZuURCMKHj8r0GOrEBpq6Ls%2BvvqAqGNHONzOK5JY%2FITVyqdk2OHNRHirlYxzyTvm5x6IlM0nqIT0rsDlKnmgOWzpkzL%2BA9557MABCCcwzGuvPnXTjQ7suuLKPu7T%2BACJGF%2FroF%2BUB6G9AYqyxAr6VC9QIZYW8MC95jgL3DLEJkZ8IEU9Pr6HoEuxt3%2BPWSBVURRRStb6xWSR2M4CurMpfvCSSKCRRqPUM6uiHa5K112Evt2pcUTB6yJ0bt26tv&amp;X-Amz-Algorithm=AWS4-HMAC-SHA256&amp;X-Amz-Date=20250224T182409Z&amp;X-Amz-SignedHeaders=host&amp;X-Amz-Expires=300&amp;X-Amz-Credential=ASIAQ3PHCVTYVQQYZ3BO%2F20250224%2Fus-east-1%2Fs3%2Faws4_request&amp;X-Amz-Signature=0139be8f44a7022061724752df24ac4899459a1775956b19b4a9e84c0b0ecf8b&amp;hash=72f0f4f14e9e9ad7f9f9994c891cfc7aa66372c727b4b9a965bd293109797c5b&amp;host=68042c943591013ac2b2430a89b270f6af2c76d8dfd086a07176afe7c76c2c61&amp;pii=0378381296030439&amp;tid=spdf-329a5a41-0811-455d-8dab-85950a4ac5b6&amp;sid=d27a06001145054bf309ba56b476e8d76777gxrqb&amp;type=client&amp;tsoh=d3d3LnNjaWVuY2VkaXJlY3QuY29t&amp;rh=d3d3LnNjaWVuY2VkaXJlY3QuY29t&amp;ua=1d0e5657595f580105&amp;rr=91717dad28cf6e91&amp;cc=sk</t>
  </si>
  <si>
    <t>t</t>
  </si>
  <si>
    <t>T</t>
  </si>
  <si>
    <t>xA</t>
  </si>
  <si>
    <t>xB</t>
  </si>
  <si>
    <t>xC</t>
  </si>
  <si>
    <t>PA0</t>
  </si>
  <si>
    <t>PB0</t>
  </si>
  <si>
    <t>PC0</t>
  </si>
  <si>
    <t>https://onlinelibrary.wiley.com/doi/epdf/10.1002/1521-4125%2820020709%2925%3A7%3C729%3A%3AAID-CEAT729%3E3.0.CO%3B2-B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</si>
  <si>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</si>
  <si>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</si>
  <si>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</si>
  <si>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</si>
  <si>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</si>
  <si>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</si>
  <si>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</si>
  <si>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</si>
  <si>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</si>
  <si>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</si>
  <si>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</si>
  <si>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</si>
  <si>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</si>
  <si>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</si>
  <si>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</si>
  <si>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</si>
  <si>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</si>
  <si>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</si>
  <si>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</si>
  <si>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</si>
  <si>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</si>
  <si>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yA</t>
  </si>
  <si>
    <t>yB</t>
  </si>
  <si>
    <t>yC</t>
  </si>
  <si>
    <t>SUMy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</si>
  <si>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</si>
  <si>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</si>
  <si>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</si>
  <si>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</si>
  <si>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</si>
  <si>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NRTL parameters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</si>
  <si>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</si>
  <si>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</si>
  <si>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t>1–3</t>
  </si>
  <si>
    <t>2–3</t>
  </si>
  <si>
    <t>R [kJ.mol^-1.K^-1]</t>
  </si>
  <si>
    <t>-</t>
  </si>
  <si>
    <t>T/K</t>
  </si>
  <si>
    <t>1MTBE</t>
  </si>
  <si>
    <t>https://www.sciencedirect.com/science/article/pii/0378381296030439</t>
  </si>
  <si>
    <t>PA</t>
  </si>
  <si>
    <t>PB</t>
  </si>
  <si>
    <t>PC</t>
  </si>
  <si>
    <t>P</t>
  </si>
  <si>
    <t>odchylka</t>
  </si>
  <si>
    <t>odch</t>
  </si>
  <si>
    <t>sumyi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</si>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</sst>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1F1F"/>
      <name val="Georgia"/>
      <family val="1"/>
    </font>
    <font>
      <b/>
      <sz val="11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i/>
      <sz val="11"/>
      <color rgb="FF1F1F1F"/>
      <name val="Georgia"/>
      <family val="1"/>
    </font>
    <font>
      <sz val="11"/>
      <color rgb="FF1F1F1F"/>
      <name val="Georgia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0" xfId="0" applyFont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0" fillId="0" borderId="0" xfId="0" applyBorder="1"/>
    <xf numFmtId="0" fontId="8" fillId="0" borderId="3" xfId="0" applyFont="1" applyBorder="1"/>
    <xf numFmtId="0" fontId="8" fillId="0" borderId="0" xfId="0" applyFont="1" applyBorder="1"/>
    <xf numFmtId="0" fontId="8" fillId="0" borderId="0" xfId="0" applyFont="1" applyFill="1" applyBorder="1"/>
    <xf numFmtId="0" fontId="9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0" fontId="12" fillId="0" borderId="8" xfId="0" applyFont="1" applyBorder="1" applyAlignment="1">
      <alignment horizontal="left" vertical="center"/>
    </xf>
    <xf numFmtId="164" fontId="12" fillId="0" borderId="8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164" fontId="12" fillId="0" borderId="9" xfId="0" applyNumberFormat="1" applyFont="1" applyBorder="1" applyAlignment="1">
      <alignment horizontal="left" vertical="center"/>
    </xf>
    <xf numFmtId="0" fontId="0" fillId="0" borderId="9" xfId="0" applyBorder="1" applyAlignment="1"/>
    <xf numFmtId="0" fontId="9" fillId="0" borderId="0" xfId="0" applyFont="1" applyBorder="1" applyAlignment="1"/>
    <xf numFmtId="0" fontId="10" fillId="0" borderId="1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NumberFormat="1"/>
    <xf numFmtId="16" fontId="0" fillId="0" borderId="0" xfId="0" applyNumberFormat="1"/>
    <xf numFmtId="2" fontId="0" fillId="0" borderId="0" xfId="0" applyNumberFormat="1"/>
    <xf numFmtId="0" fontId="1" fillId="0" borderId="2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2" fontId="0" fillId="0" borderId="15" xfId="0" applyNumberFormat="1" applyBorder="1"/>
    <xf numFmtId="2" fontId="0" fillId="0" borderId="0" xfId="0" applyNumberFormat="1" applyBorder="1"/>
    <xf numFmtId="2" fontId="0" fillId="0" borderId="16" xfId="0" applyNumberFormat="1" applyBorder="1"/>
    <xf numFmtId="0" fontId="1" fillId="0" borderId="20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9" fillId="0" borderId="2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15" xfId="0" applyNumberFormat="1" applyBorder="1"/>
    <xf numFmtId="0" fontId="0" fillId="0" borderId="24" xfId="0" applyBorder="1"/>
    <xf numFmtId="0" fontId="0" fillId="0" borderId="25" xfId="0" applyBorder="1"/>
    <xf numFmtId="0" fontId="10" fillId="0" borderId="26" xfId="0" applyFont="1" applyBorder="1" applyAlignment="1">
      <alignment horizontal="center"/>
    </xf>
    <xf numFmtId="16" fontId="0" fillId="0" borderId="11" xfId="0" applyNumberFormat="1" applyBorder="1"/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3" fillId="0" borderId="24" xfId="0" applyFont="1" applyBorder="1"/>
    <xf numFmtId="0" fontId="13" fillId="0" borderId="23" xfId="0" applyFont="1" applyBorder="1"/>
    <xf numFmtId="0" fontId="13" fillId="0" borderId="25" xfId="0" applyFont="1" applyBorder="1"/>
    <xf numFmtId="0" fontId="13" fillId="0" borderId="24" xfId="0" applyNumberFormat="1" applyFont="1" applyBorder="1"/>
    <xf numFmtId="0" fontId="0" fillId="0" borderId="24" xfId="0" applyNumberFormat="1" applyBorder="1"/>
    <xf numFmtId="0" fontId="13" fillId="0" borderId="25" xfId="0" applyNumberFormat="1" applyFont="1" applyBorder="1"/>
    <xf numFmtId="2" fontId="13" fillId="0" borderId="0" xfId="0" applyNumberFormat="1" applyFont="1"/>
    <xf numFmtId="2" fontId="13" fillId="0" borderId="15" xfId="0" applyNumberFormat="1" applyFont="1" applyBorder="1"/>
    <xf numFmtId="2" fontId="13" fillId="0" borderId="0" xfId="0" applyNumberFormat="1" applyFont="1" applyBorder="1"/>
    <xf numFmtId="2" fontId="13" fillId="0" borderId="16" xfId="0" applyNumberFormat="1" applyFont="1" applyBorder="1"/>
    <xf numFmtId="2" fontId="13" fillId="0" borderId="17" xfId="0" applyNumberFormat="1" applyFont="1" applyBorder="1"/>
    <xf numFmtId="2" fontId="13" fillId="0" borderId="18" xfId="0" applyNumberFormat="1" applyFont="1" applyBorder="1"/>
    <xf numFmtId="2" fontId="13" fillId="0" borderId="19" xfId="0" applyNumberFormat="1" applyFont="1" applyBorder="1"/>
    <xf numFmtId="164" fontId="0" fillId="0" borderId="15" xfId="0" applyNumberFormat="1" applyBorder="1"/>
    <xf numFmtId="164" fontId="0" fillId="0" borderId="0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0" fontId="3" fillId="0" borderId="1" xfId="0" applyFont="1" applyBorder="1" applyAlignment="1">
      <alignment horizontal="left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k-SK"/>
              <a:t>y</a:t>
            </a:r>
            <a:r>
              <a:rPr lang="en-US"/>
              <a:t>-x diagram</a:t>
            </a:r>
            <a:endParaRPr lang="sk-SK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'MTBE-Metanol'!$B$29</c:f>
              <c:strCache>
                <c:ptCount val="1"/>
                <c:pt idx="0">
                  <c:v>y</c:v>
                </c:pt>
              </c:strCache>
            </c:strRef>
          </c:tx>
          <c:spPr>
            <a:ln w="3175"/>
          </c:spPr>
          <c:marker>
            <c:symbol val="none"/>
          </c:marker>
          <c:xVal>
            <c:numRef>
              <c:f>'MTBE-Metanol'!$A$30:$A$45</c:f>
              <c:numCache>
                <c:formatCode>General</c:formatCode>
                <c:ptCount val="16"/>
                <c:pt idx="0">
                  <c:v>0</c:v>
                </c:pt>
                <c:pt idx="1">
                  <c:v>6.6666666666666666E-2</c:v>
                </c:pt>
                <c:pt idx="2">
                  <c:v>0.13333333333333333</c:v>
                </c:pt>
                <c:pt idx="3">
                  <c:v>0.2</c:v>
                </c:pt>
                <c:pt idx="4">
                  <c:v>0.26666666666666666</c:v>
                </c:pt>
                <c:pt idx="5">
                  <c:v>0.33333333333333331</c:v>
                </c:pt>
                <c:pt idx="6">
                  <c:v>0.39999999999999997</c:v>
                </c:pt>
                <c:pt idx="7">
                  <c:v>0.46666666666666662</c:v>
                </c:pt>
                <c:pt idx="8">
                  <c:v>0.53333333333333333</c:v>
                </c:pt>
                <c:pt idx="9">
                  <c:v>0.6</c:v>
                </c:pt>
                <c:pt idx="10">
                  <c:v>0.66666666666666663</c:v>
                </c:pt>
                <c:pt idx="11">
                  <c:v>0.73333333333333328</c:v>
                </c:pt>
                <c:pt idx="12">
                  <c:v>0.79999999999999993</c:v>
                </c:pt>
                <c:pt idx="13">
                  <c:v>0.86666666666666659</c:v>
                </c:pt>
                <c:pt idx="14">
                  <c:v>0.93333333333333324</c:v>
                </c:pt>
                <c:pt idx="15">
                  <c:v>0.99999999999999989</c:v>
                </c:pt>
              </c:numCache>
            </c:numRef>
          </c:xVal>
          <c:yVal>
            <c:numRef>
              <c:f>'MTBE-Metanol'!$B$30:$B$45</c:f>
              <c:numCache>
                <c:formatCode>General</c:formatCode>
                <c:ptCount val="16"/>
                <c:pt idx="0">
                  <c:v>0</c:v>
                </c:pt>
                <c:pt idx="1">
                  <c:v>0.22857589652565294</c:v>
                </c:pt>
                <c:pt idx="2">
                  <c:v>0.35403221348012948</c:v>
                </c:pt>
                <c:pt idx="3">
                  <c:v>0.43275274529943036</c:v>
                </c:pt>
                <c:pt idx="4">
                  <c:v>0.48762808775160926</c:v>
                </c:pt>
                <c:pt idx="5">
                  <c:v>0.52937921563115409</c:v>
                </c:pt>
                <c:pt idx="6">
                  <c:v>0.56366883123045775</c:v>
                </c:pt>
                <c:pt idx="7">
                  <c:v>0.59384987022544833</c:v>
                </c:pt>
                <c:pt idx="8">
                  <c:v>0.62218877311017717</c:v>
                </c:pt>
                <c:pt idx="9">
                  <c:v>0.65049701762561929</c:v>
                </c:pt>
                <c:pt idx="10">
                  <c:v>0.68055072334849454</c:v>
                </c:pt>
                <c:pt idx="11">
                  <c:v>0.71449139792490601</c:v>
                </c:pt>
                <c:pt idx="12">
                  <c:v>0.75539542597482923</c:v>
                </c:pt>
                <c:pt idx="13">
                  <c:v>0.80834955628494953</c:v>
                </c:pt>
                <c:pt idx="14">
                  <c:v>0.88292091156144148</c:v>
                </c:pt>
                <c:pt idx="15">
                  <c:v>0.99999945783576472</c:v>
                </c:pt>
              </c:numCache>
            </c:numRef>
          </c:yVal>
          <c:smooth val="1"/>
        </c:ser>
        <c:ser>
          <c:idx val="1"/>
          <c:order val="1"/>
          <c:spPr>
            <a:ln w="3175"/>
          </c:spPr>
          <c:marker>
            <c:symbol val="none"/>
          </c:marker>
          <c:xVal>
            <c:numRef>
              <c:f>'MTBE-Metanol'!$D$30:$D$31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'MTBE-Metanol'!$E$30:$E$31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9760"/>
        <c:axId val="91828224"/>
      </c:scatterChart>
      <c:valAx>
        <c:axId val="91829760"/>
        <c:scaling>
          <c:orientation val="minMax"/>
          <c:max val="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91828224"/>
        <c:crosses val="autoZero"/>
        <c:crossBetween val="midCat"/>
        <c:majorUnit val="0.1"/>
        <c:minorUnit val="2.0000000000000004E-2"/>
      </c:valAx>
      <c:valAx>
        <c:axId val="9182822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829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x-x</c:v>
          </c:tx>
          <c:xVal>
            <c:numRef>
              <c:f>'trojzlozkova zmes'!$C$19:$C$54</c:f>
              <c:numCache>
                <c:formatCode>0.00</c:formatCode>
                <c:ptCount val="36"/>
                <c:pt idx="0">
                  <c:v>9.9999999000000006E-2</c:v>
                </c:pt>
                <c:pt idx="1">
                  <c:v>0.11999999900000002</c:v>
                </c:pt>
                <c:pt idx="2">
                  <c:v>0.13999999900000004</c:v>
                </c:pt>
                <c:pt idx="3">
                  <c:v>0.15999999900000006</c:v>
                </c:pt>
                <c:pt idx="4">
                  <c:v>0.17999999900000008</c:v>
                </c:pt>
                <c:pt idx="5">
                  <c:v>0.19999999899999998</c:v>
                </c:pt>
                <c:pt idx="6">
                  <c:v>0.219999999</c:v>
                </c:pt>
                <c:pt idx="7">
                  <c:v>0.23999999900000002</c:v>
                </c:pt>
                <c:pt idx="8">
                  <c:v>0.25999999900000004</c:v>
                </c:pt>
                <c:pt idx="9">
                  <c:v>0.27999999900000005</c:v>
                </c:pt>
                <c:pt idx="10">
                  <c:v>0.29999999900000007</c:v>
                </c:pt>
                <c:pt idx="11">
                  <c:v>0.31999999899999998</c:v>
                </c:pt>
                <c:pt idx="12">
                  <c:v>0.339999999</c:v>
                </c:pt>
                <c:pt idx="13">
                  <c:v>0.35999999900000001</c:v>
                </c:pt>
                <c:pt idx="14">
                  <c:v>0.37999999900000003</c:v>
                </c:pt>
                <c:pt idx="15">
                  <c:v>0.39999999900000005</c:v>
                </c:pt>
                <c:pt idx="16">
                  <c:v>0.41999999900000007</c:v>
                </c:pt>
                <c:pt idx="17">
                  <c:v>0.43999999899999997</c:v>
                </c:pt>
                <c:pt idx="18">
                  <c:v>0.45999999899999999</c:v>
                </c:pt>
                <c:pt idx="19">
                  <c:v>0.47999999900000001</c:v>
                </c:pt>
                <c:pt idx="20">
                  <c:v>0.49999999900000003</c:v>
                </c:pt>
                <c:pt idx="21">
                  <c:v>0.51999999900000005</c:v>
                </c:pt>
                <c:pt idx="22">
                  <c:v>0.53999999899999995</c:v>
                </c:pt>
                <c:pt idx="23">
                  <c:v>0.55999999899999997</c:v>
                </c:pt>
                <c:pt idx="24">
                  <c:v>0.5799999990000011</c:v>
                </c:pt>
                <c:pt idx="25">
                  <c:v>0.59999999900000101</c:v>
                </c:pt>
                <c:pt idx="26">
                  <c:v>0.61999999900000102</c:v>
                </c:pt>
                <c:pt idx="27">
                  <c:v>0.63999999900000104</c:v>
                </c:pt>
                <c:pt idx="28">
                  <c:v>0.65999999900000095</c:v>
                </c:pt>
                <c:pt idx="29">
                  <c:v>0.67999999900000097</c:v>
                </c:pt>
                <c:pt idx="30">
                  <c:v>0.69999999900000098</c:v>
                </c:pt>
                <c:pt idx="31">
                  <c:v>0.719999999000001</c:v>
                </c:pt>
                <c:pt idx="32">
                  <c:v>0.73999999900000102</c:v>
                </c:pt>
                <c:pt idx="33">
                  <c:v>0.75999999900000104</c:v>
                </c:pt>
                <c:pt idx="34">
                  <c:v>0.77999999900000105</c:v>
                </c:pt>
                <c:pt idx="35">
                  <c:v>0.79999999900000107</c:v>
                </c:pt>
              </c:numCache>
            </c:numRef>
          </c:xVal>
          <c:yVal>
            <c:numRef>
              <c:f>'trojzlozkova zmes'!$C$19:$C$54</c:f>
              <c:numCache>
                <c:formatCode>0.00</c:formatCode>
                <c:ptCount val="36"/>
                <c:pt idx="0">
                  <c:v>9.9999999000000006E-2</c:v>
                </c:pt>
                <c:pt idx="1">
                  <c:v>0.11999999900000002</c:v>
                </c:pt>
                <c:pt idx="2">
                  <c:v>0.13999999900000004</c:v>
                </c:pt>
                <c:pt idx="3">
                  <c:v>0.15999999900000006</c:v>
                </c:pt>
                <c:pt idx="4">
                  <c:v>0.17999999900000008</c:v>
                </c:pt>
                <c:pt idx="5">
                  <c:v>0.19999999899999998</c:v>
                </c:pt>
                <c:pt idx="6">
                  <c:v>0.219999999</c:v>
                </c:pt>
                <c:pt idx="7">
                  <c:v>0.23999999900000002</c:v>
                </c:pt>
                <c:pt idx="8">
                  <c:v>0.25999999900000004</c:v>
                </c:pt>
                <c:pt idx="9">
                  <c:v>0.27999999900000005</c:v>
                </c:pt>
                <c:pt idx="10">
                  <c:v>0.29999999900000007</c:v>
                </c:pt>
                <c:pt idx="11">
                  <c:v>0.31999999899999998</c:v>
                </c:pt>
                <c:pt idx="12">
                  <c:v>0.339999999</c:v>
                </c:pt>
                <c:pt idx="13">
                  <c:v>0.35999999900000001</c:v>
                </c:pt>
                <c:pt idx="14">
                  <c:v>0.37999999900000003</c:v>
                </c:pt>
                <c:pt idx="15">
                  <c:v>0.39999999900000005</c:v>
                </c:pt>
                <c:pt idx="16">
                  <c:v>0.41999999900000007</c:v>
                </c:pt>
                <c:pt idx="17">
                  <c:v>0.43999999899999997</c:v>
                </c:pt>
                <c:pt idx="18">
                  <c:v>0.45999999899999999</c:v>
                </c:pt>
                <c:pt idx="19">
                  <c:v>0.47999999900000001</c:v>
                </c:pt>
                <c:pt idx="20">
                  <c:v>0.49999999900000003</c:v>
                </c:pt>
                <c:pt idx="21">
                  <c:v>0.51999999900000005</c:v>
                </c:pt>
                <c:pt idx="22">
                  <c:v>0.53999999899999995</c:v>
                </c:pt>
                <c:pt idx="23">
                  <c:v>0.55999999899999997</c:v>
                </c:pt>
                <c:pt idx="24">
                  <c:v>0.5799999990000011</c:v>
                </c:pt>
                <c:pt idx="25">
                  <c:v>0.59999999900000101</c:v>
                </c:pt>
                <c:pt idx="26">
                  <c:v>0.61999999900000102</c:v>
                </c:pt>
                <c:pt idx="27">
                  <c:v>0.63999999900000104</c:v>
                </c:pt>
                <c:pt idx="28">
                  <c:v>0.65999999900000095</c:v>
                </c:pt>
                <c:pt idx="29">
                  <c:v>0.67999999900000097</c:v>
                </c:pt>
                <c:pt idx="30">
                  <c:v>0.69999999900000098</c:v>
                </c:pt>
                <c:pt idx="31">
                  <c:v>0.719999999000001</c:v>
                </c:pt>
                <c:pt idx="32">
                  <c:v>0.73999999900000102</c:v>
                </c:pt>
                <c:pt idx="33">
                  <c:v>0.75999999900000104</c:v>
                </c:pt>
                <c:pt idx="34">
                  <c:v>0.77999999900000105</c:v>
                </c:pt>
                <c:pt idx="35">
                  <c:v>0.79999999900000107</c:v>
                </c:pt>
              </c:numCache>
            </c:numRef>
          </c:yVal>
          <c:smooth val="1"/>
        </c:ser>
        <c:ser>
          <c:idx val="1"/>
          <c:order val="1"/>
          <c:tx>
            <c:v>y-x</c:v>
          </c:tx>
          <c:xVal>
            <c:numRef>
              <c:f>'trojzlozkova zmes'!$C$19:$C$54</c:f>
              <c:numCache>
                <c:formatCode>0.00</c:formatCode>
                <c:ptCount val="36"/>
                <c:pt idx="0">
                  <c:v>9.9999999000000006E-2</c:v>
                </c:pt>
                <c:pt idx="1">
                  <c:v>0.11999999900000002</c:v>
                </c:pt>
                <c:pt idx="2">
                  <c:v>0.13999999900000004</c:v>
                </c:pt>
                <c:pt idx="3">
                  <c:v>0.15999999900000006</c:v>
                </c:pt>
                <c:pt idx="4">
                  <c:v>0.17999999900000008</c:v>
                </c:pt>
                <c:pt idx="5">
                  <c:v>0.19999999899999998</c:v>
                </c:pt>
                <c:pt idx="6">
                  <c:v>0.219999999</c:v>
                </c:pt>
                <c:pt idx="7">
                  <c:v>0.23999999900000002</c:v>
                </c:pt>
                <c:pt idx="8">
                  <c:v>0.25999999900000004</c:v>
                </c:pt>
                <c:pt idx="9">
                  <c:v>0.27999999900000005</c:v>
                </c:pt>
                <c:pt idx="10">
                  <c:v>0.29999999900000007</c:v>
                </c:pt>
                <c:pt idx="11">
                  <c:v>0.31999999899999998</c:v>
                </c:pt>
                <c:pt idx="12">
                  <c:v>0.339999999</c:v>
                </c:pt>
                <c:pt idx="13">
                  <c:v>0.35999999900000001</c:v>
                </c:pt>
                <c:pt idx="14">
                  <c:v>0.37999999900000003</c:v>
                </c:pt>
                <c:pt idx="15">
                  <c:v>0.39999999900000005</c:v>
                </c:pt>
                <c:pt idx="16">
                  <c:v>0.41999999900000007</c:v>
                </c:pt>
                <c:pt idx="17">
                  <c:v>0.43999999899999997</c:v>
                </c:pt>
                <c:pt idx="18">
                  <c:v>0.45999999899999999</c:v>
                </c:pt>
                <c:pt idx="19">
                  <c:v>0.47999999900000001</c:v>
                </c:pt>
                <c:pt idx="20">
                  <c:v>0.49999999900000003</c:v>
                </c:pt>
                <c:pt idx="21">
                  <c:v>0.51999999900000005</c:v>
                </c:pt>
                <c:pt idx="22">
                  <c:v>0.53999999899999995</c:v>
                </c:pt>
                <c:pt idx="23">
                  <c:v>0.55999999899999997</c:v>
                </c:pt>
                <c:pt idx="24">
                  <c:v>0.5799999990000011</c:v>
                </c:pt>
                <c:pt idx="25">
                  <c:v>0.59999999900000101</c:v>
                </c:pt>
                <c:pt idx="26">
                  <c:v>0.61999999900000102</c:v>
                </c:pt>
                <c:pt idx="27">
                  <c:v>0.63999999900000104</c:v>
                </c:pt>
                <c:pt idx="28">
                  <c:v>0.65999999900000095</c:v>
                </c:pt>
                <c:pt idx="29">
                  <c:v>0.67999999900000097</c:v>
                </c:pt>
                <c:pt idx="30">
                  <c:v>0.69999999900000098</c:v>
                </c:pt>
                <c:pt idx="31">
                  <c:v>0.719999999000001</c:v>
                </c:pt>
                <c:pt idx="32">
                  <c:v>0.73999999900000102</c:v>
                </c:pt>
                <c:pt idx="33">
                  <c:v>0.75999999900000104</c:v>
                </c:pt>
                <c:pt idx="34">
                  <c:v>0.77999999900000105</c:v>
                </c:pt>
                <c:pt idx="35">
                  <c:v>0.79999999900000107</c:v>
                </c:pt>
              </c:numCache>
            </c:numRef>
          </c:xVal>
          <c:yVal>
            <c:numRef>
              <c:f>'trojzlozkova zmes'!$AH$19:$AH$54</c:f>
              <c:numCache>
                <c:formatCode>0.0000</c:formatCode>
                <c:ptCount val="36"/>
                <c:pt idx="0">
                  <c:v>0.97716877861784768</c:v>
                </c:pt>
                <c:pt idx="1">
                  <c:v>0.87891878581739458</c:v>
                </c:pt>
                <c:pt idx="2">
                  <c:v>0.75967680257156156</c:v>
                </c:pt>
                <c:pt idx="3">
                  <c:v>0.66940487386955505</c:v>
                </c:pt>
                <c:pt idx="4">
                  <c:v>0.61112715069513301</c:v>
                </c:pt>
                <c:pt idx="5">
                  <c:v>0.57535651747205907</c:v>
                </c:pt>
                <c:pt idx="6">
                  <c:v>0.55429184256794461</c:v>
                </c:pt>
                <c:pt idx="7">
                  <c:v>0.542569692798335</c:v>
                </c:pt>
                <c:pt idx="8">
                  <c:v>0.53642698606237527</c:v>
                </c:pt>
                <c:pt idx="9">
                  <c:v>0.53395224159802845</c:v>
                </c:pt>
                <c:pt idx="10">
                  <c:v>0.53343997606234839</c:v>
                </c:pt>
                <c:pt idx="11">
                  <c:v>0.53382269281502859</c:v>
                </c:pt>
                <c:pt idx="12">
                  <c:v>0.53421148866290669</c:v>
                </c:pt>
                <c:pt idx="13">
                  <c:v>0.53407098660281116</c:v>
                </c:pt>
                <c:pt idx="14">
                  <c:v>0.53268802177827934</c:v>
                </c:pt>
                <c:pt idx="15">
                  <c:v>0.52940185863650091</c:v>
                </c:pt>
                <c:pt idx="16">
                  <c:v>0.52388686042663668</c:v>
                </c:pt>
                <c:pt idx="17">
                  <c:v>0.51531582313540636</c:v>
                </c:pt>
                <c:pt idx="18">
                  <c:v>0.50325543624043301</c:v>
                </c:pt>
                <c:pt idx="19">
                  <c:v>0.48676785268860795</c:v>
                </c:pt>
                <c:pt idx="20">
                  <c:v>0.465210074158735</c:v>
                </c:pt>
                <c:pt idx="21">
                  <c:v>0.43764914473957967</c:v>
                </c:pt>
                <c:pt idx="22">
                  <c:v>0.40339888275119351</c:v>
                </c:pt>
                <c:pt idx="23">
                  <c:v>0.36191328804235584</c:v>
                </c:pt>
                <c:pt idx="24">
                  <c:v>0.31320929903731731</c:v>
                </c:pt>
                <c:pt idx="25">
                  <c:v>0.25840921433960118</c:v>
                </c:pt>
                <c:pt idx="26">
                  <c:v>0.20008598559266413</c:v>
                </c:pt>
                <c:pt idx="27">
                  <c:v>0.14247440721190335</c:v>
                </c:pt>
                <c:pt idx="28">
                  <c:v>9.0996580787987238E-2</c:v>
                </c:pt>
                <c:pt idx="29">
                  <c:v>5.053528089271065E-2</c:v>
                </c:pt>
                <c:pt idx="30">
                  <c:v>2.3459157883776217E-2</c:v>
                </c:pt>
                <c:pt idx="31">
                  <c:v>8.6338805613827771E-3</c:v>
                </c:pt>
                <c:pt idx="32">
                  <c:v>2.3320133288795924E-3</c:v>
                </c:pt>
                <c:pt idx="33">
                  <c:v>4.0898293780112209E-4</c:v>
                </c:pt>
                <c:pt idx="34">
                  <c:v>3.7539512141355835E-5</c:v>
                </c:pt>
                <c:pt idx="35">
                  <c:v>1.142333068930742E-6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40864"/>
        <c:axId val="89546752"/>
      </c:scatterChart>
      <c:valAx>
        <c:axId val="8954086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89546752"/>
        <c:crosses val="autoZero"/>
        <c:crossBetween val="midCat"/>
      </c:valAx>
      <c:valAx>
        <c:axId val="895467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95408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x-y diagramm</a:t>
            </a:r>
          </a:p>
        </c:rich>
      </c:tx>
      <c:layout/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EXP.udaje!$I$2:$I$3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EXP.udaje!$J$2:$J$3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EXP.udaje!$B$2:$B$32</c:f>
              <c:numCache>
                <c:formatCode>General</c:formatCode>
                <c:ptCount val="31"/>
                <c:pt idx="0">
                  <c:v>0</c:v>
                </c:pt>
                <c:pt idx="1">
                  <c:v>6.3E-3</c:v>
                </c:pt>
                <c:pt idx="2">
                  <c:v>1.9599999999999999E-2</c:v>
                </c:pt>
                <c:pt idx="3">
                  <c:v>3.1899999999999998E-2</c:v>
                </c:pt>
                <c:pt idx="4">
                  <c:v>3.8100000000000002E-2</c:v>
                </c:pt>
                <c:pt idx="5">
                  <c:v>5.6399999999999999E-2</c:v>
                </c:pt>
                <c:pt idx="6">
                  <c:v>5.96E-2</c:v>
                </c:pt>
                <c:pt idx="7">
                  <c:v>6.3100000000000003E-2</c:v>
                </c:pt>
                <c:pt idx="8">
                  <c:v>7.7899999999999997E-2</c:v>
                </c:pt>
                <c:pt idx="9">
                  <c:v>8.7599999999999997E-2</c:v>
                </c:pt>
                <c:pt idx="10">
                  <c:v>0.1037</c:v>
                </c:pt>
                <c:pt idx="11">
                  <c:v>0.13020000000000001</c:v>
                </c:pt>
                <c:pt idx="12">
                  <c:v>0.13639999999999999</c:v>
                </c:pt>
                <c:pt idx="13">
                  <c:v>0.17030000000000001</c:v>
                </c:pt>
                <c:pt idx="14">
                  <c:v>0.20200000000000001</c:v>
                </c:pt>
                <c:pt idx="15">
                  <c:v>0.23699999999999999</c:v>
                </c:pt>
                <c:pt idx="16">
                  <c:v>0.2611</c:v>
                </c:pt>
                <c:pt idx="17">
                  <c:v>0.30359999999999998</c:v>
                </c:pt>
                <c:pt idx="18">
                  <c:v>0.34310000000000002</c:v>
                </c:pt>
                <c:pt idx="19">
                  <c:v>0.37769999999999998</c:v>
                </c:pt>
                <c:pt idx="20">
                  <c:v>0.41320000000000001</c:v>
                </c:pt>
                <c:pt idx="21">
                  <c:v>0.44600000000000001</c:v>
                </c:pt>
                <c:pt idx="22">
                  <c:v>0.55900000000000005</c:v>
                </c:pt>
                <c:pt idx="23">
                  <c:v>0.60970000000000002</c:v>
                </c:pt>
                <c:pt idx="24">
                  <c:v>0.66390000000000005</c:v>
                </c:pt>
                <c:pt idx="25">
                  <c:v>0.7258</c:v>
                </c:pt>
                <c:pt idx="26">
                  <c:v>0.78539999999999999</c:v>
                </c:pt>
                <c:pt idx="27">
                  <c:v>0.82720000000000005</c:v>
                </c:pt>
                <c:pt idx="28">
                  <c:v>0.87460000000000004</c:v>
                </c:pt>
                <c:pt idx="29">
                  <c:v>0.95330000000000004</c:v>
                </c:pt>
                <c:pt idx="30">
                  <c:v>1</c:v>
                </c:pt>
              </c:numCache>
            </c:numRef>
          </c:xVal>
          <c:yVal>
            <c:numRef>
              <c:f>EXP.udaje!$D$2:$D$32</c:f>
              <c:numCache>
                <c:formatCode>General</c:formatCode>
                <c:ptCount val="31"/>
                <c:pt idx="0">
                  <c:v>0</c:v>
                </c:pt>
                <c:pt idx="1">
                  <c:v>3.1899999999999998E-2</c:v>
                </c:pt>
                <c:pt idx="2">
                  <c:v>7.6300000000000007E-2</c:v>
                </c:pt>
                <c:pt idx="3">
                  <c:v>0.1116</c:v>
                </c:pt>
                <c:pt idx="4">
                  <c:v>0.13589999999999999</c:v>
                </c:pt>
                <c:pt idx="5">
                  <c:v>0.18179999999999999</c:v>
                </c:pt>
                <c:pt idx="6">
                  <c:v>0.19409999999999999</c:v>
                </c:pt>
                <c:pt idx="7">
                  <c:v>0.20449999999999999</c:v>
                </c:pt>
                <c:pt idx="8">
                  <c:v>0.2364</c:v>
                </c:pt>
                <c:pt idx="9">
                  <c:v>0.25790000000000002</c:v>
                </c:pt>
                <c:pt idx="10">
                  <c:v>0.28720000000000001</c:v>
                </c:pt>
                <c:pt idx="11">
                  <c:v>0.33229999999999998</c:v>
                </c:pt>
                <c:pt idx="12">
                  <c:v>0.34189999999999998</c:v>
                </c:pt>
                <c:pt idx="13">
                  <c:v>0.37940000000000002</c:v>
                </c:pt>
                <c:pt idx="14">
                  <c:v>0.42499999999999999</c:v>
                </c:pt>
                <c:pt idx="15">
                  <c:v>0.45669999999999999</c:v>
                </c:pt>
                <c:pt idx="16">
                  <c:v>0.47739999999999999</c:v>
                </c:pt>
                <c:pt idx="17">
                  <c:v>0.5091</c:v>
                </c:pt>
                <c:pt idx="18">
                  <c:v>0.53349999999999997</c:v>
                </c:pt>
                <c:pt idx="19">
                  <c:v>0.54910000000000003</c:v>
                </c:pt>
                <c:pt idx="20">
                  <c:v>0.57289999999999996</c:v>
                </c:pt>
                <c:pt idx="21">
                  <c:v>0.58640000000000003</c:v>
                </c:pt>
                <c:pt idx="22">
                  <c:v>0.63600000000000001</c:v>
                </c:pt>
                <c:pt idx="23">
                  <c:v>0.65839999999999999</c:v>
                </c:pt>
                <c:pt idx="24">
                  <c:v>0.68220000000000003</c:v>
                </c:pt>
                <c:pt idx="25">
                  <c:v>0.71499999999999997</c:v>
                </c:pt>
                <c:pt idx="26">
                  <c:v>0.749</c:v>
                </c:pt>
                <c:pt idx="27">
                  <c:v>0.77739999999999998</c:v>
                </c:pt>
                <c:pt idx="28">
                  <c:v>0.81769999999999998</c:v>
                </c:pt>
                <c:pt idx="29">
                  <c:v>0.91320000000000001</c:v>
                </c:pt>
                <c:pt idx="3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80256"/>
        <c:axId val="92481792"/>
      </c:scatterChart>
      <c:valAx>
        <c:axId val="92480256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92481792"/>
        <c:crosses val="autoZero"/>
        <c:crossBetween val="midCat"/>
      </c:valAx>
      <c:valAx>
        <c:axId val="9248179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2480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P-x</c:v>
          </c:tx>
          <c:xVal>
            <c:numRef>
              <c:f>tlaky!$C$14:$C$64</c:f>
              <c:numCache>
                <c:formatCode>0.0000</c:formatCode>
                <c:ptCount val="51"/>
                <c:pt idx="0">
                  <c:v>9.9999900000002917E-4</c:v>
                </c:pt>
                <c:pt idx="1">
                  <c:v>1.9999999000000046E-2</c:v>
                </c:pt>
                <c:pt idx="2">
                  <c:v>3.9999999000000064E-2</c:v>
                </c:pt>
                <c:pt idx="3">
                  <c:v>5.9999999000000082E-2</c:v>
                </c:pt>
                <c:pt idx="4">
                  <c:v>7.9999998999999988E-2</c:v>
                </c:pt>
                <c:pt idx="5">
                  <c:v>9.9999999000000006E-2</c:v>
                </c:pt>
                <c:pt idx="6">
                  <c:v>0.11999999900000002</c:v>
                </c:pt>
                <c:pt idx="7">
                  <c:v>0.13999999900000004</c:v>
                </c:pt>
                <c:pt idx="8">
                  <c:v>0.15999999900000006</c:v>
                </c:pt>
                <c:pt idx="9">
                  <c:v>0.17999999900000008</c:v>
                </c:pt>
                <c:pt idx="10">
                  <c:v>0.19999999899999998</c:v>
                </c:pt>
                <c:pt idx="11">
                  <c:v>0.219999999</c:v>
                </c:pt>
                <c:pt idx="12">
                  <c:v>0.23999999900000002</c:v>
                </c:pt>
                <c:pt idx="13">
                  <c:v>0.25999999900000004</c:v>
                </c:pt>
                <c:pt idx="14">
                  <c:v>0.27999999900000005</c:v>
                </c:pt>
                <c:pt idx="15">
                  <c:v>0.29999999900000007</c:v>
                </c:pt>
                <c:pt idx="16">
                  <c:v>0.31999999899999998</c:v>
                </c:pt>
                <c:pt idx="17">
                  <c:v>0.339999999</c:v>
                </c:pt>
                <c:pt idx="18">
                  <c:v>0.35999999900000001</c:v>
                </c:pt>
                <c:pt idx="19">
                  <c:v>0.37999999900000003</c:v>
                </c:pt>
                <c:pt idx="20">
                  <c:v>0.39999999900000005</c:v>
                </c:pt>
                <c:pt idx="21">
                  <c:v>0.41999999900000007</c:v>
                </c:pt>
                <c:pt idx="22">
                  <c:v>0.43999999899999997</c:v>
                </c:pt>
                <c:pt idx="23">
                  <c:v>0.45999999899999999</c:v>
                </c:pt>
                <c:pt idx="24">
                  <c:v>0.47999999900000001</c:v>
                </c:pt>
                <c:pt idx="25">
                  <c:v>0.49999999900000003</c:v>
                </c:pt>
                <c:pt idx="26">
                  <c:v>0.51999999900000005</c:v>
                </c:pt>
                <c:pt idx="27">
                  <c:v>0.53999999899999995</c:v>
                </c:pt>
                <c:pt idx="28">
                  <c:v>0.55999999899999997</c:v>
                </c:pt>
                <c:pt idx="29">
                  <c:v>0.5799999990000011</c:v>
                </c:pt>
                <c:pt idx="30">
                  <c:v>0.59999999900000101</c:v>
                </c:pt>
                <c:pt idx="31">
                  <c:v>0.61999999900000102</c:v>
                </c:pt>
                <c:pt idx="32">
                  <c:v>0.63999999900000104</c:v>
                </c:pt>
                <c:pt idx="33">
                  <c:v>0.65999999900000095</c:v>
                </c:pt>
                <c:pt idx="34">
                  <c:v>0.67999999900000097</c:v>
                </c:pt>
                <c:pt idx="35">
                  <c:v>0.69999999900000098</c:v>
                </c:pt>
                <c:pt idx="36">
                  <c:v>0.719999999000001</c:v>
                </c:pt>
                <c:pt idx="37">
                  <c:v>0.73999999900000102</c:v>
                </c:pt>
                <c:pt idx="38">
                  <c:v>0.75999999900000104</c:v>
                </c:pt>
                <c:pt idx="39">
                  <c:v>0.77999999900000105</c:v>
                </c:pt>
                <c:pt idx="40">
                  <c:v>0.79999999900000107</c:v>
                </c:pt>
                <c:pt idx="41">
                  <c:v>0.81999999900000109</c:v>
                </c:pt>
                <c:pt idx="42">
                  <c:v>0.839999999000001</c:v>
                </c:pt>
                <c:pt idx="43">
                  <c:v>0.85999999900000101</c:v>
                </c:pt>
                <c:pt idx="44">
                  <c:v>0.87999999900000103</c:v>
                </c:pt>
                <c:pt idx="45">
                  <c:v>0.89999999900000105</c:v>
                </c:pt>
                <c:pt idx="46">
                  <c:v>0.91999999900000107</c:v>
                </c:pt>
                <c:pt idx="47">
                  <c:v>0.93999999900000097</c:v>
                </c:pt>
                <c:pt idx="48">
                  <c:v>0.95999999900000099</c:v>
                </c:pt>
                <c:pt idx="49">
                  <c:v>0.97999999900000101</c:v>
                </c:pt>
                <c:pt idx="50">
                  <c:v>0.99999999900000003</c:v>
                </c:pt>
              </c:numCache>
            </c:numRef>
          </c:xVal>
          <c:yVal>
            <c:numRef>
              <c:f>tlaky!$AG$14:$AG$64</c:f>
              <c:numCache>
                <c:formatCode>0.0000</c:formatCode>
                <c:ptCount val="51"/>
                <c:pt idx="1">
                  <c:v>1.5401355596405395E-39</c:v>
                </c:pt>
                <c:pt idx="2">
                  <c:v>4.1620919300811803E-8</c:v>
                </c:pt>
                <c:pt idx="3">
                  <c:v>9.7895704195473231E-3</c:v>
                </c:pt>
                <c:pt idx="4">
                  <c:v>0.55568384720674979</c:v>
                </c:pt>
                <c:pt idx="5">
                  <c:v>3.3527828293072908</c:v>
                </c:pt>
                <c:pt idx="6">
                  <c:v>9.3149744775815417</c:v>
                </c:pt>
                <c:pt idx="7">
                  <c:v>18.364637249211949</c:v>
                </c:pt>
                <c:pt idx="8">
                  <c:v>29.4331270672591</c:v>
                </c:pt>
                <c:pt idx="9">
                  <c:v>40.968082624399337</c:v>
                </c:pt>
                <c:pt idx="10">
                  <c:v>51.752709973310871</c:v>
                </c:pt>
                <c:pt idx="11">
                  <c:v>61.153800320360077</c:v>
                </c:pt>
                <c:pt idx="12">
                  <c:v>68.982615345269494</c:v>
                </c:pt>
                <c:pt idx="13">
                  <c:v>75.29209248490848</c:v>
                </c:pt>
                <c:pt idx="14">
                  <c:v>80.23166755228192</c:v>
                </c:pt>
                <c:pt idx="15">
                  <c:v>83.966963816857515</c:v>
                </c:pt>
                <c:pt idx="16">
                  <c:v>86.642906015847331</c:v>
                </c:pt>
                <c:pt idx="17">
                  <c:v>88.370798789040521</c:v>
                </c:pt>
                <c:pt idx="18">
                  <c:v>89.227203609362931</c:v>
                </c:pt>
                <c:pt idx="19">
                  <c:v>89.258143055253129</c:v>
                </c:pt>
                <c:pt idx="20">
                  <c:v>88.485587478351633</c:v>
                </c:pt>
                <c:pt idx="21">
                  <c:v>86.915012244135795</c:v>
                </c:pt>
                <c:pt idx="22">
                  <c:v>84.543706331963847</c:v>
                </c:pt>
                <c:pt idx="23">
                  <c:v>81.369868955753205</c:v>
                </c:pt>
                <c:pt idx="24">
                  <c:v>77.402550571715011</c:v>
                </c:pt>
                <c:pt idx="25">
                  <c:v>72.672250934627115</c:v>
                </c:pt>
                <c:pt idx="26">
                  <c:v>67.241486969409678</c:v>
                </c:pt>
                <c:pt idx="27">
                  <c:v>61.213887948710607</c:v>
                </c:pt>
                <c:pt idx="28">
                  <c:v>54.739436362511924</c:v>
                </c:pt>
                <c:pt idx="29">
                  <c:v>48.012603815454376</c:v>
                </c:pt>
                <c:pt idx="30">
                  <c:v>41.259903217464078</c:v>
                </c:pt>
                <c:pt idx="31">
                  <c:v>34.714750390852267</c:v>
                </c:pt>
                <c:pt idx="32">
                  <c:v>28.581622668945336</c:v>
                </c:pt>
                <c:pt idx="33">
                  <c:v>22.998697801834609</c:v>
                </c:pt>
                <c:pt idx="34">
                  <c:v>18.016246185432731</c:v>
                </c:pt>
                <c:pt idx="35">
                  <c:v>13.610333846242398</c:v>
                </c:pt>
                <c:pt idx="36">
                  <c:v>9.7381460998056131</c:v>
                </c:pt>
                <c:pt idx="37">
                  <c:v>6.4095353350842785</c:v>
                </c:pt>
                <c:pt idx="38">
                  <c:v>3.718586702483563</c:v>
                </c:pt>
                <c:pt idx="39">
                  <c:v>1.7885859097086017</c:v>
                </c:pt>
                <c:pt idx="40">
                  <c:v>0.65067932677406826</c:v>
                </c:pt>
                <c:pt idx="41">
                  <c:v>0.15463618591821041</c:v>
                </c:pt>
                <c:pt idx="42">
                  <c:v>1.8719514150684222E-2</c:v>
                </c:pt>
                <c:pt idx="43">
                  <c:v>7.3647272606308753E-4</c:v>
                </c:pt>
                <c:pt idx="44">
                  <c:v>3.9277060263626861E-6</c:v>
                </c:pt>
                <c:pt idx="45">
                  <c:v>4.3522618369972504E-10</c:v>
                </c:pt>
                <c:pt idx="46">
                  <c:v>1.0071253730800343E-17</c:v>
                </c:pt>
                <c:pt idx="47">
                  <c:v>5.1681760489659625E-35</c:v>
                </c:pt>
                <c:pt idx="48">
                  <c:v>8.9608742003609976E-87</c:v>
                </c:pt>
              </c:numCache>
            </c:numRef>
          </c:yVal>
          <c:smooth val="1"/>
        </c:ser>
        <c:ser>
          <c:idx val="1"/>
          <c:order val="1"/>
          <c:tx>
            <c:v>P-y</c:v>
          </c:tx>
          <c:xVal>
            <c:numRef>
              <c:f>tlaky!$AH$14:$AH$64</c:f>
              <c:numCache>
                <c:formatCode>General</c:formatCode>
                <c:ptCount val="51"/>
                <c:pt idx="1">
                  <c:v>1</c:v>
                </c:pt>
                <c:pt idx="2">
                  <c:v>0.99999999999996547</c:v>
                </c:pt>
                <c:pt idx="3">
                  <c:v>0.99999500257647067</c:v>
                </c:pt>
                <c:pt idx="4">
                  <c:v>0.99736514540162557</c:v>
                </c:pt>
                <c:pt idx="5">
                  <c:v>0.96084015907922482</c:v>
                </c:pt>
                <c:pt idx="6">
                  <c:v>0.86029453417067892</c:v>
                </c:pt>
                <c:pt idx="7">
                  <c:v>0.74172964634048799</c:v>
                </c:pt>
                <c:pt idx="8">
                  <c:v>0.64815828085555083</c:v>
                </c:pt>
                <c:pt idx="9">
                  <c:v>0.58533943305657565</c:v>
                </c:pt>
                <c:pt idx="10">
                  <c:v>0.54577129993885587</c:v>
                </c:pt>
                <c:pt idx="11">
                  <c:v>0.52177412471443074</c:v>
                </c:pt>
                <c:pt idx="12">
                  <c:v>0.50788886607498507</c:v>
                </c:pt>
                <c:pt idx="13">
                  <c:v>0.50050928087889679</c:v>
                </c:pt>
                <c:pt idx="14">
                  <c:v>0.49724908895479464</c:v>
                </c:pt>
                <c:pt idx="15">
                  <c:v>0.4964831685059356</c:v>
                </c:pt>
                <c:pt idx="16">
                  <c:v>0.4970578879728047</c:v>
                </c:pt>
                <c:pt idx="17">
                  <c:v>0.49811214756587679</c:v>
                </c:pt>
                <c:pt idx="18">
                  <c:v>0.49896463246679917</c:v>
                </c:pt>
                <c:pt idx="19">
                  <c:v>0.49903973671983354</c:v>
                </c:pt>
                <c:pt idx="20">
                  <c:v>0.49781592302862565</c:v>
                </c:pt>
                <c:pt idx="21">
                  <c:v>0.49478702164618443</c:v>
                </c:pt>
                <c:pt idx="22">
                  <c:v>0.48943101503014319</c:v>
                </c:pt>
                <c:pt idx="23">
                  <c:v>0.48118359471210509</c:v>
                </c:pt>
                <c:pt idx="24">
                  <c:v>0.46941624752948702</c:v>
                </c:pt>
                <c:pt idx="25">
                  <c:v>0.45342180802287918</c:v>
                </c:pt>
                <c:pt idx="26">
                  <c:v>0.43241548191297952</c:v>
                </c:pt>
                <c:pt idx="27">
                  <c:v>0.40556775476226015</c:v>
                </c:pt>
                <c:pt idx="28">
                  <c:v>0.37209846754346382</c:v>
                </c:pt>
                <c:pt idx="29">
                  <c:v>0.33147679273973424</c:v>
                </c:pt>
                <c:pt idx="30">
                  <c:v>0.28377772577922444</c:v>
                </c:pt>
                <c:pt idx="31">
                  <c:v>0.23020653268122782</c:v>
                </c:pt>
                <c:pt idx="32">
                  <c:v>0.17365524170246985</c:v>
                </c:pt>
                <c:pt idx="33">
                  <c:v>0.11887201835238234</c:v>
                </c:pt>
                <c:pt idx="34">
                  <c:v>7.1612251288399889E-2</c:v>
                </c:pt>
                <c:pt idx="35">
                  <c:v>3.6559301271029659E-2</c:v>
                </c:pt>
                <c:pt idx="36">
                  <c:v>1.5079440442696742E-2</c:v>
                </c:pt>
                <c:pt idx="37">
                  <c:v>4.7118299079852172E-3</c:v>
                </c:pt>
                <c:pt idx="38">
                  <c:v>1.0157488121117055E-3</c:v>
                </c:pt>
                <c:pt idx="39">
                  <c:v>1.3097050435289419E-4</c:v>
                </c:pt>
                <c:pt idx="40">
                  <c:v>8.0730006239748645E-6</c:v>
                </c:pt>
                <c:pt idx="41">
                  <c:v>1.6566620204227601E-7</c:v>
                </c:pt>
                <c:pt idx="42">
                  <c:v>6.1556172948939531E-10</c:v>
                </c:pt>
                <c:pt idx="43">
                  <c:v>1.3989587006420206E-13</c:v>
                </c:pt>
                <c:pt idx="44">
                  <c:v>2.4229727670399074E-19</c:v>
                </c:pt>
                <c:pt idx="45">
                  <c:v>3.9050487638472738E-29</c:v>
                </c:pt>
                <c:pt idx="46">
                  <c:v>1.3784192338415859E-47</c:v>
                </c:pt>
                <c:pt idx="47">
                  <c:v>2.3939575461265699E-88</c:v>
                </c:pt>
                <c:pt idx="48">
                  <c:v>2.584447883503002E-207</c:v>
                </c:pt>
              </c:numCache>
            </c:numRef>
          </c:xVal>
          <c:yVal>
            <c:numRef>
              <c:f>tlaky!$AG$14:$AG$64</c:f>
              <c:numCache>
                <c:formatCode>0.0000</c:formatCode>
                <c:ptCount val="51"/>
                <c:pt idx="1">
                  <c:v>1.5401355596405395E-39</c:v>
                </c:pt>
                <c:pt idx="2">
                  <c:v>4.1620919300811803E-8</c:v>
                </c:pt>
                <c:pt idx="3">
                  <c:v>9.7895704195473231E-3</c:v>
                </c:pt>
                <c:pt idx="4">
                  <c:v>0.55568384720674979</c:v>
                </c:pt>
                <c:pt idx="5">
                  <c:v>3.3527828293072908</c:v>
                </c:pt>
                <c:pt idx="6">
                  <c:v>9.3149744775815417</c:v>
                </c:pt>
                <c:pt idx="7">
                  <c:v>18.364637249211949</c:v>
                </c:pt>
                <c:pt idx="8">
                  <c:v>29.4331270672591</c:v>
                </c:pt>
                <c:pt idx="9">
                  <c:v>40.968082624399337</c:v>
                </c:pt>
                <c:pt idx="10">
                  <c:v>51.752709973310871</c:v>
                </c:pt>
                <c:pt idx="11">
                  <c:v>61.153800320360077</c:v>
                </c:pt>
                <c:pt idx="12">
                  <c:v>68.982615345269494</c:v>
                </c:pt>
                <c:pt idx="13">
                  <c:v>75.29209248490848</c:v>
                </c:pt>
                <c:pt idx="14">
                  <c:v>80.23166755228192</c:v>
                </c:pt>
                <c:pt idx="15">
                  <c:v>83.966963816857515</c:v>
                </c:pt>
                <c:pt idx="16">
                  <c:v>86.642906015847331</c:v>
                </c:pt>
                <c:pt idx="17">
                  <c:v>88.370798789040521</c:v>
                </c:pt>
                <c:pt idx="18">
                  <c:v>89.227203609362931</c:v>
                </c:pt>
                <c:pt idx="19">
                  <c:v>89.258143055253129</c:v>
                </c:pt>
                <c:pt idx="20">
                  <c:v>88.485587478351633</c:v>
                </c:pt>
                <c:pt idx="21">
                  <c:v>86.915012244135795</c:v>
                </c:pt>
                <c:pt idx="22">
                  <c:v>84.543706331963847</c:v>
                </c:pt>
                <c:pt idx="23">
                  <c:v>81.369868955753205</c:v>
                </c:pt>
                <c:pt idx="24">
                  <c:v>77.402550571715011</c:v>
                </c:pt>
                <c:pt idx="25">
                  <c:v>72.672250934627115</c:v>
                </c:pt>
                <c:pt idx="26">
                  <c:v>67.241486969409678</c:v>
                </c:pt>
                <c:pt idx="27">
                  <c:v>61.213887948710607</c:v>
                </c:pt>
                <c:pt idx="28">
                  <c:v>54.739436362511924</c:v>
                </c:pt>
                <c:pt idx="29">
                  <c:v>48.012603815454376</c:v>
                </c:pt>
                <c:pt idx="30">
                  <c:v>41.259903217464078</c:v>
                </c:pt>
                <c:pt idx="31">
                  <c:v>34.714750390852267</c:v>
                </c:pt>
                <c:pt idx="32">
                  <c:v>28.581622668945336</c:v>
                </c:pt>
                <c:pt idx="33">
                  <c:v>22.998697801834609</c:v>
                </c:pt>
                <c:pt idx="34">
                  <c:v>18.016246185432731</c:v>
                </c:pt>
                <c:pt idx="35">
                  <c:v>13.610333846242398</c:v>
                </c:pt>
                <c:pt idx="36">
                  <c:v>9.7381460998056131</c:v>
                </c:pt>
                <c:pt idx="37">
                  <c:v>6.4095353350842785</c:v>
                </c:pt>
                <c:pt idx="38">
                  <c:v>3.718586702483563</c:v>
                </c:pt>
                <c:pt idx="39">
                  <c:v>1.7885859097086017</c:v>
                </c:pt>
                <c:pt idx="40">
                  <c:v>0.65067932677406826</c:v>
                </c:pt>
                <c:pt idx="41">
                  <c:v>0.15463618591821041</c:v>
                </c:pt>
                <c:pt idx="42">
                  <c:v>1.8719514150684222E-2</c:v>
                </c:pt>
                <c:pt idx="43">
                  <c:v>7.3647272606308753E-4</c:v>
                </c:pt>
                <c:pt idx="44">
                  <c:v>3.9277060263626861E-6</c:v>
                </c:pt>
                <c:pt idx="45">
                  <c:v>4.3522618369972504E-10</c:v>
                </c:pt>
                <c:pt idx="46">
                  <c:v>1.0071253730800343E-17</c:v>
                </c:pt>
                <c:pt idx="47">
                  <c:v>5.1681760489659625E-35</c:v>
                </c:pt>
                <c:pt idx="48">
                  <c:v>8.9608742003609976E-87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80672"/>
        <c:axId val="110002944"/>
      </c:scatterChart>
      <c:valAx>
        <c:axId val="109980672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crossAx val="110002944"/>
        <c:crosses val="autoZero"/>
        <c:crossBetween val="midCat"/>
      </c:valAx>
      <c:valAx>
        <c:axId val="110002944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109980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Y-X</c:v>
          </c:tx>
          <c:xVal>
            <c:numRef>
              <c:f>tlaky!$C$15:$C$62</c:f>
              <c:numCache>
                <c:formatCode>0.0000</c:formatCode>
                <c:ptCount val="48"/>
                <c:pt idx="0">
                  <c:v>1.9999999000000046E-2</c:v>
                </c:pt>
                <c:pt idx="1">
                  <c:v>3.9999999000000064E-2</c:v>
                </c:pt>
                <c:pt idx="2">
                  <c:v>5.9999999000000082E-2</c:v>
                </c:pt>
                <c:pt idx="3">
                  <c:v>7.9999998999999988E-2</c:v>
                </c:pt>
                <c:pt idx="4">
                  <c:v>9.9999999000000006E-2</c:v>
                </c:pt>
                <c:pt idx="5">
                  <c:v>0.11999999900000002</c:v>
                </c:pt>
                <c:pt idx="6">
                  <c:v>0.13999999900000004</c:v>
                </c:pt>
                <c:pt idx="7">
                  <c:v>0.15999999900000006</c:v>
                </c:pt>
                <c:pt idx="8">
                  <c:v>0.17999999900000008</c:v>
                </c:pt>
                <c:pt idx="9">
                  <c:v>0.19999999899999998</c:v>
                </c:pt>
                <c:pt idx="10">
                  <c:v>0.219999999</c:v>
                </c:pt>
                <c:pt idx="11">
                  <c:v>0.23999999900000002</c:v>
                </c:pt>
                <c:pt idx="12">
                  <c:v>0.25999999900000004</c:v>
                </c:pt>
                <c:pt idx="13">
                  <c:v>0.27999999900000005</c:v>
                </c:pt>
                <c:pt idx="14">
                  <c:v>0.29999999900000007</c:v>
                </c:pt>
                <c:pt idx="15">
                  <c:v>0.31999999899999998</c:v>
                </c:pt>
                <c:pt idx="16">
                  <c:v>0.339999999</c:v>
                </c:pt>
                <c:pt idx="17">
                  <c:v>0.35999999900000001</c:v>
                </c:pt>
                <c:pt idx="18">
                  <c:v>0.37999999900000003</c:v>
                </c:pt>
                <c:pt idx="19">
                  <c:v>0.39999999900000005</c:v>
                </c:pt>
                <c:pt idx="20">
                  <c:v>0.41999999900000007</c:v>
                </c:pt>
                <c:pt idx="21">
                  <c:v>0.43999999899999997</c:v>
                </c:pt>
                <c:pt idx="22">
                  <c:v>0.45999999899999999</c:v>
                </c:pt>
                <c:pt idx="23">
                  <c:v>0.47999999900000001</c:v>
                </c:pt>
                <c:pt idx="24">
                  <c:v>0.49999999900000003</c:v>
                </c:pt>
                <c:pt idx="25">
                  <c:v>0.51999999900000005</c:v>
                </c:pt>
                <c:pt idx="26">
                  <c:v>0.53999999899999995</c:v>
                </c:pt>
                <c:pt idx="27">
                  <c:v>0.55999999899999997</c:v>
                </c:pt>
                <c:pt idx="28">
                  <c:v>0.5799999990000011</c:v>
                </c:pt>
                <c:pt idx="29">
                  <c:v>0.59999999900000101</c:v>
                </c:pt>
                <c:pt idx="30">
                  <c:v>0.61999999900000102</c:v>
                </c:pt>
                <c:pt idx="31">
                  <c:v>0.63999999900000104</c:v>
                </c:pt>
                <c:pt idx="32">
                  <c:v>0.65999999900000095</c:v>
                </c:pt>
                <c:pt idx="33">
                  <c:v>0.67999999900000097</c:v>
                </c:pt>
                <c:pt idx="34">
                  <c:v>0.69999999900000098</c:v>
                </c:pt>
                <c:pt idx="35">
                  <c:v>0.719999999000001</c:v>
                </c:pt>
                <c:pt idx="36">
                  <c:v>0.73999999900000102</c:v>
                </c:pt>
                <c:pt idx="37">
                  <c:v>0.75999999900000104</c:v>
                </c:pt>
                <c:pt idx="38">
                  <c:v>0.77999999900000105</c:v>
                </c:pt>
                <c:pt idx="39">
                  <c:v>0.79999999900000107</c:v>
                </c:pt>
                <c:pt idx="40">
                  <c:v>0.81999999900000109</c:v>
                </c:pt>
                <c:pt idx="41">
                  <c:v>0.839999999000001</c:v>
                </c:pt>
                <c:pt idx="42">
                  <c:v>0.85999999900000101</c:v>
                </c:pt>
                <c:pt idx="43">
                  <c:v>0.87999999900000103</c:v>
                </c:pt>
                <c:pt idx="44">
                  <c:v>0.89999999900000105</c:v>
                </c:pt>
                <c:pt idx="45">
                  <c:v>0.91999999900000107</c:v>
                </c:pt>
                <c:pt idx="46">
                  <c:v>0.93999999900000097</c:v>
                </c:pt>
                <c:pt idx="47">
                  <c:v>0.95999999900000099</c:v>
                </c:pt>
              </c:numCache>
            </c:numRef>
          </c:xVal>
          <c:yVal>
            <c:numRef>
              <c:f>tlaky!$AH$15:$AH$62</c:f>
              <c:numCache>
                <c:formatCode>General</c:formatCode>
                <c:ptCount val="48"/>
                <c:pt idx="0">
                  <c:v>1</c:v>
                </c:pt>
                <c:pt idx="1">
                  <c:v>0.99999999999996547</c:v>
                </c:pt>
                <c:pt idx="2">
                  <c:v>0.99999500257647067</c:v>
                </c:pt>
                <c:pt idx="3">
                  <c:v>0.99736514540162557</c:v>
                </c:pt>
                <c:pt idx="4">
                  <c:v>0.96084015907922482</c:v>
                </c:pt>
                <c:pt idx="5">
                  <c:v>0.86029453417067892</c:v>
                </c:pt>
                <c:pt idx="6">
                  <c:v>0.74172964634048799</c:v>
                </c:pt>
                <c:pt idx="7">
                  <c:v>0.64815828085555083</c:v>
                </c:pt>
                <c:pt idx="8">
                  <c:v>0.58533943305657565</c:v>
                </c:pt>
                <c:pt idx="9">
                  <c:v>0.54577129993885587</c:v>
                </c:pt>
                <c:pt idx="10">
                  <c:v>0.52177412471443074</c:v>
                </c:pt>
                <c:pt idx="11">
                  <c:v>0.50788886607498507</c:v>
                </c:pt>
                <c:pt idx="12">
                  <c:v>0.50050928087889679</c:v>
                </c:pt>
                <c:pt idx="13">
                  <c:v>0.49724908895479464</c:v>
                </c:pt>
                <c:pt idx="14">
                  <c:v>0.4964831685059356</c:v>
                </c:pt>
                <c:pt idx="15">
                  <c:v>0.4970578879728047</c:v>
                </c:pt>
                <c:pt idx="16">
                  <c:v>0.49811214756587679</c:v>
                </c:pt>
                <c:pt idx="17">
                  <c:v>0.49896463246679917</c:v>
                </c:pt>
                <c:pt idx="18">
                  <c:v>0.49903973671983354</c:v>
                </c:pt>
                <c:pt idx="19">
                  <c:v>0.49781592302862565</c:v>
                </c:pt>
                <c:pt idx="20">
                  <c:v>0.49478702164618443</c:v>
                </c:pt>
                <c:pt idx="21">
                  <c:v>0.48943101503014319</c:v>
                </c:pt>
                <c:pt idx="22">
                  <c:v>0.48118359471210509</c:v>
                </c:pt>
                <c:pt idx="23">
                  <c:v>0.46941624752948702</c:v>
                </c:pt>
                <c:pt idx="24">
                  <c:v>0.45342180802287918</c:v>
                </c:pt>
                <c:pt idx="25">
                  <c:v>0.43241548191297952</c:v>
                </c:pt>
                <c:pt idx="26">
                  <c:v>0.40556775476226015</c:v>
                </c:pt>
                <c:pt idx="27">
                  <c:v>0.37209846754346382</c:v>
                </c:pt>
                <c:pt idx="28">
                  <c:v>0.33147679273973424</c:v>
                </c:pt>
                <c:pt idx="29">
                  <c:v>0.28377772577922444</c:v>
                </c:pt>
                <c:pt idx="30">
                  <c:v>0.23020653268122782</c:v>
                </c:pt>
                <c:pt idx="31">
                  <c:v>0.17365524170246985</c:v>
                </c:pt>
                <c:pt idx="32">
                  <c:v>0.11887201835238234</c:v>
                </c:pt>
                <c:pt idx="33">
                  <c:v>7.1612251288399889E-2</c:v>
                </c:pt>
                <c:pt idx="34">
                  <c:v>3.6559301271029659E-2</c:v>
                </c:pt>
                <c:pt idx="35">
                  <c:v>1.5079440442696742E-2</c:v>
                </c:pt>
                <c:pt idx="36">
                  <c:v>4.7118299079852172E-3</c:v>
                </c:pt>
                <c:pt idx="37">
                  <c:v>1.0157488121117055E-3</c:v>
                </c:pt>
                <c:pt idx="38">
                  <c:v>1.3097050435289419E-4</c:v>
                </c:pt>
                <c:pt idx="39">
                  <c:v>8.0730006239748645E-6</c:v>
                </c:pt>
                <c:pt idx="40">
                  <c:v>1.6566620204227601E-7</c:v>
                </c:pt>
                <c:pt idx="41">
                  <c:v>6.1556172948939531E-10</c:v>
                </c:pt>
                <c:pt idx="42">
                  <c:v>1.3989587006420206E-13</c:v>
                </c:pt>
                <c:pt idx="43">
                  <c:v>2.4229727670399074E-19</c:v>
                </c:pt>
                <c:pt idx="44">
                  <c:v>3.9050487638472738E-29</c:v>
                </c:pt>
                <c:pt idx="45">
                  <c:v>1.3784192338415859E-47</c:v>
                </c:pt>
                <c:pt idx="46">
                  <c:v>2.3939575461265699E-88</c:v>
                </c:pt>
                <c:pt idx="47">
                  <c:v>2.584447883503002E-207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tlaky!$C$14:$C$64</c:f>
              <c:numCache>
                <c:formatCode>0.0000</c:formatCode>
                <c:ptCount val="51"/>
                <c:pt idx="0">
                  <c:v>9.9999900000002917E-4</c:v>
                </c:pt>
                <c:pt idx="1">
                  <c:v>1.9999999000000046E-2</c:v>
                </c:pt>
                <c:pt idx="2">
                  <c:v>3.9999999000000064E-2</c:v>
                </c:pt>
                <c:pt idx="3">
                  <c:v>5.9999999000000082E-2</c:v>
                </c:pt>
                <c:pt idx="4">
                  <c:v>7.9999998999999988E-2</c:v>
                </c:pt>
                <c:pt idx="5">
                  <c:v>9.9999999000000006E-2</c:v>
                </c:pt>
                <c:pt idx="6">
                  <c:v>0.11999999900000002</c:v>
                </c:pt>
                <c:pt idx="7">
                  <c:v>0.13999999900000004</c:v>
                </c:pt>
                <c:pt idx="8">
                  <c:v>0.15999999900000006</c:v>
                </c:pt>
                <c:pt idx="9">
                  <c:v>0.17999999900000008</c:v>
                </c:pt>
                <c:pt idx="10">
                  <c:v>0.19999999899999998</c:v>
                </c:pt>
                <c:pt idx="11">
                  <c:v>0.219999999</c:v>
                </c:pt>
                <c:pt idx="12">
                  <c:v>0.23999999900000002</c:v>
                </c:pt>
                <c:pt idx="13">
                  <c:v>0.25999999900000004</c:v>
                </c:pt>
                <c:pt idx="14">
                  <c:v>0.27999999900000005</c:v>
                </c:pt>
                <c:pt idx="15">
                  <c:v>0.29999999900000007</c:v>
                </c:pt>
                <c:pt idx="16">
                  <c:v>0.31999999899999998</c:v>
                </c:pt>
                <c:pt idx="17">
                  <c:v>0.339999999</c:v>
                </c:pt>
                <c:pt idx="18">
                  <c:v>0.35999999900000001</c:v>
                </c:pt>
                <c:pt idx="19">
                  <c:v>0.37999999900000003</c:v>
                </c:pt>
                <c:pt idx="20">
                  <c:v>0.39999999900000005</c:v>
                </c:pt>
                <c:pt idx="21">
                  <c:v>0.41999999900000007</c:v>
                </c:pt>
                <c:pt idx="22">
                  <c:v>0.43999999899999997</c:v>
                </c:pt>
                <c:pt idx="23">
                  <c:v>0.45999999899999999</c:v>
                </c:pt>
                <c:pt idx="24">
                  <c:v>0.47999999900000001</c:v>
                </c:pt>
                <c:pt idx="25">
                  <c:v>0.49999999900000003</c:v>
                </c:pt>
                <c:pt idx="26">
                  <c:v>0.51999999900000005</c:v>
                </c:pt>
                <c:pt idx="27">
                  <c:v>0.53999999899999995</c:v>
                </c:pt>
                <c:pt idx="28">
                  <c:v>0.55999999899999997</c:v>
                </c:pt>
                <c:pt idx="29">
                  <c:v>0.5799999990000011</c:v>
                </c:pt>
                <c:pt idx="30">
                  <c:v>0.59999999900000101</c:v>
                </c:pt>
                <c:pt idx="31">
                  <c:v>0.61999999900000102</c:v>
                </c:pt>
                <c:pt idx="32">
                  <c:v>0.63999999900000104</c:v>
                </c:pt>
                <c:pt idx="33">
                  <c:v>0.65999999900000095</c:v>
                </c:pt>
                <c:pt idx="34">
                  <c:v>0.67999999900000097</c:v>
                </c:pt>
                <c:pt idx="35">
                  <c:v>0.69999999900000098</c:v>
                </c:pt>
                <c:pt idx="36">
                  <c:v>0.719999999000001</c:v>
                </c:pt>
                <c:pt idx="37">
                  <c:v>0.73999999900000102</c:v>
                </c:pt>
                <c:pt idx="38">
                  <c:v>0.75999999900000104</c:v>
                </c:pt>
                <c:pt idx="39">
                  <c:v>0.77999999900000105</c:v>
                </c:pt>
                <c:pt idx="40">
                  <c:v>0.79999999900000107</c:v>
                </c:pt>
                <c:pt idx="41">
                  <c:v>0.81999999900000109</c:v>
                </c:pt>
                <c:pt idx="42">
                  <c:v>0.839999999000001</c:v>
                </c:pt>
                <c:pt idx="43">
                  <c:v>0.85999999900000101</c:v>
                </c:pt>
                <c:pt idx="44">
                  <c:v>0.87999999900000103</c:v>
                </c:pt>
                <c:pt idx="45">
                  <c:v>0.89999999900000105</c:v>
                </c:pt>
                <c:pt idx="46">
                  <c:v>0.91999999900000107</c:v>
                </c:pt>
                <c:pt idx="47">
                  <c:v>0.93999999900000097</c:v>
                </c:pt>
                <c:pt idx="48">
                  <c:v>0.95999999900000099</c:v>
                </c:pt>
                <c:pt idx="49">
                  <c:v>0.97999999900000101</c:v>
                </c:pt>
                <c:pt idx="50">
                  <c:v>0.99999999900000003</c:v>
                </c:pt>
              </c:numCache>
            </c:numRef>
          </c:xVal>
          <c:yVal>
            <c:numRef>
              <c:f>tlaky!$C$14:$C$64</c:f>
              <c:numCache>
                <c:formatCode>0.0000</c:formatCode>
                <c:ptCount val="51"/>
                <c:pt idx="0">
                  <c:v>9.9999900000002917E-4</c:v>
                </c:pt>
                <c:pt idx="1">
                  <c:v>1.9999999000000046E-2</c:v>
                </c:pt>
                <c:pt idx="2">
                  <c:v>3.9999999000000064E-2</c:v>
                </c:pt>
                <c:pt idx="3">
                  <c:v>5.9999999000000082E-2</c:v>
                </c:pt>
                <c:pt idx="4">
                  <c:v>7.9999998999999988E-2</c:v>
                </c:pt>
                <c:pt idx="5">
                  <c:v>9.9999999000000006E-2</c:v>
                </c:pt>
                <c:pt idx="6">
                  <c:v>0.11999999900000002</c:v>
                </c:pt>
                <c:pt idx="7">
                  <c:v>0.13999999900000004</c:v>
                </c:pt>
                <c:pt idx="8">
                  <c:v>0.15999999900000006</c:v>
                </c:pt>
                <c:pt idx="9">
                  <c:v>0.17999999900000008</c:v>
                </c:pt>
                <c:pt idx="10">
                  <c:v>0.19999999899999998</c:v>
                </c:pt>
                <c:pt idx="11">
                  <c:v>0.219999999</c:v>
                </c:pt>
                <c:pt idx="12">
                  <c:v>0.23999999900000002</c:v>
                </c:pt>
                <c:pt idx="13">
                  <c:v>0.25999999900000004</c:v>
                </c:pt>
                <c:pt idx="14">
                  <c:v>0.27999999900000005</c:v>
                </c:pt>
                <c:pt idx="15">
                  <c:v>0.29999999900000007</c:v>
                </c:pt>
                <c:pt idx="16">
                  <c:v>0.31999999899999998</c:v>
                </c:pt>
                <c:pt idx="17">
                  <c:v>0.339999999</c:v>
                </c:pt>
                <c:pt idx="18">
                  <c:v>0.35999999900000001</c:v>
                </c:pt>
                <c:pt idx="19">
                  <c:v>0.37999999900000003</c:v>
                </c:pt>
                <c:pt idx="20">
                  <c:v>0.39999999900000005</c:v>
                </c:pt>
                <c:pt idx="21">
                  <c:v>0.41999999900000007</c:v>
                </c:pt>
                <c:pt idx="22">
                  <c:v>0.43999999899999997</c:v>
                </c:pt>
                <c:pt idx="23">
                  <c:v>0.45999999899999999</c:v>
                </c:pt>
                <c:pt idx="24">
                  <c:v>0.47999999900000001</c:v>
                </c:pt>
                <c:pt idx="25">
                  <c:v>0.49999999900000003</c:v>
                </c:pt>
                <c:pt idx="26">
                  <c:v>0.51999999900000005</c:v>
                </c:pt>
                <c:pt idx="27">
                  <c:v>0.53999999899999995</c:v>
                </c:pt>
                <c:pt idx="28">
                  <c:v>0.55999999899999997</c:v>
                </c:pt>
                <c:pt idx="29">
                  <c:v>0.5799999990000011</c:v>
                </c:pt>
                <c:pt idx="30">
                  <c:v>0.59999999900000101</c:v>
                </c:pt>
                <c:pt idx="31">
                  <c:v>0.61999999900000102</c:v>
                </c:pt>
                <c:pt idx="32">
                  <c:v>0.63999999900000104</c:v>
                </c:pt>
                <c:pt idx="33">
                  <c:v>0.65999999900000095</c:v>
                </c:pt>
                <c:pt idx="34">
                  <c:v>0.67999999900000097</c:v>
                </c:pt>
                <c:pt idx="35">
                  <c:v>0.69999999900000098</c:v>
                </c:pt>
                <c:pt idx="36">
                  <c:v>0.719999999000001</c:v>
                </c:pt>
                <c:pt idx="37">
                  <c:v>0.73999999900000102</c:v>
                </c:pt>
                <c:pt idx="38">
                  <c:v>0.75999999900000104</c:v>
                </c:pt>
                <c:pt idx="39">
                  <c:v>0.77999999900000105</c:v>
                </c:pt>
                <c:pt idx="40">
                  <c:v>0.79999999900000107</c:v>
                </c:pt>
                <c:pt idx="41">
                  <c:v>0.81999999900000109</c:v>
                </c:pt>
                <c:pt idx="42">
                  <c:v>0.839999999000001</c:v>
                </c:pt>
                <c:pt idx="43">
                  <c:v>0.85999999900000101</c:v>
                </c:pt>
                <c:pt idx="44">
                  <c:v>0.87999999900000103</c:v>
                </c:pt>
                <c:pt idx="45">
                  <c:v>0.89999999900000105</c:v>
                </c:pt>
                <c:pt idx="46">
                  <c:v>0.91999999900000107</c:v>
                </c:pt>
                <c:pt idx="47">
                  <c:v>0.93999999900000097</c:v>
                </c:pt>
                <c:pt idx="48">
                  <c:v>0.95999999900000099</c:v>
                </c:pt>
                <c:pt idx="49">
                  <c:v>0.97999999900000101</c:v>
                </c:pt>
                <c:pt idx="50">
                  <c:v>0.99999999900000003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28672"/>
        <c:axId val="110030208"/>
      </c:scatterChart>
      <c:valAx>
        <c:axId val="110028672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crossAx val="110030208"/>
        <c:crosses val="autoZero"/>
        <c:crossBetween val="midCat"/>
      </c:valAx>
      <c:valAx>
        <c:axId val="11003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028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26</xdr:row>
      <xdr:rowOff>28575</xdr:rowOff>
    </xdr:from>
    <xdr:to>
      <xdr:col>14</xdr:col>
      <xdr:colOff>161925</xdr:colOff>
      <xdr:row>44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9525</xdr:rowOff>
    </xdr:from>
    <xdr:to>
      <xdr:col>6</xdr:col>
      <xdr:colOff>262067</xdr:colOff>
      <xdr:row>8</xdr:row>
      <xdr:rowOff>95192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2050"/>
          <a:ext cx="4409524" cy="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340179</xdr:colOff>
      <xdr:row>0</xdr:row>
      <xdr:rowOff>1</xdr:rowOff>
    </xdr:from>
    <xdr:to>
      <xdr:col>22</xdr:col>
      <xdr:colOff>680358</xdr:colOff>
      <xdr:row>8</xdr:row>
      <xdr:rowOff>94208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2179" y="1"/>
          <a:ext cx="2558143" cy="1672636"/>
        </a:xfrm>
        <a:prstGeom prst="rect">
          <a:avLst/>
        </a:prstGeom>
      </xdr:spPr>
    </xdr:pic>
    <xdr:clientData/>
  </xdr:twoCellAnchor>
  <xdr:twoCellAnchor>
    <xdr:from>
      <xdr:col>23</xdr:col>
      <xdr:colOff>54428</xdr:colOff>
      <xdr:row>23</xdr:row>
      <xdr:rowOff>104774</xdr:rowOff>
    </xdr:from>
    <xdr:to>
      <xdr:col>29</xdr:col>
      <xdr:colOff>503464</xdr:colOff>
      <xdr:row>37</xdr:row>
      <xdr:rowOff>180974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19050</xdr:rowOff>
    </xdr:from>
    <xdr:to>
      <xdr:col>10</xdr:col>
      <xdr:colOff>371475</xdr:colOff>
      <xdr:row>19</xdr:row>
      <xdr:rowOff>185737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9525</xdr:rowOff>
    </xdr:from>
    <xdr:to>
      <xdr:col>5</xdr:col>
      <xdr:colOff>576392</xdr:colOff>
      <xdr:row>8</xdr:row>
      <xdr:rowOff>95192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625"/>
          <a:ext cx="4405442" cy="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340179</xdr:colOff>
      <xdr:row>0</xdr:row>
      <xdr:rowOff>1</xdr:rowOff>
    </xdr:from>
    <xdr:to>
      <xdr:col>22</xdr:col>
      <xdr:colOff>232683</xdr:colOff>
      <xdr:row>8</xdr:row>
      <xdr:rowOff>94208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9829" y="1"/>
          <a:ext cx="2549979" cy="1656307"/>
        </a:xfrm>
        <a:prstGeom prst="rect">
          <a:avLst/>
        </a:prstGeom>
      </xdr:spPr>
    </xdr:pic>
    <xdr:clientData/>
  </xdr:twoCellAnchor>
  <xdr:twoCellAnchor>
    <xdr:from>
      <xdr:col>23</xdr:col>
      <xdr:colOff>152400</xdr:colOff>
      <xdr:row>17</xdr:row>
      <xdr:rowOff>100012</xdr:rowOff>
    </xdr:from>
    <xdr:to>
      <xdr:col>30</xdr:col>
      <xdr:colOff>9525</xdr:colOff>
      <xdr:row>31</xdr:row>
      <xdr:rowOff>176212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304800</xdr:colOff>
      <xdr:row>20</xdr:row>
      <xdr:rowOff>85724</xdr:rowOff>
    </xdr:from>
    <xdr:to>
      <xdr:col>25</xdr:col>
      <xdr:colOff>323850</xdr:colOff>
      <xdr:row>26</xdr:row>
      <xdr:rowOff>4761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opLeftCell="A19" workbookViewId="0">
      <selection activeCell="P40" sqref="P40"/>
    </sheetView>
  </sheetViews>
  <sheetFormatPr defaultRowHeight="15" x14ac:dyDescent="0.25"/>
  <sheetData>
    <row r="1" spans="1:24" x14ac:dyDescent="0.25">
      <c r="A1" t="s">
        <v>43</v>
      </c>
    </row>
    <row r="2" spans="1:24" x14ac:dyDescent="0.25">
      <c r="A2" t="s">
        <v>34</v>
      </c>
    </row>
    <row r="4" spans="1:24" x14ac:dyDescent="0.25">
      <c r="B4" t="s">
        <v>2</v>
      </c>
      <c r="C4" t="s">
        <v>3</v>
      </c>
      <c r="D4" t="s">
        <v>4</v>
      </c>
      <c r="E4" t="s">
        <v>5</v>
      </c>
    </row>
    <row r="5" spans="1:24" x14ac:dyDescent="0.25">
      <c r="A5" t="s">
        <v>0</v>
      </c>
      <c r="B5">
        <v>20.840540000000001</v>
      </c>
      <c r="C5">
        <v>-2624.5250000000001</v>
      </c>
      <c r="D5">
        <v>-46.151710000000001</v>
      </c>
    </row>
    <row r="6" spans="1:24" x14ac:dyDescent="0.25">
      <c r="A6" t="s">
        <v>1</v>
      </c>
      <c r="B6">
        <v>23.534700000000001</v>
      </c>
      <c r="C6">
        <v>-3661.4679999999998</v>
      </c>
      <c r="D6">
        <v>-32.770009999999999</v>
      </c>
    </row>
    <row r="8" spans="1:24" x14ac:dyDescent="0.25">
      <c r="A8" t="s">
        <v>6</v>
      </c>
      <c r="B8">
        <v>93.57</v>
      </c>
    </row>
    <row r="9" spans="1:24" ht="15.75" thickBot="1" x14ac:dyDescent="0.3"/>
    <row r="10" spans="1:24" ht="18.75" thickBot="1" x14ac:dyDescent="0.4">
      <c r="A10" s="1" t="s">
        <v>11</v>
      </c>
      <c r="B10">
        <v>2025.3</v>
      </c>
      <c r="E10" t="s">
        <v>8</v>
      </c>
      <c r="F10" t="s">
        <v>15</v>
      </c>
      <c r="G10" t="s">
        <v>9</v>
      </c>
      <c r="H10" t="s">
        <v>10</v>
      </c>
      <c r="I10" s="3" t="s">
        <v>16</v>
      </c>
      <c r="J10" s="4" t="s">
        <v>17</v>
      </c>
      <c r="K10" s="3" t="s">
        <v>18</v>
      </c>
      <c r="L10" s="4" t="s">
        <v>19</v>
      </c>
      <c r="M10" s="7" t="s">
        <v>20</v>
      </c>
      <c r="N10" s="7" t="s">
        <v>21</v>
      </c>
      <c r="O10" s="7" t="s">
        <v>22</v>
      </c>
      <c r="P10" s="7" t="s">
        <v>23</v>
      </c>
      <c r="Q10" s="9" t="s">
        <v>26</v>
      </c>
      <c r="R10" s="9" t="s">
        <v>27</v>
      </c>
      <c r="S10" s="9" t="s">
        <v>24</v>
      </c>
      <c r="T10" s="8" t="s">
        <v>25</v>
      </c>
      <c r="U10" s="9" t="s">
        <v>28</v>
      </c>
      <c r="V10" s="9" t="s">
        <v>29</v>
      </c>
      <c r="W10" s="9" t="s">
        <v>90</v>
      </c>
      <c r="X10" s="9" t="s">
        <v>89</v>
      </c>
    </row>
    <row r="11" spans="1:24" ht="15.75" thickBot="1" x14ac:dyDescent="0.3">
      <c r="A11" s="1" t="s">
        <v>12</v>
      </c>
      <c r="B11">
        <v>2133.5</v>
      </c>
      <c r="E11">
        <v>62.515196949413479</v>
      </c>
      <c r="F11">
        <f>E11+273.15</f>
        <v>335.66519694941348</v>
      </c>
      <c r="G11">
        <v>0</v>
      </c>
      <c r="H11">
        <f>1-G11</f>
        <v>1</v>
      </c>
      <c r="I11">
        <f>$B$10/$B$13/F11</f>
        <v>0.72572657783036976</v>
      </c>
      <c r="J11">
        <f>$B$11/$B$13/F11</f>
        <v>0.76449792810995609</v>
      </c>
      <c r="K11">
        <f>EXP(-$B$12*I11)</f>
        <v>0.64698255568078034</v>
      </c>
      <c r="L11">
        <f>EXP(-$B$12*J11)</f>
        <v>0.63210563370352868</v>
      </c>
      <c r="M11">
        <f>H11^2*(J11*(L11/(G11+H11*L11))^2+(I11*K11/(H11+G11*K11)^2))</f>
        <v>1.2340303641601156</v>
      </c>
      <c r="N11">
        <f>G11^2*(I11*(K11/(H11+G11*K11))^2+(J11*L11/(G11+H11*L11)^2))</f>
        <v>0</v>
      </c>
      <c r="O11">
        <f>EXP(M11)</f>
        <v>3.4350461615089025</v>
      </c>
      <c r="P11">
        <f>EXP(N11)</f>
        <v>1</v>
      </c>
      <c r="Q11">
        <f>EXP($B$5+$C$5/(F11+$D$5))/1000</f>
        <v>129.9942596927801</v>
      </c>
      <c r="R11">
        <f>EXP($B$6+$C$6/(F11+$D$6))/1000</f>
        <v>93.570052654579811</v>
      </c>
      <c r="S11">
        <f>O11*Q11*G11</f>
        <v>0</v>
      </c>
      <c r="T11">
        <f>P11*R11*H11</f>
        <v>93.570052654579811</v>
      </c>
      <c r="U11">
        <f>S11/$B$8</f>
        <v>0</v>
      </c>
      <c r="V11">
        <f>T11/$B$8</f>
        <v>1.0000005627292916</v>
      </c>
      <c r="W11">
        <f>SUM(U11:V11)</f>
        <v>1.0000005627292916</v>
      </c>
      <c r="X11">
        <f>ABS(W11-1)</f>
        <v>5.6272929160883223E-7</v>
      </c>
    </row>
    <row r="12" spans="1:24" x14ac:dyDescent="0.25">
      <c r="A12" t="s">
        <v>7</v>
      </c>
      <c r="B12">
        <v>0.6</v>
      </c>
      <c r="E12">
        <v>57.657518105442918</v>
      </c>
      <c r="F12">
        <f t="shared" ref="F12:F26" si="0">E12+273.15</f>
        <v>330.80751810544291</v>
      </c>
      <c r="G12">
        <f>G11+1/15</f>
        <v>6.6666666666666666E-2</v>
      </c>
      <c r="H12">
        <f t="shared" ref="H12:H26" si="1">1-G12</f>
        <v>0.93333333333333335</v>
      </c>
      <c r="I12">
        <f t="shared" ref="I12:I15" si="2">$B$10/$B$13/F12</f>
        <v>0.73638336901765489</v>
      </c>
      <c r="J12">
        <f t="shared" ref="J12:J15" si="3">$B$11/$B$13/F12</f>
        <v>0.7757240496712422</v>
      </c>
      <c r="K12">
        <f t="shared" ref="K12:K15" si="4">EXP(-$B$12*I12)</f>
        <v>0.64285889841782684</v>
      </c>
      <c r="L12">
        <f t="shared" ref="L12:L15" si="5">EXP(-$B$12*J12)</f>
        <v>0.62786228384494813</v>
      </c>
      <c r="M12">
        <f t="shared" ref="M12:M15" si="6">H12^2*(J12*(L12/(G12+H12*L12))^2+(I12*K12/(H12+G12*K12)^2))</f>
        <v>1.0580828789265269</v>
      </c>
      <c r="N12">
        <f t="shared" ref="N12:N15" si="7">G12^2*(I12*(K12/(H12+G12*K12))^2+(J12*L12/(G12+H12*L12)^2))</f>
        <v>6.5009235500217482E-3</v>
      </c>
      <c r="O12">
        <f t="shared" ref="O12:O15" si="8">EXP(M12)</f>
        <v>2.8808427674470276</v>
      </c>
      <c r="P12">
        <f t="shared" ref="P12:P15" si="9">EXP(N12)</f>
        <v>1.0065221004183862</v>
      </c>
      <c r="Q12">
        <f t="shared" ref="Q12:Q15" si="10">EXP($B$5+$C$5/(F12+$D$5))/1000</f>
        <v>111.36244684845657</v>
      </c>
      <c r="R12">
        <f t="shared" ref="R12:R15" si="11">EXP($B$6+$C$6/(F12+$D$6))/1000</f>
        <v>76.836950430896522</v>
      </c>
      <c r="S12">
        <f t="shared" ref="S12:S15" si="12">O12*Q12*G12</f>
        <v>21.387846637905344</v>
      </c>
      <c r="T12">
        <f t="shared" ref="T12:T15" si="13">P12*R12*H12</f>
        <v>72.182216154952769</v>
      </c>
      <c r="U12">
        <f t="shared" ref="U12:U15" si="14">S12/$B$8</f>
        <v>0.22857589652565294</v>
      </c>
      <c r="V12">
        <f t="shared" ref="V12:V15" si="15">T12/$B$8</f>
        <v>0.77142477455330527</v>
      </c>
      <c r="W12">
        <f t="shared" ref="W12:W15" si="16">SUM(U12:V12)</f>
        <v>1.0000006710789582</v>
      </c>
      <c r="X12">
        <f t="shared" ref="X12:X26" si="17">ABS(W12-1)</f>
        <v>6.7107895818097063E-7</v>
      </c>
    </row>
    <row r="13" spans="1:24" x14ac:dyDescent="0.25">
      <c r="A13" s="2" t="s">
        <v>13</v>
      </c>
      <c r="B13">
        <f>8.314</f>
        <v>8.3140000000000001</v>
      </c>
      <c r="C13" t="s">
        <v>14</v>
      </c>
      <c r="E13">
        <v>54.72841663764504</v>
      </c>
      <c r="F13">
        <f t="shared" si="0"/>
        <v>327.87841663764505</v>
      </c>
      <c r="G13">
        <f t="shared" ref="G13:G26" si="18">G12+1/15</f>
        <v>0.13333333333333333</v>
      </c>
      <c r="H13">
        <f t="shared" si="1"/>
        <v>0.8666666666666667</v>
      </c>
      <c r="I13">
        <f t="shared" si="2"/>
        <v>0.74296184902000073</v>
      </c>
      <c r="J13">
        <f t="shared" si="3"/>
        <v>0.78265397960014405</v>
      </c>
      <c r="K13">
        <f t="shared" si="4"/>
        <v>0.64032647890244476</v>
      </c>
      <c r="L13">
        <f t="shared" si="5"/>
        <v>0.62525707878563852</v>
      </c>
      <c r="M13">
        <f t="shared" si="6"/>
        <v>0.89831521966705541</v>
      </c>
      <c r="N13">
        <f t="shared" si="7"/>
        <v>2.5056400398643812E-2</v>
      </c>
      <c r="O13">
        <f t="shared" si="8"/>
        <v>2.4554627090218393</v>
      </c>
      <c r="P13">
        <f t="shared" si="9"/>
        <v>1.0253729503367588</v>
      </c>
      <c r="Q13">
        <f t="shared" si="10"/>
        <v>101.18294841219196</v>
      </c>
      <c r="R13">
        <f t="shared" si="11"/>
        <v>68.016354729099362</v>
      </c>
      <c r="S13">
        <f t="shared" si="12"/>
        <v>33.126794215335714</v>
      </c>
      <c r="T13">
        <f t="shared" si="13"/>
        <v>60.443179610431088</v>
      </c>
      <c r="U13">
        <f t="shared" si="14"/>
        <v>0.35403221348012948</v>
      </c>
      <c r="V13">
        <f t="shared" si="15"/>
        <v>0.64596750679097026</v>
      </c>
      <c r="W13">
        <f t="shared" si="16"/>
        <v>0.99999972027109973</v>
      </c>
      <c r="X13">
        <f t="shared" si="17"/>
        <v>2.7972890026539687E-7</v>
      </c>
    </row>
    <row r="14" spans="1:24" x14ac:dyDescent="0.25">
      <c r="E14">
        <v>52.856104435872076</v>
      </c>
      <c r="F14">
        <f t="shared" si="0"/>
        <v>326.00610443587203</v>
      </c>
      <c r="G14">
        <f t="shared" si="18"/>
        <v>0.2</v>
      </c>
      <c r="H14">
        <f t="shared" si="1"/>
        <v>0.8</v>
      </c>
      <c r="I14">
        <f t="shared" si="2"/>
        <v>0.74722881370699357</v>
      </c>
      <c r="J14">
        <f t="shared" si="3"/>
        <v>0.78714890339400134</v>
      </c>
      <c r="K14">
        <f t="shared" si="4"/>
        <v>0.63868922534349037</v>
      </c>
      <c r="L14">
        <f t="shared" si="5"/>
        <v>0.62357306091354647</v>
      </c>
      <c r="M14">
        <f t="shared" si="6"/>
        <v>0.7559546812090211</v>
      </c>
      <c r="N14">
        <f t="shared" si="7"/>
        <v>5.4365812586550315E-2</v>
      </c>
      <c r="O14">
        <f t="shared" si="8"/>
        <v>2.1296436839751758</v>
      </c>
      <c r="P14">
        <f t="shared" si="9"/>
        <v>1.0558707823379376</v>
      </c>
      <c r="Q14">
        <f t="shared" si="10"/>
        <v>95.06912983228348</v>
      </c>
      <c r="R14">
        <f t="shared" si="11"/>
        <v>62.836005688183512</v>
      </c>
      <c r="S14">
        <f t="shared" si="12"/>
        <v>40.492674377667697</v>
      </c>
      <c r="T14">
        <f t="shared" si="13"/>
        <v>53.07736198797874</v>
      </c>
      <c r="U14">
        <f t="shared" si="14"/>
        <v>0.43275274529943036</v>
      </c>
      <c r="V14">
        <f t="shared" si="15"/>
        <v>0.56724764334699951</v>
      </c>
      <c r="W14">
        <f t="shared" si="16"/>
        <v>1.0000003886464299</v>
      </c>
      <c r="X14">
        <f t="shared" si="17"/>
        <v>3.8864642992741949E-7</v>
      </c>
    </row>
    <row r="15" spans="1:24" x14ac:dyDescent="0.25">
      <c r="E15">
        <v>51.597412679496557</v>
      </c>
      <c r="F15">
        <f t="shared" si="0"/>
        <v>324.74741267949651</v>
      </c>
      <c r="G15">
        <f t="shared" si="18"/>
        <v>0.26666666666666666</v>
      </c>
      <c r="H15">
        <f t="shared" si="1"/>
        <v>0.73333333333333339</v>
      </c>
      <c r="I15">
        <f t="shared" si="2"/>
        <v>0.75012500536616322</v>
      </c>
      <c r="J15">
        <f t="shared" si="3"/>
        <v>0.79019982172947678</v>
      </c>
      <c r="K15">
        <f t="shared" si="4"/>
        <v>0.63758032925086994</v>
      </c>
      <c r="L15">
        <f t="shared" si="5"/>
        <v>0.62243262275608158</v>
      </c>
      <c r="M15">
        <f t="shared" si="6"/>
        <v>0.63002956786902842</v>
      </c>
      <c r="N15">
        <f t="shared" si="7"/>
        <v>9.3460166649874721E-2</v>
      </c>
      <c r="O15">
        <f t="shared" si="8"/>
        <v>1.8776660970288042</v>
      </c>
      <c r="P15">
        <f t="shared" si="9"/>
        <v>1.0979668667715883</v>
      </c>
      <c r="Q15">
        <f t="shared" si="10"/>
        <v>91.125147816053897</v>
      </c>
      <c r="R15">
        <f t="shared" si="11"/>
        <v>59.543091834014369</v>
      </c>
      <c r="S15">
        <f t="shared" si="12"/>
        <v>45.627360170918074</v>
      </c>
      <c r="T15">
        <f t="shared" si="13"/>
        <v>47.942650784516189</v>
      </c>
      <c r="U15">
        <f t="shared" si="14"/>
        <v>0.48762808775160926</v>
      </c>
      <c r="V15">
        <f t="shared" si="15"/>
        <v>0.51237202933115522</v>
      </c>
      <c r="W15">
        <f t="shared" si="16"/>
        <v>1.0000001170827644</v>
      </c>
      <c r="X15">
        <f t="shared" si="17"/>
        <v>1.1708276437261134E-7</v>
      </c>
    </row>
    <row r="16" spans="1:24" x14ac:dyDescent="0.25">
      <c r="A16">
        <v>313.14999999999998</v>
      </c>
      <c r="B16">
        <f>A16-273.15</f>
        <v>40</v>
      </c>
      <c r="E16">
        <v>50.71583789402564</v>
      </c>
      <c r="F16">
        <f t="shared" si="0"/>
        <v>323.86583789402562</v>
      </c>
      <c r="G16">
        <f t="shared" si="18"/>
        <v>0.33333333333333331</v>
      </c>
      <c r="H16">
        <f t="shared" si="1"/>
        <v>0.66666666666666674</v>
      </c>
      <c r="I16">
        <f t="shared" ref="I16:I26" si="19">$B$10/$B$13/F16</f>
        <v>0.75216687336614163</v>
      </c>
      <c r="J16">
        <f t="shared" ref="J16:J26" si="20">$B$11/$B$13/F16</f>
        <v>0.79235077486133576</v>
      </c>
      <c r="K16">
        <f t="shared" ref="K16:K26" si="21">EXP(-$B$12*I16)</f>
        <v>0.63679969461134844</v>
      </c>
      <c r="L16">
        <f t="shared" ref="L16:L26" si="22">EXP(-$B$12*J16)</f>
        <v>0.62162984684793843</v>
      </c>
      <c r="M16">
        <f t="shared" ref="M16:M26" si="23">H16^2*(J16*(L16/(G16+H16*L16))^2+(I16*K16/(H16+G16*K16)^2))</f>
        <v>0.51894261015463838</v>
      </c>
      <c r="N16">
        <f t="shared" ref="N16:N26" si="24">G16^2*(I16*(K16/(H16+G16*K16))^2+(J16*L16/(G16+H16*L16)^2))</f>
        <v>0.14174895736899187</v>
      </c>
      <c r="O16">
        <f t="shared" ref="O16:O26" si="25">EXP(M16)</f>
        <v>1.6802500307262282</v>
      </c>
      <c r="P16">
        <f t="shared" ref="P16:P26" si="26">EXP(N16)</f>
        <v>1.1522873389787536</v>
      </c>
      <c r="Q16">
        <f t="shared" ref="Q16:Q26" si="27">EXP($B$5+$C$5/(F16+$D$5))/1000</f>
        <v>88.440432615610973</v>
      </c>
      <c r="R16">
        <f t="shared" ref="R16:R26" si="28">EXP($B$6+$C$6/(F16+$D$6))/1000</f>
        <v>57.32418074968534</v>
      </c>
      <c r="S16">
        <f t="shared" ref="S16:S26" si="29">O16*Q16*G16</f>
        <v>49.534013206607085</v>
      </c>
      <c r="T16">
        <f t="shared" ref="T16:T26" si="30">P16*R16*H16</f>
        <v>44.035951796794684</v>
      </c>
      <c r="U16">
        <f t="shared" ref="U16:U26" si="31">S16/$B$8</f>
        <v>0.52937921563115409</v>
      </c>
      <c r="V16">
        <f t="shared" ref="V16:V26" si="32">T16/$B$8</f>
        <v>0.47062041035368907</v>
      </c>
      <c r="W16">
        <f t="shared" ref="W16:W26" si="33">SUM(U16:V16)</f>
        <v>0.99999962598484315</v>
      </c>
      <c r="X16">
        <f t="shared" si="17"/>
        <v>3.7401515684543085E-7</v>
      </c>
    </row>
    <row r="17" spans="1:24" x14ac:dyDescent="0.25">
      <c r="D17" s="5"/>
      <c r="E17">
        <v>50.079807737684114</v>
      </c>
      <c r="F17">
        <f t="shared" si="0"/>
        <v>323.2298077376841</v>
      </c>
      <c r="G17">
        <f t="shared" si="18"/>
        <v>0.39999999999999997</v>
      </c>
      <c r="H17">
        <f t="shared" si="1"/>
        <v>0.60000000000000009</v>
      </c>
      <c r="I17">
        <f t="shared" si="19"/>
        <v>0.75364693740296529</v>
      </c>
      <c r="J17">
        <f t="shared" si="20"/>
        <v>0.79390991011170031</v>
      </c>
      <c r="K17">
        <f t="shared" si="21"/>
        <v>0.6362344430350616</v>
      </c>
      <c r="L17">
        <f t="shared" si="22"/>
        <v>0.62104859576090543</v>
      </c>
      <c r="M17">
        <f t="shared" si="23"/>
        <v>0.42107635622519424</v>
      </c>
      <c r="N17">
        <f t="shared" si="24"/>
        <v>0.19900273255156681</v>
      </c>
      <c r="O17">
        <f t="shared" si="25"/>
        <v>1.5236006103586737</v>
      </c>
      <c r="P17">
        <f t="shared" si="26"/>
        <v>1.2201853001145706</v>
      </c>
      <c r="Q17">
        <f t="shared" si="27"/>
        <v>86.542516752171892</v>
      </c>
      <c r="R17">
        <f t="shared" si="28"/>
        <v>55.766847196240143</v>
      </c>
      <c r="S17">
        <f t="shared" si="29"/>
        <v>52.742492538233925</v>
      </c>
      <c r="T17">
        <f t="shared" si="30"/>
        <v>40.827532309552609</v>
      </c>
      <c r="U17">
        <f t="shared" si="31"/>
        <v>0.56366883123045775</v>
      </c>
      <c r="V17">
        <f t="shared" si="32"/>
        <v>0.4363314343224603</v>
      </c>
      <c r="W17">
        <f t="shared" si="33"/>
        <v>1.0000002655529181</v>
      </c>
      <c r="X17">
        <f t="shared" si="17"/>
        <v>2.6555291809948756E-7</v>
      </c>
    </row>
    <row r="18" spans="1:24" x14ac:dyDescent="0.25">
      <c r="D18" s="6"/>
      <c r="E18">
        <v>49.614579248515653</v>
      </c>
      <c r="F18">
        <f t="shared" si="0"/>
        <v>322.76457924851564</v>
      </c>
      <c r="G18">
        <f t="shared" si="18"/>
        <v>0.46666666666666662</v>
      </c>
      <c r="H18">
        <f t="shared" si="1"/>
        <v>0.53333333333333344</v>
      </c>
      <c r="I18">
        <f t="shared" si="19"/>
        <v>0.75473323388218483</v>
      </c>
      <c r="J18">
        <f t="shared" si="20"/>
        <v>0.79505424109398182</v>
      </c>
      <c r="K18">
        <f t="shared" si="21"/>
        <v>0.63581989460523081</v>
      </c>
      <c r="L18">
        <f t="shared" si="22"/>
        <v>0.62062233102425568</v>
      </c>
      <c r="M18">
        <f t="shared" si="23"/>
        <v>0.33501629767792829</v>
      </c>
      <c r="N18">
        <f t="shared" si="24"/>
        <v>0.2653293495879378</v>
      </c>
      <c r="O18">
        <f t="shared" si="25"/>
        <v>1.3979631685902858</v>
      </c>
      <c r="P18">
        <f t="shared" si="26"/>
        <v>1.3038603309332375</v>
      </c>
      <c r="Q18">
        <f t="shared" si="27"/>
        <v>85.174733812952852</v>
      </c>
      <c r="R18">
        <f t="shared" si="28"/>
        <v>54.650401066638949</v>
      </c>
      <c r="S18">
        <f t="shared" si="29"/>
        <v>55.566532356995197</v>
      </c>
      <c r="T18">
        <f t="shared" si="30"/>
        <v>38.00346134420375</v>
      </c>
      <c r="U18">
        <f t="shared" si="31"/>
        <v>0.59384987022544833</v>
      </c>
      <c r="V18">
        <f t="shared" si="32"/>
        <v>0.40615006245809288</v>
      </c>
      <c r="W18">
        <f t="shared" si="33"/>
        <v>0.99999993268354115</v>
      </c>
      <c r="X18">
        <f t="shared" si="17"/>
        <v>6.7316458851607308E-8</v>
      </c>
    </row>
    <row r="19" spans="1:24" x14ac:dyDescent="0.25">
      <c r="D19" s="5"/>
      <c r="E19">
        <v>49.27900990717761</v>
      </c>
      <c r="F19">
        <f t="shared" si="0"/>
        <v>322.4290099071776</v>
      </c>
      <c r="G19">
        <f t="shared" si="18"/>
        <v>0.53333333333333333</v>
      </c>
      <c r="H19">
        <f t="shared" si="1"/>
        <v>0.46666666666666667</v>
      </c>
      <c r="I19">
        <f t="shared" si="19"/>
        <v>0.75551872565369971</v>
      </c>
      <c r="J19">
        <f t="shared" si="20"/>
        <v>0.7958816971224848</v>
      </c>
      <c r="K19">
        <f t="shared" si="21"/>
        <v>0.63552030643076318</v>
      </c>
      <c r="L19">
        <f t="shared" si="22"/>
        <v>0.62031428488543572</v>
      </c>
      <c r="M19">
        <f t="shared" si="23"/>
        <v>0.25962622435244376</v>
      </c>
      <c r="N19">
        <f t="shared" si="24"/>
        <v>0.34115895222489395</v>
      </c>
      <c r="O19">
        <f t="shared" si="25"/>
        <v>1.2964454163674131</v>
      </c>
      <c r="P19">
        <f t="shared" si="26"/>
        <v>1.4065768016060591</v>
      </c>
      <c r="Q19">
        <f t="shared" si="27"/>
        <v>84.198787071350864</v>
      </c>
      <c r="R19">
        <f t="shared" si="28"/>
        <v>53.856837720929278</v>
      </c>
      <c r="S19">
        <f t="shared" si="29"/>
        <v>58.218203499919269</v>
      </c>
      <c r="T19">
        <f t="shared" si="30"/>
        <v>35.351763321523258</v>
      </c>
      <c r="U19">
        <f t="shared" si="31"/>
        <v>0.62218877311017717</v>
      </c>
      <c r="V19">
        <f t="shared" si="32"/>
        <v>0.37781087230440591</v>
      </c>
      <c r="W19">
        <f t="shared" si="33"/>
        <v>0.99999964541458308</v>
      </c>
      <c r="X19">
        <f t="shared" si="17"/>
        <v>3.5458541691735235E-7</v>
      </c>
    </row>
    <row r="20" spans="1:24" x14ac:dyDescent="0.25">
      <c r="E20">
        <v>49.054290205782785</v>
      </c>
      <c r="F20">
        <f t="shared" si="0"/>
        <v>322.20429020578274</v>
      </c>
      <c r="G20">
        <f t="shared" si="18"/>
        <v>0.6</v>
      </c>
      <c r="H20">
        <f t="shared" si="1"/>
        <v>0.4</v>
      </c>
      <c r="I20">
        <f t="shared" si="19"/>
        <v>0.75604565824767189</v>
      </c>
      <c r="J20">
        <f t="shared" si="20"/>
        <v>0.79643678066035062</v>
      </c>
      <c r="K20">
        <f t="shared" si="21"/>
        <v>0.63531941237157119</v>
      </c>
      <c r="L20">
        <f t="shared" si="22"/>
        <v>0.62010772353628063</v>
      </c>
      <c r="M20">
        <f t="shared" si="23"/>
        <v>0.19406948323583353</v>
      </c>
      <c r="N20">
        <f t="shared" si="24"/>
        <v>0.42724037617166954</v>
      </c>
      <c r="O20">
        <f t="shared" si="25"/>
        <v>1.2141806452254342</v>
      </c>
      <c r="P20">
        <f t="shared" si="26"/>
        <v>1.5330211191857661</v>
      </c>
      <c r="Q20">
        <f t="shared" si="27"/>
        <v>83.550178713217946</v>
      </c>
      <c r="R20">
        <f t="shared" si="28"/>
        <v>53.33085576933636</v>
      </c>
      <c r="S20">
        <f t="shared" si="29"/>
        <v>60.867005939229188</v>
      </c>
      <c r="T20">
        <f t="shared" si="30"/>
        <v>32.702931279457083</v>
      </c>
      <c r="U20">
        <f t="shared" si="31"/>
        <v>0.65049701762561929</v>
      </c>
      <c r="V20">
        <f t="shared" si="32"/>
        <v>0.34950231141879967</v>
      </c>
      <c r="W20">
        <f t="shared" si="33"/>
        <v>0.99999932904441891</v>
      </c>
      <c r="X20">
        <f t="shared" si="17"/>
        <v>6.7095558109464548E-7</v>
      </c>
    </row>
    <row r="21" spans="1:24" x14ac:dyDescent="0.25">
      <c r="E21">
        <v>48.939960129820925</v>
      </c>
      <c r="F21">
        <f t="shared" si="0"/>
        <v>322.08996012982089</v>
      </c>
      <c r="G21">
        <f t="shared" si="18"/>
        <v>0.66666666666666663</v>
      </c>
      <c r="H21">
        <f t="shared" si="1"/>
        <v>0.33333333333333337</v>
      </c>
      <c r="I21">
        <f t="shared" si="19"/>
        <v>0.75631402661750013</v>
      </c>
      <c r="J21">
        <f t="shared" si="20"/>
        <v>0.79671948639136758</v>
      </c>
      <c r="K21">
        <f t="shared" si="21"/>
        <v>0.63521712082632564</v>
      </c>
      <c r="L21">
        <f t="shared" si="22"/>
        <v>0.62000254765230545</v>
      </c>
      <c r="M21">
        <f t="shared" si="23"/>
        <v>0.13781380712853963</v>
      </c>
      <c r="N21">
        <f t="shared" si="24"/>
        <v>0.52464667793350783</v>
      </c>
      <c r="O21">
        <f t="shared" si="25"/>
        <v>1.1477618253077568</v>
      </c>
      <c r="P21">
        <f t="shared" si="26"/>
        <v>1.6898616774685045</v>
      </c>
      <c r="Q21">
        <f t="shared" si="27"/>
        <v>83.221705644344723</v>
      </c>
      <c r="R21">
        <f t="shared" si="28"/>
        <v>53.064917485731577</v>
      </c>
      <c r="S21">
        <f t="shared" si="29"/>
        <v>63.679131183718631</v>
      </c>
      <c r="T21">
        <f t="shared" si="30"/>
        <v>29.890790159055385</v>
      </c>
      <c r="U21">
        <f t="shared" si="31"/>
        <v>0.68055072334849454</v>
      </c>
      <c r="V21">
        <f t="shared" si="32"/>
        <v>0.31944843602709616</v>
      </c>
      <c r="W21">
        <f t="shared" si="33"/>
        <v>0.9999991593755907</v>
      </c>
      <c r="X21">
        <f t="shared" si="17"/>
        <v>8.4062440930399163E-7</v>
      </c>
    </row>
    <row r="22" spans="1:24" x14ac:dyDescent="0.25">
      <c r="E22">
        <v>48.955511291957166</v>
      </c>
      <c r="F22">
        <f t="shared" si="0"/>
        <v>322.10551129195716</v>
      </c>
      <c r="G22">
        <f t="shared" si="18"/>
        <v>0.73333333333333328</v>
      </c>
      <c r="H22">
        <f t="shared" si="1"/>
        <v>0.26666666666666672</v>
      </c>
      <c r="I22">
        <f t="shared" si="19"/>
        <v>0.75627751199219406</v>
      </c>
      <c r="J22">
        <f t="shared" si="20"/>
        <v>0.79668102100199778</v>
      </c>
      <c r="K22">
        <f t="shared" si="21"/>
        <v>0.63523103780787016</v>
      </c>
      <c r="L22">
        <f t="shared" si="22"/>
        <v>0.62001685700107267</v>
      </c>
      <c r="M22">
        <f t="shared" si="23"/>
        <v>9.0636227061788394E-2</v>
      </c>
      <c r="N22">
        <f t="shared" si="24"/>
        <v>0.63478358456796902</v>
      </c>
      <c r="O22">
        <f t="shared" si="25"/>
        <v>1.0948706484943886</v>
      </c>
      <c r="P22">
        <f t="shared" si="26"/>
        <v>1.8866138049334984</v>
      </c>
      <c r="Q22">
        <f t="shared" si="27"/>
        <v>83.266324485373985</v>
      </c>
      <c r="R22">
        <f t="shared" si="28"/>
        <v>53.101024634199156</v>
      </c>
      <c r="S22">
        <f t="shared" si="29"/>
        <v>66.854960103833449</v>
      </c>
      <c r="T22">
        <f t="shared" si="30"/>
        <v>26.714966968265045</v>
      </c>
      <c r="U22">
        <f t="shared" si="31"/>
        <v>0.71449139792490601</v>
      </c>
      <c r="V22">
        <f t="shared" si="32"/>
        <v>0.28550782268104141</v>
      </c>
      <c r="W22">
        <f t="shared" si="33"/>
        <v>0.99999922060594737</v>
      </c>
      <c r="X22">
        <f t="shared" si="17"/>
        <v>7.7939405263016681E-7</v>
      </c>
    </row>
    <row r="23" spans="1:24" x14ac:dyDescent="0.25">
      <c r="E23">
        <v>49.148882753403285</v>
      </c>
      <c r="F23">
        <f t="shared" si="0"/>
        <v>322.29888275340329</v>
      </c>
      <c r="G23">
        <f t="shared" si="18"/>
        <v>0.79999999999999993</v>
      </c>
      <c r="H23">
        <f t="shared" si="1"/>
        <v>0.20000000000000007</v>
      </c>
      <c r="I23">
        <f t="shared" si="19"/>
        <v>0.75582376394782158</v>
      </c>
      <c r="J23">
        <f t="shared" si="20"/>
        <v>0.79620303183858077</v>
      </c>
      <c r="K23">
        <f t="shared" si="21"/>
        <v>0.63540400225616389</v>
      </c>
      <c r="L23">
        <f t="shared" si="22"/>
        <v>0.62019469930513138</v>
      </c>
      <c r="M23">
        <f t="shared" si="23"/>
        <v>5.2635371710630319E-2</v>
      </c>
      <c r="N23">
        <f t="shared" si="24"/>
        <v>0.75938539187113963</v>
      </c>
      <c r="O23">
        <f t="shared" si="25"/>
        <v>1.0540452403282849</v>
      </c>
      <c r="P23">
        <f t="shared" si="26"/>
        <v>2.1369624223268264</v>
      </c>
      <c r="Q23">
        <f t="shared" si="27"/>
        <v>83.822718542007948</v>
      </c>
      <c r="R23">
        <f t="shared" si="28"/>
        <v>53.551730818947782</v>
      </c>
      <c r="S23">
        <f t="shared" si="29"/>
        <v>70.682350008464766</v>
      </c>
      <c r="T23">
        <f t="shared" si="30"/>
        <v>22.88760728213057</v>
      </c>
      <c r="U23">
        <f t="shared" si="31"/>
        <v>0.75539542597482923</v>
      </c>
      <c r="V23">
        <f t="shared" si="32"/>
        <v>0.24460411758181652</v>
      </c>
      <c r="W23">
        <f t="shared" si="33"/>
        <v>0.99999954355664578</v>
      </c>
      <c r="X23">
        <f t="shared" si="17"/>
        <v>4.564433542242341E-7</v>
      </c>
    </row>
    <row r="24" spans="1:24" x14ac:dyDescent="0.25">
      <c r="E24">
        <v>49.617239923737777</v>
      </c>
      <c r="F24">
        <f t="shared" si="0"/>
        <v>322.76723992373775</v>
      </c>
      <c r="G24">
        <f t="shared" si="18"/>
        <v>0.86666666666666659</v>
      </c>
      <c r="H24">
        <f t="shared" si="1"/>
        <v>0.13333333333333341</v>
      </c>
      <c r="I24">
        <f t="shared" si="19"/>
        <v>0.75472701237093365</v>
      </c>
      <c r="J24">
        <f t="shared" si="20"/>
        <v>0.79504768720356844</v>
      </c>
      <c r="K24">
        <f t="shared" si="21"/>
        <v>0.63582226806603759</v>
      </c>
      <c r="L24">
        <f t="shared" si="22"/>
        <v>0.62062477152350148</v>
      </c>
      <c r="M24">
        <f t="shared" si="23"/>
        <v>2.4253866946865595E-2</v>
      </c>
      <c r="N24">
        <f t="shared" si="24"/>
        <v>0.9004580088349794</v>
      </c>
      <c r="O24">
        <f t="shared" si="25"/>
        <v>1.0245503843560715</v>
      </c>
      <c r="P24">
        <f t="shared" si="26"/>
        <v>2.4607298891298384</v>
      </c>
      <c r="Q24">
        <f t="shared" si="27"/>
        <v>85.182507449676592</v>
      </c>
      <c r="R24">
        <f t="shared" si="28"/>
        <v>54.656732206418823</v>
      </c>
      <c r="S24">
        <f t="shared" si="29"/>
        <v>75.637267981582724</v>
      </c>
      <c r="T24">
        <f t="shared" si="30"/>
        <v>17.932727277666711</v>
      </c>
      <c r="U24">
        <f t="shared" si="31"/>
        <v>0.80834955628494953</v>
      </c>
      <c r="V24">
        <f t="shared" si="32"/>
        <v>0.19165039304976714</v>
      </c>
      <c r="W24">
        <f t="shared" si="33"/>
        <v>0.9999999493347167</v>
      </c>
      <c r="X24">
        <f t="shared" si="17"/>
        <v>5.0665283302109287E-8</v>
      </c>
    </row>
    <row r="25" spans="1:24" x14ac:dyDescent="0.25">
      <c r="E25">
        <v>50.555663660620795</v>
      </c>
      <c r="F25">
        <f t="shared" si="0"/>
        <v>323.70566366062076</v>
      </c>
      <c r="G25">
        <f t="shared" si="18"/>
        <v>0.93333333333333324</v>
      </c>
      <c r="H25">
        <f t="shared" si="1"/>
        <v>6.6666666666666763E-2</v>
      </c>
      <c r="I25">
        <f t="shared" si="19"/>
        <v>0.75253905638874163</v>
      </c>
      <c r="J25">
        <f t="shared" si="20"/>
        <v>0.79274284145824347</v>
      </c>
      <c r="K25">
        <f t="shared" si="21"/>
        <v>0.63665750686681988</v>
      </c>
      <c r="L25">
        <f t="shared" si="22"/>
        <v>0.62148363186726163</v>
      </c>
      <c r="M25">
        <f t="shared" si="23"/>
        <v>6.3075774363805749E-3</v>
      </c>
      <c r="N25">
        <f t="shared" si="24"/>
        <v>1.0600557446582275</v>
      </c>
      <c r="O25">
        <f t="shared" si="25"/>
        <v>1.0063275120940307</v>
      </c>
      <c r="P25">
        <f t="shared" si="26"/>
        <v>2.8865318935170072</v>
      </c>
      <c r="Q25">
        <f t="shared" si="27"/>
        <v>87.959410439663586</v>
      </c>
      <c r="R25">
        <f t="shared" si="28"/>
        <v>56.928586503767612</v>
      </c>
      <c r="S25">
        <f t="shared" si="29"/>
        <v>82.614909694804069</v>
      </c>
      <c r="T25">
        <f t="shared" si="30"/>
        <v>10.955078706397821</v>
      </c>
      <c r="U25">
        <f t="shared" si="31"/>
        <v>0.88292091156144148</v>
      </c>
      <c r="V25">
        <f t="shared" si="32"/>
        <v>0.11707896448004511</v>
      </c>
      <c r="W25">
        <f t="shared" si="33"/>
        <v>0.99999987604148655</v>
      </c>
      <c r="X25">
        <f t="shared" si="17"/>
        <v>1.2395851345381459E-7</v>
      </c>
    </row>
    <row r="26" spans="1:24" x14ac:dyDescent="0.25">
      <c r="E26">
        <v>52.382583155088533</v>
      </c>
      <c r="F26">
        <f t="shared" si="0"/>
        <v>325.5325831550885</v>
      </c>
      <c r="G26">
        <f t="shared" si="18"/>
        <v>0.99999999999999989</v>
      </c>
      <c r="H26">
        <f t="shared" si="1"/>
        <v>0</v>
      </c>
      <c r="I26">
        <f t="shared" si="19"/>
        <v>0.7483157363783759</v>
      </c>
      <c r="J26">
        <f t="shared" si="20"/>
        <v>0.78829389402225103</v>
      </c>
      <c r="K26">
        <f t="shared" si="21"/>
        <v>0.63827283765321807</v>
      </c>
      <c r="L26">
        <f t="shared" si="22"/>
        <v>0.62314481684455802</v>
      </c>
      <c r="M26">
        <f t="shared" si="23"/>
        <v>0</v>
      </c>
      <c r="N26">
        <f t="shared" si="24"/>
        <v>1.2395369905885552</v>
      </c>
      <c r="O26">
        <f t="shared" si="25"/>
        <v>1</v>
      </c>
      <c r="P26">
        <f t="shared" si="26"/>
        <v>3.4540138535522744</v>
      </c>
      <c r="Q26">
        <f t="shared" si="27"/>
        <v>93.569949269692515</v>
      </c>
      <c r="R26">
        <f t="shared" si="28"/>
        <v>61.579708915723884</v>
      </c>
      <c r="S26">
        <f t="shared" si="29"/>
        <v>93.569949269692501</v>
      </c>
      <c r="T26">
        <f t="shared" si="30"/>
        <v>0</v>
      </c>
      <c r="U26">
        <f t="shared" si="31"/>
        <v>0.99999945783576472</v>
      </c>
      <c r="V26">
        <f t="shared" si="32"/>
        <v>0</v>
      </c>
      <c r="W26">
        <f t="shared" si="33"/>
        <v>0.99999945783576472</v>
      </c>
      <c r="X26">
        <f t="shared" si="17"/>
        <v>5.4216423528430369E-7</v>
      </c>
    </row>
    <row r="27" spans="1:24" x14ac:dyDescent="0.25">
      <c r="X27">
        <f>SUM(W11:W26)</f>
        <v>15.999997465239002</v>
      </c>
    </row>
    <row r="29" spans="1:24" x14ac:dyDescent="0.25">
      <c r="A29" t="s">
        <v>91</v>
      </c>
      <c r="B29" t="s">
        <v>92</v>
      </c>
    </row>
    <row r="30" spans="1:24" x14ac:dyDescent="0.25">
      <c r="A30">
        <v>0</v>
      </c>
      <c r="B30">
        <v>0</v>
      </c>
      <c r="D30">
        <v>0</v>
      </c>
      <c r="E30">
        <v>0</v>
      </c>
    </row>
    <row r="31" spans="1:24" x14ac:dyDescent="0.25">
      <c r="A31">
        <f>A30+1/15</f>
        <v>6.6666666666666666E-2</v>
      </c>
      <c r="B31">
        <v>0.22857589652565294</v>
      </c>
      <c r="D31">
        <v>1</v>
      </c>
      <c r="E31">
        <v>1</v>
      </c>
    </row>
    <row r="32" spans="1:24" x14ac:dyDescent="0.25">
      <c r="A32">
        <f t="shared" ref="A32:A45" si="34">A31+1/15</f>
        <v>0.13333333333333333</v>
      </c>
      <c r="B32">
        <v>0.35403221348012948</v>
      </c>
    </row>
    <row r="33" spans="1:2" x14ac:dyDescent="0.25">
      <c r="A33">
        <f t="shared" si="34"/>
        <v>0.2</v>
      </c>
      <c r="B33">
        <v>0.43275274529943036</v>
      </c>
    </row>
    <row r="34" spans="1:2" x14ac:dyDescent="0.25">
      <c r="A34">
        <f t="shared" si="34"/>
        <v>0.26666666666666666</v>
      </c>
      <c r="B34">
        <v>0.48762808775160926</v>
      </c>
    </row>
    <row r="35" spans="1:2" x14ac:dyDescent="0.25">
      <c r="A35">
        <f t="shared" si="34"/>
        <v>0.33333333333333331</v>
      </c>
      <c r="B35">
        <v>0.52937921563115409</v>
      </c>
    </row>
    <row r="36" spans="1:2" x14ac:dyDescent="0.25">
      <c r="A36">
        <f t="shared" si="34"/>
        <v>0.39999999999999997</v>
      </c>
      <c r="B36">
        <v>0.56366883123045775</v>
      </c>
    </row>
    <row r="37" spans="1:2" x14ac:dyDescent="0.25">
      <c r="A37">
        <f t="shared" si="34"/>
        <v>0.46666666666666662</v>
      </c>
      <c r="B37">
        <v>0.59384987022544833</v>
      </c>
    </row>
    <row r="38" spans="1:2" x14ac:dyDescent="0.25">
      <c r="A38">
        <f t="shared" si="34"/>
        <v>0.53333333333333333</v>
      </c>
      <c r="B38">
        <v>0.62218877311017717</v>
      </c>
    </row>
    <row r="39" spans="1:2" x14ac:dyDescent="0.25">
      <c r="A39">
        <f t="shared" si="34"/>
        <v>0.6</v>
      </c>
      <c r="B39">
        <v>0.65049701762561929</v>
      </c>
    </row>
    <row r="40" spans="1:2" x14ac:dyDescent="0.25">
      <c r="A40">
        <f t="shared" si="34"/>
        <v>0.66666666666666663</v>
      </c>
      <c r="B40">
        <v>0.68055072334849454</v>
      </c>
    </row>
    <row r="41" spans="1:2" x14ac:dyDescent="0.25">
      <c r="A41">
        <f t="shared" si="34"/>
        <v>0.73333333333333328</v>
      </c>
      <c r="B41">
        <v>0.71449139792490601</v>
      </c>
    </row>
    <row r="42" spans="1:2" x14ac:dyDescent="0.25">
      <c r="A42">
        <f t="shared" si="34"/>
        <v>0.79999999999999993</v>
      </c>
      <c r="B42">
        <v>0.75539542597482923</v>
      </c>
    </row>
    <row r="43" spans="1:2" x14ac:dyDescent="0.25">
      <c r="A43">
        <f t="shared" si="34"/>
        <v>0.86666666666666659</v>
      </c>
      <c r="B43">
        <v>0.80834955628494953</v>
      </c>
    </row>
    <row r="44" spans="1:2" x14ac:dyDescent="0.25">
      <c r="A44">
        <f t="shared" si="34"/>
        <v>0.93333333333333324</v>
      </c>
      <c r="B44">
        <v>0.88292091156144148</v>
      </c>
    </row>
    <row r="45" spans="1:2" x14ac:dyDescent="0.25">
      <c r="A45">
        <f t="shared" si="34"/>
        <v>0.99999999999999989</v>
      </c>
      <c r="B45">
        <v>0.99999945783576472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5"/>
  <sheetViews>
    <sheetView zoomScale="70" zoomScaleNormal="70" workbookViewId="0">
      <selection activeCell="A10" sqref="A10"/>
    </sheetView>
  </sheetViews>
  <sheetFormatPr defaultRowHeight="15" x14ac:dyDescent="0.25"/>
  <cols>
    <col min="4" max="4" width="13.5703125" bestFit="1" customWidth="1"/>
    <col min="6" max="7" width="12" bestFit="1" customWidth="1"/>
    <col min="8" max="8" width="10" bestFit="1" customWidth="1"/>
    <col min="15" max="15" width="11" bestFit="1" customWidth="1"/>
    <col min="21" max="23" width="12" bestFit="1" customWidth="1"/>
    <col min="28" max="28" width="15.85546875" bestFit="1" customWidth="1"/>
    <col min="35" max="36" width="16.85546875" bestFit="1" customWidth="1"/>
    <col min="37" max="37" width="11.5703125" customWidth="1"/>
    <col min="38" max="38" width="9.28515625" bestFit="1" customWidth="1"/>
  </cols>
  <sheetData>
    <row r="1" spans="1:38" ht="15.75" thickBot="1" x14ac:dyDescent="0.3">
      <c r="C1" s="79" t="s">
        <v>33</v>
      </c>
      <c r="D1" s="80"/>
      <c r="E1" s="80"/>
      <c r="F1" s="23"/>
      <c r="H1" t="s">
        <v>6</v>
      </c>
      <c r="J1" s="81" t="s">
        <v>69</v>
      </c>
      <c r="K1" s="1" t="s">
        <v>70</v>
      </c>
      <c r="L1" s="1" t="s">
        <v>71</v>
      </c>
      <c r="M1" s="81" t="s">
        <v>72</v>
      </c>
      <c r="N1" s="81" t="s">
        <v>73</v>
      </c>
      <c r="P1" t="s">
        <v>79</v>
      </c>
      <c r="Q1">
        <f>8.314/1000</f>
        <v>8.3140000000000002E-3</v>
      </c>
    </row>
    <row r="2" spans="1:38" ht="15.75" thickBot="1" x14ac:dyDescent="0.3">
      <c r="C2" t="s">
        <v>2</v>
      </c>
      <c r="D2" t="s">
        <v>3</v>
      </c>
      <c r="E2" t="s">
        <v>4</v>
      </c>
      <c r="H2">
        <v>50</v>
      </c>
      <c r="J2" s="82"/>
      <c r="K2" s="78" t="s">
        <v>74</v>
      </c>
      <c r="L2" s="78"/>
      <c r="M2" s="82"/>
      <c r="N2" s="82"/>
    </row>
    <row r="3" spans="1:38" ht="15.75" thickBot="1" x14ac:dyDescent="0.3">
      <c r="A3" t="s">
        <v>2</v>
      </c>
      <c r="B3" t="s">
        <v>31</v>
      </c>
      <c r="C3">
        <v>20.840540000000001</v>
      </c>
      <c r="D3">
        <v>-2624.5250000000001</v>
      </c>
      <c r="E3">
        <v>-46.151710000000001</v>
      </c>
      <c r="F3">
        <v>55</v>
      </c>
      <c r="J3" s="78" t="s">
        <v>75</v>
      </c>
      <c r="K3" s="78"/>
      <c r="L3" s="78"/>
      <c r="M3" s="78"/>
      <c r="N3" s="78"/>
    </row>
    <row r="4" spans="1:38" x14ac:dyDescent="0.25">
      <c r="A4" t="s">
        <v>3</v>
      </c>
      <c r="B4" t="s">
        <v>30</v>
      </c>
      <c r="C4">
        <v>23.534700000000001</v>
      </c>
      <c r="D4">
        <v>-3661.4679999999998</v>
      </c>
      <c r="E4">
        <v>-32.770009999999999</v>
      </c>
      <c r="F4">
        <v>65</v>
      </c>
      <c r="J4" s="16" t="s">
        <v>76</v>
      </c>
      <c r="K4" s="17">
        <v>5.5736999999999997</v>
      </c>
      <c r="L4" s="17">
        <v>7.4991000000000003</v>
      </c>
      <c r="M4" s="16">
        <v>6.4999999999999997E-3</v>
      </c>
      <c r="N4" s="16">
        <v>0.4</v>
      </c>
    </row>
    <row r="5" spans="1:38" x14ac:dyDescent="0.25">
      <c r="A5" t="s">
        <v>4</v>
      </c>
      <c r="B5" t="s">
        <v>32</v>
      </c>
      <c r="C5" t="s">
        <v>80</v>
      </c>
      <c r="D5" t="s">
        <v>80</v>
      </c>
      <c r="E5" t="s">
        <v>80</v>
      </c>
      <c r="J5" s="18" t="s">
        <v>77</v>
      </c>
      <c r="K5" s="19">
        <v>19.269400000000001</v>
      </c>
      <c r="L5" s="19">
        <v>16.212</v>
      </c>
      <c r="M5" s="18"/>
      <c r="N5" s="18"/>
    </row>
    <row r="6" spans="1:38" ht="15.75" thickBot="1" x14ac:dyDescent="0.3">
      <c r="J6" s="20" t="s">
        <v>78</v>
      </c>
      <c r="K6" s="21">
        <v>10.6456</v>
      </c>
      <c r="L6" s="21">
        <v>0.56320000000000003</v>
      </c>
      <c r="M6" s="22"/>
      <c r="N6" s="22"/>
    </row>
    <row r="10" spans="1:38" x14ac:dyDescent="0.25">
      <c r="A10" t="s">
        <v>34</v>
      </c>
    </row>
    <row r="12" spans="1:38" ht="15.75" thickBot="1" x14ac:dyDescent="0.3"/>
    <row r="13" spans="1:38" ht="15.75" thickBot="1" x14ac:dyDescent="0.3">
      <c r="A13" s="15" t="s">
        <v>35</v>
      </c>
      <c r="B13" s="29" t="s">
        <v>36</v>
      </c>
      <c r="C13" s="30" t="s">
        <v>37</v>
      </c>
      <c r="D13" s="31" t="s">
        <v>38</v>
      </c>
      <c r="E13" s="32" t="s">
        <v>39</v>
      </c>
      <c r="F13" s="30" t="s">
        <v>40</v>
      </c>
      <c r="G13" s="31" t="s">
        <v>41</v>
      </c>
      <c r="H13" s="36" t="s">
        <v>42</v>
      </c>
      <c r="I13" s="42" t="s">
        <v>44</v>
      </c>
      <c r="J13" s="43" t="s">
        <v>45</v>
      </c>
      <c r="K13" s="44" t="s">
        <v>46</v>
      </c>
      <c r="L13" s="43" t="s">
        <v>47</v>
      </c>
      <c r="M13" s="44" t="s">
        <v>48</v>
      </c>
      <c r="N13" s="43" t="s">
        <v>49</v>
      </c>
      <c r="O13" s="43" t="s">
        <v>50</v>
      </c>
      <c r="P13" s="44" t="s">
        <v>51</v>
      </c>
      <c r="Q13" s="43" t="s">
        <v>52</v>
      </c>
      <c r="R13" s="44" t="s">
        <v>53</v>
      </c>
      <c r="S13" s="43" t="s">
        <v>54</v>
      </c>
      <c r="T13" s="45" t="s">
        <v>55</v>
      </c>
      <c r="U13" s="46" t="s">
        <v>56</v>
      </c>
      <c r="V13" s="47" t="s">
        <v>57</v>
      </c>
      <c r="W13" s="48" t="s">
        <v>58</v>
      </c>
      <c r="X13" s="49" t="s">
        <v>59</v>
      </c>
      <c r="Y13" s="50" t="s">
        <v>60</v>
      </c>
      <c r="Z13" s="51" t="s">
        <v>61</v>
      </c>
      <c r="AA13" s="46" t="s">
        <v>62</v>
      </c>
      <c r="AB13" s="47" t="s">
        <v>63</v>
      </c>
      <c r="AC13" s="48" t="s">
        <v>64</v>
      </c>
      <c r="AD13" s="57" t="s">
        <v>84</v>
      </c>
      <c r="AE13" s="58" t="s">
        <v>85</v>
      </c>
      <c r="AF13" s="59" t="s">
        <v>86</v>
      </c>
      <c r="AG13" s="60" t="s">
        <v>87</v>
      </c>
      <c r="AH13" s="46" t="s">
        <v>65</v>
      </c>
      <c r="AI13" s="50" t="s">
        <v>66</v>
      </c>
      <c r="AJ13" s="48" t="s">
        <v>67</v>
      </c>
      <c r="AK13" s="55" t="s">
        <v>68</v>
      </c>
      <c r="AL13" s="56" t="s">
        <v>88</v>
      </c>
    </row>
    <row r="14" spans="1:38" x14ac:dyDescent="0.25">
      <c r="A14" s="67">
        <v>0</v>
      </c>
      <c r="B14">
        <f>A14+273.15</f>
        <v>273.14999999999998</v>
      </c>
      <c r="C14" s="68">
        <f>1-E14-D14</f>
        <v>-9.9999997171806854E-10</v>
      </c>
      <c r="D14" s="69">
        <v>1</v>
      </c>
      <c r="E14" s="70">
        <f>10^-9</f>
        <v>1.0000000000000001E-9</v>
      </c>
      <c r="F14" s="37">
        <f>EXP($C$3+$D$3/($E$3+$B14))/1000</f>
        <v>10.707168645552084</v>
      </c>
      <c r="G14" s="6">
        <f>EXP($C$4+$D$4/($E$4+$B14))/1000</f>
        <v>4.0347516584176812</v>
      </c>
      <c r="H14" s="38">
        <v>0</v>
      </c>
      <c r="I14" s="37">
        <f>$K$4/$Q$1/$B14</f>
        <v>2.4543266572847688</v>
      </c>
      <c r="J14" s="6">
        <f>$L$4/$Q$1/$B14</f>
        <v>3.3021585366353072</v>
      </c>
      <c r="K14" s="6">
        <f>$K$5/$Q$1/$B14</f>
        <v>8.4851000394501188</v>
      </c>
      <c r="L14" s="6">
        <f>$L$5/$Q$1/$B14</f>
        <v>7.1388025490967717</v>
      </c>
      <c r="M14" s="6">
        <f>$K$6/$Q$1/$B14</f>
        <v>4.6876903785260673</v>
      </c>
      <c r="N14" s="6">
        <f>$L$6/$Q$1/$B14</f>
        <v>0.24799985169327055</v>
      </c>
      <c r="O14" s="6">
        <f>EXP(-$N$4*I14)</f>
        <v>0.37466212359213008</v>
      </c>
      <c r="P14" s="6">
        <f t="shared" ref="P14" si="0">EXP(-$N$4*J14)</f>
        <v>0.26690475297551042</v>
      </c>
      <c r="Q14" s="6">
        <f>EXP(-$N$4*K14)</f>
        <v>3.3572768034808312E-2</v>
      </c>
      <c r="R14" s="6">
        <f t="shared" ref="R14:T14" si="1">EXP(-$N$4*L14)</f>
        <v>5.7525841218501204E-2</v>
      </c>
      <c r="S14" s="6">
        <f t="shared" si="1"/>
        <v>0.15334328909255152</v>
      </c>
      <c r="T14" s="38">
        <f t="shared" si="1"/>
        <v>0.90556163131594225</v>
      </c>
      <c r="U14" s="37">
        <f>D14*J14*P14+E14*L14*R14</f>
        <v>0.88136180891728522</v>
      </c>
      <c r="V14" s="6">
        <f>C14*K14*O14+E14*N14*T14</f>
        <v>-2.9544663594970286E-9</v>
      </c>
      <c r="W14" s="38">
        <f>C14*K14*Q14+D14*M14*S14</f>
        <v>0.71882586060582676</v>
      </c>
      <c r="X14" s="37">
        <f>C14+P14*D14+R14*E14</f>
        <v>0.26690475203303626</v>
      </c>
      <c r="Y14" s="6">
        <f>O14*C14+D14+T14*E14</f>
        <v>1.0000000005308995</v>
      </c>
      <c r="Z14" s="38">
        <f>Q14*C14+S14*D14+E14</f>
        <v>0.15334329005897876</v>
      </c>
      <c r="AA14" s="52">
        <f>EXP((X14/U14)-(C14*X14/U14^2)+(D14*$O$14/V14)*($I$14-Y14/V14)+(E14*$Q$14/W14)*($K$14-Z14/W14))</f>
        <v>0</v>
      </c>
      <c r="AB14" s="6">
        <f>EXP((Y14/V14)-(D14*Y14/V14^2)+(C14*$P$14/U14)*($J$14-X14/U14)+(E14*$S$14/W14)*($M$14-Z14/W14))</f>
        <v>0</v>
      </c>
      <c r="AC14" s="38">
        <f>EXP((Z14/W14)-(E14*Z14/W14^2)+(C14*$R$14/U14)*($L$14-X14/U14)+(D14*$T$14/V14)*($N$14-Y14/V14))</f>
        <v>0</v>
      </c>
      <c r="AD14" s="37">
        <f>(AA14*C14*F14)</f>
        <v>0</v>
      </c>
      <c r="AE14" s="6">
        <f>(AB14*D14*G14)</f>
        <v>0</v>
      </c>
      <c r="AF14" s="38">
        <f t="shared" ref="AF14" si="2">(AC14*E14*H14)</f>
        <v>0</v>
      </c>
      <c r="AG14" s="53">
        <f>SUM(AD14:AF14)</f>
        <v>0</v>
      </c>
      <c r="AH14" s="74">
        <f t="shared" ref="AH14:AH45" si="3">(AA14*C14*F14)/$H$2</f>
        <v>0</v>
      </c>
      <c r="AI14" s="75">
        <f t="shared" ref="AI14:AI45" si="4">(AB14*D14*G14)/$H$2</f>
        <v>0</v>
      </c>
      <c r="AJ14" s="38">
        <f t="shared" ref="AJ14:AJ45" si="5">(AC14*E14*H14)/$H$2</f>
        <v>0</v>
      </c>
      <c r="AK14" s="64">
        <f>SUM(AH14:AJ14)</f>
        <v>0</v>
      </c>
      <c r="AL14" s="62">
        <f>ABS(1-AK14)</f>
        <v>1</v>
      </c>
    </row>
    <row r="15" spans="1:38" x14ac:dyDescent="0.25">
      <c r="A15" s="67">
        <v>59.640732117733009</v>
      </c>
      <c r="B15">
        <f t="shared" ref="B15:B33" si="6">A15+273.15</f>
        <v>332.790732117733</v>
      </c>
      <c r="C15" s="68">
        <f t="shared" ref="C15:C33" si="7">1-E15-D15</f>
        <v>1.9999999000000046E-2</v>
      </c>
      <c r="D15" s="69">
        <v>0.98</v>
      </c>
      <c r="E15" s="70">
        <f t="shared" ref="E15:E64" si="8">10^-9</f>
        <v>1.0000000000000001E-9</v>
      </c>
      <c r="F15" s="37">
        <f t="shared" ref="F15:F34" si="9">EXP($C$3+$D$3/($E$3+$B15))/1000</f>
        <v>118.69794394081822</v>
      </c>
      <c r="G15" s="6">
        <f t="shared" ref="G15:G64" si="10">EXP($C$4+$D$4/($E$4+$B15))/1000</f>
        <v>83.337144896991859</v>
      </c>
      <c r="H15" s="38">
        <v>0</v>
      </c>
      <c r="I15" s="37">
        <f t="shared" ref="I15:I64" si="11">$K$4/$Q$1/$B15</f>
        <v>2.0144771525673502</v>
      </c>
      <c r="J15" s="6">
        <f t="shared" ref="J15:J64" si="12">$L$4/$Q$1/$B15</f>
        <v>2.710365756107759</v>
      </c>
      <c r="K15" s="6">
        <f t="shared" ref="K15:K64" si="13">$K$5/$Q$1/$B15</f>
        <v>6.9644519876709001</v>
      </c>
      <c r="L15" s="6">
        <f t="shared" ref="L15:L64" si="14">$L$5/$Q$1/$B15</f>
        <v>5.8594297499725281</v>
      </c>
      <c r="M15" s="6">
        <f t="shared" ref="M15:M64" si="15">$K$6/$Q$1/$B15</f>
        <v>3.8475910033498368</v>
      </c>
      <c r="N15" s="6">
        <f t="shared" ref="N15:N64" si="16">$L$6/$Q$1/$B15</f>
        <v>0.20355482575774292</v>
      </c>
      <c r="O15" s="6">
        <f t="shared" ref="O15:O33" si="17">EXP(-$N$4*I15)</f>
        <v>0.44673448192384108</v>
      </c>
      <c r="P15" s="6">
        <f t="shared" ref="P15:P33" si="18">EXP(-$N$4*J15)</f>
        <v>0.33819037499017812</v>
      </c>
      <c r="Q15" s="6">
        <f t="shared" ref="Q15:Q33" si="19">EXP(-$N$4*K15)</f>
        <v>6.1680910074062678E-2</v>
      </c>
      <c r="R15" s="6">
        <f t="shared" ref="R15:R33" si="20">EXP(-$N$4*L15)</f>
        <v>9.5964984389881852E-2</v>
      </c>
      <c r="S15" s="6">
        <f t="shared" ref="S15:S33" si="21">EXP(-$N$4*M15)</f>
        <v>0.21458777832985759</v>
      </c>
      <c r="T15" s="38">
        <f t="shared" ref="T15:T33" si="22">EXP(-$N$4*N15)</f>
        <v>0.92180467205616801</v>
      </c>
      <c r="U15" s="37">
        <f t="shared" ref="U15:U33" si="23">D15*J15*P15+E15*L15*R15</f>
        <v>0.89828721975254833</v>
      </c>
      <c r="V15" s="6">
        <f t="shared" ref="V15:V33" si="24">C15*K15*O15+E15*N15*T15</f>
        <v>6.2225214088289578E-2</v>
      </c>
      <c r="W15" s="38">
        <f t="shared" ref="W15:W33" si="25">C15*K15*Q15+D15*M15*S15</f>
        <v>0.81772455952993273</v>
      </c>
      <c r="X15" s="37">
        <f t="shared" ref="X15:X33" si="26">C15+P15*D15+R15*E15</f>
        <v>0.35142656658633958</v>
      </c>
      <c r="Y15" s="6">
        <f t="shared" ref="Y15:Y33" si="27">O15*C15+D15+T15*E15</f>
        <v>0.98893469011354695</v>
      </c>
      <c r="Z15" s="38">
        <f t="shared" ref="Z15:Z33" si="28">Q15*C15+S15*D15+E15</f>
        <v>0.21152964190306078</v>
      </c>
      <c r="AA15" s="37">
        <f t="shared" ref="AA15:AA33" si="29">EXP((X15/U15)-(C15*X15/U15^2)+(D15*$O$14/V15)*($I$14-Y15/V15)+(E15*$Q$14/W15)*($K$14-Z15/W15))</f>
        <v>5.3503297681561528E-35</v>
      </c>
      <c r="AB15" s="6">
        <f t="shared" ref="AB15:AB33" si="30">EXP((Y15/V15)-(D15*Y15/V15^2)+(C15*$P$14/U15)*($J$14-X15/U15)+(E15*$S$14/W15)*($M$14-Z15/W15))</f>
        <v>1.6060610829077308E-102</v>
      </c>
      <c r="AC15" s="38">
        <f t="shared" ref="AC15:AC33" si="31">EXP((Z15/W15)-(E15*Z15/W15^2)+(C15*$R$14/U15)*($L$14-X15/U15)+(D15*$T$14/V15)*($N$14-Y15/V15))</f>
        <v>1.6371094518882882E-97</v>
      </c>
      <c r="AD15" s="37">
        <f t="shared" ref="AD15:AD64" si="32">(AA15*C15*F15)</f>
        <v>1.2701462222636685E-34</v>
      </c>
      <c r="AE15" s="6">
        <f t="shared" ref="AE15:AE64" si="33">(AB15*D15*G15)</f>
        <v>1.3116765427610721E-100</v>
      </c>
      <c r="AF15" s="38">
        <f t="shared" ref="AF15:AF64" si="34">(AC15*E15*H15)</f>
        <v>0</v>
      </c>
      <c r="AG15" s="53">
        <f t="shared" ref="AG15:AG64" si="35">SUM(AD15:AF15)</f>
        <v>1.2701462222636685E-34</v>
      </c>
      <c r="AH15" s="74">
        <f t="shared" si="3"/>
        <v>2.540292444527337E-36</v>
      </c>
      <c r="AI15" s="75">
        <f t="shared" si="4"/>
        <v>2.623353085522144E-102</v>
      </c>
      <c r="AJ15" s="38">
        <f t="shared" si="5"/>
        <v>0</v>
      </c>
      <c r="AK15" s="64">
        <f t="shared" ref="AK15:AK33" si="36">SUM(AH15:AJ15)</f>
        <v>2.540292444527337E-36</v>
      </c>
      <c r="AL15" s="61">
        <f t="shared" ref="AL15:AL64" si="37">ABS(1-AK15)</f>
        <v>1</v>
      </c>
    </row>
    <row r="16" spans="1:38" x14ac:dyDescent="0.25">
      <c r="A16" s="67">
        <v>59.600074371769772</v>
      </c>
      <c r="B16">
        <f t="shared" si="6"/>
        <v>332.75007437176976</v>
      </c>
      <c r="C16" s="68">
        <f t="shared" si="7"/>
        <v>3.9999999000000064E-2</v>
      </c>
      <c r="D16" s="69">
        <v>0.96</v>
      </c>
      <c r="E16" s="70">
        <f t="shared" si="8"/>
        <v>1.0000000000000001E-9</v>
      </c>
      <c r="F16" s="37">
        <f t="shared" si="9"/>
        <v>118.54386398006896</v>
      </c>
      <c r="G16" s="6">
        <f t="shared" si="10"/>
        <v>83.19941304588481</v>
      </c>
      <c r="H16" s="38">
        <v>0</v>
      </c>
      <c r="I16" s="37">
        <f t="shared" si="11"/>
        <v>2.0147232955636292</v>
      </c>
      <c r="J16" s="6">
        <f t="shared" si="12"/>
        <v>2.7106969276712438</v>
      </c>
      <c r="K16" s="6">
        <f t="shared" si="13"/>
        <v>6.9653029534301796</v>
      </c>
      <c r="L16" s="6">
        <f t="shared" si="14"/>
        <v>5.8601456963377201</v>
      </c>
      <c r="M16" s="6">
        <f t="shared" si="15"/>
        <v>3.8480611290977573</v>
      </c>
      <c r="N16" s="6">
        <f t="shared" si="16"/>
        <v>0.20357969751896154</v>
      </c>
      <c r="O16" s="6">
        <f t="shared" si="17"/>
        <v>0.44669049986348303</v>
      </c>
      <c r="P16" s="6">
        <f t="shared" si="18"/>
        <v>0.3381455783432224</v>
      </c>
      <c r="Q16" s="6">
        <f t="shared" si="19"/>
        <v>6.1659918309930173E-2</v>
      </c>
      <c r="R16" s="6">
        <f t="shared" si="20"/>
        <v>9.5937506011974705E-2</v>
      </c>
      <c r="S16" s="6">
        <f t="shared" si="21"/>
        <v>0.21454742882793174</v>
      </c>
      <c r="T16" s="38">
        <f t="shared" si="22"/>
        <v>0.92179550133950905</v>
      </c>
      <c r="U16" s="37">
        <f t="shared" si="23"/>
        <v>0.87994577366997306</v>
      </c>
      <c r="V16" s="6">
        <f t="shared" si="24"/>
        <v>0.12445338339505724</v>
      </c>
      <c r="W16" s="38">
        <f t="shared" si="25"/>
        <v>0.80974715638682326</v>
      </c>
      <c r="X16" s="37">
        <f t="shared" si="26"/>
        <v>0.36461975430543103</v>
      </c>
      <c r="Y16" s="6">
        <f t="shared" si="27"/>
        <v>0.97786762046964437</v>
      </c>
      <c r="Z16" s="38">
        <f t="shared" si="28"/>
        <v>0.20843192934555174</v>
      </c>
      <c r="AA16" s="37">
        <f t="shared" si="29"/>
        <v>2.4566507945977244E-7</v>
      </c>
      <c r="AB16" s="6">
        <f t="shared" si="30"/>
        <v>1.2746706057621823E-23</v>
      </c>
      <c r="AC16" s="38">
        <f t="shared" si="31"/>
        <v>1.0849206195005156E-23</v>
      </c>
      <c r="AD16" s="37">
        <f t="shared" si="32"/>
        <v>1.1648834814431981E-6</v>
      </c>
      <c r="AE16" s="6">
        <f t="shared" si="33"/>
        <v>1.0180977237720576E-21</v>
      </c>
      <c r="AF16" s="38">
        <f t="shared" si="34"/>
        <v>0</v>
      </c>
      <c r="AG16" s="53">
        <f t="shared" si="35"/>
        <v>1.1648834814431992E-6</v>
      </c>
      <c r="AH16" s="74">
        <f t="shared" si="3"/>
        <v>2.3297669628863963E-8</v>
      </c>
      <c r="AI16" s="75">
        <f t="shared" si="4"/>
        <v>2.0361954475441152E-23</v>
      </c>
      <c r="AJ16" s="38">
        <f t="shared" si="5"/>
        <v>0</v>
      </c>
      <c r="AK16" s="64">
        <f t="shared" si="36"/>
        <v>2.3297669628863983E-8</v>
      </c>
      <c r="AL16" s="61">
        <f t="shared" si="37"/>
        <v>0.99999997670233032</v>
      </c>
    </row>
    <row r="17" spans="1:38" x14ac:dyDescent="0.25">
      <c r="A17" s="67">
        <v>176.36652386330627</v>
      </c>
      <c r="B17">
        <f t="shared" si="6"/>
        <v>449.51652386330625</v>
      </c>
      <c r="C17" s="68">
        <f t="shared" si="7"/>
        <v>5.9999999000000082E-2</v>
      </c>
      <c r="D17" s="69">
        <v>0.94</v>
      </c>
      <c r="E17" s="70">
        <f t="shared" si="8"/>
        <v>1.0000000000000001E-9</v>
      </c>
      <c r="F17" s="37">
        <f t="shared" si="9"/>
        <v>1679.4233820382576</v>
      </c>
      <c r="G17" s="6">
        <f t="shared" si="10"/>
        <v>2543.0137698066683</v>
      </c>
      <c r="H17" s="38">
        <v>0</v>
      </c>
      <c r="I17" s="37">
        <f t="shared" si="11"/>
        <v>1.4913786053417621</v>
      </c>
      <c r="J17" s="6">
        <f t="shared" si="12"/>
        <v>2.0065660690956473</v>
      </c>
      <c r="K17" s="6">
        <f t="shared" si="13"/>
        <v>5.1559952810112764</v>
      </c>
      <c r="L17" s="6">
        <f t="shared" si="14"/>
        <v>4.3379137646089037</v>
      </c>
      <c r="M17" s="6">
        <f t="shared" si="15"/>
        <v>2.8484884513027726</v>
      </c>
      <c r="N17" s="6">
        <f t="shared" si="16"/>
        <v>0.15069781842016622</v>
      </c>
      <c r="O17" s="6">
        <f t="shared" si="17"/>
        <v>0.55070751191698519</v>
      </c>
      <c r="P17" s="6">
        <f t="shared" si="18"/>
        <v>0.44815038251434164</v>
      </c>
      <c r="Q17" s="6">
        <f t="shared" si="19"/>
        <v>0.12714868714609046</v>
      </c>
      <c r="R17" s="6">
        <f t="shared" si="20"/>
        <v>0.1763710074382473</v>
      </c>
      <c r="S17" s="6">
        <f t="shared" si="21"/>
        <v>0.32001244909567178</v>
      </c>
      <c r="T17" s="38">
        <f t="shared" si="22"/>
        <v>0.94150169801265815</v>
      </c>
      <c r="U17" s="37">
        <f t="shared" si="23"/>
        <v>0.84528875108626456</v>
      </c>
      <c r="V17" s="6">
        <f t="shared" si="24"/>
        <v>0.17036671726212338</v>
      </c>
      <c r="W17" s="38">
        <f t="shared" si="25"/>
        <v>0.8961933407899525</v>
      </c>
      <c r="X17" s="37">
        <f t="shared" si="26"/>
        <v>0.48126135873985221</v>
      </c>
      <c r="Y17" s="6">
        <f t="shared" si="27"/>
        <v>0.97304245110581322</v>
      </c>
      <c r="Z17" s="38">
        <f t="shared" si="28"/>
        <v>0.30844062425154822</v>
      </c>
      <c r="AA17" s="37">
        <f t="shared" si="29"/>
        <v>2.0208909604595066E-3</v>
      </c>
      <c r="AB17" s="6">
        <f t="shared" si="30"/>
        <v>6.5615451032311513E-12</v>
      </c>
      <c r="AC17" s="38">
        <f t="shared" si="31"/>
        <v>2.0221118131518712E-12</v>
      </c>
      <c r="AD17" s="37">
        <f t="shared" si="32"/>
        <v>0.2036358884987956</v>
      </c>
      <c r="AE17" s="6">
        <f t="shared" si="33"/>
        <v>1.5684933575800874E-8</v>
      </c>
      <c r="AF17" s="38">
        <f t="shared" si="34"/>
        <v>0</v>
      </c>
      <c r="AG17" s="53">
        <f t="shared" si="35"/>
        <v>0.20363590418372918</v>
      </c>
      <c r="AH17" s="74">
        <f>(AA17*C17*F17)/$H$2</f>
        <v>4.072717769975912E-3</v>
      </c>
      <c r="AI17" s="75">
        <f>(AB17*D17*G17)/$H$2</f>
        <v>3.1369867151601747E-10</v>
      </c>
      <c r="AJ17" s="38">
        <f t="shared" si="5"/>
        <v>0</v>
      </c>
      <c r="AK17" s="64">
        <f t="shared" si="36"/>
        <v>4.0727180836745832E-3</v>
      </c>
      <c r="AL17" s="61">
        <f t="shared" si="37"/>
        <v>0.9959272819163254</v>
      </c>
    </row>
    <row r="18" spans="1:38" x14ac:dyDescent="0.25">
      <c r="A18" s="67">
        <v>281.18672675043911</v>
      </c>
      <c r="B18">
        <f t="shared" si="6"/>
        <v>554.33672675043908</v>
      </c>
      <c r="C18" s="68">
        <f t="shared" si="7"/>
        <v>7.9999998999999988E-2</v>
      </c>
      <c r="D18" s="69">
        <v>0.92</v>
      </c>
      <c r="E18" s="70">
        <f t="shared" si="8"/>
        <v>1.0000000000000001E-9</v>
      </c>
      <c r="F18" s="37">
        <f t="shared" si="9"/>
        <v>6427.0946433760191</v>
      </c>
      <c r="G18" s="6">
        <f t="shared" si="10"/>
        <v>14865.690475479672</v>
      </c>
      <c r="H18" s="38">
        <v>0</v>
      </c>
      <c r="I18" s="37">
        <f t="shared" si="11"/>
        <v>1.2093720190023538</v>
      </c>
      <c r="J18" s="6">
        <f t="shared" si="12"/>
        <v>1.6271420614135228</v>
      </c>
      <c r="K18" s="6">
        <f t="shared" si="13"/>
        <v>4.1810418901203787</v>
      </c>
      <c r="L18" s="6">
        <f t="shared" si="14"/>
        <v>3.5176523982392593</v>
      </c>
      <c r="M18" s="6">
        <f t="shared" si="15"/>
        <v>2.3098643209163496</v>
      </c>
      <c r="N18" s="6">
        <f t="shared" si="16"/>
        <v>0.12220218546066808</v>
      </c>
      <c r="O18" s="6">
        <f t="shared" si="17"/>
        <v>0.61646803454962606</v>
      </c>
      <c r="P18" s="6">
        <f t="shared" si="18"/>
        <v>0.52159866669001897</v>
      </c>
      <c r="Q18" s="6">
        <f t="shared" si="19"/>
        <v>0.18779266770995606</v>
      </c>
      <c r="R18" s="6">
        <f t="shared" si="20"/>
        <v>0.24486188568407785</v>
      </c>
      <c r="S18" s="6">
        <f t="shared" si="21"/>
        <v>0.39694969134945424</v>
      </c>
      <c r="T18" s="38">
        <f t="shared" si="22"/>
        <v>0.95229456580875593</v>
      </c>
      <c r="U18" s="37">
        <f t="shared" si="23"/>
        <v>0.78081792022999807</v>
      </c>
      <c r="V18" s="6">
        <f t="shared" si="24"/>
        <v>0.20619829164866682</v>
      </c>
      <c r="W18" s="38">
        <f t="shared" si="25"/>
        <v>0.9063614549501664</v>
      </c>
      <c r="X18" s="37">
        <f t="shared" si="26"/>
        <v>0.55987077259967943</v>
      </c>
      <c r="Y18" s="6">
        <f t="shared" si="27"/>
        <v>0.96931744309979662</v>
      </c>
      <c r="Z18" s="38">
        <f t="shared" si="28"/>
        <v>0.38021713027050175</v>
      </c>
      <c r="AA18" s="37">
        <f t="shared" si="29"/>
        <v>4.4516617056931322E-2</v>
      </c>
      <c r="AB18" s="6">
        <f t="shared" si="30"/>
        <v>9.1903541093634294E-8</v>
      </c>
      <c r="AC18" s="38">
        <f t="shared" si="31"/>
        <v>2.4270614099471346E-8</v>
      </c>
      <c r="AD18" s="37">
        <f t="shared" si="32"/>
        <v>22.889000596113473</v>
      </c>
      <c r="AE18" s="6">
        <f t="shared" si="33"/>
        <v>1.2569128278586146E-3</v>
      </c>
      <c r="AF18" s="38">
        <f t="shared" si="34"/>
        <v>0</v>
      </c>
      <c r="AG18" s="53">
        <f t="shared" si="35"/>
        <v>22.890257508941332</v>
      </c>
      <c r="AH18" s="74">
        <f t="shared" si="3"/>
        <v>0.45778001192226947</v>
      </c>
      <c r="AI18" s="75">
        <f t="shared" si="4"/>
        <v>2.5138256557172292E-5</v>
      </c>
      <c r="AJ18" s="38">
        <f t="shared" si="5"/>
        <v>0</v>
      </c>
      <c r="AK18" s="64">
        <f t="shared" si="36"/>
        <v>0.45780515017882661</v>
      </c>
      <c r="AL18" s="61">
        <f t="shared" si="37"/>
        <v>0.54219484982117339</v>
      </c>
    </row>
    <row r="19" spans="1:38" x14ac:dyDescent="0.25">
      <c r="A19" s="28">
        <v>129.01250918030235</v>
      </c>
      <c r="B19">
        <f t="shared" si="6"/>
        <v>402.16250918030232</v>
      </c>
      <c r="C19" s="33">
        <f t="shared" si="7"/>
        <v>9.9999999000000006E-2</v>
      </c>
      <c r="D19" s="34">
        <v>0.9</v>
      </c>
      <c r="E19" s="35">
        <f t="shared" si="8"/>
        <v>1.0000000000000001E-9</v>
      </c>
      <c r="F19" s="37">
        <f t="shared" si="9"/>
        <v>706.79955735087265</v>
      </c>
      <c r="G19" s="6">
        <f t="shared" si="10"/>
        <v>824.52757580865489</v>
      </c>
      <c r="H19" s="38">
        <v>0</v>
      </c>
      <c r="I19" s="37">
        <f t="shared" si="11"/>
        <v>1.6669861340475502</v>
      </c>
      <c r="J19" s="6">
        <f t="shared" si="12"/>
        <v>2.2428361264215844</v>
      </c>
      <c r="K19" s="6">
        <f t="shared" si="13"/>
        <v>5.763105766621071</v>
      </c>
      <c r="L19" s="6">
        <f t="shared" si="14"/>
        <v>4.8486964144426299</v>
      </c>
      <c r="M19" s="6">
        <f t="shared" si="15"/>
        <v>3.1838935695528288</v>
      </c>
      <c r="N19" s="6">
        <f t="shared" si="16"/>
        <v>0.16844225392388903</v>
      </c>
      <c r="O19" s="6">
        <f t="shared" si="17"/>
        <v>0.51335151521541</v>
      </c>
      <c r="P19" s="6">
        <f t="shared" si="18"/>
        <v>0.40773637604113344</v>
      </c>
      <c r="Q19" s="6">
        <f t="shared" si="19"/>
        <v>9.9734631361289364E-2</v>
      </c>
      <c r="R19" s="6">
        <f t="shared" si="20"/>
        <v>0.14377890147458147</v>
      </c>
      <c r="S19" s="6">
        <f t="shared" si="21"/>
        <v>0.27983435845188454</v>
      </c>
      <c r="T19" s="38">
        <f t="shared" si="22"/>
        <v>0.93484279121368785</v>
      </c>
      <c r="U19" s="37">
        <f t="shared" si="23"/>
        <v>0.8230372875142834</v>
      </c>
      <c r="V19" s="6">
        <f t="shared" si="24"/>
        <v>0.29584990496312735</v>
      </c>
      <c r="W19" s="38">
        <f t="shared" si="25"/>
        <v>0.85934465531163295</v>
      </c>
      <c r="X19" s="37">
        <f t="shared" si="26"/>
        <v>0.46696273758079898</v>
      </c>
      <c r="Y19" s="6">
        <f t="shared" si="27"/>
        <v>0.95133515194303231</v>
      </c>
      <c r="Z19" s="38">
        <f t="shared" si="28"/>
        <v>0.26182438664309043</v>
      </c>
      <c r="AA19" s="37">
        <f t="shared" si="29"/>
        <v>0.69126301666912693</v>
      </c>
      <c r="AB19" s="6">
        <f t="shared" si="30"/>
        <v>1.5371325950727451E-3</v>
      </c>
      <c r="AC19" s="38">
        <f t="shared" si="31"/>
        <v>3.9981114709000893E-4</v>
      </c>
      <c r="AD19" s="37">
        <f t="shared" si="32"/>
        <v>48.858438930892383</v>
      </c>
      <c r="AE19" s="6">
        <f t="shared" si="33"/>
        <v>1.1406673910806175</v>
      </c>
      <c r="AF19" s="38">
        <f t="shared" si="34"/>
        <v>0</v>
      </c>
      <c r="AG19" s="53">
        <f t="shared" si="35"/>
        <v>49.999106321973002</v>
      </c>
      <c r="AH19" s="74">
        <f t="shared" si="3"/>
        <v>0.97716877861784768</v>
      </c>
      <c r="AI19" s="75">
        <f t="shared" si="4"/>
        <v>2.2813347821612352E-2</v>
      </c>
      <c r="AJ19" s="38">
        <f t="shared" si="5"/>
        <v>0</v>
      </c>
      <c r="AK19" s="65">
        <f t="shared" si="36"/>
        <v>0.99998212643946005</v>
      </c>
      <c r="AL19" s="53">
        <f t="shared" si="37"/>
        <v>1.7873560539949374E-5</v>
      </c>
    </row>
    <row r="20" spans="1:38" x14ac:dyDescent="0.25">
      <c r="A20" s="28">
        <v>85.164485841716726</v>
      </c>
      <c r="B20">
        <f t="shared" si="6"/>
        <v>358.3144858417167</v>
      </c>
      <c r="C20" s="33">
        <f t="shared" si="7"/>
        <v>0.11999999900000002</v>
      </c>
      <c r="D20" s="34">
        <v>0.88</v>
      </c>
      <c r="E20" s="35">
        <f t="shared" si="8"/>
        <v>1.0000000000000001E-9</v>
      </c>
      <c r="F20" s="37">
        <f t="shared" si="9"/>
        <v>250.94454672866934</v>
      </c>
      <c r="G20" s="6">
        <f t="shared" si="10"/>
        <v>216.96410121689149</v>
      </c>
      <c r="H20" s="38">
        <v>0</v>
      </c>
      <c r="I20" s="37">
        <f t="shared" si="11"/>
        <v>1.8709802503867496</v>
      </c>
      <c r="J20" s="6">
        <f t="shared" si="12"/>
        <v>2.517298741531707</v>
      </c>
      <c r="K20" s="6">
        <f t="shared" si="13"/>
        <v>6.4683543852023675</v>
      </c>
      <c r="L20" s="6">
        <f t="shared" si="14"/>
        <v>5.4420460052155635</v>
      </c>
      <c r="M20" s="6">
        <f t="shared" si="15"/>
        <v>3.5735162196596848</v>
      </c>
      <c r="N20" s="6">
        <f t="shared" si="16"/>
        <v>0.18905504010223326</v>
      </c>
      <c r="O20" s="6">
        <f t="shared" si="17"/>
        <v>0.47312668179001593</v>
      </c>
      <c r="P20" s="6">
        <f t="shared" si="18"/>
        <v>0.36534268727589475</v>
      </c>
      <c r="Q20" s="6">
        <f t="shared" si="19"/>
        <v>7.5219727091729013E-2</v>
      </c>
      <c r="R20" s="6">
        <f t="shared" si="20"/>
        <v>0.11340175608089322</v>
      </c>
      <c r="S20" s="6">
        <f t="shared" si="21"/>
        <v>0.23945099715080967</v>
      </c>
      <c r="T20" s="38">
        <f t="shared" si="22"/>
        <v>0.9271665944348283</v>
      </c>
      <c r="U20" s="37">
        <f t="shared" si="23"/>
        <v>0.80931548509566875</v>
      </c>
      <c r="V20" s="6">
        <f t="shared" si="24"/>
        <v>0.36724212274445789</v>
      </c>
      <c r="W20" s="38">
        <f t="shared" si="25"/>
        <v>0.81138592118020436</v>
      </c>
      <c r="X20" s="37">
        <f t="shared" si="26"/>
        <v>0.44150156391618917</v>
      </c>
      <c r="Y20" s="6">
        <f t="shared" si="27"/>
        <v>0.93677520226884181</v>
      </c>
      <c r="Z20" s="38">
        <f t="shared" si="28"/>
        <v>0.21974324566850026</v>
      </c>
      <c r="AA20" s="37">
        <f t="shared" si="29"/>
        <v>1.4593509545557717</v>
      </c>
      <c r="AB20" s="6">
        <f t="shared" si="30"/>
        <v>3.1666786598194128E-2</v>
      </c>
      <c r="AC20" s="38">
        <f t="shared" si="31"/>
        <v>9.372607237896631E-3</v>
      </c>
      <c r="AD20" s="37">
        <f t="shared" si="32"/>
        <v>43.945939290869731</v>
      </c>
      <c r="AE20" s="6">
        <f t="shared" si="33"/>
        <v>6.0460891855797794</v>
      </c>
      <c r="AF20" s="38">
        <f t="shared" si="34"/>
        <v>0</v>
      </c>
      <c r="AG20" s="53">
        <f t="shared" si="35"/>
        <v>49.992028476449512</v>
      </c>
      <c r="AH20" s="74">
        <f t="shared" si="3"/>
        <v>0.87891878581739458</v>
      </c>
      <c r="AI20" s="75">
        <f t="shared" si="4"/>
        <v>0.12092178371159559</v>
      </c>
      <c r="AJ20" s="38">
        <f t="shared" si="5"/>
        <v>0</v>
      </c>
      <c r="AK20" s="65">
        <f t="shared" si="36"/>
        <v>0.99984056952899014</v>
      </c>
      <c r="AL20" s="53">
        <f t="shared" si="37"/>
        <v>1.5943047100985819E-4</v>
      </c>
    </row>
    <row r="21" spans="1:38" x14ac:dyDescent="0.25">
      <c r="A21" s="28">
        <v>63.736398092428146</v>
      </c>
      <c r="B21">
        <f t="shared" si="6"/>
        <v>336.88639809242812</v>
      </c>
      <c r="C21" s="33">
        <f t="shared" si="7"/>
        <v>0.13999999900000004</v>
      </c>
      <c r="D21" s="34">
        <v>0.86</v>
      </c>
      <c r="E21" s="35">
        <f t="shared" si="8"/>
        <v>1.0000000000000001E-9</v>
      </c>
      <c r="F21" s="37">
        <f t="shared" si="9"/>
        <v>135.03960823868988</v>
      </c>
      <c r="G21" s="6">
        <f t="shared" si="10"/>
        <v>98.224095111377281</v>
      </c>
      <c r="H21" s="38">
        <v>0</v>
      </c>
      <c r="I21" s="37">
        <f t="shared" si="11"/>
        <v>1.9899863284281483</v>
      </c>
      <c r="J21" s="6">
        <f t="shared" si="12"/>
        <v>2.6774147290875949</v>
      </c>
      <c r="K21" s="6">
        <f t="shared" si="13"/>
        <v>6.8797822912990227</v>
      </c>
      <c r="L21" s="6">
        <f t="shared" si="14"/>
        <v>5.78819426170715</v>
      </c>
      <c r="M21" s="6">
        <f t="shared" si="15"/>
        <v>3.800814263041552</v>
      </c>
      <c r="N21" s="6">
        <f t="shared" si="16"/>
        <v>0.2010801263381117</v>
      </c>
      <c r="O21" s="6">
        <f t="shared" si="17"/>
        <v>0.45113234647161238</v>
      </c>
      <c r="P21" s="6">
        <f t="shared" si="18"/>
        <v>0.34267736831380574</v>
      </c>
      <c r="Q21" s="6">
        <f t="shared" si="19"/>
        <v>6.3805689434397447E-2</v>
      </c>
      <c r="R21" s="6">
        <f t="shared" si="20"/>
        <v>9.8738759978392071E-2</v>
      </c>
      <c r="S21" s="6">
        <f t="shared" si="21"/>
        <v>0.21864066294934173</v>
      </c>
      <c r="T21" s="38">
        <f t="shared" si="22"/>
        <v>0.92271759962066591</v>
      </c>
      <c r="U21" s="37">
        <f t="shared" si="23"/>
        <v>0.78904091316510716</v>
      </c>
      <c r="V21" s="6">
        <f t="shared" si="24"/>
        <v>0.43451692304210837</v>
      </c>
      <c r="W21" s="38">
        <f t="shared" si="25"/>
        <v>0.77612648806481377</v>
      </c>
      <c r="X21" s="37">
        <f t="shared" si="26"/>
        <v>0.43470253584861174</v>
      </c>
      <c r="Y21" s="6">
        <f t="shared" si="27"/>
        <v>0.92315852897761097</v>
      </c>
      <c r="Z21" s="38">
        <f t="shared" si="28"/>
        <v>0.19696376759344383</v>
      </c>
      <c r="AA21" s="37">
        <f t="shared" si="29"/>
        <v>2.0091375356624841</v>
      </c>
      <c r="AB21" s="6">
        <f t="shared" si="30"/>
        <v>0.14225960188135944</v>
      </c>
      <c r="AC21" s="38">
        <f t="shared" si="31"/>
        <v>4.7723214491001704E-2</v>
      </c>
      <c r="AD21" s="37">
        <f t="shared" si="32"/>
        <v>37.98384012857808</v>
      </c>
      <c r="AE21" s="6">
        <f t="shared" si="33"/>
        <v>12.017055772503131</v>
      </c>
      <c r="AF21" s="38">
        <f t="shared" si="34"/>
        <v>0</v>
      </c>
      <c r="AG21" s="53">
        <f t="shared" si="35"/>
        <v>50.000895901081208</v>
      </c>
      <c r="AH21" s="74">
        <f t="shared" si="3"/>
        <v>0.75967680257156156</v>
      </c>
      <c r="AI21" s="75">
        <f t="shared" si="4"/>
        <v>0.24034111545006262</v>
      </c>
      <c r="AJ21" s="38">
        <f t="shared" si="5"/>
        <v>0</v>
      </c>
      <c r="AK21" s="65">
        <f t="shared" si="36"/>
        <v>1.0000179180216242</v>
      </c>
      <c r="AL21" s="53">
        <f t="shared" si="37"/>
        <v>1.791802162420808E-5</v>
      </c>
    </row>
    <row r="22" spans="1:38" x14ac:dyDescent="0.25">
      <c r="A22" s="28">
        <v>51.063748390973458</v>
      </c>
      <c r="B22">
        <f t="shared" si="6"/>
        <v>324.21374839097342</v>
      </c>
      <c r="C22" s="33">
        <f t="shared" si="7"/>
        <v>0.15999999900000006</v>
      </c>
      <c r="D22" s="34">
        <v>0.84</v>
      </c>
      <c r="E22" s="35">
        <f t="shared" si="8"/>
        <v>1.0000000000000001E-9</v>
      </c>
      <c r="F22" s="37">
        <f t="shared" si="9"/>
        <v>89.492393499525505</v>
      </c>
      <c r="G22" s="6">
        <f t="shared" si="10"/>
        <v>58.19141119891426</v>
      </c>
      <c r="H22" s="38">
        <v>0</v>
      </c>
      <c r="I22" s="37">
        <f t="shared" si="11"/>
        <v>2.0677695802982781</v>
      </c>
      <c r="J22" s="6">
        <f t="shared" si="12"/>
        <v>2.7820677215520782</v>
      </c>
      <c r="K22" s="6">
        <f t="shared" si="13"/>
        <v>7.1486946105100087</v>
      </c>
      <c r="L22" s="6">
        <f t="shared" si="14"/>
        <v>6.0144393196253265</v>
      </c>
      <c r="M22" s="6">
        <f t="shared" si="15"/>
        <v>3.9493779435605343</v>
      </c>
      <c r="N22" s="6">
        <f t="shared" si="16"/>
        <v>0.20893981154780311</v>
      </c>
      <c r="O22" s="6">
        <f t="shared" si="17"/>
        <v>0.43731223951782144</v>
      </c>
      <c r="P22" s="6">
        <f t="shared" si="18"/>
        <v>0.32862858443471121</v>
      </c>
      <c r="Q22" s="6">
        <f t="shared" si="19"/>
        <v>5.7298671288997044E-2</v>
      </c>
      <c r="R22" s="6">
        <f t="shared" si="20"/>
        <v>9.0195501302710548E-2</v>
      </c>
      <c r="S22" s="6">
        <f t="shared" si="21"/>
        <v>0.20602635583613005</v>
      </c>
      <c r="T22" s="38">
        <f t="shared" si="22"/>
        <v>0.91982124694215883</v>
      </c>
      <c r="U22" s="37">
        <f t="shared" si="23"/>
        <v>0.76798426133601128</v>
      </c>
      <c r="V22" s="6">
        <f t="shared" si="24"/>
        <v>0.50019386102615371</v>
      </c>
      <c r="W22" s="38">
        <f t="shared" si="25"/>
        <v>0.74902550625802289</v>
      </c>
      <c r="X22" s="37">
        <f t="shared" si="26"/>
        <v>0.43604801001535298</v>
      </c>
      <c r="Y22" s="6">
        <f t="shared" si="27"/>
        <v>0.90996995880536036</v>
      </c>
      <c r="Z22" s="38">
        <f t="shared" si="28"/>
        <v>0.18222992725129009</v>
      </c>
      <c r="AA22" s="37">
        <f t="shared" si="29"/>
        <v>2.3375061970241799</v>
      </c>
      <c r="AB22" s="6">
        <f t="shared" si="30"/>
        <v>0.33829180264025982</v>
      </c>
      <c r="AC22" s="38">
        <f t="shared" si="31"/>
        <v>0.12651180610649224</v>
      </c>
      <c r="AD22" s="37">
        <f t="shared" si="32"/>
        <v>33.470243693477755</v>
      </c>
      <c r="AE22" s="6">
        <f t="shared" si="33"/>
        <v>16.535969009835497</v>
      </c>
      <c r="AF22" s="38">
        <f t="shared" si="34"/>
        <v>0</v>
      </c>
      <c r="AG22" s="53">
        <f t="shared" si="35"/>
        <v>50.006212703313253</v>
      </c>
      <c r="AH22" s="74">
        <f t="shared" si="3"/>
        <v>0.66940487386955505</v>
      </c>
      <c r="AI22" s="75">
        <f t="shared" si="4"/>
        <v>0.33071938019670993</v>
      </c>
      <c r="AJ22" s="38">
        <f t="shared" si="5"/>
        <v>0</v>
      </c>
      <c r="AK22" s="65">
        <f t="shared" si="36"/>
        <v>1.0001242540662649</v>
      </c>
      <c r="AL22" s="53">
        <f t="shared" si="37"/>
        <v>1.242540662649283E-4</v>
      </c>
    </row>
    <row r="23" spans="1:38" x14ac:dyDescent="0.25">
      <c r="A23" s="28">
        <v>43.053565901058988</v>
      </c>
      <c r="B23">
        <f t="shared" si="6"/>
        <v>316.20356590105894</v>
      </c>
      <c r="C23" s="33">
        <f t="shared" si="7"/>
        <v>0.17999999900000008</v>
      </c>
      <c r="D23" s="34">
        <v>0.82</v>
      </c>
      <c r="E23" s="35">
        <f t="shared" si="8"/>
        <v>1.0000000000000001E-9</v>
      </c>
      <c r="F23" s="37">
        <f t="shared" si="9"/>
        <v>67.639240873278055</v>
      </c>
      <c r="G23" s="6">
        <f t="shared" si="10"/>
        <v>40.800160648617307</v>
      </c>
      <c r="H23" s="38">
        <v>0</v>
      </c>
      <c r="I23" s="37">
        <f t="shared" si="11"/>
        <v>2.1201510632144629</v>
      </c>
      <c r="J23" s="6">
        <f t="shared" si="12"/>
        <v>2.8525440619609199</v>
      </c>
      <c r="K23" s="6">
        <f t="shared" si="13"/>
        <v>7.3297879142230062</v>
      </c>
      <c r="L23" s="6">
        <f t="shared" si="14"/>
        <v>6.1667992602459538</v>
      </c>
      <c r="M23" s="6">
        <f t="shared" si="15"/>
        <v>4.0494250064689323</v>
      </c>
      <c r="N23" s="6">
        <f t="shared" si="16"/>
        <v>0.21423275002285477</v>
      </c>
      <c r="O23" s="6">
        <f t="shared" si="17"/>
        <v>0.42824473962005954</v>
      </c>
      <c r="P23" s="6">
        <f t="shared" si="18"/>
        <v>0.31949373159295946</v>
      </c>
      <c r="Q23" s="6">
        <f t="shared" si="19"/>
        <v>5.3294871833771108E-2</v>
      </c>
      <c r="R23" s="6">
        <f t="shared" si="20"/>
        <v>8.4862777946866613E-2</v>
      </c>
      <c r="S23" s="6">
        <f t="shared" si="21"/>
        <v>0.19794422050703073</v>
      </c>
      <c r="T23" s="38">
        <f t="shared" si="22"/>
        <v>0.9178758840987461</v>
      </c>
      <c r="U23" s="37">
        <f t="shared" si="23"/>
        <v>0.7473233569725023</v>
      </c>
      <c r="V23" s="6">
        <f t="shared" si="24"/>
        <v>0.56500975808110054</v>
      </c>
      <c r="W23" s="38">
        <f t="shared" si="25"/>
        <v>0.72759464560554299</v>
      </c>
      <c r="X23" s="37">
        <f t="shared" si="26"/>
        <v>0.44198485899108958</v>
      </c>
      <c r="Y23" s="6">
        <f t="shared" si="27"/>
        <v>0.89708405362124188</v>
      </c>
      <c r="Z23" s="38">
        <f t="shared" si="28"/>
        <v>0.17190733869254912</v>
      </c>
      <c r="AA23" s="37">
        <f t="shared" si="29"/>
        <v>2.5097493793713164</v>
      </c>
      <c r="AB23" s="6">
        <f t="shared" si="30"/>
        <v>0.58141914614347379</v>
      </c>
      <c r="AC23" s="38">
        <f t="shared" si="31"/>
        <v>0.23841358946660321</v>
      </c>
      <c r="AD23" s="37">
        <f t="shared" si="32"/>
        <v>30.556357534756653</v>
      </c>
      <c r="AE23" s="6">
        <f t="shared" si="33"/>
        <v>19.45203554480522</v>
      </c>
      <c r="AF23" s="38">
        <f t="shared" si="34"/>
        <v>0</v>
      </c>
      <c r="AG23" s="53">
        <f t="shared" si="35"/>
        <v>50.00839307956187</v>
      </c>
      <c r="AH23" s="74">
        <f t="shared" si="3"/>
        <v>0.61112715069513301</v>
      </c>
      <c r="AI23" s="75">
        <f t="shared" si="4"/>
        <v>0.38904071089610442</v>
      </c>
      <c r="AJ23" s="38">
        <f t="shared" si="5"/>
        <v>0</v>
      </c>
      <c r="AK23" s="65">
        <f t="shared" si="36"/>
        <v>1.0001678615912375</v>
      </c>
      <c r="AL23" s="53">
        <f t="shared" si="37"/>
        <v>1.6786159123749478E-4</v>
      </c>
    </row>
    <row r="24" spans="1:38" x14ac:dyDescent="0.25">
      <c r="A24" s="28">
        <v>37.758464239426893</v>
      </c>
      <c r="B24">
        <f t="shared" si="6"/>
        <v>310.90846423942685</v>
      </c>
      <c r="C24" s="33">
        <f t="shared" si="7"/>
        <v>0.19999999899999998</v>
      </c>
      <c r="D24" s="34">
        <v>0.8</v>
      </c>
      <c r="E24" s="35">
        <f t="shared" si="8"/>
        <v>1.0000000000000001E-9</v>
      </c>
      <c r="F24" s="37">
        <f t="shared" si="9"/>
        <v>55.690946838560599</v>
      </c>
      <c r="G24" s="6">
        <f t="shared" si="10"/>
        <v>31.904682059294178</v>
      </c>
      <c r="H24" s="38">
        <v>0</v>
      </c>
      <c r="I24" s="37">
        <f t="shared" si="11"/>
        <v>2.1562594896775411</v>
      </c>
      <c r="J24" s="6">
        <f t="shared" si="12"/>
        <v>2.9011259197733734</v>
      </c>
      <c r="K24" s="6">
        <f t="shared" si="13"/>
        <v>7.4546219944368035</v>
      </c>
      <c r="L24" s="6">
        <f t="shared" si="14"/>
        <v>6.2718264073510053</v>
      </c>
      <c r="M24" s="6">
        <f t="shared" si="15"/>
        <v>4.1183910191275519</v>
      </c>
      <c r="N24" s="6">
        <f t="shared" si="16"/>
        <v>0.21788136149889503</v>
      </c>
      <c r="O24" s="6">
        <f t="shared" si="17"/>
        <v>0.42210389613717925</v>
      </c>
      <c r="P24" s="6">
        <f t="shared" si="18"/>
        <v>0.3133450285543366</v>
      </c>
      <c r="Q24" s="6">
        <f t="shared" si="19"/>
        <v>5.0699014939510685E-2</v>
      </c>
      <c r="R24" s="6">
        <f t="shared" si="20"/>
        <v>8.1371469663951965E-2</v>
      </c>
      <c r="S24" s="6">
        <f t="shared" si="21"/>
        <v>0.19255828195967339</v>
      </c>
      <c r="T24" s="38">
        <f t="shared" si="22"/>
        <v>0.91653727215760417</v>
      </c>
      <c r="U24" s="37">
        <f t="shared" si="23"/>
        <v>0.72724270784723877</v>
      </c>
      <c r="V24" s="6">
        <f t="shared" si="24"/>
        <v>0.62932499466940828</v>
      </c>
      <c r="W24" s="38">
        <f t="shared" si="25"/>
        <v>0.71001263726000918</v>
      </c>
      <c r="X24" s="37">
        <f t="shared" si="26"/>
        <v>0.45067602192484074</v>
      </c>
      <c r="Y24" s="6">
        <f t="shared" si="27"/>
        <v>0.88442077972186928</v>
      </c>
      <c r="Z24" s="38">
        <f t="shared" si="28"/>
        <v>0.16418642950494186</v>
      </c>
      <c r="AA24" s="37">
        <f t="shared" si="29"/>
        <v>2.5828099224848473</v>
      </c>
      <c r="AB24" s="6">
        <f t="shared" si="30"/>
        <v>0.83173778355781958</v>
      </c>
      <c r="AC24" s="38">
        <f t="shared" si="31"/>
        <v>0.36865029300871005</v>
      </c>
      <c r="AD24" s="37">
        <f t="shared" si="32"/>
        <v>28.767825873602956</v>
      </c>
      <c r="AE24" s="6">
        <f t="shared" si="33"/>
        <v>21.229063632891418</v>
      </c>
      <c r="AF24" s="38">
        <f t="shared" si="34"/>
        <v>0</v>
      </c>
      <c r="AG24" s="53">
        <f t="shared" si="35"/>
        <v>49.996889506494369</v>
      </c>
      <c r="AH24" s="74">
        <f t="shared" si="3"/>
        <v>0.57535651747205907</v>
      </c>
      <c r="AI24" s="75">
        <f t="shared" si="4"/>
        <v>0.42458127265782836</v>
      </c>
      <c r="AJ24" s="38">
        <f t="shared" si="5"/>
        <v>0</v>
      </c>
      <c r="AK24" s="65">
        <f t="shared" si="36"/>
        <v>0.99993779012988737</v>
      </c>
      <c r="AL24" s="53">
        <f t="shared" si="37"/>
        <v>6.2209870112628352E-5</v>
      </c>
    </row>
    <row r="25" spans="1:38" x14ac:dyDescent="0.25">
      <c r="A25" s="28">
        <v>34.145190650801986</v>
      </c>
      <c r="B25">
        <f t="shared" si="6"/>
        <v>307.29519065080194</v>
      </c>
      <c r="C25" s="33">
        <f t="shared" si="7"/>
        <v>0.219999999</v>
      </c>
      <c r="D25" s="34">
        <v>0.78</v>
      </c>
      <c r="E25" s="35">
        <f t="shared" si="8"/>
        <v>1.0000000000000001E-9</v>
      </c>
      <c r="F25" s="37">
        <f t="shared" si="9"/>
        <v>48.55311139979537</v>
      </c>
      <c r="G25" s="6">
        <f t="shared" si="10"/>
        <v>26.829095848892386</v>
      </c>
      <c r="H25" s="38">
        <v>0</v>
      </c>
      <c r="I25" s="37">
        <f t="shared" si="11"/>
        <v>2.1816134675506516</v>
      </c>
      <c r="J25" s="6">
        <f t="shared" si="12"/>
        <v>2.9352382716165373</v>
      </c>
      <c r="K25" s="6">
        <f t="shared" si="13"/>
        <v>7.5422757865727483</v>
      </c>
      <c r="L25" s="6">
        <f t="shared" si="14"/>
        <v>6.3455725166283017</v>
      </c>
      <c r="M25" s="6">
        <f t="shared" si="15"/>
        <v>4.1668163572056658</v>
      </c>
      <c r="N25" s="6">
        <f t="shared" si="16"/>
        <v>0.22044327913675424</v>
      </c>
      <c r="O25" s="6">
        <f t="shared" si="17"/>
        <v>0.41784472489200292</v>
      </c>
      <c r="P25" s="6">
        <f t="shared" si="18"/>
        <v>0.30909849196581091</v>
      </c>
      <c r="Q25" s="6">
        <f t="shared" si="19"/>
        <v>4.8952231944563357E-2</v>
      </c>
      <c r="R25" s="6">
        <f t="shared" si="20"/>
        <v>7.9006195412158309E-2</v>
      </c>
      <c r="S25" s="6">
        <f t="shared" si="21"/>
        <v>0.18886429401981278</v>
      </c>
      <c r="T25" s="38">
        <f t="shared" si="22"/>
        <v>0.91559851604160869</v>
      </c>
      <c r="U25" s="37">
        <f t="shared" si="23"/>
        <v>0.70767662468860337</v>
      </c>
      <c r="V25" s="6">
        <f t="shared" si="24"/>
        <v>0.69333003029236051</v>
      </c>
      <c r="W25" s="38">
        <f t="shared" si="25"/>
        <v>0.69505747814231467</v>
      </c>
      <c r="X25" s="37">
        <f t="shared" si="26"/>
        <v>0.46109682281233871</v>
      </c>
      <c r="Y25" s="6">
        <f t="shared" si="27"/>
        <v>0.87192583997399442</v>
      </c>
      <c r="Z25" s="38">
        <f t="shared" si="28"/>
        <v>0.15808364131430569</v>
      </c>
      <c r="AA25" s="37">
        <f t="shared" si="29"/>
        <v>2.5945900418358856</v>
      </c>
      <c r="AB25" s="6">
        <f t="shared" si="30"/>
        <v>1.0647348681581057</v>
      </c>
      <c r="AC25" s="38">
        <f t="shared" si="31"/>
        <v>0.50405021027795771</v>
      </c>
      <c r="AD25" s="37">
        <f t="shared" si="32"/>
        <v>27.714592128397229</v>
      </c>
      <c r="AE25" s="6">
        <f t="shared" si="33"/>
        <v>22.281381588547863</v>
      </c>
      <c r="AF25" s="38">
        <f t="shared" si="34"/>
        <v>0</v>
      </c>
      <c r="AG25" s="53">
        <f t="shared" si="35"/>
        <v>49.995973716945088</v>
      </c>
      <c r="AH25" s="74">
        <f t="shared" si="3"/>
        <v>0.55429184256794461</v>
      </c>
      <c r="AI25" s="75">
        <f t="shared" si="4"/>
        <v>0.44562763177095727</v>
      </c>
      <c r="AJ25" s="38">
        <f t="shared" si="5"/>
        <v>0</v>
      </c>
      <c r="AK25" s="65">
        <f t="shared" si="36"/>
        <v>0.99991947433890194</v>
      </c>
      <c r="AL25" s="53">
        <f t="shared" si="37"/>
        <v>8.0525661098063139E-5</v>
      </c>
    </row>
    <row r="26" spans="1:38" x14ac:dyDescent="0.25">
      <c r="A26" s="28">
        <v>31.618170891607196</v>
      </c>
      <c r="B26">
        <f t="shared" si="6"/>
        <v>304.76817089160716</v>
      </c>
      <c r="C26" s="33">
        <f t="shared" si="7"/>
        <v>0.23999999900000002</v>
      </c>
      <c r="D26" s="34">
        <v>0.76</v>
      </c>
      <c r="E26" s="35">
        <f t="shared" si="8"/>
        <v>1.0000000000000001E-9</v>
      </c>
      <c r="F26" s="37">
        <f t="shared" si="9"/>
        <v>44.011697467888872</v>
      </c>
      <c r="G26" s="6">
        <f t="shared" si="10"/>
        <v>23.702352176439362</v>
      </c>
      <c r="H26" s="38">
        <v>0</v>
      </c>
      <c r="I26" s="37">
        <f t="shared" si="11"/>
        <v>2.1997025623642523</v>
      </c>
      <c r="J26" s="6">
        <f t="shared" si="12"/>
        <v>2.9595761317304063</v>
      </c>
      <c r="K26" s="6">
        <f t="shared" si="13"/>
        <v>7.6048134193124355</v>
      </c>
      <c r="L26" s="6">
        <f t="shared" si="14"/>
        <v>6.3981875488543087</v>
      </c>
      <c r="M26" s="6">
        <f t="shared" si="15"/>
        <v>4.2013659863115862</v>
      </c>
      <c r="N26" s="6">
        <f t="shared" si="16"/>
        <v>0.22227110951855086</v>
      </c>
      <c r="O26" s="6">
        <f t="shared" si="17"/>
        <v>0.41483226343677665</v>
      </c>
      <c r="P26" s="6">
        <f t="shared" si="18"/>
        <v>0.30610397330743516</v>
      </c>
      <c r="Q26" s="6">
        <f t="shared" si="19"/>
        <v>4.7742878347908309E-2</v>
      </c>
      <c r="R26" s="6">
        <f t="shared" si="20"/>
        <v>7.7360805189920487E-2</v>
      </c>
      <c r="S26" s="6">
        <f t="shared" si="21"/>
        <v>0.18627217013499484</v>
      </c>
      <c r="T26" s="38">
        <f t="shared" si="22"/>
        <v>0.91492933718644698</v>
      </c>
      <c r="U26" s="37">
        <f t="shared" si="23"/>
        <v>0.68851289054864906</v>
      </c>
      <c r="V26" s="6">
        <f t="shared" si="24"/>
        <v>0.75713326834810046</v>
      </c>
      <c r="W26" s="38">
        <f t="shared" si="25"/>
        <v>0.68191230875097542</v>
      </c>
      <c r="X26" s="37">
        <f t="shared" si="26"/>
        <v>0.47263901879101156</v>
      </c>
      <c r="Y26" s="6">
        <f t="shared" si="27"/>
        <v>0.8595597437249235</v>
      </c>
      <c r="Z26" s="38">
        <f t="shared" si="28"/>
        <v>0.15302514105835119</v>
      </c>
      <c r="AA26" s="37">
        <f t="shared" si="29"/>
        <v>2.5683025113896489</v>
      </c>
      <c r="AB26" s="6">
        <f t="shared" si="30"/>
        <v>1.2700519074102181</v>
      </c>
      <c r="AC26" s="38">
        <f t="shared" si="31"/>
        <v>0.63588257415615357</v>
      </c>
      <c r="AD26" s="37">
        <f t="shared" si="32"/>
        <v>27.128484639916753</v>
      </c>
      <c r="AE26" s="6">
        <f t="shared" si="33"/>
        <v>22.878445369764616</v>
      </c>
      <c r="AF26" s="38">
        <f t="shared" si="34"/>
        <v>0</v>
      </c>
      <c r="AG26" s="53">
        <f t="shared" si="35"/>
        <v>50.006930009681369</v>
      </c>
      <c r="AH26" s="74">
        <f t="shared" si="3"/>
        <v>0.542569692798335</v>
      </c>
      <c r="AI26" s="75">
        <f t="shared" si="4"/>
        <v>0.45756890739529232</v>
      </c>
      <c r="AJ26" s="38">
        <f t="shared" si="5"/>
        <v>0</v>
      </c>
      <c r="AK26" s="65">
        <f t="shared" si="36"/>
        <v>1.0001386001936274</v>
      </c>
      <c r="AL26" s="53">
        <f t="shared" si="37"/>
        <v>1.3860019362743614E-4</v>
      </c>
    </row>
    <row r="27" spans="1:38" x14ac:dyDescent="0.25">
      <c r="A27" s="28">
        <v>29.808606274400962</v>
      </c>
      <c r="B27">
        <f t="shared" si="6"/>
        <v>302.95860627440095</v>
      </c>
      <c r="C27" s="33">
        <f t="shared" si="7"/>
        <v>0.25999999900000004</v>
      </c>
      <c r="D27" s="34">
        <v>0.74</v>
      </c>
      <c r="E27" s="35">
        <f t="shared" si="8"/>
        <v>1.0000000000000001E-9</v>
      </c>
      <c r="F27" s="37">
        <f t="shared" si="9"/>
        <v>40.974349249872489</v>
      </c>
      <c r="G27" s="6">
        <f t="shared" si="10"/>
        <v>21.658932021039387</v>
      </c>
      <c r="H27" s="38">
        <v>0</v>
      </c>
      <c r="I27" s="37">
        <f t="shared" si="11"/>
        <v>2.2128413339416042</v>
      </c>
      <c r="J27" s="6">
        <f t="shared" si="12"/>
        <v>2.9772536102340426</v>
      </c>
      <c r="K27" s="6">
        <f t="shared" si="13"/>
        <v>7.6502367906873969</v>
      </c>
      <c r="L27" s="6">
        <f t="shared" si="14"/>
        <v>6.4364037723345859</v>
      </c>
      <c r="M27" s="6">
        <f t="shared" si="15"/>
        <v>4.2264606463585661</v>
      </c>
      <c r="N27" s="6">
        <f t="shared" si="16"/>
        <v>0.22359872961872929</v>
      </c>
      <c r="O27" s="6">
        <f t="shared" si="17"/>
        <v>0.41265782778345472</v>
      </c>
      <c r="P27" s="6">
        <f t="shared" si="18"/>
        <v>0.30394714917324644</v>
      </c>
      <c r="Q27" s="6">
        <f t="shared" si="19"/>
        <v>4.6883254402468016E-2</v>
      </c>
      <c r="R27" s="6">
        <f t="shared" si="20"/>
        <v>7.6187222891847942E-2</v>
      </c>
      <c r="S27" s="6">
        <f t="shared" si="21"/>
        <v>0.18441174837214683</v>
      </c>
      <c r="T27" s="38">
        <f t="shared" si="22"/>
        <v>0.9144435947428321</v>
      </c>
      <c r="U27" s="37">
        <f t="shared" si="23"/>
        <v>0.66964653341570257</v>
      </c>
      <c r="V27" s="6">
        <f t="shared" si="24"/>
        <v>0.82080182202681207</v>
      </c>
      <c r="W27" s="38">
        <f t="shared" si="25"/>
        <v>0.67001633698611263</v>
      </c>
      <c r="X27" s="37">
        <f t="shared" si="26"/>
        <v>0.48492088946438966</v>
      </c>
      <c r="Y27" s="6">
        <f t="shared" si="27"/>
        <v>0.84729103572548403</v>
      </c>
      <c r="Z27" s="38">
        <f t="shared" si="28"/>
        <v>0.14865434089314708</v>
      </c>
      <c r="AA27" s="37">
        <f t="shared" si="29"/>
        <v>2.5176491650642276</v>
      </c>
      <c r="AB27" s="6">
        <f t="shared" si="30"/>
        <v>1.4459668628647158</v>
      </c>
      <c r="AC27" s="38">
        <f t="shared" si="31"/>
        <v>0.75945606385908937</v>
      </c>
      <c r="AD27" s="37">
        <f t="shared" si="32"/>
        <v>26.821349303118765</v>
      </c>
      <c r="AE27" s="6">
        <f t="shared" si="33"/>
        <v>23.175392510722222</v>
      </c>
      <c r="AF27" s="38">
        <f t="shared" si="34"/>
        <v>0</v>
      </c>
      <c r="AG27" s="53">
        <f t="shared" si="35"/>
        <v>49.996741813840984</v>
      </c>
      <c r="AH27" s="74">
        <f t="shared" si="3"/>
        <v>0.53642698606237527</v>
      </c>
      <c r="AI27" s="75">
        <f t="shared" si="4"/>
        <v>0.46350785021444446</v>
      </c>
      <c r="AJ27" s="38">
        <f t="shared" si="5"/>
        <v>0</v>
      </c>
      <c r="AK27" s="65">
        <f t="shared" si="36"/>
        <v>0.99993483627681967</v>
      </c>
      <c r="AL27" s="53">
        <f t="shared" si="37"/>
        <v>6.5163723180328148E-5</v>
      </c>
    </row>
    <row r="28" spans="1:38" x14ac:dyDescent="0.25">
      <c r="A28" s="28">
        <v>28.515470230663087</v>
      </c>
      <c r="B28">
        <f t="shared" si="6"/>
        <v>301.66547023066306</v>
      </c>
      <c r="C28" s="33">
        <f t="shared" si="7"/>
        <v>0.27999999900000005</v>
      </c>
      <c r="D28" s="34">
        <v>0.72</v>
      </c>
      <c r="E28" s="35">
        <f t="shared" si="8"/>
        <v>1.0000000000000001E-9</v>
      </c>
      <c r="F28" s="37">
        <f t="shared" si="9"/>
        <v>38.908954002346853</v>
      </c>
      <c r="G28" s="6">
        <f t="shared" si="10"/>
        <v>20.292426663955229</v>
      </c>
      <c r="H28" s="38">
        <v>0</v>
      </c>
      <c r="I28" s="37">
        <f t="shared" si="11"/>
        <v>2.2223270231250725</v>
      </c>
      <c r="J28" s="6">
        <f t="shared" si="12"/>
        <v>2.9900160717507638</v>
      </c>
      <c r="K28" s="6">
        <f t="shared" si="13"/>
        <v>7.6830307227526182</v>
      </c>
      <c r="L28" s="6">
        <f t="shared" si="14"/>
        <v>6.4639944200268538</v>
      </c>
      <c r="M28" s="6">
        <f t="shared" si="15"/>
        <v>4.2445780284874095</v>
      </c>
      <c r="N28" s="6">
        <f t="shared" si="16"/>
        <v>0.22455722041445375</v>
      </c>
      <c r="O28" s="6">
        <f t="shared" si="17"/>
        <v>0.41109505689272241</v>
      </c>
      <c r="P28" s="6">
        <f t="shared" si="18"/>
        <v>0.3023994574877662</v>
      </c>
      <c r="Q28" s="6">
        <f t="shared" si="19"/>
        <v>4.6272275936712882E-2</v>
      </c>
      <c r="R28" s="6">
        <f t="shared" si="20"/>
        <v>7.5351023704435388E-2</v>
      </c>
      <c r="S28" s="6">
        <f t="shared" si="21"/>
        <v>0.18308015594792748</v>
      </c>
      <c r="T28" s="38">
        <f t="shared" si="22"/>
        <v>0.91409306763501907</v>
      </c>
      <c r="U28" s="37">
        <f t="shared" si="23"/>
        <v>0.6510090518306042</v>
      </c>
      <c r="V28" s="6">
        <f t="shared" si="24"/>
        <v>0.8843676636287966</v>
      </c>
      <c r="W28" s="38">
        <f t="shared" si="25"/>
        <v>0.65905373390166266</v>
      </c>
      <c r="X28" s="37">
        <f t="shared" si="26"/>
        <v>0.49772760846654268</v>
      </c>
      <c r="Y28" s="6">
        <f t="shared" si="27"/>
        <v>0.83510661643296025</v>
      </c>
      <c r="Z28" s="38">
        <f t="shared" si="28"/>
        <v>0.1447739504985151</v>
      </c>
      <c r="AA28" s="37">
        <f t="shared" si="29"/>
        <v>2.4505571366903407</v>
      </c>
      <c r="AB28" s="6">
        <f t="shared" si="30"/>
        <v>1.5949050061826651</v>
      </c>
      <c r="AC28" s="38">
        <f t="shared" si="31"/>
        <v>0.87287032030835199</v>
      </c>
      <c r="AD28" s="37">
        <f t="shared" si="32"/>
        <v>26.697612079901425</v>
      </c>
      <c r="AE28" s="6">
        <f t="shared" si="33"/>
        <v>23.302434869234489</v>
      </c>
      <c r="AF28" s="38">
        <f t="shared" si="34"/>
        <v>0</v>
      </c>
      <c r="AG28" s="53">
        <f t="shared" si="35"/>
        <v>50.000046949135914</v>
      </c>
      <c r="AH28" s="74">
        <f t="shared" si="3"/>
        <v>0.53395224159802845</v>
      </c>
      <c r="AI28" s="75">
        <f t="shared" si="4"/>
        <v>0.46604869738468979</v>
      </c>
      <c r="AJ28" s="38">
        <f t="shared" si="5"/>
        <v>0</v>
      </c>
      <c r="AK28" s="65">
        <f t="shared" si="36"/>
        <v>1.0000009389827182</v>
      </c>
      <c r="AL28" s="53">
        <f t="shared" si="37"/>
        <v>9.3898271824599533E-7</v>
      </c>
    </row>
    <row r="29" spans="1:38" x14ac:dyDescent="0.25">
      <c r="A29" s="28">
        <v>27.595535386623943</v>
      </c>
      <c r="B29">
        <f t="shared" si="6"/>
        <v>300.74553538662394</v>
      </c>
      <c r="C29" s="33">
        <f t="shared" si="7"/>
        <v>0.29999999900000007</v>
      </c>
      <c r="D29" s="34">
        <v>0.7</v>
      </c>
      <c r="E29" s="35">
        <f t="shared" si="8"/>
        <v>1.0000000000000001E-9</v>
      </c>
      <c r="F29" s="37">
        <f t="shared" si="9"/>
        <v>37.49133098345731</v>
      </c>
      <c r="G29" s="6">
        <f t="shared" si="10"/>
        <v>19.365689196847654</v>
      </c>
      <c r="H29" s="38">
        <v>0</v>
      </c>
      <c r="I29" s="37">
        <f t="shared" si="11"/>
        <v>2.2291247834336145</v>
      </c>
      <c r="J29" s="6">
        <f t="shared" si="12"/>
        <v>2.9991620760799864</v>
      </c>
      <c r="K29" s="6">
        <f t="shared" si="13"/>
        <v>7.7065319450088259</v>
      </c>
      <c r="L29" s="6">
        <f t="shared" si="14"/>
        <v>6.4837667956699789</v>
      </c>
      <c r="M29" s="6">
        <f t="shared" si="15"/>
        <v>4.257561547001254</v>
      </c>
      <c r="N29" s="6">
        <f t="shared" si="16"/>
        <v>0.22524410679258156</v>
      </c>
      <c r="O29" s="6">
        <f t="shared" si="17"/>
        <v>0.40997876497316765</v>
      </c>
      <c r="P29" s="6">
        <f t="shared" si="18"/>
        <v>0.30129517996585869</v>
      </c>
      <c r="Q29" s="6">
        <f t="shared" si="19"/>
        <v>4.5839332050612587E-2</v>
      </c>
      <c r="R29" s="6">
        <f t="shared" si="20"/>
        <v>7.475742666504806E-2</v>
      </c>
      <c r="S29" s="6">
        <f t="shared" si="21"/>
        <v>0.18213181081306545</v>
      </c>
      <c r="T29" s="38">
        <f t="shared" si="22"/>
        <v>0.91384195090373144</v>
      </c>
      <c r="U29" s="37">
        <f t="shared" si="23"/>
        <v>0.63254315470621814</v>
      </c>
      <c r="V29" s="6">
        <f t="shared" si="24"/>
        <v>0.947854331758618</v>
      </c>
      <c r="W29" s="38">
        <f t="shared" si="25"/>
        <v>0.64878485862490187</v>
      </c>
      <c r="X29" s="37">
        <f t="shared" si="26"/>
        <v>0.5109066250508586</v>
      </c>
      <c r="Y29" s="6">
        <f t="shared" si="27"/>
        <v>0.82299362999581349</v>
      </c>
      <c r="Z29" s="38">
        <f t="shared" si="28"/>
        <v>0.14124406813849025</v>
      </c>
      <c r="AA29" s="37">
        <f t="shared" si="29"/>
        <v>2.3713925497241695</v>
      </c>
      <c r="AB29" s="6">
        <f t="shared" si="30"/>
        <v>1.7208327885775117</v>
      </c>
      <c r="AC29" s="38">
        <f t="shared" si="31"/>
        <v>0.9759165362887624</v>
      </c>
      <c r="AD29" s="37">
        <f t="shared" si="32"/>
        <v>26.671998803117418</v>
      </c>
      <c r="AE29" s="6">
        <f t="shared" si="33"/>
        <v>23.327579060335719</v>
      </c>
      <c r="AF29" s="38">
        <f t="shared" si="34"/>
        <v>0</v>
      </c>
      <c r="AG29" s="53">
        <f t="shared" si="35"/>
        <v>49.99957786345314</v>
      </c>
      <c r="AH29" s="74">
        <f t="shared" si="3"/>
        <v>0.53343997606234839</v>
      </c>
      <c r="AI29" s="75">
        <f t="shared" si="4"/>
        <v>0.46655158120671436</v>
      </c>
      <c r="AJ29" s="38">
        <f t="shared" si="5"/>
        <v>0</v>
      </c>
      <c r="AK29" s="65">
        <f t="shared" si="36"/>
        <v>0.99999155726906275</v>
      </c>
      <c r="AL29" s="53">
        <f t="shared" si="37"/>
        <v>8.4427309372525627E-6</v>
      </c>
    </row>
    <row r="30" spans="1:38" x14ac:dyDescent="0.25">
      <c r="A30" s="28">
        <v>26.965432632510822</v>
      </c>
      <c r="B30">
        <f t="shared" si="6"/>
        <v>300.11543263251082</v>
      </c>
      <c r="C30" s="33">
        <f t="shared" si="7"/>
        <v>0.31999999899999998</v>
      </c>
      <c r="D30" s="34">
        <v>0.68</v>
      </c>
      <c r="E30" s="35">
        <f t="shared" si="8"/>
        <v>1.0000000000000001E-9</v>
      </c>
      <c r="F30" s="37">
        <f t="shared" si="9"/>
        <v>36.544589619463295</v>
      </c>
      <c r="G30" s="6">
        <f t="shared" si="10"/>
        <v>18.751987069150292</v>
      </c>
      <c r="H30" s="38">
        <v>0</v>
      </c>
      <c r="I30" s="37">
        <f t="shared" si="11"/>
        <v>2.2338049081875564</v>
      </c>
      <c r="J30" s="6">
        <f t="shared" si="12"/>
        <v>3.0054589208226683</v>
      </c>
      <c r="K30" s="6">
        <f t="shared" si="13"/>
        <v>7.7227120759691585</v>
      </c>
      <c r="L30" s="6">
        <f t="shared" si="14"/>
        <v>6.4973796888129369</v>
      </c>
      <c r="M30" s="6">
        <f t="shared" si="15"/>
        <v>4.2665004450547128</v>
      </c>
      <c r="N30" s="6">
        <f t="shared" si="16"/>
        <v>0.22571701460272922</v>
      </c>
      <c r="O30" s="6">
        <f t="shared" si="17"/>
        <v>0.40921198221827848</v>
      </c>
      <c r="P30" s="6">
        <f t="shared" si="18"/>
        <v>0.30053725129040654</v>
      </c>
      <c r="Q30" s="6">
        <f t="shared" si="19"/>
        <v>4.5543615471157928E-2</v>
      </c>
      <c r="R30" s="6">
        <f t="shared" si="20"/>
        <v>7.4351466980923944E-2</v>
      </c>
      <c r="S30" s="6">
        <f t="shared" si="21"/>
        <v>0.18148175059437466</v>
      </c>
      <c r="T30" s="38">
        <f t="shared" si="22"/>
        <v>0.9136691020542318</v>
      </c>
      <c r="U30" s="37">
        <f t="shared" si="23"/>
        <v>0.61421160727567758</v>
      </c>
      <c r="V30" s="6">
        <f t="shared" si="24"/>
        <v>1.0112724183926844</v>
      </c>
      <c r="W30" s="38">
        <f t="shared" si="25"/>
        <v>0.63906901236919145</v>
      </c>
      <c r="X30" s="37">
        <f t="shared" si="26"/>
        <v>0.52436532995182783</v>
      </c>
      <c r="Y30" s="6">
        <f t="shared" si="27"/>
        <v>0.81094783481430632</v>
      </c>
      <c r="Z30" s="38">
        <f t="shared" si="28"/>
        <v>0.13798154830940171</v>
      </c>
      <c r="AA30" s="37">
        <f t="shared" si="29"/>
        <v>2.2824116204763887</v>
      </c>
      <c r="AB30" s="6">
        <f t="shared" si="30"/>
        <v>1.8278817369177964</v>
      </c>
      <c r="AC30" s="38">
        <f t="shared" si="31"/>
        <v>1.0692878378753425</v>
      </c>
      <c r="AD30" s="37">
        <f t="shared" si="32"/>
        <v>26.691134640751429</v>
      </c>
      <c r="AE30" s="6">
        <f t="shared" si="33"/>
        <v>23.307961992340577</v>
      </c>
      <c r="AF30" s="38">
        <f t="shared" si="34"/>
        <v>0</v>
      </c>
      <c r="AG30" s="53">
        <f t="shared" si="35"/>
        <v>49.999096633092009</v>
      </c>
      <c r="AH30" s="74">
        <f t="shared" si="3"/>
        <v>0.53382269281502859</v>
      </c>
      <c r="AI30" s="75">
        <f t="shared" si="4"/>
        <v>0.46615923984681151</v>
      </c>
      <c r="AJ30" s="38">
        <f t="shared" si="5"/>
        <v>0</v>
      </c>
      <c r="AK30" s="65">
        <f t="shared" si="36"/>
        <v>0.9999819326618401</v>
      </c>
      <c r="AL30" s="53">
        <f t="shared" si="37"/>
        <v>1.8067338159899471E-5</v>
      </c>
    </row>
    <row r="31" spans="1:38" x14ac:dyDescent="0.25">
      <c r="A31" s="28">
        <v>26.570534549909727</v>
      </c>
      <c r="B31">
        <f t="shared" si="6"/>
        <v>299.7205345499097</v>
      </c>
      <c r="C31" s="33">
        <f t="shared" si="7"/>
        <v>0.339999999</v>
      </c>
      <c r="D31" s="34">
        <v>0.66</v>
      </c>
      <c r="E31" s="35">
        <f t="shared" si="8"/>
        <v>1.0000000000000001E-9</v>
      </c>
      <c r="F31" s="37">
        <f t="shared" si="9"/>
        <v>35.96114294040634</v>
      </c>
      <c r="G31" s="6">
        <f t="shared" si="10"/>
        <v>18.375896811589527</v>
      </c>
      <c r="H31" s="38">
        <v>0</v>
      </c>
      <c r="I31" s="37">
        <f t="shared" si="11"/>
        <v>2.2367480674758347</v>
      </c>
      <c r="J31" s="6">
        <f t="shared" si="12"/>
        <v>3.009418776182434</v>
      </c>
      <c r="K31" s="6">
        <f t="shared" si="13"/>
        <v>7.7328871685628657</v>
      </c>
      <c r="L31" s="6">
        <f t="shared" si="14"/>
        <v>6.5059403394366813</v>
      </c>
      <c r="M31" s="6">
        <f t="shared" si="15"/>
        <v>4.2721217911119629</v>
      </c>
      <c r="N31" s="6">
        <f t="shared" si="16"/>
        <v>0.22601440902854297</v>
      </c>
      <c r="O31" s="6">
        <f t="shared" si="17"/>
        <v>0.40873051526213855</v>
      </c>
      <c r="P31" s="6">
        <f t="shared" si="18"/>
        <v>0.30006159447815622</v>
      </c>
      <c r="Q31" s="6">
        <f t="shared" si="19"/>
        <v>4.5358627977707199E-2</v>
      </c>
      <c r="R31" s="6">
        <f t="shared" si="20"/>
        <v>7.4097303617151611E-2</v>
      </c>
      <c r="S31" s="6">
        <f t="shared" si="21"/>
        <v>0.18107414034050398</v>
      </c>
      <c r="T31" s="38">
        <f t="shared" si="22"/>
        <v>0.91356042047942321</v>
      </c>
      <c r="U31" s="37">
        <f t="shared" si="23"/>
        <v>0.59598725812838238</v>
      </c>
      <c r="V31" s="6">
        <f t="shared" si="24"/>
        <v>1.074626762381842</v>
      </c>
      <c r="W31" s="38">
        <f t="shared" si="25"/>
        <v>0.62981278672052421</v>
      </c>
      <c r="X31" s="37">
        <f t="shared" si="26"/>
        <v>0.53804065142968038</v>
      </c>
      <c r="Y31" s="6">
        <f t="shared" si="27"/>
        <v>0.79896837569395707</v>
      </c>
      <c r="Z31" s="38">
        <f t="shared" si="28"/>
        <v>0.13493086709179444</v>
      </c>
      <c r="AA31" s="37">
        <f t="shared" si="29"/>
        <v>2.1845944496233352</v>
      </c>
      <c r="AB31" s="6">
        <f t="shared" si="30"/>
        <v>1.9197637014127362</v>
      </c>
      <c r="AC31" s="38">
        <f t="shared" si="31"/>
        <v>1.1540975056992155</v>
      </c>
      <c r="AD31" s="37">
        <f t="shared" si="32"/>
        <v>26.710574433145332</v>
      </c>
      <c r="AE31" s="6">
        <f t="shared" si="33"/>
        <v>23.283070588665101</v>
      </c>
      <c r="AF31" s="38">
        <f t="shared" si="34"/>
        <v>0</v>
      </c>
      <c r="AG31" s="53">
        <f t="shared" si="35"/>
        <v>49.993645021810437</v>
      </c>
      <c r="AH31" s="74">
        <f t="shared" si="3"/>
        <v>0.53421148866290669</v>
      </c>
      <c r="AI31" s="75">
        <f t="shared" si="4"/>
        <v>0.465661411773302</v>
      </c>
      <c r="AJ31" s="38">
        <f t="shared" si="5"/>
        <v>0</v>
      </c>
      <c r="AK31" s="65">
        <f t="shared" si="36"/>
        <v>0.99987290043620869</v>
      </c>
      <c r="AL31" s="53">
        <f t="shared" si="37"/>
        <v>1.2709956379131082E-4</v>
      </c>
    </row>
    <row r="32" spans="1:38" x14ac:dyDescent="0.25">
      <c r="A32" s="28">
        <v>26.387092322204278</v>
      </c>
      <c r="B32">
        <f t="shared" si="6"/>
        <v>299.53709232220427</v>
      </c>
      <c r="C32" s="33">
        <f t="shared" si="7"/>
        <v>0.35999999900000001</v>
      </c>
      <c r="D32" s="34">
        <v>0.64</v>
      </c>
      <c r="E32" s="35">
        <f t="shared" si="8"/>
        <v>1.0000000000000001E-9</v>
      </c>
      <c r="F32" s="37">
        <f t="shared" si="9"/>
        <v>35.692682702832755</v>
      </c>
      <c r="G32" s="6">
        <f t="shared" si="10"/>
        <v>18.203395016241018</v>
      </c>
      <c r="H32" s="38">
        <v>0</v>
      </c>
      <c r="I32" s="37">
        <f t="shared" si="11"/>
        <v>2.2381178946485982</v>
      </c>
      <c r="J32" s="6">
        <f t="shared" si="12"/>
        <v>3.0112618016325428</v>
      </c>
      <c r="K32" s="6">
        <f t="shared" si="13"/>
        <v>7.7376229361360851</v>
      </c>
      <c r="L32" s="6">
        <f t="shared" si="14"/>
        <v>6.5099247013730688</v>
      </c>
      <c r="M32" s="6">
        <f t="shared" si="15"/>
        <v>4.2747381199689825</v>
      </c>
      <c r="N32" s="6">
        <f t="shared" si="16"/>
        <v>0.22615282456287394</v>
      </c>
      <c r="O32" s="6">
        <f t="shared" si="17"/>
        <v>0.40850662054069731</v>
      </c>
      <c r="P32" s="6">
        <f t="shared" si="18"/>
        <v>0.29984046753459859</v>
      </c>
      <c r="Q32" s="6">
        <f t="shared" si="19"/>
        <v>4.5272786140957116E-2</v>
      </c>
      <c r="R32" s="6">
        <f t="shared" si="20"/>
        <v>7.3979305481136015E-2</v>
      </c>
      <c r="S32" s="6">
        <f t="shared" si="21"/>
        <v>0.1808847396652277</v>
      </c>
      <c r="T32" s="38">
        <f t="shared" si="22"/>
        <v>0.91350984149812176</v>
      </c>
      <c r="U32" s="37">
        <f t="shared" si="23"/>
        <v>0.57785481422277052</v>
      </c>
      <c r="V32" s="6">
        <f t="shared" si="24"/>
        <v>1.1379132678430128</v>
      </c>
      <c r="W32" s="38">
        <f t="shared" si="25"/>
        <v>0.62097967994270875</v>
      </c>
      <c r="X32" s="37">
        <f t="shared" si="26"/>
        <v>0.55189789829612235</v>
      </c>
      <c r="Y32" s="6">
        <f t="shared" si="27"/>
        <v>0.78706238389965422</v>
      </c>
      <c r="Z32" s="38">
        <f t="shared" si="28"/>
        <v>0.13206443735121751</v>
      </c>
      <c r="AA32" s="37">
        <f t="shared" si="29"/>
        <v>2.0781998019223131</v>
      </c>
      <c r="AB32" s="6">
        <f t="shared" si="30"/>
        <v>1.9995554159007294</v>
      </c>
      <c r="AC32" s="38">
        <f t="shared" si="31"/>
        <v>1.2316009531686423</v>
      </c>
      <c r="AD32" s="37">
        <f t="shared" si="32"/>
        <v>26.703549330140557</v>
      </c>
      <c r="AE32" s="6">
        <f t="shared" si="33"/>
        <v>23.29516613920325</v>
      </c>
      <c r="AF32" s="38">
        <f t="shared" si="34"/>
        <v>0</v>
      </c>
      <c r="AG32" s="53">
        <f t="shared" si="35"/>
        <v>49.998715469343807</v>
      </c>
      <c r="AH32" s="74">
        <f t="shared" si="3"/>
        <v>0.53407098660281116</v>
      </c>
      <c r="AI32" s="75">
        <f t="shared" si="4"/>
        <v>0.46590332278406499</v>
      </c>
      <c r="AJ32" s="38">
        <f t="shared" si="5"/>
        <v>0</v>
      </c>
      <c r="AK32" s="65">
        <f t="shared" si="36"/>
        <v>0.99997430938687615</v>
      </c>
      <c r="AL32" s="53">
        <f t="shared" si="37"/>
        <v>2.5690613123852124E-5</v>
      </c>
    </row>
    <row r="33" spans="1:38" x14ac:dyDescent="0.25">
      <c r="A33" s="28">
        <v>26.394958768395565</v>
      </c>
      <c r="B33">
        <f t="shared" si="6"/>
        <v>299.54495876839553</v>
      </c>
      <c r="C33" s="33">
        <f t="shared" si="7"/>
        <v>0.37999999900000003</v>
      </c>
      <c r="D33" s="34">
        <v>0.62</v>
      </c>
      <c r="E33" s="35">
        <f t="shared" si="8"/>
        <v>1.0000000000000001E-9</v>
      </c>
      <c r="F33" s="37">
        <f t="shared" ref="F33" si="38">EXP($C$3+$D$3/($E$3+$B33))/1000</f>
        <v>35.704161640857343</v>
      </c>
      <c r="G33" s="6">
        <f t="shared" si="10"/>
        <v>18.210763817029989</v>
      </c>
      <c r="H33" s="38">
        <v>0</v>
      </c>
      <c r="I33" s="37">
        <f t="shared" si="11"/>
        <v>2.238059118717064</v>
      </c>
      <c r="J33" s="6">
        <f t="shared" si="12"/>
        <v>3.0111827219210108</v>
      </c>
      <c r="K33" s="6">
        <f t="shared" si="13"/>
        <v>7.737419735939608</v>
      </c>
      <c r="L33" s="6">
        <f t="shared" si="14"/>
        <v>6.5097537421535145</v>
      </c>
      <c r="M33" s="6">
        <f t="shared" si="15"/>
        <v>4.2746258597008051</v>
      </c>
      <c r="N33" s="6">
        <f t="shared" si="16"/>
        <v>0.22614688549104733</v>
      </c>
      <c r="O33" s="6">
        <f t="shared" si="17"/>
        <v>0.40851622479646077</v>
      </c>
      <c r="P33" s="6">
        <f t="shared" si="18"/>
        <v>0.29984995220367811</v>
      </c>
      <c r="Q33" s="6">
        <f t="shared" si="19"/>
        <v>4.5276466066122976E-2</v>
      </c>
      <c r="R33" s="6">
        <f t="shared" si="20"/>
        <v>7.3984364631847016E-2</v>
      </c>
      <c r="S33" s="6">
        <f t="shared" si="21"/>
        <v>0.18089286231535009</v>
      </c>
      <c r="T33" s="38">
        <f t="shared" si="22"/>
        <v>0.91351201166092466</v>
      </c>
      <c r="U33" s="37">
        <f t="shared" si="23"/>
        <v>0.5597998575332449</v>
      </c>
      <c r="V33" s="6">
        <f t="shared" si="24"/>
        <v>1.2011273671185638</v>
      </c>
      <c r="W33" s="38">
        <f t="shared" si="25"/>
        <v>0.61253731844771808</v>
      </c>
      <c r="X33" s="37">
        <f t="shared" si="26"/>
        <v>0.56590696944026486</v>
      </c>
      <c r="Y33" s="6">
        <f t="shared" si="27"/>
        <v>0.77523616592765088</v>
      </c>
      <c r="Z33" s="38">
        <f t="shared" si="28"/>
        <v>0.12935863269536732</v>
      </c>
      <c r="AA33" s="52">
        <f t="shared" si="29"/>
        <v>1.963091307697717</v>
      </c>
      <c r="AB33" s="6">
        <f t="shared" si="30"/>
        <v>2.0696786014372996</v>
      </c>
      <c r="AC33" s="38">
        <f t="shared" si="31"/>
        <v>1.3030472097480952</v>
      </c>
      <c r="AD33" s="37">
        <f t="shared" si="32"/>
        <v>26.634401088913968</v>
      </c>
      <c r="AE33" s="6">
        <f t="shared" si="33"/>
        <v>23.368065476520076</v>
      </c>
      <c r="AF33" s="38">
        <f t="shared" si="34"/>
        <v>0</v>
      </c>
      <c r="AG33" s="53">
        <f t="shared" si="35"/>
        <v>50.002466565434048</v>
      </c>
      <c r="AH33" s="74">
        <f t="shared" si="3"/>
        <v>0.53268802177827934</v>
      </c>
      <c r="AI33" s="75">
        <f t="shared" si="4"/>
        <v>0.4673613095304015</v>
      </c>
      <c r="AJ33" s="38">
        <f t="shared" si="5"/>
        <v>0</v>
      </c>
      <c r="AK33" s="65">
        <f t="shared" si="36"/>
        <v>1.0000493313086809</v>
      </c>
      <c r="AL33" s="53">
        <f t="shared" si="37"/>
        <v>4.9331308680899966E-5</v>
      </c>
    </row>
    <row r="34" spans="1:38" x14ac:dyDescent="0.25">
      <c r="A34" s="28">
        <v>26.586165380522896</v>
      </c>
      <c r="B34">
        <f t="shared" ref="B34:B64" si="39">A34+273.15</f>
        <v>299.73616538052289</v>
      </c>
      <c r="C34" s="33">
        <f t="shared" ref="C34:C64" si="40">1-E34-D34</f>
        <v>0.39999999900000005</v>
      </c>
      <c r="D34" s="34">
        <v>0.6</v>
      </c>
      <c r="E34" s="35">
        <f t="shared" si="8"/>
        <v>1.0000000000000001E-9</v>
      </c>
      <c r="F34" s="37">
        <f t="shared" si="9"/>
        <v>35.984093132080062</v>
      </c>
      <c r="G34" s="6">
        <f t="shared" si="10"/>
        <v>18.390659765103401</v>
      </c>
      <c r="H34" s="38">
        <v>0</v>
      </c>
      <c r="I34" s="37">
        <f t="shared" si="11"/>
        <v>2.2366314241267653</v>
      </c>
      <c r="J34" s="6">
        <f t="shared" si="12"/>
        <v>3.0092618391138792</v>
      </c>
      <c r="K34" s="6">
        <f t="shared" si="13"/>
        <v>7.7324839090852207</v>
      </c>
      <c r="L34" s="6">
        <f t="shared" si="14"/>
        <v>6.5056010635561874</v>
      </c>
      <c r="M34" s="6">
        <f t="shared" si="15"/>
        <v>4.2718990058101252</v>
      </c>
      <c r="N34" s="6">
        <f t="shared" si="16"/>
        <v>0.22600262268658061</v>
      </c>
      <c r="O34" s="6">
        <f t="shared" ref="O34:O64" si="41">EXP(-$N$4*I34)</f>
        <v>0.40874958598549649</v>
      </c>
      <c r="P34" s="6">
        <f t="shared" ref="P34:P64" si="42">EXP(-$N$4*J34)</f>
        <v>0.30008043138420115</v>
      </c>
      <c r="Q34" s="6">
        <f t="shared" ref="Q34:Q64" si="43">EXP(-$N$4*K34)</f>
        <v>4.5365945086480015E-2</v>
      </c>
      <c r="R34" s="6">
        <f t="shared" ref="R34:R64" si="44">EXP(-$N$4*L34)</f>
        <v>7.4107360070689382E-2</v>
      </c>
      <c r="S34" s="6">
        <f t="shared" ref="S34:S64" si="45">EXP(-$N$4*M34)</f>
        <v>0.18109027732231409</v>
      </c>
      <c r="T34" s="38">
        <f t="shared" ref="T34:T64" si="46">EXP(-$N$4*N34)</f>
        <v>0.91356472750378359</v>
      </c>
      <c r="U34" s="37">
        <f t="shared" ref="U34:U64" si="47">D34*J34*P34+E34*L34*R34</f>
        <v>0.54181235497969737</v>
      </c>
      <c r="V34" s="6">
        <f t="shared" ref="V34:V64" si="48">C34*K34*O34+E34*N34*T34</f>
        <v>1.2642598356370573</v>
      </c>
      <c r="W34" s="38">
        <f t="shared" ref="W34:W64" si="49">C34*K34*Q34+D34*M34*S34</f>
        <v>0.60447620120291279</v>
      </c>
      <c r="X34" s="37">
        <f t="shared" ref="X34:X64" si="50">C34+P34*D34+R34*E34</f>
        <v>0.58004825790462811</v>
      </c>
      <c r="Y34" s="6">
        <f t="shared" ref="Y34:Y64" si="51">O34*C34+D34+T34*E34</f>
        <v>0.76349983489901385</v>
      </c>
      <c r="Z34" s="38">
        <f t="shared" ref="Z34:Z64" si="52">Q34*C34+S34*D34+E34</f>
        <v>0.12680054538261451</v>
      </c>
      <c r="AA34" s="37">
        <f t="shared" ref="AA34:AA64" si="53">EXP((X34/U34)-(C34*X34/U34^2)+(D34*$O$14/V34)*($I$14-Y34/V34)+(E34*$Q$14/W34)*($K$14-Z34/W34))</f>
        <v>1.8390134844333486</v>
      </c>
      <c r="AB34" s="6">
        <f t="shared" ref="AB34:AB64" si="54">EXP((Y34/V34)-(D34*Y34/V34^2)+(C34*$P$14/U34)*($J$14-X34/U34)+(E34*$S$14/W34)*($M$14-Z34/W34))</f>
        <v>2.1319314401442675</v>
      </c>
      <c r="AC34" s="38">
        <f t="shared" ref="AC34:AC64" si="55">EXP((Z34/W34)-(E34*Z34/W34^2)+(C34*$R$14/U34)*($L$14-X34/U34)+(D34*$T$14/V34)*($N$14-Y34/V34))</f>
        <v>1.3696067188542249</v>
      </c>
      <c r="AD34" s="37">
        <f t="shared" si="32"/>
        <v>26.470092931825043</v>
      </c>
      <c r="AE34" s="6">
        <f t="shared" si="33"/>
        <v>23.524575454932076</v>
      </c>
      <c r="AF34" s="38">
        <f t="shared" si="34"/>
        <v>0</v>
      </c>
      <c r="AG34" s="53">
        <f t="shared" si="35"/>
        <v>49.99466838675712</v>
      </c>
      <c r="AH34" s="74">
        <f t="shared" si="3"/>
        <v>0.52940185863650091</v>
      </c>
      <c r="AI34" s="75">
        <f t="shared" si="4"/>
        <v>0.47049150909864151</v>
      </c>
      <c r="AJ34" s="38">
        <f t="shared" si="5"/>
        <v>0</v>
      </c>
      <c r="AK34" s="65">
        <f t="shared" ref="AK34:AK64" si="56">SUM(AH34:AJ34)</f>
        <v>0.99989336773514248</v>
      </c>
      <c r="AL34" s="53">
        <f t="shared" si="37"/>
        <v>1.066322648575202E-4</v>
      </c>
    </row>
    <row r="35" spans="1:38" x14ac:dyDescent="0.25">
      <c r="A35" s="28">
        <v>26.976898662957762</v>
      </c>
      <c r="B35">
        <f t="shared" si="39"/>
        <v>300.12689866295773</v>
      </c>
      <c r="C35" s="33">
        <f t="shared" si="40"/>
        <v>0.41999999900000007</v>
      </c>
      <c r="D35" s="34">
        <v>0.57999999999999996</v>
      </c>
      <c r="E35" s="35">
        <f t="shared" si="8"/>
        <v>1.0000000000000001E-9</v>
      </c>
      <c r="F35" s="37">
        <f t="shared" ref="F35:F64" si="57">EXP($C$3+$D$3/($E$3+$B35))/1000</f>
        <v>36.561643579171275</v>
      </c>
      <c r="G35" s="6">
        <f t="shared" si="10"/>
        <v>18.763004467366713</v>
      </c>
      <c r="H35" s="38">
        <v>0</v>
      </c>
      <c r="I35" s="37">
        <f t="shared" si="11"/>
        <v>2.2337195680357613</v>
      </c>
      <c r="J35" s="6">
        <f t="shared" si="12"/>
        <v>3.0053441004461989</v>
      </c>
      <c r="K35" s="6">
        <f t="shared" si="13"/>
        <v>7.7224170379296151</v>
      </c>
      <c r="L35" s="6">
        <f t="shared" si="14"/>
        <v>6.4971314633000983</v>
      </c>
      <c r="M35" s="6">
        <f t="shared" si="15"/>
        <v>4.2663374479217575</v>
      </c>
      <c r="N35" s="6">
        <f t="shared" si="16"/>
        <v>0.22570839132313197</v>
      </c>
      <c r="O35" s="6">
        <f t="shared" si="41"/>
        <v>0.40922595134177414</v>
      </c>
      <c r="P35" s="6">
        <f t="shared" si="42"/>
        <v>0.3005510547275218</v>
      </c>
      <c r="Q35" s="6">
        <f t="shared" si="43"/>
        <v>4.554899062793577E-2</v>
      </c>
      <c r="R35" s="6">
        <f t="shared" si="44"/>
        <v>7.4358849719843384E-2</v>
      </c>
      <c r="S35" s="6">
        <f t="shared" si="45"/>
        <v>0.18149358338212482</v>
      </c>
      <c r="T35" s="38">
        <f t="shared" si="46"/>
        <v>0.9136722535893177</v>
      </c>
      <c r="U35" s="37">
        <f t="shared" si="47"/>
        <v>0.52389041722389851</v>
      </c>
      <c r="V35" s="6">
        <f t="shared" si="48"/>
        <v>1.3272896498279727</v>
      </c>
      <c r="W35" s="38">
        <f t="shared" si="49"/>
        <v>0.59683575156582003</v>
      </c>
      <c r="X35" s="37">
        <f t="shared" si="50"/>
        <v>0.59431961081632156</v>
      </c>
      <c r="Y35" s="6">
        <f t="shared" si="51"/>
        <v>0.7518749000679914</v>
      </c>
      <c r="Z35" s="38">
        <f t="shared" si="52"/>
        <v>0.12439685537981642</v>
      </c>
      <c r="AA35" s="37">
        <f t="shared" si="53"/>
        <v>1.7058172835574441</v>
      </c>
      <c r="AB35" s="6">
        <f t="shared" si="54"/>
        <v>2.1875377681591819</v>
      </c>
      <c r="AC35" s="38">
        <f t="shared" si="55"/>
        <v>1.4323454362477785</v>
      </c>
      <c r="AD35" s="37">
        <f t="shared" si="32"/>
        <v>26.194343021331836</v>
      </c>
      <c r="AE35" s="6">
        <f t="shared" si="33"/>
        <v>23.805972931572398</v>
      </c>
      <c r="AF35" s="38">
        <f t="shared" si="34"/>
        <v>0</v>
      </c>
      <c r="AG35" s="53">
        <f t="shared" si="35"/>
        <v>50.000315952904231</v>
      </c>
      <c r="AH35" s="74">
        <f t="shared" si="3"/>
        <v>0.52388686042663668</v>
      </c>
      <c r="AI35" s="75">
        <f t="shared" si="4"/>
        <v>0.47611945863144794</v>
      </c>
      <c r="AJ35" s="38">
        <f t="shared" si="5"/>
        <v>0</v>
      </c>
      <c r="AK35" s="65">
        <f t="shared" si="56"/>
        <v>1.0000063190580846</v>
      </c>
      <c r="AL35" s="53">
        <f t="shared" si="37"/>
        <v>6.3190580845695621E-6</v>
      </c>
    </row>
    <row r="36" spans="1:38" x14ac:dyDescent="0.25">
      <c r="A36" s="28">
        <v>27.569082904865372</v>
      </c>
      <c r="B36">
        <f t="shared" si="39"/>
        <v>300.71908290486533</v>
      </c>
      <c r="C36" s="33">
        <f t="shared" si="40"/>
        <v>0.43999999899999997</v>
      </c>
      <c r="D36" s="34">
        <v>0.56000000000000005</v>
      </c>
      <c r="E36" s="35">
        <f t="shared" si="8"/>
        <v>1.0000000000000001E-9</v>
      </c>
      <c r="F36" s="37">
        <f t="shared" si="57"/>
        <v>37.451192144720579</v>
      </c>
      <c r="G36" s="6">
        <f t="shared" si="10"/>
        <v>19.33958475805855</v>
      </c>
      <c r="H36" s="38">
        <v>0</v>
      </c>
      <c r="I36" s="37">
        <f t="shared" si="11"/>
        <v>2.229320866376213</v>
      </c>
      <c r="J36" s="6">
        <f t="shared" si="12"/>
        <v>2.9994258946555896</v>
      </c>
      <c r="K36" s="6">
        <f t="shared" si="13"/>
        <v>7.7072098431113618</v>
      </c>
      <c r="L36" s="6">
        <f t="shared" si="14"/>
        <v>6.4843371343436429</v>
      </c>
      <c r="M36" s="6">
        <f t="shared" si="15"/>
        <v>4.2579360595465516</v>
      </c>
      <c r="N36" s="6">
        <f t="shared" si="16"/>
        <v>0.2252639201864261</v>
      </c>
      <c r="O36" s="6">
        <f t="shared" si="41"/>
        <v>0.40994661029712531</v>
      </c>
      <c r="P36" s="6">
        <f t="shared" si="42"/>
        <v>0.30126338673733116</v>
      </c>
      <c r="Q36" s="6">
        <f t="shared" si="43"/>
        <v>4.5826903977194772E-2</v>
      </c>
      <c r="R36" s="6">
        <f t="shared" si="44"/>
        <v>7.4740373789676642E-2</v>
      </c>
      <c r="S36" s="6">
        <f t="shared" si="45"/>
        <v>0.18210452859740395</v>
      </c>
      <c r="T36" s="38">
        <f t="shared" si="46"/>
        <v>0.91383470840823711</v>
      </c>
      <c r="U36" s="37">
        <f t="shared" si="47"/>
        <v>0.50602563432793357</v>
      </c>
      <c r="V36" s="6">
        <f t="shared" si="48"/>
        <v>1.3901995990604517</v>
      </c>
      <c r="W36" s="38">
        <f t="shared" si="49"/>
        <v>0.58962501422434155</v>
      </c>
      <c r="X36" s="37">
        <f t="shared" si="50"/>
        <v>0.60870749564764581</v>
      </c>
      <c r="Y36" s="6">
        <f t="shared" si="51"/>
        <v>0.74037650903462326</v>
      </c>
      <c r="Z36" s="38">
        <f t="shared" si="52"/>
        <v>0.12214237471868501</v>
      </c>
      <c r="AA36" s="37">
        <f t="shared" si="53"/>
        <v>1.5635981939423989</v>
      </c>
      <c r="AB36" s="6">
        <f t="shared" si="54"/>
        <v>2.2372101127296458</v>
      </c>
      <c r="AC36" s="38">
        <f t="shared" si="55"/>
        <v>1.4922137381086227</v>
      </c>
      <c r="AD36" s="37">
        <f t="shared" si="32"/>
        <v>25.765791156770316</v>
      </c>
      <c r="AE36" s="6">
        <f t="shared" si="33"/>
        <v>24.229360174163599</v>
      </c>
      <c r="AF36" s="38">
        <f t="shared" si="34"/>
        <v>0</v>
      </c>
      <c r="AG36" s="53">
        <f t="shared" si="35"/>
        <v>49.995151330933915</v>
      </c>
      <c r="AH36" s="74">
        <f t="shared" si="3"/>
        <v>0.51531582313540636</v>
      </c>
      <c r="AI36" s="75">
        <f t="shared" si="4"/>
        <v>0.484587203483272</v>
      </c>
      <c r="AJ36" s="38">
        <f t="shared" si="5"/>
        <v>0</v>
      </c>
      <c r="AK36" s="65">
        <f t="shared" si="56"/>
        <v>0.99990302661867836</v>
      </c>
      <c r="AL36" s="53">
        <f t="shared" si="37"/>
        <v>9.6973381321641128E-5</v>
      </c>
    </row>
    <row r="37" spans="1:38" x14ac:dyDescent="0.25">
      <c r="A37" s="28">
        <v>28.391293220013008</v>
      </c>
      <c r="B37">
        <f t="shared" si="39"/>
        <v>301.54129322001296</v>
      </c>
      <c r="C37" s="33">
        <f t="shared" si="40"/>
        <v>0.45999999899999999</v>
      </c>
      <c r="D37" s="34">
        <v>0.54</v>
      </c>
      <c r="E37" s="35">
        <f t="shared" si="8"/>
        <v>1.0000000000000001E-9</v>
      </c>
      <c r="F37" s="37">
        <f t="shared" si="57"/>
        <v>38.715115542151402</v>
      </c>
      <c r="G37" s="6">
        <f t="shared" si="10"/>
        <v>20.165164675726551</v>
      </c>
      <c r="H37" s="38">
        <v>0</v>
      </c>
      <c r="I37" s="37">
        <f t="shared" si="11"/>
        <v>2.2232421943889209</v>
      </c>
      <c r="J37" s="6">
        <f t="shared" si="12"/>
        <v>2.9912473832359039</v>
      </c>
      <c r="K37" s="6">
        <f t="shared" si="13"/>
        <v>7.6861946535618832</v>
      </c>
      <c r="L37" s="6">
        <f t="shared" si="14"/>
        <v>6.4666563423638124</v>
      </c>
      <c r="M37" s="6">
        <f t="shared" si="15"/>
        <v>4.2463259781808667</v>
      </c>
      <c r="N37" s="6">
        <f t="shared" si="16"/>
        <v>0.22464969479517022</v>
      </c>
      <c r="O37" s="6">
        <f t="shared" si="41"/>
        <v>0.41094459548088336</v>
      </c>
      <c r="P37" s="6">
        <f t="shared" si="42"/>
        <v>0.30225055498980552</v>
      </c>
      <c r="Q37" s="6">
        <f t="shared" si="43"/>
        <v>4.6213752065839449E-2</v>
      </c>
      <c r="R37" s="6">
        <f t="shared" si="44"/>
        <v>7.5270834974001374E-2</v>
      </c>
      <c r="S37" s="6">
        <f t="shared" si="45"/>
        <v>0.1829521947261091</v>
      </c>
      <c r="T37" s="38">
        <f t="shared" si="46"/>
        <v>0.91405925618422279</v>
      </c>
      <c r="U37" s="37">
        <f t="shared" si="47"/>
        <v>0.48821733860197258</v>
      </c>
      <c r="V37" s="6">
        <f t="shared" si="48"/>
        <v>1.4529560672865884</v>
      </c>
      <c r="W37" s="38">
        <f t="shared" si="49"/>
        <v>0.58290794581212535</v>
      </c>
      <c r="X37" s="37">
        <f t="shared" si="50"/>
        <v>0.62321529876976578</v>
      </c>
      <c r="Y37" s="6">
        <f t="shared" si="51"/>
        <v>0.7290345144243211</v>
      </c>
      <c r="Z37" s="38">
        <f t="shared" si="52"/>
        <v>0.12005251205617132</v>
      </c>
      <c r="AA37" s="37">
        <f t="shared" si="53"/>
        <v>1.4129281859324627</v>
      </c>
      <c r="AB37" s="6">
        <f t="shared" si="54"/>
        <v>2.2811601692676384</v>
      </c>
      <c r="AC37" s="38">
        <f t="shared" si="55"/>
        <v>1.5500574809291912</v>
      </c>
      <c r="AD37" s="37">
        <f t="shared" si="32"/>
        <v>25.162771812021649</v>
      </c>
      <c r="AE37" s="6">
        <f t="shared" si="33"/>
        <v>24.839984051094703</v>
      </c>
      <c r="AF37" s="38">
        <f t="shared" si="34"/>
        <v>0</v>
      </c>
      <c r="AG37" s="53">
        <f t="shared" si="35"/>
        <v>50.002755863116349</v>
      </c>
      <c r="AH37" s="74">
        <f t="shared" si="3"/>
        <v>0.50325543624043301</v>
      </c>
      <c r="AI37" s="75">
        <f t="shared" si="4"/>
        <v>0.49679968102189404</v>
      </c>
      <c r="AJ37" s="38">
        <f t="shared" si="5"/>
        <v>0</v>
      </c>
      <c r="AK37" s="65">
        <f t="shared" si="56"/>
        <v>1.0000551172623271</v>
      </c>
      <c r="AL37" s="53">
        <f t="shared" si="37"/>
        <v>5.5117262327097905E-5</v>
      </c>
    </row>
    <row r="38" spans="1:38" x14ac:dyDescent="0.25">
      <c r="A38" s="28">
        <v>29.456315028967026</v>
      </c>
      <c r="B38">
        <f t="shared" si="39"/>
        <v>302.606315028967</v>
      </c>
      <c r="C38" s="33">
        <f t="shared" si="40"/>
        <v>0.47999999900000001</v>
      </c>
      <c r="D38" s="34">
        <v>0.52</v>
      </c>
      <c r="E38" s="35">
        <f t="shared" si="8"/>
        <v>1.0000000000000001E-9</v>
      </c>
      <c r="F38" s="37">
        <f t="shared" si="57"/>
        <v>40.403130456057234</v>
      </c>
      <c r="G38" s="6">
        <f t="shared" si="10"/>
        <v>21.279100923667947</v>
      </c>
      <c r="H38" s="38">
        <v>0</v>
      </c>
      <c r="I38" s="37">
        <f t="shared" si="11"/>
        <v>2.2154175016908044</v>
      </c>
      <c r="J38" s="6">
        <f t="shared" si="12"/>
        <v>2.9807196991100189</v>
      </c>
      <c r="K38" s="6">
        <f t="shared" si="13"/>
        <v>7.659143119845127</v>
      </c>
      <c r="L38" s="6">
        <f t="shared" si="14"/>
        <v>6.4438969692325241</v>
      </c>
      <c r="M38" s="6">
        <f t="shared" si="15"/>
        <v>4.2313810495720308</v>
      </c>
      <c r="N38" s="6">
        <f t="shared" si="16"/>
        <v>0.22385904102342449</v>
      </c>
      <c r="O38" s="6">
        <f t="shared" si="41"/>
        <v>0.41223281648618643</v>
      </c>
      <c r="P38" s="6">
        <f t="shared" si="42"/>
        <v>0.30352603802937816</v>
      </c>
      <c r="Q38" s="6">
        <f t="shared" si="43"/>
        <v>4.6716528483708025E-2</v>
      </c>
      <c r="R38" s="6">
        <f t="shared" si="44"/>
        <v>7.5959210426113088E-2</v>
      </c>
      <c r="S38" s="6">
        <f t="shared" si="45"/>
        <v>0.18404915324832041</v>
      </c>
      <c r="T38" s="38">
        <f t="shared" si="46"/>
        <v>0.91434838366115945</v>
      </c>
      <c r="U38" s="37">
        <f t="shared" si="47"/>
        <v>0.47045754167790516</v>
      </c>
      <c r="V38" s="6">
        <f t="shared" si="48"/>
        <v>1.5155280643263207</v>
      </c>
      <c r="W38" s="38">
        <f t="shared" si="49"/>
        <v>0.57671480855458646</v>
      </c>
      <c r="X38" s="37">
        <f t="shared" si="50"/>
        <v>0.63783353885123595</v>
      </c>
      <c r="Y38" s="6">
        <f t="shared" si="51"/>
        <v>0.71787175241548506</v>
      </c>
      <c r="Z38" s="38">
        <f t="shared" si="52"/>
        <v>0.11812949431458994</v>
      </c>
      <c r="AA38" s="37">
        <f t="shared" si="53"/>
        <v>1.2549766364229094</v>
      </c>
      <c r="AB38" s="6">
        <f t="shared" si="54"/>
        <v>2.31912199466099</v>
      </c>
      <c r="AC38" s="38">
        <f t="shared" si="55"/>
        <v>1.6066197406401503</v>
      </c>
      <c r="AD38" s="37">
        <f t="shared" si="32"/>
        <v>24.338392634430399</v>
      </c>
      <c r="AE38" s="6">
        <f t="shared" si="33"/>
        <v>25.661392108918449</v>
      </c>
      <c r="AF38" s="38">
        <f t="shared" si="34"/>
        <v>0</v>
      </c>
      <c r="AG38" s="53">
        <f t="shared" si="35"/>
        <v>49.999784743348847</v>
      </c>
      <c r="AH38" s="74">
        <f t="shared" si="3"/>
        <v>0.48676785268860795</v>
      </c>
      <c r="AI38" s="75">
        <f t="shared" si="4"/>
        <v>0.51322784217836892</v>
      </c>
      <c r="AJ38" s="38">
        <f t="shared" si="5"/>
        <v>0</v>
      </c>
      <c r="AK38" s="65">
        <f t="shared" si="56"/>
        <v>0.99999569486697681</v>
      </c>
      <c r="AL38" s="53">
        <f t="shared" si="37"/>
        <v>4.3051330231858032E-6</v>
      </c>
    </row>
    <row r="39" spans="1:38" x14ac:dyDescent="0.25">
      <c r="A39" s="28">
        <v>30.797685321903341</v>
      </c>
      <c r="B39">
        <f t="shared" si="39"/>
        <v>303.94768532190329</v>
      </c>
      <c r="C39" s="33">
        <f t="shared" si="40"/>
        <v>0.49999999900000003</v>
      </c>
      <c r="D39" s="34">
        <v>0.5</v>
      </c>
      <c r="E39" s="35">
        <f t="shared" si="8"/>
        <v>1.0000000000000001E-9</v>
      </c>
      <c r="F39" s="37">
        <f t="shared" si="57"/>
        <v>42.612874619486817</v>
      </c>
      <c r="G39" s="6">
        <f t="shared" si="10"/>
        <v>22.756368784038067</v>
      </c>
      <c r="H39" s="38">
        <v>0</v>
      </c>
      <c r="I39" s="37">
        <f t="shared" si="11"/>
        <v>2.2056405059552655</v>
      </c>
      <c r="J39" s="6">
        <f t="shared" si="12"/>
        <v>2.9675653010045631</v>
      </c>
      <c r="K39" s="6">
        <f t="shared" si="13"/>
        <v>7.6253420825402145</v>
      </c>
      <c r="L39" s="6">
        <f t="shared" si="14"/>
        <v>6.4154590097326309</v>
      </c>
      <c r="M39" s="6">
        <f t="shared" si="15"/>
        <v>4.2127072806569021</v>
      </c>
      <c r="N39" s="6">
        <f t="shared" si="16"/>
        <v>0.22287111487055378</v>
      </c>
      <c r="O39" s="6">
        <f t="shared" si="41"/>
        <v>0.41384813241033486</v>
      </c>
      <c r="P39" s="6">
        <f t="shared" si="42"/>
        <v>0.30512732807210702</v>
      </c>
      <c r="Q39" s="6">
        <f t="shared" si="43"/>
        <v>4.735244457001473E-2</v>
      </c>
      <c r="R39" s="6">
        <f t="shared" si="44"/>
        <v>7.6828193456718458E-2</v>
      </c>
      <c r="S39" s="6">
        <f t="shared" si="45"/>
        <v>0.18542905697589701</v>
      </c>
      <c r="T39" s="38">
        <f t="shared" si="46"/>
        <v>0.91470977853516755</v>
      </c>
      <c r="U39" s="37">
        <f t="shared" si="47"/>
        <v>0.45274263608039828</v>
      </c>
      <c r="V39" s="6">
        <f t="shared" si="48"/>
        <v>1.5778667869727296</v>
      </c>
      <c r="W39" s="38">
        <f t="shared" si="49"/>
        <v>0.571118462968217</v>
      </c>
      <c r="X39" s="37">
        <f t="shared" si="50"/>
        <v>0.65256366311288172</v>
      </c>
      <c r="Y39" s="6">
        <f t="shared" si="51"/>
        <v>0.70692406670602903</v>
      </c>
      <c r="Z39" s="38">
        <f t="shared" si="52"/>
        <v>0.11639075172560343</v>
      </c>
      <c r="AA39" s="37">
        <f t="shared" si="53"/>
        <v>1.0917124912207052</v>
      </c>
      <c r="AB39" s="6">
        <f t="shared" si="54"/>
        <v>2.3503196924025609</v>
      </c>
      <c r="AC39" s="38">
        <f t="shared" si="55"/>
        <v>1.6625567602206377</v>
      </c>
      <c r="AD39" s="37">
        <f t="shared" si="32"/>
        <v>23.260503707936749</v>
      </c>
      <c r="AE39" s="6">
        <f t="shared" si="33"/>
        <v>26.742370840349793</v>
      </c>
      <c r="AF39" s="38">
        <f t="shared" si="34"/>
        <v>0</v>
      </c>
      <c r="AG39" s="53">
        <f t="shared" si="35"/>
        <v>50.002874548286542</v>
      </c>
      <c r="AH39" s="74">
        <f t="shared" si="3"/>
        <v>0.465210074158735</v>
      </c>
      <c r="AI39" s="75">
        <f t="shared" si="4"/>
        <v>0.53484741680699588</v>
      </c>
      <c r="AJ39" s="38">
        <f t="shared" si="5"/>
        <v>0</v>
      </c>
      <c r="AK39" s="65">
        <f t="shared" si="56"/>
        <v>1.0000574909657309</v>
      </c>
      <c r="AL39" s="53">
        <f t="shared" si="37"/>
        <v>5.7490965730933041E-5</v>
      </c>
    </row>
    <row r="40" spans="1:38" x14ac:dyDescent="0.25">
      <c r="A40" s="28">
        <v>32.437546249076178</v>
      </c>
      <c r="B40">
        <f t="shared" si="39"/>
        <v>305.58754624907613</v>
      </c>
      <c r="C40" s="33">
        <f t="shared" si="40"/>
        <v>0.51999999900000005</v>
      </c>
      <c r="D40" s="34">
        <v>0.48</v>
      </c>
      <c r="E40" s="35">
        <f t="shared" si="8"/>
        <v>1.0000000000000001E-9</v>
      </c>
      <c r="F40" s="37">
        <f t="shared" si="57"/>
        <v>45.445185501126581</v>
      </c>
      <c r="G40" s="6">
        <f t="shared" si="10"/>
        <v>24.68026490945142</v>
      </c>
      <c r="H40" s="38">
        <v>0</v>
      </c>
      <c r="I40" s="37">
        <f t="shared" si="11"/>
        <v>2.1938044749078558</v>
      </c>
      <c r="J40" s="6">
        <f t="shared" si="12"/>
        <v>2.9516405866446891</v>
      </c>
      <c r="K40" s="6">
        <f t="shared" si="13"/>
        <v>7.5844225467444319</v>
      </c>
      <c r="L40" s="6">
        <f t="shared" si="14"/>
        <v>6.3810320159330711</v>
      </c>
      <c r="M40" s="6">
        <f t="shared" si="15"/>
        <v>4.1901008159892124</v>
      </c>
      <c r="N40" s="6">
        <f t="shared" si="16"/>
        <v>0.22167513146888146</v>
      </c>
      <c r="O40" s="6">
        <f t="shared" si="41"/>
        <v>0.41581210560905318</v>
      </c>
      <c r="P40" s="6">
        <f t="shared" si="42"/>
        <v>0.3070771577926234</v>
      </c>
      <c r="Q40" s="6">
        <f t="shared" si="43"/>
        <v>4.8133878325784391E-2</v>
      </c>
      <c r="R40" s="6">
        <f t="shared" si="44"/>
        <v>7.7893497158572092E-2</v>
      </c>
      <c r="S40" s="6">
        <f t="shared" si="45"/>
        <v>0.18711341916342975</v>
      </c>
      <c r="T40" s="38">
        <f t="shared" si="46"/>
        <v>0.91514747430718579</v>
      </c>
      <c r="U40" s="37">
        <f t="shared" si="47"/>
        <v>0.4350630735396982</v>
      </c>
      <c r="V40" s="6">
        <f t="shared" si="48"/>
        <v>1.6399212457242724</v>
      </c>
      <c r="W40" s="38">
        <f t="shared" si="49"/>
        <v>0.56616675244705006</v>
      </c>
      <c r="X40" s="37">
        <f t="shared" si="50"/>
        <v>0.66739703481835277</v>
      </c>
      <c r="Y40" s="6">
        <f t="shared" si="51"/>
        <v>0.69622229541604308</v>
      </c>
      <c r="Z40" s="38">
        <f t="shared" si="52"/>
        <v>0.11484405887972027</v>
      </c>
      <c r="AA40" s="37">
        <f t="shared" si="53"/>
        <v>0.92598694778206891</v>
      </c>
      <c r="AB40" s="6">
        <f t="shared" si="54"/>
        <v>2.3734380906940533</v>
      </c>
      <c r="AC40" s="38">
        <f t="shared" si="55"/>
        <v>1.7184379374443512</v>
      </c>
      <c r="AD40" s="37">
        <f t="shared" si="32"/>
        <v>21.882457236978983</v>
      </c>
      <c r="AE40" s="6">
        <f t="shared" si="33"/>
        <v>28.116998795765671</v>
      </c>
      <c r="AF40" s="38">
        <f t="shared" si="34"/>
        <v>0</v>
      </c>
      <c r="AG40" s="53">
        <f t="shared" si="35"/>
        <v>49.999456032744654</v>
      </c>
      <c r="AH40" s="74">
        <f t="shared" si="3"/>
        <v>0.43764914473957967</v>
      </c>
      <c r="AI40" s="75">
        <f t="shared" si="4"/>
        <v>0.56233997591531337</v>
      </c>
      <c r="AJ40" s="38">
        <f t="shared" si="5"/>
        <v>0</v>
      </c>
      <c r="AK40" s="65">
        <f t="shared" si="56"/>
        <v>0.99998912065489298</v>
      </c>
      <c r="AL40" s="53">
        <f t="shared" si="37"/>
        <v>1.0879345107017713E-5</v>
      </c>
    </row>
    <row r="41" spans="1:38" x14ac:dyDescent="0.25">
      <c r="A41" s="28">
        <v>34.406706122960458</v>
      </c>
      <c r="B41">
        <f t="shared" si="39"/>
        <v>307.55670612296046</v>
      </c>
      <c r="C41" s="33">
        <f t="shared" si="40"/>
        <v>0.53999999899999995</v>
      </c>
      <c r="D41" s="34">
        <v>0.46</v>
      </c>
      <c r="E41" s="35">
        <f t="shared" si="8"/>
        <v>1.0000000000000001E-9</v>
      </c>
      <c r="F41" s="37">
        <f t="shared" si="57"/>
        <v>49.043744907377921</v>
      </c>
      <c r="G41" s="6">
        <f t="shared" si="10"/>
        <v>27.171816292850242</v>
      </c>
      <c r="H41" s="38">
        <v>0</v>
      </c>
      <c r="I41" s="37">
        <f t="shared" si="11"/>
        <v>2.1797584415841365</v>
      </c>
      <c r="J41" s="6">
        <f t="shared" si="12"/>
        <v>2.9327424384670149</v>
      </c>
      <c r="K41" s="6">
        <f t="shared" si="13"/>
        <v>7.5358625893502271</v>
      </c>
      <c r="L41" s="6">
        <f t="shared" si="14"/>
        <v>6.3401768762154447</v>
      </c>
      <c r="M41" s="6">
        <f t="shared" si="15"/>
        <v>4.1632733131901762</v>
      </c>
      <c r="N41" s="6">
        <f t="shared" si="16"/>
        <v>0.22025583621296191</v>
      </c>
      <c r="O41" s="6">
        <f t="shared" si="41"/>
        <v>0.41815488507466919</v>
      </c>
      <c r="P41" s="6">
        <f t="shared" si="42"/>
        <v>0.30940722935665771</v>
      </c>
      <c r="Q41" s="6">
        <f t="shared" si="43"/>
        <v>4.9077969278451851E-2</v>
      </c>
      <c r="R41" s="6">
        <f t="shared" si="44"/>
        <v>7.9176895161122918E-2</v>
      </c>
      <c r="S41" s="6">
        <f t="shared" si="45"/>
        <v>0.18913214557962083</v>
      </c>
      <c r="T41" s="38">
        <f t="shared" si="46"/>
        <v>0.91566716760037303</v>
      </c>
      <c r="U41" s="37">
        <f t="shared" si="47"/>
        <v>0.41740938816126849</v>
      </c>
      <c r="V41" s="6">
        <f t="shared" si="48"/>
        <v>1.7016251847441746</v>
      </c>
      <c r="W41" s="38">
        <f t="shared" si="49"/>
        <v>0.56192426386410432</v>
      </c>
      <c r="X41" s="37">
        <f t="shared" si="50"/>
        <v>0.68232732458323941</v>
      </c>
      <c r="Y41" s="6">
        <f t="shared" si="51"/>
        <v>0.68580363843783365</v>
      </c>
      <c r="Z41" s="38">
        <f t="shared" si="52"/>
        <v>0.11350289132791161</v>
      </c>
      <c r="AA41" s="37">
        <f t="shared" si="53"/>
        <v>0.76160065962742507</v>
      </c>
      <c r="AB41" s="6">
        <f t="shared" si="54"/>
        <v>2.3865518854650927</v>
      </c>
      <c r="AC41" s="38">
        <f t="shared" si="55"/>
        <v>1.7747517819899388</v>
      </c>
      <c r="AD41" s="37">
        <f t="shared" si="32"/>
        <v>20.169944137559675</v>
      </c>
      <c r="AE41" s="6">
        <f t="shared" si="33"/>
        <v>29.82959672639792</v>
      </c>
      <c r="AF41" s="38">
        <f t="shared" si="34"/>
        <v>0</v>
      </c>
      <c r="AG41" s="53">
        <f t="shared" si="35"/>
        <v>49.999540863957591</v>
      </c>
      <c r="AH41" s="74">
        <f t="shared" si="3"/>
        <v>0.40339888275119351</v>
      </c>
      <c r="AI41" s="75">
        <f t="shared" si="4"/>
        <v>0.59659193452795845</v>
      </c>
      <c r="AJ41" s="38">
        <f t="shared" si="5"/>
        <v>0</v>
      </c>
      <c r="AK41" s="65">
        <f t="shared" si="56"/>
        <v>0.99999081727915196</v>
      </c>
      <c r="AL41" s="53">
        <f t="shared" si="37"/>
        <v>9.18272084804439E-6</v>
      </c>
    </row>
    <row r="42" spans="1:38" x14ac:dyDescent="0.25">
      <c r="A42" s="28">
        <v>36.725549547966942</v>
      </c>
      <c r="B42">
        <f t="shared" si="39"/>
        <v>309.8755495479669</v>
      </c>
      <c r="C42" s="33">
        <f t="shared" si="40"/>
        <v>0.55999999899999997</v>
      </c>
      <c r="D42" s="34">
        <v>0.44</v>
      </c>
      <c r="E42" s="35">
        <f t="shared" si="8"/>
        <v>1.0000000000000001E-9</v>
      </c>
      <c r="F42" s="37">
        <f t="shared" si="57"/>
        <v>53.570146779316751</v>
      </c>
      <c r="G42" s="6">
        <f t="shared" si="10"/>
        <v>30.376918688603219</v>
      </c>
      <c r="H42" s="38">
        <v>0</v>
      </c>
      <c r="I42" s="37">
        <f t="shared" si="11"/>
        <v>2.1634469948186754</v>
      </c>
      <c r="J42" s="6">
        <f t="shared" si="12"/>
        <v>2.9107963038636329</v>
      </c>
      <c r="K42" s="6">
        <f t="shared" si="13"/>
        <v>7.4794706428331246</v>
      </c>
      <c r="L42" s="6">
        <f t="shared" si="14"/>
        <v>6.2927324183218269</v>
      </c>
      <c r="M42" s="6">
        <f t="shared" si="15"/>
        <v>4.1321189385940569</v>
      </c>
      <c r="N42" s="6">
        <f t="shared" si="16"/>
        <v>0.21860763002706965</v>
      </c>
      <c r="O42" s="6">
        <f t="shared" si="41"/>
        <v>0.42089208937590916</v>
      </c>
      <c r="P42" s="6">
        <f t="shared" si="42"/>
        <v>0.31213530305321446</v>
      </c>
      <c r="Q42" s="6">
        <f t="shared" si="43"/>
        <v>5.0197590214431584E-2</v>
      </c>
      <c r="R42" s="6">
        <f t="shared" si="44"/>
        <v>8.0693845760339791E-2</v>
      </c>
      <c r="S42" s="6">
        <f t="shared" si="45"/>
        <v>0.19150380991580915</v>
      </c>
      <c r="T42" s="38">
        <f t="shared" si="46"/>
        <v>0.91627104995897046</v>
      </c>
      <c r="U42" s="37">
        <f t="shared" si="47"/>
        <v>0.39976740653815146</v>
      </c>
      <c r="V42" s="6">
        <f t="shared" si="48"/>
        <v>1.7629080117734264</v>
      </c>
      <c r="W42" s="38">
        <f t="shared" si="49"/>
        <v>0.55843205363749504</v>
      </c>
      <c r="X42" s="37">
        <f t="shared" si="50"/>
        <v>0.69733953242410829</v>
      </c>
      <c r="Y42" s="6">
        <f t="shared" si="51"/>
        <v>0.67569957054588814</v>
      </c>
      <c r="Z42" s="38">
        <f t="shared" si="52"/>
        <v>0.11237232783284011</v>
      </c>
      <c r="AA42" s="37">
        <f t="shared" si="53"/>
        <v>0.60320324719611207</v>
      </c>
      <c r="AB42" s="6">
        <f t="shared" si="54"/>
        <v>2.3870495725212275</v>
      </c>
      <c r="AC42" s="38">
        <f t="shared" si="55"/>
        <v>1.8318958607902915</v>
      </c>
      <c r="AD42" s="37">
        <f t="shared" si="32"/>
        <v>18.095664402117791</v>
      </c>
      <c r="AE42" s="6">
        <f t="shared" si="33"/>
        <v>31.904932738862659</v>
      </c>
      <c r="AF42" s="38">
        <f t="shared" si="34"/>
        <v>0</v>
      </c>
      <c r="AG42" s="53">
        <f t="shared" si="35"/>
        <v>50.000597140980446</v>
      </c>
      <c r="AH42" s="74">
        <f t="shared" si="3"/>
        <v>0.36191328804235584</v>
      </c>
      <c r="AI42" s="75">
        <f t="shared" si="4"/>
        <v>0.63809865477725314</v>
      </c>
      <c r="AJ42" s="38">
        <f t="shared" si="5"/>
        <v>0</v>
      </c>
      <c r="AK42" s="65">
        <f t="shared" si="56"/>
        <v>1.000011942819609</v>
      </c>
      <c r="AL42" s="53">
        <f t="shared" si="37"/>
        <v>1.1942819609034316E-5</v>
      </c>
    </row>
    <row r="43" spans="1:38" x14ac:dyDescent="0.25">
      <c r="A43" s="28">
        <v>39.404343548554657</v>
      </c>
      <c r="B43">
        <f t="shared" si="39"/>
        <v>312.55434354855464</v>
      </c>
      <c r="C43" s="33">
        <f t="shared" si="40"/>
        <v>0.5799999990000011</v>
      </c>
      <c r="D43" s="34">
        <v>0.41999999999999899</v>
      </c>
      <c r="E43" s="35">
        <f t="shared" si="8"/>
        <v>1.0000000000000001E-9</v>
      </c>
      <c r="F43" s="37">
        <f t="shared" si="57"/>
        <v>59.208288560409557</v>
      </c>
      <c r="G43" s="6">
        <f t="shared" si="10"/>
        <v>34.473585326944985</v>
      </c>
      <c r="H43" s="38">
        <v>0</v>
      </c>
      <c r="I43" s="37">
        <f t="shared" si="11"/>
        <v>2.144904847029232</v>
      </c>
      <c r="J43" s="6">
        <f t="shared" si="12"/>
        <v>2.8858488864411278</v>
      </c>
      <c r="K43" s="6">
        <f t="shared" si="13"/>
        <v>7.4153667149909541</v>
      </c>
      <c r="L43" s="6">
        <f t="shared" si="14"/>
        <v>6.2387996088842073</v>
      </c>
      <c r="M43" s="6">
        <f t="shared" si="15"/>
        <v>4.0967039918787149</v>
      </c>
      <c r="N43" s="6">
        <f t="shared" si="16"/>
        <v>0.21673402046160781</v>
      </c>
      <c r="O43" s="6">
        <f t="shared" si="41"/>
        <v>0.42402539197420908</v>
      </c>
      <c r="P43" s="6">
        <f t="shared" si="42"/>
        <v>0.3152656839391284</v>
      </c>
      <c r="Q43" s="6">
        <f t="shared" si="43"/>
        <v>5.1501379462251931E-2</v>
      </c>
      <c r="R43" s="6">
        <f t="shared" si="44"/>
        <v>8.2453577288165963E-2</v>
      </c>
      <c r="S43" s="6">
        <f t="shared" si="45"/>
        <v>0.19423595486971404</v>
      </c>
      <c r="T43" s="38">
        <f t="shared" si="46"/>
        <v>0.91695800102393821</v>
      </c>
      <c r="U43" s="37">
        <f t="shared" si="47"/>
        <v>0.38211983214452083</v>
      </c>
      <c r="V43" s="6">
        <f t="shared" si="48"/>
        <v>1.8236961882692302</v>
      </c>
      <c r="W43" s="38">
        <f t="shared" si="49"/>
        <v>0.5557083652476642</v>
      </c>
      <c r="X43" s="37">
        <f t="shared" si="50"/>
        <v>0.71241158633688828</v>
      </c>
      <c r="Y43" s="6">
        <f t="shared" si="51"/>
        <v>0.66593472783797325</v>
      </c>
      <c r="Z43" s="38">
        <f t="shared" si="52"/>
        <v>0.11144990208188449</v>
      </c>
      <c r="AA43" s="37">
        <f t="shared" si="53"/>
        <v>0.45603077447767271</v>
      </c>
      <c r="AB43" s="6">
        <f t="shared" si="54"/>
        <v>2.3715411394541999</v>
      </c>
      <c r="AC43" s="38">
        <f t="shared" si="55"/>
        <v>1.8901598234546153</v>
      </c>
      <c r="AD43" s="37">
        <f t="shared" si="32"/>
        <v>15.660464951865865</v>
      </c>
      <c r="AE43" s="6">
        <f t="shared" si="33"/>
        <v>34.337320847480491</v>
      </c>
      <c r="AF43" s="38">
        <f t="shared" si="34"/>
        <v>0</v>
      </c>
      <c r="AG43" s="53">
        <f t="shared" si="35"/>
        <v>49.99778579934636</v>
      </c>
      <c r="AH43" s="74">
        <f t="shared" si="3"/>
        <v>0.31320929903731731</v>
      </c>
      <c r="AI43" s="75">
        <f t="shared" si="4"/>
        <v>0.68674641694960981</v>
      </c>
      <c r="AJ43" s="38">
        <f t="shared" si="5"/>
        <v>0</v>
      </c>
      <c r="AK43" s="65">
        <f t="shared" si="56"/>
        <v>0.99995571598692712</v>
      </c>
      <c r="AL43" s="53">
        <f t="shared" si="37"/>
        <v>4.4284013072881656E-5</v>
      </c>
    </row>
    <row r="44" spans="1:38" x14ac:dyDescent="0.25">
      <c r="A44" s="28">
        <v>42.447230448528749</v>
      </c>
      <c r="B44">
        <f t="shared" si="39"/>
        <v>315.59723044852871</v>
      </c>
      <c r="C44" s="33">
        <f t="shared" si="40"/>
        <v>0.59999999900000101</v>
      </c>
      <c r="D44" s="34">
        <v>0.39999999999999902</v>
      </c>
      <c r="E44" s="35">
        <f t="shared" si="8"/>
        <v>1.0000000000000001E-9</v>
      </c>
      <c r="F44" s="37">
        <f t="shared" si="57"/>
        <v>66.176040015213857</v>
      </c>
      <c r="G44" s="6">
        <f t="shared" si="10"/>
        <v>39.685718133425851</v>
      </c>
      <c r="H44" s="38">
        <v>0</v>
      </c>
      <c r="I44" s="37">
        <f t="shared" si="11"/>
        <v>2.1242243649748098</v>
      </c>
      <c r="J44" s="6">
        <f t="shared" si="12"/>
        <v>2.8580244604809368</v>
      </c>
      <c r="K44" s="6">
        <f t="shared" si="13"/>
        <v>7.3438701362551981</v>
      </c>
      <c r="L44" s="6">
        <f t="shared" si="14"/>
        <v>6.1786471114289636</v>
      </c>
      <c r="M44" s="6">
        <f t="shared" si="15"/>
        <v>4.0572048907863421</v>
      </c>
      <c r="N44" s="6">
        <f t="shared" si="16"/>
        <v>0.21464434080661193</v>
      </c>
      <c r="O44" s="6">
        <f t="shared" si="41"/>
        <v>0.42754755971841496</v>
      </c>
      <c r="P44" s="6">
        <f t="shared" si="42"/>
        <v>0.31879411751640863</v>
      </c>
      <c r="Q44" s="6">
        <f t="shared" si="43"/>
        <v>5.2995511669239569E-2</v>
      </c>
      <c r="R44" s="6">
        <f t="shared" si="44"/>
        <v>8.4461552803329537E-2</v>
      </c>
      <c r="S44" s="6">
        <f t="shared" si="45"/>
        <v>0.19732918473007896</v>
      </c>
      <c r="T44" s="38">
        <f t="shared" si="46"/>
        <v>0.91772478083581832</v>
      </c>
      <c r="U44" s="37">
        <f t="shared" si="47"/>
        <v>0.36444855480958926</v>
      </c>
      <c r="V44" s="6">
        <f t="shared" si="48"/>
        <v>1.883912250444046</v>
      </c>
      <c r="W44" s="38">
        <f t="shared" si="49"/>
        <v>0.55375726626548605</v>
      </c>
      <c r="X44" s="37">
        <f t="shared" si="50"/>
        <v>0.72751764609102576</v>
      </c>
      <c r="Y44" s="6">
        <f t="shared" si="51"/>
        <v>0.65652853632122565</v>
      </c>
      <c r="Z44" s="38">
        <f t="shared" si="52"/>
        <v>0.11072898184057967</v>
      </c>
      <c r="AA44" s="37">
        <f t="shared" si="53"/>
        <v>0.32540631361299666</v>
      </c>
      <c r="AB44" s="6">
        <f t="shared" si="54"/>
        <v>2.3357787331284934</v>
      </c>
      <c r="AC44" s="38">
        <f t="shared" si="55"/>
        <v>1.9496931126760724</v>
      </c>
      <c r="AD44" s="37">
        <f t="shared" si="32"/>
        <v>12.92046071698006</v>
      </c>
      <c r="AE44" s="6">
        <f t="shared" si="33"/>
        <v>37.078822569995076</v>
      </c>
      <c r="AF44" s="38">
        <f t="shared" si="34"/>
        <v>0</v>
      </c>
      <c r="AG44" s="53">
        <f t="shared" si="35"/>
        <v>49.999283286975135</v>
      </c>
      <c r="AH44" s="74">
        <f t="shared" si="3"/>
        <v>0.25840921433960118</v>
      </c>
      <c r="AI44" s="75">
        <f t="shared" si="4"/>
        <v>0.74157645139990147</v>
      </c>
      <c r="AJ44" s="38">
        <f t="shared" si="5"/>
        <v>0</v>
      </c>
      <c r="AK44" s="65">
        <f t="shared" si="56"/>
        <v>0.99998566573950265</v>
      </c>
      <c r="AL44" s="53">
        <f t="shared" si="37"/>
        <v>1.4334260497350648E-5</v>
      </c>
    </row>
    <row r="45" spans="1:38" x14ac:dyDescent="0.25">
      <c r="A45" s="28">
        <v>45.844823087502824</v>
      </c>
      <c r="B45">
        <f t="shared" si="39"/>
        <v>318.99482308750282</v>
      </c>
      <c r="C45" s="33">
        <f t="shared" si="40"/>
        <v>0.61999999900000102</v>
      </c>
      <c r="D45" s="34">
        <v>0.37999999999999901</v>
      </c>
      <c r="E45" s="35">
        <f t="shared" si="8"/>
        <v>1.0000000000000001E-9</v>
      </c>
      <c r="F45" s="37">
        <f t="shared" si="57"/>
        <v>74.709862526558908</v>
      </c>
      <c r="G45" s="6">
        <f t="shared" si="10"/>
        <v>46.277901289517018</v>
      </c>
      <c r="H45" s="38">
        <v>0</v>
      </c>
      <c r="I45" s="37">
        <f t="shared" si="11"/>
        <v>2.1015993925814862</v>
      </c>
      <c r="J45" s="6">
        <f t="shared" si="12"/>
        <v>2.8275838320878095</v>
      </c>
      <c r="K45" s="6">
        <f t="shared" si="13"/>
        <v>7.2656510639987246</v>
      </c>
      <c r="L45" s="6">
        <f t="shared" si="14"/>
        <v>6.1128387520912595</v>
      </c>
      <c r="M45" s="6">
        <f t="shared" si="15"/>
        <v>4.0139918714077671</v>
      </c>
      <c r="N45" s="6">
        <f t="shared" si="16"/>
        <v>0.21235817821229938</v>
      </c>
      <c r="O45" s="6">
        <f t="shared" si="41"/>
        <v>0.43143442191403097</v>
      </c>
      <c r="P45" s="6">
        <f t="shared" si="42"/>
        <v>0.32269956341594697</v>
      </c>
      <c r="Q45" s="6">
        <f t="shared" si="43"/>
        <v>5.467982729496354E-2</v>
      </c>
      <c r="R45" s="6">
        <f t="shared" si="44"/>
        <v>8.6714384234035838E-2</v>
      </c>
      <c r="S45" s="6">
        <f t="shared" si="45"/>
        <v>0.20076971011915615</v>
      </c>
      <c r="T45" s="38">
        <f t="shared" si="46"/>
        <v>0.9185643919011186</v>
      </c>
      <c r="U45" s="37">
        <f t="shared" si="47"/>
        <v>0.34673482642202619</v>
      </c>
      <c r="V45" s="6">
        <f t="shared" si="48"/>
        <v>1.9434842163681354</v>
      </c>
      <c r="W45" s="38">
        <f t="shared" si="49"/>
        <v>0.55255385181737537</v>
      </c>
      <c r="X45" s="37">
        <f t="shared" si="50"/>
        <v>0.74262583318477493</v>
      </c>
      <c r="Y45" s="6">
        <f t="shared" si="51"/>
        <v>0.64748934207382869</v>
      </c>
      <c r="Z45" s="38">
        <f t="shared" si="52"/>
        <v>0.11019398371347675</v>
      </c>
      <c r="AA45" s="37">
        <f t="shared" si="53"/>
        <v>0.21598174672511339</v>
      </c>
      <c r="AB45" s="6">
        <f t="shared" si="54"/>
        <v>2.2746357744857728</v>
      </c>
      <c r="AC45" s="38">
        <f t="shared" si="55"/>
        <v>2.0104446752550031</v>
      </c>
      <c r="AD45" s="37">
        <f t="shared" si="32"/>
        <v>10.004299279633207</v>
      </c>
      <c r="AE45" s="6">
        <f t="shared" si="33"/>
        <v>40.000840539677434</v>
      </c>
      <c r="AF45" s="38">
        <f t="shared" si="34"/>
        <v>0</v>
      </c>
      <c r="AG45" s="53">
        <f t="shared" si="35"/>
        <v>50.005139819310642</v>
      </c>
      <c r="AH45" s="74">
        <f t="shared" si="3"/>
        <v>0.20008598559266413</v>
      </c>
      <c r="AI45" s="75">
        <f t="shared" si="4"/>
        <v>0.80001681079354869</v>
      </c>
      <c r="AJ45" s="38">
        <f t="shared" si="5"/>
        <v>0</v>
      </c>
      <c r="AK45" s="65">
        <f t="shared" si="56"/>
        <v>1.0001027963862128</v>
      </c>
      <c r="AL45" s="53">
        <f t="shared" si="37"/>
        <v>1.0279638621280007E-4</v>
      </c>
    </row>
    <row r="46" spans="1:38" x14ac:dyDescent="0.25">
      <c r="A46" s="28">
        <v>49.585040454148739</v>
      </c>
      <c r="B46">
        <f t="shared" si="39"/>
        <v>322.7350404541487</v>
      </c>
      <c r="C46" s="33">
        <f t="shared" si="40"/>
        <v>0.63999999900000104</v>
      </c>
      <c r="D46" s="34">
        <v>0.35999999999999899</v>
      </c>
      <c r="E46" s="35">
        <f t="shared" si="8"/>
        <v>1.0000000000000001E-9</v>
      </c>
      <c r="F46" s="37">
        <f t="shared" si="57"/>
        <v>85.088468567803531</v>
      </c>
      <c r="G46" s="6">
        <f t="shared" si="10"/>
        <v>54.580154257137664</v>
      </c>
      <c r="H46" s="38">
        <v>0</v>
      </c>
      <c r="I46" s="37">
        <f t="shared" si="11"/>
        <v>2.0772436903472182</v>
      </c>
      <c r="J46" s="6">
        <f t="shared" si="12"/>
        <v>2.7948146039942632</v>
      </c>
      <c r="K46" s="6">
        <f t="shared" si="13"/>
        <v>7.1814485111822819</v>
      </c>
      <c r="L46" s="6">
        <f t="shared" si="14"/>
        <v>6.0419962875485052</v>
      </c>
      <c r="M46" s="6">
        <f t="shared" si="15"/>
        <v>3.9674732098893637</v>
      </c>
      <c r="N46" s="6">
        <f t="shared" si="16"/>
        <v>0.20989713231848742</v>
      </c>
      <c r="O46" s="6">
        <f t="shared" si="41"/>
        <v>0.43565811805003413</v>
      </c>
      <c r="P46" s="6">
        <f t="shared" si="42"/>
        <v>0.32695725293560512</v>
      </c>
      <c r="Q46" s="6">
        <f t="shared" si="43"/>
        <v>5.6552865571209629E-2</v>
      </c>
      <c r="R46" s="6">
        <f t="shared" si="44"/>
        <v>8.9206754870158916E-2</v>
      </c>
      <c r="S46" s="6">
        <f t="shared" si="45"/>
        <v>0.20454049900631796</v>
      </c>
      <c r="T46" s="38">
        <f t="shared" si="46"/>
        <v>0.91946908877812128</v>
      </c>
      <c r="U46" s="37">
        <f t="shared" si="47"/>
        <v>0.328962566478045</v>
      </c>
      <c r="V46" s="6">
        <f t="shared" si="48"/>
        <v>2.0023400567474723</v>
      </c>
      <c r="W46" s="38">
        <f t="shared" si="49"/>
        <v>0.55206737669210804</v>
      </c>
      <c r="X46" s="37">
        <f t="shared" si="50"/>
        <v>0.7577046101460253</v>
      </c>
      <c r="Y46" s="6">
        <f t="shared" si="51"/>
        <v>0.63882119603583221</v>
      </c>
      <c r="Z46" s="38">
        <f t="shared" si="52"/>
        <v>0.10982841455129561</v>
      </c>
      <c r="AA46" s="37">
        <f t="shared" si="53"/>
        <v>0.13081458942879123</v>
      </c>
      <c r="AB46" s="6">
        <f t="shared" si="54"/>
        <v>2.1822201710981379</v>
      </c>
      <c r="AC46" s="38">
        <f t="shared" si="55"/>
        <v>2.0720703747535869</v>
      </c>
      <c r="AD46" s="37">
        <f t="shared" si="32"/>
        <v>7.1237203605951676</v>
      </c>
      <c r="AE46" s="6">
        <f t="shared" si="33"/>
        <v>42.878128882166415</v>
      </c>
      <c r="AF46" s="38">
        <f t="shared" si="34"/>
        <v>0</v>
      </c>
      <c r="AG46" s="53">
        <f t="shared" si="35"/>
        <v>50.00184924276158</v>
      </c>
      <c r="AH46" s="74">
        <f t="shared" ref="AH46:AH64" si="58">(AA46*C46*F46)/$H$2</f>
        <v>0.14247440721190335</v>
      </c>
      <c r="AI46" s="75">
        <f t="shared" ref="AI46:AI64" si="59">(AB46*D46*G46)/$H$2</f>
        <v>0.85756257764332833</v>
      </c>
      <c r="AJ46" s="38">
        <f t="shared" ref="AJ46:AJ64" si="60">(AC46*E46*H46)/$H$2</f>
        <v>0</v>
      </c>
      <c r="AK46" s="65">
        <f t="shared" si="56"/>
        <v>1.0000369848552317</v>
      </c>
      <c r="AL46" s="53">
        <f t="shared" si="37"/>
        <v>3.6984855231736447E-5</v>
      </c>
    </row>
    <row r="47" spans="1:38" x14ac:dyDescent="0.25">
      <c r="A47" s="28">
        <v>53.702245631889532</v>
      </c>
      <c r="B47">
        <f t="shared" si="39"/>
        <v>326.8522456318895</v>
      </c>
      <c r="C47" s="33">
        <f t="shared" si="40"/>
        <v>0.65999999900000095</v>
      </c>
      <c r="D47" s="34">
        <v>0.33999999999999903</v>
      </c>
      <c r="E47" s="35">
        <f t="shared" si="8"/>
        <v>1.0000000000000001E-9</v>
      </c>
      <c r="F47" s="37">
        <f t="shared" si="57"/>
        <v>97.795035399710727</v>
      </c>
      <c r="G47" s="6">
        <f t="shared" si="10"/>
        <v>65.134508697909482</v>
      </c>
      <c r="H47" s="38">
        <v>0</v>
      </c>
      <c r="I47" s="37">
        <f t="shared" si="11"/>
        <v>2.0510776211473787</v>
      </c>
      <c r="J47" s="6">
        <f t="shared" si="12"/>
        <v>2.7596096289262624</v>
      </c>
      <c r="K47" s="6">
        <f t="shared" si="13"/>
        <v>7.0909871562763147</v>
      </c>
      <c r="L47" s="6">
        <f t="shared" si="14"/>
        <v>5.9658880804566632</v>
      </c>
      <c r="M47" s="6">
        <f t="shared" si="15"/>
        <v>3.917496801709194</v>
      </c>
      <c r="N47" s="6">
        <f t="shared" si="16"/>
        <v>0.20725315611356976</v>
      </c>
      <c r="O47" s="6">
        <f t="shared" si="41"/>
        <v>0.44024184803088418</v>
      </c>
      <c r="P47" s="6">
        <f t="shared" si="42"/>
        <v>0.33159403262999732</v>
      </c>
      <c r="Q47" s="6">
        <f t="shared" si="43"/>
        <v>5.8636678659561216E-2</v>
      </c>
      <c r="R47" s="6">
        <f t="shared" si="44"/>
        <v>9.196426216010517E-2</v>
      </c>
      <c r="S47" s="6">
        <f t="shared" si="45"/>
        <v>0.20867052199975203</v>
      </c>
      <c r="T47" s="38">
        <f t="shared" si="46"/>
        <v>0.92044202492819638</v>
      </c>
      <c r="U47" s="37">
        <f t="shared" si="47"/>
        <v>0.31112382956432577</v>
      </c>
      <c r="V47" s="6">
        <f t="shared" si="48"/>
        <v>2.0603545284969682</v>
      </c>
      <c r="W47" s="38">
        <f t="shared" si="49"/>
        <v>0.55236115172220224</v>
      </c>
      <c r="X47" s="37">
        <f t="shared" si="50"/>
        <v>0.77274197018616397</v>
      </c>
      <c r="Y47" s="6">
        <f t="shared" si="51"/>
        <v>0.6305596201805832</v>
      </c>
      <c r="Z47" s="38">
        <f t="shared" si="52"/>
        <v>0.10964818633658927</v>
      </c>
      <c r="AA47" s="37">
        <f t="shared" si="53"/>
        <v>7.0491107702913697E-2</v>
      </c>
      <c r="AB47" s="6">
        <f t="shared" si="54"/>
        <v>2.0522610594801729</v>
      </c>
      <c r="AC47" s="38">
        <f t="shared" si="55"/>
        <v>2.1337993532994828</v>
      </c>
      <c r="AD47" s="37">
        <f t="shared" si="32"/>
        <v>4.5498290393993619</v>
      </c>
      <c r="AE47" s="6">
        <f t="shared" si="33"/>
        <v>45.448825381891233</v>
      </c>
      <c r="AF47" s="38">
        <f t="shared" si="34"/>
        <v>0</v>
      </c>
      <c r="AG47" s="53">
        <f t="shared" si="35"/>
        <v>49.998654421290595</v>
      </c>
      <c r="AH47" s="74">
        <f t="shared" si="58"/>
        <v>9.0996580787987238E-2</v>
      </c>
      <c r="AI47" s="75">
        <f t="shared" si="59"/>
        <v>0.90897650763782467</v>
      </c>
      <c r="AJ47" s="38">
        <f t="shared" si="60"/>
        <v>0</v>
      </c>
      <c r="AK47" s="65">
        <f t="shared" si="56"/>
        <v>0.9999730884258119</v>
      </c>
      <c r="AL47" s="53">
        <f t="shared" si="37"/>
        <v>2.6911574188104304E-5</v>
      </c>
    </row>
    <row r="48" spans="1:38" x14ac:dyDescent="0.25">
      <c r="A48" s="28">
        <v>58.31849022048506</v>
      </c>
      <c r="B48">
        <f t="shared" si="39"/>
        <v>331.46849022048502</v>
      </c>
      <c r="C48" s="33">
        <f t="shared" si="40"/>
        <v>0.67999999900000097</v>
      </c>
      <c r="D48" s="34">
        <v>0.31999999999999901</v>
      </c>
      <c r="E48" s="35">
        <f t="shared" si="8"/>
        <v>1.0000000000000001E-9</v>
      </c>
      <c r="F48" s="37">
        <f t="shared" si="57"/>
        <v>113.76665251049566</v>
      </c>
      <c r="G48" s="6">
        <f t="shared" si="10"/>
        <v>78.954439390819516</v>
      </c>
      <c r="H48" s="38">
        <v>0</v>
      </c>
      <c r="I48" s="37">
        <f t="shared" si="11"/>
        <v>2.0225129875584877</v>
      </c>
      <c r="J48" s="6">
        <f t="shared" si="12"/>
        <v>2.7211775203186139</v>
      </c>
      <c r="K48" s="6">
        <f t="shared" si="13"/>
        <v>6.9922334826882553</v>
      </c>
      <c r="L48" s="6">
        <f t="shared" si="14"/>
        <v>5.8828032643124324</v>
      </c>
      <c r="M48" s="6">
        <f t="shared" si="15"/>
        <v>3.8629392074120674</v>
      </c>
      <c r="N48" s="6">
        <f t="shared" si="16"/>
        <v>0.20436681461021233</v>
      </c>
      <c r="O48" s="6">
        <f t="shared" si="41"/>
        <v>0.44530083343810217</v>
      </c>
      <c r="P48" s="6">
        <f t="shared" si="42"/>
        <v>0.33673095919958118</v>
      </c>
      <c r="Q48" s="6">
        <f t="shared" si="43"/>
        <v>6.0999269330121016E-2</v>
      </c>
      <c r="R48" s="6">
        <f t="shared" si="44"/>
        <v>9.5071949989951346E-2</v>
      </c>
      <c r="S48" s="6">
        <f t="shared" si="45"/>
        <v>0.21327439925263575</v>
      </c>
      <c r="T48" s="38">
        <f t="shared" si="46"/>
        <v>0.92150532262533424</v>
      </c>
      <c r="U48" s="37">
        <f t="shared" si="47"/>
        <v>0.29321750986144057</v>
      </c>
      <c r="V48" s="6">
        <f t="shared" si="48"/>
        <v>2.1172802273304017</v>
      </c>
      <c r="W48" s="38">
        <f t="shared" si="49"/>
        <v>0.55367150272488397</v>
      </c>
      <c r="X48" s="37">
        <f t="shared" si="50"/>
        <v>0.78775390603893858</v>
      </c>
      <c r="Y48" s="6">
        <f t="shared" si="51"/>
        <v>0.62280456721411337</v>
      </c>
      <c r="Z48" s="38">
        <f t="shared" si="52"/>
        <v>0.10972731184432631</v>
      </c>
      <c r="AA48" s="37">
        <f t="shared" si="53"/>
        <v>3.2661851261966565E-2</v>
      </c>
      <c r="AB48" s="6">
        <f t="shared" si="54"/>
        <v>1.8789664717305978</v>
      </c>
      <c r="AC48" s="38">
        <f t="shared" si="55"/>
        <v>2.1942187450389175</v>
      </c>
      <c r="AD48" s="37">
        <f t="shared" si="32"/>
        <v>2.5267640446355326</v>
      </c>
      <c r="AE48" s="6">
        <f t="shared" si="33"/>
        <v>47.472878211083206</v>
      </c>
      <c r="AF48" s="38">
        <f t="shared" si="34"/>
        <v>0</v>
      </c>
      <c r="AG48" s="53">
        <f t="shared" si="35"/>
        <v>49.99964225571874</v>
      </c>
      <c r="AH48" s="74">
        <f t="shared" si="58"/>
        <v>5.053528089271065E-2</v>
      </c>
      <c r="AI48" s="75">
        <f t="shared" si="59"/>
        <v>0.94945756422166416</v>
      </c>
      <c r="AJ48" s="38">
        <f t="shared" si="60"/>
        <v>0</v>
      </c>
      <c r="AK48" s="65">
        <f t="shared" si="56"/>
        <v>0.99999284511437481</v>
      </c>
      <c r="AL48" s="53">
        <f t="shared" si="37"/>
        <v>7.1548856251935078E-6</v>
      </c>
    </row>
    <row r="49" spans="1:38" x14ac:dyDescent="0.25">
      <c r="A49" s="28">
        <v>63.712551098726308</v>
      </c>
      <c r="B49">
        <f t="shared" si="39"/>
        <v>336.86255109872627</v>
      </c>
      <c r="C49" s="33">
        <f t="shared" si="40"/>
        <v>0.69999999900000098</v>
      </c>
      <c r="D49" s="34">
        <v>0.29999999999999899</v>
      </c>
      <c r="E49" s="35">
        <f t="shared" si="8"/>
        <v>1.0000000000000001E-9</v>
      </c>
      <c r="F49" s="37">
        <f t="shared" si="57"/>
        <v>134.93964814527104</v>
      </c>
      <c r="G49" s="6">
        <f t="shared" si="10"/>
        <v>98.131400108902511</v>
      </c>
      <c r="H49" s="38">
        <v>0</v>
      </c>
      <c r="I49" s="37">
        <f t="shared" si="11"/>
        <v>1.9901272024768843</v>
      </c>
      <c r="J49" s="6">
        <f t="shared" si="12"/>
        <v>2.6776042672003166</v>
      </c>
      <c r="K49" s="6">
        <f t="shared" si="13"/>
        <v>6.8802693211705099</v>
      </c>
      <c r="L49" s="6">
        <f t="shared" si="14"/>
        <v>5.7886040164621795</v>
      </c>
      <c r="M49" s="6">
        <f t="shared" si="15"/>
        <v>3.8010833282537488</v>
      </c>
      <c r="N49" s="6">
        <f t="shared" si="16"/>
        <v>0.20109436109496048</v>
      </c>
      <c r="O49" s="6">
        <f t="shared" si="41"/>
        <v>0.45110692605176927</v>
      </c>
      <c r="P49" s="6">
        <f t="shared" si="42"/>
        <v>0.34265138912996218</v>
      </c>
      <c r="Q49" s="6">
        <f t="shared" si="43"/>
        <v>6.379326053439574E-2</v>
      </c>
      <c r="R49" s="6">
        <f t="shared" si="44"/>
        <v>9.872257783400766E-2</v>
      </c>
      <c r="S49" s="6">
        <f t="shared" si="45"/>
        <v>0.21861713277704603</v>
      </c>
      <c r="T49" s="38">
        <f t="shared" si="46"/>
        <v>0.92271234577135508</v>
      </c>
      <c r="U49" s="37">
        <f t="shared" si="47"/>
        <v>0.27524544708041587</v>
      </c>
      <c r="V49" s="6">
        <f t="shared" si="48"/>
        <v>2.1726159977988839</v>
      </c>
      <c r="W49" s="38">
        <f t="shared" si="49"/>
        <v>0.55653495050849289</v>
      </c>
      <c r="X49" s="37">
        <f t="shared" si="50"/>
        <v>0.80279541583771186</v>
      </c>
      <c r="Y49" s="6">
        <f t="shared" si="51"/>
        <v>0.61577484870784338</v>
      </c>
      <c r="Z49" s="38">
        <f t="shared" si="52"/>
        <v>0.11024042314339741</v>
      </c>
      <c r="AA49" s="37">
        <f t="shared" si="53"/>
        <v>1.2417804255316318E-2</v>
      </c>
      <c r="AB49" s="6">
        <f t="shared" si="54"/>
        <v>1.658587154243226</v>
      </c>
      <c r="AC49" s="38">
        <f t="shared" si="55"/>
        <v>2.2509434673759294</v>
      </c>
      <c r="AD49" s="37">
        <f t="shared" si="32"/>
        <v>1.1729578941888108</v>
      </c>
      <c r="AE49" s="6">
        <f t="shared" si="33"/>
        <v>48.827843894558242</v>
      </c>
      <c r="AF49" s="38">
        <f t="shared" si="34"/>
        <v>0</v>
      </c>
      <c r="AG49" s="53">
        <f t="shared" si="35"/>
        <v>50.000801788747054</v>
      </c>
      <c r="AH49" s="74">
        <f t="shared" si="58"/>
        <v>2.3459157883776217E-2</v>
      </c>
      <c r="AI49" s="75">
        <f t="shared" si="59"/>
        <v>0.97655687789116485</v>
      </c>
      <c r="AJ49" s="38">
        <f t="shared" si="60"/>
        <v>0</v>
      </c>
      <c r="AK49" s="65">
        <f t="shared" si="56"/>
        <v>1.000016035774941</v>
      </c>
      <c r="AL49" s="53">
        <f t="shared" si="37"/>
        <v>1.6035774941025593E-5</v>
      </c>
    </row>
    <row r="50" spans="1:38" x14ac:dyDescent="0.25">
      <c r="A50" s="28">
        <v>70.408112396894609</v>
      </c>
      <c r="B50">
        <f t="shared" si="39"/>
        <v>343.55811239689456</v>
      </c>
      <c r="C50" s="33">
        <f t="shared" si="40"/>
        <v>0.719999999000001</v>
      </c>
      <c r="D50" s="34">
        <v>0.27999999999999903</v>
      </c>
      <c r="E50" s="35">
        <f t="shared" si="8"/>
        <v>1.0000000000000001E-9</v>
      </c>
      <c r="F50" s="37">
        <f t="shared" si="57"/>
        <v>165.3518408969052</v>
      </c>
      <c r="G50" s="6">
        <f t="shared" si="10"/>
        <v>127.19338663956624</v>
      </c>
      <c r="H50" s="38">
        <v>0</v>
      </c>
      <c r="I50" s="37">
        <f t="shared" si="11"/>
        <v>1.9513418610906141</v>
      </c>
      <c r="J50" s="6">
        <f t="shared" si="12"/>
        <v>2.6254207708532258</v>
      </c>
      <c r="K50" s="6">
        <f t="shared" si="13"/>
        <v>6.74618060859025</v>
      </c>
      <c r="L50" s="6">
        <f t="shared" si="14"/>
        <v>5.6757906331523111</v>
      </c>
      <c r="M50" s="6">
        <f t="shared" si="15"/>
        <v>3.7270044882979425</v>
      </c>
      <c r="N50" s="6">
        <f t="shared" si="16"/>
        <v>0.19717525811691228</v>
      </c>
      <c r="O50" s="6">
        <f t="shared" si="41"/>
        <v>0.45816003044944725</v>
      </c>
      <c r="P50" s="6">
        <f t="shared" si="42"/>
        <v>0.34987885662523494</v>
      </c>
      <c r="Q50" s="6">
        <f t="shared" si="43"/>
        <v>6.7308264873105622E-2</v>
      </c>
      <c r="R50" s="6">
        <f t="shared" si="44"/>
        <v>0.10327951243515307</v>
      </c>
      <c r="S50" s="6">
        <f t="shared" si="45"/>
        <v>0.22519202522310469</v>
      </c>
      <c r="T50" s="38">
        <f t="shared" si="46"/>
        <v>0.92415996202720918</v>
      </c>
      <c r="U50" s="37">
        <f t="shared" si="47"/>
        <v>0.25720218147674745</v>
      </c>
      <c r="V50" s="6">
        <f t="shared" si="48"/>
        <v>2.2253978224868032</v>
      </c>
      <c r="W50" s="38">
        <f t="shared" si="49"/>
        <v>0.56193474451689895</v>
      </c>
      <c r="X50" s="37">
        <f t="shared" si="50"/>
        <v>0.81796607895834594</v>
      </c>
      <c r="Y50" s="6">
        <f t="shared" si="51"/>
        <v>0.60987522238960146</v>
      </c>
      <c r="Z50" s="38">
        <f t="shared" si="52"/>
        <v>0.11151571870379695</v>
      </c>
      <c r="AA50" s="37">
        <f t="shared" si="53"/>
        <v>3.6260560303739519E-3</v>
      </c>
      <c r="AB50" s="6">
        <f t="shared" si="54"/>
        <v>1.3918858876872613</v>
      </c>
      <c r="AC50" s="38">
        <f t="shared" si="55"/>
        <v>2.3000900508384383</v>
      </c>
      <c r="AD50" s="37">
        <f t="shared" si="32"/>
        <v>0.43169402806913887</v>
      </c>
      <c r="AE50" s="6">
        <f t="shared" si="33"/>
        <v>49.570830363813101</v>
      </c>
      <c r="AF50" s="38">
        <f t="shared" si="34"/>
        <v>0</v>
      </c>
      <c r="AG50" s="53">
        <f t="shared" si="35"/>
        <v>50.00252439188224</v>
      </c>
      <c r="AH50" s="74">
        <f t="shared" si="58"/>
        <v>8.6338805613827771E-3</v>
      </c>
      <c r="AI50" s="75">
        <f t="shared" si="59"/>
        <v>0.99141660727626202</v>
      </c>
      <c r="AJ50" s="38">
        <f t="shared" si="60"/>
        <v>0</v>
      </c>
      <c r="AK50" s="65">
        <f t="shared" si="56"/>
        <v>1.0000504878376448</v>
      </c>
      <c r="AL50" s="53">
        <f t="shared" si="37"/>
        <v>5.0487837644830336E-5</v>
      </c>
    </row>
    <row r="51" spans="1:38" x14ac:dyDescent="0.25">
      <c r="A51" s="28">
        <v>79.286040915590704</v>
      </c>
      <c r="B51">
        <f t="shared" si="39"/>
        <v>352.4360409155907</v>
      </c>
      <c r="C51" s="33">
        <f t="shared" si="40"/>
        <v>0.73999999900000102</v>
      </c>
      <c r="D51" s="34">
        <v>0.25999999999999901</v>
      </c>
      <c r="E51" s="35">
        <f t="shared" si="8"/>
        <v>1.0000000000000001E-9</v>
      </c>
      <c r="F51" s="37">
        <f t="shared" si="57"/>
        <v>213.54930733734375</v>
      </c>
      <c r="G51" s="6">
        <f t="shared" si="10"/>
        <v>176.42629052763402</v>
      </c>
      <c r="H51" s="38">
        <v>0</v>
      </c>
      <c r="I51" s="37">
        <f t="shared" si="11"/>
        <v>1.9021872016712869</v>
      </c>
      <c r="J51" s="6">
        <f t="shared" si="12"/>
        <v>2.5592859400493655</v>
      </c>
      <c r="K51" s="6">
        <f t="shared" si="13"/>
        <v>6.5762430815947566</v>
      </c>
      <c r="L51" s="6">
        <f t="shared" si="14"/>
        <v>5.5328164259818253</v>
      </c>
      <c r="M51" s="6">
        <f t="shared" si="15"/>
        <v>3.6331205615859936</v>
      </c>
      <c r="N51" s="6">
        <f t="shared" si="16"/>
        <v>0.19220837719670394</v>
      </c>
      <c r="O51" s="6">
        <f t="shared" si="41"/>
        <v>0.46725745362114696</v>
      </c>
      <c r="P51" s="6">
        <f t="shared" si="42"/>
        <v>0.3592580393876223</v>
      </c>
      <c r="Q51" s="6">
        <f t="shared" si="43"/>
        <v>7.2042631383724659E-2</v>
      </c>
      <c r="R51" s="6">
        <f t="shared" si="44"/>
        <v>0.10935819734361459</v>
      </c>
      <c r="S51" s="6">
        <f t="shared" si="45"/>
        <v>0.23380958723798703</v>
      </c>
      <c r="T51" s="38">
        <f t="shared" si="46"/>
        <v>0.92599786414390084</v>
      </c>
      <c r="U51" s="37">
        <f t="shared" si="47"/>
        <v>0.2390554533592131</v>
      </c>
      <c r="V51" s="6">
        <f t="shared" si="48"/>
        <v>2.2738709586629304</v>
      </c>
      <c r="W51" s="38">
        <f t="shared" si="49"/>
        <v>0.57144888203835309</v>
      </c>
      <c r="X51" s="37">
        <f t="shared" si="50"/>
        <v>0.83340708935014063</v>
      </c>
      <c r="Y51" s="6">
        <f t="shared" si="51"/>
        <v>0.60577051613838861</v>
      </c>
      <c r="Z51" s="38">
        <f t="shared" si="52"/>
        <v>0.11410204083379008</v>
      </c>
      <c r="AA51" s="37">
        <f t="shared" si="53"/>
        <v>7.378552070485499E-4</v>
      </c>
      <c r="AB51" s="6">
        <f t="shared" si="54"/>
        <v>1.0874610691612692</v>
      </c>
      <c r="AC51" s="38">
        <f t="shared" si="55"/>
        <v>2.3354011285805445</v>
      </c>
      <c r="AD51" s="37">
        <f t="shared" si="32"/>
        <v>0.11660066644397962</v>
      </c>
      <c r="AE51" s="6">
        <f t="shared" si="33"/>
        <v>49.882747856587585</v>
      </c>
      <c r="AF51" s="38">
        <f t="shared" si="34"/>
        <v>0</v>
      </c>
      <c r="AG51" s="53">
        <f t="shared" si="35"/>
        <v>49.999348523031564</v>
      </c>
      <c r="AH51" s="74">
        <f t="shared" si="58"/>
        <v>2.3320133288795924E-3</v>
      </c>
      <c r="AI51" s="75">
        <f t="shared" si="59"/>
        <v>0.99765495713175167</v>
      </c>
      <c r="AJ51" s="38">
        <f t="shared" si="60"/>
        <v>0</v>
      </c>
      <c r="AK51" s="65">
        <f t="shared" si="56"/>
        <v>0.99998697046063123</v>
      </c>
      <c r="AL51" s="53">
        <f t="shared" si="37"/>
        <v>1.3029539368769605E-5</v>
      </c>
    </row>
    <row r="52" spans="1:38" x14ac:dyDescent="0.25">
      <c r="A52" s="28">
        <v>91.858339491387298</v>
      </c>
      <c r="B52">
        <f t="shared" si="39"/>
        <v>365.00833949138729</v>
      </c>
      <c r="C52" s="33">
        <f t="shared" si="40"/>
        <v>0.75999999900000104</v>
      </c>
      <c r="D52" s="34">
        <v>0.23999999999999899</v>
      </c>
      <c r="E52" s="35">
        <f t="shared" si="8"/>
        <v>1.0000000000000001E-9</v>
      </c>
      <c r="F52" s="37">
        <f t="shared" si="57"/>
        <v>299.38617118685568</v>
      </c>
      <c r="G52" s="6">
        <f t="shared" si="10"/>
        <v>272.14578598332577</v>
      </c>
      <c r="H52" s="38">
        <v>0</v>
      </c>
      <c r="I52" s="37">
        <f t="shared" si="11"/>
        <v>1.8366685193316064</v>
      </c>
      <c r="J52" s="6">
        <f t="shared" si="12"/>
        <v>2.471134236381515</v>
      </c>
      <c r="K52" s="6">
        <f t="shared" si="13"/>
        <v>6.3497318417583388</v>
      </c>
      <c r="L52" s="6">
        <f t="shared" si="14"/>
        <v>5.3422448347424512</v>
      </c>
      <c r="M52" s="6">
        <f t="shared" si="15"/>
        <v>3.5079818413973753</v>
      </c>
      <c r="N52" s="6">
        <f t="shared" si="16"/>
        <v>0.18558797748130698</v>
      </c>
      <c r="O52" s="6">
        <f t="shared" si="41"/>
        <v>0.4796649653065207</v>
      </c>
      <c r="P52" s="6">
        <f t="shared" si="42"/>
        <v>0.37215170654373975</v>
      </c>
      <c r="Q52" s="6">
        <f t="shared" si="43"/>
        <v>7.8874859714424081E-2</v>
      </c>
      <c r="R52" s="6">
        <f t="shared" si="44"/>
        <v>0.11802038279331371</v>
      </c>
      <c r="S52" s="6">
        <f t="shared" si="45"/>
        <v>0.24581090031427685</v>
      </c>
      <c r="T52" s="38">
        <f t="shared" si="46"/>
        <v>0.92845330430651718</v>
      </c>
      <c r="U52" s="37">
        <f t="shared" si="47"/>
        <v>0.22071283819082291</v>
      </c>
      <c r="V52" s="6">
        <f t="shared" si="48"/>
        <v>2.3147653638494385</v>
      </c>
      <c r="W52" s="38">
        <f t="shared" si="49"/>
        <v>0.58758603969657552</v>
      </c>
      <c r="X52" s="37">
        <f t="shared" si="50"/>
        <v>0.84931640868851854</v>
      </c>
      <c r="Y52" s="6">
        <f t="shared" si="51"/>
        <v>0.60454537408174358</v>
      </c>
      <c r="Z52" s="38">
        <f t="shared" si="52"/>
        <v>0.11893951037951372</v>
      </c>
      <c r="AA52" s="52">
        <f t="shared" si="53"/>
        <v>8.9873129919445534E-5</v>
      </c>
      <c r="AB52" s="6">
        <f t="shared" si="54"/>
        <v>0.76519505946459565</v>
      </c>
      <c r="AC52" s="38">
        <f t="shared" si="55"/>
        <v>2.3467391609413681</v>
      </c>
      <c r="AD52" s="37">
        <f t="shared" si="32"/>
        <v>2.0449146890056103E-2</v>
      </c>
      <c r="AE52" s="6">
        <f t="shared" si="33"/>
        <v>49.978706613251809</v>
      </c>
      <c r="AF52" s="38">
        <f t="shared" si="34"/>
        <v>0</v>
      </c>
      <c r="AG52" s="53">
        <f t="shared" si="35"/>
        <v>49.999155760141868</v>
      </c>
      <c r="AH52" s="74">
        <f t="shared" si="58"/>
        <v>4.0898293780112209E-4</v>
      </c>
      <c r="AI52" s="75">
        <f t="shared" si="59"/>
        <v>0.99957413226503622</v>
      </c>
      <c r="AJ52" s="38">
        <f t="shared" si="60"/>
        <v>0</v>
      </c>
      <c r="AK52" s="65">
        <f t="shared" si="56"/>
        <v>0.99998311520283734</v>
      </c>
      <c r="AL52" s="53">
        <f t="shared" si="37"/>
        <v>1.6884797162664E-5</v>
      </c>
    </row>
    <row r="53" spans="1:38" x14ac:dyDescent="0.25">
      <c r="A53" s="28">
        <v>111.02743088712677</v>
      </c>
      <c r="B53">
        <f t="shared" si="39"/>
        <v>384.17743088712677</v>
      </c>
      <c r="C53" s="33">
        <f t="shared" si="40"/>
        <v>0.77999999900000105</v>
      </c>
      <c r="D53" s="34">
        <v>0.219999999999999</v>
      </c>
      <c r="E53" s="35">
        <f t="shared" si="8"/>
        <v>1.0000000000000001E-9</v>
      </c>
      <c r="F53" s="37">
        <f t="shared" si="57"/>
        <v>477.47351745144306</v>
      </c>
      <c r="G53" s="6">
        <f t="shared" si="10"/>
        <v>496.46165532731408</v>
      </c>
      <c r="H53" s="38">
        <v>0</v>
      </c>
      <c r="I53" s="37">
        <f t="shared" si="11"/>
        <v>1.7450252735806888</v>
      </c>
      <c r="J53" s="6">
        <f t="shared" si="12"/>
        <v>2.3478334013507984</v>
      </c>
      <c r="K53" s="6">
        <f t="shared" si="13"/>
        <v>6.0329027408607789</v>
      </c>
      <c r="L53" s="6">
        <f t="shared" si="14"/>
        <v>5.0756857626514034</v>
      </c>
      <c r="M53" s="6">
        <f t="shared" si="15"/>
        <v>3.3329459878412155</v>
      </c>
      <c r="N53" s="6">
        <f t="shared" si="16"/>
        <v>0.17632779555423581</v>
      </c>
      <c r="O53" s="6">
        <f t="shared" si="41"/>
        <v>0.49757443801153539</v>
      </c>
      <c r="P53" s="6">
        <f t="shared" si="42"/>
        <v>0.39096651559032142</v>
      </c>
      <c r="Q53" s="6">
        <f t="shared" si="43"/>
        <v>8.9531828041464742E-2</v>
      </c>
      <c r="R53" s="6">
        <f t="shared" si="44"/>
        <v>0.1312995000910156</v>
      </c>
      <c r="S53" s="6">
        <f t="shared" si="45"/>
        <v>0.26363798254509985</v>
      </c>
      <c r="T53" s="38">
        <f t="shared" si="46"/>
        <v>0.93189874004300721</v>
      </c>
      <c r="U53" s="37">
        <f t="shared" si="47"/>
        <v>0.2019433343712268</v>
      </c>
      <c r="V53" s="6">
        <f t="shared" si="48"/>
        <v>2.3414181860349066</v>
      </c>
      <c r="W53" s="38">
        <f t="shared" si="49"/>
        <v>0.61461876622922662</v>
      </c>
      <c r="X53" s="37">
        <f t="shared" si="50"/>
        <v>0.86601263256117089</v>
      </c>
      <c r="Y53" s="6">
        <f t="shared" si="51"/>
        <v>0.60810806208332147</v>
      </c>
      <c r="Z53" s="38">
        <f t="shared" si="52"/>
        <v>0.12783518294273247</v>
      </c>
      <c r="AA53" s="37">
        <f t="shared" si="53"/>
        <v>5.039816656952208E-6</v>
      </c>
      <c r="AB53" s="6">
        <f t="shared" si="54"/>
        <v>0.45776147470956968</v>
      </c>
      <c r="AC53" s="38">
        <f t="shared" si="55"/>
        <v>2.3171346776043311</v>
      </c>
      <c r="AD53" s="37">
        <f t="shared" si="32"/>
        <v>1.8769756070677916E-3</v>
      </c>
      <c r="AE53" s="6">
        <f t="shared" si="33"/>
        <v>49.997424285464554</v>
      </c>
      <c r="AF53" s="38">
        <f t="shared" si="34"/>
        <v>0</v>
      </c>
      <c r="AG53" s="53">
        <f t="shared" si="35"/>
        <v>49.999301261071622</v>
      </c>
      <c r="AH53" s="74">
        <f t="shared" si="58"/>
        <v>3.7539512141355835E-5</v>
      </c>
      <c r="AI53" s="75">
        <f t="shared" si="59"/>
        <v>0.99994848570929107</v>
      </c>
      <c r="AJ53" s="38">
        <f t="shared" si="60"/>
        <v>0</v>
      </c>
      <c r="AK53" s="65">
        <f t="shared" si="56"/>
        <v>0.99998602522143243</v>
      </c>
      <c r="AL53" s="53">
        <f t="shared" si="37"/>
        <v>1.3974778567571455E-5</v>
      </c>
    </row>
    <row r="54" spans="1:38" x14ac:dyDescent="0.25">
      <c r="A54" s="28">
        <v>143.9467945074561</v>
      </c>
      <c r="B54">
        <f t="shared" si="39"/>
        <v>417.09679450745608</v>
      </c>
      <c r="C54" s="33">
        <f t="shared" si="40"/>
        <v>0.79999999900000107</v>
      </c>
      <c r="D54" s="34">
        <v>0.19999999999999901</v>
      </c>
      <c r="E54" s="35">
        <f t="shared" si="8"/>
        <v>1.0000000000000001E-9</v>
      </c>
      <c r="F54" s="37">
        <f t="shared" si="57"/>
        <v>951.03043781319968</v>
      </c>
      <c r="G54" s="6">
        <f t="shared" si="10"/>
        <v>1211.9419440638353</v>
      </c>
      <c r="H54" s="38">
        <v>0</v>
      </c>
      <c r="I54" s="37">
        <f t="shared" si="11"/>
        <v>1.6072991575708464</v>
      </c>
      <c r="J54" s="6">
        <f t="shared" si="12"/>
        <v>2.1625306551374375</v>
      </c>
      <c r="K54" s="6">
        <f t="shared" si="13"/>
        <v>5.5567559048559607</v>
      </c>
      <c r="L54" s="6">
        <f t="shared" si="14"/>
        <v>4.675087274618039</v>
      </c>
      <c r="M54" s="6">
        <f t="shared" si="15"/>
        <v>3.0698932328320869</v>
      </c>
      <c r="N54" s="6">
        <f t="shared" si="16"/>
        <v>0.16241112466474708</v>
      </c>
      <c r="O54" s="6">
        <f t="shared" si="41"/>
        <v>0.52575515309605125</v>
      </c>
      <c r="P54" s="6">
        <f t="shared" si="42"/>
        <v>0.42104638970168962</v>
      </c>
      <c r="Q54" s="6">
        <f t="shared" si="43"/>
        <v>0.10831600391881774</v>
      </c>
      <c r="R54" s="6">
        <f t="shared" si="44"/>
        <v>0.15411828147555909</v>
      </c>
      <c r="S54" s="6">
        <f t="shared" si="45"/>
        <v>0.2928902559694565</v>
      </c>
      <c r="T54" s="38">
        <f t="shared" si="46"/>
        <v>0.93710077684353388</v>
      </c>
      <c r="U54" s="37">
        <f t="shared" si="47"/>
        <v>0.18210514571348504</v>
      </c>
      <c r="V54" s="6">
        <f t="shared" si="48"/>
        <v>2.3371944384106516</v>
      </c>
      <c r="W54" s="38">
        <f t="shared" si="49"/>
        <v>0.66133683784376607</v>
      </c>
      <c r="X54" s="37">
        <f t="shared" si="50"/>
        <v>0.88420927709445685</v>
      </c>
      <c r="Y54" s="6">
        <f t="shared" si="51"/>
        <v>0.62060412288818612</v>
      </c>
      <c r="Z54" s="38">
        <f t="shared" si="52"/>
        <v>0.14523085522062931</v>
      </c>
      <c r="AA54" s="37">
        <f t="shared" si="53"/>
        <v>7.5072062952668106E-8</v>
      </c>
      <c r="AB54" s="6">
        <f t="shared" si="54"/>
        <v>0.20628139645815055</v>
      </c>
      <c r="AC54" s="38">
        <f t="shared" si="55"/>
        <v>2.215040722412716</v>
      </c>
      <c r="AD54" s="37">
        <f t="shared" si="32"/>
        <v>5.7116653446537094E-5</v>
      </c>
      <c r="AE54" s="6">
        <f t="shared" si="33"/>
        <v>50.000215329538499</v>
      </c>
      <c r="AF54" s="38">
        <f t="shared" si="34"/>
        <v>0</v>
      </c>
      <c r="AG54" s="53">
        <f t="shared" si="35"/>
        <v>50.000272446191943</v>
      </c>
      <c r="AH54" s="74">
        <f t="shared" si="58"/>
        <v>1.142333068930742E-6</v>
      </c>
      <c r="AI54" s="75">
        <f t="shared" si="59"/>
        <v>1.00000430659077</v>
      </c>
      <c r="AJ54" s="38">
        <f t="shared" si="60"/>
        <v>0</v>
      </c>
      <c r="AK54" s="65">
        <f t="shared" si="56"/>
        <v>1.000005448923839</v>
      </c>
      <c r="AL54" s="53">
        <f t="shared" si="37"/>
        <v>5.4489238390242889E-6</v>
      </c>
    </row>
    <row r="55" spans="1:38" x14ac:dyDescent="0.25">
      <c r="A55" s="67">
        <v>359.07311486150377</v>
      </c>
      <c r="B55">
        <f t="shared" si="39"/>
        <v>632.22311486150375</v>
      </c>
      <c r="C55" s="68">
        <f t="shared" si="40"/>
        <v>0.81999999900000109</v>
      </c>
      <c r="D55" s="69">
        <v>0.17999999999999899</v>
      </c>
      <c r="E55" s="70">
        <f t="shared" si="8"/>
        <v>1.0000000000000001E-9</v>
      </c>
      <c r="F55" s="37">
        <f t="shared" si="57"/>
        <v>12766.997337318975</v>
      </c>
      <c r="G55" s="6">
        <f t="shared" si="10"/>
        <v>37009.527149736816</v>
      </c>
      <c r="H55" s="38">
        <v>0</v>
      </c>
      <c r="I55" s="37">
        <f t="shared" si="11"/>
        <v>1.0603840806804317</v>
      </c>
      <c r="J55" s="6">
        <f t="shared" si="12"/>
        <v>1.4266871664120111</v>
      </c>
      <c r="K55" s="6">
        <f t="shared" si="13"/>
        <v>3.665960673208732</v>
      </c>
      <c r="L55" s="6">
        <f t="shared" si="14"/>
        <v>3.084297094567551</v>
      </c>
      <c r="M55" s="6">
        <f t="shared" si="15"/>
        <v>2.025301822719487</v>
      </c>
      <c r="N55" s="6">
        <f t="shared" si="16"/>
        <v>0.10714755265608468</v>
      </c>
      <c r="O55" s="6">
        <f t="shared" si="41"/>
        <v>0.65432334900366396</v>
      </c>
      <c r="P55" s="6">
        <f t="shared" si="42"/>
        <v>0.56514391324327973</v>
      </c>
      <c r="Q55" s="6">
        <f t="shared" si="43"/>
        <v>0.23075833860550607</v>
      </c>
      <c r="R55" s="6">
        <f t="shared" si="44"/>
        <v>0.29120760765062281</v>
      </c>
      <c r="S55" s="6">
        <f t="shared" si="45"/>
        <v>0.4448043621562946</v>
      </c>
      <c r="T55" s="38">
        <f t="shared" si="46"/>
        <v>0.95804644491680579</v>
      </c>
      <c r="U55" s="37">
        <f t="shared" si="47"/>
        <v>0.14513104317417902</v>
      </c>
      <c r="V55" s="6">
        <f t="shared" si="48"/>
        <v>1.9669534030118558</v>
      </c>
      <c r="W55" s="38">
        <f t="shared" si="49"/>
        <v>0.85583516989229003</v>
      </c>
      <c r="X55" s="37">
        <f t="shared" si="50"/>
        <v>0.92172590367499851</v>
      </c>
      <c r="Y55" s="6">
        <f t="shared" si="51"/>
        <v>0.71654514648672729</v>
      </c>
      <c r="Z55" s="38">
        <f t="shared" si="52"/>
        <v>0.2692866236138895</v>
      </c>
      <c r="AA55" s="37">
        <f t="shared" si="53"/>
        <v>1.6043815491294424E-13</v>
      </c>
      <c r="AB55" s="6">
        <f t="shared" si="54"/>
        <v>1.4026959657428298E-2</v>
      </c>
      <c r="AC55" s="38">
        <f t="shared" si="55"/>
        <v>1.7525450841464651</v>
      </c>
      <c r="AD55" s="37">
        <f t="shared" si="32"/>
        <v>1.6796170651455901E-9</v>
      </c>
      <c r="AE55" s="6">
        <f t="shared" si="33"/>
        <v>93.443605968573493</v>
      </c>
      <c r="AF55" s="38">
        <f t="shared" si="34"/>
        <v>0</v>
      </c>
      <c r="AG55" s="53">
        <f t="shared" si="35"/>
        <v>93.443605970253117</v>
      </c>
      <c r="AH55" s="74">
        <f t="shared" si="58"/>
        <v>3.35923413029118E-11</v>
      </c>
      <c r="AI55" s="75">
        <f t="shared" si="59"/>
        <v>1.8688721193714699</v>
      </c>
      <c r="AJ55" s="38">
        <f t="shared" si="60"/>
        <v>0</v>
      </c>
      <c r="AK55" s="64">
        <f t="shared" si="56"/>
        <v>1.8688721194050621</v>
      </c>
      <c r="AL55" s="61">
        <f t="shared" si="37"/>
        <v>0.86887211940506215</v>
      </c>
    </row>
    <row r="56" spans="1:38" x14ac:dyDescent="0.25">
      <c r="A56" s="67">
        <v>306.46714803782066</v>
      </c>
      <c r="B56">
        <f t="shared" si="39"/>
        <v>579.6171480378207</v>
      </c>
      <c r="C56" s="68">
        <f t="shared" si="40"/>
        <v>0.839999999000001</v>
      </c>
      <c r="D56" s="69">
        <v>0.159999999999999</v>
      </c>
      <c r="E56" s="70">
        <f t="shared" si="8"/>
        <v>1.0000000000000001E-9</v>
      </c>
      <c r="F56" s="37">
        <f t="shared" si="57"/>
        <v>8209.2673021147439</v>
      </c>
      <c r="G56" s="6">
        <f t="shared" si="10"/>
        <v>20565.0399868881</v>
      </c>
      <c r="H56" s="38">
        <v>0</v>
      </c>
      <c r="I56" s="37">
        <f t="shared" si="11"/>
        <v>1.1566243833655354</v>
      </c>
      <c r="J56" s="6">
        <f t="shared" si="12"/>
        <v>1.5561730831039502</v>
      </c>
      <c r="K56" s="6">
        <f t="shared" si="13"/>
        <v>3.998682722935186</v>
      </c>
      <c r="L56" s="6">
        <f t="shared" si="14"/>
        <v>3.364227443730746</v>
      </c>
      <c r="M56" s="6">
        <f t="shared" si="15"/>
        <v>2.2091179172822621</v>
      </c>
      <c r="N56" s="6">
        <f t="shared" si="16"/>
        <v>0.11687224872373281</v>
      </c>
      <c r="O56" s="6">
        <f t="shared" si="41"/>
        <v>0.62961311378077633</v>
      </c>
      <c r="P56" s="6">
        <f t="shared" si="42"/>
        <v>0.53661776591222432</v>
      </c>
      <c r="Q56" s="6">
        <f t="shared" si="43"/>
        <v>0.2020029274873984</v>
      </c>
      <c r="R56" s="6">
        <f t="shared" si="44"/>
        <v>0.26035974296899922</v>
      </c>
      <c r="S56" s="6">
        <f t="shared" si="45"/>
        <v>0.4132728845044798</v>
      </c>
      <c r="T56" s="38">
        <f t="shared" si="46"/>
        <v>0.95432699950379674</v>
      </c>
      <c r="U56" s="37">
        <f t="shared" si="47"/>
        <v>0.13361122059238537</v>
      </c>
      <c r="V56" s="6">
        <f t="shared" si="48"/>
        <v>2.114803384969151</v>
      </c>
      <c r="W56" s="38">
        <f t="shared" si="49"/>
        <v>0.82458128215997617</v>
      </c>
      <c r="X56" s="37">
        <f t="shared" si="50"/>
        <v>0.92585884180631606</v>
      </c>
      <c r="Y56" s="6">
        <f t="shared" si="51"/>
        <v>0.68887501590056566</v>
      </c>
      <c r="Z56" s="38">
        <f t="shared" si="52"/>
        <v>0.23580612140812829</v>
      </c>
      <c r="AA56" s="37">
        <f t="shared" si="53"/>
        <v>1.3049293435851036E-16</v>
      </c>
      <c r="AB56" s="6">
        <f t="shared" si="54"/>
        <v>3.0714900533021241E-3</v>
      </c>
      <c r="AC56" s="38">
        <f t="shared" si="55"/>
        <v>1.4280945704021633</v>
      </c>
      <c r="AD56" s="37">
        <f t="shared" si="32"/>
        <v>8.9985115744526246E-13</v>
      </c>
      <c r="AE56" s="6">
        <f t="shared" si="33"/>
        <v>10.106450522477896</v>
      </c>
      <c r="AF56" s="38">
        <f t="shared" si="34"/>
        <v>0</v>
      </c>
      <c r="AG56" s="53">
        <f t="shared" si="35"/>
        <v>10.106450522478797</v>
      </c>
      <c r="AH56" s="74">
        <f t="shared" si="58"/>
        <v>1.7997023148905251E-14</v>
      </c>
      <c r="AI56" s="75">
        <f t="shared" si="59"/>
        <v>0.20212901044955792</v>
      </c>
      <c r="AJ56" s="38">
        <f t="shared" si="60"/>
        <v>0</v>
      </c>
      <c r="AK56" s="64">
        <f t="shared" si="56"/>
        <v>0.2021290104495759</v>
      </c>
      <c r="AL56" s="61">
        <f t="shared" si="37"/>
        <v>0.79787098955042413</v>
      </c>
    </row>
    <row r="57" spans="1:38" x14ac:dyDescent="0.25">
      <c r="A57" s="67">
        <v>107.81033839875323</v>
      </c>
      <c r="B57">
        <f t="shared" si="39"/>
        <v>380.96033839875321</v>
      </c>
      <c r="C57" s="68">
        <f t="shared" si="40"/>
        <v>0.85999999900000101</v>
      </c>
      <c r="D57" s="69">
        <v>0.13999999999999899</v>
      </c>
      <c r="E57" s="70">
        <f t="shared" si="8"/>
        <v>1.0000000000000001E-9</v>
      </c>
      <c r="F57" s="37">
        <f t="shared" si="57"/>
        <v>443.14795941515786</v>
      </c>
      <c r="G57" s="6">
        <f t="shared" si="10"/>
        <v>450.8957723767233</v>
      </c>
      <c r="H57" s="38">
        <v>0</v>
      </c>
      <c r="I57" s="37">
        <f t="shared" si="11"/>
        <v>1.7597614734781764</v>
      </c>
      <c r="J57" s="6">
        <f t="shared" si="12"/>
        <v>2.3676601298527356</v>
      </c>
      <c r="K57" s="6">
        <f t="shared" si="13"/>
        <v>6.0838487426736938</v>
      </c>
      <c r="L57" s="6">
        <f t="shared" si="14"/>
        <v>5.118548362493172</v>
      </c>
      <c r="M57" s="6">
        <f t="shared" si="15"/>
        <v>3.3610916881172783</v>
      </c>
      <c r="N57" s="6">
        <f t="shared" si="16"/>
        <v>0.17781682937059923</v>
      </c>
      <c r="O57" s="6">
        <f t="shared" si="41"/>
        <v>0.49465012258498692</v>
      </c>
      <c r="P57" s="6">
        <f t="shared" si="42"/>
        <v>0.3878781434574331</v>
      </c>
      <c r="Q57" s="6">
        <f t="shared" si="43"/>
        <v>8.7725777285839107E-2</v>
      </c>
      <c r="R57" s="6">
        <f t="shared" si="44"/>
        <v>0.12906755300284839</v>
      </c>
      <c r="S57" s="6">
        <f t="shared" si="45"/>
        <v>0.26068651767349427</v>
      </c>
      <c r="T57" s="38">
        <f t="shared" si="46"/>
        <v>0.93134385381334306</v>
      </c>
      <c r="U57" s="37">
        <f t="shared" si="47"/>
        <v>0.12857090683140254</v>
      </c>
      <c r="V57" s="6">
        <f t="shared" si="48"/>
        <v>2.5880638098190074</v>
      </c>
      <c r="W57" s="38">
        <f t="shared" si="49"/>
        <v>0.58165768921506722</v>
      </c>
      <c r="X57" s="37">
        <f t="shared" si="50"/>
        <v>0.91430293921310879</v>
      </c>
      <c r="Y57" s="6">
        <f t="shared" si="51"/>
        <v>0.56539910585978204</v>
      </c>
      <c r="Z57" s="38">
        <f t="shared" si="52"/>
        <v>0.11194028185238489</v>
      </c>
      <c r="AA57" s="37">
        <f t="shared" si="53"/>
        <v>2.8190670006399278E-18</v>
      </c>
      <c r="AB57" s="6">
        <f t="shared" si="54"/>
        <v>1.3688551316379737E-3</v>
      </c>
      <c r="AC57" s="38">
        <f t="shared" si="55"/>
        <v>1.2268990517570673</v>
      </c>
      <c r="AD57" s="37">
        <f t="shared" si="32"/>
        <v>1.0743668571085839E-15</v>
      </c>
      <c r="AE57" s="6">
        <f t="shared" si="33"/>
        <v>8.640953885924374E-2</v>
      </c>
      <c r="AF57" s="38">
        <f t="shared" si="34"/>
        <v>0</v>
      </c>
      <c r="AG57" s="53">
        <f t="shared" si="35"/>
        <v>8.6409538859244808E-2</v>
      </c>
      <c r="AH57" s="74">
        <f t="shared" si="58"/>
        <v>2.1487337142171677E-17</v>
      </c>
      <c r="AI57" s="75">
        <f t="shared" si="59"/>
        <v>1.7281907771848747E-3</v>
      </c>
      <c r="AJ57" s="38">
        <f t="shared" si="60"/>
        <v>0</v>
      </c>
      <c r="AK57" s="64">
        <f t="shared" si="56"/>
        <v>1.7281907771848962E-3</v>
      </c>
      <c r="AL57" s="61">
        <f t="shared" si="37"/>
        <v>0.99827180922281511</v>
      </c>
    </row>
    <row r="58" spans="1:38" x14ac:dyDescent="0.25">
      <c r="A58" s="67">
        <v>107.47557597508414</v>
      </c>
      <c r="B58">
        <f t="shared" si="39"/>
        <v>380.62557597508413</v>
      </c>
      <c r="C58" s="68">
        <f t="shared" si="40"/>
        <v>0.87999999900000103</v>
      </c>
      <c r="D58" s="69">
        <v>0.119999999999999</v>
      </c>
      <c r="E58" s="70">
        <f t="shared" si="8"/>
        <v>1.0000000000000001E-9</v>
      </c>
      <c r="F58" s="37">
        <f t="shared" si="57"/>
        <v>439.68478157736354</v>
      </c>
      <c r="G58" s="6">
        <f t="shared" si="10"/>
        <v>446.35576254050636</v>
      </c>
      <c r="H58" s="38">
        <v>0</v>
      </c>
      <c r="I58" s="37">
        <f t="shared" si="11"/>
        <v>1.7613091940022947</v>
      </c>
      <c r="J58" s="6">
        <f t="shared" si="12"/>
        <v>2.3697425008060371</v>
      </c>
      <c r="K58" s="6">
        <f t="shared" si="13"/>
        <v>6.0891995232803735</v>
      </c>
      <c r="L58" s="6">
        <f t="shared" si="14"/>
        <v>5.1230501557610202</v>
      </c>
      <c r="M58" s="6">
        <f t="shared" si="15"/>
        <v>3.3640477879453199</v>
      </c>
      <c r="N58" s="6">
        <f t="shared" si="16"/>
        <v>0.1779732203136323</v>
      </c>
      <c r="O58" s="6">
        <f t="shared" si="41"/>
        <v>0.49434398529896384</v>
      </c>
      <c r="P58" s="6">
        <f t="shared" si="42"/>
        <v>0.38755519550384998</v>
      </c>
      <c r="Q58" s="6">
        <f t="shared" si="43"/>
        <v>8.753821752054719E-2</v>
      </c>
      <c r="R58" s="6">
        <f t="shared" si="44"/>
        <v>0.12883534795693388</v>
      </c>
      <c r="S58" s="6">
        <f t="shared" si="45"/>
        <v>0.26037845369493579</v>
      </c>
      <c r="T58" s="38">
        <f t="shared" si="46"/>
        <v>0.93128559413818479</v>
      </c>
      <c r="U58" s="37">
        <f t="shared" si="47"/>
        <v>0.11020872284326895</v>
      </c>
      <c r="V58" s="6">
        <f t="shared" si="48"/>
        <v>2.648940057620282</v>
      </c>
      <c r="W58" s="38">
        <f t="shared" si="49"/>
        <v>0.57418421851622858</v>
      </c>
      <c r="X58" s="37">
        <f t="shared" si="50"/>
        <v>0.92650662258929806</v>
      </c>
      <c r="Y58" s="6">
        <f t="shared" si="51"/>
        <v>0.55502270750002924</v>
      </c>
      <c r="Z58" s="38">
        <f t="shared" si="52"/>
        <v>0.10827904677393543</v>
      </c>
      <c r="AA58" s="37">
        <f t="shared" si="53"/>
        <v>3.2701494686763259E-26</v>
      </c>
      <c r="AB58" s="6">
        <f t="shared" si="54"/>
        <v>2.3022850137759395E-5</v>
      </c>
      <c r="AC58" s="38">
        <f t="shared" si="55"/>
        <v>0.67550484117678811</v>
      </c>
      <c r="AD58" s="37">
        <f t="shared" si="32"/>
        <v>1.2652947588392145E-23</v>
      </c>
      <c r="AE58" s="6">
        <f t="shared" si="33"/>
        <v>1.2331658194914372E-3</v>
      </c>
      <c r="AF58" s="38">
        <f t="shared" si="34"/>
        <v>0</v>
      </c>
      <c r="AG58" s="53">
        <f t="shared" si="35"/>
        <v>1.2331658194914372E-3</v>
      </c>
      <c r="AH58" s="74">
        <f t="shared" si="58"/>
        <v>2.530589517678429E-25</v>
      </c>
      <c r="AI58" s="75">
        <f t="shared" si="59"/>
        <v>2.4663316389828745E-5</v>
      </c>
      <c r="AJ58" s="38">
        <f t="shared" si="60"/>
        <v>0</v>
      </c>
      <c r="AK58" s="64">
        <f t="shared" si="56"/>
        <v>2.4663316389828745E-5</v>
      </c>
      <c r="AL58" s="61">
        <f t="shared" si="37"/>
        <v>0.99997533668361016</v>
      </c>
    </row>
    <row r="59" spans="1:38" x14ac:dyDescent="0.25">
      <c r="A59" s="67">
        <v>66.36300559302579</v>
      </c>
      <c r="B59">
        <f t="shared" si="39"/>
        <v>339.51300559302575</v>
      </c>
      <c r="C59" s="68">
        <f t="shared" si="40"/>
        <v>0.89999999900000105</v>
      </c>
      <c r="D59" s="69">
        <v>9.9999999999999006E-2</v>
      </c>
      <c r="E59" s="70">
        <f t="shared" si="8"/>
        <v>1.0000000000000001E-9</v>
      </c>
      <c r="F59" s="37">
        <f t="shared" si="57"/>
        <v>146.40741154098234</v>
      </c>
      <c r="G59" s="6">
        <f t="shared" si="10"/>
        <v>108.89086687495085</v>
      </c>
      <c r="H59" s="38">
        <v>0</v>
      </c>
      <c r="I59" s="37">
        <f t="shared" si="11"/>
        <v>1.9745910035650955</v>
      </c>
      <c r="J59" s="6">
        <f t="shared" si="12"/>
        <v>2.6567011850000912</v>
      </c>
      <c r="K59" s="6">
        <f t="shared" si="13"/>
        <v>6.8265575621395573</v>
      </c>
      <c r="L59" s="6">
        <f t="shared" si="14"/>
        <v>5.7434144912351446</v>
      </c>
      <c r="M59" s="6">
        <f t="shared" si="15"/>
        <v>3.7714096538300557</v>
      </c>
      <c r="N59" s="6">
        <f t="shared" si="16"/>
        <v>0.19952449059114447</v>
      </c>
      <c r="O59" s="6">
        <f t="shared" si="41"/>
        <v>0.45391904971745817</v>
      </c>
      <c r="P59" s="6">
        <f t="shared" si="42"/>
        <v>0.34552838805923752</v>
      </c>
      <c r="Q59" s="6">
        <f t="shared" si="43"/>
        <v>6.5178669084715646E-2</v>
      </c>
      <c r="R59" s="6">
        <f t="shared" si="44"/>
        <v>0.1005232940755442</v>
      </c>
      <c r="S59" s="6">
        <f t="shared" si="45"/>
        <v>0.22122746319850062</v>
      </c>
      <c r="T59" s="38">
        <f t="shared" si="46"/>
        <v>0.92329194328897235</v>
      </c>
      <c r="U59" s="37">
        <f t="shared" si="47"/>
        <v>9.1796568378160803E-2</v>
      </c>
      <c r="V59" s="6">
        <f t="shared" si="48"/>
        <v>2.7888340663886422</v>
      </c>
      <c r="W59" s="38">
        <f t="shared" si="49"/>
        <v>0.48388528129238123</v>
      </c>
      <c r="X59" s="37">
        <f t="shared" si="50"/>
        <v>0.93455283790644772</v>
      </c>
      <c r="Y59" s="6">
        <f t="shared" si="51"/>
        <v>0.5085271452150848</v>
      </c>
      <c r="Z59" s="38">
        <f t="shared" si="52"/>
        <v>8.0783549430915327E-2</v>
      </c>
      <c r="AA59" s="37">
        <f t="shared" si="53"/>
        <v>1.2184413282657423E-39</v>
      </c>
      <c r="AB59" s="6">
        <f t="shared" si="54"/>
        <v>1.8160370836004301E-8</v>
      </c>
      <c r="AC59" s="38">
        <f t="shared" si="55"/>
        <v>0.21298207141024431</v>
      </c>
      <c r="AD59" s="37">
        <f t="shared" si="32"/>
        <v>1.6054995670896067E-37</v>
      </c>
      <c r="AE59" s="6">
        <f t="shared" si="33"/>
        <v>1.9774985231030644E-7</v>
      </c>
      <c r="AF59" s="38">
        <f t="shared" si="34"/>
        <v>0</v>
      </c>
      <c r="AG59" s="53">
        <f t="shared" si="35"/>
        <v>1.9774985231030644E-7</v>
      </c>
      <c r="AH59" s="74">
        <f t="shared" si="58"/>
        <v>3.2109991341792137E-39</v>
      </c>
      <c r="AI59" s="75">
        <f t="shared" si="59"/>
        <v>3.9549970462061291E-9</v>
      </c>
      <c r="AJ59" s="38">
        <f t="shared" si="60"/>
        <v>0</v>
      </c>
      <c r="AK59" s="64">
        <f t="shared" si="56"/>
        <v>3.9549970462061291E-9</v>
      </c>
      <c r="AL59" s="61">
        <f t="shared" si="37"/>
        <v>0.999999996045003</v>
      </c>
    </row>
    <row r="60" spans="1:38" x14ac:dyDescent="0.25">
      <c r="A60" s="67">
        <v>53.286741723598354</v>
      </c>
      <c r="B60">
        <f t="shared" si="39"/>
        <v>326.43674172359835</v>
      </c>
      <c r="C60" s="68">
        <f t="shared" si="40"/>
        <v>0.91999999900000107</v>
      </c>
      <c r="D60" s="69">
        <v>7.9999999999999002E-2</v>
      </c>
      <c r="E60" s="70">
        <f t="shared" si="8"/>
        <v>1.0000000000000001E-9</v>
      </c>
      <c r="F60" s="37">
        <f t="shared" si="57"/>
        <v>96.448886286137096</v>
      </c>
      <c r="G60" s="6">
        <f t="shared" si="10"/>
        <v>63.997147754787484</v>
      </c>
      <c r="H60" s="38">
        <v>0</v>
      </c>
      <c r="I60" s="37">
        <f t="shared" si="11"/>
        <v>2.0536883283958809</v>
      </c>
      <c r="J60" s="6">
        <f t="shared" si="12"/>
        <v>2.7631221887567596</v>
      </c>
      <c r="K60" s="6">
        <f t="shared" si="13"/>
        <v>7.1000128954180504</v>
      </c>
      <c r="L60" s="6">
        <f t="shared" si="14"/>
        <v>5.9734817410255348</v>
      </c>
      <c r="M60" s="6">
        <f t="shared" si="15"/>
        <v>3.9224831743314481</v>
      </c>
      <c r="N60" s="6">
        <f t="shared" si="16"/>
        <v>0.20751695759595246</v>
      </c>
      <c r="O60" s="6">
        <f t="shared" si="41"/>
        <v>0.43978235096160856</v>
      </c>
      <c r="P60" s="6">
        <f t="shared" si="42"/>
        <v>0.3311284622237492</v>
      </c>
      <c r="Q60" s="6">
        <f t="shared" si="43"/>
        <v>5.8425364595923068E-2</v>
      </c>
      <c r="R60" s="6">
        <f t="shared" si="44"/>
        <v>9.1685347814198098E-2</v>
      </c>
      <c r="S60" s="6">
        <f t="shared" si="45"/>
        <v>0.20825473320198104</v>
      </c>
      <c r="T60" s="38">
        <f t="shared" si="46"/>
        <v>0.92034490446414152</v>
      </c>
      <c r="U60" s="37">
        <f t="shared" si="47"/>
        <v>7.3195872651627511E-2</v>
      </c>
      <c r="V60" s="6">
        <f t="shared" si="48"/>
        <v>2.8726635310328428</v>
      </c>
      <c r="W60" s="38">
        <f t="shared" si="49"/>
        <v>0.44698522922846184</v>
      </c>
      <c r="X60" s="37">
        <f t="shared" si="50"/>
        <v>0.94649027606958602</v>
      </c>
      <c r="Y60" s="6">
        <f t="shared" si="51"/>
        <v>0.48459976336524191</v>
      </c>
      <c r="Z60" s="38">
        <f t="shared" si="52"/>
        <v>7.0411715025982202E-2</v>
      </c>
      <c r="AA60" s="37">
        <f t="shared" si="53"/>
        <v>1.098370489343943E-65</v>
      </c>
      <c r="AB60" s="6">
        <f t="shared" si="54"/>
        <v>1.1032721201593589E-14</v>
      </c>
      <c r="AC60" s="38">
        <f t="shared" si="55"/>
        <v>1.7802293653854991E-2</v>
      </c>
      <c r="AD60" s="37">
        <f t="shared" si="32"/>
        <v>9.7461681486703594E-64</v>
      </c>
      <c r="AE60" s="6">
        <f t="shared" si="33"/>
        <v>5.648501511006021E-14</v>
      </c>
      <c r="AF60" s="38">
        <f t="shared" si="34"/>
        <v>0</v>
      </c>
      <c r="AG60" s="53">
        <f t="shared" si="35"/>
        <v>5.648501511006021E-14</v>
      </c>
      <c r="AH60" s="74">
        <f t="shared" si="58"/>
        <v>1.9492336297340719E-65</v>
      </c>
      <c r="AI60" s="75">
        <f t="shared" si="59"/>
        <v>1.1297003022012043E-15</v>
      </c>
      <c r="AJ60" s="38">
        <f t="shared" si="60"/>
        <v>0</v>
      </c>
      <c r="AK60" s="64">
        <f t="shared" si="56"/>
        <v>1.1297003022012043E-15</v>
      </c>
      <c r="AL60" s="61">
        <f t="shared" si="37"/>
        <v>0.99999999999999889</v>
      </c>
    </row>
    <row r="61" spans="1:38" x14ac:dyDescent="0.25">
      <c r="A61" s="67">
        <v>50.655003943093163</v>
      </c>
      <c r="B61">
        <f t="shared" si="39"/>
        <v>323.80500394309314</v>
      </c>
      <c r="C61" s="68">
        <f t="shared" si="40"/>
        <v>0.93999999900000097</v>
      </c>
      <c r="D61" s="69">
        <v>5.9999999999999103E-2</v>
      </c>
      <c r="E61" s="70">
        <f t="shared" si="8"/>
        <v>1.0000000000000001E-9</v>
      </c>
      <c r="F61" s="37">
        <f t="shared" si="57"/>
        <v>88.257497430416137</v>
      </c>
      <c r="G61" s="6">
        <f t="shared" si="10"/>
        <v>57.173663201128818</v>
      </c>
      <c r="H61" s="38">
        <v>0</v>
      </c>
      <c r="I61" s="37">
        <f t="shared" si="11"/>
        <v>2.0703797602681688</v>
      </c>
      <c r="J61" s="6">
        <f t="shared" si="12"/>
        <v>2.7855795719588468</v>
      </c>
      <c r="K61" s="6">
        <f t="shared" si="13"/>
        <v>7.1577185267437162</v>
      </c>
      <c r="L61" s="6">
        <f t="shared" si="14"/>
        <v>6.0220314465198257</v>
      </c>
      <c r="M61" s="6">
        <f t="shared" si="15"/>
        <v>3.9543633090964385</v>
      </c>
      <c r="N61" s="6">
        <f t="shared" si="16"/>
        <v>0.20920355975079977</v>
      </c>
      <c r="O61" s="6">
        <f t="shared" si="41"/>
        <v>0.43685589232966321</v>
      </c>
      <c r="P61" s="6">
        <f t="shared" si="42"/>
        <v>0.32816727075232971</v>
      </c>
      <c r="Q61" s="6">
        <f t="shared" si="43"/>
        <v>5.7092220747622643E-2</v>
      </c>
      <c r="R61" s="6">
        <f t="shared" si="44"/>
        <v>8.9922006517842851E-2</v>
      </c>
      <c r="S61" s="6">
        <f t="shared" si="45"/>
        <v>0.20561591853059299</v>
      </c>
      <c r="T61" s="38">
        <f t="shared" si="46"/>
        <v>0.91972421158044571</v>
      </c>
      <c r="U61" s="37">
        <f t="shared" si="47"/>
        <v>5.4848163277102985E-2</v>
      </c>
      <c r="V61" s="6">
        <f t="shared" si="48"/>
        <v>2.9392780202679982</v>
      </c>
      <c r="W61" s="38">
        <f t="shared" si="49"/>
        <v>0.43291584563907054</v>
      </c>
      <c r="X61" s="37">
        <f t="shared" si="50"/>
        <v>0.95969003533506247</v>
      </c>
      <c r="Y61" s="6">
        <f t="shared" si="51"/>
        <v>0.47064453927275124</v>
      </c>
      <c r="Z61" s="38">
        <f t="shared" si="52"/>
        <v>6.6003643557508512E-2</v>
      </c>
      <c r="AA61" s="37">
        <f t="shared" si="53"/>
        <v>2.3669281473496537E-123</v>
      </c>
      <c r="AB61" s="6">
        <f t="shared" si="54"/>
        <v>7.3873210309004555E-29</v>
      </c>
      <c r="AC61" s="38">
        <f t="shared" si="55"/>
        <v>4.283422313410784E-5</v>
      </c>
      <c r="AD61" s="37">
        <f t="shared" si="32"/>
        <v>1.9636520538083124E-121</v>
      </c>
      <c r="AE61" s="6">
        <f t="shared" si="33"/>
        <v>2.5341612274758723E-28</v>
      </c>
      <c r="AF61" s="38">
        <f t="shared" si="34"/>
        <v>0</v>
      </c>
      <c r="AG61" s="53">
        <f t="shared" si="35"/>
        <v>2.5341612274758723E-28</v>
      </c>
      <c r="AH61" s="74">
        <f t="shared" si="58"/>
        <v>3.9273041076166247E-123</v>
      </c>
      <c r="AI61" s="75">
        <f t="shared" si="59"/>
        <v>5.0683224549517448E-30</v>
      </c>
      <c r="AJ61" s="38">
        <f t="shared" si="60"/>
        <v>0</v>
      </c>
      <c r="AK61" s="64">
        <f t="shared" si="56"/>
        <v>5.0683224549517448E-30</v>
      </c>
      <c r="AL61" s="61">
        <f t="shared" si="37"/>
        <v>1</v>
      </c>
    </row>
    <row r="62" spans="1:38" x14ac:dyDescent="0.25">
      <c r="A62" s="67">
        <v>50.400000525048377</v>
      </c>
      <c r="B62">
        <f t="shared" si="39"/>
        <v>323.55000052504835</v>
      </c>
      <c r="C62" s="68">
        <f t="shared" si="40"/>
        <v>0.95999999900000099</v>
      </c>
      <c r="D62" s="69">
        <v>3.9999999999999002E-2</v>
      </c>
      <c r="E62" s="70">
        <f t="shared" si="8"/>
        <v>1.0000000000000001E-9</v>
      </c>
      <c r="F62" s="37">
        <f t="shared" si="57"/>
        <v>87.49391452052248</v>
      </c>
      <c r="G62" s="6">
        <f t="shared" si="10"/>
        <v>56.546336225765771</v>
      </c>
      <c r="H62" s="38">
        <v>0</v>
      </c>
      <c r="I62" s="37">
        <f t="shared" si="11"/>
        <v>2.072011513983707</v>
      </c>
      <c r="J62" s="6">
        <f t="shared" si="12"/>
        <v>2.7877750048469094</v>
      </c>
      <c r="K62" s="6">
        <f t="shared" si="13"/>
        <v>7.1633598269655065</v>
      </c>
      <c r="L62" s="6">
        <f t="shared" si="14"/>
        <v>6.0267776637967341</v>
      </c>
      <c r="M62" s="6">
        <f t="shared" si="15"/>
        <v>3.9574799098022773</v>
      </c>
      <c r="N62" s="6">
        <f t="shared" si="16"/>
        <v>0.20936844191033313</v>
      </c>
      <c r="O62" s="6">
        <f t="shared" si="41"/>
        <v>0.43657084887374092</v>
      </c>
      <c r="P62" s="6">
        <f t="shared" si="42"/>
        <v>0.32787920956704392</v>
      </c>
      <c r="Q62" s="6">
        <f t="shared" si="43"/>
        <v>5.6963536248778451E-2</v>
      </c>
      <c r="R62" s="6">
        <f t="shared" si="44"/>
        <v>8.9751452713788052E-2</v>
      </c>
      <c r="S62" s="6">
        <f t="shared" si="45"/>
        <v>0.20535974915257255</v>
      </c>
      <c r="T62" s="38">
        <f t="shared" si="46"/>
        <v>0.91966355513502862</v>
      </c>
      <c r="U62" s="37">
        <f t="shared" si="47"/>
        <v>3.656213914250981E-2</v>
      </c>
      <c r="V62" s="6">
        <f t="shared" si="48"/>
        <v>3.0022215142937672</v>
      </c>
      <c r="W62" s="38">
        <f t="shared" si="49"/>
        <v>0.42423657773382017</v>
      </c>
      <c r="X62" s="37">
        <f t="shared" si="50"/>
        <v>0.97311516747243387</v>
      </c>
      <c r="Y62" s="6">
        <f t="shared" si="51"/>
        <v>0.4591080154018834</v>
      </c>
      <c r="Z62" s="38">
        <f t="shared" si="52"/>
        <v>6.2899385707966535E-2</v>
      </c>
      <c r="AA62" s="37">
        <f t="shared" si="53"/>
        <v>1.1624425911390154E-292</v>
      </c>
      <c r="AB62" s="6">
        <f t="shared" si="54"/>
        <v>1.2900568907839117E-71</v>
      </c>
      <c r="AC62" s="38">
        <f t="shared" si="55"/>
        <v>1.9442525050421863E-13</v>
      </c>
      <c r="AD62" s="37">
        <f t="shared" si="32"/>
        <v>9.7638386494259868E-291</v>
      </c>
      <c r="AE62" s="6">
        <f t="shared" si="33"/>
        <v>2.9179196278652496E-71</v>
      </c>
      <c r="AF62" s="38">
        <f t="shared" si="34"/>
        <v>0</v>
      </c>
      <c r="AG62" s="53">
        <f t="shared" si="35"/>
        <v>2.9179196278652496E-71</v>
      </c>
      <c r="AH62" s="74">
        <f t="shared" si="58"/>
        <v>1.9527677298851973E-292</v>
      </c>
      <c r="AI62" s="75">
        <f t="shared" si="59"/>
        <v>5.8358392557304994E-73</v>
      </c>
      <c r="AJ62" s="38">
        <f t="shared" si="60"/>
        <v>0</v>
      </c>
      <c r="AK62" s="64">
        <f t="shared" si="56"/>
        <v>5.8358392557304994E-73</v>
      </c>
      <c r="AL62" s="61">
        <f t="shared" si="37"/>
        <v>1</v>
      </c>
    </row>
    <row r="63" spans="1:38" x14ac:dyDescent="0.25">
      <c r="A63" s="67">
        <v>50.199999999999903</v>
      </c>
      <c r="B63">
        <f t="shared" si="39"/>
        <v>323.34999999999991</v>
      </c>
      <c r="C63" s="68">
        <f t="shared" si="40"/>
        <v>0.97999999900000101</v>
      </c>
      <c r="D63" s="69">
        <v>1.9999999999999001E-2</v>
      </c>
      <c r="E63" s="70">
        <f t="shared" si="8"/>
        <v>1.0000000000000001E-9</v>
      </c>
      <c r="F63" s="37">
        <f t="shared" si="57"/>
        <v>86.898685778801905</v>
      </c>
      <c r="G63" s="6">
        <f t="shared" si="10"/>
        <v>56.058380940762049</v>
      </c>
      <c r="H63" s="38">
        <v>0</v>
      </c>
      <c r="I63" s="37">
        <f t="shared" si="11"/>
        <v>2.073293107893412</v>
      </c>
      <c r="J63" s="6">
        <f t="shared" si="12"/>
        <v>2.7894993174019929</v>
      </c>
      <c r="K63" s="6">
        <f t="shared" si="13"/>
        <v>7.167790554432659</v>
      </c>
      <c r="L63" s="6">
        <f t="shared" si="14"/>
        <v>6.030505385142364</v>
      </c>
      <c r="M63" s="6">
        <f t="shared" si="15"/>
        <v>3.9599277157705131</v>
      </c>
      <c r="N63" s="6">
        <f t="shared" si="16"/>
        <v>0.20949794182779297</v>
      </c>
      <c r="O63" s="6">
        <f t="shared" si="41"/>
        <v>0.4363471036123252</v>
      </c>
      <c r="P63" s="6">
        <f t="shared" si="42"/>
        <v>0.32765314104352189</v>
      </c>
      <c r="Q63" s="6">
        <f t="shared" si="43"/>
        <v>5.686266969574838E-2</v>
      </c>
      <c r="R63" s="6">
        <f t="shared" si="44"/>
        <v>8.9617725076005919E-2</v>
      </c>
      <c r="S63" s="6">
        <f t="shared" si="45"/>
        <v>0.20515877522981746</v>
      </c>
      <c r="T63" s="38">
        <f t="shared" si="46"/>
        <v>0.91961591782705243</v>
      </c>
      <c r="U63" s="37">
        <f t="shared" si="47"/>
        <v>1.8279764806149727E-2</v>
      </c>
      <c r="V63" s="6">
        <f t="shared" si="48"/>
        <v>3.06509175183696</v>
      </c>
      <c r="W63" s="38">
        <f t="shared" si="49"/>
        <v>0.41567639060585088</v>
      </c>
      <c r="X63" s="37">
        <f t="shared" si="50"/>
        <v>0.98655306191048886</v>
      </c>
      <c r="Y63" s="6">
        <f t="shared" si="51"/>
        <v>0.44762016202334698</v>
      </c>
      <c r="Z63" s="38">
        <f t="shared" si="52"/>
        <v>5.9828592749566943E-2</v>
      </c>
      <c r="AA63" s="37">
        <f t="shared" si="53"/>
        <v>0</v>
      </c>
      <c r="AB63" s="6">
        <f t="shared" si="54"/>
        <v>1.5740548081560942E-315</v>
      </c>
      <c r="AC63" s="38">
        <f t="shared" si="55"/>
        <v>2.1806220641782966E-63</v>
      </c>
      <c r="AD63" s="37">
        <f t="shared" si="32"/>
        <v>0</v>
      </c>
      <c r="AE63" s="6">
        <f t="shared" si="33"/>
        <v>0</v>
      </c>
      <c r="AF63" s="38">
        <f t="shared" si="34"/>
        <v>0</v>
      </c>
      <c r="AG63" s="53">
        <f t="shared" si="35"/>
        <v>0</v>
      </c>
      <c r="AH63" s="74">
        <f t="shared" si="58"/>
        <v>0</v>
      </c>
      <c r="AI63" s="75">
        <f t="shared" si="59"/>
        <v>0</v>
      </c>
      <c r="AJ63" s="38">
        <f t="shared" si="60"/>
        <v>0</v>
      </c>
      <c r="AK63" s="64">
        <f t="shared" si="56"/>
        <v>0</v>
      </c>
      <c r="AL63" s="61">
        <f t="shared" si="37"/>
        <v>1</v>
      </c>
    </row>
    <row r="64" spans="1:38" x14ac:dyDescent="0.25">
      <c r="A64" s="67">
        <v>58.131945882322732</v>
      </c>
      <c r="B64">
        <f t="shared" si="39"/>
        <v>331.2819458823227</v>
      </c>
      <c r="C64" s="71">
        <f t="shared" si="40"/>
        <v>0.99999999900000003</v>
      </c>
      <c r="D64" s="72">
        <v>0</v>
      </c>
      <c r="E64" s="73">
        <f t="shared" si="8"/>
        <v>1.0000000000000001E-9</v>
      </c>
      <c r="F64" s="39">
        <f t="shared" si="57"/>
        <v>113.084045080474</v>
      </c>
      <c r="G64" s="40">
        <f t="shared" si="10"/>
        <v>78.351939716455107</v>
      </c>
      <c r="H64" s="41">
        <v>0</v>
      </c>
      <c r="I64" s="39">
        <f t="shared" si="11"/>
        <v>2.0236518614131556</v>
      </c>
      <c r="J64" s="40">
        <f t="shared" si="12"/>
        <v>2.7227098110632788</v>
      </c>
      <c r="K64" s="40">
        <f t="shared" si="13"/>
        <v>6.9961707982694907</v>
      </c>
      <c r="L64" s="40">
        <f t="shared" si="14"/>
        <v>5.8861158614977622</v>
      </c>
      <c r="M64" s="40">
        <f t="shared" si="15"/>
        <v>3.8651144223513807</v>
      </c>
      <c r="N64" s="40">
        <f t="shared" si="16"/>
        <v>0.20448189323930052</v>
      </c>
      <c r="O64" s="40">
        <f t="shared" si="41"/>
        <v>0.44509802304603435</v>
      </c>
      <c r="P64" s="40">
        <f t="shared" si="42"/>
        <v>0.33652463454302312</v>
      </c>
      <c r="Q64" s="40">
        <f t="shared" si="43"/>
        <v>6.0903275592060005E-2</v>
      </c>
      <c r="R64" s="40">
        <f t="shared" si="44"/>
        <v>9.4946059383767809E-2</v>
      </c>
      <c r="S64" s="40">
        <f t="shared" si="45"/>
        <v>0.21308891289510584</v>
      </c>
      <c r="T64" s="41">
        <f t="shared" si="46"/>
        <v>0.92146290537391551</v>
      </c>
      <c r="U64" s="39">
        <f t="shared" si="47"/>
        <v>5.588635061255042E-10</v>
      </c>
      <c r="V64" s="40">
        <f t="shared" si="48"/>
        <v>3.113981788276587</v>
      </c>
      <c r="W64" s="41">
        <f t="shared" si="49"/>
        <v>0.42608971779003951</v>
      </c>
      <c r="X64" s="39">
        <f t="shared" si="50"/>
        <v>0.99999999909494608</v>
      </c>
      <c r="Y64" s="40">
        <f t="shared" si="51"/>
        <v>0.44509802352239924</v>
      </c>
      <c r="Z64" s="41">
        <f t="shared" si="52"/>
        <v>6.0903276531156729E-2</v>
      </c>
      <c r="AA64" s="39">
        <f t="shared" si="53"/>
        <v>0</v>
      </c>
      <c r="AB64" s="40">
        <f t="shared" si="54"/>
        <v>0</v>
      </c>
      <c r="AC64" s="41">
        <f t="shared" si="55"/>
        <v>0</v>
      </c>
      <c r="AD64" s="39">
        <f t="shared" si="32"/>
        <v>0</v>
      </c>
      <c r="AE64" s="40">
        <f t="shared" si="33"/>
        <v>0</v>
      </c>
      <c r="AF64" s="41">
        <f t="shared" si="34"/>
        <v>0</v>
      </c>
      <c r="AG64" s="54">
        <f t="shared" si="35"/>
        <v>0</v>
      </c>
      <c r="AH64" s="76">
        <f t="shared" si="58"/>
        <v>0</v>
      </c>
      <c r="AI64" s="77">
        <f t="shared" si="59"/>
        <v>0</v>
      </c>
      <c r="AJ64" s="41">
        <f t="shared" si="60"/>
        <v>0</v>
      </c>
      <c r="AK64" s="66">
        <f t="shared" si="56"/>
        <v>0</v>
      </c>
      <c r="AL64" s="63">
        <f t="shared" si="37"/>
        <v>1</v>
      </c>
    </row>
    <row r="65" spans="34:38" x14ac:dyDescent="0.25">
      <c r="AH65" s="25"/>
      <c r="AI65" s="25"/>
      <c r="AL65">
        <f>SUM(AL14:AL64)</f>
        <v>14.204882937620109</v>
      </c>
    </row>
  </sheetData>
  <mergeCells count="6">
    <mergeCell ref="J3:N3"/>
    <mergeCell ref="C1:E1"/>
    <mergeCell ref="J1:J2"/>
    <mergeCell ref="M1:M2"/>
    <mergeCell ref="N1:N2"/>
    <mergeCell ref="K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abSelected="1" workbookViewId="0">
      <selection activeCell="H23" sqref="H23"/>
    </sheetView>
  </sheetViews>
  <sheetFormatPr defaultRowHeight="15" x14ac:dyDescent="0.25"/>
  <sheetData>
    <row r="1" spans="1:16" x14ac:dyDescent="0.25">
      <c r="A1" t="s">
        <v>81</v>
      </c>
      <c r="B1" t="s">
        <v>9</v>
      </c>
      <c r="C1" t="s">
        <v>10</v>
      </c>
      <c r="D1" t="s">
        <v>28</v>
      </c>
      <c r="E1" t="s">
        <v>29</v>
      </c>
      <c r="G1" t="s">
        <v>82</v>
      </c>
      <c r="H1" t="s">
        <v>83</v>
      </c>
    </row>
    <row r="2" spans="1:16" x14ac:dyDescent="0.25">
      <c r="B2">
        <v>0</v>
      </c>
      <c r="C2">
        <f>1-B2</f>
        <v>1</v>
      </c>
      <c r="D2">
        <v>0</v>
      </c>
      <c r="E2">
        <f>1-D2</f>
        <v>1</v>
      </c>
      <c r="I2">
        <v>0</v>
      </c>
      <c r="J2">
        <v>0</v>
      </c>
      <c r="P2">
        <v>60</v>
      </c>
    </row>
    <row r="3" spans="1:16" x14ac:dyDescent="0.25">
      <c r="B3">
        <v>6.3E-3</v>
      </c>
      <c r="C3">
        <f t="shared" ref="C3:C32" si="0">1-B3</f>
        <v>0.99370000000000003</v>
      </c>
      <c r="D3">
        <v>3.1899999999999998E-2</v>
      </c>
      <c r="E3">
        <f t="shared" ref="E3:E32" si="1">1-D3</f>
        <v>0.96809999999999996</v>
      </c>
      <c r="I3">
        <v>1</v>
      </c>
      <c r="J3">
        <v>1</v>
      </c>
      <c r="P3">
        <v>59.8</v>
      </c>
    </row>
    <row r="4" spans="1:16" x14ac:dyDescent="0.25">
      <c r="B4">
        <v>1.9599999999999999E-2</v>
      </c>
      <c r="C4">
        <f t="shared" si="0"/>
        <v>0.98040000000000005</v>
      </c>
      <c r="D4">
        <v>7.6300000000000007E-2</v>
      </c>
      <c r="E4">
        <f t="shared" si="1"/>
        <v>0.92369999999999997</v>
      </c>
      <c r="P4">
        <v>59.6</v>
      </c>
    </row>
    <row r="5" spans="1:16" x14ac:dyDescent="0.25">
      <c r="B5">
        <v>3.1899999999999998E-2</v>
      </c>
      <c r="C5">
        <f t="shared" si="0"/>
        <v>0.96809999999999996</v>
      </c>
      <c r="D5">
        <v>0.1116</v>
      </c>
      <c r="E5">
        <f t="shared" si="1"/>
        <v>0.88839999999999997</v>
      </c>
      <c r="P5">
        <v>59.4</v>
      </c>
    </row>
    <row r="6" spans="1:16" x14ac:dyDescent="0.25">
      <c r="B6">
        <v>3.8100000000000002E-2</v>
      </c>
      <c r="C6">
        <f t="shared" si="0"/>
        <v>0.96189999999999998</v>
      </c>
      <c r="D6">
        <v>0.13589999999999999</v>
      </c>
      <c r="E6">
        <f t="shared" si="1"/>
        <v>0.86409999999999998</v>
      </c>
      <c r="P6">
        <v>59.2</v>
      </c>
    </row>
    <row r="7" spans="1:16" x14ac:dyDescent="0.25">
      <c r="B7">
        <v>5.6399999999999999E-2</v>
      </c>
      <c r="C7">
        <f t="shared" si="0"/>
        <v>0.94359999999999999</v>
      </c>
      <c r="D7">
        <v>0.18179999999999999</v>
      </c>
      <c r="E7">
        <f t="shared" si="1"/>
        <v>0.81820000000000004</v>
      </c>
      <c r="P7">
        <v>59</v>
      </c>
    </row>
    <row r="8" spans="1:16" x14ac:dyDescent="0.25">
      <c r="B8">
        <v>5.96E-2</v>
      </c>
      <c r="C8">
        <f t="shared" si="0"/>
        <v>0.94040000000000001</v>
      </c>
      <c r="D8">
        <v>0.19409999999999999</v>
      </c>
      <c r="E8">
        <f t="shared" si="1"/>
        <v>0.80590000000000006</v>
      </c>
      <c r="P8">
        <v>58.8</v>
      </c>
    </row>
    <row r="9" spans="1:16" x14ac:dyDescent="0.25">
      <c r="B9">
        <v>6.3100000000000003E-2</v>
      </c>
      <c r="C9">
        <f t="shared" si="0"/>
        <v>0.93689999999999996</v>
      </c>
      <c r="D9">
        <v>0.20449999999999999</v>
      </c>
      <c r="E9">
        <f t="shared" si="1"/>
        <v>0.79549999999999998</v>
      </c>
      <c r="P9">
        <v>58.6</v>
      </c>
    </row>
    <row r="10" spans="1:16" x14ac:dyDescent="0.25">
      <c r="B10">
        <v>7.7899999999999997E-2</v>
      </c>
      <c r="C10">
        <f t="shared" si="0"/>
        <v>0.92210000000000003</v>
      </c>
      <c r="D10">
        <v>0.2364</v>
      </c>
      <c r="E10">
        <f t="shared" si="1"/>
        <v>0.76360000000000006</v>
      </c>
      <c r="P10">
        <v>58.4</v>
      </c>
    </row>
    <row r="11" spans="1:16" x14ac:dyDescent="0.25">
      <c r="B11">
        <v>8.7599999999999997E-2</v>
      </c>
      <c r="C11">
        <f t="shared" si="0"/>
        <v>0.91239999999999999</v>
      </c>
      <c r="D11">
        <v>0.25790000000000002</v>
      </c>
      <c r="E11">
        <f t="shared" si="1"/>
        <v>0.74209999999999998</v>
      </c>
      <c r="P11">
        <v>58.2</v>
      </c>
    </row>
    <row r="12" spans="1:16" x14ac:dyDescent="0.25">
      <c r="B12">
        <v>0.1037</v>
      </c>
      <c r="C12">
        <f t="shared" si="0"/>
        <v>0.89629999999999999</v>
      </c>
      <c r="D12">
        <v>0.28720000000000001</v>
      </c>
      <c r="E12">
        <f t="shared" si="1"/>
        <v>0.71279999999999999</v>
      </c>
      <c r="P12">
        <v>58</v>
      </c>
    </row>
    <row r="13" spans="1:16" x14ac:dyDescent="0.25">
      <c r="B13">
        <v>0.13020000000000001</v>
      </c>
      <c r="C13">
        <f t="shared" si="0"/>
        <v>0.86980000000000002</v>
      </c>
      <c r="D13">
        <v>0.33229999999999998</v>
      </c>
      <c r="E13">
        <f t="shared" si="1"/>
        <v>0.66769999999999996</v>
      </c>
      <c r="P13">
        <v>57.8</v>
      </c>
    </row>
    <row r="14" spans="1:16" x14ac:dyDescent="0.25">
      <c r="B14">
        <v>0.13639999999999999</v>
      </c>
      <c r="C14">
        <f t="shared" si="0"/>
        <v>0.86360000000000003</v>
      </c>
      <c r="D14">
        <v>0.34189999999999998</v>
      </c>
      <c r="E14">
        <f t="shared" si="1"/>
        <v>0.65810000000000002</v>
      </c>
      <c r="P14">
        <v>57.6</v>
      </c>
    </row>
    <row r="15" spans="1:16" x14ac:dyDescent="0.25">
      <c r="B15">
        <v>0.17030000000000001</v>
      </c>
      <c r="C15">
        <f t="shared" si="0"/>
        <v>0.82969999999999999</v>
      </c>
      <c r="D15">
        <v>0.37940000000000002</v>
      </c>
      <c r="E15">
        <f t="shared" si="1"/>
        <v>0.62060000000000004</v>
      </c>
      <c r="P15">
        <v>57.4</v>
      </c>
    </row>
    <row r="16" spans="1:16" x14ac:dyDescent="0.25">
      <c r="B16">
        <v>0.20200000000000001</v>
      </c>
      <c r="C16">
        <f t="shared" si="0"/>
        <v>0.79800000000000004</v>
      </c>
      <c r="D16">
        <v>0.42499999999999999</v>
      </c>
      <c r="E16">
        <f t="shared" si="1"/>
        <v>0.57499999999999996</v>
      </c>
      <c r="P16">
        <v>57.2</v>
      </c>
    </row>
    <row r="17" spans="2:16" x14ac:dyDescent="0.25">
      <c r="B17">
        <v>0.23699999999999999</v>
      </c>
      <c r="C17">
        <f t="shared" si="0"/>
        <v>0.76300000000000001</v>
      </c>
      <c r="D17">
        <v>0.45669999999999999</v>
      </c>
      <c r="E17">
        <f t="shared" si="1"/>
        <v>0.54330000000000001</v>
      </c>
      <c r="P17">
        <v>57</v>
      </c>
    </row>
    <row r="18" spans="2:16" x14ac:dyDescent="0.25">
      <c r="B18">
        <v>0.2611</v>
      </c>
      <c r="C18">
        <f t="shared" si="0"/>
        <v>0.7389</v>
      </c>
      <c r="D18">
        <v>0.47739999999999999</v>
      </c>
      <c r="E18">
        <f t="shared" si="1"/>
        <v>0.52259999999999995</v>
      </c>
      <c r="P18">
        <v>56.799999999999898</v>
      </c>
    </row>
    <row r="19" spans="2:16" x14ac:dyDescent="0.25">
      <c r="B19">
        <v>0.30359999999999998</v>
      </c>
      <c r="C19">
        <f t="shared" si="0"/>
        <v>0.69640000000000002</v>
      </c>
      <c r="D19">
        <v>0.5091</v>
      </c>
      <c r="E19">
        <f t="shared" si="1"/>
        <v>0.4909</v>
      </c>
      <c r="P19">
        <v>56.6</v>
      </c>
    </row>
    <row r="20" spans="2:16" x14ac:dyDescent="0.25">
      <c r="B20">
        <v>0.34310000000000002</v>
      </c>
      <c r="C20">
        <f t="shared" si="0"/>
        <v>0.65690000000000004</v>
      </c>
      <c r="D20">
        <v>0.53349999999999997</v>
      </c>
      <c r="E20">
        <f t="shared" si="1"/>
        <v>0.46650000000000003</v>
      </c>
      <c r="P20">
        <v>56.399999999999899</v>
      </c>
    </row>
    <row r="21" spans="2:16" x14ac:dyDescent="0.25">
      <c r="B21">
        <v>0.37769999999999998</v>
      </c>
      <c r="C21">
        <f t="shared" si="0"/>
        <v>0.62230000000000008</v>
      </c>
      <c r="D21">
        <v>0.54910000000000003</v>
      </c>
      <c r="E21">
        <f t="shared" si="1"/>
        <v>0.45089999999999997</v>
      </c>
      <c r="P21">
        <v>56.2</v>
      </c>
    </row>
    <row r="22" spans="2:16" x14ac:dyDescent="0.25">
      <c r="B22">
        <v>0.41320000000000001</v>
      </c>
      <c r="C22">
        <f t="shared" si="0"/>
        <v>0.58679999999999999</v>
      </c>
      <c r="D22">
        <v>0.57289999999999996</v>
      </c>
      <c r="E22">
        <f t="shared" si="1"/>
        <v>0.42710000000000004</v>
      </c>
      <c r="P22">
        <v>55.999999999999901</v>
      </c>
    </row>
    <row r="23" spans="2:16" x14ac:dyDescent="0.25">
      <c r="B23">
        <v>0.44600000000000001</v>
      </c>
      <c r="C23">
        <f t="shared" si="0"/>
        <v>0.55400000000000005</v>
      </c>
      <c r="D23">
        <v>0.58640000000000003</v>
      </c>
      <c r="E23">
        <f t="shared" si="1"/>
        <v>0.41359999999999997</v>
      </c>
      <c r="P23">
        <v>55.799999999999898</v>
      </c>
    </row>
    <row r="24" spans="2:16" x14ac:dyDescent="0.25">
      <c r="B24">
        <v>0.55900000000000005</v>
      </c>
      <c r="C24">
        <f t="shared" si="0"/>
        <v>0.44099999999999995</v>
      </c>
      <c r="D24">
        <v>0.63600000000000001</v>
      </c>
      <c r="E24">
        <f t="shared" si="1"/>
        <v>0.36399999999999999</v>
      </c>
      <c r="P24">
        <v>55.599999999999902</v>
      </c>
    </row>
    <row r="25" spans="2:16" x14ac:dyDescent="0.25">
      <c r="B25">
        <v>0.60970000000000002</v>
      </c>
      <c r="C25">
        <f t="shared" si="0"/>
        <v>0.39029999999999998</v>
      </c>
      <c r="D25">
        <v>0.65839999999999999</v>
      </c>
      <c r="E25">
        <f t="shared" si="1"/>
        <v>0.34160000000000001</v>
      </c>
      <c r="P25">
        <v>55.399999999999899</v>
      </c>
    </row>
    <row r="26" spans="2:16" x14ac:dyDescent="0.25">
      <c r="B26">
        <v>0.66390000000000005</v>
      </c>
      <c r="C26">
        <f t="shared" si="0"/>
        <v>0.33609999999999995</v>
      </c>
      <c r="D26">
        <v>0.68220000000000003</v>
      </c>
      <c r="E26">
        <f t="shared" si="1"/>
        <v>0.31779999999999997</v>
      </c>
      <c r="P26">
        <v>55.199999999999903</v>
      </c>
    </row>
    <row r="27" spans="2:16" x14ac:dyDescent="0.25">
      <c r="B27">
        <v>0.7258</v>
      </c>
      <c r="C27">
        <f t="shared" si="0"/>
        <v>0.2742</v>
      </c>
      <c r="D27">
        <v>0.71499999999999997</v>
      </c>
      <c r="E27">
        <f t="shared" si="1"/>
        <v>0.28500000000000003</v>
      </c>
      <c r="P27">
        <v>54.999999999999901</v>
      </c>
    </row>
    <row r="28" spans="2:16" x14ac:dyDescent="0.25">
      <c r="B28">
        <v>0.78539999999999999</v>
      </c>
      <c r="C28">
        <f t="shared" si="0"/>
        <v>0.21460000000000001</v>
      </c>
      <c r="D28">
        <v>0.749</v>
      </c>
      <c r="E28">
        <f t="shared" si="1"/>
        <v>0.251</v>
      </c>
      <c r="P28">
        <v>54.799999999999898</v>
      </c>
    </row>
    <row r="29" spans="2:16" x14ac:dyDescent="0.25">
      <c r="B29">
        <v>0.82720000000000005</v>
      </c>
      <c r="C29">
        <f t="shared" si="0"/>
        <v>0.17279999999999995</v>
      </c>
      <c r="D29">
        <v>0.77739999999999998</v>
      </c>
      <c r="E29">
        <f t="shared" si="1"/>
        <v>0.22260000000000002</v>
      </c>
      <c r="P29">
        <v>54.599999999999902</v>
      </c>
    </row>
    <row r="30" spans="2:16" x14ac:dyDescent="0.25">
      <c r="B30">
        <v>0.87460000000000004</v>
      </c>
      <c r="C30">
        <f t="shared" si="0"/>
        <v>0.12539999999999996</v>
      </c>
      <c r="D30">
        <v>0.81769999999999998</v>
      </c>
      <c r="E30">
        <f t="shared" si="1"/>
        <v>0.18230000000000002</v>
      </c>
      <c r="P30">
        <v>54.399999999999899</v>
      </c>
    </row>
    <row r="31" spans="2:16" x14ac:dyDescent="0.25">
      <c r="B31">
        <v>0.95330000000000004</v>
      </c>
      <c r="C31">
        <f t="shared" si="0"/>
        <v>4.6699999999999964E-2</v>
      </c>
      <c r="D31">
        <v>0.91320000000000001</v>
      </c>
      <c r="E31">
        <f t="shared" si="1"/>
        <v>8.6799999999999988E-2</v>
      </c>
      <c r="P31">
        <v>54.199999999999903</v>
      </c>
    </row>
    <row r="32" spans="2:16" x14ac:dyDescent="0.25">
      <c r="B32">
        <v>1</v>
      </c>
      <c r="C32">
        <f t="shared" si="0"/>
        <v>0</v>
      </c>
      <c r="D32">
        <v>1</v>
      </c>
      <c r="E32">
        <f t="shared" si="1"/>
        <v>0</v>
      </c>
      <c r="P32">
        <v>53.999999999999901</v>
      </c>
    </row>
    <row r="33" spans="16:16" x14ac:dyDescent="0.25">
      <c r="P33">
        <v>53.799999999999898</v>
      </c>
    </row>
    <row r="34" spans="16:16" x14ac:dyDescent="0.25">
      <c r="P34">
        <v>53.599999999999902</v>
      </c>
    </row>
    <row r="35" spans="16:16" x14ac:dyDescent="0.25">
      <c r="P35">
        <v>53.399999999999899</v>
      </c>
    </row>
    <row r="36" spans="16:16" x14ac:dyDescent="0.25">
      <c r="P36">
        <v>53.199999999999903</v>
      </c>
    </row>
    <row r="37" spans="16:16" x14ac:dyDescent="0.25">
      <c r="P37">
        <v>52.999999999999901</v>
      </c>
    </row>
    <row r="38" spans="16:16" x14ac:dyDescent="0.25">
      <c r="P38">
        <v>52.799999999999898</v>
      </c>
    </row>
    <row r="39" spans="16:16" x14ac:dyDescent="0.25">
      <c r="P39">
        <v>52.599999999999902</v>
      </c>
    </row>
    <row r="40" spans="16:16" x14ac:dyDescent="0.25">
      <c r="P40">
        <v>52.399999999999899</v>
      </c>
    </row>
    <row r="41" spans="16:16" x14ac:dyDescent="0.25">
      <c r="P41">
        <v>52.199999999999903</v>
      </c>
    </row>
    <row r="42" spans="16:16" x14ac:dyDescent="0.25">
      <c r="P42">
        <v>51.999999999999901</v>
      </c>
    </row>
    <row r="43" spans="16:16" x14ac:dyDescent="0.25">
      <c r="P43">
        <v>51.799999999999898</v>
      </c>
    </row>
    <row r="44" spans="16:16" x14ac:dyDescent="0.25">
      <c r="P44">
        <v>51.599999999999902</v>
      </c>
    </row>
    <row r="45" spans="16:16" x14ac:dyDescent="0.25">
      <c r="P45">
        <v>51.399999999999899</v>
      </c>
    </row>
    <row r="46" spans="16:16" x14ac:dyDescent="0.25">
      <c r="P46">
        <v>51.199999999999903</v>
      </c>
    </row>
    <row r="47" spans="16:16" x14ac:dyDescent="0.25">
      <c r="P47">
        <v>50.999999999999901</v>
      </c>
    </row>
    <row r="48" spans="16:16" x14ac:dyDescent="0.25">
      <c r="P48">
        <v>50.799999999999898</v>
      </c>
    </row>
    <row r="49" spans="16:16" x14ac:dyDescent="0.25">
      <c r="P49">
        <v>50.599999999999902</v>
      </c>
    </row>
    <row r="50" spans="16:16" x14ac:dyDescent="0.25">
      <c r="P50">
        <v>50.399999999999899</v>
      </c>
    </row>
    <row r="51" spans="16:16" x14ac:dyDescent="0.25">
      <c r="P51">
        <v>50.199999999999903</v>
      </c>
    </row>
    <row r="52" spans="16:16" x14ac:dyDescent="0.25">
      <c r="P52">
        <v>49.999999999999901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4"/>
  <sheetViews>
    <sheetView topLeftCell="A2" workbookViewId="0">
      <selection activeCell="I20" sqref="I20"/>
    </sheetView>
  </sheetViews>
  <sheetFormatPr defaultRowHeight="15" x14ac:dyDescent="0.25"/>
  <cols>
    <col min="4" max="4" width="13.5703125" bestFit="1" customWidth="1"/>
    <col min="6" max="7" width="12" bestFit="1" customWidth="1"/>
    <col min="8" max="8" width="10" bestFit="1" customWidth="1"/>
    <col min="15" max="15" width="11" bestFit="1" customWidth="1"/>
    <col min="21" max="23" width="12" bestFit="1" customWidth="1"/>
    <col min="28" max="28" width="15.85546875" bestFit="1" customWidth="1"/>
    <col min="35" max="36" width="16.85546875" bestFit="1" customWidth="1"/>
  </cols>
  <sheetData>
    <row r="1" spans="1:38" ht="15.75" thickBot="1" x14ac:dyDescent="0.3">
      <c r="C1" s="79" t="s">
        <v>33</v>
      </c>
      <c r="D1" s="80"/>
      <c r="E1" s="80"/>
      <c r="F1" s="23"/>
      <c r="H1" t="s">
        <v>6</v>
      </c>
      <c r="J1" s="81" t="s">
        <v>69</v>
      </c>
      <c r="K1" s="1" t="s">
        <v>70</v>
      </c>
      <c r="L1" s="1" t="s">
        <v>71</v>
      </c>
      <c r="M1" s="81" t="s">
        <v>72</v>
      </c>
      <c r="N1" s="81" t="s">
        <v>73</v>
      </c>
      <c r="P1" t="s">
        <v>79</v>
      </c>
      <c r="Q1">
        <f>8.314/1000</f>
        <v>8.3140000000000002E-3</v>
      </c>
    </row>
    <row r="2" spans="1:38" ht="15.75" thickBot="1" x14ac:dyDescent="0.3">
      <c r="C2" t="s">
        <v>2</v>
      </c>
      <c r="D2" t="s">
        <v>3</v>
      </c>
      <c r="E2" t="s">
        <v>4</v>
      </c>
      <c r="H2">
        <v>101.33</v>
      </c>
      <c r="J2" s="82"/>
      <c r="K2" s="78" t="s">
        <v>74</v>
      </c>
      <c r="L2" s="78"/>
      <c r="M2" s="82"/>
      <c r="N2" s="82"/>
    </row>
    <row r="3" spans="1:38" ht="15.75" thickBot="1" x14ac:dyDescent="0.3">
      <c r="A3" t="s">
        <v>2</v>
      </c>
      <c r="B3" t="s">
        <v>31</v>
      </c>
      <c r="C3">
        <v>20.840540000000001</v>
      </c>
      <c r="D3">
        <v>-2624.5250000000001</v>
      </c>
      <c r="E3">
        <v>-46.151710000000001</v>
      </c>
      <c r="J3" s="78" t="s">
        <v>75</v>
      </c>
      <c r="K3" s="78"/>
      <c r="L3" s="78"/>
      <c r="M3" s="78"/>
      <c r="N3" s="78"/>
    </row>
    <row r="4" spans="1:38" x14ac:dyDescent="0.25">
      <c r="A4" t="s">
        <v>3</v>
      </c>
      <c r="B4" t="s">
        <v>30</v>
      </c>
      <c r="C4">
        <v>23.534700000000001</v>
      </c>
      <c r="D4">
        <v>-3661.4679999999998</v>
      </c>
      <c r="E4">
        <v>-32.770009999999999</v>
      </c>
      <c r="J4" s="16" t="s">
        <v>76</v>
      </c>
      <c r="K4" s="17">
        <v>5.5736999999999997</v>
      </c>
      <c r="L4" s="17">
        <v>7.4991000000000003</v>
      </c>
      <c r="M4" s="16">
        <v>6.4999999999999997E-3</v>
      </c>
      <c r="N4" s="16">
        <v>0.4</v>
      </c>
    </row>
    <row r="5" spans="1:38" x14ac:dyDescent="0.25">
      <c r="A5" t="s">
        <v>4</v>
      </c>
      <c r="B5" t="s">
        <v>32</v>
      </c>
      <c r="C5" t="s">
        <v>80</v>
      </c>
      <c r="D5" t="s">
        <v>80</v>
      </c>
      <c r="E5" t="s">
        <v>80</v>
      </c>
      <c r="J5" s="18" t="s">
        <v>77</v>
      </c>
      <c r="K5" s="19">
        <v>19.269400000000001</v>
      </c>
      <c r="L5" s="19">
        <v>16.212</v>
      </c>
      <c r="M5" s="18"/>
      <c r="N5" s="18"/>
    </row>
    <row r="6" spans="1:38" ht="15.75" thickBot="1" x14ac:dyDescent="0.3">
      <c r="J6" s="20" t="s">
        <v>78</v>
      </c>
      <c r="K6" s="21">
        <v>10.6456</v>
      </c>
      <c r="L6" s="21">
        <v>0.56320000000000003</v>
      </c>
      <c r="M6" s="22"/>
      <c r="N6" s="22"/>
    </row>
    <row r="10" spans="1:38" x14ac:dyDescent="0.25">
      <c r="A10" t="s">
        <v>34</v>
      </c>
    </row>
    <row r="12" spans="1:38" ht="15.75" thickBot="1" x14ac:dyDescent="0.3"/>
    <row r="13" spans="1:38" ht="15.75" thickBot="1" x14ac:dyDescent="0.3">
      <c r="A13" s="15" t="s">
        <v>35</v>
      </c>
      <c r="B13" s="15" t="s">
        <v>36</v>
      </c>
      <c r="C13" s="15" t="s">
        <v>37</v>
      </c>
      <c r="D13" s="15" t="s">
        <v>38</v>
      </c>
      <c r="E13" s="15" t="s">
        <v>39</v>
      </c>
      <c r="F13" s="15" t="s">
        <v>40</v>
      </c>
      <c r="G13" s="15" t="s">
        <v>41</v>
      </c>
      <c r="H13" s="14" t="s">
        <v>42</v>
      </c>
      <c r="I13" s="10" t="s">
        <v>44</v>
      </c>
      <c r="J13" s="11" t="s">
        <v>45</v>
      </c>
      <c r="K13" s="10" t="s">
        <v>46</v>
      </c>
      <c r="L13" s="11" t="s">
        <v>47</v>
      </c>
      <c r="M13" s="10" t="s">
        <v>48</v>
      </c>
      <c r="N13" s="11" t="s">
        <v>49</v>
      </c>
      <c r="O13" s="11" t="s">
        <v>50</v>
      </c>
      <c r="P13" s="10" t="s">
        <v>51</v>
      </c>
      <c r="Q13" s="11" t="s">
        <v>52</v>
      </c>
      <c r="R13" s="10" t="s">
        <v>53</v>
      </c>
      <c r="S13" s="11" t="s">
        <v>54</v>
      </c>
      <c r="T13" s="10" t="s">
        <v>55</v>
      </c>
      <c r="U13" s="12" t="s">
        <v>56</v>
      </c>
      <c r="V13" s="13" t="s">
        <v>57</v>
      </c>
      <c r="W13" s="12" t="s">
        <v>58</v>
      </c>
      <c r="X13" s="13" t="s">
        <v>59</v>
      </c>
      <c r="Y13" s="12" t="s">
        <v>60</v>
      </c>
      <c r="Z13" s="13" t="s">
        <v>61</v>
      </c>
      <c r="AA13" s="12" t="s">
        <v>62</v>
      </c>
      <c r="AB13" s="13" t="s">
        <v>63</v>
      </c>
      <c r="AC13" s="12" t="s">
        <v>64</v>
      </c>
      <c r="AD13" s="24" t="s">
        <v>84</v>
      </c>
      <c r="AE13" s="24" t="s">
        <v>85</v>
      </c>
      <c r="AF13" s="24" t="s">
        <v>86</v>
      </c>
      <c r="AG13" s="24" t="s">
        <v>6</v>
      </c>
      <c r="AH13" s="12" t="s">
        <v>65</v>
      </c>
      <c r="AI13" s="12" t="s">
        <v>66</v>
      </c>
      <c r="AJ13" s="12" t="s">
        <v>67</v>
      </c>
      <c r="AK13" s="12" t="s">
        <v>68</v>
      </c>
      <c r="AL13" s="27"/>
    </row>
    <row r="14" spans="1:38" x14ac:dyDescent="0.25">
      <c r="A14">
        <v>40</v>
      </c>
      <c r="B14">
        <f>A14+273.15</f>
        <v>313.14999999999998</v>
      </c>
      <c r="C14" s="25">
        <f>1-E14-D14</f>
        <v>9.9999900000002917E-4</v>
      </c>
      <c r="D14" s="25">
        <v>0.999</v>
      </c>
      <c r="E14" s="25">
        <f>10^-9</f>
        <v>1.0000000000000001E-9</v>
      </c>
      <c r="F14">
        <f t="shared" ref="F14:F34" si="0">EXP($C$3+$D$3/($E$3+$B14))/1000</f>
        <v>60.524008348946289</v>
      </c>
      <c r="G14">
        <f>EXP($C$4+$D$4/($E$4+$B14))/1000</f>
        <v>35.44547801994527</v>
      </c>
      <c r="H14">
        <v>0</v>
      </c>
      <c r="I14">
        <f>$K$4/$Q$1/$B14</f>
        <v>2.1408249287476755</v>
      </c>
      <c r="J14">
        <f>$L$4/$Q$1/$B14</f>
        <v>2.8803595857638009</v>
      </c>
      <c r="K14">
        <f>$K$5/$Q$1/$B14</f>
        <v>7.4012616183164619</v>
      </c>
      <c r="L14">
        <f>$L$5/$Q$1/$B14</f>
        <v>6.2269325124885295</v>
      </c>
      <c r="M14">
        <f>$K$6/$Q$1/$B14</f>
        <v>4.0889114702040397</v>
      </c>
      <c r="N14">
        <f>$L$6/$Q$1/$B14</f>
        <v>0.2163217611049556</v>
      </c>
      <c r="O14">
        <f>EXP(-$N$4*I14)</f>
        <v>0.4247179525180087</v>
      </c>
      <c r="P14">
        <f>EXP(-$N$4*J14)</f>
        <v>0.31595867972610914</v>
      </c>
      <c r="Q14">
        <f>EXP(-$N$4*K14)</f>
        <v>5.1792773491932224E-2</v>
      </c>
      <c r="R14">
        <f t="shared" ref="R14:T29" si="1">EXP(-$N$4*L14)</f>
        <v>8.2845901521334059E-2</v>
      </c>
      <c r="S14">
        <f t="shared" si="1"/>
        <v>0.1948423345794974</v>
      </c>
      <c r="T14">
        <f t="shared" si="1"/>
        <v>0.91710922329838673</v>
      </c>
      <c r="U14">
        <f>D14*J14*P14+E14*L14*R14</f>
        <v>0.90916453775839468</v>
      </c>
      <c r="V14">
        <f>C14*K14*O14+E14*N14*T14</f>
        <v>3.1434457355235847E-3</v>
      </c>
      <c r="W14">
        <f>C14*K14*Q14+D14*M14*S14</f>
        <v>0.79627969516991692</v>
      </c>
      <c r="X14">
        <f>C14+P14*D14+R14*E14</f>
        <v>0.31664272012922895</v>
      </c>
      <c r="Y14">
        <f>O14*C14+D14+T14*E14</f>
        <v>0.99942471844490932</v>
      </c>
      <c r="Z14">
        <f>Q14*C14+S14*D14+E14</f>
        <v>0.19469928596661706</v>
      </c>
      <c r="AA14" s="26">
        <f>EXP((X14/U14)-(C14*X14/U14^2)+(D14*$O$14/V14)*($I$14-Y14/V14)+(E14*$Q$14/W14)*($K$14-Z14/W14))</f>
        <v>0</v>
      </c>
      <c r="AB14">
        <f>EXP((Y14/V14)-(D14*Y14/V14^2)+(C14*$P$14/U14)*($J$14-X14/U14)+(E14*$S$14/W14)*($M$14-Z14/W14))</f>
        <v>0</v>
      </c>
      <c r="AC14">
        <f>EXP((Z14/W14)-(E14*Z14/W14^2)+(C14*$R$14/U14)*($L$14-X14/U14)+(D14*$T$14/V14)*($N$14-Y14/V14))</f>
        <v>0</v>
      </c>
      <c r="AD14">
        <f>(AA14*C14*F14)</f>
        <v>0</v>
      </c>
      <c r="AE14">
        <f>(AB14*D14*G14)</f>
        <v>0</v>
      </c>
      <c r="AF14">
        <f t="shared" ref="AF14:AF64" si="2">(AC14*E14*H14)</f>
        <v>0</v>
      </c>
      <c r="AG14" s="25"/>
    </row>
    <row r="15" spans="1:38" x14ac:dyDescent="0.25">
      <c r="A15">
        <v>40</v>
      </c>
      <c r="B15">
        <f t="shared" ref="B15:B64" si="3">A15+273.15</f>
        <v>313.14999999999998</v>
      </c>
      <c r="C15" s="25">
        <f t="shared" ref="C15:C64" si="4">1-E15-D15</f>
        <v>1.9999999000000046E-2</v>
      </c>
      <c r="D15" s="25">
        <v>0.98</v>
      </c>
      <c r="E15" s="25">
        <f t="shared" ref="E15:E64" si="5">10^-9</f>
        <v>1.0000000000000001E-9</v>
      </c>
      <c r="F15">
        <f t="shared" si="0"/>
        <v>60.524008348946289</v>
      </c>
      <c r="G15">
        <f t="shared" ref="G15:G64" si="6">EXP($C$4+$D$4/($E$4+$B15))/1000</f>
        <v>35.44547801994527</v>
      </c>
      <c r="H15">
        <v>0</v>
      </c>
      <c r="I15">
        <f t="shared" ref="I15:I64" si="7">$K$4/$Q$1/$B15</f>
        <v>2.1408249287476755</v>
      </c>
      <c r="J15">
        <f t="shared" ref="J15:J64" si="8">$L$4/$Q$1/$B15</f>
        <v>2.8803595857638009</v>
      </c>
      <c r="K15">
        <f t="shared" ref="K15:K64" si="9">$K$5/$Q$1/$B15</f>
        <v>7.4012616183164619</v>
      </c>
      <c r="L15">
        <f t="shared" ref="L15:L64" si="10">$L$5/$Q$1/$B15</f>
        <v>6.2269325124885295</v>
      </c>
      <c r="M15">
        <f t="shared" ref="M15:M64" si="11">$K$6/$Q$1/$B15</f>
        <v>4.0889114702040397</v>
      </c>
      <c r="N15">
        <f t="shared" ref="N15:N64" si="12">$L$6/$Q$1/$B15</f>
        <v>0.2163217611049556</v>
      </c>
      <c r="O15">
        <f t="shared" ref="O15:T33" si="13">EXP(-$N$4*I15)</f>
        <v>0.4247179525180087</v>
      </c>
      <c r="P15">
        <f t="shared" ref="P15:Q29" si="14">EXP(-$N$4*J15)</f>
        <v>0.31595867972610914</v>
      </c>
      <c r="Q15">
        <f t="shared" si="14"/>
        <v>5.1792773491932224E-2</v>
      </c>
      <c r="R15">
        <f t="shared" si="1"/>
        <v>8.2845901521334059E-2</v>
      </c>
      <c r="S15">
        <f t="shared" si="1"/>
        <v>0.1948423345794974</v>
      </c>
      <c r="T15">
        <f t="shared" si="1"/>
        <v>0.91710922329838673</v>
      </c>
      <c r="U15">
        <f t="shared" ref="U15:U64" si="15">D15*J15*P15+E15*L15*R15</f>
        <v>0.89187312013316145</v>
      </c>
      <c r="V15">
        <f t="shared" ref="V15:V64" si="16">C15*K15*O15+E15*N15*T15</f>
        <v>6.2868970666571961E-2</v>
      </c>
      <c r="W15">
        <f t="shared" ref="W15:W64" si="17">C15*K15*Q15+D15*M15*S15</f>
        <v>0.7884258325562794</v>
      </c>
      <c r="X15">
        <f t="shared" ref="X15:X64" si="18">C15+P15*D15+R15*E15</f>
        <v>0.32963950521443292</v>
      </c>
      <c r="Y15">
        <f t="shared" ref="Y15:Y64" si="19">O15*C15+D15+T15*E15</f>
        <v>0.98849435954275156</v>
      </c>
      <c r="Z15">
        <f t="shared" ref="Z15:Z64" si="20">Q15*C15+S15*D15+E15</f>
        <v>0.19198134430595332</v>
      </c>
      <c r="AA15">
        <f t="shared" ref="AA15:AA64" si="21">EXP((X15/U15)-(C15*X15/U15^2)+(D15*$O$14/V15)*($I$14-Y15/V15)+(E15*$Q$14/W15)*($K$14-Z15/W15))</f>
        <v>1.2723344658270069E-39</v>
      </c>
      <c r="AB15">
        <f t="shared" ref="AB15:AB64" si="22">EXP((Y15/V15)-(D15*Y15/V15^2)+(C15*$P$14/U15)*($J$14-X15/U15)+(E15*$S$14/W15)*($M$14-Z15/W15))</f>
        <v>2.4800271394581342E-100</v>
      </c>
      <c r="AC15">
        <f t="shared" ref="AC15:AC64" si="23">EXP((Z15/W15)-(E15*Z15/W15^2)+(C15*$R$14/U15)*($L$14-X15/U15)+(D15*$T$14/V15)*($N$14-Y15/V15))</f>
        <v>6.8368036078422511E-97</v>
      </c>
      <c r="AD15">
        <f t="shared" ref="AD15:AE64" si="24">(AA15*C15*F15)</f>
        <v>1.5401355596405395E-39</v>
      </c>
      <c r="AE15">
        <f t="shared" si="24"/>
        <v>8.614763251132041E-99</v>
      </c>
      <c r="AF15">
        <f t="shared" si="2"/>
        <v>0</v>
      </c>
      <c r="AG15" s="25">
        <f t="shared" ref="AG15:AG62" si="25">SUM(AD15:AF15)</f>
        <v>1.5401355596405395E-39</v>
      </c>
      <c r="AH15">
        <f>(AA15*C15*F15)/$AG15</f>
        <v>1</v>
      </c>
      <c r="AI15">
        <f>(AB15*D15*G15)/$AG15</f>
        <v>5.5935097382873795E-60</v>
      </c>
      <c r="AJ15">
        <f t="shared" ref="AJ15:AJ62" si="26">(AC15*E15*H15)/$AG15</f>
        <v>0</v>
      </c>
      <c r="AK15">
        <f t="shared" ref="AK15:AK33" si="27">SUM(AH15:AJ15)</f>
        <v>1</v>
      </c>
    </row>
    <row r="16" spans="1:38" x14ac:dyDescent="0.25">
      <c r="A16">
        <v>40</v>
      </c>
      <c r="B16">
        <f t="shared" si="3"/>
        <v>313.14999999999998</v>
      </c>
      <c r="C16" s="25">
        <f t="shared" si="4"/>
        <v>3.9999999000000064E-2</v>
      </c>
      <c r="D16" s="25">
        <v>0.96</v>
      </c>
      <c r="E16" s="25">
        <f t="shared" si="5"/>
        <v>1.0000000000000001E-9</v>
      </c>
      <c r="F16">
        <f t="shared" si="0"/>
        <v>60.524008348946289</v>
      </c>
      <c r="G16">
        <f t="shared" si="6"/>
        <v>35.44547801994527</v>
      </c>
      <c r="H16">
        <v>0</v>
      </c>
      <c r="I16">
        <f t="shared" si="7"/>
        <v>2.1408249287476755</v>
      </c>
      <c r="J16">
        <f t="shared" si="8"/>
        <v>2.8803595857638009</v>
      </c>
      <c r="K16">
        <f t="shared" si="9"/>
        <v>7.4012616183164619</v>
      </c>
      <c r="L16">
        <f t="shared" si="10"/>
        <v>6.2269325124885295</v>
      </c>
      <c r="M16">
        <f t="shared" si="11"/>
        <v>4.0889114702040397</v>
      </c>
      <c r="N16">
        <f t="shared" si="12"/>
        <v>0.2163217611049556</v>
      </c>
      <c r="O16">
        <f t="shared" si="13"/>
        <v>0.4247179525180087</v>
      </c>
      <c r="P16">
        <f t="shared" si="14"/>
        <v>0.31595867972610914</v>
      </c>
      <c r="Q16">
        <f t="shared" si="14"/>
        <v>5.1792773491932224E-2</v>
      </c>
      <c r="R16">
        <f t="shared" si="1"/>
        <v>8.2845901521334059E-2</v>
      </c>
      <c r="S16">
        <f t="shared" si="1"/>
        <v>0.1948423345794974</v>
      </c>
      <c r="T16">
        <f t="shared" si="1"/>
        <v>0.91710922329838673</v>
      </c>
      <c r="U16">
        <f t="shared" si="15"/>
        <v>0.873671627896074</v>
      </c>
      <c r="V16">
        <f t="shared" si="16"/>
        <v>0.12573794427820187</v>
      </c>
      <c r="W16">
        <f t="shared" si="17"/>
        <v>0.78015860875245047</v>
      </c>
      <c r="X16">
        <f t="shared" si="18"/>
        <v>0.34332033161991071</v>
      </c>
      <c r="Y16">
        <f t="shared" si="19"/>
        <v>0.97698871859311165</v>
      </c>
      <c r="Z16">
        <f t="shared" si="20"/>
        <v>0.18912035308420203</v>
      </c>
      <c r="AA16">
        <f t="shared" si="21"/>
        <v>1.7191905112005822E-8</v>
      </c>
      <c r="AB16">
        <f t="shared" si="22"/>
        <v>4.2282997946581284E-23</v>
      </c>
      <c r="AC16">
        <f t="shared" si="23"/>
        <v>1.3943159823064198E-23</v>
      </c>
      <c r="AD16">
        <f t="shared" si="24"/>
        <v>4.1620919300810367E-8</v>
      </c>
      <c r="AE16">
        <f t="shared" si="24"/>
        <v>1.4387914313596203E-21</v>
      </c>
      <c r="AF16">
        <f t="shared" si="2"/>
        <v>0</v>
      </c>
      <c r="AG16" s="25">
        <f t="shared" si="25"/>
        <v>4.1620919300811803E-8</v>
      </c>
      <c r="AH16">
        <f t="shared" ref="AH16:AH62" si="28">(AA16*C16*F16)/$AG16</f>
        <v>0.99999999999996547</v>
      </c>
      <c r="AI16">
        <f t="shared" ref="AI16:AI62" si="29">(AB16*D16*G16)/$AG16</f>
        <v>3.4568948873062427E-14</v>
      </c>
      <c r="AJ16">
        <f t="shared" si="26"/>
        <v>0</v>
      </c>
      <c r="AK16">
        <f t="shared" si="27"/>
        <v>1</v>
      </c>
    </row>
    <row r="17" spans="1:37" x14ac:dyDescent="0.25">
      <c r="A17">
        <v>40</v>
      </c>
      <c r="B17">
        <f t="shared" si="3"/>
        <v>313.14999999999998</v>
      </c>
      <c r="C17" s="25">
        <f t="shared" si="4"/>
        <v>5.9999999000000082E-2</v>
      </c>
      <c r="D17" s="25">
        <v>0.94</v>
      </c>
      <c r="E17" s="25">
        <f t="shared" si="5"/>
        <v>1.0000000000000001E-9</v>
      </c>
      <c r="F17">
        <f t="shared" si="0"/>
        <v>60.524008348946289</v>
      </c>
      <c r="G17">
        <f t="shared" si="6"/>
        <v>35.44547801994527</v>
      </c>
      <c r="H17">
        <v>0</v>
      </c>
      <c r="I17">
        <f t="shared" si="7"/>
        <v>2.1408249287476755</v>
      </c>
      <c r="J17">
        <f t="shared" si="8"/>
        <v>2.8803595857638009</v>
      </c>
      <c r="K17">
        <f t="shared" si="9"/>
        <v>7.4012616183164619</v>
      </c>
      <c r="L17">
        <f t="shared" si="10"/>
        <v>6.2269325124885295</v>
      </c>
      <c r="M17">
        <f t="shared" si="11"/>
        <v>4.0889114702040397</v>
      </c>
      <c r="N17">
        <f t="shared" si="12"/>
        <v>0.2163217611049556</v>
      </c>
      <c r="O17">
        <f t="shared" si="13"/>
        <v>0.4247179525180087</v>
      </c>
      <c r="P17">
        <f t="shared" si="14"/>
        <v>0.31595867972610914</v>
      </c>
      <c r="Q17">
        <f t="shared" si="14"/>
        <v>5.1792773491932224E-2</v>
      </c>
      <c r="R17">
        <f t="shared" si="1"/>
        <v>8.2845901521334059E-2</v>
      </c>
      <c r="S17">
        <f t="shared" si="1"/>
        <v>0.1948423345794974</v>
      </c>
      <c r="T17">
        <f t="shared" si="1"/>
        <v>0.91710922329838673</v>
      </c>
      <c r="U17">
        <f t="shared" si="15"/>
        <v>0.85547013565898655</v>
      </c>
      <c r="V17">
        <f t="shared" si="16"/>
        <v>0.18860691788983175</v>
      </c>
      <c r="W17">
        <f t="shared" si="17"/>
        <v>0.77189138494862164</v>
      </c>
      <c r="X17">
        <f t="shared" si="18"/>
        <v>0.35700115802538857</v>
      </c>
      <c r="Y17">
        <f t="shared" si="19"/>
        <v>0.96548307764347185</v>
      </c>
      <c r="Z17">
        <f t="shared" si="20"/>
        <v>0.18625936186245071</v>
      </c>
      <c r="AA17">
        <f t="shared" si="21"/>
        <v>2.6957681552406305E-3</v>
      </c>
      <c r="AB17">
        <f t="shared" si="22"/>
        <v>1.468321306407031E-9</v>
      </c>
      <c r="AC17">
        <f t="shared" si="23"/>
        <v>2.4392560394318983E-10</v>
      </c>
      <c r="AD17">
        <f t="shared" si="24"/>
        <v>9.7895214969177663E-3</v>
      </c>
      <c r="AE17">
        <f t="shared" si="24"/>
        <v>4.8922629556919674E-8</v>
      </c>
      <c r="AF17">
        <f t="shared" si="2"/>
        <v>0</v>
      </c>
      <c r="AG17" s="25">
        <f t="shared" si="25"/>
        <v>9.7895704195473231E-3</v>
      </c>
      <c r="AH17">
        <f t="shared" si="28"/>
        <v>0.99999500257647067</v>
      </c>
      <c r="AI17">
        <f t="shared" si="29"/>
        <v>4.9974235293546103E-6</v>
      </c>
      <c r="AJ17">
        <f t="shared" si="26"/>
        <v>0</v>
      </c>
      <c r="AK17">
        <f t="shared" si="27"/>
        <v>1</v>
      </c>
    </row>
    <row r="18" spans="1:37" x14ac:dyDescent="0.25">
      <c r="A18">
        <v>40</v>
      </c>
      <c r="B18">
        <f t="shared" si="3"/>
        <v>313.14999999999998</v>
      </c>
      <c r="C18" s="25">
        <f t="shared" si="4"/>
        <v>7.9999998999999988E-2</v>
      </c>
      <c r="D18" s="25">
        <v>0.92</v>
      </c>
      <c r="E18" s="25">
        <f t="shared" si="5"/>
        <v>1.0000000000000001E-9</v>
      </c>
      <c r="F18">
        <f t="shared" si="0"/>
        <v>60.524008348946289</v>
      </c>
      <c r="G18">
        <f t="shared" si="6"/>
        <v>35.44547801994527</v>
      </c>
      <c r="H18">
        <v>0</v>
      </c>
      <c r="I18">
        <f t="shared" si="7"/>
        <v>2.1408249287476755</v>
      </c>
      <c r="J18">
        <f t="shared" si="8"/>
        <v>2.8803595857638009</v>
      </c>
      <c r="K18">
        <f t="shared" si="9"/>
        <v>7.4012616183164619</v>
      </c>
      <c r="L18">
        <f t="shared" si="10"/>
        <v>6.2269325124885295</v>
      </c>
      <c r="M18">
        <f t="shared" si="11"/>
        <v>4.0889114702040397</v>
      </c>
      <c r="N18">
        <f t="shared" si="12"/>
        <v>0.2163217611049556</v>
      </c>
      <c r="O18">
        <f t="shared" si="13"/>
        <v>0.4247179525180087</v>
      </c>
      <c r="P18">
        <f t="shared" si="14"/>
        <v>0.31595867972610914</v>
      </c>
      <c r="Q18">
        <f t="shared" si="14"/>
        <v>5.1792773491932224E-2</v>
      </c>
      <c r="R18">
        <f t="shared" si="1"/>
        <v>8.2845901521334059E-2</v>
      </c>
      <c r="S18">
        <f t="shared" si="1"/>
        <v>0.1948423345794974</v>
      </c>
      <c r="T18">
        <f t="shared" si="1"/>
        <v>0.91710922329838673</v>
      </c>
      <c r="U18">
        <f t="shared" si="15"/>
        <v>0.83726864342189922</v>
      </c>
      <c r="V18">
        <f t="shared" si="16"/>
        <v>0.25147589150146132</v>
      </c>
      <c r="W18">
        <f t="shared" si="17"/>
        <v>0.76362416114479281</v>
      </c>
      <c r="X18">
        <f t="shared" si="18"/>
        <v>0.37068198443086631</v>
      </c>
      <c r="Y18">
        <f t="shared" si="19"/>
        <v>0.95397743669383206</v>
      </c>
      <c r="Z18">
        <f t="shared" si="20"/>
        <v>0.18339837064069942</v>
      </c>
      <c r="AA18">
        <f t="shared" si="21"/>
        <v>0.11446278161203653</v>
      </c>
      <c r="AB18">
        <f t="shared" si="22"/>
        <v>4.4898906281261269E-5</v>
      </c>
      <c r="AC18">
        <f t="shared" si="23"/>
        <v>8.1615262156443537E-6</v>
      </c>
      <c r="AD18">
        <f t="shared" si="24"/>
        <v>0.55421970106669471</v>
      </c>
      <c r="AE18">
        <f t="shared" si="24"/>
        <v>1.4641461400550667E-3</v>
      </c>
      <c r="AF18">
        <f t="shared" si="2"/>
        <v>0</v>
      </c>
      <c r="AG18" s="25">
        <f t="shared" si="25"/>
        <v>0.55568384720674979</v>
      </c>
      <c r="AH18">
        <f t="shared" si="28"/>
        <v>0.99736514540162557</v>
      </c>
      <c r="AI18">
        <f t="shared" si="29"/>
        <v>2.634854598374372E-3</v>
      </c>
      <c r="AJ18">
        <f t="shared" si="26"/>
        <v>0</v>
      </c>
      <c r="AK18">
        <f t="shared" si="27"/>
        <v>1</v>
      </c>
    </row>
    <row r="19" spans="1:37" x14ac:dyDescent="0.25">
      <c r="A19">
        <v>40</v>
      </c>
      <c r="B19">
        <f t="shared" si="3"/>
        <v>313.14999999999998</v>
      </c>
      <c r="C19" s="25">
        <f t="shared" si="4"/>
        <v>9.9999999000000006E-2</v>
      </c>
      <c r="D19" s="25">
        <v>0.9</v>
      </c>
      <c r="E19" s="25">
        <f t="shared" si="5"/>
        <v>1.0000000000000001E-9</v>
      </c>
      <c r="F19">
        <f t="shared" si="0"/>
        <v>60.524008348946289</v>
      </c>
      <c r="G19">
        <f t="shared" si="6"/>
        <v>35.44547801994527</v>
      </c>
      <c r="H19">
        <v>0</v>
      </c>
      <c r="I19">
        <f t="shared" si="7"/>
        <v>2.1408249287476755</v>
      </c>
      <c r="J19">
        <f t="shared" si="8"/>
        <v>2.8803595857638009</v>
      </c>
      <c r="K19">
        <f t="shared" si="9"/>
        <v>7.4012616183164619</v>
      </c>
      <c r="L19">
        <f t="shared" si="10"/>
        <v>6.2269325124885295</v>
      </c>
      <c r="M19">
        <f t="shared" si="11"/>
        <v>4.0889114702040397</v>
      </c>
      <c r="N19">
        <f t="shared" si="12"/>
        <v>0.2163217611049556</v>
      </c>
      <c r="O19">
        <f t="shared" si="13"/>
        <v>0.4247179525180087</v>
      </c>
      <c r="P19">
        <f t="shared" si="14"/>
        <v>0.31595867972610914</v>
      </c>
      <c r="Q19">
        <f t="shared" si="14"/>
        <v>5.1792773491932224E-2</v>
      </c>
      <c r="R19">
        <f t="shared" si="1"/>
        <v>8.2845901521334059E-2</v>
      </c>
      <c r="S19">
        <f t="shared" si="1"/>
        <v>0.1948423345794974</v>
      </c>
      <c r="T19">
        <f t="shared" si="1"/>
        <v>0.91710922329838673</v>
      </c>
      <c r="U19">
        <f t="shared" si="15"/>
        <v>0.81906715118481166</v>
      </c>
      <c r="V19">
        <f t="shared" si="16"/>
        <v>0.31434486511309118</v>
      </c>
      <c r="W19">
        <f t="shared" si="17"/>
        <v>0.75535693734096387</v>
      </c>
      <c r="X19">
        <f t="shared" si="18"/>
        <v>0.38436281083634416</v>
      </c>
      <c r="Y19">
        <f t="shared" si="19"/>
        <v>0.94247179574419226</v>
      </c>
      <c r="Z19">
        <f t="shared" si="20"/>
        <v>0.18053737941894812</v>
      </c>
      <c r="AA19">
        <f t="shared" si="21"/>
        <v>0.53226620429885663</v>
      </c>
      <c r="AB19">
        <f t="shared" si="22"/>
        <v>4.1156932208735453E-3</v>
      </c>
      <c r="AC19">
        <f t="shared" si="23"/>
        <v>9.0519499668320104E-4</v>
      </c>
      <c r="AD19">
        <f t="shared" si="24"/>
        <v>3.2214883870697109</v>
      </c>
      <c r="AE19">
        <f t="shared" si="24"/>
        <v>0.13129444223757991</v>
      </c>
      <c r="AF19">
        <f t="shared" si="2"/>
        <v>0</v>
      </c>
      <c r="AG19" s="25">
        <f t="shared" si="25"/>
        <v>3.3527828293072908</v>
      </c>
      <c r="AH19">
        <f t="shared" si="28"/>
        <v>0.96084015907922482</v>
      </c>
      <c r="AI19">
        <f t="shared" si="29"/>
        <v>3.9159840920775145E-2</v>
      </c>
      <c r="AJ19">
        <f t="shared" si="26"/>
        <v>0</v>
      </c>
      <c r="AK19">
        <f t="shared" si="27"/>
        <v>1</v>
      </c>
    </row>
    <row r="20" spans="1:37" x14ac:dyDescent="0.25">
      <c r="A20">
        <v>40</v>
      </c>
      <c r="B20">
        <f t="shared" si="3"/>
        <v>313.14999999999998</v>
      </c>
      <c r="C20" s="25">
        <f t="shared" si="4"/>
        <v>0.11999999900000002</v>
      </c>
      <c r="D20" s="25">
        <v>0.88</v>
      </c>
      <c r="E20" s="25">
        <f t="shared" si="5"/>
        <v>1.0000000000000001E-9</v>
      </c>
      <c r="F20">
        <f t="shared" si="0"/>
        <v>60.524008348946289</v>
      </c>
      <c r="G20">
        <f t="shared" si="6"/>
        <v>35.44547801994527</v>
      </c>
      <c r="H20">
        <v>0</v>
      </c>
      <c r="I20">
        <f t="shared" si="7"/>
        <v>2.1408249287476755</v>
      </c>
      <c r="J20">
        <f t="shared" si="8"/>
        <v>2.8803595857638009</v>
      </c>
      <c r="K20">
        <f t="shared" si="9"/>
        <v>7.4012616183164619</v>
      </c>
      <c r="L20">
        <f t="shared" si="10"/>
        <v>6.2269325124885295</v>
      </c>
      <c r="M20">
        <f t="shared" si="11"/>
        <v>4.0889114702040397</v>
      </c>
      <c r="N20">
        <f t="shared" si="12"/>
        <v>0.2163217611049556</v>
      </c>
      <c r="O20">
        <f t="shared" si="13"/>
        <v>0.4247179525180087</v>
      </c>
      <c r="P20">
        <f t="shared" si="14"/>
        <v>0.31595867972610914</v>
      </c>
      <c r="Q20">
        <f t="shared" si="14"/>
        <v>5.1792773491932224E-2</v>
      </c>
      <c r="R20">
        <f t="shared" si="1"/>
        <v>8.2845901521334059E-2</v>
      </c>
      <c r="S20">
        <f t="shared" si="1"/>
        <v>0.1948423345794974</v>
      </c>
      <c r="T20">
        <f t="shared" si="1"/>
        <v>0.91710922329838673</v>
      </c>
      <c r="U20">
        <f t="shared" si="15"/>
        <v>0.80086565894772421</v>
      </c>
      <c r="V20">
        <f t="shared" si="16"/>
        <v>0.37721383872472103</v>
      </c>
      <c r="W20">
        <f t="shared" si="17"/>
        <v>0.74708971353713494</v>
      </c>
      <c r="X20">
        <f t="shared" si="18"/>
        <v>0.39804363724182196</v>
      </c>
      <c r="Y20">
        <f t="shared" si="19"/>
        <v>0.93096615479455236</v>
      </c>
      <c r="Z20">
        <f t="shared" si="20"/>
        <v>0.17767638819719681</v>
      </c>
      <c r="AA20">
        <f t="shared" si="21"/>
        <v>1.1033667898063781</v>
      </c>
      <c r="AB20">
        <f t="shared" si="22"/>
        <v>4.1720697189385141E-2</v>
      </c>
      <c r="AC20">
        <f t="shared" si="23"/>
        <v>1.1014211325526482E-2</v>
      </c>
      <c r="AD20">
        <f t="shared" si="24"/>
        <v>8.0136216290027757</v>
      </c>
      <c r="AE20">
        <f t="shared" si="24"/>
        <v>1.3013528485787664</v>
      </c>
      <c r="AF20">
        <f t="shared" si="2"/>
        <v>0</v>
      </c>
      <c r="AG20" s="25">
        <f t="shared" si="25"/>
        <v>9.3149744775815417</v>
      </c>
      <c r="AH20">
        <f t="shared" si="28"/>
        <v>0.86029453417067892</v>
      </c>
      <c r="AI20">
        <f t="shared" si="29"/>
        <v>0.13970546582932111</v>
      </c>
      <c r="AJ20">
        <f t="shared" si="26"/>
        <v>0</v>
      </c>
      <c r="AK20">
        <f t="shared" si="27"/>
        <v>1</v>
      </c>
    </row>
    <row r="21" spans="1:37" x14ac:dyDescent="0.25">
      <c r="A21">
        <v>40</v>
      </c>
      <c r="B21">
        <f t="shared" si="3"/>
        <v>313.14999999999998</v>
      </c>
      <c r="C21" s="25">
        <f t="shared" si="4"/>
        <v>0.13999999900000004</v>
      </c>
      <c r="D21" s="25">
        <v>0.86</v>
      </c>
      <c r="E21" s="25">
        <f t="shared" si="5"/>
        <v>1.0000000000000001E-9</v>
      </c>
      <c r="F21">
        <f t="shared" si="0"/>
        <v>60.524008348946289</v>
      </c>
      <c r="G21">
        <f t="shared" si="6"/>
        <v>35.44547801994527</v>
      </c>
      <c r="H21">
        <v>0</v>
      </c>
      <c r="I21">
        <f t="shared" si="7"/>
        <v>2.1408249287476755</v>
      </c>
      <c r="J21">
        <f t="shared" si="8"/>
        <v>2.8803595857638009</v>
      </c>
      <c r="K21">
        <f t="shared" si="9"/>
        <v>7.4012616183164619</v>
      </c>
      <c r="L21">
        <f t="shared" si="10"/>
        <v>6.2269325124885295</v>
      </c>
      <c r="M21">
        <f t="shared" si="11"/>
        <v>4.0889114702040397</v>
      </c>
      <c r="N21">
        <f t="shared" si="12"/>
        <v>0.2163217611049556</v>
      </c>
      <c r="O21">
        <f t="shared" si="13"/>
        <v>0.4247179525180087</v>
      </c>
      <c r="P21">
        <f t="shared" si="14"/>
        <v>0.31595867972610914</v>
      </c>
      <c r="Q21">
        <f t="shared" si="14"/>
        <v>5.1792773491932224E-2</v>
      </c>
      <c r="R21">
        <f t="shared" si="1"/>
        <v>8.2845901521334059E-2</v>
      </c>
      <c r="S21">
        <f t="shared" si="1"/>
        <v>0.1948423345794974</v>
      </c>
      <c r="T21">
        <f t="shared" si="1"/>
        <v>0.91710922329838673</v>
      </c>
      <c r="U21">
        <f t="shared" si="15"/>
        <v>0.78266416671063677</v>
      </c>
      <c r="V21">
        <f t="shared" si="16"/>
        <v>0.44008281233635088</v>
      </c>
      <c r="W21">
        <f t="shared" si="17"/>
        <v>0.73882248973330622</v>
      </c>
      <c r="X21">
        <f t="shared" si="18"/>
        <v>0.41172446364729981</v>
      </c>
      <c r="Y21">
        <f t="shared" si="19"/>
        <v>0.91946051384491256</v>
      </c>
      <c r="Z21">
        <f t="shared" si="20"/>
        <v>0.17481539697544549</v>
      </c>
      <c r="AA21">
        <f t="shared" si="21"/>
        <v>1.6075788247287905</v>
      </c>
      <c r="AB21">
        <f t="shared" si="22"/>
        <v>0.15559571141101833</v>
      </c>
      <c r="AC21">
        <f t="shared" si="23"/>
        <v>4.8044532951239782E-2</v>
      </c>
      <c r="AD21">
        <f t="shared" si="24"/>
        <v>13.621595892029331</v>
      </c>
      <c r="AE21">
        <f t="shared" si="24"/>
        <v>4.7430413571826175</v>
      </c>
      <c r="AF21">
        <f t="shared" si="2"/>
        <v>0</v>
      </c>
      <c r="AG21" s="25">
        <f t="shared" si="25"/>
        <v>18.364637249211949</v>
      </c>
      <c r="AH21">
        <f t="shared" si="28"/>
        <v>0.74172964634048799</v>
      </c>
      <c r="AI21">
        <f t="shared" si="29"/>
        <v>0.25827035365951201</v>
      </c>
      <c r="AJ21">
        <f t="shared" si="26"/>
        <v>0</v>
      </c>
      <c r="AK21">
        <f t="shared" si="27"/>
        <v>1</v>
      </c>
    </row>
    <row r="22" spans="1:37" x14ac:dyDescent="0.25">
      <c r="A22">
        <v>40</v>
      </c>
      <c r="B22">
        <f t="shared" si="3"/>
        <v>313.14999999999998</v>
      </c>
      <c r="C22" s="25">
        <f t="shared" si="4"/>
        <v>0.15999999900000006</v>
      </c>
      <c r="D22" s="25">
        <v>0.84</v>
      </c>
      <c r="E22" s="25">
        <f t="shared" si="5"/>
        <v>1.0000000000000001E-9</v>
      </c>
      <c r="F22">
        <f t="shared" si="0"/>
        <v>60.524008348946289</v>
      </c>
      <c r="G22">
        <f t="shared" si="6"/>
        <v>35.44547801994527</v>
      </c>
      <c r="H22">
        <v>0</v>
      </c>
      <c r="I22">
        <f t="shared" si="7"/>
        <v>2.1408249287476755</v>
      </c>
      <c r="J22">
        <f t="shared" si="8"/>
        <v>2.8803595857638009</v>
      </c>
      <c r="K22">
        <f t="shared" si="9"/>
        <v>7.4012616183164619</v>
      </c>
      <c r="L22">
        <f t="shared" si="10"/>
        <v>6.2269325124885295</v>
      </c>
      <c r="M22">
        <f t="shared" si="11"/>
        <v>4.0889114702040397</v>
      </c>
      <c r="N22">
        <f t="shared" si="12"/>
        <v>0.2163217611049556</v>
      </c>
      <c r="O22">
        <f t="shared" si="13"/>
        <v>0.4247179525180087</v>
      </c>
      <c r="P22">
        <f t="shared" si="14"/>
        <v>0.31595867972610914</v>
      </c>
      <c r="Q22">
        <f t="shared" si="14"/>
        <v>5.1792773491932224E-2</v>
      </c>
      <c r="R22">
        <f t="shared" si="1"/>
        <v>8.2845901521334059E-2</v>
      </c>
      <c r="S22">
        <f t="shared" si="1"/>
        <v>0.1948423345794974</v>
      </c>
      <c r="T22">
        <f t="shared" si="1"/>
        <v>0.91710922329838673</v>
      </c>
      <c r="U22">
        <f t="shared" si="15"/>
        <v>0.76446267447354932</v>
      </c>
      <c r="V22">
        <f t="shared" si="16"/>
        <v>0.50295178594798073</v>
      </c>
      <c r="W22">
        <f t="shared" si="17"/>
        <v>0.73055526592947728</v>
      </c>
      <c r="X22">
        <f t="shared" si="18"/>
        <v>0.42540529005277761</v>
      </c>
      <c r="Y22">
        <f t="shared" si="19"/>
        <v>0.90795487289527266</v>
      </c>
      <c r="Z22">
        <f t="shared" si="20"/>
        <v>0.1719544057536942</v>
      </c>
      <c r="AA22">
        <f t="shared" si="21"/>
        <v>1.9700162877269023</v>
      </c>
      <c r="AB22">
        <f t="shared" si="22"/>
        <v>0.34781124237229333</v>
      </c>
      <c r="AC22">
        <f t="shared" si="23"/>
        <v>0.12244796844745409</v>
      </c>
      <c r="AD22">
        <f t="shared" si="24"/>
        <v>19.077325040117639</v>
      </c>
      <c r="AE22">
        <f t="shared" si="24"/>
        <v>10.355802027141463</v>
      </c>
      <c r="AF22">
        <f t="shared" si="2"/>
        <v>0</v>
      </c>
      <c r="AG22" s="25">
        <f t="shared" si="25"/>
        <v>29.4331270672591</v>
      </c>
      <c r="AH22">
        <f t="shared" si="28"/>
        <v>0.64815828085555083</v>
      </c>
      <c r="AI22">
        <f t="shared" si="29"/>
        <v>0.35184171914444923</v>
      </c>
      <c r="AJ22">
        <f t="shared" si="26"/>
        <v>0</v>
      </c>
      <c r="AK22">
        <f t="shared" si="27"/>
        <v>1</v>
      </c>
    </row>
    <row r="23" spans="1:37" x14ac:dyDescent="0.25">
      <c r="A23">
        <v>40</v>
      </c>
      <c r="B23">
        <f t="shared" si="3"/>
        <v>313.14999999999998</v>
      </c>
      <c r="C23" s="25">
        <f t="shared" si="4"/>
        <v>0.17999999900000008</v>
      </c>
      <c r="D23" s="25">
        <v>0.82</v>
      </c>
      <c r="E23" s="25">
        <f t="shared" si="5"/>
        <v>1.0000000000000001E-9</v>
      </c>
      <c r="F23">
        <f t="shared" si="0"/>
        <v>60.524008348946289</v>
      </c>
      <c r="G23">
        <f t="shared" si="6"/>
        <v>35.44547801994527</v>
      </c>
      <c r="H23">
        <v>0</v>
      </c>
      <c r="I23">
        <f t="shared" si="7"/>
        <v>2.1408249287476755</v>
      </c>
      <c r="J23">
        <f t="shared" si="8"/>
        <v>2.8803595857638009</v>
      </c>
      <c r="K23">
        <f t="shared" si="9"/>
        <v>7.4012616183164619</v>
      </c>
      <c r="L23">
        <f t="shared" si="10"/>
        <v>6.2269325124885295</v>
      </c>
      <c r="M23">
        <f t="shared" si="11"/>
        <v>4.0889114702040397</v>
      </c>
      <c r="N23">
        <f t="shared" si="12"/>
        <v>0.2163217611049556</v>
      </c>
      <c r="O23">
        <f t="shared" si="13"/>
        <v>0.4247179525180087</v>
      </c>
      <c r="P23">
        <f t="shared" si="14"/>
        <v>0.31595867972610914</v>
      </c>
      <c r="Q23">
        <f t="shared" si="14"/>
        <v>5.1792773491932224E-2</v>
      </c>
      <c r="R23">
        <f t="shared" si="1"/>
        <v>8.2845901521334059E-2</v>
      </c>
      <c r="S23">
        <f t="shared" si="1"/>
        <v>0.1948423345794974</v>
      </c>
      <c r="T23">
        <f t="shared" si="1"/>
        <v>0.91710922329838673</v>
      </c>
      <c r="U23">
        <f t="shared" si="15"/>
        <v>0.74626118223646176</v>
      </c>
      <c r="V23">
        <f t="shared" si="16"/>
        <v>0.56582075955961064</v>
      </c>
      <c r="W23">
        <f t="shared" si="17"/>
        <v>0.72228804212564834</v>
      </c>
      <c r="X23">
        <f t="shared" si="18"/>
        <v>0.43908611645825546</v>
      </c>
      <c r="Y23">
        <f t="shared" si="19"/>
        <v>0.89644923194563286</v>
      </c>
      <c r="Z23">
        <f t="shared" si="20"/>
        <v>0.1690934145319429</v>
      </c>
      <c r="AA23">
        <f t="shared" si="21"/>
        <v>2.201168230974123</v>
      </c>
      <c r="AB23">
        <f t="shared" si="22"/>
        <v>0.584471966820022</v>
      </c>
      <c r="AC23">
        <f t="shared" si="23"/>
        <v>0.22959518984611529</v>
      </c>
      <c r="AD23">
        <f t="shared" si="24"/>
        <v>23.980234256780854</v>
      </c>
      <c r="AE23">
        <f t="shared" si="24"/>
        <v>16.987848367618483</v>
      </c>
      <c r="AF23">
        <f t="shared" si="2"/>
        <v>0</v>
      </c>
      <c r="AG23" s="25">
        <f t="shared" si="25"/>
        <v>40.968082624399337</v>
      </c>
      <c r="AH23">
        <f t="shared" si="28"/>
        <v>0.58533943305657565</v>
      </c>
      <c r="AI23">
        <f t="shared" si="29"/>
        <v>0.4146605669434244</v>
      </c>
      <c r="AJ23">
        <f t="shared" si="26"/>
        <v>0</v>
      </c>
      <c r="AK23">
        <f t="shared" si="27"/>
        <v>1</v>
      </c>
    </row>
    <row r="24" spans="1:37" x14ac:dyDescent="0.25">
      <c r="A24">
        <v>40</v>
      </c>
      <c r="B24">
        <f t="shared" si="3"/>
        <v>313.14999999999998</v>
      </c>
      <c r="C24" s="25">
        <f t="shared" si="4"/>
        <v>0.19999999899999998</v>
      </c>
      <c r="D24" s="25">
        <v>0.8</v>
      </c>
      <c r="E24" s="25">
        <f t="shared" si="5"/>
        <v>1.0000000000000001E-9</v>
      </c>
      <c r="F24">
        <f t="shared" si="0"/>
        <v>60.524008348946289</v>
      </c>
      <c r="G24">
        <f t="shared" si="6"/>
        <v>35.44547801994527</v>
      </c>
      <c r="H24">
        <v>0</v>
      </c>
      <c r="I24">
        <f t="shared" si="7"/>
        <v>2.1408249287476755</v>
      </c>
      <c r="J24">
        <f t="shared" si="8"/>
        <v>2.8803595857638009</v>
      </c>
      <c r="K24">
        <f t="shared" si="9"/>
        <v>7.4012616183164619</v>
      </c>
      <c r="L24">
        <f t="shared" si="10"/>
        <v>6.2269325124885295</v>
      </c>
      <c r="M24">
        <f t="shared" si="11"/>
        <v>4.0889114702040397</v>
      </c>
      <c r="N24">
        <f t="shared" si="12"/>
        <v>0.2163217611049556</v>
      </c>
      <c r="O24">
        <f t="shared" si="13"/>
        <v>0.4247179525180087</v>
      </c>
      <c r="P24">
        <f t="shared" si="14"/>
        <v>0.31595867972610914</v>
      </c>
      <c r="Q24">
        <f t="shared" si="14"/>
        <v>5.1792773491932224E-2</v>
      </c>
      <c r="R24">
        <f t="shared" si="1"/>
        <v>8.2845901521334059E-2</v>
      </c>
      <c r="S24">
        <f t="shared" si="1"/>
        <v>0.1948423345794974</v>
      </c>
      <c r="T24">
        <f t="shared" si="1"/>
        <v>0.91710922329838673</v>
      </c>
      <c r="U24">
        <f t="shared" si="15"/>
        <v>0.72805968999937432</v>
      </c>
      <c r="V24">
        <f t="shared" si="16"/>
        <v>0.62868973317124022</v>
      </c>
      <c r="W24">
        <f t="shared" si="17"/>
        <v>0.71402081832181941</v>
      </c>
      <c r="X24">
        <f t="shared" si="18"/>
        <v>0.4527669428637332</v>
      </c>
      <c r="Y24">
        <f t="shared" si="19"/>
        <v>0.88494359099599307</v>
      </c>
      <c r="Z24">
        <f t="shared" si="20"/>
        <v>0.16623242331019158</v>
      </c>
      <c r="AA24">
        <f t="shared" si="21"/>
        <v>2.3333834547005785</v>
      </c>
      <c r="AB24">
        <f t="shared" si="22"/>
        <v>0.82900441357394816</v>
      </c>
      <c r="AC24">
        <f t="shared" si="23"/>
        <v>0.35705610980342517</v>
      </c>
      <c r="AD24">
        <f t="shared" si="24"/>
        <v>28.245143797492467</v>
      </c>
      <c r="AE24">
        <f t="shared" si="24"/>
        <v>23.5075661758184</v>
      </c>
      <c r="AF24">
        <f t="shared" si="2"/>
        <v>0</v>
      </c>
      <c r="AG24" s="25">
        <f t="shared" si="25"/>
        <v>51.752709973310871</v>
      </c>
      <c r="AH24">
        <f t="shared" si="28"/>
        <v>0.54577129993885587</v>
      </c>
      <c r="AI24">
        <f t="shared" si="29"/>
        <v>0.45422870006114402</v>
      </c>
      <c r="AJ24">
        <f t="shared" si="26"/>
        <v>0</v>
      </c>
      <c r="AK24">
        <f t="shared" si="27"/>
        <v>0.99999999999999989</v>
      </c>
    </row>
    <row r="25" spans="1:37" x14ac:dyDescent="0.25">
      <c r="A25">
        <v>40</v>
      </c>
      <c r="B25">
        <f t="shared" si="3"/>
        <v>313.14999999999998</v>
      </c>
      <c r="C25" s="25">
        <f t="shared" si="4"/>
        <v>0.219999999</v>
      </c>
      <c r="D25" s="25">
        <v>0.78</v>
      </c>
      <c r="E25" s="25">
        <f t="shared" si="5"/>
        <v>1.0000000000000001E-9</v>
      </c>
      <c r="F25">
        <f t="shared" si="0"/>
        <v>60.524008348946289</v>
      </c>
      <c r="G25">
        <f t="shared" si="6"/>
        <v>35.44547801994527</v>
      </c>
      <c r="H25">
        <v>0</v>
      </c>
      <c r="I25">
        <f t="shared" si="7"/>
        <v>2.1408249287476755</v>
      </c>
      <c r="J25">
        <f t="shared" si="8"/>
        <v>2.8803595857638009</v>
      </c>
      <c r="K25">
        <f t="shared" si="9"/>
        <v>7.4012616183164619</v>
      </c>
      <c r="L25">
        <f t="shared" si="10"/>
        <v>6.2269325124885295</v>
      </c>
      <c r="M25">
        <f t="shared" si="11"/>
        <v>4.0889114702040397</v>
      </c>
      <c r="N25">
        <f t="shared" si="12"/>
        <v>0.2163217611049556</v>
      </c>
      <c r="O25">
        <f t="shared" si="13"/>
        <v>0.4247179525180087</v>
      </c>
      <c r="P25">
        <f t="shared" si="14"/>
        <v>0.31595867972610914</v>
      </c>
      <c r="Q25">
        <f t="shared" si="14"/>
        <v>5.1792773491932224E-2</v>
      </c>
      <c r="R25">
        <f t="shared" si="1"/>
        <v>8.2845901521334059E-2</v>
      </c>
      <c r="S25">
        <f t="shared" si="1"/>
        <v>0.1948423345794974</v>
      </c>
      <c r="T25">
        <f t="shared" si="1"/>
        <v>0.91710922329838673</v>
      </c>
      <c r="U25">
        <f t="shared" si="15"/>
        <v>0.70985819776228687</v>
      </c>
      <c r="V25">
        <f t="shared" si="16"/>
        <v>0.69155870678287001</v>
      </c>
      <c r="W25">
        <f t="shared" si="17"/>
        <v>0.70575359451799069</v>
      </c>
      <c r="X25">
        <f t="shared" si="18"/>
        <v>0.466447769269211</v>
      </c>
      <c r="Y25">
        <f t="shared" si="19"/>
        <v>0.87343795004635327</v>
      </c>
      <c r="Z25">
        <f t="shared" si="20"/>
        <v>0.16337143208844027</v>
      </c>
      <c r="AA25">
        <f t="shared" si="21"/>
        <v>2.396379676474059</v>
      </c>
      <c r="AB25">
        <f t="shared" si="22"/>
        <v>1.0577939559985727</v>
      </c>
      <c r="AC25">
        <f t="shared" si="23"/>
        <v>0.49253792677902225</v>
      </c>
      <c r="AD25">
        <f t="shared" si="24"/>
        <v>31.908470635116952</v>
      </c>
      <c r="AE25">
        <f t="shared" si="24"/>
        <v>29.245329685243124</v>
      </c>
      <c r="AF25">
        <f t="shared" si="2"/>
        <v>0</v>
      </c>
      <c r="AG25" s="25">
        <f t="shared" si="25"/>
        <v>61.153800320360077</v>
      </c>
      <c r="AH25">
        <f t="shared" si="28"/>
        <v>0.52177412471443074</v>
      </c>
      <c r="AI25">
        <f t="shared" si="29"/>
        <v>0.47822587528556926</v>
      </c>
      <c r="AJ25">
        <f t="shared" si="26"/>
        <v>0</v>
      </c>
      <c r="AK25">
        <f t="shared" si="27"/>
        <v>1</v>
      </c>
    </row>
    <row r="26" spans="1:37" x14ac:dyDescent="0.25">
      <c r="A26">
        <v>40</v>
      </c>
      <c r="B26">
        <f t="shared" si="3"/>
        <v>313.14999999999998</v>
      </c>
      <c r="C26" s="25">
        <f t="shared" si="4"/>
        <v>0.23999999900000002</v>
      </c>
      <c r="D26" s="25">
        <v>0.76</v>
      </c>
      <c r="E26" s="25">
        <f t="shared" si="5"/>
        <v>1.0000000000000001E-9</v>
      </c>
      <c r="F26">
        <f t="shared" si="0"/>
        <v>60.524008348946289</v>
      </c>
      <c r="G26">
        <f t="shared" si="6"/>
        <v>35.44547801994527</v>
      </c>
      <c r="H26">
        <v>0</v>
      </c>
      <c r="I26">
        <f t="shared" si="7"/>
        <v>2.1408249287476755</v>
      </c>
      <c r="J26">
        <f t="shared" si="8"/>
        <v>2.8803595857638009</v>
      </c>
      <c r="K26">
        <f t="shared" si="9"/>
        <v>7.4012616183164619</v>
      </c>
      <c r="L26">
        <f t="shared" si="10"/>
        <v>6.2269325124885295</v>
      </c>
      <c r="M26">
        <f t="shared" si="11"/>
        <v>4.0889114702040397</v>
      </c>
      <c r="N26">
        <f t="shared" si="12"/>
        <v>0.2163217611049556</v>
      </c>
      <c r="O26">
        <f t="shared" si="13"/>
        <v>0.4247179525180087</v>
      </c>
      <c r="P26">
        <f t="shared" si="14"/>
        <v>0.31595867972610914</v>
      </c>
      <c r="Q26">
        <f t="shared" si="14"/>
        <v>5.1792773491932224E-2</v>
      </c>
      <c r="R26">
        <f t="shared" si="1"/>
        <v>8.2845901521334059E-2</v>
      </c>
      <c r="S26">
        <f t="shared" si="1"/>
        <v>0.1948423345794974</v>
      </c>
      <c r="T26">
        <f t="shared" si="1"/>
        <v>0.91710922329838673</v>
      </c>
      <c r="U26">
        <f t="shared" si="15"/>
        <v>0.69165670552519931</v>
      </c>
      <c r="V26">
        <f t="shared" si="16"/>
        <v>0.75442768039449992</v>
      </c>
      <c r="W26">
        <f t="shared" si="17"/>
        <v>0.69748637071416175</v>
      </c>
      <c r="X26">
        <f t="shared" si="18"/>
        <v>0.48012859567468885</v>
      </c>
      <c r="Y26">
        <f t="shared" si="19"/>
        <v>0.86193230909671348</v>
      </c>
      <c r="Z26">
        <f t="shared" si="20"/>
        <v>0.160510440866689</v>
      </c>
      <c r="AA26">
        <f t="shared" si="21"/>
        <v>2.4119562487351218</v>
      </c>
      <c r="AB26">
        <f t="shared" si="22"/>
        <v>1.260167911953008</v>
      </c>
      <c r="AC26">
        <f t="shared" si="23"/>
        <v>0.62719242276989229</v>
      </c>
      <c r="AD26">
        <f t="shared" si="24"/>
        <v>35.035502286595786</v>
      </c>
      <c r="AE26">
        <f t="shared" si="24"/>
        <v>33.947113058673715</v>
      </c>
      <c r="AF26">
        <f t="shared" si="2"/>
        <v>0</v>
      </c>
      <c r="AG26" s="25">
        <f t="shared" si="25"/>
        <v>68.982615345269494</v>
      </c>
      <c r="AH26">
        <f t="shared" si="28"/>
        <v>0.50788886607498507</v>
      </c>
      <c r="AI26">
        <f t="shared" si="29"/>
        <v>0.49211113392501504</v>
      </c>
      <c r="AJ26">
        <f t="shared" si="26"/>
        <v>0</v>
      </c>
      <c r="AK26">
        <f t="shared" si="27"/>
        <v>1</v>
      </c>
    </row>
    <row r="27" spans="1:37" x14ac:dyDescent="0.25">
      <c r="A27">
        <v>40</v>
      </c>
      <c r="B27">
        <f t="shared" si="3"/>
        <v>313.14999999999998</v>
      </c>
      <c r="C27" s="25">
        <f t="shared" si="4"/>
        <v>0.25999999900000004</v>
      </c>
      <c r="D27" s="25">
        <v>0.74</v>
      </c>
      <c r="E27" s="25">
        <f t="shared" si="5"/>
        <v>1.0000000000000001E-9</v>
      </c>
      <c r="F27">
        <f t="shared" si="0"/>
        <v>60.524008348946289</v>
      </c>
      <c r="G27">
        <f t="shared" si="6"/>
        <v>35.44547801994527</v>
      </c>
      <c r="H27">
        <v>0</v>
      </c>
      <c r="I27">
        <f t="shared" si="7"/>
        <v>2.1408249287476755</v>
      </c>
      <c r="J27">
        <f t="shared" si="8"/>
        <v>2.8803595857638009</v>
      </c>
      <c r="K27">
        <f t="shared" si="9"/>
        <v>7.4012616183164619</v>
      </c>
      <c r="L27">
        <f t="shared" si="10"/>
        <v>6.2269325124885295</v>
      </c>
      <c r="M27">
        <f t="shared" si="11"/>
        <v>4.0889114702040397</v>
      </c>
      <c r="N27">
        <f t="shared" si="12"/>
        <v>0.2163217611049556</v>
      </c>
      <c r="O27">
        <f t="shared" si="13"/>
        <v>0.4247179525180087</v>
      </c>
      <c r="P27">
        <f t="shared" si="14"/>
        <v>0.31595867972610914</v>
      </c>
      <c r="Q27">
        <f t="shared" si="14"/>
        <v>5.1792773491932224E-2</v>
      </c>
      <c r="R27">
        <f t="shared" si="1"/>
        <v>8.2845901521334059E-2</v>
      </c>
      <c r="S27">
        <f t="shared" si="1"/>
        <v>0.1948423345794974</v>
      </c>
      <c r="T27">
        <f t="shared" si="1"/>
        <v>0.91710922329838673</v>
      </c>
      <c r="U27">
        <f t="shared" si="15"/>
        <v>0.67345521328811186</v>
      </c>
      <c r="V27">
        <f t="shared" si="16"/>
        <v>0.81729665400612983</v>
      </c>
      <c r="W27">
        <f t="shared" si="17"/>
        <v>0.68921914691033281</v>
      </c>
      <c r="X27">
        <f t="shared" si="18"/>
        <v>0.4938094220801667</v>
      </c>
      <c r="Y27">
        <f t="shared" si="19"/>
        <v>0.85042666814707357</v>
      </c>
      <c r="Z27">
        <f t="shared" si="20"/>
        <v>0.15764944964493768</v>
      </c>
      <c r="AA27">
        <f t="shared" si="21"/>
        <v>2.3947516059795242</v>
      </c>
      <c r="AB27">
        <f t="shared" si="22"/>
        <v>1.4337856610581892</v>
      </c>
      <c r="AC27">
        <f t="shared" si="23"/>
        <v>0.75581580466917175</v>
      </c>
      <c r="AD27">
        <f t="shared" si="24"/>
        <v>37.684391065488931</v>
      </c>
      <c r="AE27">
        <f t="shared" si="24"/>
        <v>37.607701419419548</v>
      </c>
      <c r="AF27">
        <f t="shared" si="2"/>
        <v>0</v>
      </c>
      <c r="AG27" s="25">
        <f t="shared" si="25"/>
        <v>75.29209248490848</v>
      </c>
      <c r="AH27">
        <f t="shared" si="28"/>
        <v>0.50050928087889679</v>
      </c>
      <c r="AI27">
        <f t="shared" si="29"/>
        <v>0.49949071912110321</v>
      </c>
      <c r="AJ27">
        <f t="shared" si="26"/>
        <v>0</v>
      </c>
      <c r="AK27">
        <f t="shared" si="27"/>
        <v>1</v>
      </c>
    </row>
    <row r="28" spans="1:37" x14ac:dyDescent="0.25">
      <c r="A28">
        <v>40</v>
      </c>
      <c r="B28">
        <f t="shared" si="3"/>
        <v>313.14999999999998</v>
      </c>
      <c r="C28" s="25">
        <f t="shared" si="4"/>
        <v>0.27999999900000005</v>
      </c>
      <c r="D28" s="25">
        <v>0.72</v>
      </c>
      <c r="E28" s="25">
        <f t="shared" si="5"/>
        <v>1.0000000000000001E-9</v>
      </c>
      <c r="F28">
        <f t="shared" si="0"/>
        <v>60.524008348946289</v>
      </c>
      <c r="G28">
        <f t="shared" si="6"/>
        <v>35.44547801994527</v>
      </c>
      <c r="H28">
        <v>0</v>
      </c>
      <c r="I28">
        <f t="shared" si="7"/>
        <v>2.1408249287476755</v>
      </c>
      <c r="J28">
        <f t="shared" si="8"/>
        <v>2.8803595857638009</v>
      </c>
      <c r="K28">
        <f t="shared" si="9"/>
        <v>7.4012616183164619</v>
      </c>
      <c r="L28">
        <f t="shared" si="10"/>
        <v>6.2269325124885295</v>
      </c>
      <c r="M28">
        <f t="shared" si="11"/>
        <v>4.0889114702040397</v>
      </c>
      <c r="N28">
        <f t="shared" si="12"/>
        <v>0.2163217611049556</v>
      </c>
      <c r="O28">
        <f t="shared" si="13"/>
        <v>0.4247179525180087</v>
      </c>
      <c r="P28">
        <f t="shared" si="14"/>
        <v>0.31595867972610914</v>
      </c>
      <c r="Q28">
        <f t="shared" si="14"/>
        <v>5.1792773491932224E-2</v>
      </c>
      <c r="R28">
        <f t="shared" si="1"/>
        <v>8.2845901521334059E-2</v>
      </c>
      <c r="S28">
        <f t="shared" si="1"/>
        <v>0.1948423345794974</v>
      </c>
      <c r="T28">
        <f t="shared" si="1"/>
        <v>0.91710922329838673</v>
      </c>
      <c r="U28">
        <f t="shared" si="15"/>
        <v>0.65525372105102442</v>
      </c>
      <c r="V28">
        <f t="shared" si="16"/>
        <v>0.88016562761775963</v>
      </c>
      <c r="W28">
        <f t="shared" si="17"/>
        <v>0.68095192310650399</v>
      </c>
      <c r="X28">
        <f t="shared" si="18"/>
        <v>0.50749024848564461</v>
      </c>
      <c r="Y28">
        <f t="shared" si="19"/>
        <v>0.83892102719743378</v>
      </c>
      <c r="Z28">
        <f t="shared" si="20"/>
        <v>0.15478845842318639</v>
      </c>
      <c r="AA28">
        <f t="shared" si="21"/>
        <v>2.3541498434429173</v>
      </c>
      <c r="AB28">
        <f t="shared" si="22"/>
        <v>1.5805394890134072</v>
      </c>
      <c r="AC28">
        <f t="shared" si="23"/>
        <v>0.87595464133436529</v>
      </c>
      <c r="AD28">
        <f t="shared" si="24"/>
        <v>39.895123595696141</v>
      </c>
      <c r="AE28">
        <f t="shared" si="24"/>
        <v>40.336543956585778</v>
      </c>
      <c r="AF28">
        <f t="shared" si="2"/>
        <v>0</v>
      </c>
      <c r="AG28" s="25">
        <f t="shared" si="25"/>
        <v>80.23166755228192</v>
      </c>
      <c r="AH28">
        <f t="shared" si="28"/>
        <v>0.49724908895479464</v>
      </c>
      <c r="AI28">
        <f t="shared" si="29"/>
        <v>0.50275091104520542</v>
      </c>
      <c r="AJ28">
        <f t="shared" si="26"/>
        <v>0</v>
      </c>
      <c r="AK28">
        <f t="shared" si="27"/>
        <v>1</v>
      </c>
    </row>
    <row r="29" spans="1:37" x14ac:dyDescent="0.25">
      <c r="A29">
        <v>40</v>
      </c>
      <c r="B29">
        <f t="shared" si="3"/>
        <v>313.14999999999998</v>
      </c>
      <c r="C29" s="25">
        <f t="shared" si="4"/>
        <v>0.29999999900000007</v>
      </c>
      <c r="D29" s="25">
        <v>0.7</v>
      </c>
      <c r="E29" s="25">
        <f t="shared" si="5"/>
        <v>1.0000000000000001E-9</v>
      </c>
      <c r="F29">
        <f t="shared" si="0"/>
        <v>60.524008348946289</v>
      </c>
      <c r="G29">
        <f t="shared" si="6"/>
        <v>35.44547801994527</v>
      </c>
      <c r="H29">
        <v>0</v>
      </c>
      <c r="I29">
        <f t="shared" si="7"/>
        <v>2.1408249287476755</v>
      </c>
      <c r="J29">
        <f t="shared" si="8"/>
        <v>2.8803595857638009</v>
      </c>
      <c r="K29">
        <f t="shared" si="9"/>
        <v>7.4012616183164619</v>
      </c>
      <c r="L29">
        <f t="shared" si="10"/>
        <v>6.2269325124885295</v>
      </c>
      <c r="M29">
        <f t="shared" si="11"/>
        <v>4.0889114702040397</v>
      </c>
      <c r="N29">
        <f t="shared" si="12"/>
        <v>0.2163217611049556</v>
      </c>
      <c r="O29">
        <f t="shared" si="13"/>
        <v>0.4247179525180087</v>
      </c>
      <c r="P29">
        <f t="shared" si="14"/>
        <v>0.31595867972610914</v>
      </c>
      <c r="Q29">
        <f t="shared" si="14"/>
        <v>5.1792773491932224E-2</v>
      </c>
      <c r="R29">
        <f t="shared" si="1"/>
        <v>8.2845901521334059E-2</v>
      </c>
      <c r="S29">
        <f t="shared" si="1"/>
        <v>0.1948423345794974</v>
      </c>
      <c r="T29">
        <f t="shared" si="1"/>
        <v>0.91710922329838673</v>
      </c>
      <c r="U29">
        <f t="shared" si="15"/>
        <v>0.63705222881393697</v>
      </c>
      <c r="V29">
        <f t="shared" si="16"/>
        <v>0.94303460122938954</v>
      </c>
      <c r="W29">
        <f t="shared" si="17"/>
        <v>0.67268469930267516</v>
      </c>
      <c r="X29">
        <f t="shared" si="18"/>
        <v>0.52117107489112247</v>
      </c>
      <c r="Y29">
        <f t="shared" si="19"/>
        <v>0.82741538624779398</v>
      </c>
      <c r="Z29">
        <f t="shared" si="20"/>
        <v>0.15192746720143507</v>
      </c>
      <c r="AA29">
        <f t="shared" si="21"/>
        <v>2.2959585527463973</v>
      </c>
      <c r="AB29">
        <f t="shared" si="22"/>
        <v>1.7039763576148645</v>
      </c>
      <c r="AC29">
        <f t="shared" si="23"/>
        <v>0.98692664700741395</v>
      </c>
      <c r="AD29">
        <f t="shared" si="24"/>
        <v>41.688184245616668</v>
      </c>
      <c r="AE29">
        <f t="shared" si="24"/>
        <v>42.278779571240854</v>
      </c>
      <c r="AF29">
        <f t="shared" si="2"/>
        <v>0</v>
      </c>
      <c r="AG29" s="25">
        <f t="shared" si="25"/>
        <v>83.966963816857515</v>
      </c>
      <c r="AH29">
        <f t="shared" si="28"/>
        <v>0.4964831685059356</v>
      </c>
      <c r="AI29">
        <f t="shared" si="29"/>
        <v>0.50351683149406445</v>
      </c>
      <c r="AJ29">
        <f t="shared" si="26"/>
        <v>0</v>
      </c>
      <c r="AK29">
        <f t="shared" si="27"/>
        <v>1</v>
      </c>
    </row>
    <row r="30" spans="1:37" x14ac:dyDescent="0.25">
      <c r="A30">
        <v>40</v>
      </c>
      <c r="B30">
        <f t="shared" si="3"/>
        <v>313.14999999999998</v>
      </c>
      <c r="C30" s="25">
        <f t="shared" si="4"/>
        <v>0.31999999899999998</v>
      </c>
      <c r="D30" s="25">
        <v>0.68</v>
      </c>
      <c r="E30" s="25">
        <f t="shared" si="5"/>
        <v>1.0000000000000001E-9</v>
      </c>
      <c r="F30">
        <f t="shared" si="0"/>
        <v>60.524008348946289</v>
      </c>
      <c r="G30">
        <f t="shared" si="6"/>
        <v>35.44547801994527</v>
      </c>
      <c r="H30">
        <v>0</v>
      </c>
      <c r="I30">
        <f t="shared" si="7"/>
        <v>2.1408249287476755</v>
      </c>
      <c r="J30">
        <f t="shared" si="8"/>
        <v>2.8803595857638009</v>
      </c>
      <c r="K30">
        <f t="shared" si="9"/>
        <v>7.4012616183164619</v>
      </c>
      <c r="L30">
        <f t="shared" si="10"/>
        <v>6.2269325124885295</v>
      </c>
      <c r="M30">
        <f t="shared" si="11"/>
        <v>4.0889114702040397</v>
      </c>
      <c r="N30">
        <f t="shared" si="12"/>
        <v>0.2163217611049556</v>
      </c>
      <c r="O30">
        <f t="shared" si="13"/>
        <v>0.4247179525180087</v>
      </c>
      <c r="P30">
        <f t="shared" si="13"/>
        <v>0.31595867972610914</v>
      </c>
      <c r="Q30">
        <f t="shared" si="13"/>
        <v>5.1792773491932224E-2</v>
      </c>
      <c r="R30">
        <f t="shared" si="13"/>
        <v>8.2845901521334059E-2</v>
      </c>
      <c r="S30">
        <f t="shared" si="13"/>
        <v>0.1948423345794974</v>
      </c>
      <c r="T30">
        <f t="shared" si="13"/>
        <v>0.91710922329838673</v>
      </c>
      <c r="U30">
        <f t="shared" si="15"/>
        <v>0.61885073657684964</v>
      </c>
      <c r="V30">
        <f t="shared" si="16"/>
        <v>1.0059035748410192</v>
      </c>
      <c r="W30">
        <f t="shared" si="17"/>
        <v>0.66441747549884622</v>
      </c>
      <c r="X30">
        <f t="shared" si="18"/>
        <v>0.53485190129660021</v>
      </c>
      <c r="Y30">
        <f t="shared" si="19"/>
        <v>0.81590974529815419</v>
      </c>
      <c r="Z30">
        <f t="shared" si="20"/>
        <v>0.14906647597968378</v>
      </c>
      <c r="AA30">
        <f t="shared" si="21"/>
        <v>2.2236289563778127</v>
      </c>
      <c r="AB30">
        <f t="shared" si="22"/>
        <v>1.8079285417411524</v>
      </c>
      <c r="AC30">
        <f t="shared" si="23"/>
        <v>1.0890713171403126</v>
      </c>
      <c r="AD30">
        <f t="shared" si="24"/>
        <v>43.066539872063288</v>
      </c>
      <c r="AE30">
        <f t="shared" si="24"/>
        <v>43.57636614378405</v>
      </c>
      <c r="AF30">
        <f t="shared" si="2"/>
        <v>0</v>
      </c>
      <c r="AG30" s="25">
        <f t="shared" si="25"/>
        <v>86.642906015847331</v>
      </c>
      <c r="AH30">
        <f t="shared" si="28"/>
        <v>0.4970578879728047</v>
      </c>
      <c r="AI30">
        <f t="shared" si="29"/>
        <v>0.50294211202719541</v>
      </c>
      <c r="AJ30">
        <f t="shared" si="26"/>
        <v>0</v>
      </c>
      <c r="AK30">
        <f t="shared" si="27"/>
        <v>1</v>
      </c>
    </row>
    <row r="31" spans="1:37" x14ac:dyDescent="0.25">
      <c r="A31">
        <v>40</v>
      </c>
      <c r="B31">
        <f t="shared" si="3"/>
        <v>313.14999999999998</v>
      </c>
      <c r="C31" s="25">
        <f t="shared" si="4"/>
        <v>0.339999999</v>
      </c>
      <c r="D31" s="25">
        <v>0.66</v>
      </c>
      <c r="E31" s="25">
        <f t="shared" si="5"/>
        <v>1.0000000000000001E-9</v>
      </c>
      <c r="F31">
        <f t="shared" si="0"/>
        <v>60.524008348946289</v>
      </c>
      <c r="G31">
        <f t="shared" si="6"/>
        <v>35.44547801994527</v>
      </c>
      <c r="H31">
        <v>0</v>
      </c>
      <c r="I31">
        <f t="shared" si="7"/>
        <v>2.1408249287476755</v>
      </c>
      <c r="J31">
        <f t="shared" si="8"/>
        <v>2.8803595857638009</v>
      </c>
      <c r="K31">
        <f t="shared" si="9"/>
        <v>7.4012616183164619</v>
      </c>
      <c r="L31">
        <f t="shared" si="10"/>
        <v>6.2269325124885295</v>
      </c>
      <c r="M31">
        <f t="shared" si="11"/>
        <v>4.0889114702040397</v>
      </c>
      <c r="N31">
        <f t="shared" si="12"/>
        <v>0.2163217611049556</v>
      </c>
      <c r="O31">
        <f t="shared" si="13"/>
        <v>0.4247179525180087</v>
      </c>
      <c r="P31">
        <f t="shared" si="13"/>
        <v>0.31595867972610914</v>
      </c>
      <c r="Q31">
        <f t="shared" si="13"/>
        <v>5.1792773491932224E-2</v>
      </c>
      <c r="R31">
        <f t="shared" si="13"/>
        <v>8.2845901521334059E-2</v>
      </c>
      <c r="S31">
        <f t="shared" si="13"/>
        <v>0.1948423345794974</v>
      </c>
      <c r="T31">
        <f t="shared" si="13"/>
        <v>0.91710922329838673</v>
      </c>
      <c r="U31">
        <f t="shared" si="15"/>
        <v>0.60064924433976208</v>
      </c>
      <c r="V31">
        <f t="shared" si="16"/>
        <v>1.0687725484526491</v>
      </c>
      <c r="W31">
        <f t="shared" si="17"/>
        <v>0.65615025169501728</v>
      </c>
      <c r="X31">
        <f t="shared" si="18"/>
        <v>0.54853272770207795</v>
      </c>
      <c r="Y31">
        <f t="shared" si="19"/>
        <v>0.80440410434851428</v>
      </c>
      <c r="Z31">
        <f t="shared" si="20"/>
        <v>0.14620548475793246</v>
      </c>
      <c r="AA31">
        <f t="shared" si="21"/>
        <v>2.1390912707585894</v>
      </c>
      <c r="AB31">
        <f t="shared" si="22"/>
        <v>1.8958793301252628</v>
      </c>
      <c r="AC31">
        <f t="shared" si="23"/>
        <v>1.1832544764613453</v>
      </c>
      <c r="AD31">
        <f t="shared" si="24"/>
        <v>44.01856836692096</v>
      </c>
      <c r="AE31">
        <f t="shared" si="24"/>
        <v>44.352230422119554</v>
      </c>
      <c r="AF31">
        <f t="shared" si="2"/>
        <v>0</v>
      </c>
      <c r="AG31" s="25">
        <f t="shared" si="25"/>
        <v>88.370798789040521</v>
      </c>
      <c r="AH31">
        <f t="shared" si="28"/>
        <v>0.49811214756587679</v>
      </c>
      <c r="AI31">
        <f t="shared" si="29"/>
        <v>0.50188785243412315</v>
      </c>
      <c r="AJ31">
        <f t="shared" si="26"/>
        <v>0</v>
      </c>
      <c r="AK31">
        <f t="shared" si="27"/>
        <v>1</v>
      </c>
    </row>
    <row r="32" spans="1:37" x14ac:dyDescent="0.25">
      <c r="A32">
        <v>40</v>
      </c>
      <c r="B32">
        <f t="shared" si="3"/>
        <v>313.14999999999998</v>
      </c>
      <c r="C32" s="25">
        <f t="shared" si="4"/>
        <v>0.35999999900000001</v>
      </c>
      <c r="D32" s="25">
        <v>0.64</v>
      </c>
      <c r="E32" s="25">
        <f t="shared" si="5"/>
        <v>1.0000000000000001E-9</v>
      </c>
      <c r="F32">
        <f t="shared" si="0"/>
        <v>60.524008348946289</v>
      </c>
      <c r="G32">
        <f t="shared" si="6"/>
        <v>35.44547801994527</v>
      </c>
      <c r="H32">
        <v>0</v>
      </c>
      <c r="I32">
        <f t="shared" si="7"/>
        <v>2.1408249287476755</v>
      </c>
      <c r="J32">
        <f t="shared" si="8"/>
        <v>2.8803595857638009</v>
      </c>
      <c r="K32">
        <f t="shared" si="9"/>
        <v>7.4012616183164619</v>
      </c>
      <c r="L32">
        <f t="shared" si="10"/>
        <v>6.2269325124885295</v>
      </c>
      <c r="M32">
        <f t="shared" si="11"/>
        <v>4.0889114702040397</v>
      </c>
      <c r="N32">
        <f t="shared" si="12"/>
        <v>0.2163217611049556</v>
      </c>
      <c r="O32">
        <f t="shared" si="13"/>
        <v>0.4247179525180087</v>
      </c>
      <c r="P32">
        <f t="shared" si="13"/>
        <v>0.31595867972610914</v>
      </c>
      <c r="Q32">
        <f t="shared" si="13"/>
        <v>5.1792773491932224E-2</v>
      </c>
      <c r="R32">
        <f t="shared" si="13"/>
        <v>8.2845901521334059E-2</v>
      </c>
      <c r="S32">
        <f t="shared" si="13"/>
        <v>0.1948423345794974</v>
      </c>
      <c r="T32">
        <f t="shared" si="13"/>
        <v>0.91710922329838673</v>
      </c>
      <c r="U32">
        <f t="shared" si="15"/>
        <v>0.58244775210267463</v>
      </c>
      <c r="V32">
        <f t="shared" si="16"/>
        <v>1.131641522064279</v>
      </c>
      <c r="W32">
        <f t="shared" si="17"/>
        <v>0.64788302789118846</v>
      </c>
      <c r="X32">
        <f t="shared" si="18"/>
        <v>0.5622135541075558</v>
      </c>
      <c r="Y32">
        <f t="shared" si="19"/>
        <v>0.79289846339887449</v>
      </c>
      <c r="Z32">
        <f t="shared" si="20"/>
        <v>0.14334449353618114</v>
      </c>
      <c r="AA32">
        <f t="shared" si="21"/>
        <v>2.0433222466938972</v>
      </c>
      <c r="AB32">
        <f t="shared" si="22"/>
        <v>1.9707196821949293</v>
      </c>
      <c r="AC32">
        <f t="shared" si="23"/>
        <v>1.2705674933942785</v>
      </c>
      <c r="AD32">
        <f t="shared" si="24"/>
        <v>44.521218854986031</v>
      </c>
      <c r="AE32">
        <f t="shared" si="24"/>
        <v>44.705984754376892</v>
      </c>
      <c r="AF32">
        <f t="shared" si="2"/>
        <v>0</v>
      </c>
      <c r="AG32" s="25">
        <f t="shared" si="25"/>
        <v>89.227203609362931</v>
      </c>
      <c r="AH32">
        <f t="shared" si="28"/>
        <v>0.49896463246679917</v>
      </c>
      <c r="AI32">
        <f t="shared" si="29"/>
        <v>0.50103536753320077</v>
      </c>
      <c r="AJ32">
        <f t="shared" si="26"/>
        <v>0</v>
      </c>
      <c r="AK32">
        <f t="shared" si="27"/>
        <v>1</v>
      </c>
    </row>
    <row r="33" spans="1:37" x14ac:dyDescent="0.25">
      <c r="A33">
        <v>40</v>
      </c>
      <c r="B33">
        <f t="shared" si="3"/>
        <v>313.14999999999998</v>
      </c>
      <c r="C33" s="25">
        <f t="shared" si="4"/>
        <v>0.37999999900000003</v>
      </c>
      <c r="D33" s="25">
        <v>0.62</v>
      </c>
      <c r="E33" s="25">
        <f t="shared" si="5"/>
        <v>1.0000000000000001E-9</v>
      </c>
      <c r="F33">
        <f t="shared" si="0"/>
        <v>60.524008348946289</v>
      </c>
      <c r="G33">
        <f t="shared" si="6"/>
        <v>35.44547801994527</v>
      </c>
      <c r="H33">
        <v>0</v>
      </c>
      <c r="I33">
        <f t="shared" si="7"/>
        <v>2.1408249287476755</v>
      </c>
      <c r="J33">
        <f t="shared" si="8"/>
        <v>2.8803595857638009</v>
      </c>
      <c r="K33">
        <f t="shared" si="9"/>
        <v>7.4012616183164619</v>
      </c>
      <c r="L33">
        <f t="shared" si="10"/>
        <v>6.2269325124885295</v>
      </c>
      <c r="M33">
        <f t="shared" si="11"/>
        <v>4.0889114702040397</v>
      </c>
      <c r="N33">
        <f t="shared" si="12"/>
        <v>0.2163217611049556</v>
      </c>
      <c r="O33">
        <f t="shared" si="13"/>
        <v>0.4247179525180087</v>
      </c>
      <c r="P33">
        <f t="shared" si="13"/>
        <v>0.31595867972610914</v>
      </c>
      <c r="Q33">
        <f t="shared" si="13"/>
        <v>5.1792773491932224E-2</v>
      </c>
      <c r="R33">
        <f t="shared" si="13"/>
        <v>8.2845901521334059E-2</v>
      </c>
      <c r="S33">
        <f t="shared" si="13"/>
        <v>0.1948423345794974</v>
      </c>
      <c r="T33">
        <f t="shared" si="13"/>
        <v>0.91710922329838673</v>
      </c>
      <c r="U33">
        <f t="shared" si="15"/>
        <v>0.56424625986558719</v>
      </c>
      <c r="V33">
        <f t="shared" si="16"/>
        <v>1.1945104956759087</v>
      </c>
      <c r="W33">
        <f t="shared" si="17"/>
        <v>0.63961580408735963</v>
      </c>
      <c r="X33">
        <f t="shared" si="18"/>
        <v>0.57589438051303365</v>
      </c>
      <c r="Y33">
        <f t="shared" si="19"/>
        <v>0.78139282244923458</v>
      </c>
      <c r="Z33">
        <f t="shared" si="20"/>
        <v>0.14048350231442985</v>
      </c>
      <c r="AA33" s="26">
        <f t="shared" si="21"/>
        <v>1.9367416745992145</v>
      </c>
      <c r="AB33">
        <f t="shared" si="22"/>
        <v>2.0346916312180801</v>
      </c>
      <c r="AC33">
        <f t="shared" si="23"/>
        <v>1.3521563449967628</v>
      </c>
      <c r="AD33">
        <f t="shared" si="24"/>
        <v>44.543360210394759</v>
      </c>
      <c r="AE33">
        <f t="shared" si="24"/>
        <v>44.714782844858362</v>
      </c>
      <c r="AF33">
        <f t="shared" si="2"/>
        <v>0</v>
      </c>
      <c r="AG33" s="25">
        <f t="shared" si="25"/>
        <v>89.258143055253129</v>
      </c>
      <c r="AH33">
        <f t="shared" si="28"/>
        <v>0.49903973671983354</v>
      </c>
      <c r="AI33">
        <f t="shared" si="29"/>
        <v>0.50096026328016641</v>
      </c>
      <c r="AJ33">
        <f t="shared" si="26"/>
        <v>0</v>
      </c>
      <c r="AK33">
        <f t="shared" si="27"/>
        <v>1</v>
      </c>
    </row>
    <row r="34" spans="1:37" x14ac:dyDescent="0.25">
      <c r="A34">
        <v>40</v>
      </c>
      <c r="B34">
        <f t="shared" si="3"/>
        <v>313.14999999999998</v>
      </c>
      <c r="C34" s="25">
        <f t="shared" si="4"/>
        <v>0.39999999900000005</v>
      </c>
      <c r="D34" s="25">
        <v>0.6</v>
      </c>
      <c r="E34" s="25">
        <f t="shared" si="5"/>
        <v>1.0000000000000001E-9</v>
      </c>
      <c r="F34">
        <f t="shared" si="0"/>
        <v>60.524008348946289</v>
      </c>
      <c r="G34">
        <f t="shared" si="6"/>
        <v>35.44547801994527</v>
      </c>
      <c r="H34">
        <v>0</v>
      </c>
      <c r="I34">
        <f t="shared" si="7"/>
        <v>2.1408249287476755</v>
      </c>
      <c r="J34">
        <f t="shared" si="8"/>
        <v>2.8803595857638009</v>
      </c>
      <c r="K34">
        <f t="shared" si="9"/>
        <v>7.4012616183164619</v>
      </c>
      <c r="L34">
        <f t="shared" si="10"/>
        <v>6.2269325124885295</v>
      </c>
      <c r="M34">
        <f t="shared" si="11"/>
        <v>4.0889114702040397</v>
      </c>
      <c r="N34">
        <f t="shared" si="12"/>
        <v>0.2163217611049556</v>
      </c>
      <c r="O34">
        <f t="shared" ref="O34:T64" si="30">EXP(-$N$4*I34)</f>
        <v>0.4247179525180087</v>
      </c>
      <c r="P34">
        <f t="shared" si="30"/>
        <v>0.31595867972610914</v>
      </c>
      <c r="Q34">
        <f t="shared" si="30"/>
        <v>5.1792773491932224E-2</v>
      </c>
      <c r="R34">
        <f t="shared" si="30"/>
        <v>8.2845901521334059E-2</v>
      </c>
      <c r="S34">
        <f t="shared" si="30"/>
        <v>0.1948423345794974</v>
      </c>
      <c r="T34">
        <f t="shared" si="30"/>
        <v>0.91710922329838673</v>
      </c>
      <c r="U34">
        <f t="shared" si="15"/>
        <v>0.54604476762849963</v>
      </c>
      <c r="V34">
        <f t="shared" si="16"/>
        <v>1.2573794692875386</v>
      </c>
      <c r="W34">
        <f t="shared" si="17"/>
        <v>0.63134858028353069</v>
      </c>
      <c r="X34">
        <f t="shared" si="18"/>
        <v>0.58957520691851151</v>
      </c>
      <c r="Y34">
        <f t="shared" si="19"/>
        <v>0.76988718149959479</v>
      </c>
      <c r="Z34">
        <f t="shared" si="20"/>
        <v>0.13762251109267856</v>
      </c>
      <c r="AA34">
        <f t="shared" si="21"/>
        <v>1.8195066601267389</v>
      </c>
      <c r="AB34">
        <f t="shared" si="22"/>
        <v>2.0894086521690922</v>
      </c>
      <c r="AC34">
        <f t="shared" si="23"/>
        <v>1.4291309272796318</v>
      </c>
      <c r="AD34">
        <f t="shared" si="24"/>
        <v>44.049534405265817</v>
      </c>
      <c r="AE34">
        <f t="shared" si="24"/>
        <v>44.436053073085816</v>
      </c>
      <c r="AF34">
        <f t="shared" si="2"/>
        <v>0</v>
      </c>
      <c r="AG34" s="25">
        <f t="shared" si="25"/>
        <v>88.485587478351633</v>
      </c>
      <c r="AH34">
        <f t="shared" si="28"/>
        <v>0.49781592302862565</v>
      </c>
      <c r="AI34">
        <f t="shared" si="29"/>
        <v>0.50218407697137435</v>
      </c>
      <c r="AJ34">
        <f t="shared" si="26"/>
        <v>0</v>
      </c>
      <c r="AK34">
        <f t="shared" ref="AK34:AK62" si="31">SUM(AH34:AJ34)</f>
        <v>1</v>
      </c>
    </row>
    <row r="35" spans="1:37" x14ac:dyDescent="0.25">
      <c r="A35">
        <v>40</v>
      </c>
      <c r="B35">
        <f t="shared" si="3"/>
        <v>313.14999999999998</v>
      </c>
      <c r="C35" s="25">
        <f t="shared" si="4"/>
        <v>0.41999999900000007</v>
      </c>
      <c r="D35" s="25">
        <v>0.57999999999999996</v>
      </c>
      <c r="E35" s="25">
        <f t="shared" si="5"/>
        <v>1.0000000000000001E-9</v>
      </c>
      <c r="F35">
        <f t="shared" ref="F35:F64" si="32">EXP($C$3+$D$3/($E$3+$B35))/1000</f>
        <v>60.524008348946289</v>
      </c>
      <c r="G35">
        <f t="shared" si="6"/>
        <v>35.44547801994527</v>
      </c>
      <c r="H35">
        <v>0</v>
      </c>
      <c r="I35">
        <f t="shared" si="7"/>
        <v>2.1408249287476755</v>
      </c>
      <c r="J35">
        <f t="shared" si="8"/>
        <v>2.8803595857638009</v>
      </c>
      <c r="K35">
        <f t="shared" si="9"/>
        <v>7.4012616183164619</v>
      </c>
      <c r="L35">
        <f t="shared" si="10"/>
        <v>6.2269325124885295</v>
      </c>
      <c r="M35">
        <f t="shared" si="11"/>
        <v>4.0889114702040397</v>
      </c>
      <c r="N35">
        <f t="shared" si="12"/>
        <v>0.2163217611049556</v>
      </c>
      <c r="O35">
        <f t="shared" si="30"/>
        <v>0.4247179525180087</v>
      </c>
      <c r="P35">
        <f t="shared" si="30"/>
        <v>0.31595867972610914</v>
      </c>
      <c r="Q35">
        <f t="shared" si="30"/>
        <v>5.1792773491932224E-2</v>
      </c>
      <c r="R35">
        <f t="shared" si="30"/>
        <v>8.2845901521334059E-2</v>
      </c>
      <c r="S35">
        <f t="shared" si="30"/>
        <v>0.1948423345794974</v>
      </c>
      <c r="T35">
        <f t="shared" si="30"/>
        <v>0.91710922329838673</v>
      </c>
      <c r="U35">
        <f t="shared" si="15"/>
        <v>0.52784327539141218</v>
      </c>
      <c r="V35">
        <f t="shared" si="16"/>
        <v>1.3202484428991685</v>
      </c>
      <c r="W35">
        <f t="shared" si="17"/>
        <v>0.62308135647970186</v>
      </c>
      <c r="X35">
        <f t="shared" si="18"/>
        <v>0.60325603332398936</v>
      </c>
      <c r="Y35">
        <f t="shared" si="19"/>
        <v>0.75838154054995499</v>
      </c>
      <c r="Z35">
        <f t="shared" si="20"/>
        <v>0.13476151987092724</v>
      </c>
      <c r="AA35">
        <f t="shared" si="21"/>
        <v>1.6917497590405446</v>
      </c>
      <c r="AB35">
        <f t="shared" si="22"/>
        <v>2.1358977735545039</v>
      </c>
      <c r="AC35">
        <f t="shared" si="23"/>
        <v>1.5025212311945326</v>
      </c>
      <c r="AD35">
        <f t="shared" si="24"/>
        <v>43.004420044617603</v>
      </c>
      <c r="AE35">
        <f t="shared" si="24"/>
        <v>43.910592199518192</v>
      </c>
      <c r="AF35">
        <f t="shared" si="2"/>
        <v>0</v>
      </c>
      <c r="AG35" s="25">
        <f t="shared" si="25"/>
        <v>86.915012244135795</v>
      </c>
      <c r="AH35">
        <f t="shared" si="28"/>
        <v>0.49478702164618443</v>
      </c>
      <c r="AI35">
        <f t="shared" si="29"/>
        <v>0.50521297835381551</v>
      </c>
      <c r="AJ35">
        <f t="shared" si="26"/>
        <v>0</v>
      </c>
      <c r="AK35">
        <f t="shared" si="31"/>
        <v>1</v>
      </c>
    </row>
    <row r="36" spans="1:37" x14ac:dyDescent="0.25">
      <c r="A36">
        <v>40</v>
      </c>
      <c r="B36">
        <f t="shared" si="3"/>
        <v>313.14999999999998</v>
      </c>
      <c r="C36" s="25">
        <f t="shared" si="4"/>
        <v>0.43999999899999997</v>
      </c>
      <c r="D36" s="25">
        <v>0.56000000000000005</v>
      </c>
      <c r="E36" s="25">
        <f t="shared" si="5"/>
        <v>1.0000000000000001E-9</v>
      </c>
      <c r="F36">
        <f t="shared" si="32"/>
        <v>60.524008348946289</v>
      </c>
      <c r="G36">
        <f t="shared" si="6"/>
        <v>35.44547801994527</v>
      </c>
      <c r="H36">
        <v>0</v>
      </c>
      <c r="I36">
        <f t="shared" si="7"/>
        <v>2.1408249287476755</v>
      </c>
      <c r="J36">
        <f t="shared" si="8"/>
        <v>2.8803595857638009</v>
      </c>
      <c r="K36">
        <f t="shared" si="9"/>
        <v>7.4012616183164619</v>
      </c>
      <c r="L36">
        <f t="shared" si="10"/>
        <v>6.2269325124885295</v>
      </c>
      <c r="M36">
        <f t="shared" si="11"/>
        <v>4.0889114702040397</v>
      </c>
      <c r="N36">
        <f t="shared" si="12"/>
        <v>0.2163217611049556</v>
      </c>
      <c r="O36">
        <f t="shared" si="30"/>
        <v>0.4247179525180087</v>
      </c>
      <c r="P36">
        <f t="shared" si="30"/>
        <v>0.31595867972610914</v>
      </c>
      <c r="Q36">
        <f t="shared" si="30"/>
        <v>5.1792773491932224E-2</v>
      </c>
      <c r="R36">
        <f t="shared" si="30"/>
        <v>8.2845901521334059E-2</v>
      </c>
      <c r="S36">
        <f t="shared" si="30"/>
        <v>0.1948423345794974</v>
      </c>
      <c r="T36">
        <f t="shared" si="30"/>
        <v>0.91710922329838673</v>
      </c>
      <c r="U36">
        <f t="shared" si="15"/>
        <v>0.50964178315432485</v>
      </c>
      <c r="V36">
        <f t="shared" si="16"/>
        <v>1.383117416510798</v>
      </c>
      <c r="W36">
        <f t="shared" si="17"/>
        <v>0.61481413267587293</v>
      </c>
      <c r="X36">
        <f t="shared" si="18"/>
        <v>0.6169368597294671</v>
      </c>
      <c r="Y36">
        <f t="shared" si="19"/>
        <v>0.7468758996003152</v>
      </c>
      <c r="Z36">
        <f t="shared" si="20"/>
        <v>0.13190052864917595</v>
      </c>
      <c r="AA36">
        <f t="shared" si="21"/>
        <v>1.5537903217431317</v>
      </c>
      <c r="AB36">
        <f t="shared" si="22"/>
        <v>2.1746373756261432</v>
      </c>
      <c r="AC36">
        <f t="shared" si="23"/>
        <v>1.5732592398188858</v>
      </c>
      <c r="AD36">
        <f t="shared" si="24"/>
        <v>41.37831200446341</v>
      </c>
      <c r="AE36">
        <f t="shared" si="24"/>
        <v>43.165394327500444</v>
      </c>
      <c r="AF36">
        <f t="shared" si="2"/>
        <v>0</v>
      </c>
      <c r="AG36" s="25">
        <f t="shared" si="25"/>
        <v>84.543706331963847</v>
      </c>
      <c r="AH36">
        <f t="shared" si="28"/>
        <v>0.48943101503014319</v>
      </c>
      <c r="AI36">
        <f t="shared" si="29"/>
        <v>0.51056898496985692</v>
      </c>
      <c r="AJ36">
        <f t="shared" si="26"/>
        <v>0</v>
      </c>
      <c r="AK36">
        <f t="shared" si="31"/>
        <v>1</v>
      </c>
    </row>
    <row r="37" spans="1:37" x14ac:dyDescent="0.25">
      <c r="A37">
        <v>40</v>
      </c>
      <c r="B37">
        <f t="shared" si="3"/>
        <v>313.14999999999998</v>
      </c>
      <c r="C37" s="25">
        <f t="shared" si="4"/>
        <v>0.45999999899999999</v>
      </c>
      <c r="D37" s="25">
        <v>0.54</v>
      </c>
      <c r="E37" s="25">
        <f t="shared" si="5"/>
        <v>1.0000000000000001E-9</v>
      </c>
      <c r="F37">
        <f t="shared" si="32"/>
        <v>60.524008348946289</v>
      </c>
      <c r="G37">
        <f t="shared" si="6"/>
        <v>35.44547801994527</v>
      </c>
      <c r="H37">
        <v>0</v>
      </c>
      <c r="I37">
        <f t="shared" si="7"/>
        <v>2.1408249287476755</v>
      </c>
      <c r="J37">
        <f t="shared" si="8"/>
        <v>2.8803595857638009</v>
      </c>
      <c r="K37">
        <f t="shared" si="9"/>
        <v>7.4012616183164619</v>
      </c>
      <c r="L37">
        <f t="shared" si="10"/>
        <v>6.2269325124885295</v>
      </c>
      <c r="M37">
        <f t="shared" si="11"/>
        <v>4.0889114702040397</v>
      </c>
      <c r="N37">
        <f t="shared" si="12"/>
        <v>0.2163217611049556</v>
      </c>
      <c r="O37">
        <f t="shared" si="30"/>
        <v>0.4247179525180087</v>
      </c>
      <c r="P37">
        <f t="shared" si="30"/>
        <v>0.31595867972610914</v>
      </c>
      <c r="Q37">
        <f t="shared" si="30"/>
        <v>5.1792773491932224E-2</v>
      </c>
      <c r="R37">
        <f t="shared" si="30"/>
        <v>8.2845901521334059E-2</v>
      </c>
      <c r="S37">
        <f t="shared" si="30"/>
        <v>0.1948423345794974</v>
      </c>
      <c r="T37">
        <f t="shared" si="30"/>
        <v>0.91710922329838673</v>
      </c>
      <c r="U37">
        <f t="shared" si="15"/>
        <v>0.4914402909172374</v>
      </c>
      <c r="V37">
        <f t="shared" si="16"/>
        <v>1.4459863901224279</v>
      </c>
      <c r="W37">
        <f t="shared" si="17"/>
        <v>0.6065469088720441</v>
      </c>
      <c r="X37">
        <f t="shared" si="18"/>
        <v>0.63061768613494484</v>
      </c>
      <c r="Y37">
        <f t="shared" si="19"/>
        <v>0.7353702586506754</v>
      </c>
      <c r="Z37">
        <f t="shared" si="20"/>
        <v>0.12903953742742466</v>
      </c>
      <c r="AA37">
        <f t="shared" si="21"/>
        <v>1.4063354217172426</v>
      </c>
      <c r="AB37">
        <f t="shared" si="22"/>
        <v>2.2055795145547132</v>
      </c>
      <c r="AC37">
        <f t="shared" si="23"/>
        <v>1.6421734874331191</v>
      </c>
      <c r="AD37">
        <f t="shared" si="24"/>
        <v>39.153846045382252</v>
      </c>
      <c r="AE37">
        <f t="shared" si="24"/>
        <v>42.216022910370953</v>
      </c>
      <c r="AF37">
        <f t="shared" si="2"/>
        <v>0</v>
      </c>
      <c r="AG37" s="25">
        <f t="shared" si="25"/>
        <v>81.369868955753205</v>
      </c>
      <c r="AH37">
        <f t="shared" si="28"/>
        <v>0.48118359471210509</v>
      </c>
      <c r="AI37">
        <f t="shared" si="29"/>
        <v>0.51881640528789486</v>
      </c>
      <c r="AJ37">
        <f t="shared" si="26"/>
        <v>0</v>
      </c>
      <c r="AK37">
        <f t="shared" si="31"/>
        <v>1</v>
      </c>
    </row>
    <row r="38" spans="1:37" x14ac:dyDescent="0.25">
      <c r="A38">
        <v>40</v>
      </c>
      <c r="B38">
        <f t="shared" si="3"/>
        <v>313.14999999999998</v>
      </c>
      <c r="C38" s="25">
        <f t="shared" si="4"/>
        <v>0.47999999900000001</v>
      </c>
      <c r="D38" s="25">
        <v>0.52</v>
      </c>
      <c r="E38" s="25">
        <f t="shared" si="5"/>
        <v>1.0000000000000001E-9</v>
      </c>
      <c r="F38">
        <f t="shared" si="32"/>
        <v>60.524008348946289</v>
      </c>
      <c r="G38">
        <f t="shared" si="6"/>
        <v>35.44547801994527</v>
      </c>
      <c r="H38">
        <v>0</v>
      </c>
      <c r="I38">
        <f t="shared" si="7"/>
        <v>2.1408249287476755</v>
      </c>
      <c r="J38">
        <f t="shared" si="8"/>
        <v>2.8803595857638009</v>
      </c>
      <c r="K38">
        <f t="shared" si="9"/>
        <v>7.4012616183164619</v>
      </c>
      <c r="L38">
        <f t="shared" si="10"/>
        <v>6.2269325124885295</v>
      </c>
      <c r="M38">
        <f t="shared" si="11"/>
        <v>4.0889114702040397</v>
      </c>
      <c r="N38">
        <f t="shared" si="12"/>
        <v>0.2163217611049556</v>
      </c>
      <c r="O38">
        <f t="shared" si="30"/>
        <v>0.4247179525180087</v>
      </c>
      <c r="P38">
        <f t="shared" si="30"/>
        <v>0.31595867972610914</v>
      </c>
      <c r="Q38">
        <f t="shared" si="30"/>
        <v>5.1792773491932224E-2</v>
      </c>
      <c r="R38">
        <f t="shared" si="30"/>
        <v>8.2845901521334059E-2</v>
      </c>
      <c r="S38">
        <f t="shared" si="30"/>
        <v>0.1948423345794974</v>
      </c>
      <c r="T38">
        <f t="shared" si="30"/>
        <v>0.91710922329838673</v>
      </c>
      <c r="U38">
        <f t="shared" si="15"/>
        <v>0.4732387986801499</v>
      </c>
      <c r="V38">
        <f t="shared" si="16"/>
        <v>1.5088553637340578</v>
      </c>
      <c r="W38">
        <f t="shared" si="17"/>
        <v>0.59827968506821527</v>
      </c>
      <c r="X38">
        <f t="shared" si="18"/>
        <v>0.6442985125404227</v>
      </c>
      <c r="Y38">
        <f t="shared" si="19"/>
        <v>0.7238646177010355</v>
      </c>
      <c r="Z38">
        <f t="shared" si="20"/>
        <v>0.12617854620567334</v>
      </c>
      <c r="AA38">
        <f t="shared" si="21"/>
        <v>1.2506750043443104</v>
      </c>
      <c r="AB38">
        <f t="shared" si="22"/>
        <v>2.228153145191035</v>
      </c>
      <c r="AC38">
        <f t="shared" si="23"/>
        <v>1.7099881499819414</v>
      </c>
      <c r="AD38">
        <f t="shared" si="24"/>
        <v>36.334014838585809</v>
      </c>
      <c r="AE38">
        <f t="shared" si="24"/>
        <v>41.068535733129195</v>
      </c>
      <c r="AF38">
        <f t="shared" si="2"/>
        <v>0</v>
      </c>
      <c r="AG38" s="25">
        <f t="shared" si="25"/>
        <v>77.402550571715011</v>
      </c>
      <c r="AH38">
        <f t="shared" si="28"/>
        <v>0.46941624752948702</v>
      </c>
      <c r="AI38">
        <f t="shared" si="29"/>
        <v>0.53058375247051293</v>
      </c>
      <c r="AJ38">
        <f t="shared" si="26"/>
        <v>0</v>
      </c>
      <c r="AK38">
        <f t="shared" si="31"/>
        <v>1</v>
      </c>
    </row>
    <row r="39" spans="1:37" x14ac:dyDescent="0.25">
      <c r="A39">
        <v>40</v>
      </c>
      <c r="B39">
        <f t="shared" si="3"/>
        <v>313.14999999999998</v>
      </c>
      <c r="C39" s="25">
        <f t="shared" si="4"/>
        <v>0.49999999900000003</v>
      </c>
      <c r="D39" s="25">
        <v>0.5</v>
      </c>
      <c r="E39" s="25">
        <f t="shared" si="5"/>
        <v>1.0000000000000001E-9</v>
      </c>
      <c r="F39">
        <f t="shared" si="32"/>
        <v>60.524008348946289</v>
      </c>
      <c r="G39">
        <f t="shared" si="6"/>
        <v>35.44547801994527</v>
      </c>
      <c r="H39">
        <v>0</v>
      </c>
      <c r="I39">
        <f t="shared" si="7"/>
        <v>2.1408249287476755</v>
      </c>
      <c r="J39">
        <f t="shared" si="8"/>
        <v>2.8803595857638009</v>
      </c>
      <c r="K39">
        <f t="shared" si="9"/>
        <v>7.4012616183164619</v>
      </c>
      <c r="L39">
        <f t="shared" si="10"/>
        <v>6.2269325124885295</v>
      </c>
      <c r="M39">
        <f t="shared" si="11"/>
        <v>4.0889114702040397</v>
      </c>
      <c r="N39">
        <f t="shared" si="12"/>
        <v>0.2163217611049556</v>
      </c>
      <c r="O39">
        <f t="shared" si="30"/>
        <v>0.4247179525180087</v>
      </c>
      <c r="P39">
        <f t="shared" si="30"/>
        <v>0.31595867972610914</v>
      </c>
      <c r="Q39">
        <f t="shared" si="30"/>
        <v>5.1792773491932224E-2</v>
      </c>
      <c r="R39">
        <f t="shared" si="30"/>
        <v>8.2845901521334059E-2</v>
      </c>
      <c r="S39">
        <f t="shared" si="30"/>
        <v>0.1948423345794974</v>
      </c>
      <c r="T39">
        <f t="shared" si="30"/>
        <v>0.91710922329838673</v>
      </c>
      <c r="U39">
        <f t="shared" si="15"/>
        <v>0.45503730644306239</v>
      </c>
      <c r="V39">
        <f t="shared" si="16"/>
        <v>1.5717243373456877</v>
      </c>
      <c r="W39">
        <f t="shared" si="17"/>
        <v>0.59001246126438633</v>
      </c>
      <c r="X39">
        <f t="shared" si="18"/>
        <v>0.65797933894590055</v>
      </c>
      <c r="Y39">
        <f t="shared" si="19"/>
        <v>0.7123589767513957</v>
      </c>
      <c r="Z39">
        <f t="shared" si="20"/>
        <v>0.12331755498392204</v>
      </c>
      <c r="AA39">
        <f t="shared" si="21"/>
        <v>1.0888632255747497</v>
      </c>
      <c r="AB39">
        <f t="shared" si="22"/>
        <v>2.2412487990939187</v>
      </c>
      <c r="AC39">
        <f t="shared" si="23"/>
        <v>1.7773212884462113</v>
      </c>
      <c r="AD39">
        <f t="shared" si="24"/>
        <v>32.951183411871</v>
      </c>
      <c r="AE39">
        <f t="shared" si="24"/>
        <v>39.721067522756115</v>
      </c>
      <c r="AF39">
        <f t="shared" si="2"/>
        <v>0</v>
      </c>
      <c r="AG39" s="25">
        <f t="shared" si="25"/>
        <v>72.672250934627115</v>
      </c>
      <c r="AH39">
        <f t="shared" si="28"/>
        <v>0.45342180802287918</v>
      </c>
      <c r="AI39">
        <f t="shared" si="29"/>
        <v>0.54657819197712076</v>
      </c>
      <c r="AJ39">
        <f t="shared" si="26"/>
        <v>0</v>
      </c>
      <c r="AK39">
        <f t="shared" si="31"/>
        <v>1</v>
      </c>
    </row>
    <row r="40" spans="1:37" x14ac:dyDescent="0.25">
      <c r="A40">
        <v>40</v>
      </c>
      <c r="B40">
        <f t="shared" si="3"/>
        <v>313.14999999999998</v>
      </c>
      <c r="C40" s="25">
        <f t="shared" si="4"/>
        <v>0.51999999900000005</v>
      </c>
      <c r="D40" s="25">
        <v>0.48</v>
      </c>
      <c r="E40" s="25">
        <f t="shared" si="5"/>
        <v>1.0000000000000001E-9</v>
      </c>
      <c r="F40">
        <f t="shared" si="32"/>
        <v>60.524008348946289</v>
      </c>
      <c r="G40">
        <f t="shared" si="6"/>
        <v>35.44547801994527</v>
      </c>
      <c r="H40">
        <v>0</v>
      </c>
      <c r="I40">
        <f t="shared" si="7"/>
        <v>2.1408249287476755</v>
      </c>
      <c r="J40">
        <f t="shared" si="8"/>
        <v>2.8803595857638009</v>
      </c>
      <c r="K40">
        <f t="shared" si="9"/>
        <v>7.4012616183164619</v>
      </c>
      <c r="L40">
        <f t="shared" si="10"/>
        <v>6.2269325124885295</v>
      </c>
      <c r="M40">
        <f t="shared" si="11"/>
        <v>4.0889114702040397</v>
      </c>
      <c r="N40">
        <f t="shared" si="12"/>
        <v>0.2163217611049556</v>
      </c>
      <c r="O40">
        <f t="shared" si="30"/>
        <v>0.4247179525180087</v>
      </c>
      <c r="P40">
        <f t="shared" si="30"/>
        <v>0.31595867972610914</v>
      </c>
      <c r="Q40">
        <f t="shared" si="30"/>
        <v>5.1792773491932224E-2</v>
      </c>
      <c r="R40">
        <f t="shared" si="30"/>
        <v>8.2845901521334059E-2</v>
      </c>
      <c r="S40">
        <f t="shared" si="30"/>
        <v>0.1948423345794974</v>
      </c>
      <c r="T40">
        <f t="shared" si="30"/>
        <v>0.91710922329838673</v>
      </c>
      <c r="U40">
        <f t="shared" si="15"/>
        <v>0.43683581420597495</v>
      </c>
      <c r="V40">
        <f t="shared" si="16"/>
        <v>1.6345933109573176</v>
      </c>
      <c r="W40">
        <f t="shared" si="17"/>
        <v>0.5817452374605574</v>
      </c>
      <c r="X40">
        <f t="shared" si="18"/>
        <v>0.6716601653513784</v>
      </c>
      <c r="Y40">
        <f t="shared" si="19"/>
        <v>0.70085333580175591</v>
      </c>
      <c r="Z40">
        <f t="shared" si="20"/>
        <v>0.12045656376217073</v>
      </c>
      <c r="AA40">
        <f t="shared" si="21"/>
        <v>0.92386288075906575</v>
      </c>
      <c r="AB40">
        <f t="shared" si="22"/>
        <v>2.2431885243767544</v>
      </c>
      <c r="AC40">
        <f t="shared" si="23"/>
        <v>1.8446781355337292</v>
      </c>
      <c r="AD40">
        <f t="shared" si="24"/>
        <v>29.076259992422617</v>
      </c>
      <c r="AE40">
        <f t="shared" si="24"/>
        <v>38.165226976987057</v>
      </c>
      <c r="AF40">
        <f t="shared" si="2"/>
        <v>0</v>
      </c>
      <c r="AG40" s="25">
        <f t="shared" si="25"/>
        <v>67.241486969409678</v>
      </c>
      <c r="AH40">
        <f t="shared" si="28"/>
        <v>0.43241548191297952</v>
      </c>
      <c r="AI40">
        <f t="shared" si="29"/>
        <v>0.56758451808702048</v>
      </c>
      <c r="AJ40">
        <f t="shared" si="26"/>
        <v>0</v>
      </c>
      <c r="AK40">
        <f t="shared" si="31"/>
        <v>1</v>
      </c>
    </row>
    <row r="41" spans="1:37" x14ac:dyDescent="0.25">
      <c r="A41">
        <v>40</v>
      </c>
      <c r="B41">
        <f t="shared" si="3"/>
        <v>313.14999999999998</v>
      </c>
      <c r="C41" s="25">
        <f t="shared" si="4"/>
        <v>0.53999999899999995</v>
      </c>
      <c r="D41" s="25">
        <v>0.46</v>
      </c>
      <c r="E41" s="25">
        <f t="shared" si="5"/>
        <v>1.0000000000000001E-9</v>
      </c>
      <c r="F41">
        <f t="shared" si="32"/>
        <v>60.524008348946289</v>
      </c>
      <c r="G41">
        <f t="shared" si="6"/>
        <v>35.44547801994527</v>
      </c>
      <c r="H41">
        <v>0</v>
      </c>
      <c r="I41">
        <f t="shared" si="7"/>
        <v>2.1408249287476755</v>
      </c>
      <c r="J41">
        <f t="shared" si="8"/>
        <v>2.8803595857638009</v>
      </c>
      <c r="K41">
        <f t="shared" si="9"/>
        <v>7.4012616183164619</v>
      </c>
      <c r="L41">
        <f t="shared" si="10"/>
        <v>6.2269325124885295</v>
      </c>
      <c r="M41">
        <f t="shared" si="11"/>
        <v>4.0889114702040397</v>
      </c>
      <c r="N41">
        <f t="shared" si="12"/>
        <v>0.2163217611049556</v>
      </c>
      <c r="O41">
        <f t="shared" si="30"/>
        <v>0.4247179525180087</v>
      </c>
      <c r="P41">
        <f t="shared" si="30"/>
        <v>0.31595867972610914</v>
      </c>
      <c r="Q41">
        <f t="shared" si="30"/>
        <v>5.1792773491932224E-2</v>
      </c>
      <c r="R41">
        <f t="shared" si="30"/>
        <v>8.2845901521334059E-2</v>
      </c>
      <c r="S41">
        <f t="shared" si="30"/>
        <v>0.1948423345794974</v>
      </c>
      <c r="T41">
        <f t="shared" si="30"/>
        <v>0.91710922329838673</v>
      </c>
      <c r="U41">
        <f t="shared" si="15"/>
        <v>0.41863432196888756</v>
      </c>
      <c r="V41">
        <f t="shared" si="16"/>
        <v>1.6974622845689471</v>
      </c>
      <c r="W41">
        <f t="shared" si="17"/>
        <v>0.57347801365672857</v>
      </c>
      <c r="X41">
        <f t="shared" si="18"/>
        <v>0.68534099175685614</v>
      </c>
      <c r="Y41">
        <f t="shared" si="19"/>
        <v>0.689347694852116</v>
      </c>
      <c r="Z41">
        <f t="shared" si="20"/>
        <v>0.11759557254041943</v>
      </c>
      <c r="AA41">
        <f t="shared" si="21"/>
        <v>0.75961221740450213</v>
      </c>
      <c r="AB41">
        <f t="shared" si="22"/>
        <v>2.2316889074224702</v>
      </c>
      <c r="AC41">
        <f t="shared" si="23"/>
        <v>1.9124355080266373</v>
      </c>
      <c r="AD41">
        <f t="shared" si="24"/>
        <v>24.826379095627136</v>
      </c>
      <c r="AE41">
        <f t="shared" si="24"/>
        <v>36.387508853083467</v>
      </c>
      <c r="AF41">
        <f t="shared" si="2"/>
        <v>0</v>
      </c>
      <c r="AG41" s="25">
        <f t="shared" si="25"/>
        <v>61.213887948710607</v>
      </c>
      <c r="AH41">
        <f t="shared" si="28"/>
        <v>0.40556775476226015</v>
      </c>
      <c r="AI41">
        <f t="shared" si="29"/>
        <v>0.59443224523773974</v>
      </c>
      <c r="AJ41">
        <f t="shared" si="26"/>
        <v>0</v>
      </c>
      <c r="AK41">
        <f t="shared" si="31"/>
        <v>0.99999999999999989</v>
      </c>
    </row>
    <row r="42" spans="1:37" x14ac:dyDescent="0.25">
      <c r="A42">
        <v>40</v>
      </c>
      <c r="B42">
        <f t="shared" si="3"/>
        <v>313.14999999999998</v>
      </c>
      <c r="C42" s="25">
        <f t="shared" si="4"/>
        <v>0.55999999899999997</v>
      </c>
      <c r="D42" s="25">
        <v>0.44</v>
      </c>
      <c r="E42" s="25">
        <f t="shared" si="5"/>
        <v>1.0000000000000001E-9</v>
      </c>
      <c r="F42">
        <f t="shared" si="32"/>
        <v>60.524008348946289</v>
      </c>
      <c r="G42">
        <f t="shared" si="6"/>
        <v>35.44547801994527</v>
      </c>
      <c r="H42">
        <v>0</v>
      </c>
      <c r="I42">
        <f t="shared" si="7"/>
        <v>2.1408249287476755</v>
      </c>
      <c r="J42">
        <f t="shared" si="8"/>
        <v>2.8803595857638009</v>
      </c>
      <c r="K42">
        <f t="shared" si="9"/>
        <v>7.4012616183164619</v>
      </c>
      <c r="L42">
        <f t="shared" si="10"/>
        <v>6.2269325124885295</v>
      </c>
      <c r="M42">
        <f t="shared" si="11"/>
        <v>4.0889114702040397</v>
      </c>
      <c r="N42">
        <f t="shared" si="12"/>
        <v>0.2163217611049556</v>
      </c>
      <c r="O42">
        <f t="shared" si="30"/>
        <v>0.4247179525180087</v>
      </c>
      <c r="P42">
        <f t="shared" si="30"/>
        <v>0.31595867972610914</v>
      </c>
      <c r="Q42">
        <f t="shared" si="30"/>
        <v>5.1792773491932224E-2</v>
      </c>
      <c r="R42">
        <f t="shared" si="30"/>
        <v>8.2845901521334059E-2</v>
      </c>
      <c r="S42">
        <f t="shared" si="30"/>
        <v>0.1948423345794974</v>
      </c>
      <c r="T42">
        <f t="shared" si="30"/>
        <v>0.91710922329838673</v>
      </c>
      <c r="U42">
        <f t="shared" si="15"/>
        <v>0.40043282973180006</v>
      </c>
      <c r="V42">
        <f t="shared" si="16"/>
        <v>1.760331258180577</v>
      </c>
      <c r="W42">
        <f t="shared" si="17"/>
        <v>0.56521078985289963</v>
      </c>
      <c r="X42">
        <f t="shared" si="18"/>
        <v>0.699021818162334</v>
      </c>
      <c r="Y42">
        <f t="shared" si="19"/>
        <v>0.6778420539024762</v>
      </c>
      <c r="Z42">
        <f t="shared" si="20"/>
        <v>0.11473458131866812</v>
      </c>
      <c r="AA42">
        <f t="shared" si="21"/>
        <v>0.60095574870362611</v>
      </c>
      <c r="AB42">
        <f t="shared" si="22"/>
        <v>2.2038313166804597</v>
      </c>
      <c r="AC42">
        <f t="shared" si="23"/>
        <v>1.9808127140123755</v>
      </c>
      <c r="AD42">
        <f t="shared" si="24"/>
        <v>20.368460384683647</v>
      </c>
      <c r="AE42">
        <f t="shared" si="24"/>
        <v>34.37097597782828</v>
      </c>
      <c r="AF42">
        <f t="shared" si="2"/>
        <v>0</v>
      </c>
      <c r="AG42" s="25">
        <f t="shared" si="25"/>
        <v>54.739436362511924</v>
      </c>
      <c r="AH42">
        <f t="shared" si="28"/>
        <v>0.37209846754346382</v>
      </c>
      <c r="AI42">
        <f t="shared" si="29"/>
        <v>0.62790153245653624</v>
      </c>
      <c r="AJ42">
        <f t="shared" si="26"/>
        <v>0</v>
      </c>
      <c r="AK42">
        <f t="shared" si="31"/>
        <v>1</v>
      </c>
    </row>
    <row r="43" spans="1:37" x14ac:dyDescent="0.25">
      <c r="A43">
        <v>40</v>
      </c>
      <c r="B43">
        <f t="shared" si="3"/>
        <v>313.14999999999998</v>
      </c>
      <c r="C43" s="25">
        <f t="shared" si="4"/>
        <v>0.5799999990000011</v>
      </c>
      <c r="D43" s="25">
        <v>0.41999999999999899</v>
      </c>
      <c r="E43" s="25">
        <f t="shared" si="5"/>
        <v>1.0000000000000001E-9</v>
      </c>
      <c r="F43">
        <f t="shared" si="32"/>
        <v>60.524008348946289</v>
      </c>
      <c r="G43">
        <f t="shared" si="6"/>
        <v>35.44547801994527</v>
      </c>
      <c r="H43">
        <v>0</v>
      </c>
      <c r="I43">
        <f t="shared" si="7"/>
        <v>2.1408249287476755</v>
      </c>
      <c r="J43">
        <f t="shared" si="8"/>
        <v>2.8803595857638009</v>
      </c>
      <c r="K43">
        <f t="shared" si="9"/>
        <v>7.4012616183164619</v>
      </c>
      <c r="L43">
        <f t="shared" si="10"/>
        <v>6.2269325124885295</v>
      </c>
      <c r="M43">
        <f t="shared" si="11"/>
        <v>4.0889114702040397</v>
      </c>
      <c r="N43">
        <f t="shared" si="12"/>
        <v>0.2163217611049556</v>
      </c>
      <c r="O43">
        <f t="shared" si="30"/>
        <v>0.4247179525180087</v>
      </c>
      <c r="P43">
        <f t="shared" si="30"/>
        <v>0.31595867972610914</v>
      </c>
      <c r="Q43">
        <f t="shared" si="30"/>
        <v>5.1792773491932224E-2</v>
      </c>
      <c r="R43">
        <f t="shared" si="30"/>
        <v>8.2845901521334059E-2</v>
      </c>
      <c r="S43">
        <f t="shared" si="30"/>
        <v>0.1948423345794974</v>
      </c>
      <c r="T43">
        <f t="shared" si="30"/>
        <v>0.91710922329838673</v>
      </c>
      <c r="U43">
        <f t="shared" si="15"/>
        <v>0.38223133749471166</v>
      </c>
      <c r="V43">
        <f t="shared" si="16"/>
        <v>1.8232002317922102</v>
      </c>
      <c r="W43">
        <f t="shared" si="17"/>
        <v>0.55694356604907047</v>
      </c>
      <c r="X43">
        <f t="shared" si="18"/>
        <v>0.71270264456781263</v>
      </c>
      <c r="Y43">
        <f t="shared" si="19"/>
        <v>0.66633641295283585</v>
      </c>
      <c r="Z43">
        <f t="shared" si="20"/>
        <v>0.11187359009691669</v>
      </c>
      <c r="AA43">
        <f t="shared" si="21"/>
        <v>0.4533699300783669</v>
      </c>
      <c r="AB43">
        <f t="shared" si="22"/>
        <v>2.1560638562886125</v>
      </c>
      <c r="AC43">
        <f t="shared" si="23"/>
        <v>2.0498226872573864</v>
      </c>
      <c r="AD43">
        <f t="shared" si="24"/>
        <v>15.915063923830344</v>
      </c>
      <c r="AE43">
        <f t="shared" si="24"/>
        <v>32.097539891624031</v>
      </c>
      <c r="AF43">
        <f t="shared" si="2"/>
        <v>0</v>
      </c>
      <c r="AG43" s="25">
        <f t="shared" si="25"/>
        <v>48.012603815454376</v>
      </c>
      <c r="AH43">
        <f t="shared" si="28"/>
        <v>0.33147679273973424</v>
      </c>
      <c r="AI43">
        <f t="shared" si="29"/>
        <v>0.66852320726026571</v>
      </c>
      <c r="AJ43">
        <f t="shared" si="26"/>
        <v>0</v>
      </c>
      <c r="AK43">
        <f t="shared" si="31"/>
        <v>1</v>
      </c>
    </row>
    <row r="44" spans="1:37" x14ac:dyDescent="0.25">
      <c r="A44">
        <v>40</v>
      </c>
      <c r="B44">
        <f t="shared" si="3"/>
        <v>313.14999999999998</v>
      </c>
      <c r="C44" s="25">
        <f t="shared" si="4"/>
        <v>0.59999999900000101</v>
      </c>
      <c r="D44" s="25">
        <v>0.39999999999999902</v>
      </c>
      <c r="E44" s="25">
        <f t="shared" si="5"/>
        <v>1.0000000000000001E-9</v>
      </c>
      <c r="F44">
        <f t="shared" si="32"/>
        <v>60.524008348946289</v>
      </c>
      <c r="G44">
        <f t="shared" si="6"/>
        <v>35.44547801994527</v>
      </c>
      <c r="H44">
        <v>0</v>
      </c>
      <c r="I44">
        <f t="shared" si="7"/>
        <v>2.1408249287476755</v>
      </c>
      <c r="J44">
        <f t="shared" si="8"/>
        <v>2.8803595857638009</v>
      </c>
      <c r="K44">
        <f t="shared" si="9"/>
        <v>7.4012616183164619</v>
      </c>
      <c r="L44">
        <f t="shared" si="10"/>
        <v>6.2269325124885295</v>
      </c>
      <c r="M44">
        <f t="shared" si="11"/>
        <v>4.0889114702040397</v>
      </c>
      <c r="N44">
        <f t="shared" si="12"/>
        <v>0.2163217611049556</v>
      </c>
      <c r="O44">
        <f t="shared" si="30"/>
        <v>0.4247179525180087</v>
      </c>
      <c r="P44">
        <f t="shared" si="30"/>
        <v>0.31595867972610914</v>
      </c>
      <c r="Q44">
        <f t="shared" si="30"/>
        <v>5.1792773491932224E-2</v>
      </c>
      <c r="R44">
        <f t="shared" si="30"/>
        <v>8.2845901521334059E-2</v>
      </c>
      <c r="S44">
        <f t="shared" si="30"/>
        <v>0.1948423345794974</v>
      </c>
      <c r="T44">
        <f t="shared" si="30"/>
        <v>0.91710922329838673</v>
      </c>
      <c r="U44">
        <f t="shared" si="15"/>
        <v>0.36402984525762422</v>
      </c>
      <c r="V44">
        <f t="shared" si="16"/>
        <v>1.8860692054038397</v>
      </c>
      <c r="W44">
        <f t="shared" si="17"/>
        <v>0.54867634224524153</v>
      </c>
      <c r="X44">
        <f t="shared" si="18"/>
        <v>0.72638347097329037</v>
      </c>
      <c r="Y44">
        <f t="shared" si="19"/>
        <v>0.65483077200319606</v>
      </c>
      <c r="Z44">
        <f t="shared" si="20"/>
        <v>0.10901259887516537</v>
      </c>
      <c r="AA44">
        <f t="shared" si="21"/>
        <v>0.32242415970788585</v>
      </c>
      <c r="AB44">
        <f t="shared" si="22"/>
        <v>2.0842758630531595</v>
      </c>
      <c r="AC44">
        <f t="shared" si="23"/>
        <v>2.1191943340510115</v>
      </c>
      <c r="AD44">
        <f t="shared" si="24"/>
        <v>11.708641500922862</v>
      </c>
      <c r="AE44">
        <f t="shared" si="24"/>
        <v>29.551261716541216</v>
      </c>
      <c r="AF44">
        <f t="shared" si="2"/>
        <v>0</v>
      </c>
      <c r="AG44" s="25">
        <f t="shared" si="25"/>
        <v>41.259903217464078</v>
      </c>
      <c r="AH44">
        <f t="shared" si="28"/>
        <v>0.28377772577922444</v>
      </c>
      <c r="AI44">
        <f t="shared" si="29"/>
        <v>0.71622227422077556</v>
      </c>
      <c r="AJ44">
        <f t="shared" si="26"/>
        <v>0</v>
      </c>
      <c r="AK44">
        <f t="shared" si="31"/>
        <v>1</v>
      </c>
    </row>
    <row r="45" spans="1:37" x14ac:dyDescent="0.25">
      <c r="A45">
        <v>40</v>
      </c>
      <c r="B45">
        <f t="shared" si="3"/>
        <v>313.14999999999998</v>
      </c>
      <c r="C45" s="25">
        <f t="shared" si="4"/>
        <v>0.61999999900000102</v>
      </c>
      <c r="D45" s="25">
        <v>0.37999999999999901</v>
      </c>
      <c r="E45" s="25">
        <f t="shared" si="5"/>
        <v>1.0000000000000001E-9</v>
      </c>
      <c r="F45">
        <f t="shared" si="32"/>
        <v>60.524008348946289</v>
      </c>
      <c r="G45">
        <f t="shared" si="6"/>
        <v>35.44547801994527</v>
      </c>
      <c r="H45">
        <v>0</v>
      </c>
      <c r="I45">
        <f t="shared" si="7"/>
        <v>2.1408249287476755</v>
      </c>
      <c r="J45">
        <f t="shared" si="8"/>
        <v>2.8803595857638009</v>
      </c>
      <c r="K45">
        <f t="shared" si="9"/>
        <v>7.4012616183164619</v>
      </c>
      <c r="L45">
        <f t="shared" si="10"/>
        <v>6.2269325124885295</v>
      </c>
      <c r="M45">
        <f t="shared" si="11"/>
        <v>4.0889114702040397</v>
      </c>
      <c r="N45">
        <f t="shared" si="12"/>
        <v>0.2163217611049556</v>
      </c>
      <c r="O45">
        <f t="shared" si="30"/>
        <v>0.4247179525180087</v>
      </c>
      <c r="P45">
        <f t="shared" si="30"/>
        <v>0.31595867972610914</v>
      </c>
      <c r="Q45">
        <f t="shared" si="30"/>
        <v>5.1792773491932224E-2</v>
      </c>
      <c r="R45">
        <f t="shared" si="30"/>
        <v>8.2845901521334059E-2</v>
      </c>
      <c r="S45">
        <f t="shared" si="30"/>
        <v>0.1948423345794974</v>
      </c>
      <c r="T45">
        <f t="shared" si="30"/>
        <v>0.91710922329838673</v>
      </c>
      <c r="U45">
        <f t="shared" si="15"/>
        <v>0.34582835302053672</v>
      </c>
      <c r="V45">
        <f t="shared" si="16"/>
        <v>1.9489381790154696</v>
      </c>
      <c r="W45">
        <f t="shared" si="17"/>
        <v>0.54040911844141259</v>
      </c>
      <c r="X45">
        <f t="shared" si="18"/>
        <v>0.74006429737876811</v>
      </c>
      <c r="Y45">
        <f t="shared" si="19"/>
        <v>0.64332513105355615</v>
      </c>
      <c r="Z45">
        <f t="shared" si="20"/>
        <v>0.10615160765341408</v>
      </c>
      <c r="AA45">
        <f t="shared" si="21"/>
        <v>0.21296700298231355</v>
      </c>
      <c r="AB45">
        <f t="shared" si="22"/>
        <v>1.9840098952331899</v>
      </c>
      <c r="AC45">
        <f t="shared" si="23"/>
        <v>2.188252883659846</v>
      </c>
      <c r="AD45">
        <f t="shared" si="24"/>
        <v>7.991562320372398</v>
      </c>
      <c r="AE45">
        <f t="shared" si="24"/>
        <v>26.723188070479871</v>
      </c>
      <c r="AF45">
        <f t="shared" si="2"/>
        <v>0</v>
      </c>
      <c r="AG45" s="25">
        <f t="shared" si="25"/>
        <v>34.714750390852267</v>
      </c>
      <c r="AH45">
        <f t="shared" si="28"/>
        <v>0.23020653268122782</v>
      </c>
      <c r="AI45">
        <f t="shared" si="29"/>
        <v>0.7697934673187723</v>
      </c>
      <c r="AJ45">
        <f t="shared" si="26"/>
        <v>0</v>
      </c>
      <c r="AK45">
        <f t="shared" si="31"/>
        <v>1</v>
      </c>
    </row>
    <row r="46" spans="1:37" x14ac:dyDescent="0.25">
      <c r="A46">
        <v>40</v>
      </c>
      <c r="B46">
        <f t="shared" si="3"/>
        <v>313.14999999999998</v>
      </c>
      <c r="C46" s="25">
        <f t="shared" si="4"/>
        <v>0.63999999900000104</v>
      </c>
      <c r="D46" s="25">
        <v>0.35999999999999899</v>
      </c>
      <c r="E46" s="25">
        <f t="shared" si="5"/>
        <v>1.0000000000000001E-9</v>
      </c>
      <c r="F46">
        <f t="shared" si="32"/>
        <v>60.524008348946289</v>
      </c>
      <c r="G46">
        <f t="shared" si="6"/>
        <v>35.44547801994527</v>
      </c>
      <c r="H46">
        <v>0</v>
      </c>
      <c r="I46">
        <f t="shared" si="7"/>
        <v>2.1408249287476755</v>
      </c>
      <c r="J46">
        <f t="shared" si="8"/>
        <v>2.8803595857638009</v>
      </c>
      <c r="K46">
        <f t="shared" si="9"/>
        <v>7.4012616183164619</v>
      </c>
      <c r="L46">
        <f t="shared" si="10"/>
        <v>6.2269325124885295</v>
      </c>
      <c r="M46">
        <f t="shared" si="11"/>
        <v>4.0889114702040397</v>
      </c>
      <c r="N46">
        <f t="shared" si="12"/>
        <v>0.2163217611049556</v>
      </c>
      <c r="O46">
        <f t="shared" si="30"/>
        <v>0.4247179525180087</v>
      </c>
      <c r="P46">
        <f t="shared" si="30"/>
        <v>0.31595867972610914</v>
      </c>
      <c r="Q46">
        <f t="shared" si="30"/>
        <v>5.1792773491932224E-2</v>
      </c>
      <c r="R46">
        <f t="shared" si="30"/>
        <v>8.2845901521334059E-2</v>
      </c>
      <c r="S46">
        <f t="shared" si="30"/>
        <v>0.1948423345794974</v>
      </c>
      <c r="T46">
        <f t="shared" si="30"/>
        <v>0.91710922329838673</v>
      </c>
      <c r="U46">
        <f t="shared" si="15"/>
        <v>0.32762686078344921</v>
      </c>
      <c r="V46">
        <f t="shared" si="16"/>
        <v>2.0118071526270995</v>
      </c>
      <c r="W46">
        <f t="shared" si="17"/>
        <v>0.53214189463758377</v>
      </c>
      <c r="X46">
        <f t="shared" si="18"/>
        <v>0.75374512378424596</v>
      </c>
      <c r="Y46">
        <f t="shared" si="19"/>
        <v>0.63181949010391625</v>
      </c>
      <c r="Z46">
        <f t="shared" si="20"/>
        <v>0.10329061643166278</v>
      </c>
      <c r="AA46">
        <f t="shared" si="21"/>
        <v>0.12813480798716506</v>
      </c>
      <c r="AB46">
        <f t="shared" si="22"/>
        <v>1.8509079449061678</v>
      </c>
      <c r="AC46">
        <f t="shared" si="23"/>
        <v>2.2557389522535085</v>
      </c>
      <c r="AD46">
        <f t="shared" si="24"/>
        <v>4.9633485928244934</v>
      </c>
      <c r="AE46">
        <f t="shared" si="24"/>
        <v>23.618274076120844</v>
      </c>
      <c r="AF46">
        <f t="shared" si="2"/>
        <v>0</v>
      </c>
      <c r="AG46" s="25">
        <f t="shared" si="25"/>
        <v>28.581622668945336</v>
      </c>
      <c r="AH46">
        <f t="shared" si="28"/>
        <v>0.17365524170246985</v>
      </c>
      <c r="AI46">
        <f t="shared" si="29"/>
        <v>0.82634475829753018</v>
      </c>
      <c r="AJ46">
        <f t="shared" si="26"/>
        <v>0</v>
      </c>
      <c r="AK46">
        <f t="shared" si="31"/>
        <v>1</v>
      </c>
    </row>
    <row r="47" spans="1:37" x14ac:dyDescent="0.25">
      <c r="A47">
        <v>40</v>
      </c>
      <c r="B47">
        <f t="shared" si="3"/>
        <v>313.14999999999998</v>
      </c>
      <c r="C47" s="25">
        <f t="shared" si="4"/>
        <v>0.65999999900000095</v>
      </c>
      <c r="D47" s="25">
        <v>0.33999999999999903</v>
      </c>
      <c r="E47" s="25">
        <f t="shared" si="5"/>
        <v>1.0000000000000001E-9</v>
      </c>
      <c r="F47">
        <f t="shared" si="32"/>
        <v>60.524008348946289</v>
      </c>
      <c r="G47">
        <f t="shared" si="6"/>
        <v>35.44547801994527</v>
      </c>
      <c r="H47">
        <v>0</v>
      </c>
      <c r="I47">
        <f t="shared" si="7"/>
        <v>2.1408249287476755</v>
      </c>
      <c r="J47">
        <f t="shared" si="8"/>
        <v>2.8803595857638009</v>
      </c>
      <c r="K47">
        <f t="shared" si="9"/>
        <v>7.4012616183164619</v>
      </c>
      <c r="L47">
        <f t="shared" si="10"/>
        <v>6.2269325124885295</v>
      </c>
      <c r="M47">
        <f t="shared" si="11"/>
        <v>4.0889114702040397</v>
      </c>
      <c r="N47">
        <f t="shared" si="12"/>
        <v>0.2163217611049556</v>
      </c>
      <c r="O47">
        <f t="shared" si="30"/>
        <v>0.4247179525180087</v>
      </c>
      <c r="P47">
        <f t="shared" si="30"/>
        <v>0.31595867972610914</v>
      </c>
      <c r="Q47">
        <f t="shared" si="30"/>
        <v>5.1792773491932224E-2</v>
      </c>
      <c r="R47">
        <f t="shared" si="30"/>
        <v>8.2845901521334059E-2</v>
      </c>
      <c r="S47">
        <f t="shared" si="30"/>
        <v>0.1948423345794974</v>
      </c>
      <c r="T47">
        <f t="shared" si="30"/>
        <v>0.91710922329838673</v>
      </c>
      <c r="U47">
        <f t="shared" si="15"/>
        <v>0.30942536854636182</v>
      </c>
      <c r="V47">
        <f t="shared" si="16"/>
        <v>2.0746761262387294</v>
      </c>
      <c r="W47">
        <f t="shared" si="17"/>
        <v>0.52387467083375494</v>
      </c>
      <c r="X47">
        <f t="shared" si="18"/>
        <v>0.7674259501897237</v>
      </c>
      <c r="Y47">
        <f t="shared" si="19"/>
        <v>0.62031384915427656</v>
      </c>
      <c r="Z47">
        <f t="shared" si="20"/>
        <v>0.10042962520991147</v>
      </c>
      <c r="AA47">
        <f t="shared" si="21"/>
        <v>6.844019938487983E-2</v>
      </c>
      <c r="AB47">
        <f t="shared" si="22"/>
        <v>1.6815217347787121</v>
      </c>
      <c r="AC47">
        <f t="shared" si="23"/>
        <v>2.3195387040005202</v>
      </c>
      <c r="AD47">
        <f t="shared" si="24"/>
        <v>2.7339016271805789</v>
      </c>
      <c r="AE47">
        <f t="shared" si="24"/>
        <v>20.26479617465403</v>
      </c>
      <c r="AF47">
        <f t="shared" si="2"/>
        <v>0</v>
      </c>
      <c r="AG47" s="25">
        <f t="shared" si="25"/>
        <v>22.998697801834609</v>
      </c>
      <c r="AH47">
        <f t="shared" si="28"/>
        <v>0.11887201835238234</v>
      </c>
      <c r="AI47">
        <f t="shared" si="29"/>
        <v>0.88112798164761763</v>
      </c>
      <c r="AJ47">
        <f t="shared" si="26"/>
        <v>0</v>
      </c>
      <c r="AK47">
        <f t="shared" si="31"/>
        <v>1</v>
      </c>
    </row>
    <row r="48" spans="1:37" x14ac:dyDescent="0.25">
      <c r="A48">
        <v>40</v>
      </c>
      <c r="B48">
        <f t="shared" si="3"/>
        <v>313.14999999999998</v>
      </c>
      <c r="C48" s="25">
        <f t="shared" si="4"/>
        <v>0.67999999900000097</v>
      </c>
      <c r="D48" s="25">
        <v>0.31999999999999901</v>
      </c>
      <c r="E48" s="25">
        <f t="shared" si="5"/>
        <v>1.0000000000000001E-9</v>
      </c>
      <c r="F48">
        <f t="shared" si="32"/>
        <v>60.524008348946289</v>
      </c>
      <c r="G48">
        <f t="shared" si="6"/>
        <v>35.44547801994527</v>
      </c>
      <c r="H48">
        <v>0</v>
      </c>
      <c r="I48">
        <f t="shared" si="7"/>
        <v>2.1408249287476755</v>
      </c>
      <c r="J48">
        <f t="shared" si="8"/>
        <v>2.8803595857638009</v>
      </c>
      <c r="K48">
        <f t="shared" si="9"/>
        <v>7.4012616183164619</v>
      </c>
      <c r="L48">
        <f t="shared" si="10"/>
        <v>6.2269325124885295</v>
      </c>
      <c r="M48">
        <f t="shared" si="11"/>
        <v>4.0889114702040397</v>
      </c>
      <c r="N48">
        <f t="shared" si="12"/>
        <v>0.2163217611049556</v>
      </c>
      <c r="O48">
        <f t="shared" si="30"/>
        <v>0.4247179525180087</v>
      </c>
      <c r="P48">
        <f t="shared" si="30"/>
        <v>0.31595867972610914</v>
      </c>
      <c r="Q48">
        <f t="shared" si="30"/>
        <v>5.1792773491932224E-2</v>
      </c>
      <c r="R48">
        <f t="shared" si="30"/>
        <v>8.2845901521334059E-2</v>
      </c>
      <c r="S48">
        <f t="shared" si="30"/>
        <v>0.1948423345794974</v>
      </c>
      <c r="T48">
        <f t="shared" si="30"/>
        <v>0.91710922329838673</v>
      </c>
      <c r="U48">
        <f t="shared" si="15"/>
        <v>0.29122387630927438</v>
      </c>
      <c r="V48">
        <f t="shared" si="16"/>
        <v>2.1375450998503593</v>
      </c>
      <c r="W48">
        <f t="shared" si="17"/>
        <v>0.515607447029926</v>
      </c>
      <c r="X48">
        <f t="shared" si="18"/>
        <v>0.78110677659520156</v>
      </c>
      <c r="Y48">
        <f t="shared" si="19"/>
        <v>0.60880820820463666</v>
      </c>
      <c r="Z48">
        <f t="shared" si="20"/>
        <v>9.7568633988160153E-2</v>
      </c>
      <c r="AA48">
        <f t="shared" si="21"/>
        <v>3.1348375487132915E-2</v>
      </c>
      <c r="AB48">
        <f t="shared" si="22"/>
        <v>1.4746294141981324</v>
      </c>
      <c r="AC48">
        <f t="shared" si="23"/>
        <v>2.3762872320967166</v>
      </c>
      <c r="AD48">
        <f t="shared" si="24"/>
        <v>1.2901839491048848</v>
      </c>
      <c r="AE48">
        <f t="shared" si="24"/>
        <v>16.726062236327845</v>
      </c>
      <c r="AF48">
        <f t="shared" si="2"/>
        <v>0</v>
      </c>
      <c r="AG48" s="25">
        <f t="shared" si="25"/>
        <v>18.016246185432731</v>
      </c>
      <c r="AH48">
        <f t="shared" si="28"/>
        <v>7.1612251288399889E-2</v>
      </c>
      <c r="AI48">
        <f t="shared" si="29"/>
        <v>0.92838774871160001</v>
      </c>
      <c r="AJ48">
        <f t="shared" si="26"/>
        <v>0</v>
      </c>
      <c r="AK48">
        <f t="shared" si="31"/>
        <v>0.99999999999999989</v>
      </c>
    </row>
    <row r="49" spans="1:37" x14ac:dyDescent="0.25">
      <c r="A49">
        <v>40</v>
      </c>
      <c r="B49">
        <f t="shared" si="3"/>
        <v>313.14999999999998</v>
      </c>
      <c r="C49" s="25">
        <f t="shared" si="4"/>
        <v>0.69999999900000098</v>
      </c>
      <c r="D49" s="25">
        <v>0.29999999999999899</v>
      </c>
      <c r="E49" s="25">
        <f t="shared" si="5"/>
        <v>1.0000000000000001E-9</v>
      </c>
      <c r="F49">
        <f t="shared" si="32"/>
        <v>60.524008348946289</v>
      </c>
      <c r="G49">
        <f t="shared" si="6"/>
        <v>35.44547801994527</v>
      </c>
      <c r="H49">
        <v>0</v>
      </c>
      <c r="I49">
        <f t="shared" si="7"/>
        <v>2.1408249287476755</v>
      </c>
      <c r="J49">
        <f t="shared" si="8"/>
        <v>2.8803595857638009</v>
      </c>
      <c r="K49">
        <f t="shared" si="9"/>
        <v>7.4012616183164619</v>
      </c>
      <c r="L49">
        <f t="shared" si="10"/>
        <v>6.2269325124885295</v>
      </c>
      <c r="M49">
        <f t="shared" si="11"/>
        <v>4.0889114702040397</v>
      </c>
      <c r="N49">
        <f t="shared" si="12"/>
        <v>0.2163217611049556</v>
      </c>
      <c r="O49">
        <f t="shared" si="30"/>
        <v>0.4247179525180087</v>
      </c>
      <c r="P49">
        <f t="shared" si="30"/>
        <v>0.31595867972610914</v>
      </c>
      <c r="Q49">
        <f t="shared" si="30"/>
        <v>5.1792773491932224E-2</v>
      </c>
      <c r="R49">
        <f t="shared" si="30"/>
        <v>8.2845901521334059E-2</v>
      </c>
      <c r="S49">
        <f t="shared" si="30"/>
        <v>0.1948423345794974</v>
      </c>
      <c r="T49">
        <f t="shared" si="30"/>
        <v>0.91710922329838673</v>
      </c>
      <c r="U49">
        <f t="shared" si="15"/>
        <v>0.27302238407218687</v>
      </c>
      <c r="V49">
        <f t="shared" si="16"/>
        <v>2.2004140734619893</v>
      </c>
      <c r="W49">
        <f t="shared" si="17"/>
        <v>0.50734022322609706</v>
      </c>
      <c r="X49">
        <f t="shared" si="18"/>
        <v>0.7947876030006793</v>
      </c>
      <c r="Y49">
        <f t="shared" si="19"/>
        <v>0.59730256725499675</v>
      </c>
      <c r="Z49">
        <f t="shared" si="20"/>
        <v>9.4707642766408862E-2</v>
      </c>
      <c r="AA49">
        <f t="shared" si="21"/>
        <v>1.1744673365841856E-2</v>
      </c>
      <c r="AB49">
        <f t="shared" si="22"/>
        <v>1.2331379801000091</v>
      </c>
      <c r="AC49">
        <f t="shared" si="23"/>
        <v>2.4207977179837803</v>
      </c>
      <c r="AD49">
        <f t="shared" si="24"/>
        <v>0.49758429548406768</v>
      </c>
      <c r="AE49">
        <f t="shared" si="24"/>
        <v>13.11274955075833</v>
      </c>
      <c r="AF49">
        <f t="shared" si="2"/>
        <v>0</v>
      </c>
      <c r="AG49" s="25">
        <f t="shared" si="25"/>
        <v>13.610333846242398</v>
      </c>
      <c r="AH49">
        <f t="shared" si="28"/>
        <v>3.6559301271029659E-2</v>
      </c>
      <c r="AI49">
        <f t="shared" si="29"/>
        <v>0.96344069872897042</v>
      </c>
      <c r="AJ49">
        <f t="shared" si="26"/>
        <v>0</v>
      </c>
      <c r="AK49">
        <f t="shared" si="31"/>
        <v>1</v>
      </c>
    </row>
    <row r="50" spans="1:37" x14ac:dyDescent="0.25">
      <c r="A50">
        <v>40</v>
      </c>
      <c r="B50">
        <f t="shared" si="3"/>
        <v>313.14999999999998</v>
      </c>
      <c r="C50" s="25">
        <f t="shared" si="4"/>
        <v>0.719999999000001</v>
      </c>
      <c r="D50" s="25">
        <v>0.27999999999999903</v>
      </c>
      <c r="E50" s="25">
        <f t="shared" si="5"/>
        <v>1.0000000000000001E-9</v>
      </c>
      <c r="F50">
        <f t="shared" si="32"/>
        <v>60.524008348946289</v>
      </c>
      <c r="G50">
        <f t="shared" si="6"/>
        <v>35.44547801994527</v>
      </c>
      <c r="H50">
        <v>0</v>
      </c>
      <c r="I50">
        <f t="shared" si="7"/>
        <v>2.1408249287476755</v>
      </c>
      <c r="J50">
        <f t="shared" si="8"/>
        <v>2.8803595857638009</v>
      </c>
      <c r="K50">
        <f t="shared" si="9"/>
        <v>7.4012616183164619</v>
      </c>
      <c r="L50">
        <f t="shared" si="10"/>
        <v>6.2269325124885295</v>
      </c>
      <c r="M50">
        <f t="shared" si="11"/>
        <v>4.0889114702040397</v>
      </c>
      <c r="N50">
        <f t="shared" si="12"/>
        <v>0.2163217611049556</v>
      </c>
      <c r="O50">
        <f t="shared" si="30"/>
        <v>0.4247179525180087</v>
      </c>
      <c r="P50">
        <f t="shared" si="30"/>
        <v>0.31595867972610914</v>
      </c>
      <c r="Q50">
        <f t="shared" si="30"/>
        <v>5.1792773491932224E-2</v>
      </c>
      <c r="R50">
        <f t="shared" si="30"/>
        <v>8.2845901521334059E-2</v>
      </c>
      <c r="S50">
        <f t="shared" si="30"/>
        <v>0.1948423345794974</v>
      </c>
      <c r="T50">
        <f t="shared" si="30"/>
        <v>0.91710922329838673</v>
      </c>
      <c r="U50">
        <f t="shared" si="15"/>
        <v>0.25482089183509943</v>
      </c>
      <c r="V50">
        <f t="shared" si="16"/>
        <v>2.2632830470736192</v>
      </c>
      <c r="W50">
        <f t="shared" si="17"/>
        <v>0.49907299942226824</v>
      </c>
      <c r="X50">
        <f t="shared" si="18"/>
        <v>0.80846842940615726</v>
      </c>
      <c r="Y50">
        <f t="shared" si="19"/>
        <v>0.58579692630535707</v>
      </c>
      <c r="Z50">
        <f t="shared" si="20"/>
        <v>9.184665154465757E-2</v>
      </c>
      <c r="AA50">
        <f t="shared" si="21"/>
        <v>3.3697783359057693E-3</v>
      </c>
      <c r="AB50">
        <f t="shared" si="22"/>
        <v>0.96640378018180639</v>
      </c>
      <c r="AC50">
        <f t="shared" si="23"/>
        <v>2.4452693477541159</v>
      </c>
      <c r="AD50">
        <f t="shared" si="24"/>
        <v>0.1468457941342983</v>
      </c>
      <c r="AE50">
        <f t="shared" si="24"/>
        <v>9.5913003056713144</v>
      </c>
      <c r="AF50">
        <f t="shared" si="2"/>
        <v>0</v>
      </c>
      <c r="AG50" s="25">
        <f t="shared" si="25"/>
        <v>9.7381460998056131</v>
      </c>
      <c r="AH50">
        <f t="shared" si="28"/>
        <v>1.5079440442696742E-2</v>
      </c>
      <c r="AI50">
        <f t="shared" si="29"/>
        <v>0.98492055955730318</v>
      </c>
      <c r="AJ50">
        <f t="shared" si="26"/>
        <v>0</v>
      </c>
      <c r="AK50">
        <f t="shared" si="31"/>
        <v>0.99999999999999989</v>
      </c>
    </row>
    <row r="51" spans="1:37" x14ac:dyDescent="0.25">
      <c r="A51">
        <v>40</v>
      </c>
      <c r="B51">
        <f t="shared" si="3"/>
        <v>313.14999999999998</v>
      </c>
      <c r="C51" s="25">
        <f t="shared" si="4"/>
        <v>0.73999999900000102</v>
      </c>
      <c r="D51" s="25">
        <v>0.25999999999999901</v>
      </c>
      <c r="E51" s="25">
        <f t="shared" si="5"/>
        <v>1.0000000000000001E-9</v>
      </c>
      <c r="F51">
        <f t="shared" si="32"/>
        <v>60.524008348946289</v>
      </c>
      <c r="G51">
        <f t="shared" si="6"/>
        <v>35.44547801994527</v>
      </c>
      <c r="H51">
        <v>0</v>
      </c>
      <c r="I51">
        <f t="shared" si="7"/>
        <v>2.1408249287476755</v>
      </c>
      <c r="J51">
        <f t="shared" si="8"/>
        <v>2.8803595857638009</v>
      </c>
      <c r="K51">
        <f t="shared" si="9"/>
        <v>7.4012616183164619</v>
      </c>
      <c r="L51">
        <f t="shared" si="10"/>
        <v>6.2269325124885295</v>
      </c>
      <c r="M51">
        <f t="shared" si="11"/>
        <v>4.0889114702040397</v>
      </c>
      <c r="N51">
        <f t="shared" si="12"/>
        <v>0.2163217611049556</v>
      </c>
      <c r="O51">
        <f t="shared" si="30"/>
        <v>0.4247179525180087</v>
      </c>
      <c r="P51">
        <f t="shared" si="30"/>
        <v>0.31595867972610914</v>
      </c>
      <c r="Q51">
        <f t="shared" si="30"/>
        <v>5.1792773491932224E-2</v>
      </c>
      <c r="R51">
        <f t="shared" si="30"/>
        <v>8.2845901521334059E-2</v>
      </c>
      <c r="S51">
        <f t="shared" si="30"/>
        <v>0.1948423345794974</v>
      </c>
      <c r="T51">
        <f t="shared" si="30"/>
        <v>0.91710922329838673</v>
      </c>
      <c r="U51">
        <f t="shared" si="15"/>
        <v>0.23661939959801195</v>
      </c>
      <c r="V51">
        <f t="shared" si="16"/>
        <v>2.3261520206852491</v>
      </c>
      <c r="W51">
        <f t="shared" si="17"/>
        <v>0.49080577561843941</v>
      </c>
      <c r="X51">
        <f t="shared" si="18"/>
        <v>0.822149255811635</v>
      </c>
      <c r="Y51">
        <f t="shared" si="19"/>
        <v>0.57429128535571716</v>
      </c>
      <c r="Z51">
        <f t="shared" si="20"/>
        <v>8.8985660322906251E-2</v>
      </c>
      <c r="AA51">
        <f t="shared" si="21"/>
        <v>6.7430557283823631E-4</v>
      </c>
      <c r="AB51">
        <f t="shared" si="22"/>
        <v>0.69221531329007668</v>
      </c>
      <c r="AC51">
        <f t="shared" si="23"/>
        <v>2.4382640455377018</v>
      </c>
      <c r="AD51">
        <f t="shared" si="24"/>
        <v>3.0200640288138157E-2</v>
      </c>
      <c r="AE51">
        <f t="shared" si="24"/>
        <v>6.3793346947961407</v>
      </c>
      <c r="AF51">
        <f t="shared" si="2"/>
        <v>0</v>
      </c>
      <c r="AG51" s="25">
        <f t="shared" si="25"/>
        <v>6.4095353350842785</v>
      </c>
      <c r="AH51">
        <f t="shared" si="28"/>
        <v>4.7118299079852172E-3</v>
      </c>
      <c r="AI51">
        <f t="shared" si="29"/>
        <v>0.99528817009201487</v>
      </c>
      <c r="AJ51">
        <f t="shared" si="26"/>
        <v>0</v>
      </c>
      <c r="AK51">
        <f t="shared" si="31"/>
        <v>1</v>
      </c>
    </row>
    <row r="52" spans="1:37" x14ac:dyDescent="0.25">
      <c r="A52">
        <v>40</v>
      </c>
      <c r="B52">
        <f t="shared" si="3"/>
        <v>313.14999999999998</v>
      </c>
      <c r="C52" s="25">
        <f t="shared" si="4"/>
        <v>0.75999999900000104</v>
      </c>
      <c r="D52" s="25">
        <v>0.23999999999999899</v>
      </c>
      <c r="E52" s="25">
        <f t="shared" si="5"/>
        <v>1.0000000000000001E-9</v>
      </c>
      <c r="F52">
        <f t="shared" si="32"/>
        <v>60.524008348946289</v>
      </c>
      <c r="G52">
        <f t="shared" si="6"/>
        <v>35.44547801994527</v>
      </c>
      <c r="H52">
        <v>0</v>
      </c>
      <c r="I52">
        <f t="shared" si="7"/>
        <v>2.1408249287476755</v>
      </c>
      <c r="J52">
        <f t="shared" si="8"/>
        <v>2.8803595857638009</v>
      </c>
      <c r="K52">
        <f t="shared" si="9"/>
        <v>7.4012616183164619</v>
      </c>
      <c r="L52">
        <f t="shared" si="10"/>
        <v>6.2269325124885295</v>
      </c>
      <c r="M52">
        <f t="shared" si="11"/>
        <v>4.0889114702040397</v>
      </c>
      <c r="N52">
        <f t="shared" si="12"/>
        <v>0.2163217611049556</v>
      </c>
      <c r="O52">
        <f t="shared" si="30"/>
        <v>0.4247179525180087</v>
      </c>
      <c r="P52">
        <f t="shared" si="30"/>
        <v>0.31595867972610914</v>
      </c>
      <c r="Q52">
        <f t="shared" si="30"/>
        <v>5.1792773491932224E-2</v>
      </c>
      <c r="R52">
        <f t="shared" si="30"/>
        <v>8.2845901521334059E-2</v>
      </c>
      <c r="S52">
        <f t="shared" si="30"/>
        <v>0.1948423345794974</v>
      </c>
      <c r="T52">
        <f t="shared" si="30"/>
        <v>0.91710922329838673</v>
      </c>
      <c r="U52">
        <f t="shared" si="15"/>
        <v>0.21841790736092448</v>
      </c>
      <c r="V52">
        <f t="shared" si="16"/>
        <v>2.389020994296879</v>
      </c>
      <c r="W52">
        <f t="shared" si="17"/>
        <v>0.48253855181461053</v>
      </c>
      <c r="X52">
        <f t="shared" si="18"/>
        <v>0.83583008221711286</v>
      </c>
      <c r="Y52">
        <f t="shared" si="19"/>
        <v>0.56278564440607737</v>
      </c>
      <c r="Z52">
        <f t="shared" si="20"/>
        <v>8.612466910115496E-2</v>
      </c>
      <c r="AA52" s="26">
        <f t="shared" si="21"/>
        <v>8.2115087658036587E-5</v>
      </c>
      <c r="AB52">
        <f t="shared" si="22"/>
        <v>0.43668117909232584</v>
      </c>
      <c r="AC52">
        <f t="shared" si="23"/>
        <v>2.3835846164403174</v>
      </c>
      <c r="AD52">
        <f t="shared" si="24"/>
        <v>3.7771500257820631E-3</v>
      </c>
      <c r="AE52">
        <f t="shared" si="24"/>
        <v>3.7148095524577811</v>
      </c>
      <c r="AF52">
        <f t="shared" si="2"/>
        <v>0</v>
      </c>
      <c r="AG52" s="25">
        <f t="shared" si="25"/>
        <v>3.718586702483563</v>
      </c>
      <c r="AH52">
        <f t="shared" si="28"/>
        <v>1.0157488121117055E-3</v>
      </c>
      <c r="AI52">
        <f t="shared" si="29"/>
        <v>0.99898425118788836</v>
      </c>
      <c r="AJ52">
        <f t="shared" si="26"/>
        <v>0</v>
      </c>
      <c r="AK52">
        <f t="shared" si="31"/>
        <v>1</v>
      </c>
    </row>
    <row r="53" spans="1:37" x14ac:dyDescent="0.25">
      <c r="A53">
        <v>40</v>
      </c>
      <c r="B53">
        <f t="shared" si="3"/>
        <v>313.14999999999998</v>
      </c>
      <c r="C53" s="25">
        <f t="shared" si="4"/>
        <v>0.77999999900000105</v>
      </c>
      <c r="D53" s="25">
        <v>0.219999999999999</v>
      </c>
      <c r="E53" s="25">
        <f t="shared" si="5"/>
        <v>1.0000000000000001E-9</v>
      </c>
      <c r="F53">
        <f t="shared" si="32"/>
        <v>60.524008348946289</v>
      </c>
      <c r="G53">
        <f t="shared" si="6"/>
        <v>35.44547801994527</v>
      </c>
      <c r="H53">
        <v>0</v>
      </c>
      <c r="I53">
        <f t="shared" si="7"/>
        <v>2.1408249287476755</v>
      </c>
      <c r="J53">
        <f t="shared" si="8"/>
        <v>2.8803595857638009</v>
      </c>
      <c r="K53">
        <f t="shared" si="9"/>
        <v>7.4012616183164619</v>
      </c>
      <c r="L53">
        <f t="shared" si="10"/>
        <v>6.2269325124885295</v>
      </c>
      <c r="M53">
        <f t="shared" si="11"/>
        <v>4.0889114702040397</v>
      </c>
      <c r="N53">
        <f t="shared" si="12"/>
        <v>0.2163217611049556</v>
      </c>
      <c r="O53">
        <f t="shared" si="30"/>
        <v>0.4247179525180087</v>
      </c>
      <c r="P53">
        <f t="shared" si="30"/>
        <v>0.31595867972610914</v>
      </c>
      <c r="Q53">
        <f t="shared" si="30"/>
        <v>5.1792773491932224E-2</v>
      </c>
      <c r="R53">
        <f t="shared" si="30"/>
        <v>8.2845901521334059E-2</v>
      </c>
      <c r="S53">
        <f t="shared" si="30"/>
        <v>0.1948423345794974</v>
      </c>
      <c r="T53">
        <f t="shared" si="30"/>
        <v>0.91710922329838673</v>
      </c>
      <c r="U53">
        <f t="shared" si="15"/>
        <v>0.20021641512383703</v>
      </c>
      <c r="V53">
        <f t="shared" si="16"/>
        <v>2.4518899679085084</v>
      </c>
      <c r="W53">
        <f t="shared" si="17"/>
        <v>0.47427132801078165</v>
      </c>
      <c r="X53">
        <f t="shared" si="18"/>
        <v>0.84951090862259071</v>
      </c>
      <c r="Y53">
        <f t="shared" si="19"/>
        <v>0.55128000345643757</v>
      </c>
      <c r="Z53">
        <f t="shared" si="20"/>
        <v>8.3263677879403641E-2</v>
      </c>
      <c r="AA53">
        <f t="shared" si="21"/>
        <v>4.9620486778627687E-6</v>
      </c>
      <c r="AB53">
        <f t="shared" si="22"/>
        <v>0.22933450542928677</v>
      </c>
      <c r="AC53">
        <f t="shared" si="23"/>
        <v>2.2595959606800142</v>
      </c>
      <c r="AD53">
        <f t="shared" si="24"/>
        <v>2.3425199867301561E-4</v>
      </c>
      <c r="AE53">
        <f t="shared" si="24"/>
        <v>1.7883516577099285</v>
      </c>
      <c r="AF53">
        <f t="shared" si="2"/>
        <v>0</v>
      </c>
      <c r="AG53" s="25">
        <f t="shared" si="25"/>
        <v>1.7885859097086017</v>
      </c>
      <c r="AH53">
        <f t="shared" si="28"/>
        <v>1.3097050435289419E-4</v>
      </c>
      <c r="AI53">
        <f t="shared" si="29"/>
        <v>0.99986902949564704</v>
      </c>
      <c r="AJ53">
        <f t="shared" si="26"/>
        <v>0</v>
      </c>
      <c r="AK53">
        <f t="shared" si="31"/>
        <v>0.99999999999999989</v>
      </c>
    </row>
    <row r="54" spans="1:37" x14ac:dyDescent="0.25">
      <c r="A54">
        <v>40</v>
      </c>
      <c r="B54">
        <f t="shared" si="3"/>
        <v>313.14999999999998</v>
      </c>
      <c r="C54" s="25">
        <f t="shared" si="4"/>
        <v>0.79999999900000107</v>
      </c>
      <c r="D54" s="25">
        <v>0.19999999999999901</v>
      </c>
      <c r="E54" s="25">
        <f t="shared" si="5"/>
        <v>1.0000000000000001E-9</v>
      </c>
      <c r="F54">
        <f t="shared" si="32"/>
        <v>60.524008348946289</v>
      </c>
      <c r="G54">
        <f t="shared" si="6"/>
        <v>35.44547801994527</v>
      </c>
      <c r="H54">
        <v>0</v>
      </c>
      <c r="I54">
        <f t="shared" si="7"/>
        <v>2.1408249287476755</v>
      </c>
      <c r="J54">
        <f t="shared" si="8"/>
        <v>2.8803595857638009</v>
      </c>
      <c r="K54">
        <f t="shared" si="9"/>
        <v>7.4012616183164619</v>
      </c>
      <c r="L54">
        <f t="shared" si="10"/>
        <v>6.2269325124885295</v>
      </c>
      <c r="M54">
        <f t="shared" si="11"/>
        <v>4.0889114702040397</v>
      </c>
      <c r="N54">
        <f t="shared" si="12"/>
        <v>0.2163217611049556</v>
      </c>
      <c r="O54">
        <f t="shared" si="30"/>
        <v>0.4247179525180087</v>
      </c>
      <c r="P54">
        <f t="shared" si="30"/>
        <v>0.31595867972610914</v>
      </c>
      <c r="Q54">
        <f t="shared" si="30"/>
        <v>5.1792773491932224E-2</v>
      </c>
      <c r="R54">
        <f t="shared" si="30"/>
        <v>8.2845901521334059E-2</v>
      </c>
      <c r="S54">
        <f t="shared" si="30"/>
        <v>0.1948423345794974</v>
      </c>
      <c r="T54">
        <f t="shared" si="30"/>
        <v>0.91710922329838673</v>
      </c>
      <c r="U54">
        <f t="shared" si="15"/>
        <v>0.18201492288674956</v>
      </c>
      <c r="V54">
        <f t="shared" si="16"/>
        <v>2.5147589415201383</v>
      </c>
      <c r="W54">
        <f t="shared" si="17"/>
        <v>0.46600410420695282</v>
      </c>
      <c r="X54">
        <f t="shared" si="18"/>
        <v>0.86319173502806856</v>
      </c>
      <c r="Y54">
        <f t="shared" si="19"/>
        <v>0.53977436250679778</v>
      </c>
      <c r="Z54">
        <f t="shared" si="20"/>
        <v>8.040268665765235E-2</v>
      </c>
      <c r="AA54">
        <f t="shared" si="21"/>
        <v>1.0848865518240687E-7</v>
      </c>
      <c r="AB54">
        <f t="shared" si="22"/>
        <v>9.1785202258144793E-2</v>
      </c>
      <c r="AC54">
        <f t="shared" si="23"/>
        <v>2.0405316000059552</v>
      </c>
      <c r="AD54">
        <f t="shared" si="24"/>
        <v>5.2529346110545976E-6</v>
      </c>
      <c r="AE54">
        <f t="shared" si="24"/>
        <v>0.65067407383945719</v>
      </c>
      <c r="AF54">
        <f t="shared" si="2"/>
        <v>0</v>
      </c>
      <c r="AG54" s="25">
        <f t="shared" si="25"/>
        <v>0.65067932677406826</v>
      </c>
      <c r="AH54">
        <f t="shared" si="28"/>
        <v>8.0730006239748645E-6</v>
      </c>
      <c r="AI54">
        <f t="shared" si="29"/>
        <v>0.999991926999376</v>
      </c>
      <c r="AJ54">
        <f t="shared" si="26"/>
        <v>0</v>
      </c>
      <c r="AK54">
        <f t="shared" si="31"/>
        <v>1</v>
      </c>
    </row>
    <row r="55" spans="1:37" x14ac:dyDescent="0.25">
      <c r="A55">
        <v>40</v>
      </c>
      <c r="B55">
        <f t="shared" si="3"/>
        <v>313.14999999999998</v>
      </c>
      <c r="C55" s="25">
        <f t="shared" si="4"/>
        <v>0.81999999900000109</v>
      </c>
      <c r="D55" s="25">
        <v>0.17999999999999899</v>
      </c>
      <c r="E55" s="25">
        <f t="shared" si="5"/>
        <v>1.0000000000000001E-9</v>
      </c>
      <c r="F55">
        <f t="shared" si="32"/>
        <v>60.524008348946289</v>
      </c>
      <c r="G55">
        <f t="shared" si="6"/>
        <v>35.44547801994527</v>
      </c>
      <c r="H55">
        <v>0</v>
      </c>
      <c r="I55">
        <f t="shared" si="7"/>
        <v>2.1408249287476755</v>
      </c>
      <c r="J55">
        <f t="shared" si="8"/>
        <v>2.8803595857638009</v>
      </c>
      <c r="K55">
        <f t="shared" si="9"/>
        <v>7.4012616183164619</v>
      </c>
      <c r="L55">
        <f t="shared" si="10"/>
        <v>6.2269325124885295</v>
      </c>
      <c r="M55">
        <f t="shared" si="11"/>
        <v>4.0889114702040397</v>
      </c>
      <c r="N55">
        <f t="shared" si="12"/>
        <v>0.2163217611049556</v>
      </c>
      <c r="O55">
        <f t="shared" si="30"/>
        <v>0.4247179525180087</v>
      </c>
      <c r="P55">
        <f t="shared" si="30"/>
        <v>0.31595867972610914</v>
      </c>
      <c r="Q55">
        <f t="shared" si="30"/>
        <v>5.1792773491932224E-2</v>
      </c>
      <c r="R55">
        <f t="shared" si="30"/>
        <v>8.2845901521334059E-2</v>
      </c>
      <c r="S55">
        <f t="shared" si="30"/>
        <v>0.1948423345794974</v>
      </c>
      <c r="T55">
        <f t="shared" si="30"/>
        <v>0.91710922329838673</v>
      </c>
      <c r="U55">
        <f t="shared" si="15"/>
        <v>0.16381343064966208</v>
      </c>
      <c r="V55">
        <f t="shared" si="16"/>
        <v>2.5776279151317683</v>
      </c>
      <c r="W55">
        <f t="shared" si="17"/>
        <v>0.45773688040312394</v>
      </c>
      <c r="X55">
        <f t="shared" si="18"/>
        <v>0.87687256143354642</v>
      </c>
      <c r="Y55">
        <f t="shared" si="19"/>
        <v>0.52826872155715798</v>
      </c>
      <c r="Z55">
        <f t="shared" si="20"/>
        <v>7.7541695435901031E-2</v>
      </c>
      <c r="AA55">
        <f t="shared" si="21"/>
        <v>5.1618277846557019E-10</v>
      </c>
      <c r="AB55">
        <f t="shared" si="22"/>
        <v>2.4236935920634604E-2</v>
      </c>
      <c r="AC55">
        <f t="shared" si="23"/>
        <v>1.7033628330500321</v>
      </c>
      <c r="AD55">
        <f t="shared" si="24"/>
        <v>2.56179896193732E-8</v>
      </c>
      <c r="AE55">
        <f t="shared" si="24"/>
        <v>0.15463616030022079</v>
      </c>
      <c r="AF55">
        <f t="shared" si="2"/>
        <v>0</v>
      </c>
      <c r="AG55" s="25">
        <f t="shared" si="25"/>
        <v>0.15463618591821041</v>
      </c>
      <c r="AH55">
        <f t="shared" si="28"/>
        <v>1.6566620204227601E-7</v>
      </c>
      <c r="AI55">
        <f t="shared" si="29"/>
        <v>0.99999983433379791</v>
      </c>
      <c r="AJ55">
        <f t="shared" si="26"/>
        <v>0</v>
      </c>
      <c r="AK55">
        <f t="shared" si="31"/>
        <v>1</v>
      </c>
    </row>
    <row r="56" spans="1:37" x14ac:dyDescent="0.25">
      <c r="A56">
        <v>40</v>
      </c>
      <c r="B56">
        <f t="shared" si="3"/>
        <v>313.14999999999998</v>
      </c>
      <c r="C56" s="25">
        <f t="shared" si="4"/>
        <v>0.839999999000001</v>
      </c>
      <c r="D56" s="25">
        <v>0.159999999999999</v>
      </c>
      <c r="E56" s="25">
        <f t="shared" si="5"/>
        <v>1.0000000000000001E-9</v>
      </c>
      <c r="F56">
        <f t="shared" si="32"/>
        <v>60.524008348946289</v>
      </c>
      <c r="G56">
        <f t="shared" si="6"/>
        <v>35.44547801994527</v>
      </c>
      <c r="H56">
        <v>0</v>
      </c>
      <c r="I56">
        <f t="shared" si="7"/>
        <v>2.1408249287476755</v>
      </c>
      <c r="J56">
        <f t="shared" si="8"/>
        <v>2.8803595857638009</v>
      </c>
      <c r="K56">
        <f t="shared" si="9"/>
        <v>7.4012616183164619</v>
      </c>
      <c r="L56">
        <f t="shared" si="10"/>
        <v>6.2269325124885295</v>
      </c>
      <c r="M56">
        <f t="shared" si="11"/>
        <v>4.0889114702040397</v>
      </c>
      <c r="N56">
        <f t="shared" si="12"/>
        <v>0.2163217611049556</v>
      </c>
      <c r="O56">
        <f t="shared" si="30"/>
        <v>0.4247179525180087</v>
      </c>
      <c r="P56">
        <f t="shared" si="30"/>
        <v>0.31595867972610914</v>
      </c>
      <c r="Q56">
        <f t="shared" si="30"/>
        <v>5.1792773491932224E-2</v>
      </c>
      <c r="R56">
        <f t="shared" si="30"/>
        <v>8.2845901521334059E-2</v>
      </c>
      <c r="S56">
        <f t="shared" si="30"/>
        <v>0.1948423345794974</v>
      </c>
      <c r="T56">
        <f t="shared" si="30"/>
        <v>0.91710922329838673</v>
      </c>
      <c r="U56">
        <f t="shared" si="15"/>
        <v>0.14561193841257464</v>
      </c>
      <c r="V56">
        <f t="shared" si="16"/>
        <v>2.6404968887433977</v>
      </c>
      <c r="W56">
        <f t="shared" si="17"/>
        <v>0.44946965659929505</v>
      </c>
      <c r="X56">
        <f t="shared" si="18"/>
        <v>0.89055338783902405</v>
      </c>
      <c r="Y56">
        <f t="shared" si="19"/>
        <v>0.51676308060751808</v>
      </c>
      <c r="Z56">
        <f t="shared" si="20"/>
        <v>7.468070421414974E-2</v>
      </c>
      <c r="AA56">
        <f t="shared" si="21"/>
        <v>2.2665182269251278E-13</v>
      </c>
      <c r="AB56">
        <f t="shared" si="22"/>
        <v>3.300758514356154E-3</v>
      </c>
      <c r="AC56">
        <f t="shared" si="23"/>
        <v>1.2465072956496432</v>
      </c>
      <c r="AD56">
        <f t="shared" si="24"/>
        <v>1.1523016505796388E-11</v>
      </c>
      <c r="AE56">
        <f t="shared" si="24"/>
        <v>1.8719514139161206E-2</v>
      </c>
      <c r="AF56">
        <f t="shared" si="2"/>
        <v>0</v>
      </c>
      <c r="AG56" s="25">
        <f t="shared" si="25"/>
        <v>1.8719514150684222E-2</v>
      </c>
      <c r="AH56">
        <f t="shared" si="28"/>
        <v>6.1556172948939531E-10</v>
      </c>
      <c r="AI56">
        <f t="shared" si="29"/>
        <v>0.99999999938443829</v>
      </c>
      <c r="AJ56">
        <f t="shared" si="26"/>
        <v>0</v>
      </c>
      <c r="AK56">
        <f t="shared" si="31"/>
        <v>1</v>
      </c>
    </row>
    <row r="57" spans="1:37" x14ac:dyDescent="0.25">
      <c r="A57">
        <v>40</v>
      </c>
      <c r="B57">
        <f t="shared" si="3"/>
        <v>313.14999999999998</v>
      </c>
      <c r="C57" s="25">
        <f t="shared" si="4"/>
        <v>0.85999999900000101</v>
      </c>
      <c r="D57" s="25">
        <v>0.13999999999999899</v>
      </c>
      <c r="E57" s="25">
        <f t="shared" si="5"/>
        <v>1.0000000000000001E-9</v>
      </c>
      <c r="F57">
        <f t="shared" si="32"/>
        <v>60.524008348946289</v>
      </c>
      <c r="G57">
        <f t="shared" si="6"/>
        <v>35.44547801994527</v>
      </c>
      <c r="H57">
        <v>0</v>
      </c>
      <c r="I57">
        <f t="shared" si="7"/>
        <v>2.1408249287476755</v>
      </c>
      <c r="J57">
        <f t="shared" si="8"/>
        <v>2.8803595857638009</v>
      </c>
      <c r="K57">
        <f t="shared" si="9"/>
        <v>7.4012616183164619</v>
      </c>
      <c r="L57">
        <f t="shared" si="10"/>
        <v>6.2269325124885295</v>
      </c>
      <c r="M57">
        <f t="shared" si="11"/>
        <v>4.0889114702040397</v>
      </c>
      <c r="N57">
        <f t="shared" si="12"/>
        <v>0.2163217611049556</v>
      </c>
      <c r="O57">
        <f t="shared" si="30"/>
        <v>0.4247179525180087</v>
      </c>
      <c r="P57">
        <f t="shared" si="30"/>
        <v>0.31595867972610914</v>
      </c>
      <c r="Q57">
        <f t="shared" si="30"/>
        <v>5.1792773491932224E-2</v>
      </c>
      <c r="R57">
        <f t="shared" si="30"/>
        <v>8.2845901521334059E-2</v>
      </c>
      <c r="S57">
        <f t="shared" si="30"/>
        <v>0.1948423345794974</v>
      </c>
      <c r="T57">
        <f t="shared" si="30"/>
        <v>0.91710922329838673</v>
      </c>
      <c r="U57">
        <f t="shared" si="15"/>
        <v>0.12741044617548716</v>
      </c>
      <c r="V57">
        <f t="shared" si="16"/>
        <v>2.7033658623550276</v>
      </c>
      <c r="W57">
        <f t="shared" si="17"/>
        <v>0.44120243279546612</v>
      </c>
      <c r="X57">
        <f t="shared" si="18"/>
        <v>0.9042342142445019</v>
      </c>
      <c r="Y57">
        <f t="shared" si="19"/>
        <v>0.50525743965787817</v>
      </c>
      <c r="Z57">
        <f t="shared" si="20"/>
        <v>7.1819712992398421E-2</v>
      </c>
      <c r="AA57">
        <f t="shared" si="21"/>
        <v>1.9794084894751215E-18</v>
      </c>
      <c r="AB57">
        <f t="shared" si="22"/>
        <v>1.4841158211827162E-4</v>
      </c>
      <c r="AC57">
        <f t="shared" si="23"/>
        <v>0.72443045305685749</v>
      </c>
      <c r="AD57">
        <f t="shared" si="24"/>
        <v>1.0302949279115037E-16</v>
      </c>
      <c r="AE57">
        <f t="shared" si="24"/>
        <v>7.3647272606298453E-4</v>
      </c>
      <c r="AF57">
        <f t="shared" si="2"/>
        <v>0</v>
      </c>
      <c r="AG57" s="25">
        <f t="shared" si="25"/>
        <v>7.3647272606308753E-4</v>
      </c>
      <c r="AH57">
        <f t="shared" si="28"/>
        <v>1.3989587006420206E-13</v>
      </c>
      <c r="AI57">
        <f t="shared" si="29"/>
        <v>0.99999999999986011</v>
      </c>
      <c r="AJ57">
        <f t="shared" si="26"/>
        <v>0</v>
      </c>
      <c r="AK57">
        <f t="shared" si="31"/>
        <v>1</v>
      </c>
    </row>
    <row r="58" spans="1:37" x14ac:dyDescent="0.25">
      <c r="A58">
        <v>40</v>
      </c>
      <c r="B58">
        <f t="shared" si="3"/>
        <v>313.14999999999998</v>
      </c>
      <c r="C58" s="25">
        <f t="shared" si="4"/>
        <v>0.87999999900000103</v>
      </c>
      <c r="D58" s="25">
        <v>0.119999999999999</v>
      </c>
      <c r="E58" s="25">
        <f t="shared" si="5"/>
        <v>1.0000000000000001E-9</v>
      </c>
      <c r="F58">
        <f t="shared" si="32"/>
        <v>60.524008348946289</v>
      </c>
      <c r="G58">
        <f t="shared" si="6"/>
        <v>35.44547801994527</v>
      </c>
      <c r="H58">
        <v>0</v>
      </c>
      <c r="I58">
        <f t="shared" si="7"/>
        <v>2.1408249287476755</v>
      </c>
      <c r="J58">
        <f t="shared" si="8"/>
        <v>2.8803595857638009</v>
      </c>
      <c r="K58">
        <f t="shared" si="9"/>
        <v>7.4012616183164619</v>
      </c>
      <c r="L58">
        <f t="shared" si="10"/>
        <v>6.2269325124885295</v>
      </c>
      <c r="M58">
        <f t="shared" si="11"/>
        <v>4.0889114702040397</v>
      </c>
      <c r="N58">
        <f t="shared" si="12"/>
        <v>0.2163217611049556</v>
      </c>
      <c r="O58">
        <f t="shared" si="30"/>
        <v>0.4247179525180087</v>
      </c>
      <c r="P58">
        <f t="shared" si="30"/>
        <v>0.31595867972610914</v>
      </c>
      <c r="Q58">
        <f t="shared" si="30"/>
        <v>5.1792773491932224E-2</v>
      </c>
      <c r="R58">
        <f t="shared" si="30"/>
        <v>8.2845901521334059E-2</v>
      </c>
      <c r="S58">
        <f t="shared" si="30"/>
        <v>0.1948423345794974</v>
      </c>
      <c r="T58">
        <f t="shared" si="30"/>
        <v>0.91710922329838673</v>
      </c>
      <c r="U58">
        <f t="shared" si="15"/>
        <v>0.1092089539383997</v>
      </c>
      <c r="V58">
        <f t="shared" si="16"/>
        <v>2.7662348359666575</v>
      </c>
      <c r="W58">
        <f t="shared" si="17"/>
        <v>0.43293520899163729</v>
      </c>
      <c r="X58">
        <f t="shared" si="18"/>
        <v>0.91791504064997975</v>
      </c>
      <c r="Y58">
        <f t="shared" si="19"/>
        <v>0.49375179870823838</v>
      </c>
      <c r="Z58">
        <f t="shared" si="20"/>
        <v>6.895872177064713E-2</v>
      </c>
      <c r="AA58">
        <f t="shared" si="21"/>
        <v>1.7868049783502775E-26</v>
      </c>
      <c r="AB58">
        <f t="shared" si="22"/>
        <v>9.2341492854476105E-7</v>
      </c>
      <c r="AC58">
        <f t="shared" si="23"/>
        <v>0.27436242131263305</v>
      </c>
      <c r="AD58">
        <f t="shared" si="24"/>
        <v>9.5167247388153178E-25</v>
      </c>
      <c r="AE58">
        <f t="shared" si="24"/>
        <v>3.9277060263626861E-6</v>
      </c>
      <c r="AF58">
        <f t="shared" si="2"/>
        <v>0</v>
      </c>
      <c r="AG58" s="25">
        <f t="shared" si="25"/>
        <v>3.9277060263626861E-6</v>
      </c>
      <c r="AH58">
        <f t="shared" si="28"/>
        <v>2.4229727670399074E-19</v>
      </c>
      <c r="AI58">
        <f t="shared" si="29"/>
        <v>1</v>
      </c>
      <c r="AJ58">
        <f t="shared" si="26"/>
        <v>0</v>
      </c>
      <c r="AK58">
        <f t="shared" si="31"/>
        <v>1</v>
      </c>
    </row>
    <row r="59" spans="1:37" x14ac:dyDescent="0.25">
      <c r="A59">
        <v>40</v>
      </c>
      <c r="B59">
        <f t="shared" si="3"/>
        <v>313.14999999999998</v>
      </c>
      <c r="C59" s="25">
        <f t="shared" si="4"/>
        <v>0.89999999900000105</v>
      </c>
      <c r="D59" s="25">
        <v>9.9999999999999006E-2</v>
      </c>
      <c r="E59" s="25">
        <f t="shared" si="5"/>
        <v>1.0000000000000001E-9</v>
      </c>
      <c r="F59">
        <f t="shared" si="32"/>
        <v>60.524008348946289</v>
      </c>
      <c r="G59">
        <f t="shared" si="6"/>
        <v>35.44547801994527</v>
      </c>
      <c r="H59">
        <v>0</v>
      </c>
      <c r="I59">
        <f t="shared" si="7"/>
        <v>2.1408249287476755</v>
      </c>
      <c r="J59">
        <f t="shared" si="8"/>
        <v>2.8803595857638009</v>
      </c>
      <c r="K59">
        <f t="shared" si="9"/>
        <v>7.4012616183164619</v>
      </c>
      <c r="L59">
        <f t="shared" si="10"/>
        <v>6.2269325124885295</v>
      </c>
      <c r="M59">
        <f t="shared" si="11"/>
        <v>4.0889114702040397</v>
      </c>
      <c r="N59">
        <f t="shared" si="12"/>
        <v>0.2163217611049556</v>
      </c>
      <c r="O59">
        <f t="shared" si="30"/>
        <v>0.4247179525180087</v>
      </c>
      <c r="P59">
        <f t="shared" si="30"/>
        <v>0.31595867972610914</v>
      </c>
      <c r="Q59">
        <f t="shared" si="30"/>
        <v>5.1792773491932224E-2</v>
      </c>
      <c r="R59">
        <f t="shared" si="30"/>
        <v>8.2845901521334059E-2</v>
      </c>
      <c r="S59">
        <f t="shared" si="30"/>
        <v>0.1948423345794974</v>
      </c>
      <c r="T59">
        <f t="shared" si="30"/>
        <v>0.91710922329838673</v>
      </c>
      <c r="U59">
        <f t="shared" si="15"/>
        <v>9.1007461701312242E-2</v>
      </c>
      <c r="V59">
        <f t="shared" si="16"/>
        <v>2.8291038095782874</v>
      </c>
      <c r="W59">
        <f t="shared" si="17"/>
        <v>0.42466798518780841</v>
      </c>
      <c r="X59">
        <f t="shared" si="18"/>
        <v>0.9315958670554576</v>
      </c>
      <c r="Y59">
        <f t="shared" si="19"/>
        <v>0.48224615775859853</v>
      </c>
      <c r="Z59">
        <f t="shared" si="20"/>
        <v>6.6097730548895825E-2</v>
      </c>
      <c r="AA59">
        <f t="shared" si="21"/>
        <v>3.1201199121956681E-40</v>
      </c>
      <c r="AB59">
        <f t="shared" si="22"/>
        <v>1.2278750577290179E-10</v>
      </c>
      <c r="AC59">
        <f t="shared" si="23"/>
        <v>4.3812349231072578E-2</v>
      </c>
      <c r="AD59">
        <f t="shared" si="24"/>
        <v>1.6995794706505779E-38</v>
      </c>
      <c r="AE59">
        <f t="shared" si="24"/>
        <v>4.3522618369972504E-10</v>
      </c>
      <c r="AF59">
        <f t="shared" si="2"/>
        <v>0</v>
      </c>
      <c r="AG59" s="25">
        <f t="shared" si="25"/>
        <v>4.3522618369972504E-10</v>
      </c>
      <c r="AH59">
        <f t="shared" si="28"/>
        <v>3.9050487638472738E-29</v>
      </c>
      <c r="AI59">
        <f t="shared" si="29"/>
        <v>1</v>
      </c>
      <c r="AJ59">
        <f t="shared" si="26"/>
        <v>0</v>
      </c>
      <c r="AK59">
        <f t="shared" si="31"/>
        <v>1</v>
      </c>
    </row>
    <row r="60" spans="1:37" x14ac:dyDescent="0.25">
      <c r="A60">
        <v>40</v>
      </c>
      <c r="B60">
        <f t="shared" si="3"/>
        <v>313.14999999999998</v>
      </c>
      <c r="C60" s="25">
        <f t="shared" si="4"/>
        <v>0.91999999900000107</v>
      </c>
      <c r="D60" s="25">
        <v>7.9999999999999002E-2</v>
      </c>
      <c r="E60" s="25">
        <f t="shared" si="5"/>
        <v>1.0000000000000001E-9</v>
      </c>
      <c r="F60">
        <f t="shared" si="32"/>
        <v>60.524008348946289</v>
      </c>
      <c r="G60">
        <f t="shared" si="6"/>
        <v>35.44547801994527</v>
      </c>
      <c r="H60">
        <v>0</v>
      </c>
      <c r="I60">
        <f t="shared" si="7"/>
        <v>2.1408249287476755</v>
      </c>
      <c r="J60">
        <f t="shared" si="8"/>
        <v>2.8803595857638009</v>
      </c>
      <c r="K60">
        <f t="shared" si="9"/>
        <v>7.4012616183164619</v>
      </c>
      <c r="L60">
        <f t="shared" si="10"/>
        <v>6.2269325124885295</v>
      </c>
      <c r="M60">
        <f t="shared" si="11"/>
        <v>4.0889114702040397</v>
      </c>
      <c r="N60">
        <f t="shared" si="12"/>
        <v>0.2163217611049556</v>
      </c>
      <c r="O60">
        <f t="shared" si="30"/>
        <v>0.4247179525180087</v>
      </c>
      <c r="P60">
        <f t="shared" si="30"/>
        <v>0.31595867972610914</v>
      </c>
      <c r="Q60">
        <f t="shared" si="30"/>
        <v>5.1792773491932224E-2</v>
      </c>
      <c r="R60">
        <f t="shared" si="30"/>
        <v>8.2845901521334059E-2</v>
      </c>
      <c r="S60">
        <f t="shared" si="30"/>
        <v>0.1948423345794974</v>
      </c>
      <c r="T60">
        <f t="shared" si="30"/>
        <v>0.91710922329838673</v>
      </c>
      <c r="U60">
        <f t="shared" si="15"/>
        <v>7.2805969464224782E-2</v>
      </c>
      <c r="V60">
        <f t="shared" si="16"/>
        <v>2.8919727831899174</v>
      </c>
      <c r="W60">
        <f t="shared" si="17"/>
        <v>0.41640076138397952</v>
      </c>
      <c r="X60">
        <f t="shared" si="18"/>
        <v>0.94527669346093546</v>
      </c>
      <c r="Y60">
        <f t="shared" si="19"/>
        <v>0.47074051680895873</v>
      </c>
      <c r="Z60">
        <f t="shared" si="20"/>
        <v>6.323673932714452E-2</v>
      </c>
      <c r="AA60">
        <f t="shared" si="21"/>
        <v>2.4931554193958415E-66</v>
      </c>
      <c r="AB60">
        <f t="shared" si="22"/>
        <v>3.5516708665677135E-18</v>
      </c>
      <c r="AC60">
        <f t="shared" si="23"/>
        <v>9.878147642337499E-4</v>
      </c>
      <c r="AD60">
        <f t="shared" si="24"/>
        <v>1.3882409851434023E-64</v>
      </c>
      <c r="AE60">
        <f t="shared" si="24"/>
        <v>1.0071253730800343E-17</v>
      </c>
      <c r="AF60">
        <f t="shared" si="2"/>
        <v>0</v>
      </c>
      <c r="AG60" s="25">
        <f t="shared" si="25"/>
        <v>1.0071253730800343E-17</v>
      </c>
      <c r="AH60">
        <f t="shared" si="28"/>
        <v>1.3784192338415859E-47</v>
      </c>
      <c r="AI60">
        <f t="shared" si="29"/>
        <v>1</v>
      </c>
      <c r="AJ60">
        <f t="shared" si="26"/>
        <v>0</v>
      </c>
      <c r="AK60">
        <f t="shared" si="31"/>
        <v>1</v>
      </c>
    </row>
    <row r="61" spans="1:37" x14ac:dyDescent="0.25">
      <c r="A61">
        <v>40</v>
      </c>
      <c r="B61">
        <f t="shared" si="3"/>
        <v>313.14999999999998</v>
      </c>
      <c r="C61" s="25">
        <f t="shared" si="4"/>
        <v>0.93999999900000097</v>
      </c>
      <c r="D61" s="25">
        <v>5.9999999999999103E-2</v>
      </c>
      <c r="E61" s="25">
        <f t="shared" si="5"/>
        <v>1.0000000000000001E-9</v>
      </c>
      <c r="F61">
        <f t="shared" si="32"/>
        <v>60.524008348946289</v>
      </c>
      <c r="G61">
        <f t="shared" si="6"/>
        <v>35.44547801994527</v>
      </c>
      <c r="H61">
        <v>0</v>
      </c>
      <c r="I61">
        <f t="shared" si="7"/>
        <v>2.1408249287476755</v>
      </c>
      <c r="J61">
        <f t="shared" si="8"/>
        <v>2.8803595857638009</v>
      </c>
      <c r="K61">
        <f t="shared" si="9"/>
        <v>7.4012616183164619</v>
      </c>
      <c r="L61">
        <f t="shared" si="10"/>
        <v>6.2269325124885295</v>
      </c>
      <c r="M61">
        <f t="shared" si="11"/>
        <v>4.0889114702040397</v>
      </c>
      <c r="N61">
        <f t="shared" si="12"/>
        <v>0.2163217611049556</v>
      </c>
      <c r="O61">
        <f t="shared" si="30"/>
        <v>0.4247179525180087</v>
      </c>
      <c r="P61">
        <f t="shared" si="30"/>
        <v>0.31595867972610914</v>
      </c>
      <c r="Q61">
        <f t="shared" si="30"/>
        <v>5.1792773491932224E-2</v>
      </c>
      <c r="R61">
        <f t="shared" si="30"/>
        <v>8.2845901521334059E-2</v>
      </c>
      <c r="S61">
        <f t="shared" si="30"/>
        <v>0.1948423345794974</v>
      </c>
      <c r="T61">
        <f t="shared" si="30"/>
        <v>0.91710922329838673</v>
      </c>
      <c r="U61">
        <f t="shared" si="15"/>
        <v>5.4604477227137405E-2</v>
      </c>
      <c r="V61">
        <f t="shared" si="16"/>
        <v>2.9548417568015468</v>
      </c>
      <c r="W61">
        <f t="shared" si="17"/>
        <v>0.4081335375801507</v>
      </c>
      <c r="X61">
        <f t="shared" si="18"/>
        <v>0.9589575198664132</v>
      </c>
      <c r="Y61">
        <f t="shared" si="19"/>
        <v>0.45923487585931899</v>
      </c>
      <c r="Z61">
        <f t="shared" si="20"/>
        <v>6.0375748105393236E-2</v>
      </c>
      <c r="AA61">
        <f t="shared" si="21"/>
        <v>2.1746942585449932E-124</v>
      </c>
      <c r="AB61">
        <f t="shared" si="22"/>
        <v>2.4301059625799996E-35</v>
      </c>
      <c r="AC61">
        <f t="shared" si="23"/>
        <v>1.1069601738016691E-7</v>
      </c>
      <c r="AD61">
        <f t="shared" si="24"/>
        <v>1.2372394052132667E-122</v>
      </c>
      <c r="AE61">
        <f t="shared" si="24"/>
        <v>5.1681760489659625E-35</v>
      </c>
      <c r="AF61">
        <f t="shared" si="2"/>
        <v>0</v>
      </c>
      <c r="AG61" s="25">
        <f t="shared" si="25"/>
        <v>5.1681760489659625E-35</v>
      </c>
      <c r="AH61">
        <f t="shared" si="28"/>
        <v>2.3939575461265699E-88</v>
      </c>
      <c r="AI61">
        <f t="shared" si="29"/>
        <v>1</v>
      </c>
      <c r="AJ61">
        <f t="shared" si="26"/>
        <v>0</v>
      </c>
      <c r="AK61">
        <f t="shared" si="31"/>
        <v>1</v>
      </c>
    </row>
    <row r="62" spans="1:37" x14ac:dyDescent="0.25">
      <c r="A62">
        <v>40</v>
      </c>
      <c r="B62">
        <f t="shared" si="3"/>
        <v>313.14999999999998</v>
      </c>
      <c r="C62" s="25">
        <f t="shared" si="4"/>
        <v>0.95999999900000099</v>
      </c>
      <c r="D62" s="25">
        <v>3.9999999999999002E-2</v>
      </c>
      <c r="E62" s="25">
        <f t="shared" si="5"/>
        <v>1.0000000000000001E-9</v>
      </c>
      <c r="F62">
        <f t="shared" si="32"/>
        <v>60.524008348946289</v>
      </c>
      <c r="G62">
        <f t="shared" si="6"/>
        <v>35.44547801994527</v>
      </c>
      <c r="H62">
        <v>0</v>
      </c>
      <c r="I62">
        <f t="shared" si="7"/>
        <v>2.1408249287476755</v>
      </c>
      <c r="J62">
        <f t="shared" si="8"/>
        <v>2.8803595857638009</v>
      </c>
      <c r="K62">
        <f t="shared" si="9"/>
        <v>7.4012616183164619</v>
      </c>
      <c r="L62">
        <f t="shared" si="10"/>
        <v>6.2269325124885295</v>
      </c>
      <c r="M62">
        <f t="shared" si="11"/>
        <v>4.0889114702040397</v>
      </c>
      <c r="N62">
        <f t="shared" si="12"/>
        <v>0.2163217611049556</v>
      </c>
      <c r="O62">
        <f t="shared" si="30"/>
        <v>0.4247179525180087</v>
      </c>
      <c r="P62">
        <f t="shared" si="30"/>
        <v>0.31595867972610914</v>
      </c>
      <c r="Q62">
        <f t="shared" si="30"/>
        <v>5.1792773491932224E-2</v>
      </c>
      <c r="R62">
        <f t="shared" si="30"/>
        <v>8.2845901521334059E-2</v>
      </c>
      <c r="S62">
        <f t="shared" si="30"/>
        <v>0.1948423345794974</v>
      </c>
      <c r="T62">
        <f t="shared" si="30"/>
        <v>0.91710922329838673</v>
      </c>
      <c r="U62">
        <f t="shared" si="15"/>
        <v>3.6402984990049854E-2</v>
      </c>
      <c r="V62">
        <f t="shared" si="16"/>
        <v>3.0177107304131767</v>
      </c>
      <c r="W62">
        <f t="shared" si="17"/>
        <v>0.39986631377632176</v>
      </c>
      <c r="X62">
        <f t="shared" si="18"/>
        <v>0.97263834627189094</v>
      </c>
      <c r="Y62">
        <f t="shared" si="19"/>
        <v>0.44772923490967903</v>
      </c>
      <c r="Z62">
        <f t="shared" si="20"/>
        <v>5.7514756883641917E-2</v>
      </c>
      <c r="AA62">
        <f t="shared" si="21"/>
        <v>3.9858343368852758E-295</v>
      </c>
      <c r="AB62">
        <f t="shared" si="22"/>
        <v>6.3201815160448052E-87</v>
      </c>
      <c r="AC62">
        <f t="shared" si="23"/>
        <v>4.165085375955722E-20</v>
      </c>
      <c r="AD62">
        <f t="shared" si="24"/>
        <v>2.3158912361459635E-293</v>
      </c>
      <c r="AE62">
        <f t="shared" si="24"/>
        <v>8.9608742003609976E-87</v>
      </c>
      <c r="AF62">
        <f t="shared" si="2"/>
        <v>0</v>
      </c>
      <c r="AG62" s="25">
        <f t="shared" si="25"/>
        <v>8.9608742003609976E-87</v>
      </c>
      <c r="AH62">
        <f t="shared" si="28"/>
        <v>2.584447883503002E-207</v>
      </c>
      <c r="AI62">
        <f t="shared" si="29"/>
        <v>1</v>
      </c>
      <c r="AJ62">
        <f t="shared" si="26"/>
        <v>0</v>
      </c>
      <c r="AK62">
        <f t="shared" si="31"/>
        <v>1</v>
      </c>
    </row>
    <row r="63" spans="1:37" x14ac:dyDescent="0.25">
      <c r="A63">
        <v>40</v>
      </c>
      <c r="B63">
        <f t="shared" si="3"/>
        <v>313.14999999999998</v>
      </c>
      <c r="C63" s="25">
        <f t="shared" si="4"/>
        <v>0.97999999900000101</v>
      </c>
      <c r="D63" s="25">
        <v>1.9999999999999001E-2</v>
      </c>
      <c r="E63" s="25">
        <f t="shared" si="5"/>
        <v>1.0000000000000001E-9</v>
      </c>
      <c r="F63">
        <f t="shared" si="32"/>
        <v>60.524008348946289</v>
      </c>
      <c r="G63">
        <f t="shared" si="6"/>
        <v>35.44547801994527</v>
      </c>
      <c r="H63">
        <v>0</v>
      </c>
      <c r="I63">
        <f t="shared" si="7"/>
        <v>2.1408249287476755</v>
      </c>
      <c r="J63">
        <f t="shared" si="8"/>
        <v>2.8803595857638009</v>
      </c>
      <c r="K63">
        <f t="shared" si="9"/>
        <v>7.4012616183164619</v>
      </c>
      <c r="L63">
        <f t="shared" si="10"/>
        <v>6.2269325124885295</v>
      </c>
      <c r="M63">
        <f t="shared" si="11"/>
        <v>4.0889114702040397</v>
      </c>
      <c r="N63">
        <f t="shared" si="12"/>
        <v>0.2163217611049556</v>
      </c>
      <c r="O63">
        <f t="shared" si="30"/>
        <v>0.4247179525180087</v>
      </c>
      <c r="P63">
        <f t="shared" si="30"/>
        <v>0.31595867972610914</v>
      </c>
      <c r="Q63">
        <f t="shared" si="30"/>
        <v>5.1792773491932224E-2</v>
      </c>
      <c r="R63">
        <f t="shared" si="30"/>
        <v>8.2845901521334059E-2</v>
      </c>
      <c r="S63">
        <f t="shared" si="30"/>
        <v>0.1948423345794974</v>
      </c>
      <c r="T63">
        <f t="shared" si="30"/>
        <v>0.91710922329838673</v>
      </c>
      <c r="U63">
        <f t="shared" si="15"/>
        <v>1.8201492752962393E-2</v>
      </c>
      <c r="V63">
        <f t="shared" si="16"/>
        <v>3.0805797040248066</v>
      </c>
      <c r="W63">
        <f t="shared" si="17"/>
        <v>0.39159908997249288</v>
      </c>
      <c r="X63">
        <f t="shared" si="18"/>
        <v>0.98631917267736879</v>
      </c>
      <c r="Y63">
        <f t="shared" si="19"/>
        <v>0.43622359396003924</v>
      </c>
      <c r="Z63">
        <f t="shared" si="20"/>
        <v>5.4653765661890612E-2</v>
      </c>
      <c r="AA63">
        <f t="shared" si="21"/>
        <v>0</v>
      </c>
      <c r="AB63">
        <f t="shared" si="22"/>
        <v>0</v>
      </c>
      <c r="AC63">
        <f t="shared" si="23"/>
        <v>1.4088393887655399E-93</v>
      </c>
      <c r="AD63">
        <f t="shared" si="24"/>
        <v>0</v>
      </c>
      <c r="AE63">
        <f t="shared" si="24"/>
        <v>0</v>
      </c>
      <c r="AF63">
        <f t="shared" si="2"/>
        <v>0</v>
      </c>
      <c r="AG63" s="25"/>
    </row>
    <row r="64" spans="1:37" x14ac:dyDescent="0.25">
      <c r="A64">
        <v>40</v>
      </c>
      <c r="B64">
        <f t="shared" si="3"/>
        <v>313.14999999999998</v>
      </c>
      <c r="C64" s="25">
        <f t="shared" si="4"/>
        <v>0.99999999900000003</v>
      </c>
      <c r="D64" s="25">
        <v>0</v>
      </c>
      <c r="E64" s="25">
        <f t="shared" si="5"/>
        <v>1.0000000000000001E-9</v>
      </c>
      <c r="F64">
        <f t="shared" si="32"/>
        <v>60.524008348946289</v>
      </c>
      <c r="G64">
        <f t="shared" si="6"/>
        <v>35.44547801994527</v>
      </c>
      <c r="H64">
        <v>0</v>
      </c>
      <c r="I64">
        <f t="shared" si="7"/>
        <v>2.1408249287476755</v>
      </c>
      <c r="J64">
        <f t="shared" si="8"/>
        <v>2.8803595857638009</v>
      </c>
      <c r="K64">
        <f t="shared" si="9"/>
        <v>7.4012616183164619</v>
      </c>
      <c r="L64">
        <f t="shared" si="10"/>
        <v>6.2269325124885295</v>
      </c>
      <c r="M64">
        <f t="shared" si="11"/>
        <v>4.0889114702040397</v>
      </c>
      <c r="N64">
        <f t="shared" si="12"/>
        <v>0.2163217611049556</v>
      </c>
      <c r="O64">
        <f t="shared" si="30"/>
        <v>0.4247179525180087</v>
      </c>
      <c r="P64">
        <f t="shared" si="30"/>
        <v>0.31595867972610914</v>
      </c>
      <c r="Q64">
        <f t="shared" si="30"/>
        <v>5.1792773491932224E-2</v>
      </c>
      <c r="R64">
        <f t="shared" si="30"/>
        <v>8.2845901521334059E-2</v>
      </c>
      <c r="S64">
        <f t="shared" si="30"/>
        <v>0.1948423345794974</v>
      </c>
      <c r="T64">
        <f t="shared" si="30"/>
        <v>0.91710922329838673</v>
      </c>
      <c r="U64">
        <f t="shared" si="15"/>
        <v>5.1587583770961801E-10</v>
      </c>
      <c r="V64">
        <f t="shared" si="16"/>
        <v>3.143448677636433</v>
      </c>
      <c r="W64">
        <f t="shared" si="17"/>
        <v>0.38333186616866438</v>
      </c>
      <c r="X64">
        <f t="shared" si="18"/>
        <v>0.99999999908284598</v>
      </c>
      <c r="Y64">
        <f t="shared" si="19"/>
        <v>0.4247179530104</v>
      </c>
      <c r="Z64">
        <f t="shared" si="20"/>
        <v>5.1792774440139452E-2</v>
      </c>
      <c r="AA64">
        <f t="shared" si="21"/>
        <v>0</v>
      </c>
      <c r="AB64">
        <f t="shared" si="22"/>
        <v>0</v>
      </c>
      <c r="AC64">
        <f t="shared" si="23"/>
        <v>0</v>
      </c>
      <c r="AD64">
        <f t="shared" si="24"/>
        <v>0</v>
      </c>
      <c r="AE64">
        <f t="shared" si="24"/>
        <v>0</v>
      </c>
      <c r="AF64">
        <f t="shared" si="2"/>
        <v>0</v>
      </c>
      <c r="AG64" s="25"/>
    </row>
  </sheetData>
  <mergeCells count="6">
    <mergeCell ref="J3:N3"/>
    <mergeCell ref="C1:E1"/>
    <mergeCell ref="J1:J2"/>
    <mergeCell ref="M1:M2"/>
    <mergeCell ref="N1:N2"/>
    <mergeCell ref="K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MTBE-Metanol</vt:lpstr>
      <vt:lpstr>trojzlozkova zmes</vt:lpstr>
      <vt:lpstr>EXP.udaje</vt:lpstr>
      <vt:lpstr>tlaky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2025-03-03T08:36:29Z</dcterms:modified>
</cp:coreProperties>
</file>