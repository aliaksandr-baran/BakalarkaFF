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Workbook________" defaultThemeVersion="124226"/>
  <bookViews>
    <workbookView xWindow="240" yWindow="105" windowWidth="14805" windowHeight="8010" activeTab="2"/>
  </bookViews>
  <sheets>
    <sheet name="Лист1" sheetId="1" r:id="rId1"/>
    <sheet name="EB" sheetId="2" r:id="rId2"/>
    <sheet name="Money" sheetId="3" r:id="rId3"/>
  </sheets>
  <definedNames>
    <definedName name="solver_adj" localSheetId="0" hidden="1">Лист1!$O$18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Лист1!$Q$21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0.98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A7" i="3" l="1"/>
  <c r="A3" i="3"/>
  <c r="F37" i="2" l="1"/>
  <c r="E33" i="2"/>
  <c r="F30" i="2" s="1"/>
  <c r="G30" i="2" s="1"/>
  <c r="D33" i="2"/>
  <c r="E36" i="2" s="1"/>
  <c r="Q9" i="2"/>
  <c r="P9" i="2"/>
  <c r="D36" i="2"/>
  <c r="D37" i="2"/>
  <c r="O9" i="2"/>
  <c r="C37" i="2"/>
  <c r="C36" i="2"/>
  <c r="N9" i="2"/>
  <c r="M9" i="2"/>
  <c r="V1" i="2"/>
  <c r="B33" i="2"/>
  <c r="A33" i="2"/>
  <c r="E30" i="2"/>
  <c r="E29" i="2"/>
  <c r="E28" i="2"/>
  <c r="E27" i="2"/>
  <c r="D30" i="2"/>
  <c r="D29" i="2"/>
  <c r="D28" i="2"/>
  <c r="D27" i="2"/>
  <c r="C30" i="2"/>
  <c r="C29" i="2"/>
  <c r="C28" i="2"/>
  <c r="C27" i="2"/>
  <c r="F27" i="2" s="1"/>
  <c r="G27" i="2" s="1"/>
  <c r="B30" i="2"/>
  <c r="B29" i="2"/>
  <c r="B28" i="2"/>
  <c r="B27" i="2"/>
  <c r="F36" i="2" l="1"/>
  <c r="F28" i="2" s="1"/>
  <c r="G28" i="2" s="1"/>
  <c r="E37" i="2"/>
  <c r="F29" i="2" s="1"/>
  <c r="G29" i="2" s="1"/>
  <c r="G31" i="2" s="1"/>
  <c r="G32" i="2" s="1"/>
  <c r="S1" i="2"/>
  <c r="S4" i="1" l="1"/>
  <c r="S3" i="1"/>
  <c r="R3" i="2" l="1"/>
  <c r="S3" i="2" s="1"/>
  <c r="R4" i="2"/>
  <c r="S4" i="2" s="1"/>
  <c r="R5" i="2"/>
  <c r="S5" i="2" s="1"/>
  <c r="Q18" i="1"/>
  <c r="Q21" i="1" s="1"/>
  <c r="S6" i="2" l="1"/>
  <c r="S7" i="2" s="1"/>
  <c r="Q20" i="1"/>
  <c r="Q19" i="1"/>
  <c r="E15" i="1" l="1"/>
  <c r="G15" i="1" s="1"/>
  <c r="E19" i="1" s="1"/>
  <c r="E16" i="1"/>
  <c r="B17" i="1"/>
  <c r="B16" i="1"/>
  <c r="H10" i="1" l="1"/>
  <c r="H9" i="1"/>
  <c r="D9" i="1"/>
  <c r="H6" i="1"/>
  <c r="H5" i="1"/>
  <c r="F5" i="1"/>
  <c r="D6" i="1"/>
  <c r="D5" i="1"/>
</calcChain>
</file>

<file path=xl/sharedStrings.xml><?xml version="1.0" encoding="utf-8"?>
<sst xmlns="http://schemas.openxmlformats.org/spreadsheetml/2006/main" count="183" uniqueCount="102">
  <si>
    <t>NF</t>
  </si>
  <si>
    <t>kmol</t>
  </si>
  <si>
    <t>xMeOH</t>
  </si>
  <si>
    <t>xMTBE</t>
  </si>
  <si>
    <t>or</t>
  </si>
  <si>
    <t>nMeOH</t>
  </si>
  <si>
    <t>nMTBE</t>
  </si>
  <si>
    <t>https://www.sciencedirect.com/science/article/pii/0926860X9385053R</t>
  </si>
  <si>
    <t>https://www.slideshare.net/slideshow/production-of-methyl-tertiary-butyl-ether-mtbe/70278345#15</t>
  </si>
  <si>
    <t>nf</t>
  </si>
  <si>
    <t>nd</t>
  </si>
  <si>
    <t>nw</t>
  </si>
  <si>
    <t>Pred vypocet RK</t>
  </si>
  <si>
    <t>n[kmol/h]</t>
  </si>
  <si>
    <t>xA</t>
  </si>
  <si>
    <t>xB</t>
  </si>
  <si>
    <t>xC</t>
  </si>
  <si>
    <t>F</t>
  </si>
  <si>
    <t>D</t>
  </si>
  <si>
    <t>W</t>
  </si>
  <si>
    <t>extrakt</t>
  </si>
  <si>
    <t>p=2.6kPa</t>
  </si>
  <si>
    <t>n</t>
  </si>
  <si>
    <t>rafinat</t>
  </si>
  <si>
    <t>p=73kPa</t>
  </si>
  <si>
    <t>Odparky</t>
  </si>
  <si>
    <t>Regenovana IL</t>
  </si>
  <si>
    <t>od1</t>
  </si>
  <si>
    <t>od2</t>
  </si>
  <si>
    <t>cista</t>
  </si>
  <si>
    <t>xa</t>
  </si>
  <si>
    <t>xb</t>
  </si>
  <si>
    <t>xc</t>
  </si>
  <si>
    <t>vysledok</t>
  </si>
  <si>
    <t>Antoine equation parameters (P = Pa)</t>
  </si>
  <si>
    <t>Odparka 1 ( extrakt)</t>
  </si>
  <si>
    <t>P[kPa]</t>
  </si>
  <si>
    <t>t</t>
  </si>
  <si>
    <t>A</t>
  </si>
  <si>
    <t>B</t>
  </si>
  <si>
    <t>C</t>
  </si>
  <si>
    <t>MTBE</t>
  </si>
  <si>
    <t>Metanol</t>
  </si>
  <si>
    <t>[BMIM][HSO4]</t>
  </si>
  <si>
    <t>-</t>
  </si>
  <si>
    <t>Referencny stav</t>
  </si>
  <si>
    <t>L</t>
  </si>
  <si>
    <t>0C</t>
  </si>
  <si>
    <t>Odparka 2 ( Raffinat)</t>
  </si>
  <si>
    <t>Kondenzator ( MeOH)</t>
  </si>
  <si>
    <t>M</t>
  </si>
  <si>
    <t>kg/kmol</t>
  </si>
  <si>
    <t>VSTUP</t>
  </si>
  <si>
    <t>G</t>
  </si>
  <si>
    <t>cp</t>
  </si>
  <si>
    <t>kcal/kg/K</t>
  </si>
  <si>
    <t>1kcal</t>
  </si>
  <si>
    <t>=</t>
  </si>
  <si>
    <t>4,1868kJ</t>
  </si>
  <si>
    <t>a</t>
  </si>
  <si>
    <t>b</t>
  </si>
  <si>
    <t>c</t>
  </si>
  <si>
    <t>d</t>
  </si>
  <si>
    <t>T</t>
  </si>
  <si>
    <t>n[kmol]</t>
  </si>
  <si>
    <t>kJ/kg/K</t>
  </si>
  <si>
    <t>kJ/kmol/K</t>
  </si>
  <si>
    <t>Kondenzator (MTBE)</t>
  </si>
  <si>
    <t>A [kJ/mol]</t>
  </si>
  <si>
    <t>alpha</t>
  </si>
  <si>
    <t>beta</t>
  </si>
  <si>
    <t>Tc [K]</t>
  </si>
  <si>
    <t>NIST</t>
  </si>
  <si>
    <t>Majer, V.; Svoboda, V., Enthalpies of Vaporization of Organic Compounds: A Critical Review and Data Compilation, Blackwell Scientific Publications, Oxford, 1985, 300. </t>
  </si>
  <si>
    <t>Andon, R.J.L.; Martin, J.F., Thermodynamic properties of organic oxygen compounds. 40. Heat capacity and entropy of six ethers, J. Chem. Thermodynam., 1975, 7, 593-606.</t>
  </si>
  <si>
    <t>cpB</t>
  </si>
  <si>
    <t>cpC</t>
  </si>
  <si>
    <t>vypHB</t>
  </si>
  <si>
    <t>=a+b*T+c*T^2+d*T^3</t>
  </si>
  <si>
    <t>cpA [kJ/kmol/K]</t>
  </si>
  <si>
    <t>Tstr[K]</t>
  </si>
  <si>
    <t>vypHA [kJ/kmol]</t>
  </si>
  <si>
    <t>h [kJ/kmol]</t>
  </si>
  <si>
    <t>H [kJ/h]</t>
  </si>
  <si>
    <t>Ohrev</t>
  </si>
  <si>
    <t>F-L</t>
  </si>
  <si>
    <t>F-G</t>
  </si>
  <si>
    <t>Tsred(F)</t>
  </si>
  <si>
    <t>Tstred(D-L)</t>
  </si>
  <si>
    <t>D-L</t>
  </si>
  <si>
    <t>TF</t>
  </si>
  <si>
    <t>TD-L</t>
  </si>
  <si>
    <t>Q ohrev</t>
  </si>
  <si>
    <t>MJ/h</t>
  </si>
  <si>
    <t>Qohrev V1 [MJ/h]</t>
  </si>
  <si>
    <t>Qohrev V2 [MJ/h]</t>
  </si>
  <si>
    <t>Qchlad K1 [MJ/h]</t>
  </si>
  <si>
    <t>Qchlad K2 [MJ/h]</t>
  </si>
  <si>
    <t>tH1</t>
  </si>
  <si>
    <t>tH2</t>
  </si>
  <si>
    <t>tS1</t>
  </si>
  <si>
    <t>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</si>
</sst>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"/>
    <numFmt numFmtId="165" formatCode="0.000"/>
    <numFmt numFmtId="166" formatCode="_(* #,##0.0000_);_(* \(#,##0.0000\);_(* &quot;-&quot;??_);_(@_)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2" fontId="0" fillId="0" borderId="5" xfId="0" applyNumberFormat="1" applyFont="1" applyBorder="1"/>
    <xf numFmtId="166" fontId="0" fillId="0" borderId="0" xfId="0" applyNumberFormat="1"/>
    <xf numFmtId="0" fontId="2" fillId="0" borderId="6" xfId="0" applyFont="1" applyBorder="1"/>
    <xf numFmtId="0" fontId="0" fillId="0" borderId="5" xfId="0" applyFont="1" applyBorder="1"/>
    <xf numFmtId="0" fontId="2" fillId="0" borderId="7" xfId="0" applyFont="1" applyBorder="1"/>
    <xf numFmtId="0" fontId="0" fillId="0" borderId="8" xfId="0" applyFont="1" applyBorder="1"/>
    <xf numFmtId="43" fontId="0" fillId="0" borderId="0" xfId="0" applyNumberFormat="1"/>
    <xf numFmtId="0" fontId="2" fillId="0" borderId="9" xfId="0" applyFont="1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0" xfId="0" applyFont="1" applyBorder="1"/>
    <xf numFmtId="0" fontId="0" fillId="0" borderId="0" xfId="0" applyNumberFormat="1"/>
    <xf numFmtId="11" fontId="0" fillId="0" borderId="0" xfId="0" applyNumberFormat="1"/>
    <xf numFmtId="0" fontId="0" fillId="0" borderId="0" xfId="0" quotePrefix="1"/>
    <xf numFmtId="0" fontId="4" fillId="0" borderId="0" xfId="0" applyFont="1"/>
    <xf numFmtId="11" fontId="0" fillId="0" borderId="0" xfId="2" applyNumberFormat="1" applyFont="1"/>
    <xf numFmtId="0" fontId="0" fillId="0" borderId="0" xfId="0" applyAlignment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85725</xdr:colOff>
      <xdr:row>36</xdr:row>
      <xdr:rowOff>19050</xdr:rowOff>
    </xdr:from>
    <xdr:to>
      <xdr:col>21</xdr:col>
      <xdr:colOff>202042</xdr:colOff>
      <xdr:row>39</xdr:row>
      <xdr:rowOff>27143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877050"/>
          <a:ext cx="5602717" cy="579593"/>
        </a:xfrm>
        <a:prstGeom prst="rect">
          <a:avLst/>
        </a:prstGeom>
      </xdr:spPr>
    </xdr:pic>
    <xdr:clientData/>
  </xdr:twoCellAnchor>
  <xdr:twoCellAnchor editAs="oneCell">
    <xdr:from>
      <xdr:col>13</xdr:col>
      <xdr:colOff>295275</xdr:colOff>
      <xdr:row>25</xdr:row>
      <xdr:rowOff>0</xdr:rowOff>
    </xdr:from>
    <xdr:to>
      <xdr:col>18</xdr:col>
      <xdr:colOff>436202</xdr:colOff>
      <xdr:row>29</xdr:row>
      <xdr:rowOff>164382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0075" y="4762500"/>
          <a:ext cx="3188927" cy="926382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30</xdr:row>
      <xdr:rowOff>142875</xdr:rowOff>
    </xdr:from>
    <xdr:to>
      <xdr:col>19</xdr:col>
      <xdr:colOff>215808</xdr:colOff>
      <xdr:row>35</xdr:row>
      <xdr:rowOff>16227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0" y="5857875"/>
          <a:ext cx="4330608" cy="82585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14</xdr:col>
      <xdr:colOff>497800</xdr:colOff>
      <xdr:row>25</xdr:row>
      <xdr:rowOff>84328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4572000"/>
          <a:ext cx="1717000" cy="274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lideshare.net/slideshow/production-of-methyl-tertiary-butyl-ether-mtbe/70278345" TargetMode="External"/><Relationship Id="rId1" Type="http://schemas.openxmlformats.org/officeDocument/2006/relationships/hyperlink" Target="https://www.sciencedirect.com/science/article/pii/0926860X9385053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1:S21"/>
  <sheetViews>
    <sheetView workbookViewId="0">
      <selection activeCell="S3" sqref="S3"/>
    </sheetView>
  </sheetViews>
  <sheetFormatPr defaultRowHeight="15" x14ac:dyDescent="0.25"/>
  <cols>
    <col min="5" max="5" width="9.5703125" bestFit="1" customWidth="1"/>
  </cols>
  <sheetData>
    <row r="1" spans="1:19" ht="15.75" thickBot="1" x14ac:dyDescent="0.3">
      <c r="A1">
        <v>1</v>
      </c>
      <c r="M1" s="25" t="s">
        <v>25</v>
      </c>
      <c r="N1" s="25"/>
      <c r="O1" s="25"/>
      <c r="P1" s="25"/>
      <c r="Q1" s="25"/>
    </row>
    <row r="2" spans="1:19" ht="15.75" thickBot="1" x14ac:dyDescent="0.3">
      <c r="M2" s="15" t="s">
        <v>20</v>
      </c>
      <c r="N2" s="6" t="s">
        <v>21</v>
      </c>
    </row>
    <row r="3" spans="1:19" ht="15.75" thickBot="1" x14ac:dyDescent="0.3">
      <c r="A3" t="s">
        <v>0</v>
      </c>
      <c r="B3">
        <v>1000</v>
      </c>
      <c r="C3" t="s">
        <v>1</v>
      </c>
      <c r="N3" s="4" t="s">
        <v>13</v>
      </c>
      <c r="O3" s="5" t="s">
        <v>14</v>
      </c>
      <c r="P3" s="5" t="s">
        <v>15</v>
      </c>
      <c r="Q3" s="6" t="s">
        <v>16</v>
      </c>
      <c r="S3">
        <f>O4/P4</f>
        <v>6.5133000717334591E-2</v>
      </c>
    </row>
    <row r="4" spans="1:19" x14ac:dyDescent="0.25">
      <c r="A4" s="1" t="s">
        <v>7</v>
      </c>
      <c r="M4" s="7" t="s">
        <v>17</v>
      </c>
      <c r="N4" s="16">
        <v>20.690942281580988</v>
      </c>
      <c r="O4">
        <v>3.6193341415735866E-2</v>
      </c>
      <c r="P4">
        <v>0.55568361686280054</v>
      </c>
      <c r="Q4">
        <v>0.40812304172146363</v>
      </c>
      <c r="S4">
        <f>Q19/Q20</f>
        <v>0.10161373049783121</v>
      </c>
    </row>
    <row r="5" spans="1:19" x14ac:dyDescent="0.25">
      <c r="A5" t="s">
        <v>2</v>
      </c>
      <c r="B5">
        <v>0.23400000000000001</v>
      </c>
      <c r="D5">
        <f>B3*B5</f>
        <v>234</v>
      </c>
      <c r="F5">
        <f>D5+D6</f>
        <v>512</v>
      </c>
      <c r="H5">
        <f>$D$5/F5</f>
        <v>0.45703125</v>
      </c>
      <c r="M5" s="10" t="s">
        <v>18</v>
      </c>
      <c r="N5" s="16">
        <v>12.074156261129893</v>
      </c>
      <c r="O5">
        <v>6.2020018095170576E-2</v>
      </c>
      <c r="P5">
        <v>0.93797998190154797</v>
      </c>
      <c r="Q5">
        <v>0</v>
      </c>
    </row>
    <row r="6" spans="1:19" ht="15.75" thickBot="1" x14ac:dyDescent="0.3">
      <c r="A6" t="s">
        <v>3</v>
      </c>
      <c r="B6">
        <v>0.27800000000000002</v>
      </c>
      <c r="D6">
        <f>B3*B6</f>
        <v>278</v>
      </c>
      <c r="H6">
        <f>$D$6/F5</f>
        <v>0.54296875</v>
      </c>
      <c r="M6" s="12" t="s">
        <v>19</v>
      </c>
      <c r="N6" s="17">
        <v>8.6167860204510944</v>
      </c>
      <c r="O6">
        <v>4.0504773851130722E-6</v>
      </c>
      <c r="P6">
        <v>1.9995347460256586E-2</v>
      </c>
      <c r="Q6">
        <v>0.98</v>
      </c>
    </row>
    <row r="7" spans="1:19" x14ac:dyDescent="0.25">
      <c r="A7" s="1" t="s">
        <v>8</v>
      </c>
    </row>
    <row r="8" spans="1:19" ht="15.75" thickBot="1" x14ac:dyDescent="0.3">
      <c r="A8" t="s">
        <v>4</v>
      </c>
    </row>
    <row r="9" spans="1:19" ht="15.75" thickBot="1" x14ac:dyDescent="0.3">
      <c r="A9" t="s">
        <v>5</v>
      </c>
      <c r="B9">
        <v>353.23</v>
      </c>
      <c r="D9">
        <f>B9+B10</f>
        <v>508.82000000000005</v>
      </c>
      <c r="H9">
        <f>B9/$D$9</f>
        <v>0.694214063912582</v>
      </c>
      <c r="M9" s="15" t="s">
        <v>23</v>
      </c>
      <c r="N9" s="6" t="s">
        <v>24</v>
      </c>
    </row>
    <row r="10" spans="1:19" ht="15.75" thickBot="1" x14ac:dyDescent="0.3">
      <c r="A10" t="s">
        <v>6</v>
      </c>
      <c r="B10">
        <v>155.59</v>
      </c>
      <c r="H10">
        <f>B10/$D$9</f>
        <v>0.30578593608741794</v>
      </c>
      <c r="N10" s="12" t="s">
        <v>22</v>
      </c>
      <c r="O10" s="5" t="s">
        <v>14</v>
      </c>
      <c r="P10" s="5" t="s">
        <v>15</v>
      </c>
      <c r="Q10" s="6" t="s">
        <v>16</v>
      </c>
    </row>
    <row r="11" spans="1:19" x14ac:dyDescent="0.25">
      <c r="M11" s="7" t="s">
        <v>17</v>
      </c>
      <c r="N11" s="8">
        <v>12.759332433363076</v>
      </c>
      <c r="O11" s="9">
        <v>0.99935680243331848</v>
      </c>
      <c r="P11" s="9">
        <v>1.8671484542498028E-4</v>
      </c>
      <c r="Q11" s="9">
        <v>4.5648272125653206E-4</v>
      </c>
    </row>
    <row r="12" spans="1:19" x14ac:dyDescent="0.25">
      <c r="M12" s="10" t="s">
        <v>18</v>
      </c>
      <c r="N12" s="11">
        <v>12.736034774200682</v>
      </c>
      <c r="O12">
        <v>0.99981266609430441</v>
      </c>
      <c r="P12">
        <v>1.8701738321347781E-4</v>
      </c>
      <c r="Q12">
        <v>0</v>
      </c>
    </row>
    <row r="13" spans="1:19" ht="15.75" thickBot="1" x14ac:dyDescent="0.3">
      <c r="M13" s="12" t="s">
        <v>19</v>
      </c>
      <c r="N13" s="13">
        <v>2.3297659162393222E-2</v>
      </c>
      <c r="O13" s="14">
        <v>0.74997878352728975</v>
      </c>
      <c r="P13" s="14">
        <v>2.1295458843912493E-5</v>
      </c>
      <c r="Q13">
        <v>0.25</v>
      </c>
    </row>
    <row r="14" spans="1:19" x14ac:dyDescent="0.25">
      <c r="A14" t="s">
        <v>12</v>
      </c>
    </row>
    <row r="15" spans="1:19" x14ac:dyDescent="0.25">
      <c r="A15" t="s">
        <v>9</v>
      </c>
      <c r="B15">
        <v>25</v>
      </c>
      <c r="C15" t="s">
        <v>1</v>
      </c>
      <c r="D15" t="s">
        <v>10</v>
      </c>
      <c r="E15" s="2">
        <f>B15*B17/E17</f>
        <v>21.209716796875</v>
      </c>
      <c r="F15" t="s">
        <v>11</v>
      </c>
      <c r="G15">
        <f>(B15*B16-E15*E16)/G16</f>
        <v>3.790283203125</v>
      </c>
    </row>
    <row r="16" spans="1:19" x14ac:dyDescent="0.25">
      <c r="A16" t="s">
        <v>2</v>
      </c>
      <c r="B16" s="3">
        <f>H5</f>
        <v>0.45703125</v>
      </c>
      <c r="D16" t="s">
        <v>2</v>
      </c>
      <c r="E16">
        <f>1-E17</f>
        <v>0.36</v>
      </c>
      <c r="F16" t="s">
        <v>2</v>
      </c>
      <c r="G16">
        <v>1</v>
      </c>
      <c r="M16" s="25" t="s">
        <v>26</v>
      </c>
      <c r="N16" s="25"/>
      <c r="O16" s="25"/>
      <c r="P16" s="25"/>
      <c r="Q16" s="25"/>
    </row>
    <row r="17" spans="1:17" x14ac:dyDescent="0.25">
      <c r="A17" t="s">
        <v>3</v>
      </c>
      <c r="B17" s="3">
        <f>H6</f>
        <v>0.54296875</v>
      </c>
      <c r="D17" t="s">
        <v>3</v>
      </c>
      <c r="E17">
        <v>0.64</v>
      </c>
      <c r="F17" t="s">
        <v>3</v>
      </c>
      <c r="G17">
        <v>0</v>
      </c>
      <c r="M17" t="s">
        <v>27</v>
      </c>
      <c r="N17" t="s">
        <v>28</v>
      </c>
      <c r="O17" t="s">
        <v>29</v>
      </c>
      <c r="Q17" t="s">
        <v>33</v>
      </c>
    </row>
    <row r="18" spans="1:17" x14ac:dyDescent="0.25">
      <c r="L18" t="s">
        <v>13</v>
      </c>
      <c r="M18" s="18">
        <v>8.6167860204510944</v>
      </c>
      <c r="N18" s="19">
        <v>2.3297659162393222E-2</v>
      </c>
      <c r="O18" s="18">
        <v>0.85055200650072882</v>
      </c>
      <c r="P18" s="18"/>
      <c r="Q18">
        <f>M18+N18+O18</f>
        <v>9.4906356861142172</v>
      </c>
    </row>
    <row r="19" spans="1:17" x14ac:dyDescent="0.25">
      <c r="E19">
        <f>B15-G15-E15</f>
        <v>0</v>
      </c>
      <c r="L19" t="s">
        <v>30</v>
      </c>
      <c r="M19">
        <v>4.0504773851130722E-6</v>
      </c>
      <c r="N19" s="14">
        <v>0.74997878352728975</v>
      </c>
      <c r="O19">
        <v>0</v>
      </c>
      <c r="Q19" s="20">
        <f>(M19*$M$18+N19*$N$18+O19*$O$18)/$Q$18</f>
        <v>1.8447291365497032E-3</v>
      </c>
    </row>
    <row r="20" spans="1:17" x14ac:dyDescent="0.25">
      <c r="L20" t="s">
        <v>31</v>
      </c>
      <c r="M20">
        <v>1.9995347460256586E-2</v>
      </c>
      <c r="N20" s="14">
        <v>2.1295458843912493E-5</v>
      </c>
      <c r="O20">
        <v>0</v>
      </c>
      <c r="Q20" s="20">
        <f t="shared" ref="Q20:Q21" si="0">(M20*$M$18+N20*$N$18+O20*$O$18)/$Q$18</f>
        <v>1.8154329415049634E-2</v>
      </c>
    </row>
    <row r="21" spans="1:17" x14ac:dyDescent="0.25">
      <c r="L21" t="s">
        <v>32</v>
      </c>
      <c r="M21">
        <v>0.98</v>
      </c>
      <c r="N21">
        <v>0.25</v>
      </c>
      <c r="O21">
        <v>1</v>
      </c>
      <c r="Q21" s="20">
        <f t="shared" si="0"/>
        <v>0.98000039501479053</v>
      </c>
    </row>
  </sheetData>
  <mergeCells count="2">
    <mergeCell ref="M1:Q1"/>
    <mergeCell ref="M16:Q16"/>
  </mergeCells>
  <hyperlinks>
    <hyperlink ref="A4" r:id="rId1"/>
    <hyperlink ref="A7" r:id="rId2" location="15" display="https://www.slideshare.net/slideshow/production-of-methyl-tertiary-butyl-ether-mtbe/70278345 - 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:V40"/>
  <sheetViews>
    <sheetView workbookViewId="0">
      <selection activeCell="K23" sqref="K23"/>
    </sheetView>
  </sheetViews>
  <sheetFormatPr defaultRowHeight="15" x14ac:dyDescent="0.25"/>
  <sheetData>
    <row r="1" spans="1:22" x14ac:dyDescent="0.25">
      <c r="C1" t="s">
        <v>34</v>
      </c>
      <c r="M1" t="s">
        <v>35</v>
      </c>
      <c r="O1" t="s">
        <v>36</v>
      </c>
      <c r="P1">
        <v>2.6</v>
      </c>
      <c r="Q1" t="s">
        <v>37</v>
      </c>
      <c r="R1">
        <v>45.112529840000001</v>
      </c>
      <c r="S1">
        <f>R1+273.15</f>
        <v>318.26252983999996</v>
      </c>
      <c r="U1" t="s">
        <v>80</v>
      </c>
      <c r="V1">
        <f>(R1+273.15)/2</f>
        <v>159.13126491999998</v>
      </c>
    </row>
    <row r="2" spans="1:22" x14ac:dyDescent="0.25">
      <c r="C2" t="s">
        <v>38</v>
      </c>
      <c r="D2" t="s">
        <v>39</v>
      </c>
      <c r="E2" t="s">
        <v>40</v>
      </c>
      <c r="N2" t="s">
        <v>13</v>
      </c>
      <c r="O2" t="s">
        <v>14</v>
      </c>
      <c r="P2" t="s">
        <v>15</v>
      </c>
      <c r="Q2" t="s">
        <v>16</v>
      </c>
      <c r="R2" t="s">
        <v>82</v>
      </c>
      <c r="S2" t="s">
        <v>83</v>
      </c>
    </row>
    <row r="3" spans="1:22" x14ac:dyDescent="0.25">
      <c r="A3" t="s">
        <v>38</v>
      </c>
      <c r="B3" t="s">
        <v>41</v>
      </c>
      <c r="C3">
        <v>20.840540000000001</v>
      </c>
      <c r="D3">
        <v>-2624.5250000000001</v>
      </c>
      <c r="E3">
        <v>-46.151710000000001</v>
      </c>
      <c r="M3" t="s">
        <v>17</v>
      </c>
      <c r="N3">
        <v>20.943847441233913</v>
      </c>
      <c r="O3">
        <v>3.6193412121314175E-2</v>
      </c>
      <c r="P3">
        <v>0.55567183667377118</v>
      </c>
      <c r="Q3">
        <v>0.4081347512049146</v>
      </c>
      <c r="R3">
        <f>($M$9*O3+$N$9*P3+$O$9*Q3)*($R$1-0)</f>
        <v>8887.8053453418706</v>
      </c>
      <c r="S3">
        <f>N3*R3</f>
        <v>186144.83924022343</v>
      </c>
    </row>
    <row r="4" spans="1:22" x14ac:dyDescent="0.25">
      <c r="A4" t="s">
        <v>39</v>
      </c>
      <c r="B4" t="s">
        <v>42</v>
      </c>
      <c r="C4">
        <v>23.534700000000001</v>
      </c>
      <c r="D4">
        <v>-3661.4679999999998</v>
      </c>
      <c r="E4">
        <v>-32.770009999999999</v>
      </c>
      <c r="M4" t="s">
        <v>18</v>
      </c>
      <c r="N4">
        <v>12.221488293579128</v>
      </c>
      <c r="O4">
        <v>6.2021417659897896E-2</v>
      </c>
      <c r="P4">
        <v>0.93797868793871964</v>
      </c>
      <c r="Q4">
        <v>0</v>
      </c>
      <c r="R4">
        <f>($M$9*O4+$N$9*P4+$O$9*Q4)*($R$1-0)+(P9*O4+Q9*P4)</f>
        <v>39463.275144386018</v>
      </c>
      <c r="S4">
        <f t="shared" ref="S4:S5" si="0">N4*R4</f>
        <v>482299.95520340587</v>
      </c>
    </row>
    <row r="5" spans="1:22" x14ac:dyDescent="0.25">
      <c r="A5" t="s">
        <v>40</v>
      </c>
      <c r="B5" t="s">
        <v>43</v>
      </c>
      <c r="C5" t="s">
        <v>44</v>
      </c>
      <c r="D5" t="s">
        <v>44</v>
      </c>
      <c r="E5" t="s">
        <v>44</v>
      </c>
      <c r="M5" t="s">
        <v>19</v>
      </c>
      <c r="N5">
        <v>8.7223591476547853</v>
      </c>
      <c r="O5" s="21">
        <v>4.0506397868165211E-6</v>
      </c>
      <c r="P5">
        <v>1.9995887431844498E-2</v>
      </c>
      <c r="Q5">
        <v>0.98</v>
      </c>
      <c r="R5">
        <f t="shared" ref="R5" si="1">($M$9*O5+$N$9*P5+$O$9*Q5)*($R$1-0)</f>
        <v>16363.324490907609</v>
      </c>
      <c r="S5">
        <f t="shared" si="0"/>
        <v>142726.79305931157</v>
      </c>
    </row>
    <row r="6" spans="1:22" x14ac:dyDescent="0.25">
      <c r="S6" s="23">
        <f>S5+S4-S3</f>
        <v>438881.90902249399</v>
      </c>
      <c r="T6" t="s">
        <v>84</v>
      </c>
    </row>
    <row r="7" spans="1:22" x14ac:dyDescent="0.25">
      <c r="M7" t="s">
        <v>45</v>
      </c>
      <c r="N7" t="s">
        <v>46</v>
      </c>
      <c r="O7" t="s">
        <v>47</v>
      </c>
      <c r="S7">
        <f>S6/1000</f>
        <v>438.88190902249397</v>
      </c>
      <c r="T7" t="s">
        <v>93</v>
      </c>
    </row>
    <row r="8" spans="1:22" x14ac:dyDescent="0.25">
      <c r="M8" t="s">
        <v>79</v>
      </c>
      <c r="N8" t="s">
        <v>75</v>
      </c>
      <c r="O8" t="s">
        <v>76</v>
      </c>
      <c r="P8" t="s">
        <v>81</v>
      </c>
      <c r="Q8" t="s">
        <v>77</v>
      </c>
    </row>
    <row r="9" spans="1:22" x14ac:dyDescent="0.25">
      <c r="M9">
        <f>187.5</f>
        <v>187.5</v>
      </c>
      <c r="N9" s="24">
        <f>O23+P23*V1+Q23*V1^2+R23*V1^3</f>
        <v>71.5588811210785</v>
      </c>
      <c r="O9" s="20">
        <f>K19+L19*V1+M19*V1^2</f>
        <v>368.66402429880702</v>
      </c>
      <c r="P9">
        <f>L33*EXP(-L34*S1/L35)*(1-S1/L35)^L34*1000</f>
        <v>28578.439559838127</v>
      </c>
      <c r="Q9">
        <f>L26*EXP(-L27*S1/L29)*(1-S1/L29)^L28*1000</f>
        <v>36395.497145322523</v>
      </c>
    </row>
    <row r="11" spans="1:22" x14ac:dyDescent="0.25">
      <c r="A11" t="s">
        <v>48</v>
      </c>
      <c r="C11" t="s">
        <v>36</v>
      </c>
      <c r="D11">
        <v>73</v>
      </c>
      <c r="E11" t="s">
        <v>37</v>
      </c>
      <c r="F11">
        <v>44.920831829999997</v>
      </c>
    </row>
    <row r="12" spans="1:22" x14ac:dyDescent="0.25">
      <c r="B12" t="s">
        <v>22</v>
      </c>
      <c r="C12" t="s">
        <v>14</v>
      </c>
      <c r="D12" t="s">
        <v>15</v>
      </c>
      <c r="E12" t="s">
        <v>16</v>
      </c>
    </row>
    <row r="13" spans="1:22" x14ac:dyDescent="0.25">
      <c r="A13" t="s">
        <v>17</v>
      </c>
      <c r="B13">
        <v>12.802468396553602</v>
      </c>
      <c r="C13">
        <v>0.99668005240521662</v>
      </c>
      <c r="D13">
        <v>2.8519914189287761E-3</v>
      </c>
      <c r="E13">
        <v>4.679561758545622E-4</v>
      </c>
    </row>
    <row r="14" spans="1:22" x14ac:dyDescent="0.25">
      <c r="A14" t="s">
        <v>18</v>
      </c>
      <c r="B14">
        <v>12.778504419944202</v>
      </c>
      <c r="C14">
        <v>0.9971432767600491</v>
      </c>
      <c r="D14">
        <v>2.8567269513940798E-3</v>
      </c>
      <c r="E14">
        <v>0</v>
      </c>
    </row>
    <row r="15" spans="1:22" x14ac:dyDescent="0.25">
      <c r="A15" t="s">
        <v>19</v>
      </c>
      <c r="B15">
        <v>2.3963976609400448E-2</v>
      </c>
      <c r="C15">
        <v>0.74967316816000285</v>
      </c>
      <c r="D15" s="21">
        <v>3.2683091387313701E-4</v>
      </c>
      <c r="E15">
        <v>0.25</v>
      </c>
    </row>
    <row r="16" spans="1:22" x14ac:dyDescent="0.25">
      <c r="K16" t="s">
        <v>43</v>
      </c>
      <c r="O16" t="s">
        <v>42</v>
      </c>
      <c r="Q16" t="s">
        <v>50</v>
      </c>
      <c r="R16">
        <v>32.04</v>
      </c>
      <c r="S16" t="s">
        <v>51</v>
      </c>
    </row>
    <row r="17" spans="1:21" x14ac:dyDescent="0.25">
      <c r="B17" t="s">
        <v>52</v>
      </c>
      <c r="C17" t="s">
        <v>46</v>
      </c>
      <c r="D17" t="s">
        <v>53</v>
      </c>
      <c r="L17" t="s">
        <v>54</v>
      </c>
      <c r="O17" t="s">
        <v>54</v>
      </c>
      <c r="P17" t="s">
        <v>55</v>
      </c>
      <c r="S17" t="s">
        <v>56</v>
      </c>
      <c r="T17" t="s">
        <v>57</v>
      </c>
      <c r="U17" t="s">
        <v>58</v>
      </c>
    </row>
    <row r="18" spans="1:21" x14ac:dyDescent="0.25">
      <c r="A18" t="s">
        <v>37</v>
      </c>
      <c r="B18">
        <v>45</v>
      </c>
      <c r="C18">
        <v>34.860332460729332</v>
      </c>
      <c r="D18">
        <v>34.860332460729332</v>
      </c>
      <c r="K18" t="s">
        <v>59</v>
      </c>
      <c r="L18" t="s">
        <v>60</v>
      </c>
      <c r="M18" t="s">
        <v>61</v>
      </c>
      <c r="O18" t="s">
        <v>59</v>
      </c>
      <c r="P18" t="s">
        <v>60</v>
      </c>
      <c r="Q18" t="s">
        <v>61</v>
      </c>
      <c r="R18" t="s">
        <v>62</v>
      </c>
    </row>
    <row r="19" spans="1:21" x14ac:dyDescent="0.25">
      <c r="A19" t="s">
        <v>63</v>
      </c>
      <c r="B19">
        <v>318.14999999999998</v>
      </c>
      <c r="C19">
        <v>308.01033246072933</v>
      </c>
      <c r="D19">
        <v>308.01033246072933</v>
      </c>
      <c r="G19" t="s">
        <v>67</v>
      </c>
      <c r="K19">
        <v>753.28</v>
      </c>
      <c r="L19">
        <v>-3.4195000000000002</v>
      </c>
      <c r="M19">
        <v>6.3E-3</v>
      </c>
      <c r="O19">
        <v>0.83819999999999995</v>
      </c>
      <c r="P19">
        <v>-3.2309999999999999E-3</v>
      </c>
      <c r="Q19">
        <v>8.2959999999999999E-6</v>
      </c>
      <c r="R19" s="21">
        <v>-1.6890000000000001E-10</v>
      </c>
      <c r="T19" s="22" t="s">
        <v>78</v>
      </c>
    </row>
    <row r="20" spans="1:21" x14ac:dyDescent="0.25">
      <c r="A20" t="s">
        <v>64</v>
      </c>
      <c r="B20">
        <v>12.802468396553602</v>
      </c>
      <c r="C20">
        <v>11.978644894856123</v>
      </c>
      <c r="D20">
        <v>0.82382350169747909</v>
      </c>
      <c r="G20" t="s">
        <v>49</v>
      </c>
      <c r="P20" t="s">
        <v>65</v>
      </c>
    </row>
    <row r="21" spans="1:21" x14ac:dyDescent="0.25">
      <c r="A21" t="s">
        <v>14</v>
      </c>
      <c r="B21">
        <v>0.99668005240521662</v>
      </c>
      <c r="C21">
        <v>0.99593003006982017</v>
      </c>
      <c r="D21">
        <v>1.0075856058404029</v>
      </c>
      <c r="O21">
        <v>3.5093757600000002</v>
      </c>
      <c r="P21">
        <v>-1.3527551000000001E-2</v>
      </c>
      <c r="Q21" s="21">
        <v>3.4733700000000003E-5</v>
      </c>
      <c r="R21" s="21">
        <v>-7.0715099999999999E-10</v>
      </c>
    </row>
    <row r="22" spans="1:21" x14ac:dyDescent="0.25">
      <c r="A22" t="s">
        <v>16</v>
      </c>
      <c r="B22">
        <v>2.8519914189287761E-3</v>
      </c>
      <c r="C22">
        <v>3.0481352714410086E-3</v>
      </c>
      <c r="D22">
        <v>0</v>
      </c>
      <c r="P22" t="s">
        <v>66</v>
      </c>
    </row>
    <row r="23" spans="1:21" x14ac:dyDescent="0.25">
      <c r="A23" t="s">
        <v>15</v>
      </c>
      <c r="B23">
        <v>4.679561758545622E-4</v>
      </c>
      <c r="C23">
        <v>5.0000000000000002E-5</v>
      </c>
      <c r="D23">
        <v>6.5451664057859758E-3</v>
      </c>
      <c r="O23">
        <v>112.4403994</v>
      </c>
      <c r="P23">
        <v>-0.43342272799999998</v>
      </c>
      <c r="Q23">
        <v>1.1128679999999999E-3</v>
      </c>
      <c r="R23" s="21">
        <v>-2.2657100000000001E-8</v>
      </c>
    </row>
    <row r="25" spans="1:21" x14ac:dyDescent="0.25">
      <c r="A25" t="s">
        <v>45</v>
      </c>
      <c r="B25" t="s">
        <v>46</v>
      </c>
      <c r="C25" t="s">
        <v>47</v>
      </c>
      <c r="K25" t="s">
        <v>42</v>
      </c>
    </row>
    <row r="26" spans="1:21" x14ac:dyDescent="0.25">
      <c r="B26" t="s">
        <v>13</v>
      </c>
      <c r="C26" t="s">
        <v>14</v>
      </c>
      <c r="D26" t="s">
        <v>15</v>
      </c>
      <c r="E26" t="s">
        <v>16</v>
      </c>
      <c r="F26" t="s">
        <v>82</v>
      </c>
      <c r="G26" t="s">
        <v>83</v>
      </c>
      <c r="K26" t="s">
        <v>68</v>
      </c>
      <c r="L26">
        <v>45.3</v>
      </c>
    </row>
    <row r="27" spans="1:21" x14ac:dyDescent="0.25">
      <c r="A27" t="s">
        <v>85</v>
      </c>
      <c r="B27">
        <f>C20</f>
        <v>11.978644894856123</v>
      </c>
      <c r="C27">
        <f>C21</f>
        <v>0.99593003006982017</v>
      </c>
      <c r="D27">
        <f>C23</f>
        <v>5.0000000000000002E-5</v>
      </c>
      <c r="E27">
        <f>C22</f>
        <v>3.0481352714410086E-3</v>
      </c>
      <c r="F27">
        <f>(B36*C27+C36*D27+D36*E27)*D33</f>
        <v>57871.083118309238</v>
      </c>
      <c r="G27">
        <f>F27*B27</f>
        <v>693217.15435492934</v>
      </c>
      <c r="K27" t="s">
        <v>69</v>
      </c>
      <c r="L27">
        <v>-0.31</v>
      </c>
    </row>
    <row r="28" spans="1:21" x14ac:dyDescent="0.25">
      <c r="A28" t="s">
        <v>86</v>
      </c>
      <c r="B28">
        <f>D20</f>
        <v>0.82382350169747909</v>
      </c>
      <c r="C28">
        <f>D21</f>
        <v>1.0075856058404029</v>
      </c>
      <c r="D28">
        <f>D23</f>
        <v>6.5451664057859758E-3</v>
      </c>
      <c r="E28">
        <f>D22</f>
        <v>0</v>
      </c>
      <c r="F28">
        <f>(C28*B36+D28*C36+E28*D36)*D33+(E36*C28+F36*D28)</f>
        <v>88015.621563334164</v>
      </c>
      <c r="G28">
        <f t="shared" ref="G28:G30" si="2">F28*B28</f>
        <v>72509.337560386106</v>
      </c>
      <c r="K28" t="s">
        <v>70</v>
      </c>
      <c r="L28">
        <v>0.42409999999999998</v>
      </c>
    </row>
    <row r="29" spans="1:21" x14ac:dyDescent="0.25">
      <c r="A29" t="s">
        <v>18</v>
      </c>
      <c r="B29">
        <f t="shared" ref="B29:E30" si="3">B14</f>
        <v>12.778504419944202</v>
      </c>
      <c r="C29">
        <f t="shared" si="3"/>
        <v>0.9971432767600491</v>
      </c>
      <c r="D29">
        <f t="shared" si="3"/>
        <v>2.8567269513940798E-3</v>
      </c>
      <c r="E29">
        <f t="shared" si="3"/>
        <v>0</v>
      </c>
      <c r="F29">
        <f>(B37*C29+C37*D29+E29*D37)*E33+(E37*C29+F37*D29)</f>
        <v>88155.596477831583</v>
      </c>
      <c r="G29">
        <f t="shared" si="2"/>
        <v>1126496.6792347883</v>
      </c>
      <c r="K29" t="s">
        <v>71</v>
      </c>
      <c r="L29">
        <v>512.6</v>
      </c>
      <c r="N29" t="s">
        <v>72</v>
      </c>
    </row>
    <row r="30" spans="1:21" x14ac:dyDescent="0.25">
      <c r="A30" t="s">
        <v>19</v>
      </c>
      <c r="B30">
        <f t="shared" si="3"/>
        <v>2.3963976609400448E-2</v>
      </c>
      <c r="C30">
        <f t="shared" si="3"/>
        <v>0.74967316816000285</v>
      </c>
      <c r="D30" s="21">
        <f t="shared" si="3"/>
        <v>3.2683091387313701E-4</v>
      </c>
      <c r="E30">
        <f t="shared" si="3"/>
        <v>0.25</v>
      </c>
      <c r="F30">
        <f>(C30*B37+D30*C37+E30*D37)*E33</f>
        <v>74056.734772774347</v>
      </c>
      <c r="G30">
        <f t="shared" si="2"/>
        <v>1774.6938598633374</v>
      </c>
    </row>
    <row r="31" spans="1:21" x14ac:dyDescent="0.25">
      <c r="G31" s="23">
        <f>G29+G30-G28-G27</f>
        <v>362544.88117933611</v>
      </c>
      <c r="H31" t="s">
        <v>92</v>
      </c>
    </row>
    <row r="32" spans="1:21" x14ac:dyDescent="0.25">
      <c r="A32" t="s">
        <v>87</v>
      </c>
      <c r="B32" t="s">
        <v>88</v>
      </c>
      <c r="D32" t="s">
        <v>90</v>
      </c>
      <c r="E32" t="s">
        <v>91</v>
      </c>
      <c r="G32">
        <f>G31/1000</f>
        <v>362.54488117933613</v>
      </c>
      <c r="H32" t="s">
        <v>93</v>
      </c>
      <c r="K32" t="s">
        <v>41</v>
      </c>
    </row>
    <row r="33" spans="1:13" x14ac:dyDescent="0.25">
      <c r="A33">
        <f>C19/2</f>
        <v>154.00516623036467</v>
      </c>
      <c r="B33">
        <f>(45+273.15)/2</f>
        <v>159.07499999999999</v>
      </c>
      <c r="D33">
        <f>C18+273.15</f>
        <v>308.01033246072933</v>
      </c>
      <c r="E33">
        <f>B18+273.15</f>
        <v>318.14999999999998</v>
      </c>
      <c r="K33" t="s">
        <v>68</v>
      </c>
      <c r="L33">
        <v>46.23</v>
      </c>
    </row>
    <row r="34" spans="1:13" x14ac:dyDescent="0.25">
      <c r="K34" t="s">
        <v>70</v>
      </c>
      <c r="L34">
        <v>0.2893</v>
      </c>
    </row>
    <row r="35" spans="1:13" x14ac:dyDescent="0.25">
      <c r="B35" t="s">
        <v>79</v>
      </c>
      <c r="C35" t="s">
        <v>75</v>
      </c>
      <c r="D35" t="s">
        <v>76</v>
      </c>
      <c r="E35" t="s">
        <v>81</v>
      </c>
      <c r="F35" t="s">
        <v>77</v>
      </c>
      <c r="K35" t="s">
        <v>71</v>
      </c>
      <c r="L35">
        <v>497.1</v>
      </c>
    </row>
    <row r="36" spans="1:13" x14ac:dyDescent="0.25">
      <c r="A36" t="s">
        <v>17</v>
      </c>
      <c r="B36" s="20">
        <v>187.5</v>
      </c>
      <c r="C36" s="20">
        <f>O23+P23*A33+Q23*A33^2+R23*A33^3</f>
        <v>72.002850399484814</v>
      </c>
      <c r="D36" s="20">
        <f>K19+L19*A33+M19*A33^2</f>
        <v>376.0801587968142</v>
      </c>
      <c r="E36">
        <f>L33*EXP(-L34*D33/L35)*(1-D33/L35)^L34*1000</f>
        <v>29216.856431710174</v>
      </c>
      <c r="F36">
        <f>L26*EXP(-L27*D33/L29)*(1-D33/L29)^L28*1000</f>
        <v>36967.827025881728</v>
      </c>
      <c r="M36" t="s">
        <v>73</v>
      </c>
    </row>
    <row r="37" spans="1:13" x14ac:dyDescent="0.25">
      <c r="A37" t="s">
        <v>89</v>
      </c>
      <c r="B37" s="20">
        <v>187.5</v>
      </c>
      <c r="C37" s="20">
        <f>O23+P23*B33+Q23*B33^2+R23*B33^3</f>
        <v>71.563439804527562</v>
      </c>
      <c r="D37" s="20">
        <f>K19+L19*B33+M19*B33^2</f>
        <v>368.74362793749992</v>
      </c>
      <c r="E37">
        <f>L33*EXP(-L34*E33/L35)*(1-E33/L35)^L34*1000</f>
        <v>28585.512698494182</v>
      </c>
      <c r="F37">
        <f>L26*EXP(-L27*E33/L29)*(1-E33/L29)^L28*1000</f>
        <v>36401.956015857708</v>
      </c>
    </row>
    <row r="40" spans="1:13" x14ac:dyDescent="0.25">
      <c r="M40" t="s">
        <v>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2:F13"/>
  <sheetViews>
    <sheetView tabSelected="1" workbookViewId="0">
      <selection activeCell="H5" sqref="H5"/>
    </sheetView>
  </sheetViews>
  <sheetFormatPr defaultRowHeight="15" x14ac:dyDescent="0.25"/>
  <sheetData>
    <row r="2" spans="1:6" x14ac:dyDescent="0.25">
      <c r="A2" t="s">
        <v>94</v>
      </c>
      <c r="C2" t="s">
        <v>100</v>
      </c>
      <c r="D2" t="s">
        <v>101</v>
      </c>
      <c r="E2" t="s">
        <v>98</v>
      </c>
      <c r="F2" t="s">
        <v>99</v>
      </c>
    </row>
    <row r="3" spans="1:6" x14ac:dyDescent="0.25">
      <c r="A3">
        <f>EB!S7</f>
        <v>438.88190902249397</v>
      </c>
      <c r="C3">
        <v>45</v>
      </c>
      <c r="D3">
        <v>45</v>
      </c>
    </row>
    <row r="6" spans="1:6" x14ac:dyDescent="0.25">
      <c r="A6" t="s">
        <v>95</v>
      </c>
      <c r="C6" t="s">
        <v>100</v>
      </c>
      <c r="D6" t="s">
        <v>101</v>
      </c>
      <c r="E6" t="s">
        <v>98</v>
      </c>
      <c r="F6" t="s">
        <v>99</v>
      </c>
    </row>
    <row r="7" spans="1:6" x14ac:dyDescent="0.25">
      <c r="A7">
        <f>EB!G32</f>
        <v>362.54488117933613</v>
      </c>
      <c r="C7">
        <v>45</v>
      </c>
      <c r="D7">
        <v>45</v>
      </c>
    </row>
    <row r="10" spans="1:6" x14ac:dyDescent="0.25">
      <c r="A10" t="s">
        <v>96</v>
      </c>
      <c r="C10" t="s">
        <v>98</v>
      </c>
      <c r="D10" t="s">
        <v>99</v>
      </c>
      <c r="E10" t="s">
        <v>100</v>
      </c>
      <c r="F10" t="s">
        <v>101</v>
      </c>
    </row>
    <row r="13" spans="1:6" x14ac:dyDescent="0.25">
      <c r="A13" t="s">
        <v>97</v>
      </c>
      <c r="C13" t="s">
        <v>98</v>
      </c>
      <c r="D13" t="s">
        <v>99</v>
      </c>
      <c r="E13" t="s">
        <v>100</v>
      </c>
      <c r="F1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EB</vt:lpstr>
      <vt:lpstr>Money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2025-04-09T07:20:55Z</dcterms:modified>
</cp:coreProperties>
</file>