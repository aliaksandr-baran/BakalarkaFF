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H47" i="1" l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5" i="1"/>
  <c r="B35" i="1"/>
  <c r="H36" i="1"/>
  <c r="B36" i="1"/>
  <c r="H34" i="1"/>
  <c r="B34" i="1"/>
  <c r="H33" i="1"/>
  <c r="B33" i="1"/>
  <c r="H32" i="1"/>
  <c r="B32" i="1"/>
  <c r="H31" i="1"/>
  <c r="B31" i="1"/>
  <c r="H30" i="1"/>
  <c r="B30" i="1"/>
  <c r="H29" i="1"/>
  <c r="B29" i="1"/>
  <c r="P40" i="1"/>
  <c r="O40" i="1"/>
  <c r="S29" i="1"/>
  <c r="M29" i="1"/>
  <c r="P39" i="1"/>
  <c r="O38" i="1" s="1"/>
  <c r="O39" i="1" s="1"/>
  <c r="H22" i="1"/>
  <c r="O3" i="1" s="1"/>
  <c r="O5" i="1" s="1"/>
  <c r="H19" i="1"/>
  <c r="Q8" i="1"/>
  <c r="K8" i="1"/>
  <c r="P3" i="1"/>
  <c r="P5" i="1" s="1"/>
  <c r="L3" i="1"/>
  <c r="N3" i="1" l="1"/>
  <c r="N5" i="1" s="1"/>
  <c r="L5" i="1"/>
  <c r="K3" i="1"/>
  <c r="M3" i="1"/>
  <c r="S10" i="1" l="1"/>
  <c r="V10" i="1"/>
  <c r="M5" i="1"/>
  <c r="X10" i="1" s="1"/>
  <c r="S8" i="1"/>
  <c r="K5" i="1"/>
  <c r="W10" i="1" s="1"/>
  <c r="V8" i="1"/>
  <c r="T10" i="1" l="1"/>
  <c r="T8" i="1"/>
  <c r="W8" i="1"/>
  <c r="X8" i="1"/>
  <c r="U8" i="1"/>
  <c r="U10" i="1"/>
  <c r="AA10" i="1" l="1"/>
  <c r="AD10" i="1" s="1"/>
  <c r="Y8" i="1"/>
  <c r="AB8" i="1" s="1"/>
  <c r="Y10" i="1"/>
  <c r="AB10" i="1" s="1"/>
  <c r="AA8" i="1"/>
  <c r="AD8" i="1" s="1"/>
  <c r="Z10" i="1"/>
  <c r="AC10" i="1" s="1"/>
  <c r="Z8" i="1"/>
  <c r="AC8" i="1" s="1"/>
  <c r="AE10" i="1" l="1"/>
  <c r="K14" i="1" s="1"/>
  <c r="K18" i="1" s="1"/>
  <c r="AG8" i="1"/>
  <c r="Q14" i="1" s="1"/>
  <c r="Q18" i="1" s="1"/>
  <c r="AE8" i="1"/>
  <c r="O14" i="1" s="1"/>
  <c r="O18" i="1" s="1"/>
  <c r="AF10" i="1"/>
  <c r="AF8" i="1"/>
  <c r="P14" i="1" s="1"/>
  <c r="AG10" i="1"/>
  <c r="M14" i="1" s="1"/>
  <c r="M18" i="1" s="1"/>
  <c r="L14" i="1" l="1"/>
  <c r="L18" i="1" s="1"/>
  <c r="P18" i="1"/>
  <c r="R14" i="1"/>
  <c r="J14" i="1" l="1"/>
</calcChain>
</file>

<file path=xl/sharedStrings.xml><?xml version="1.0" encoding="utf-8"?>
<sst xmlns="http://schemas.openxmlformats.org/spreadsheetml/2006/main" count="104" uniqueCount="84">
  <si>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</si>
  <si>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</si>
  <si>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</si>
  <si>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</si>
  <si>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</si>
  <si>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</si>
  <si>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</si>
  <si>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</si>
  <si>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</si>
  <si>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</si>
  <si>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</si>
  <si>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</si>
  <si>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x1.1</t>
  </si>
  <si>
    <t>x2.1</t>
  </si>
  <si>
    <t>x3.1</t>
  </si>
  <si>
    <t>x1.2</t>
  </si>
  <si>
    <t>x2.2</t>
  </si>
  <si>
    <t>x3.2</t>
  </si>
  <si>
    <t>φ1.1</t>
  </si>
  <si>
    <t>φ2.1</t>
  </si>
  <si>
    <t>φ3.1</t>
  </si>
  <si>
    <t>θ1.1</t>
  </si>
  <si>
    <t>θ2.1</t>
  </si>
  <si>
    <t>θ3.1</t>
  </si>
  <si>
    <t>lnγ1.1</t>
  </si>
  <si>
    <t>lnγ2.1</t>
  </si>
  <si>
    <t>lnγ3.1</t>
  </si>
  <si>
    <t>γ1.1</t>
  </si>
  <si>
    <t>γ2.1</t>
  </si>
  <si>
    <t>γ3.1</t>
  </si>
  <si>
    <t>γ1.1/γ1.2</t>
  </si>
  <si>
    <t>γ2.1/γ2.2</t>
  </si>
  <si>
    <t>γ3.1/γ3.2</t>
  </si>
  <si>
    <t>φ1.2</t>
  </si>
  <si>
    <t>φ2.2</t>
  </si>
  <si>
    <t>φ3.2</t>
  </si>
  <si>
    <t>θ1.2</t>
  </si>
  <si>
    <t>θ2.2</t>
  </si>
  <si>
    <t>θ3.2</t>
  </si>
  <si>
    <t>lnγ1.2</t>
  </si>
  <si>
    <t>lnγ2.2</t>
  </si>
  <si>
    <t>lnγ3.2</t>
  </si>
  <si>
    <t>γ1.2</t>
  </si>
  <si>
    <t>γ2.2</t>
  </si>
  <si>
    <t>γ3.2</t>
  </si>
  <si>
    <t>γ1.2/γ1.1</t>
  </si>
  <si>
    <t>γ2.2/γ2.1</t>
  </si>
  <si>
    <t>γ3.2/γ3.1</t>
  </si>
  <si>
    <t>Nove</t>
  </si>
  <si>
    <t>Σxi</t>
  </si>
  <si>
    <t>x3.3</t>
  </si>
  <si>
    <t>Step</t>
  </si>
  <si>
    <t>x1</t>
  </si>
  <si>
    <t>x2</t>
  </si>
  <si>
    <t>x3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</si>
  <si>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</si>
  <si>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</si>
  <si>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</si>
  <si>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</si>
  <si>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</si>
  <si>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R</t>
  </si>
  <si>
    <t>kJ.mol^-1.K^-1</t>
  </si>
  <si>
    <t>NRTL parameters</t>
  </si>
  <si>
    <t>T</t>
  </si>
  <si>
    <t>K</t>
  </si>
  <si>
    <t>1–2</t>
  </si>
  <si>
    <t>RT</t>
  </si>
  <si>
    <t>1–3</t>
  </si>
  <si>
    <t>2–3</t>
  </si>
  <si>
    <t>MTBE-reach phase</t>
  </si>
  <si>
    <t>IL-reach phase</t>
  </si>
  <si>
    <t>T=318.15K</t>
  </si>
  <si>
    <t>False</t>
  </si>
  <si>
    <t>*</t>
  </si>
  <si>
    <t>xa</t>
  </si>
  <si>
    <t>nf</t>
  </si>
  <si>
    <t>ns</t>
  </si>
  <si>
    <t>nr</t>
  </si>
  <si>
    <t>ne</t>
  </si>
  <si>
    <t>Yb</t>
  </si>
  <si>
    <t>x</t>
  </si>
  <si>
    <t>y</t>
  </si>
  <si>
    <t>https://www.sciencedirect.com/science/article/pii/S0021961410003514</t>
  </si>
  <si>
    <r>
      <t>Hexan (1) + toluen(2)+[EMIM][ESO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298.15 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</si>
</sst>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0"/>
    <numFmt numFmtId="165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rgb="FF1F1F1F"/>
      <name val="Georgia"/>
      <family val="1"/>
    </font>
    <font>
      <b/>
      <sz val="11"/>
      <color rgb="FF1F1F1F"/>
      <name val="Georgia"/>
      <family val="1"/>
    </font>
    <font>
      <sz val="10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/>
      <bottom style="medium">
        <color rgb="FF8E8E8E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/>
    <xf numFmtId="165" fontId="0" fillId="0" borderId="0" xfId="1" applyNumberFormat="1" applyFont="1"/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3" fillId="0" borderId="0" xfId="0" applyFont="1"/>
    <xf numFmtId="0" fontId="8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164" fontId="12" fillId="0" borderId="5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164" fontId="12" fillId="0" borderId="7" xfId="0" applyNumberFormat="1" applyFont="1" applyBorder="1" applyAlignment="1">
      <alignment horizontal="left" vertical="center"/>
    </xf>
    <xf numFmtId="0" fontId="0" fillId="0" borderId="7" xfId="0" applyBorder="1" applyAlignment="1"/>
    <xf numFmtId="0" fontId="0" fillId="0" borderId="0" xfId="0" applyAlignment="1">
      <alignment horizontal="center"/>
    </xf>
  </cellXfs>
  <cellStyles count="3">
    <cellStyle name="Normal 2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477371</xdr:colOff>
      <xdr:row>16</xdr:row>
      <xdr:rowOff>198299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658970" cy="36939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581025</xdr:colOff>
          <xdr:row>15</xdr:row>
          <xdr:rowOff>19050</xdr:rowOff>
        </xdr:from>
        <xdr:to>
          <xdr:col>20</xdr:col>
          <xdr:colOff>9525</xdr:colOff>
          <xdr:row>17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NRTL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LLE-macros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LE"/>
      <sheetName val="NRTL"/>
      <sheetName val="Лист3"/>
    </sheetNames>
    <definedNames>
      <definedName name="NRTL_LLE"/>
    </definedNames>
    <sheetDataSet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55"/>
  <sheetViews>
    <sheetView tabSelected="1" topLeftCell="A11" workbookViewId="0">
      <selection activeCell="J21" sqref="J21"/>
    </sheetView>
  </sheetViews>
  <sheetFormatPr defaultRowHeight="15" x14ac:dyDescent="0.25"/>
  <cols>
    <col min="1" max="1" width="5.5703125" customWidth="1"/>
    <col min="2" max="3" width="16.42578125" bestFit="1" customWidth="1"/>
    <col min="4" max="4" width="9" customWidth="1"/>
    <col min="5" max="5" width="5.140625" customWidth="1"/>
    <col min="11" max="13" width="9.7109375" bestFit="1" customWidth="1"/>
    <col min="15" max="17" width="9.7109375" bestFit="1" customWidth="1"/>
    <col min="23" max="23" width="16.7109375" bestFit="1" customWidth="1"/>
  </cols>
  <sheetData>
    <row r="1" spans="10:33" ht="15.75" thickBot="1" x14ac:dyDescent="0.3"/>
    <row r="2" spans="10:33" ht="18.75" thickBot="1" x14ac:dyDescent="0.4">
      <c r="K2" s="1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3" t="s">
        <v>5</v>
      </c>
    </row>
    <row r="3" spans="10:33" ht="15.75" thickBot="1" x14ac:dyDescent="0.3">
      <c r="K3">
        <f>(B22)/H22</f>
        <v>-2.7742242263664987</v>
      </c>
      <c r="L3">
        <f>(C22)/H22</f>
        <v>3.7352866935711444</v>
      </c>
      <c r="M3">
        <f>(B23)/H22</f>
        <v>20.535584867810645</v>
      </c>
      <c r="N3">
        <f>(C23)/H22</f>
        <v>1.840513492896678</v>
      </c>
      <c r="O3">
        <f>(B24)/H22</f>
        <v>15.295993160614261</v>
      </c>
      <c r="P3">
        <f>(C24)/H22</f>
        <v>-2.2075027580673394</v>
      </c>
    </row>
    <row r="4" spans="10:33" ht="18.75" thickBot="1" x14ac:dyDescent="0.4">
      <c r="K4" s="1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3" t="s">
        <v>11</v>
      </c>
    </row>
    <row r="5" spans="10:33" x14ac:dyDescent="0.25">
      <c r="K5">
        <f t="shared" ref="K5:P5" si="0">EXP(-K3*$E$22)</f>
        <v>1.3197237344847723</v>
      </c>
      <c r="L5">
        <f t="shared" si="0"/>
        <v>0.68830125285905086</v>
      </c>
      <c r="M5">
        <f t="shared" si="0"/>
        <v>0.12827761624315676</v>
      </c>
      <c r="N5">
        <f t="shared" si="0"/>
        <v>0.83189308561088038</v>
      </c>
      <c r="O5">
        <f t="shared" si="0"/>
        <v>0.21662244706449366</v>
      </c>
      <c r="P5">
        <f t="shared" si="0"/>
        <v>1.2470119826162878</v>
      </c>
    </row>
    <row r="6" spans="10:33" ht="15.75" thickBot="1" x14ac:dyDescent="0.3"/>
    <row r="7" spans="10:33" ht="16.5" thickBot="1" x14ac:dyDescent="0.3">
      <c r="K7" s="4" t="s">
        <v>12</v>
      </c>
      <c r="L7" s="5" t="s">
        <v>13</v>
      </c>
      <c r="M7" s="6" t="s">
        <v>14</v>
      </c>
      <c r="O7" s="4" t="s">
        <v>15</v>
      </c>
      <c r="P7" s="5" t="s">
        <v>16</v>
      </c>
      <c r="Q7" s="6" t="s">
        <v>17</v>
      </c>
      <c r="S7" s="7" t="s">
        <v>18</v>
      </c>
      <c r="T7" s="8" t="s">
        <v>19</v>
      </c>
      <c r="U7" s="8" t="s">
        <v>20</v>
      </c>
      <c r="V7" s="8" t="s">
        <v>21</v>
      </c>
      <c r="W7" s="8" t="s">
        <v>22</v>
      </c>
      <c r="X7" s="8" t="s">
        <v>23</v>
      </c>
      <c r="Y7" s="8" t="s">
        <v>24</v>
      </c>
      <c r="Z7" s="8" t="s">
        <v>25</v>
      </c>
      <c r="AA7" s="8" t="s">
        <v>26</v>
      </c>
      <c r="AB7" s="8" t="s">
        <v>27</v>
      </c>
      <c r="AC7" s="8" t="s">
        <v>28</v>
      </c>
      <c r="AD7" s="8" t="s">
        <v>29</v>
      </c>
      <c r="AE7" s="8" t="s">
        <v>30</v>
      </c>
      <c r="AF7" s="8" t="s">
        <v>31</v>
      </c>
      <c r="AG7" s="9" t="s">
        <v>32</v>
      </c>
    </row>
    <row r="8" spans="10:33" ht="15.75" thickBot="1" x14ac:dyDescent="0.3">
      <c r="K8" s="10">
        <f>1-L8-M8</f>
        <v>6.4503113536020611E-3</v>
      </c>
      <c r="L8" s="10">
        <v>0.99354719562409821</v>
      </c>
      <c r="M8" s="10">
        <v>2.4930222997269129E-6</v>
      </c>
      <c r="N8" s="10"/>
      <c r="O8" s="10">
        <v>9.0794831778585514E-5</v>
      </c>
      <c r="P8" s="10">
        <v>0.22585756931353534</v>
      </c>
      <c r="Q8" s="10">
        <f>1-O8-P8</f>
        <v>0.77405163585468606</v>
      </c>
      <c r="S8">
        <f>$K8+$L$5*$L8+$N$5*$M8</f>
        <v>0.69031216480427882</v>
      </c>
      <c r="T8">
        <f>$K$5*$K8+$L8+$P$5*$M8</f>
        <v>1.0020629334409441</v>
      </c>
      <c r="U8">
        <f>$M$5*$K8+$O$5*$L8+$M8</f>
        <v>0.21605454837692331</v>
      </c>
      <c r="V8">
        <f>$L8*$L$3*$L$5+$M8*$N$3*$N$5</f>
        <v>2.5544161518119926</v>
      </c>
      <c r="W8">
        <f>$K8*$K$3*$K$5+$M8*$P$3*$P$5</f>
        <v>-2.362280431692472E-2</v>
      </c>
      <c r="X8">
        <f>$K8*$M$3*$M$5+$L8*$O$3*$O$5</f>
        <v>3.3090661593648343</v>
      </c>
      <c r="Y8">
        <f>(V8/S8)-(K8*V8/S8^2)+(L8*$K$5/T8)*($K$3-W8/T8)+(M8*$M$5/U8)*($M$3-X8/U8)</f>
        <v>6.6560664571048853E-2</v>
      </c>
      <c r="Z8">
        <f>(W8/T8)-(L8*W8/T8^2)+(K8*$L$5/S8)*($L$3-V8/S8)+(M8*$O$5/U8)*($O$3-X8/U8)</f>
        <v>2.4126202338794753E-5</v>
      </c>
      <c r="AA8">
        <f>(X8/U8)-(M8*X8/U8^2)+(K8*$N$5/S8)*($N$3-V8/S8)+(L8*$P$5/T8)*($P$3-W8/T8)</f>
        <v>12.60100773429413</v>
      </c>
      <c r="AB8">
        <f>EXP(Y8)</f>
        <v>1.0688258019672745</v>
      </c>
      <c r="AC8">
        <f>EXP(Z8)</f>
        <v>1.000024126493378</v>
      </c>
      <c r="AD8">
        <f>EXP(AA8)</f>
        <v>296857.56816709077</v>
      </c>
      <c r="AE8">
        <f>AB8/AB10</f>
        <v>1.4076038628411754E-2</v>
      </c>
      <c r="AF8">
        <f t="shared" ref="AF8:AG8" si="1">AC8/AC10</f>
        <v>0.22732444951612243</v>
      </c>
      <c r="AG8">
        <f t="shared" si="1"/>
        <v>310487.2491270841</v>
      </c>
    </row>
    <row r="9" spans="10:33" ht="16.5" thickBot="1" x14ac:dyDescent="0.3">
      <c r="S9" s="7" t="s">
        <v>33</v>
      </c>
      <c r="T9" s="8" t="s">
        <v>34</v>
      </c>
      <c r="U9" s="8" t="s">
        <v>35</v>
      </c>
      <c r="V9" s="8" t="s">
        <v>36</v>
      </c>
      <c r="W9" s="8" t="s">
        <v>37</v>
      </c>
      <c r="X9" s="8" t="s">
        <v>38</v>
      </c>
      <c r="Y9" s="8" t="s">
        <v>39</v>
      </c>
      <c r="Z9" s="8" t="s">
        <v>40</v>
      </c>
      <c r="AA9" s="8" t="s">
        <v>41</v>
      </c>
      <c r="AB9" s="8" t="s">
        <v>42</v>
      </c>
      <c r="AC9" s="8" t="s">
        <v>43</v>
      </c>
      <c r="AD9" s="8" t="s">
        <v>44</v>
      </c>
      <c r="AE9" s="8" t="s">
        <v>45</v>
      </c>
      <c r="AF9" s="8" t="s">
        <v>46</v>
      </c>
      <c r="AG9" s="9" t="s">
        <v>47</v>
      </c>
    </row>
    <row r="10" spans="10:33" x14ac:dyDescent="0.25">
      <c r="S10">
        <f>$O8+$L$5*$P8+$N$5*$Q8</f>
        <v>0.79947704653128926</v>
      </c>
      <c r="T10">
        <f>$K$5*$O8+$P8+$P$5*$Q8</f>
        <v>1.1912290584825349</v>
      </c>
      <c r="U10">
        <f>$M$5*$O8+$O$5*$P8+$Q8</f>
        <v>0.82298910215201038</v>
      </c>
      <c r="V10">
        <f>$P8*$L$3*$L$5+$Q8*$N$3*$N$5</f>
        <v>1.7658389253287918</v>
      </c>
      <c r="W10">
        <f>$O8*$K$3*$K$5+$Q8*$P$3*$P$5</f>
        <v>-2.1311281317868951</v>
      </c>
      <c r="X10">
        <f>$O8*$M$3*$M$5+$P8*$O$3*$O$5</f>
        <v>0.74860817501593913</v>
      </c>
      <c r="Y10">
        <f>(V10/S10)-(O8*V10/S10^2)+(P8*$K$5/T10)*($K$3-W10/T10)+(Q8*$M$5/U10)*($M$3-X10/U10)</f>
        <v>4.3298419798228363</v>
      </c>
      <c r="Z10">
        <f>(W10/T10)-(P8*W10/T10^2)+(O8*$L$5/S10)*($L$3-V10/S10)+(Q8*$O$5/U10)*($O$3-X10/U10)</f>
        <v>1.481401115147531</v>
      </c>
      <c r="AA10">
        <f>(X10/U10)-(Q8*X10/U10^2)+(O8*$N$5/S10)*($N$3-V10/S10)+(P8*$P$5/T10)*($P$3-W10/T10)</f>
        <v>-4.4890379605068913E-2</v>
      </c>
      <c r="AB10">
        <f>EXP(Y10)</f>
        <v>75.932286787697862</v>
      </c>
      <c r="AC10">
        <f>EXP(Z10)</f>
        <v>4.3991050176169182</v>
      </c>
      <c r="AD10">
        <f>EXP(AA10)</f>
        <v>0.956102284398756</v>
      </c>
      <c r="AE10">
        <f>AB10/AB8</f>
        <v>71.042714956859513</v>
      </c>
      <c r="AF10">
        <f t="shared" ref="AF10:AG10" si="2">AC10/AC8</f>
        <v>4.3989988851994442</v>
      </c>
      <c r="AG10">
        <f t="shared" si="2"/>
        <v>3.2207441780989037E-6</v>
      </c>
    </row>
    <row r="11" spans="10:33" ht="15.75" thickBot="1" x14ac:dyDescent="0.3"/>
    <row r="12" spans="10:33" ht="15.75" thickBot="1" x14ac:dyDescent="0.3">
      <c r="K12" s="11" t="s">
        <v>48</v>
      </c>
      <c r="L12" s="12"/>
      <c r="M12" s="12"/>
      <c r="N12" s="12"/>
      <c r="O12" s="12"/>
      <c r="P12" s="12"/>
      <c r="Q12" s="13"/>
    </row>
    <row r="13" spans="10:33" ht="15.75" thickBot="1" x14ac:dyDescent="0.3">
      <c r="J13" s="14" t="s">
        <v>49</v>
      </c>
      <c r="K13" s="5" t="s">
        <v>12</v>
      </c>
      <c r="L13" s="5" t="s">
        <v>13</v>
      </c>
      <c r="M13" s="5" t="s">
        <v>14</v>
      </c>
      <c r="N13" s="5"/>
      <c r="O13" s="5" t="s">
        <v>15</v>
      </c>
      <c r="P13" s="5" t="s">
        <v>16</v>
      </c>
      <c r="Q13" s="5" t="s">
        <v>50</v>
      </c>
      <c r="R13" s="14" t="s">
        <v>49</v>
      </c>
    </row>
    <row r="14" spans="10:33" x14ac:dyDescent="0.25">
      <c r="J14" s="15">
        <f>SUM(K14:M14)</f>
        <v>1</v>
      </c>
      <c r="K14" s="16">
        <f>O8*AE10</f>
        <v>6.4503113536020602E-3</v>
      </c>
      <c r="L14" s="16">
        <f t="shared" ref="L14:M14" si="3">P8*AF10</f>
        <v>0.99354719562409821</v>
      </c>
      <c r="M14" s="16">
        <f t="shared" si="3"/>
        <v>2.4930222997269129E-6</v>
      </c>
      <c r="N14" s="16"/>
      <c r="O14" s="16">
        <f t="shared" ref="O14:P14" si="4">K8*AE8</f>
        <v>9.0794831778585514E-5</v>
      </c>
      <c r="P14" s="16">
        <f t="shared" si="4"/>
        <v>0.22585756931353534</v>
      </c>
      <c r="Q14" s="16">
        <f>M8*AG8</f>
        <v>0.77405163585468617</v>
      </c>
      <c r="R14" s="15">
        <f>SUM(O14:Q14)</f>
        <v>1</v>
      </c>
    </row>
    <row r="15" spans="10:33" ht="15.75" thickBot="1" x14ac:dyDescent="0.3"/>
    <row r="16" spans="10:33" ht="15.75" thickBot="1" x14ac:dyDescent="0.3">
      <c r="K16" s="11" t="s">
        <v>51</v>
      </c>
      <c r="L16" s="12"/>
      <c r="M16" s="12"/>
      <c r="N16" s="12"/>
      <c r="O16" s="12"/>
      <c r="P16" s="12"/>
      <c r="Q16" s="13"/>
    </row>
    <row r="17" spans="1:19" ht="15.75" thickBot="1" x14ac:dyDescent="0.3">
      <c r="K17" s="4" t="s">
        <v>52</v>
      </c>
      <c r="L17" s="5" t="s">
        <v>53</v>
      </c>
      <c r="M17" s="6" t="s">
        <v>54</v>
      </c>
      <c r="O17" s="4" t="s">
        <v>52</v>
      </c>
      <c r="P17" s="5" t="s">
        <v>53</v>
      </c>
      <c r="Q17" s="6" t="s">
        <v>54</v>
      </c>
    </row>
    <row r="18" spans="1:19" ht="15.75" thickBot="1" x14ac:dyDescent="0.3">
      <c r="K18" s="16">
        <f>(K8+K14)/2</f>
        <v>6.4503113536020611E-3</v>
      </c>
      <c r="L18" s="16">
        <f t="shared" ref="L18:M18" si="5">(L8+L14)/2</f>
        <v>0.99354719562409821</v>
      </c>
      <c r="M18" s="16">
        <f t="shared" si="5"/>
        <v>2.4930222997269129E-6</v>
      </c>
      <c r="N18" s="16"/>
      <c r="O18" s="16">
        <f t="shared" ref="O18:P18" si="6">(O8+O14)/2</f>
        <v>9.0794831778585514E-5</v>
      </c>
      <c r="P18" s="16">
        <f t="shared" si="6"/>
        <v>0.22585756931353534</v>
      </c>
      <c r="Q18" s="16">
        <f>(Q8+Q14)/2</f>
        <v>0.77405163585468606</v>
      </c>
    </row>
    <row r="19" spans="1:19" ht="15.75" thickBot="1" x14ac:dyDescent="0.3">
      <c r="A19" s="17" t="s">
        <v>55</v>
      </c>
      <c r="B19" s="18" t="s">
        <v>56</v>
      </c>
      <c r="C19" s="18" t="s">
        <v>57</v>
      </c>
      <c r="D19" s="17" t="s">
        <v>58</v>
      </c>
      <c r="E19" s="17" t="s">
        <v>59</v>
      </c>
      <c r="G19" s="19" t="s">
        <v>60</v>
      </c>
      <c r="H19">
        <f>8.314/1000</f>
        <v>8.3140000000000002E-3</v>
      </c>
      <c r="I19" t="s">
        <v>61</v>
      </c>
    </row>
    <row r="20" spans="1:19" ht="15.75" thickBot="1" x14ac:dyDescent="0.3">
      <c r="A20" s="20"/>
      <c r="B20" s="21" t="s">
        <v>62</v>
      </c>
      <c r="C20" s="21"/>
      <c r="D20" s="20"/>
      <c r="E20" s="20"/>
      <c r="G20" s="19" t="s">
        <v>63</v>
      </c>
      <c r="H20">
        <v>298.14999999999998</v>
      </c>
      <c r="I20" t="s">
        <v>64</v>
      </c>
    </row>
    <row r="21" spans="1:19" ht="15.75" thickBot="1" x14ac:dyDescent="0.3">
      <c r="A21" s="21" t="s">
        <v>83</v>
      </c>
      <c r="B21" s="21"/>
      <c r="C21" s="21"/>
      <c r="D21" s="21"/>
      <c r="E21" s="21"/>
    </row>
    <row r="22" spans="1:19" x14ac:dyDescent="0.25">
      <c r="A22" s="22" t="s">
        <v>65</v>
      </c>
      <c r="B22" s="23">
        <v>-6.8768000000000002</v>
      </c>
      <c r="C22" s="23">
        <v>9.2591000000000001</v>
      </c>
      <c r="D22" s="22">
        <v>6.4999999999999997E-3</v>
      </c>
      <c r="E22" s="22">
        <v>0.1</v>
      </c>
      <c r="G22" t="s">
        <v>66</v>
      </c>
      <c r="H22">
        <f>H20*H19</f>
        <v>2.4788190999999999</v>
      </c>
    </row>
    <row r="23" spans="1:19" x14ac:dyDescent="0.25">
      <c r="A23" s="24" t="s">
        <v>67</v>
      </c>
      <c r="B23" s="25">
        <v>50.904000000000003</v>
      </c>
      <c r="C23" s="25">
        <v>4.5622999999999996</v>
      </c>
      <c r="D23" s="24"/>
      <c r="E23" s="24"/>
      <c r="L23" s="10">
        <v>5.2245703272958369E-2</v>
      </c>
      <c r="M23" s="10">
        <v>7.2205676835397354E-4</v>
      </c>
      <c r="N23" s="10"/>
      <c r="O23" s="10">
        <v>3.2094569718673818E-2</v>
      </c>
      <c r="P23" s="10">
        <v>0.30794394361642397</v>
      </c>
    </row>
    <row r="24" spans="1:19" ht="15.75" thickBot="1" x14ac:dyDescent="0.3">
      <c r="A24" s="26" t="s">
        <v>68</v>
      </c>
      <c r="B24" s="27">
        <v>37.915999999999997</v>
      </c>
      <c r="C24" s="27">
        <v>-5.4720000000000004</v>
      </c>
      <c r="D24" s="28"/>
      <c r="E24" s="28"/>
    </row>
    <row r="26" spans="1:19" ht="15.75" thickBot="1" x14ac:dyDescent="0.3"/>
    <row r="27" spans="1:19" ht="15.75" thickBot="1" x14ac:dyDescent="0.3">
      <c r="B27" s="11" t="s">
        <v>69</v>
      </c>
      <c r="C27" s="12"/>
      <c r="D27" s="13"/>
      <c r="F27" s="11" t="s">
        <v>70</v>
      </c>
      <c r="G27" s="12"/>
      <c r="H27" s="13"/>
      <c r="I27" t="s">
        <v>71</v>
      </c>
    </row>
    <row r="28" spans="1:19" ht="15.75" thickBot="1" x14ac:dyDescent="0.3">
      <c r="B28" s="4" t="s">
        <v>52</v>
      </c>
      <c r="C28" s="5" t="s">
        <v>53</v>
      </c>
      <c r="D28" s="6" t="s">
        <v>54</v>
      </c>
      <c r="F28" s="4" t="s">
        <v>52</v>
      </c>
      <c r="G28" s="5" t="s">
        <v>53</v>
      </c>
      <c r="H28" s="6" t="s">
        <v>54</v>
      </c>
      <c r="M28" s="29" t="s">
        <v>72</v>
      </c>
      <c r="N28" s="29"/>
      <c r="O28" s="29"/>
      <c r="P28" s="29"/>
      <c r="Q28" s="29"/>
      <c r="R28" s="29"/>
      <c r="S28" s="29"/>
    </row>
    <row r="29" spans="1:19" x14ac:dyDescent="0.25">
      <c r="B29" s="10">
        <f>1-C29-D29</f>
        <v>0.9343521579591455</v>
      </c>
      <c r="C29" s="10">
        <v>6.5647841511840027E-2</v>
      </c>
      <c r="D29" s="10">
        <v>5.2901453126934249E-10</v>
      </c>
      <c r="E29" s="10"/>
      <c r="F29" s="10">
        <v>1.127749996556611E-2</v>
      </c>
      <c r="G29" s="10">
        <v>1.782438486236558E-2</v>
      </c>
      <c r="H29" s="10">
        <f>1-F29-G29</f>
        <v>0.97089811517206825</v>
      </c>
      <c r="M29">
        <f>1-N29-O29</f>
        <v>0.8782632671256867</v>
      </c>
      <c r="N29" s="10">
        <v>0.12092173931705019</v>
      </c>
      <c r="O29" s="10">
        <v>8.1499355726307224E-4</v>
      </c>
      <c r="P29" s="10"/>
      <c r="Q29" s="10">
        <v>0.62274998732338371</v>
      </c>
      <c r="R29" s="10">
        <v>0.13123258071881755</v>
      </c>
      <c r="S29">
        <f>1-Q29-R29</f>
        <v>0.24601743195779874</v>
      </c>
    </row>
    <row r="30" spans="1:19" x14ac:dyDescent="0.25">
      <c r="A30" t="s">
        <v>73</v>
      </c>
      <c r="B30" s="10">
        <f>1-C30-D30</f>
        <v>0.87033143058062401</v>
      </c>
      <c r="C30" s="10">
        <v>0.12966856838837759</v>
      </c>
      <c r="D30" s="10">
        <v>1.030998416597715E-9</v>
      </c>
      <c r="E30" s="10"/>
      <c r="F30" s="10">
        <v>1.0455342314611111E-2</v>
      </c>
      <c r="G30" s="10">
        <v>3.5276172066986466E-2</v>
      </c>
      <c r="H30" s="10">
        <f>1-F30-G30</f>
        <v>0.9542684856184025</v>
      </c>
      <c r="K30" s="10"/>
      <c r="L30" s="10"/>
      <c r="M30" s="10">
        <v>0.94910170446791431</v>
      </c>
      <c r="N30" s="10">
        <v>5.0500000000000003E-2</v>
      </c>
      <c r="O30" s="10">
        <v>3.982955320856813E-4</v>
      </c>
      <c r="Q30">
        <v>0.68002240244407464</v>
      </c>
      <c r="R30">
        <v>6.6593972489962211E-2</v>
      </c>
      <c r="S30">
        <v>0.25338362506596313</v>
      </c>
    </row>
    <row r="31" spans="1:19" x14ac:dyDescent="0.25">
      <c r="B31" s="10">
        <f>1-C31-D31</f>
        <v>0.83913518962272304</v>
      </c>
      <c r="C31" s="10">
        <v>0.16086480896457508</v>
      </c>
      <c r="D31" s="10">
        <v>1.4127018399311999E-9</v>
      </c>
      <c r="E31" s="10"/>
      <c r="F31" s="10">
        <v>1.0053998078988959E-2</v>
      </c>
      <c r="G31" s="10">
        <v>4.3758603990441111E-2</v>
      </c>
      <c r="H31" s="10">
        <f>1-F31-G31</f>
        <v>0.94618739793056994</v>
      </c>
    </row>
    <row r="32" spans="1:19" x14ac:dyDescent="0.25">
      <c r="B32" s="10">
        <f>1-C32-D32</f>
        <v>0.82391868124001344</v>
      </c>
      <c r="C32" s="10">
        <v>0.17608131711622799</v>
      </c>
      <c r="D32" s="10">
        <v>1.6437585989919548E-9</v>
      </c>
      <c r="E32" s="10"/>
      <c r="F32" s="10">
        <v>9.8583184718871505E-3</v>
      </c>
      <c r="G32" s="10">
        <v>4.7883759472507684E-2</v>
      </c>
      <c r="H32" s="10">
        <f>1-F32-G32</f>
        <v>0.94225792205560521</v>
      </c>
    </row>
    <row r="33" spans="1:16" x14ac:dyDescent="0.25">
      <c r="B33" s="10">
        <f>1-C33-D33</f>
        <v>0.80899999809550227</v>
      </c>
      <c r="C33" s="10">
        <v>0.191</v>
      </c>
      <c r="D33" s="10">
        <v>1.9044976336881545E-9</v>
      </c>
      <c r="E33" s="10"/>
      <c r="F33" s="10">
        <v>9.6666069098945671E-3</v>
      </c>
      <c r="G33" s="10">
        <v>5.1917901733976042E-2</v>
      </c>
      <c r="H33" s="10">
        <f>1-F33-G33</f>
        <v>0.93841549135612945</v>
      </c>
    </row>
    <row r="34" spans="1:16" x14ac:dyDescent="0.25">
      <c r="A34" t="s">
        <v>73</v>
      </c>
      <c r="B34" s="10">
        <f>1-C34-D34</f>
        <v>0.74999999662904882</v>
      </c>
      <c r="C34" s="10">
        <v>0.25</v>
      </c>
      <c r="D34" s="10">
        <v>3.3709511924582248E-9</v>
      </c>
      <c r="E34" s="10"/>
      <c r="F34" s="10">
        <v>8.9109109915844337E-3</v>
      </c>
      <c r="G34" s="10">
        <v>6.7739138117545283E-2</v>
      </c>
      <c r="H34" s="10">
        <f>1-F34-G34</f>
        <v>0.92334995089087024</v>
      </c>
    </row>
    <row r="35" spans="1:16" x14ac:dyDescent="0.25">
      <c r="B35" s="10">
        <f>1-C35-D35</f>
        <v>0.68314181210964986</v>
      </c>
      <c r="C35" s="10">
        <v>0.31685818157058404</v>
      </c>
      <c r="D35" s="10">
        <v>6.3197661204289511E-9</v>
      </c>
      <c r="E35" s="10"/>
      <c r="F35" s="10">
        <v>8.0625739079991723E-3</v>
      </c>
      <c r="G35" s="10">
        <v>8.5315055474217416E-2</v>
      </c>
      <c r="H35" s="10">
        <f>1-F35-G35</f>
        <v>0.90662237061778339</v>
      </c>
    </row>
    <row r="36" spans="1:16" x14ac:dyDescent="0.25">
      <c r="B36" s="10">
        <f>1-C36-D36</f>
        <v>0.61699998840888004</v>
      </c>
      <c r="C36" s="10">
        <v>0.38300000000000001</v>
      </c>
      <c r="D36" s="10">
        <v>1.1591119986675268E-8</v>
      </c>
      <c r="E36" s="10"/>
      <c r="F36" s="10">
        <v>7.2357967760647342E-3</v>
      </c>
      <c r="G36" s="10">
        <v>0.10220725704870788</v>
      </c>
      <c r="H36" s="10">
        <f>1-F36-G36</f>
        <v>0.89055694617522729</v>
      </c>
      <c r="P36" t="s">
        <v>74</v>
      </c>
    </row>
    <row r="37" spans="1:16" x14ac:dyDescent="0.25">
      <c r="B37" s="10">
        <f>1-C37-D37</f>
        <v>0.55634934130699398</v>
      </c>
      <c r="C37" s="10">
        <v>0.44365063867969723</v>
      </c>
      <c r="D37" s="10">
        <v>2.0013308760829161E-8</v>
      </c>
      <c r="E37" s="10"/>
      <c r="F37" s="10">
        <v>6.4915545361765858E-3</v>
      </c>
      <c r="G37" s="10">
        <v>0.11716475359207176</v>
      </c>
      <c r="H37" s="10">
        <f>1-F37-G37</f>
        <v>0.87634369187175165</v>
      </c>
      <c r="N37" t="s">
        <v>75</v>
      </c>
      <c r="O37">
        <v>25</v>
      </c>
      <c r="P37">
        <v>0.6</v>
      </c>
    </row>
    <row r="38" spans="1:16" x14ac:dyDescent="0.25">
      <c r="A38" t="s">
        <v>73</v>
      </c>
      <c r="B38" s="10">
        <f>1-C38-D38</f>
        <v>0.99999499722680918</v>
      </c>
      <c r="C38" s="10">
        <v>5.0025152917747993E-6</v>
      </c>
      <c r="D38" s="10">
        <v>2.5789904219307446E-10</v>
      </c>
      <c r="E38" s="10"/>
      <c r="F38" s="10">
        <v>1.2113623649757002E-2</v>
      </c>
      <c r="G38" s="10">
        <v>1.3512019413407991E-6</v>
      </c>
      <c r="H38" s="10">
        <f>1-F38-G38</f>
        <v>0.98788502514830168</v>
      </c>
      <c r="N38" t="s">
        <v>76</v>
      </c>
      <c r="O38">
        <f>(O37*(P37-P39)+O40*(P39-P40))/P39</f>
        <v>37.45520119809877</v>
      </c>
      <c r="P38">
        <v>0</v>
      </c>
    </row>
    <row r="39" spans="1:16" x14ac:dyDescent="0.25">
      <c r="B39" s="10">
        <f>1-C39-D39</f>
        <v>0.38657659471481759</v>
      </c>
      <c r="C39" s="10">
        <v>0.61342331572746489</v>
      </c>
      <c r="D39" s="10">
        <v>8.9557717545995604E-8</v>
      </c>
      <c r="E39" s="10"/>
      <c r="F39" s="10">
        <v>4.4924895099730539E-3</v>
      </c>
      <c r="G39" s="10">
        <v>0.15574375890815001</v>
      </c>
      <c r="H39" s="10">
        <f>1-F39-G39</f>
        <v>0.83976375158187699</v>
      </c>
      <c r="N39" t="s">
        <v>77</v>
      </c>
      <c r="O39">
        <f>O38+O37-O40</f>
        <v>16.00228301561944</v>
      </c>
      <c r="P39">
        <f>B29</f>
        <v>0.9343521579591455</v>
      </c>
    </row>
    <row r="40" spans="1:16" x14ac:dyDescent="0.25">
      <c r="B40" s="10">
        <f>1-C40-D40</f>
        <v>0.2996347273394846</v>
      </c>
      <c r="C40" s="10">
        <v>0.70036508116864615</v>
      </c>
      <c r="D40" s="10">
        <v>1.9149186922680502E-7</v>
      </c>
      <c r="E40" s="10"/>
      <c r="F40" s="10">
        <v>3.5150123940406201E-3</v>
      </c>
      <c r="G40" s="10">
        <v>0.17344651362178279</v>
      </c>
      <c r="H40" s="10">
        <f>1-F40-G40</f>
        <v>0.82303847398417662</v>
      </c>
      <c r="N40" t="s">
        <v>78</v>
      </c>
      <c r="O40">
        <f>O41*O37*0.4/G44</f>
        <v>46.45291818247933</v>
      </c>
      <c r="P40">
        <f>F44</f>
        <v>1.0383057506424525E-3</v>
      </c>
    </row>
    <row r="41" spans="1:16" x14ac:dyDescent="0.25">
      <c r="B41" s="10">
        <f>1-C41-D41</f>
        <v>0.24345144730725521</v>
      </c>
      <c r="C41" s="10">
        <v>0.75654823983402175</v>
      </c>
      <c r="D41" s="10">
        <v>3.1285872303956722E-7</v>
      </c>
      <c r="E41" s="10"/>
      <c r="F41" s="10">
        <v>2.8936637407270486E-3</v>
      </c>
      <c r="G41" s="10">
        <v>0.18417284466105305</v>
      </c>
      <c r="H41" s="10">
        <f>1-F41-G41</f>
        <v>0.81293349159821982</v>
      </c>
      <c r="N41" t="s">
        <v>79</v>
      </c>
      <c r="O41">
        <v>0.99</v>
      </c>
    </row>
    <row r="42" spans="1:16" x14ac:dyDescent="0.25">
      <c r="A42" t="s">
        <v>73</v>
      </c>
      <c r="B42" s="10">
        <f>1-C42-D42</f>
        <v>0.16140423710925444</v>
      </c>
      <c r="C42" s="10">
        <v>0.83859512150696136</v>
      </c>
      <c r="D42" s="10">
        <v>6.4138378419169113E-7</v>
      </c>
      <c r="E42" s="10"/>
      <c r="F42" s="10">
        <v>1.9836847769882674E-3</v>
      </c>
      <c r="G42" s="10">
        <v>0.19899670456897306</v>
      </c>
      <c r="H42" s="10">
        <f>1-F42-G42</f>
        <v>0.79901961065403859</v>
      </c>
    </row>
    <row r="43" spans="1:16" x14ac:dyDescent="0.25">
      <c r="B43" s="10">
        <f>1-C43-D43</f>
        <v>0.12029898593118581</v>
      </c>
      <c r="C43" s="10">
        <v>0.87970009459703702</v>
      </c>
      <c r="D43" s="10">
        <v>9.1947177717157399E-7</v>
      </c>
      <c r="E43" s="10"/>
      <c r="F43" s="10">
        <v>1.5160696906143592E-3</v>
      </c>
      <c r="G43" s="10">
        <v>0.20615432025208241</v>
      </c>
      <c r="H43" s="10">
        <f>1-F43-G43</f>
        <v>0.79232961005730318</v>
      </c>
    </row>
    <row r="44" spans="1:16" x14ac:dyDescent="0.25">
      <c r="B44" s="10">
        <f>1-C44-D44</f>
        <v>7.9826450607321117E-2</v>
      </c>
      <c r="C44" s="10">
        <v>0.92017223831900208</v>
      </c>
      <c r="D44" s="10">
        <v>1.3110736768108535E-6</v>
      </c>
      <c r="E44" s="10"/>
      <c r="F44" s="10">
        <v>1.0383057506424525E-3</v>
      </c>
      <c r="G44" s="10">
        <v>0.21311901140656409</v>
      </c>
      <c r="H44" s="10">
        <f>1-F44-G44</f>
        <v>0.78584268284279346</v>
      </c>
    </row>
    <row r="45" spans="1:16" x14ac:dyDescent="0.25">
      <c r="B45" s="10">
        <f>1-C45-D45</f>
        <v>3.4108340281140445E-2</v>
      </c>
      <c r="C45" s="10">
        <v>0.96588970260333484</v>
      </c>
      <c r="D45" s="10">
        <v>1.9571155247142964E-6</v>
      </c>
      <c r="E45" s="10"/>
      <c r="F45" s="10">
        <v>4.6431130416273799E-4</v>
      </c>
      <c r="G45" s="10">
        <v>0.22100664396613828</v>
      </c>
      <c r="H45" s="10">
        <f>1-F45-G45</f>
        <v>0.77852904472969908</v>
      </c>
    </row>
    <row r="46" spans="1:16" x14ac:dyDescent="0.25">
      <c r="B46" s="10">
        <f>1-C46-D46</f>
        <v>1.4774528480840324E-2</v>
      </c>
      <c r="C46" s="10">
        <v>0.98522315354006029</v>
      </c>
      <c r="D46" s="10">
        <v>2.317979099382577E-6</v>
      </c>
      <c r="E46" s="10"/>
      <c r="F46" s="10">
        <v>2.057775783178221E-4</v>
      </c>
      <c r="G46" s="10">
        <v>0.22438770582103373</v>
      </c>
      <c r="H46" s="10">
        <f>1-F46-G46</f>
        <v>0.77540651660064841</v>
      </c>
    </row>
    <row r="47" spans="1:16" x14ac:dyDescent="0.25">
      <c r="B47" s="10">
        <f>1-C47-D47</f>
        <v>6.4503113536020611E-3</v>
      </c>
      <c r="C47" s="10">
        <v>0.99354719562409821</v>
      </c>
      <c r="D47" s="10">
        <v>2.4930222997269129E-6</v>
      </c>
      <c r="E47" s="10"/>
      <c r="F47" s="10">
        <v>9.0794831778585514E-5</v>
      </c>
      <c r="G47" s="10">
        <v>0.22585756931353534</v>
      </c>
      <c r="H47" s="10">
        <f>1-F47-G47</f>
        <v>0.77405163585468606</v>
      </c>
    </row>
    <row r="49" spans="1:11" x14ac:dyDescent="0.25">
      <c r="B49" t="s">
        <v>82</v>
      </c>
    </row>
    <row r="50" spans="1:11" x14ac:dyDescent="0.25">
      <c r="J50" t="s">
        <v>80</v>
      </c>
      <c r="K50" t="s">
        <v>81</v>
      </c>
    </row>
    <row r="51" spans="1:11" x14ac:dyDescent="0.25">
      <c r="A51" t="s">
        <v>73</v>
      </c>
      <c r="J51">
        <v>0</v>
      </c>
      <c r="K51">
        <v>1</v>
      </c>
    </row>
    <row r="52" spans="1:11" x14ac:dyDescent="0.25">
      <c r="J52">
        <v>1</v>
      </c>
      <c r="K52">
        <v>0</v>
      </c>
    </row>
    <row r="54" spans="1:11" x14ac:dyDescent="0.25">
      <c r="J54">
        <v>0</v>
      </c>
      <c r="K54">
        <v>0</v>
      </c>
    </row>
    <row r="55" spans="1:11" x14ac:dyDescent="0.25">
      <c r="A55" t="s">
        <v>73</v>
      </c>
      <c r="J55">
        <v>1</v>
      </c>
      <c r="K55">
        <v>0</v>
      </c>
    </row>
  </sheetData>
  <mergeCells count="10">
    <mergeCell ref="A21:E21"/>
    <mergeCell ref="B27:D27"/>
    <mergeCell ref="F27:H27"/>
    <mergeCell ref="M28:S28"/>
    <mergeCell ref="K12:Q12"/>
    <mergeCell ref="K16:Q16"/>
    <mergeCell ref="A19:A20"/>
    <mergeCell ref="D19:D20"/>
    <mergeCell ref="E19:E20"/>
    <mergeCell ref="B20:C2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NRTL_LLE">
                <anchor moveWithCells="1" sizeWithCells="1">
                  <from>
                    <xdr:col>17</xdr:col>
                    <xdr:colOff>581025</xdr:colOff>
                    <xdr:row>15</xdr:row>
                    <xdr:rowOff>19050</xdr:rowOff>
                  </from>
                  <to>
                    <xdr:col>20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2025-02-25T10:40:36Z</dcterms:modified>
</cp:coreProperties>
</file>