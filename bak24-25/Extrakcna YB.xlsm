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Workbook________" defaultThemeVersion="124226"/>
  <bookViews>
    <workbookView xWindow="240" yWindow="105" windowWidth="14805" windowHeight="8010" activeTab="2"/>
  </bookViews>
  <sheets>
    <sheet name="Vytazky" sheetId="9" r:id="rId1"/>
    <sheet name="MB 5 PTE s ns=10" sheetId="3" r:id="rId2"/>
    <sheet name="MB 5 PTE" sheetId="1" r:id="rId3"/>
    <sheet name="1 kontakt" sheetId="4" r:id="rId4"/>
    <sheet name="2 kontakty" sheetId="5" r:id="rId5"/>
    <sheet name="3 kontakty" sheetId="6" r:id="rId6"/>
    <sheet name="4 kont" sheetId="8" r:id="rId7"/>
    <sheet name="8 kont" sheetId="7" r:id="rId8"/>
  </sheets>
  <definedNames>
    <definedName name="solver_adj" localSheetId="3" hidden="1">'1 kontakt'!$A$5:$B$5</definedName>
    <definedName name="solver_adj" localSheetId="7" hidden="1">'8 kont'!$I$16</definedName>
    <definedName name="solver_cvg" localSheetId="3" hidden="1">0.0001</definedName>
    <definedName name="solver_cvg" localSheetId="7" hidden="1">0.0001</definedName>
    <definedName name="solver_drv" localSheetId="3" hidden="1">1</definedName>
    <definedName name="solver_drv" localSheetId="7" hidden="1">1</definedName>
    <definedName name="solver_eng" localSheetId="3" hidden="1">1</definedName>
    <definedName name="solver_eng" localSheetId="7" hidden="1">1</definedName>
    <definedName name="solver_est" localSheetId="3" hidden="1">1</definedName>
    <definedName name="solver_est" localSheetId="7" hidden="1">1</definedName>
    <definedName name="solver_itr" localSheetId="3" hidden="1">2147483647</definedName>
    <definedName name="solver_itr" localSheetId="7" hidden="1">2147483647</definedName>
    <definedName name="solver_mip" localSheetId="3" hidden="1">2147483647</definedName>
    <definedName name="solver_mip" localSheetId="7" hidden="1">2147483647</definedName>
    <definedName name="solver_mni" localSheetId="3" hidden="1">30</definedName>
    <definedName name="solver_mni" localSheetId="7" hidden="1">30</definedName>
    <definedName name="solver_mrt" localSheetId="3" hidden="1">0.075</definedName>
    <definedName name="solver_mrt" localSheetId="7" hidden="1">0.075</definedName>
    <definedName name="solver_msl" localSheetId="3" hidden="1">2</definedName>
    <definedName name="solver_msl" localSheetId="7" hidden="1">2</definedName>
    <definedName name="solver_neg" localSheetId="3" hidden="1">1</definedName>
    <definedName name="solver_neg" localSheetId="7" hidden="1">1</definedName>
    <definedName name="solver_nod" localSheetId="3" hidden="1">2147483647</definedName>
    <definedName name="solver_nod" localSheetId="7" hidden="1">2147483647</definedName>
    <definedName name="solver_num" localSheetId="3" hidden="1">0</definedName>
    <definedName name="solver_num" localSheetId="7" hidden="1">0</definedName>
    <definedName name="solver_nwt" localSheetId="3" hidden="1">1</definedName>
    <definedName name="solver_nwt" localSheetId="7" hidden="1">1</definedName>
    <definedName name="solver_opt" localSheetId="3" hidden="1">'1 kontakt'!$W$6</definedName>
    <definedName name="solver_opt" localSheetId="7" hidden="1">'8 kont'!$N$17</definedName>
    <definedName name="solver_pre" localSheetId="3" hidden="1">0.000001</definedName>
    <definedName name="solver_pre" localSheetId="7" hidden="1">0.000001</definedName>
    <definedName name="solver_rbv" localSheetId="3" hidden="1">1</definedName>
    <definedName name="solver_rbv" localSheetId="7" hidden="1">1</definedName>
    <definedName name="solver_rlx" localSheetId="3" hidden="1">2</definedName>
    <definedName name="solver_rlx" localSheetId="7" hidden="1">2</definedName>
    <definedName name="solver_rsd" localSheetId="3" hidden="1">0</definedName>
    <definedName name="solver_rsd" localSheetId="7" hidden="1">0</definedName>
    <definedName name="solver_scl" localSheetId="3" hidden="1">1</definedName>
    <definedName name="solver_scl" localSheetId="7" hidden="1">1</definedName>
    <definedName name="solver_sho" localSheetId="3" hidden="1">2</definedName>
    <definedName name="solver_sho" localSheetId="7" hidden="1">2</definedName>
    <definedName name="solver_ssz" localSheetId="3" hidden="1">100</definedName>
    <definedName name="solver_ssz" localSheetId="7" hidden="1">100</definedName>
    <definedName name="solver_tim" localSheetId="3" hidden="1">2147483647</definedName>
    <definedName name="solver_tim" localSheetId="7" hidden="1">2147483647</definedName>
    <definedName name="solver_tol" localSheetId="3" hidden="1">0.01</definedName>
    <definedName name="solver_tol" localSheetId="7" hidden="1">0.01</definedName>
    <definedName name="solver_typ" localSheetId="3" hidden="1">3</definedName>
    <definedName name="solver_typ" localSheetId="7" hidden="1">2</definedName>
    <definedName name="solver_val" localSheetId="3" hidden="1">0</definedName>
    <definedName name="solver_val" localSheetId="7" hidden="1">0</definedName>
    <definedName name="solver_ver" localSheetId="3" hidden="1">3</definedName>
    <definedName name="solver_ver" localSheetId="7" hidden="1">3</definedName>
  </definedNames>
  <calcPr calcId="145621"/>
</workbook>
</file>

<file path=xl/calcChain.xml><?xml version="1.0" encoding="utf-8"?>
<calcChain xmlns="http://schemas.openxmlformats.org/spreadsheetml/2006/main">
  <c r="E8" i="9" l="1"/>
  <c r="C6" i="9"/>
  <c r="D6" i="9"/>
  <c r="E6" i="9"/>
  <c r="F6" i="9"/>
  <c r="B6" i="9"/>
  <c r="AQ32" i="8"/>
  <c r="AP25" i="8" s="1"/>
  <c r="AR29" i="8"/>
  <c r="AX24" i="8"/>
  <c r="C5" i="9"/>
  <c r="D5" i="9"/>
  <c r="E5" i="9"/>
  <c r="F5" i="9"/>
  <c r="B5" i="9"/>
  <c r="U17" i="6"/>
  <c r="V17" i="6"/>
  <c r="W17" i="6"/>
  <c r="X17" i="6"/>
  <c r="Y17" i="6"/>
  <c r="U18" i="6"/>
  <c r="V18" i="6"/>
  <c r="W18" i="6"/>
  <c r="X18" i="6"/>
  <c r="Y18" i="6"/>
  <c r="U16" i="6"/>
  <c r="V16" i="6"/>
  <c r="W16" i="6"/>
  <c r="X16" i="6"/>
  <c r="Y16" i="6"/>
  <c r="AC16" i="6" s="1"/>
  <c r="E4" i="9"/>
  <c r="S14" i="5"/>
  <c r="T14" i="5"/>
  <c r="U14" i="5"/>
  <c r="V14" i="5"/>
  <c r="W14" i="5"/>
  <c r="S13" i="5"/>
  <c r="T13" i="5"/>
  <c r="U13" i="5"/>
  <c r="V13" i="5"/>
  <c r="W13" i="5"/>
  <c r="AA13" i="5" s="1"/>
  <c r="E7" i="9"/>
  <c r="AV24" i="8" l="1"/>
  <c r="AU24" i="8"/>
  <c r="O41" i="1"/>
  <c r="AO33" i="1" s="1"/>
  <c r="R13" i="1" s="1"/>
  <c r="O40" i="1"/>
  <c r="AO32" i="1" s="1"/>
  <c r="R12" i="1" s="1"/>
  <c r="O39" i="1"/>
  <c r="AO31" i="1" s="1"/>
  <c r="R11" i="1" s="1"/>
  <c r="B39" i="1"/>
  <c r="O38" i="1"/>
  <c r="AO30" i="1" s="1"/>
  <c r="R10" i="1" s="1"/>
  <c r="O37" i="1"/>
  <c r="AO29" i="1" s="1"/>
  <c r="AN34" i="1"/>
  <c r="AN33" i="1"/>
  <c r="Q13" i="1" s="1"/>
  <c r="AM33" i="1"/>
  <c r="P13" i="1" s="1"/>
  <c r="AL33" i="1"/>
  <c r="AN32" i="1"/>
  <c r="Q12" i="1" s="1"/>
  <c r="AM32" i="1"/>
  <c r="P12" i="1" s="1"/>
  <c r="AL32" i="1"/>
  <c r="AN31" i="1"/>
  <c r="Q11" i="1" s="1"/>
  <c r="AM31" i="1"/>
  <c r="P11" i="1" s="1"/>
  <c r="AL31" i="1"/>
  <c r="AN30" i="1"/>
  <c r="Q10" i="1" s="1"/>
  <c r="AM30" i="1"/>
  <c r="P10" i="1" s="1"/>
  <c r="AL30" i="1"/>
  <c r="AN29" i="1"/>
  <c r="AR29" i="1" s="1"/>
  <c r="AM29" i="1"/>
  <c r="P9" i="1" s="1"/>
  <c r="AL29" i="1"/>
  <c r="AQ28" i="1"/>
  <c r="L25" i="1"/>
  <c r="R25" i="1" s="1"/>
  <c r="K25" i="1"/>
  <c r="Q25" i="1" s="1"/>
  <c r="J25" i="1"/>
  <c r="P25" i="1" s="1"/>
  <c r="I25" i="1"/>
  <c r="H25" i="1"/>
  <c r="N25" i="1" s="1"/>
  <c r="G25" i="1"/>
  <c r="M19" i="1"/>
  <c r="K19" i="1"/>
  <c r="I19" i="1"/>
  <c r="G19" i="1"/>
  <c r="E19" i="1"/>
  <c r="C19" i="1"/>
  <c r="R14" i="1"/>
  <c r="Q14" i="1"/>
  <c r="P14" i="1"/>
  <c r="M12" i="1"/>
  <c r="K12" i="1"/>
  <c r="I12" i="1"/>
  <c r="G12" i="1"/>
  <c r="E12" i="1"/>
  <c r="C12" i="1"/>
  <c r="S3" i="1"/>
  <c r="R3" i="1"/>
  <c r="Q3" i="1"/>
  <c r="P3" i="1"/>
  <c r="AE2" i="1"/>
  <c r="Q9" i="1" l="1"/>
  <c r="AW24" i="1"/>
  <c r="D7" i="9" s="1"/>
  <c r="R9" i="1"/>
  <c r="AE16" i="1"/>
  <c r="B12" i="1"/>
  <c r="AE9" i="1"/>
  <c r="P46" i="1"/>
  <c r="P44" i="1"/>
  <c r="P45" i="1"/>
  <c r="P47" i="1"/>
  <c r="P43" i="1"/>
  <c r="AP29" i="1"/>
  <c r="S47" i="1"/>
  <c r="S45" i="1"/>
  <c r="S43" i="1"/>
  <c r="S44" i="1"/>
  <c r="S46" i="1"/>
  <c r="T46" i="1"/>
  <c r="M25" i="1"/>
  <c r="O25" i="1"/>
  <c r="AP30" i="1"/>
  <c r="AP31" i="1"/>
  <c r="AP32" i="1"/>
  <c r="AP33" i="1"/>
  <c r="T43" i="1"/>
  <c r="U44" i="1"/>
  <c r="T47" i="1"/>
  <c r="T45" i="1"/>
  <c r="U46" i="1"/>
  <c r="B3" i="9"/>
  <c r="AW24" i="8"/>
  <c r="AA11" i="6"/>
  <c r="Y8" i="5"/>
  <c r="D4" i="9" s="1"/>
  <c r="W6" i="4"/>
  <c r="U6" i="4"/>
  <c r="AY37" i="3"/>
  <c r="AW37" i="3"/>
  <c r="AX37" i="3"/>
  <c r="V6" i="4"/>
  <c r="P16" i="4"/>
  <c r="AJ30" i="3"/>
  <c r="AK30" i="3"/>
  <c r="AL30" i="3"/>
  <c r="AM30" i="3"/>
  <c r="AN30" i="3"/>
  <c r="AJ31" i="3"/>
  <c r="AK31" i="3"/>
  <c r="AL31" i="3"/>
  <c r="AM31" i="3"/>
  <c r="AN31" i="3"/>
  <c r="AJ32" i="3"/>
  <c r="AK32" i="3"/>
  <c r="AL32" i="3"/>
  <c r="AM32" i="3"/>
  <c r="AN32" i="3"/>
  <c r="AJ33" i="3"/>
  <c r="AK33" i="3"/>
  <c r="AL33" i="3"/>
  <c r="AM33" i="3"/>
  <c r="AN33" i="3"/>
  <c r="AJ29" i="3"/>
  <c r="AK29" i="3"/>
  <c r="AL29" i="3"/>
  <c r="AM29" i="3"/>
  <c r="AN29" i="3"/>
  <c r="Q47" i="1" l="1"/>
  <c r="Q45" i="1"/>
  <c r="Q43" i="1"/>
  <c r="Q46" i="1"/>
  <c r="Q44" i="1"/>
  <c r="U45" i="1"/>
  <c r="T44" i="1"/>
  <c r="B10" i="1"/>
  <c r="B11" i="1"/>
  <c r="B9" i="1"/>
  <c r="R46" i="1"/>
  <c r="R44" i="1"/>
  <c r="R47" i="1"/>
  <c r="R43" i="1"/>
  <c r="R45" i="1"/>
  <c r="U43" i="1"/>
  <c r="U47" i="1"/>
  <c r="Z2" i="7"/>
  <c r="C21" i="7"/>
  <c r="D21" i="7"/>
  <c r="E21" i="7"/>
  <c r="F21" i="7"/>
  <c r="G21" i="7"/>
  <c r="C22" i="7"/>
  <c r="D22" i="7"/>
  <c r="E22" i="7"/>
  <c r="F22" i="7"/>
  <c r="G22" i="7"/>
  <c r="C23" i="7"/>
  <c r="D23" i="7"/>
  <c r="E23" i="7"/>
  <c r="F23" i="7"/>
  <c r="G23" i="7"/>
  <c r="M23" i="7" s="1"/>
  <c r="C24" i="7"/>
  <c r="D24" i="7"/>
  <c r="E24" i="7"/>
  <c r="F24" i="7"/>
  <c r="G24" i="7"/>
  <c r="C25" i="7"/>
  <c r="D25" i="7"/>
  <c r="E25" i="7"/>
  <c r="F25" i="7"/>
  <c r="G25" i="7"/>
  <c r="C26" i="7"/>
  <c r="D26" i="7"/>
  <c r="E26" i="7"/>
  <c r="F26" i="7"/>
  <c r="G26" i="7"/>
  <c r="C27" i="7"/>
  <c r="D27" i="7"/>
  <c r="E27" i="7"/>
  <c r="F27" i="7"/>
  <c r="G27" i="7"/>
  <c r="C20" i="7"/>
  <c r="D20" i="7"/>
  <c r="E20" i="7"/>
  <c r="F20" i="7"/>
  <c r="G20" i="7"/>
  <c r="K20" i="7" s="1"/>
  <c r="J32" i="7"/>
  <c r="J33" i="7"/>
  <c r="J34" i="7"/>
  <c r="J35" i="7"/>
  <c r="J36" i="7"/>
  <c r="J37" i="7"/>
  <c r="J38" i="7"/>
  <c r="D15" i="7" l="1"/>
  <c r="D8" i="9" s="1"/>
  <c r="S9" i="1"/>
  <c r="V44" i="1"/>
  <c r="Y44" i="1" s="1"/>
  <c r="W46" i="1"/>
  <c r="Z46" i="1" s="1"/>
  <c r="V47" i="1"/>
  <c r="Y47" i="1" s="1"/>
  <c r="X44" i="1"/>
  <c r="AA44" i="1" s="1"/>
  <c r="X46" i="1"/>
  <c r="AA46" i="1" s="1"/>
  <c r="W44" i="1"/>
  <c r="Z44" i="1" s="1"/>
  <c r="W45" i="1"/>
  <c r="Z45" i="1" s="1"/>
  <c r="W47" i="1"/>
  <c r="Z47" i="1" s="1"/>
  <c r="X43" i="1"/>
  <c r="AA43" i="1" s="1"/>
  <c r="W43" i="1"/>
  <c r="Z43" i="1" s="1"/>
  <c r="V43" i="1"/>
  <c r="Y43" i="1" s="1"/>
  <c r="V46" i="1"/>
  <c r="Y46" i="1" s="1"/>
  <c r="X47" i="1"/>
  <c r="AA47" i="1" s="1"/>
  <c r="V45" i="1"/>
  <c r="Y45" i="1" s="1"/>
  <c r="X45" i="1"/>
  <c r="AA45" i="1" s="1"/>
  <c r="M20" i="7"/>
  <c r="M26" i="7"/>
  <c r="M24" i="7"/>
  <c r="M22" i="7"/>
  <c r="M27" i="7"/>
  <c r="M25" i="7"/>
  <c r="M21" i="7"/>
  <c r="I41" i="7"/>
  <c r="I42" i="7"/>
  <c r="I43" i="7"/>
  <c r="I44" i="7"/>
  <c r="I45" i="7"/>
  <c r="I46" i="7"/>
  <c r="I47" i="7"/>
  <c r="I48" i="7"/>
  <c r="B27" i="7" s="1"/>
  <c r="J27" i="7" s="1"/>
  <c r="I16" i="7" s="1"/>
  <c r="O46" i="7"/>
  <c r="O47" i="7"/>
  <c r="O48" i="7"/>
  <c r="Z22" i="7"/>
  <c r="Z12" i="7"/>
  <c r="C15" i="7" l="1"/>
  <c r="C8" i="9" s="1"/>
  <c r="B15" i="7"/>
  <c r="B8" i="9" s="1"/>
  <c r="Z9" i="7"/>
  <c r="Z19" i="7"/>
  <c r="Z29" i="7"/>
  <c r="I12" i="7"/>
  <c r="B19" i="1"/>
  <c r="H26" i="7"/>
  <c r="N26" i="7" s="1"/>
  <c r="L10" i="7" s="1"/>
  <c r="B26" i="7"/>
  <c r="L26" i="7" s="1"/>
  <c r="J10" i="7" s="1"/>
  <c r="B24" i="7"/>
  <c r="L24" i="7" s="1"/>
  <c r="J8" i="7" s="1"/>
  <c r="B22" i="7"/>
  <c r="L22" i="7" s="1"/>
  <c r="J6" i="7" s="1"/>
  <c r="B20" i="7"/>
  <c r="L20" i="7" s="1"/>
  <c r="J4" i="7" s="1"/>
  <c r="H27" i="7"/>
  <c r="N27" i="7" s="1"/>
  <c r="L11" i="7" s="1"/>
  <c r="H25" i="7"/>
  <c r="N25" i="7" s="1"/>
  <c r="L9" i="7" s="1"/>
  <c r="B25" i="7"/>
  <c r="L25" i="7" s="1"/>
  <c r="J9" i="7" s="1"/>
  <c r="B23" i="7"/>
  <c r="B21" i="7"/>
  <c r="L21" i="7" s="1"/>
  <c r="J5" i="7" s="1"/>
  <c r="L27" i="7"/>
  <c r="J11" i="7" s="1"/>
  <c r="L36" i="7"/>
  <c r="L38" i="7"/>
  <c r="L37" i="7"/>
  <c r="K9" i="7"/>
  <c r="K10" i="7"/>
  <c r="K11" i="7"/>
  <c r="K28" i="7"/>
  <c r="F15" i="7" s="1"/>
  <c r="F8" i="9" s="1"/>
  <c r="G28" i="7"/>
  <c r="K8" i="7"/>
  <c r="K7" i="7"/>
  <c r="K6" i="7"/>
  <c r="K5" i="7"/>
  <c r="K4" i="7"/>
  <c r="J19" i="7"/>
  <c r="O45" i="7"/>
  <c r="L35" i="7"/>
  <c r="O44" i="7"/>
  <c r="L34" i="7"/>
  <c r="O43" i="7"/>
  <c r="L33" i="7"/>
  <c r="B44" i="7"/>
  <c r="T38" i="7" s="1"/>
  <c r="Z38" i="7" s="1"/>
  <c r="O42" i="7"/>
  <c r="L32" i="7"/>
  <c r="O41" i="7"/>
  <c r="L31" i="7"/>
  <c r="U38" i="7"/>
  <c r="AA38" i="7" s="1"/>
  <c r="S38" i="7"/>
  <c r="Y38" i="7" s="1"/>
  <c r="Q38" i="7"/>
  <c r="F4" i="8"/>
  <c r="P16" i="8"/>
  <c r="P9" i="8"/>
  <c r="P2" i="8"/>
  <c r="O40" i="8"/>
  <c r="I40" i="8"/>
  <c r="L33" i="8" s="1"/>
  <c r="O39" i="8"/>
  <c r="I39" i="8"/>
  <c r="B39" i="8"/>
  <c r="O38" i="8"/>
  <c r="I38" i="8"/>
  <c r="L31" i="8" s="1"/>
  <c r="O37" i="8"/>
  <c r="I37" i="8"/>
  <c r="L30" i="8" s="1"/>
  <c r="AR33" i="8"/>
  <c r="AY24" i="8" s="1"/>
  <c r="AN33" i="8"/>
  <c r="J33" i="8"/>
  <c r="AU32" i="8"/>
  <c r="I7" i="8" s="1"/>
  <c r="AT32" i="8"/>
  <c r="H7" i="8" s="1"/>
  <c r="AS32" i="8"/>
  <c r="G7" i="8" s="1"/>
  <c r="AP32" i="8"/>
  <c r="J32" i="8"/>
  <c r="AU31" i="8"/>
  <c r="I6" i="8" s="1"/>
  <c r="AT31" i="8"/>
  <c r="H6" i="8" s="1"/>
  <c r="AS31" i="8"/>
  <c r="G6" i="8" s="1"/>
  <c r="AP31" i="8"/>
  <c r="J31" i="8"/>
  <c r="AU30" i="8"/>
  <c r="I5" i="8" s="1"/>
  <c r="AT30" i="8"/>
  <c r="H5" i="8" s="1"/>
  <c r="AS30" i="8"/>
  <c r="G5" i="8" s="1"/>
  <c r="AP30" i="8"/>
  <c r="J30" i="8"/>
  <c r="AU29" i="8"/>
  <c r="I4" i="8" s="1"/>
  <c r="AT29" i="8"/>
  <c r="H4" i="8" s="1"/>
  <c r="AS29" i="8"/>
  <c r="G4" i="8" s="1"/>
  <c r="AP29" i="8"/>
  <c r="AQ28" i="8"/>
  <c r="R25" i="8"/>
  <c r="N25" i="8"/>
  <c r="L25" i="8"/>
  <c r="K25" i="8"/>
  <c r="Q25" i="8" s="1"/>
  <c r="J25" i="8"/>
  <c r="P25" i="8" s="1"/>
  <c r="I25" i="8"/>
  <c r="H25" i="8"/>
  <c r="G25" i="8"/>
  <c r="F8" i="8"/>
  <c r="P19" i="8" s="1"/>
  <c r="E3" i="8"/>
  <c r="P5" i="8" l="1"/>
  <c r="P12" i="8"/>
  <c r="B18" i="1"/>
  <c r="B17" i="1"/>
  <c r="B16" i="1"/>
  <c r="L23" i="7"/>
  <c r="J7" i="7" s="1"/>
  <c r="H20" i="7"/>
  <c r="N20" i="7" s="1"/>
  <c r="L4" i="7" s="1"/>
  <c r="H21" i="7"/>
  <c r="N21" i="7" s="1"/>
  <c r="L5" i="7" s="1"/>
  <c r="H22" i="7"/>
  <c r="N22" i="7" s="1"/>
  <c r="L6" i="7" s="1"/>
  <c r="H23" i="7"/>
  <c r="H24" i="7"/>
  <c r="N24" i="7" s="1"/>
  <c r="L8" i="7" s="1"/>
  <c r="H11" i="7"/>
  <c r="J26" i="7"/>
  <c r="I4" i="7"/>
  <c r="P38" i="7"/>
  <c r="R38" i="7"/>
  <c r="V38" i="7"/>
  <c r="T43" i="7" s="1"/>
  <c r="X38" i="7"/>
  <c r="U57" i="7" s="1"/>
  <c r="T41" i="7"/>
  <c r="U43" i="7"/>
  <c r="T44" i="7"/>
  <c r="U45" i="7"/>
  <c r="W38" i="7"/>
  <c r="P45" i="7" s="1"/>
  <c r="U41" i="7"/>
  <c r="T42" i="7"/>
  <c r="U44" i="7"/>
  <c r="T45" i="7"/>
  <c r="AQ31" i="8"/>
  <c r="E6" i="8" s="1"/>
  <c r="N5" i="8" s="1"/>
  <c r="E7" i="8"/>
  <c r="P45" i="8"/>
  <c r="P43" i="8"/>
  <c r="P46" i="8"/>
  <c r="S37" i="8"/>
  <c r="P39" i="8"/>
  <c r="T40" i="8"/>
  <c r="S43" i="8"/>
  <c r="S46" i="8"/>
  <c r="S44" i="8"/>
  <c r="S39" i="8"/>
  <c r="S45" i="8"/>
  <c r="S40" i="8"/>
  <c r="L32" i="8"/>
  <c r="T37" i="8"/>
  <c r="S38" i="8"/>
  <c r="P44" i="8"/>
  <c r="T43" i="8"/>
  <c r="M25" i="8"/>
  <c r="O25" i="8"/>
  <c r="P37" i="8"/>
  <c r="U38" i="8"/>
  <c r="P38" i="8"/>
  <c r="T38" i="8"/>
  <c r="U43" i="8"/>
  <c r="T46" i="8"/>
  <c r="P40" i="8"/>
  <c r="N23" i="7" l="1"/>
  <c r="L7" i="7" s="1"/>
  <c r="K27" i="7"/>
  <c r="H10" i="7"/>
  <c r="P44" i="7"/>
  <c r="P55" i="7"/>
  <c r="P56" i="7"/>
  <c r="P48" i="7"/>
  <c r="P57" i="7"/>
  <c r="P46" i="7"/>
  <c r="P47" i="7"/>
  <c r="S52" i="7"/>
  <c r="S51" i="7"/>
  <c r="T52" i="7"/>
  <c r="Q57" i="7"/>
  <c r="Q46" i="7"/>
  <c r="Q47" i="7"/>
  <c r="Q55" i="7"/>
  <c r="Q56" i="7"/>
  <c r="Q48" i="7"/>
  <c r="T56" i="7"/>
  <c r="S47" i="7"/>
  <c r="T48" i="7"/>
  <c r="U55" i="7"/>
  <c r="U56" i="7"/>
  <c r="S46" i="7"/>
  <c r="T47" i="7"/>
  <c r="U48" i="7"/>
  <c r="P43" i="7"/>
  <c r="P42" i="7"/>
  <c r="S41" i="7"/>
  <c r="S44" i="7"/>
  <c r="S43" i="7"/>
  <c r="R55" i="7"/>
  <c r="R56" i="7"/>
  <c r="R46" i="7"/>
  <c r="R48" i="7"/>
  <c r="R57" i="7"/>
  <c r="R47" i="7"/>
  <c r="U46" i="7"/>
  <c r="U47" i="7"/>
  <c r="S55" i="7"/>
  <c r="S56" i="7"/>
  <c r="T57" i="7"/>
  <c r="T46" i="7"/>
  <c r="S48" i="7"/>
  <c r="S57" i="7"/>
  <c r="T55" i="7"/>
  <c r="P54" i="7"/>
  <c r="P52" i="7"/>
  <c r="P50" i="7"/>
  <c r="P53" i="7"/>
  <c r="P51" i="7"/>
  <c r="S50" i="7"/>
  <c r="S54" i="7"/>
  <c r="S45" i="7"/>
  <c r="S53" i="7"/>
  <c r="P41" i="7"/>
  <c r="R54" i="7"/>
  <c r="R52" i="7"/>
  <c r="R50" i="7"/>
  <c r="R44" i="7"/>
  <c r="R53" i="7"/>
  <c r="R51" i="7"/>
  <c r="R45" i="7"/>
  <c r="R43" i="7"/>
  <c r="R42" i="7"/>
  <c r="R41" i="7"/>
  <c r="U50" i="7"/>
  <c r="U54" i="7"/>
  <c r="U53" i="7"/>
  <c r="T53" i="7"/>
  <c r="U42" i="7"/>
  <c r="Q53" i="7"/>
  <c r="Q51" i="7"/>
  <c r="Q45" i="7"/>
  <c r="Q43" i="7"/>
  <c r="Q54" i="7"/>
  <c r="Q52" i="7"/>
  <c r="Q50" i="7"/>
  <c r="Q44" i="7"/>
  <c r="Q41" i="7"/>
  <c r="Q42" i="7"/>
  <c r="U52" i="7"/>
  <c r="U51" i="7"/>
  <c r="T51" i="7"/>
  <c r="T50" i="7"/>
  <c r="T54" i="7"/>
  <c r="S42" i="7"/>
  <c r="R45" i="8"/>
  <c r="R43" i="8"/>
  <c r="R40" i="8"/>
  <c r="R44" i="8"/>
  <c r="R39" i="8"/>
  <c r="R38" i="8"/>
  <c r="R37" i="8"/>
  <c r="R46" i="8"/>
  <c r="U40" i="8"/>
  <c r="U37" i="8"/>
  <c r="U45" i="8"/>
  <c r="U44" i="8"/>
  <c r="U39" i="8"/>
  <c r="Q46" i="8"/>
  <c r="Q44" i="8"/>
  <c r="Q39" i="8"/>
  <c r="Q43" i="8"/>
  <c r="Q45" i="8"/>
  <c r="Q37" i="8"/>
  <c r="T44" i="8"/>
  <c r="Q40" i="8"/>
  <c r="Q38" i="8"/>
  <c r="W38" i="8" s="1"/>
  <c r="Z38" i="8" s="1"/>
  <c r="U46" i="8"/>
  <c r="T45" i="8"/>
  <c r="T39" i="8"/>
  <c r="W40" i="8" l="1"/>
  <c r="Z40" i="8" s="1"/>
  <c r="J25" i="7"/>
  <c r="K26" i="7" s="1"/>
  <c r="J24" i="7" s="1"/>
  <c r="K25" i="7" s="1"/>
  <c r="V56" i="7"/>
  <c r="Y56" i="7" s="1"/>
  <c r="W55" i="7"/>
  <c r="Z55" i="7" s="1"/>
  <c r="W44" i="7"/>
  <c r="Z44" i="7" s="1"/>
  <c r="W43" i="7"/>
  <c r="Z43" i="7" s="1"/>
  <c r="V57" i="7"/>
  <c r="Y57" i="7" s="1"/>
  <c r="W46" i="7"/>
  <c r="Z46" i="7" s="1"/>
  <c r="X47" i="7"/>
  <c r="AA47" i="7" s="1"/>
  <c r="X41" i="7"/>
  <c r="AA41" i="7" s="1"/>
  <c r="W54" i="7"/>
  <c r="Z54" i="7" s="1"/>
  <c r="W51" i="7"/>
  <c r="Z51" i="7" s="1"/>
  <c r="X52" i="7"/>
  <c r="AA52" i="7" s="1"/>
  <c r="W45" i="7"/>
  <c r="Z45" i="7" s="1"/>
  <c r="X57" i="7"/>
  <c r="AA57" i="7" s="1"/>
  <c r="V42" i="7"/>
  <c r="Y42" i="7" s="1"/>
  <c r="W42" i="7"/>
  <c r="Z42" i="7" s="1"/>
  <c r="W52" i="7"/>
  <c r="Z52" i="7" s="1"/>
  <c r="X43" i="7"/>
  <c r="AA43" i="7" s="1"/>
  <c r="X44" i="7"/>
  <c r="AA44" i="7" s="1"/>
  <c r="V41" i="7"/>
  <c r="Y41" i="7" s="1"/>
  <c r="V48" i="7"/>
  <c r="Y48" i="7" s="1"/>
  <c r="W57" i="7"/>
  <c r="Z57" i="7" s="1"/>
  <c r="V55" i="7"/>
  <c r="Y55" i="7" s="1"/>
  <c r="X48" i="7"/>
  <c r="AA48" i="7" s="1"/>
  <c r="V46" i="7"/>
  <c r="Y46" i="7" s="1"/>
  <c r="X55" i="7"/>
  <c r="AA55" i="7" s="1"/>
  <c r="V47" i="7"/>
  <c r="Y47" i="7" s="1"/>
  <c r="X46" i="7"/>
  <c r="AA46" i="7" s="1"/>
  <c r="X56" i="7"/>
  <c r="AA56" i="7" s="1"/>
  <c r="W47" i="7"/>
  <c r="Z47" i="7" s="1"/>
  <c r="W48" i="7"/>
  <c r="Z48" i="7" s="1"/>
  <c r="W56" i="7"/>
  <c r="Z56" i="7" s="1"/>
  <c r="W50" i="7"/>
  <c r="Z50" i="7" s="1"/>
  <c r="X51" i="7"/>
  <c r="AA51" i="7" s="1"/>
  <c r="W41" i="7"/>
  <c r="Z41" i="7" s="1"/>
  <c r="X45" i="7"/>
  <c r="AA45" i="7" s="1"/>
  <c r="V43" i="7"/>
  <c r="Y43" i="7" s="1"/>
  <c r="V44" i="7"/>
  <c r="Y44" i="7" s="1"/>
  <c r="W53" i="7"/>
  <c r="Z53" i="7" s="1"/>
  <c r="X54" i="7"/>
  <c r="AA54" i="7" s="1"/>
  <c r="V53" i="7"/>
  <c r="Y53" i="7" s="1"/>
  <c r="V54" i="7"/>
  <c r="Y54" i="7" s="1"/>
  <c r="V51" i="7"/>
  <c r="Y51" i="7" s="1"/>
  <c r="V52" i="7"/>
  <c r="Y52" i="7" s="1"/>
  <c r="X42" i="7"/>
  <c r="AA42" i="7" s="1"/>
  <c r="X53" i="7"/>
  <c r="AA53" i="7" s="1"/>
  <c r="X50" i="7"/>
  <c r="AA50" i="7" s="1"/>
  <c r="V45" i="7"/>
  <c r="Y45" i="7" s="1"/>
  <c r="V50" i="7"/>
  <c r="Y50" i="7" s="1"/>
  <c r="V45" i="8"/>
  <c r="Y45" i="8" s="1"/>
  <c r="W45" i="8"/>
  <c r="Z45" i="8" s="1"/>
  <c r="W44" i="8"/>
  <c r="Z44" i="8" s="1"/>
  <c r="AC38" i="8" s="1"/>
  <c r="N51" i="8" s="1"/>
  <c r="N31" i="8" s="1"/>
  <c r="V46" i="8"/>
  <c r="Y46" i="8" s="1"/>
  <c r="V37" i="8"/>
  <c r="Y37" i="8" s="1"/>
  <c r="X43" i="8"/>
  <c r="AA43" i="8" s="1"/>
  <c r="V43" i="8"/>
  <c r="Y43" i="8" s="1"/>
  <c r="W37" i="8"/>
  <c r="Z37" i="8" s="1"/>
  <c r="W43" i="8"/>
  <c r="Z43" i="8" s="1"/>
  <c r="W46" i="8"/>
  <c r="Z46" i="8" s="1"/>
  <c r="V39" i="8"/>
  <c r="Y39" i="8" s="1"/>
  <c r="AB39" i="8" s="1"/>
  <c r="M52" i="8" s="1"/>
  <c r="M32" i="8" s="1"/>
  <c r="V40" i="8"/>
  <c r="Y40" i="8" s="1"/>
  <c r="X40" i="8"/>
  <c r="AA40" i="8" s="1"/>
  <c r="X39" i="8"/>
  <c r="AA39" i="8" s="1"/>
  <c r="N12" i="8"/>
  <c r="N19" i="8"/>
  <c r="V44" i="8"/>
  <c r="Y44" i="8" s="1"/>
  <c r="V38" i="8"/>
  <c r="Y38" i="8" s="1"/>
  <c r="X44" i="8"/>
  <c r="AA44" i="8" s="1"/>
  <c r="X45" i="8"/>
  <c r="AA45" i="8" s="1"/>
  <c r="X38" i="8"/>
  <c r="AA38" i="8" s="1"/>
  <c r="W39" i="8"/>
  <c r="Z39" i="8" s="1"/>
  <c r="X46" i="8"/>
  <c r="AA46" i="8" s="1"/>
  <c r="X37" i="8"/>
  <c r="AA37" i="8" s="1"/>
  <c r="AC40" i="8" l="1"/>
  <c r="N53" i="8" s="1"/>
  <c r="N33" i="8" s="1"/>
  <c r="AB37" i="8"/>
  <c r="M50" i="8" s="1"/>
  <c r="M30" i="8" s="1"/>
  <c r="AB46" i="8"/>
  <c r="I53" i="8" s="1"/>
  <c r="J23" i="7"/>
  <c r="AC46" i="7"/>
  <c r="L57" i="7" s="1"/>
  <c r="N36" i="7" s="1"/>
  <c r="AD43" i="7"/>
  <c r="M54" i="7" s="1"/>
  <c r="AC56" i="7"/>
  <c r="H58" i="7" s="1"/>
  <c r="AC52" i="7"/>
  <c r="H54" i="7" s="1"/>
  <c r="AD52" i="7"/>
  <c r="I54" i="7" s="1"/>
  <c r="K33" i="7" s="1"/>
  <c r="AB48" i="7"/>
  <c r="K59" i="7" s="1"/>
  <c r="M38" i="7" s="1"/>
  <c r="AC55" i="7"/>
  <c r="H57" i="7" s="1"/>
  <c r="AD54" i="7"/>
  <c r="I56" i="7" s="1"/>
  <c r="K35" i="7" s="1"/>
  <c r="AB45" i="7"/>
  <c r="K56" i="7" s="1"/>
  <c r="M35" i="7" s="1"/>
  <c r="AD46" i="7"/>
  <c r="M57" i="7" s="1"/>
  <c r="AC41" i="7"/>
  <c r="L52" i="7" s="1"/>
  <c r="N31" i="7" s="1"/>
  <c r="AB50" i="7"/>
  <c r="G52" i="7" s="1"/>
  <c r="AC53" i="7"/>
  <c r="H55" i="7" s="1"/>
  <c r="AC42" i="7"/>
  <c r="L53" i="7" s="1"/>
  <c r="N32" i="7" s="1"/>
  <c r="AD56" i="7"/>
  <c r="I58" i="7" s="1"/>
  <c r="K37" i="7" s="1"/>
  <c r="AD50" i="7"/>
  <c r="I52" i="7" s="1"/>
  <c r="K31" i="7" s="1"/>
  <c r="AD42" i="7"/>
  <c r="M53" i="7" s="1"/>
  <c r="AB51" i="7"/>
  <c r="G53" i="7" s="1"/>
  <c r="AC45" i="7"/>
  <c r="L56" i="7" s="1"/>
  <c r="N35" i="7" s="1"/>
  <c r="AC43" i="7"/>
  <c r="L54" i="7" s="1"/>
  <c r="N33" i="7" s="1"/>
  <c r="AC51" i="7"/>
  <c r="H53" i="7" s="1"/>
  <c r="AB46" i="7"/>
  <c r="K57" i="7" s="1"/>
  <c r="M36" i="7" s="1"/>
  <c r="AD53" i="7"/>
  <c r="I55" i="7" s="1"/>
  <c r="K34" i="7" s="1"/>
  <c r="AC54" i="7"/>
  <c r="H56" i="7" s="1"/>
  <c r="AB53" i="7"/>
  <c r="G55" i="7" s="1"/>
  <c r="AB57" i="7"/>
  <c r="G59" i="7" s="1"/>
  <c r="AD48" i="7"/>
  <c r="M59" i="7" s="1"/>
  <c r="AC57" i="7"/>
  <c r="H59" i="7" s="1"/>
  <c r="AC48" i="7"/>
  <c r="L59" i="7" s="1"/>
  <c r="N38" i="7" s="1"/>
  <c r="AD55" i="7"/>
  <c r="I57" i="7" s="1"/>
  <c r="K36" i="7" s="1"/>
  <c r="AB52" i="7"/>
  <c r="G54" i="7" s="1"/>
  <c r="AC47" i="7"/>
  <c r="L58" i="7" s="1"/>
  <c r="N37" i="7" s="1"/>
  <c r="AD47" i="7"/>
  <c r="M58" i="7" s="1"/>
  <c r="AB56" i="7"/>
  <c r="G58" i="7" s="1"/>
  <c r="AB47" i="7"/>
  <c r="K58" i="7" s="1"/>
  <c r="M37" i="7" s="1"/>
  <c r="AB55" i="7"/>
  <c r="G57" i="7" s="1"/>
  <c r="AD57" i="7"/>
  <c r="I59" i="7" s="1"/>
  <c r="K38" i="7" s="1"/>
  <c r="AB43" i="7"/>
  <c r="K54" i="7" s="1"/>
  <c r="M33" i="7" s="1"/>
  <c r="AC50" i="7"/>
  <c r="H52" i="7" s="1"/>
  <c r="J31" i="7" s="1"/>
  <c r="AB41" i="7"/>
  <c r="K52" i="7" s="1"/>
  <c r="AB54" i="7"/>
  <c r="G56" i="7" s="1"/>
  <c r="AB44" i="7"/>
  <c r="K55" i="7" s="1"/>
  <c r="M34" i="7" s="1"/>
  <c r="AD45" i="7"/>
  <c r="M56" i="7" s="1"/>
  <c r="AD51" i="7"/>
  <c r="I53" i="7" s="1"/>
  <c r="K32" i="7" s="1"/>
  <c r="AB42" i="7"/>
  <c r="K53" i="7" s="1"/>
  <c r="M32" i="7" s="1"/>
  <c r="AD41" i="7"/>
  <c r="M52" i="7" s="1"/>
  <c r="AC44" i="7"/>
  <c r="L55" i="7" s="1"/>
  <c r="N34" i="7" s="1"/>
  <c r="AD44" i="7"/>
  <c r="M55" i="7" s="1"/>
  <c r="AC39" i="8"/>
  <c r="N52" i="8" s="1"/>
  <c r="N32" i="8" s="1"/>
  <c r="AC46" i="8"/>
  <c r="J53" i="8" s="1"/>
  <c r="AC44" i="8"/>
  <c r="J51" i="8" s="1"/>
  <c r="AC43" i="8"/>
  <c r="J50" i="8" s="1"/>
  <c r="AD37" i="8"/>
  <c r="O50" i="8" s="1"/>
  <c r="AD45" i="8"/>
  <c r="K52" i="8" s="1"/>
  <c r="K32" i="8" s="1"/>
  <c r="AD46" i="8"/>
  <c r="K53" i="8" s="1"/>
  <c r="K33" i="8" s="1"/>
  <c r="AB43" i="8"/>
  <c r="I50" i="8" s="1"/>
  <c r="AB45" i="8"/>
  <c r="I52" i="8" s="1"/>
  <c r="AC37" i="8"/>
  <c r="N50" i="8" s="1"/>
  <c r="N30" i="8" s="1"/>
  <c r="AB38" i="8"/>
  <c r="M51" i="8" s="1"/>
  <c r="M31" i="8" s="1"/>
  <c r="AD40" i="8"/>
  <c r="O53" i="8" s="1"/>
  <c r="AB40" i="8"/>
  <c r="M53" i="8" s="1"/>
  <c r="M33" i="8" s="1"/>
  <c r="AD43" i="8"/>
  <c r="K50" i="8" s="1"/>
  <c r="K30" i="8" s="1"/>
  <c r="AD44" i="8"/>
  <c r="K51" i="8" s="1"/>
  <c r="K31" i="8" s="1"/>
  <c r="AB44" i="8"/>
  <c r="I51" i="8" s="1"/>
  <c r="AC45" i="8"/>
  <c r="J52" i="8" s="1"/>
  <c r="AD38" i="8"/>
  <c r="O51" i="8" s="1"/>
  <c r="AD39" i="8"/>
  <c r="O52" i="8" s="1"/>
  <c r="K24" i="7" l="1"/>
  <c r="J22" i="7" s="1"/>
  <c r="H7" i="7"/>
  <c r="F54" i="7"/>
  <c r="F55" i="7"/>
  <c r="N57" i="7"/>
  <c r="H9" i="7"/>
  <c r="F56" i="7"/>
  <c r="N56" i="7"/>
  <c r="F58" i="7"/>
  <c r="F52" i="7"/>
  <c r="F57" i="7"/>
  <c r="N58" i="7"/>
  <c r="N59" i="7"/>
  <c r="F59" i="7"/>
  <c r="N55" i="7"/>
  <c r="N52" i="7"/>
  <c r="M31" i="7"/>
  <c r="N54" i="7"/>
  <c r="F53" i="7"/>
  <c r="N53" i="7"/>
  <c r="P52" i="8"/>
  <c r="H53" i="8"/>
  <c r="P53" i="8"/>
  <c r="P51" i="8"/>
  <c r="H50" i="8"/>
  <c r="H51" i="8"/>
  <c r="H52" i="8"/>
  <c r="P50" i="8"/>
  <c r="K23" i="7" l="1"/>
  <c r="J21" i="7" s="1"/>
  <c r="K22" i="7" s="1"/>
  <c r="J20" i="7" s="1"/>
  <c r="K21" i="7" s="1"/>
  <c r="H6" i="7"/>
  <c r="I10" i="7"/>
  <c r="W18" i="7"/>
  <c r="W8" i="7"/>
  <c r="W28" i="7"/>
  <c r="X29" i="7"/>
  <c r="X19" i="7"/>
  <c r="X9" i="7"/>
  <c r="I11" i="7"/>
  <c r="X11" i="4"/>
  <c r="I37" i="6"/>
  <c r="T16" i="6" s="1"/>
  <c r="I38" i="6"/>
  <c r="T17" i="6" s="1"/>
  <c r="H8" i="7" l="1"/>
  <c r="Y28" i="7"/>
  <c r="Y18" i="7"/>
  <c r="Y8" i="7"/>
  <c r="Y29" i="7"/>
  <c r="Y19" i="7"/>
  <c r="Y9" i="7"/>
  <c r="J31" i="3"/>
  <c r="J32" i="3"/>
  <c r="J33" i="3"/>
  <c r="J34" i="3"/>
  <c r="J30" i="3"/>
  <c r="U44" i="3"/>
  <c r="U45" i="3"/>
  <c r="U46" i="3"/>
  <c r="U47" i="3"/>
  <c r="O38" i="3"/>
  <c r="X14" i="5" s="1"/>
  <c r="AD14" i="5" s="1"/>
  <c r="E6" i="5" s="1"/>
  <c r="O39" i="3"/>
  <c r="O40" i="3"/>
  <c r="O41" i="3"/>
  <c r="S38" i="3"/>
  <c r="S39" i="3"/>
  <c r="S40" i="3"/>
  <c r="S41" i="3"/>
  <c r="I38" i="3"/>
  <c r="R14" i="5" s="1"/>
  <c r="Z14" i="5" s="1"/>
  <c r="I39" i="3"/>
  <c r="I40" i="3"/>
  <c r="I41" i="3"/>
  <c r="U38" i="6"/>
  <c r="I39" i="6"/>
  <c r="J33" i="6"/>
  <c r="J34" i="6"/>
  <c r="O38" i="6"/>
  <c r="O39" i="6"/>
  <c r="U43" i="6"/>
  <c r="U42" i="6"/>
  <c r="S38" i="6"/>
  <c r="S39" i="6"/>
  <c r="O37" i="6"/>
  <c r="AE18" i="6"/>
  <c r="D7" i="6" s="1"/>
  <c r="B39" i="6"/>
  <c r="J32" i="6"/>
  <c r="L30" i="6"/>
  <c r="R30" i="6" s="1"/>
  <c r="K30" i="6"/>
  <c r="Q30" i="6" s="1"/>
  <c r="J30" i="6"/>
  <c r="P30" i="6" s="1"/>
  <c r="I30" i="6"/>
  <c r="O30" i="6" s="1"/>
  <c r="H30" i="6"/>
  <c r="G30" i="6"/>
  <c r="K17" i="6"/>
  <c r="AE17" i="6"/>
  <c r="D6" i="6" s="1"/>
  <c r="AD17" i="6"/>
  <c r="C6" i="6" s="1"/>
  <c r="AE16" i="6"/>
  <c r="D5" i="6" s="1"/>
  <c r="AD16" i="6"/>
  <c r="C5" i="6" s="1"/>
  <c r="AB15" i="6"/>
  <c r="K10" i="6"/>
  <c r="A4" i="6"/>
  <c r="K3" i="6"/>
  <c r="I37" i="3"/>
  <c r="R13" i="5" s="1"/>
  <c r="AB13" i="5" s="1"/>
  <c r="C5" i="5" s="1"/>
  <c r="AC14" i="5"/>
  <c r="D6" i="5" s="1"/>
  <c r="J17" i="5"/>
  <c r="J10" i="5"/>
  <c r="J3" i="5"/>
  <c r="AC13" i="5"/>
  <c r="D5" i="5" s="1"/>
  <c r="Z12" i="5"/>
  <c r="A4" i="5"/>
  <c r="T43" i="6" l="1"/>
  <c r="Z18" i="6"/>
  <c r="AF18" i="6" s="1"/>
  <c r="E7" i="6" s="1"/>
  <c r="R39" i="6"/>
  <c r="T18" i="6"/>
  <c r="R41" i="6"/>
  <c r="Z16" i="6"/>
  <c r="AF16" i="6" s="1"/>
  <c r="E5" i="6" s="1"/>
  <c r="T42" i="6"/>
  <c r="Z17" i="6"/>
  <c r="AF17" i="6" s="1"/>
  <c r="E6" i="6" s="1"/>
  <c r="AB14" i="5"/>
  <c r="C6" i="5" s="1"/>
  <c r="Q47" i="3"/>
  <c r="AO33" i="3"/>
  <c r="P45" i="3"/>
  <c r="AO31" i="3"/>
  <c r="Q46" i="3"/>
  <c r="AO32" i="3"/>
  <c r="P44" i="3"/>
  <c r="AO30" i="3"/>
  <c r="P41" i="3"/>
  <c r="AI33" i="3"/>
  <c r="AQ33" i="3" s="1"/>
  <c r="Q39" i="3"/>
  <c r="AI31" i="3"/>
  <c r="L30" i="3"/>
  <c r="AI29" i="3"/>
  <c r="Q40" i="3"/>
  <c r="AI32" i="3"/>
  <c r="P38" i="3"/>
  <c r="AI30" i="3"/>
  <c r="V27" i="7"/>
  <c r="I9" i="7"/>
  <c r="X17" i="7"/>
  <c r="X7" i="7"/>
  <c r="X27" i="7"/>
  <c r="X28" i="7"/>
  <c r="X8" i="7"/>
  <c r="X18" i="7"/>
  <c r="L32" i="3"/>
  <c r="L34" i="3"/>
  <c r="U41" i="3"/>
  <c r="Q41" i="3"/>
  <c r="T40" i="3"/>
  <c r="R40" i="3"/>
  <c r="P40" i="3"/>
  <c r="T39" i="3"/>
  <c r="R39" i="3"/>
  <c r="P39" i="3"/>
  <c r="U38" i="3"/>
  <c r="Q38" i="3"/>
  <c r="T47" i="3"/>
  <c r="R47" i="3"/>
  <c r="P47" i="3"/>
  <c r="T46" i="3"/>
  <c r="R46" i="3"/>
  <c r="P46" i="3"/>
  <c r="S45" i="3"/>
  <c r="Q45" i="3"/>
  <c r="S44" i="3"/>
  <c r="Q44" i="3"/>
  <c r="L33" i="3"/>
  <c r="L31" i="3"/>
  <c r="T41" i="3"/>
  <c r="R41" i="3"/>
  <c r="U40" i="3"/>
  <c r="U39" i="3"/>
  <c r="T38" i="3"/>
  <c r="R38" i="3"/>
  <c r="S47" i="3"/>
  <c r="S46" i="3"/>
  <c r="T45" i="3"/>
  <c r="R45" i="3"/>
  <c r="T44" i="3"/>
  <c r="R44" i="3"/>
  <c r="P42" i="6"/>
  <c r="U39" i="6"/>
  <c r="Q42" i="6"/>
  <c r="R38" i="6"/>
  <c r="P38" i="6"/>
  <c r="S42" i="6"/>
  <c r="Q43" i="6"/>
  <c r="Q39" i="6"/>
  <c r="Q38" i="6"/>
  <c r="T39" i="6"/>
  <c r="P39" i="6"/>
  <c r="P43" i="6"/>
  <c r="R43" i="6"/>
  <c r="T38" i="6"/>
  <c r="S43" i="6"/>
  <c r="R42" i="6"/>
  <c r="Q41" i="6"/>
  <c r="P41" i="6"/>
  <c r="R37" i="6"/>
  <c r="N30" i="6"/>
  <c r="U37" i="6"/>
  <c r="U41" i="6"/>
  <c r="M30" i="6"/>
  <c r="A5" i="4"/>
  <c r="AB18" i="6" l="1"/>
  <c r="AD18" i="6"/>
  <c r="C7" i="6" s="1"/>
  <c r="V7" i="7"/>
  <c r="V17" i="7"/>
  <c r="W27" i="7"/>
  <c r="V47" i="3"/>
  <c r="Y47" i="3" s="1"/>
  <c r="V46" i="3"/>
  <c r="Y46" i="3" s="1"/>
  <c r="X39" i="3"/>
  <c r="AA39" i="3" s="1"/>
  <c r="V41" i="3"/>
  <c r="Y41" i="3" s="1"/>
  <c r="X40" i="3"/>
  <c r="AA40" i="3" s="1"/>
  <c r="X44" i="3"/>
  <c r="AA44" i="3" s="1"/>
  <c r="X45" i="3"/>
  <c r="AA45" i="3" s="1"/>
  <c r="X47" i="3"/>
  <c r="AA47" i="3" s="1"/>
  <c r="W38" i="3"/>
  <c r="Z38" i="3" s="1"/>
  <c r="V40" i="3"/>
  <c r="Y40" i="3" s="1"/>
  <c r="V39" i="3"/>
  <c r="Y39" i="3" s="1"/>
  <c r="X46" i="3"/>
  <c r="AA46" i="3" s="1"/>
  <c r="W47" i="3"/>
  <c r="Z47" i="3" s="1"/>
  <c r="V38" i="3"/>
  <c r="Y38" i="3" s="1"/>
  <c r="W39" i="3"/>
  <c r="Z39" i="3" s="1"/>
  <c r="W44" i="3"/>
  <c r="Z44" i="3" s="1"/>
  <c r="W45" i="3"/>
  <c r="Z45" i="3" s="1"/>
  <c r="W41" i="3"/>
  <c r="Z41" i="3" s="1"/>
  <c r="V44" i="3"/>
  <c r="Y44" i="3" s="1"/>
  <c r="V45" i="3"/>
  <c r="Y45" i="3" s="1"/>
  <c r="W46" i="3"/>
  <c r="Z46" i="3" s="1"/>
  <c r="X38" i="3"/>
  <c r="AA38" i="3" s="1"/>
  <c r="W40" i="3"/>
  <c r="Z40" i="3" s="1"/>
  <c r="X41" i="3"/>
  <c r="AA41" i="3" s="1"/>
  <c r="X39" i="6"/>
  <c r="AA39" i="6" s="1"/>
  <c r="X42" i="6"/>
  <c r="AA42" i="6" s="1"/>
  <c r="V43" i="6"/>
  <c r="Y43" i="6" s="1"/>
  <c r="V39" i="6"/>
  <c r="Y39" i="6" s="1"/>
  <c r="V38" i="6"/>
  <c r="Y38" i="6" s="1"/>
  <c r="V42" i="6"/>
  <c r="Y42" i="6" s="1"/>
  <c r="W43" i="6"/>
  <c r="Z43" i="6" s="1"/>
  <c r="W42" i="6"/>
  <c r="Z42" i="6" s="1"/>
  <c r="X43" i="6"/>
  <c r="AA43" i="6" s="1"/>
  <c r="X38" i="6"/>
  <c r="AA38" i="6" s="1"/>
  <c r="W38" i="6"/>
  <c r="Z38" i="6" s="1"/>
  <c r="W39" i="6"/>
  <c r="Z39" i="6" s="1"/>
  <c r="P37" i="6"/>
  <c r="S37" i="6"/>
  <c r="Q37" i="6"/>
  <c r="T37" i="6"/>
  <c r="T41" i="6"/>
  <c r="S41" i="6"/>
  <c r="B5" i="5"/>
  <c r="S3" i="3"/>
  <c r="Y12" i="4"/>
  <c r="U6" i="7" l="1"/>
  <c r="W17" i="7"/>
  <c r="W6" i="7"/>
  <c r="W26" i="7"/>
  <c r="W7" i="7"/>
  <c r="W16" i="7"/>
  <c r="U26" i="7"/>
  <c r="U16" i="7"/>
  <c r="I8" i="7"/>
  <c r="V5" i="7" s="1"/>
  <c r="AD39" i="6"/>
  <c r="O49" i="6" s="1"/>
  <c r="AB45" i="3"/>
  <c r="I52" i="3" s="1"/>
  <c r="AB47" i="3"/>
  <c r="I54" i="3" s="1"/>
  <c r="AB41" i="3"/>
  <c r="M54" i="3" s="1"/>
  <c r="M34" i="3" s="1"/>
  <c r="AD45" i="3"/>
  <c r="K52" i="3" s="1"/>
  <c r="K32" i="3" s="1"/>
  <c r="AC44" i="3"/>
  <c r="J51" i="3" s="1"/>
  <c r="AC40" i="3"/>
  <c r="N53" i="3" s="1"/>
  <c r="N33" i="3" s="1"/>
  <c r="AC39" i="3"/>
  <c r="N52" i="3" s="1"/>
  <c r="AB39" i="3"/>
  <c r="M52" i="3" s="1"/>
  <c r="M32" i="3" s="1"/>
  <c r="AC38" i="3"/>
  <c r="AD40" i="3"/>
  <c r="O53" i="3" s="1"/>
  <c r="AD41" i="3"/>
  <c r="O54" i="3" s="1"/>
  <c r="AD38" i="3"/>
  <c r="O51" i="3" s="1"/>
  <c r="AC41" i="3"/>
  <c r="N54" i="3" s="1"/>
  <c r="AB38" i="3"/>
  <c r="M51" i="3" s="1"/>
  <c r="AB46" i="3"/>
  <c r="I53" i="3" s="1"/>
  <c r="AB40" i="3"/>
  <c r="M53" i="3" s="1"/>
  <c r="AD39" i="3"/>
  <c r="O52" i="3" s="1"/>
  <c r="AB44" i="3"/>
  <c r="I51" i="3" s="1"/>
  <c r="AC46" i="3"/>
  <c r="J53" i="3" s="1"/>
  <c r="AC47" i="3"/>
  <c r="AD47" i="3"/>
  <c r="AC45" i="3"/>
  <c r="J52" i="3" s="1"/>
  <c r="N51" i="3"/>
  <c r="N31" i="3" s="1"/>
  <c r="AD46" i="3"/>
  <c r="AD44" i="3"/>
  <c r="K51" i="3" s="1"/>
  <c r="K31" i="3" s="1"/>
  <c r="AD43" i="6"/>
  <c r="K49" i="6" s="1"/>
  <c r="K34" i="6" s="1"/>
  <c r="AD38" i="6"/>
  <c r="O48" i="6" s="1"/>
  <c r="AB43" i="6"/>
  <c r="I49" i="6" s="1"/>
  <c r="AB38" i="6"/>
  <c r="M48" i="6" s="1"/>
  <c r="M33" i="6" s="1"/>
  <c r="AC42" i="6"/>
  <c r="J48" i="6" s="1"/>
  <c r="AB42" i="6"/>
  <c r="I48" i="6" s="1"/>
  <c r="AC43" i="6"/>
  <c r="J49" i="6" s="1"/>
  <c r="AC38" i="6"/>
  <c r="N48" i="6" s="1"/>
  <c r="N33" i="6" s="1"/>
  <c r="AB39" i="6"/>
  <c r="M49" i="6" s="1"/>
  <c r="M34" i="6" s="1"/>
  <c r="AD42" i="6"/>
  <c r="K48" i="6" s="1"/>
  <c r="K33" i="6" s="1"/>
  <c r="AC39" i="6"/>
  <c r="N49" i="6" s="1"/>
  <c r="V41" i="6"/>
  <c r="Y41" i="6" s="1"/>
  <c r="W41" i="6"/>
  <c r="Z41" i="6" s="1"/>
  <c r="W37" i="6"/>
  <c r="Z37" i="6" s="1"/>
  <c r="X37" i="6"/>
  <c r="AA37" i="6" s="1"/>
  <c r="V37" i="6"/>
  <c r="Y37" i="6" s="1"/>
  <c r="X41" i="6"/>
  <c r="AA41" i="6" s="1"/>
  <c r="X10" i="4"/>
  <c r="B6" i="4"/>
  <c r="A4" i="4"/>
  <c r="I10" i="4" s="1"/>
  <c r="T5" i="7" l="1"/>
  <c r="P48" i="6"/>
  <c r="K53" i="3"/>
  <c r="K33" i="3" s="1"/>
  <c r="K54" i="3"/>
  <c r="K34" i="3" s="1"/>
  <c r="J54" i="3"/>
  <c r="H51" i="3"/>
  <c r="N34" i="3"/>
  <c r="P54" i="3"/>
  <c r="M33" i="3"/>
  <c r="P53" i="3"/>
  <c r="P51" i="3"/>
  <c r="M31" i="3"/>
  <c r="N32" i="3"/>
  <c r="P52" i="3"/>
  <c r="H52" i="3"/>
  <c r="H49" i="6"/>
  <c r="H48" i="6"/>
  <c r="N34" i="6"/>
  <c r="P49" i="6"/>
  <c r="AC37" i="6"/>
  <c r="N47" i="6" s="1"/>
  <c r="N32" i="6" s="1"/>
  <c r="AC41" i="6"/>
  <c r="J47" i="6" s="1"/>
  <c r="AB37" i="6"/>
  <c r="M47" i="6" s="1"/>
  <c r="AD41" i="6"/>
  <c r="K47" i="6" s="1"/>
  <c r="K32" i="6" s="1"/>
  <c r="AD37" i="6"/>
  <c r="O47" i="6" s="1"/>
  <c r="AB41" i="6"/>
  <c r="I47" i="6" s="1"/>
  <c r="I3" i="4"/>
  <c r="I17" i="4"/>
  <c r="S8" i="3"/>
  <c r="V26" i="7" l="1"/>
  <c r="V6" i="7"/>
  <c r="V16" i="7"/>
  <c r="V15" i="7"/>
  <c r="V25" i="7"/>
  <c r="I7" i="7"/>
  <c r="U5" i="7" s="1"/>
  <c r="H53" i="3"/>
  <c r="H54" i="3"/>
  <c r="H47" i="6"/>
  <c r="P47" i="6"/>
  <c r="M32" i="6"/>
  <c r="C12" i="3"/>
  <c r="L12" i="3"/>
  <c r="L9" i="3" s="1"/>
  <c r="B12" i="3"/>
  <c r="B11" i="3" s="1"/>
  <c r="P4" i="3"/>
  <c r="T15" i="7" l="1"/>
  <c r="T25" i="7"/>
  <c r="H5" i="7"/>
  <c r="L10" i="3"/>
  <c r="L11" i="3"/>
  <c r="B9" i="3"/>
  <c r="B10" i="3"/>
  <c r="AR29" i="3"/>
  <c r="AN34" i="3"/>
  <c r="S14" i="7" l="1"/>
  <c r="U4" i="7"/>
  <c r="U24" i="7"/>
  <c r="U14" i="7"/>
  <c r="U25" i="7"/>
  <c r="U15" i="7"/>
  <c r="I6" i="7"/>
  <c r="AU24" i="3"/>
  <c r="S9" i="3"/>
  <c r="B19" i="3" s="1"/>
  <c r="AT33" i="3"/>
  <c r="V8" i="3" s="1"/>
  <c r="B39" i="3"/>
  <c r="O37" i="3"/>
  <c r="AR34" i="3"/>
  <c r="AQ32" i="3" s="1"/>
  <c r="AU33" i="3"/>
  <c r="W8" i="3" s="1"/>
  <c r="AS33" i="3"/>
  <c r="U8" i="3" s="1"/>
  <c r="AP33" i="3"/>
  <c r="AU32" i="3"/>
  <c r="W7" i="3" s="1"/>
  <c r="AT32" i="3"/>
  <c r="V7" i="3" s="1"/>
  <c r="AS32" i="3"/>
  <c r="U7" i="3" s="1"/>
  <c r="AP32" i="3"/>
  <c r="L25" i="3"/>
  <c r="R25" i="3" s="1"/>
  <c r="K25" i="3"/>
  <c r="Q25" i="3" s="1"/>
  <c r="J25" i="3"/>
  <c r="P25" i="3" s="1"/>
  <c r="I25" i="3"/>
  <c r="H25" i="3"/>
  <c r="N25" i="3" s="1"/>
  <c r="G25" i="3"/>
  <c r="AU31" i="3"/>
  <c r="W6" i="3" s="1"/>
  <c r="AT31" i="3"/>
  <c r="V6" i="3" s="1"/>
  <c r="AS31" i="3"/>
  <c r="U6" i="3" s="1"/>
  <c r="AP31" i="3"/>
  <c r="AU30" i="3"/>
  <c r="W5" i="3" s="1"/>
  <c r="AT30" i="3"/>
  <c r="V5" i="3" s="1"/>
  <c r="AS30" i="3"/>
  <c r="U5" i="3" s="1"/>
  <c r="AP30" i="3"/>
  <c r="AT29" i="3"/>
  <c r="V4" i="3" s="1"/>
  <c r="AS29" i="3"/>
  <c r="U4" i="3" s="1"/>
  <c r="AQ28" i="3"/>
  <c r="M19" i="3"/>
  <c r="K19" i="3"/>
  <c r="I19" i="3"/>
  <c r="G19" i="3"/>
  <c r="E19" i="3"/>
  <c r="C19" i="3"/>
  <c r="R14" i="3"/>
  <c r="Q14" i="3"/>
  <c r="P14" i="3"/>
  <c r="R13" i="3"/>
  <c r="Q13" i="3"/>
  <c r="P13" i="3"/>
  <c r="R12" i="3"/>
  <c r="Q12" i="3"/>
  <c r="P12" i="3"/>
  <c r="M12" i="3"/>
  <c r="K12" i="3"/>
  <c r="I12" i="3"/>
  <c r="G12" i="3"/>
  <c r="E12" i="3"/>
  <c r="R11" i="3"/>
  <c r="Q11" i="3"/>
  <c r="P11" i="3"/>
  <c r="R10" i="3"/>
  <c r="Q10" i="3"/>
  <c r="P10" i="3"/>
  <c r="S14" i="3"/>
  <c r="L19" i="3" s="1"/>
  <c r="Q9" i="3"/>
  <c r="P9" i="3"/>
  <c r="R8" i="3"/>
  <c r="Q8" i="3"/>
  <c r="P8" i="3"/>
  <c r="R7" i="3"/>
  <c r="Q7" i="3"/>
  <c r="P7" i="3"/>
  <c r="R6" i="3"/>
  <c r="Q6" i="3"/>
  <c r="P6" i="3"/>
  <c r="R5" i="3"/>
  <c r="Q5" i="3"/>
  <c r="P5" i="3"/>
  <c r="R4" i="3"/>
  <c r="Q4" i="3"/>
  <c r="AE9" i="3"/>
  <c r="R3" i="3"/>
  <c r="AE16" i="3" s="1"/>
  <c r="Q3" i="3"/>
  <c r="P3" i="3"/>
  <c r="AO29" i="3" l="1"/>
  <c r="AU29" i="3" s="1"/>
  <c r="W4" i="3" s="1"/>
  <c r="X13" i="5"/>
  <c r="AD13" i="5" s="1"/>
  <c r="E5" i="5" s="1"/>
  <c r="AP29" i="3"/>
  <c r="S24" i="7"/>
  <c r="S4" i="7"/>
  <c r="H4" i="7"/>
  <c r="P43" i="3"/>
  <c r="S37" i="3"/>
  <c r="P37" i="3"/>
  <c r="B17" i="3"/>
  <c r="B16" i="3"/>
  <c r="B18" i="3"/>
  <c r="L16" i="3"/>
  <c r="L18" i="3"/>
  <c r="L17" i="3"/>
  <c r="AE13" i="3"/>
  <c r="AE2" i="3"/>
  <c r="AE6" i="3"/>
  <c r="AE20" i="3"/>
  <c r="M25" i="3"/>
  <c r="O25" i="3"/>
  <c r="S43" i="3"/>
  <c r="R9" i="3" l="1"/>
  <c r="R13" i="7"/>
  <c r="T13" i="7"/>
  <c r="T14" i="7"/>
  <c r="T24" i="7"/>
  <c r="T23" i="7"/>
  <c r="T3" i="7"/>
  <c r="T4" i="7"/>
  <c r="I5" i="7"/>
  <c r="Q37" i="3"/>
  <c r="Q43" i="3"/>
  <c r="T37" i="3"/>
  <c r="R43" i="3"/>
  <c r="U37" i="3"/>
  <c r="R37" i="3"/>
  <c r="AR33" i="3"/>
  <c r="AQ31" i="3" s="1"/>
  <c r="S7" i="3"/>
  <c r="T43" i="3"/>
  <c r="U43" i="3"/>
  <c r="R2" i="7" l="1"/>
  <c r="R12" i="7"/>
  <c r="R3" i="7"/>
  <c r="R22" i="7"/>
  <c r="R23" i="7"/>
  <c r="S12" i="7"/>
  <c r="S23" i="7"/>
  <c r="S3" i="7"/>
  <c r="S22" i="7"/>
  <c r="S2" i="7"/>
  <c r="S13" i="7"/>
  <c r="X37" i="3"/>
  <c r="AA37" i="3" s="1"/>
  <c r="V37" i="3"/>
  <c r="Y37" i="3" s="1"/>
  <c r="W37" i="3"/>
  <c r="Z37" i="3" s="1"/>
  <c r="V43" i="3"/>
  <c r="Y43" i="3" s="1"/>
  <c r="J12" i="3"/>
  <c r="AC13" i="3"/>
  <c r="AC6" i="3"/>
  <c r="AC20" i="3"/>
  <c r="S6" i="3"/>
  <c r="S13" i="3"/>
  <c r="X43" i="3"/>
  <c r="AA43" i="3" s="1"/>
  <c r="W43" i="3"/>
  <c r="Z43" i="3" s="1"/>
  <c r="AC2" i="7" l="1" a="1"/>
  <c r="AJ9" i="7" s="1"/>
  <c r="AC22" i="7" a="1"/>
  <c r="AF29" i="7" s="1"/>
  <c r="AC12" i="7" a="1"/>
  <c r="AB37" i="3"/>
  <c r="M50" i="3" s="1"/>
  <c r="M30" i="3" s="1"/>
  <c r="AC37" i="3"/>
  <c r="N50" i="3" s="1"/>
  <c r="N30" i="3" s="1"/>
  <c r="AD37" i="3"/>
  <c r="O50" i="3" s="1"/>
  <c r="J19" i="3"/>
  <c r="AD19" i="3"/>
  <c r="AD13" i="3"/>
  <c r="AD20" i="3"/>
  <c r="AD12" i="3"/>
  <c r="AD6" i="3"/>
  <c r="AD5" i="3"/>
  <c r="H12" i="3"/>
  <c r="AB19" i="3"/>
  <c r="AB12" i="3"/>
  <c r="AB5" i="3"/>
  <c r="J10" i="3"/>
  <c r="J11" i="3"/>
  <c r="J9" i="3"/>
  <c r="AC43" i="3"/>
  <c r="J50" i="3" s="1"/>
  <c r="AB43" i="3"/>
  <c r="I50" i="3" s="1"/>
  <c r="AD43" i="3"/>
  <c r="AR32" i="3"/>
  <c r="AQ30" i="3" s="1"/>
  <c r="AI3" i="7" l="1"/>
  <c r="AG3" i="7"/>
  <c r="AC3" i="7"/>
  <c r="AJ8" i="7"/>
  <c r="AJ3" i="7"/>
  <c r="AH3" i="7"/>
  <c r="AE3" i="7"/>
  <c r="AE2" i="7"/>
  <c r="AF8" i="7"/>
  <c r="AJ7" i="7"/>
  <c r="AI7" i="7"/>
  <c r="AH7" i="7"/>
  <c r="AG7" i="7"/>
  <c r="AF3" i="7"/>
  <c r="AD3" i="7"/>
  <c r="AF2" i="7"/>
  <c r="AD2" i="7"/>
  <c r="AJ5" i="7"/>
  <c r="AI9" i="7"/>
  <c r="AI5" i="7"/>
  <c r="AH9" i="7"/>
  <c r="AH5" i="7"/>
  <c r="AG9" i="7"/>
  <c r="AG5" i="7"/>
  <c r="AF7" i="7"/>
  <c r="AE7" i="7"/>
  <c r="AD7" i="7"/>
  <c r="AC7" i="7"/>
  <c r="AF6" i="7"/>
  <c r="AE6" i="7"/>
  <c r="AD6" i="7"/>
  <c r="AC6" i="7"/>
  <c r="AF9" i="7"/>
  <c r="AJ6" i="7"/>
  <c r="AJ4" i="7"/>
  <c r="AJ2" i="7"/>
  <c r="AI8" i="7"/>
  <c r="AI6" i="7"/>
  <c r="AI4" i="7"/>
  <c r="AI2" i="7"/>
  <c r="AH8" i="7"/>
  <c r="AH6" i="7"/>
  <c r="AH4" i="7"/>
  <c r="AH2" i="7"/>
  <c r="AG8" i="7"/>
  <c r="AG6" i="7"/>
  <c r="AG4" i="7"/>
  <c r="AG2" i="7"/>
  <c r="AF5" i="7"/>
  <c r="AE9" i="7"/>
  <c r="AE5" i="7"/>
  <c r="AD9" i="7"/>
  <c r="AD5" i="7"/>
  <c r="AC9" i="7"/>
  <c r="AC5" i="7"/>
  <c r="AC2" i="7"/>
  <c r="AF4" i="7"/>
  <c r="AE8" i="7"/>
  <c r="AE4" i="7"/>
  <c r="AD8" i="7"/>
  <c r="AD4" i="7"/>
  <c r="AC8" i="7"/>
  <c r="AC4" i="7"/>
  <c r="AH28" i="7"/>
  <c r="AC28" i="7"/>
  <c r="AJ28" i="7"/>
  <c r="AC23" i="7"/>
  <c r="AG28" i="7"/>
  <c r="AI28" i="7"/>
  <c r="AE23" i="7"/>
  <c r="AG24" i="7"/>
  <c r="AH24" i="7"/>
  <c r="AI24" i="7"/>
  <c r="AJ24" i="7"/>
  <c r="AD23" i="7"/>
  <c r="AF23" i="7"/>
  <c r="AG22" i="7"/>
  <c r="AG26" i="7"/>
  <c r="AH22" i="7"/>
  <c r="AH26" i="7"/>
  <c r="AI22" i="7"/>
  <c r="AI26" i="7"/>
  <c r="AJ22" i="7"/>
  <c r="AJ26" i="7"/>
  <c r="AC27" i="7"/>
  <c r="AD27" i="7"/>
  <c r="AE27" i="7"/>
  <c r="AF27" i="7"/>
  <c r="AG23" i="7"/>
  <c r="AG25" i="7"/>
  <c r="AG27" i="7"/>
  <c r="AG29" i="7"/>
  <c r="AH23" i="7"/>
  <c r="AH25" i="7"/>
  <c r="AH27" i="7"/>
  <c r="AH29" i="7"/>
  <c r="AI23" i="7"/>
  <c r="AI25" i="7"/>
  <c r="AI27" i="7"/>
  <c r="AI29" i="7"/>
  <c r="AJ23" i="7"/>
  <c r="AJ25" i="7"/>
  <c r="AJ27" i="7"/>
  <c r="AC25" i="7"/>
  <c r="AC29" i="7"/>
  <c r="AD25" i="7"/>
  <c r="AD29" i="7"/>
  <c r="AE25" i="7"/>
  <c r="AE29" i="7"/>
  <c r="AF25" i="7"/>
  <c r="AJ29" i="7"/>
  <c r="AC24" i="7"/>
  <c r="AD22" i="7"/>
  <c r="AD26" i="7"/>
  <c r="AE22" i="7"/>
  <c r="AE26" i="7"/>
  <c r="AF22" i="7"/>
  <c r="AF26" i="7"/>
  <c r="AC22" i="7"/>
  <c r="AC26" i="7"/>
  <c r="AD24" i="7"/>
  <c r="AD28" i="7"/>
  <c r="AE24" i="7"/>
  <c r="AE28" i="7"/>
  <c r="AF24" i="7"/>
  <c r="AF28" i="7"/>
  <c r="AJ19" i="7"/>
  <c r="AI12" i="7"/>
  <c r="AI13" i="7"/>
  <c r="AI14" i="7"/>
  <c r="AI15" i="7"/>
  <c r="AI16" i="7"/>
  <c r="AI17" i="7"/>
  <c r="AI18" i="7"/>
  <c r="AI19" i="7"/>
  <c r="AJ12" i="7"/>
  <c r="AJ13" i="7"/>
  <c r="AJ14" i="7"/>
  <c r="AJ15" i="7"/>
  <c r="AJ16" i="7"/>
  <c r="AJ17" i="7"/>
  <c r="AJ18" i="7"/>
  <c r="AD15" i="7"/>
  <c r="AH17" i="7"/>
  <c r="AH19" i="7"/>
  <c r="AG12" i="7"/>
  <c r="AG13" i="7"/>
  <c r="AG14" i="7"/>
  <c r="AG15" i="7"/>
  <c r="AG16" i="7"/>
  <c r="AG17" i="7"/>
  <c r="AG18" i="7"/>
  <c r="AG19" i="7"/>
  <c r="AH12" i="7"/>
  <c r="AH13" i="7"/>
  <c r="AH14" i="7"/>
  <c r="AD16" i="7"/>
  <c r="AE12" i="7"/>
  <c r="AE13" i="7"/>
  <c r="AE14" i="7"/>
  <c r="AE15" i="7"/>
  <c r="AE16" i="7"/>
  <c r="AE17" i="7"/>
  <c r="AE18" i="7"/>
  <c r="AE19" i="7"/>
  <c r="AF12" i="7"/>
  <c r="AF13" i="7"/>
  <c r="AF14" i="7"/>
  <c r="AF15" i="7"/>
  <c r="AF16" i="7"/>
  <c r="AF17" i="7"/>
  <c r="AF18" i="7"/>
  <c r="AF19" i="7"/>
  <c r="AH16" i="7"/>
  <c r="AH18" i="7"/>
  <c r="AC12" i="7"/>
  <c r="AC13" i="7"/>
  <c r="AC14" i="7"/>
  <c r="AC15" i="7"/>
  <c r="AC16" i="7"/>
  <c r="AC17" i="7"/>
  <c r="AC18" i="7"/>
  <c r="AC19" i="7"/>
  <c r="AD12" i="7"/>
  <c r="AD13" i="7"/>
  <c r="AD14" i="7"/>
  <c r="AH15" i="7"/>
  <c r="AD17" i="7"/>
  <c r="AD19" i="7"/>
  <c r="AD18" i="7"/>
  <c r="K50" i="3"/>
  <c r="K30" i="3" s="1"/>
  <c r="H9" i="3"/>
  <c r="H10" i="3"/>
  <c r="H11" i="3"/>
  <c r="S5" i="3"/>
  <c r="S12" i="3"/>
  <c r="J18" i="3"/>
  <c r="J16" i="3"/>
  <c r="J17" i="3"/>
  <c r="P50" i="3"/>
  <c r="C3" i="7" l="1" a="1"/>
  <c r="D3" i="7" a="1"/>
  <c r="B3" i="7" a="1"/>
  <c r="B8" i="7" s="1"/>
  <c r="H50" i="3"/>
  <c r="F12" i="3"/>
  <c r="AA11" i="3"/>
  <c r="AA4" i="3"/>
  <c r="AA18" i="3"/>
  <c r="H19" i="3"/>
  <c r="AC19" i="3"/>
  <c r="AC12" i="3"/>
  <c r="AC5" i="3"/>
  <c r="AC4" i="3"/>
  <c r="AC18" i="3"/>
  <c r="AC11" i="3"/>
  <c r="AR31" i="3"/>
  <c r="AQ29" i="3" s="1"/>
  <c r="D4" i="7" l="1"/>
  <c r="D6" i="7"/>
  <c r="D8" i="7"/>
  <c r="D10" i="7"/>
  <c r="D3" i="7"/>
  <c r="D5" i="7"/>
  <c r="D7" i="7"/>
  <c r="D9" i="7"/>
  <c r="C3" i="7"/>
  <c r="C5" i="7"/>
  <c r="C7" i="7"/>
  <c r="C9" i="7"/>
  <c r="C10" i="7"/>
  <c r="C4" i="7"/>
  <c r="C6" i="7"/>
  <c r="C8" i="7"/>
  <c r="B6" i="7"/>
  <c r="B9" i="7"/>
  <c r="E9" i="7" s="1"/>
  <c r="B5" i="7"/>
  <c r="B7" i="7"/>
  <c r="B4" i="7"/>
  <c r="B10" i="7"/>
  <c r="B3" i="7"/>
  <c r="E3" i="7" s="1"/>
  <c r="S4" i="3"/>
  <c r="S11" i="3"/>
  <c r="H16" i="3"/>
  <c r="H17" i="3"/>
  <c r="H18" i="3"/>
  <c r="F10" i="3"/>
  <c r="F9" i="3"/>
  <c r="F11" i="3"/>
  <c r="E4" i="7" l="1"/>
  <c r="E6" i="7"/>
  <c r="E10" i="7"/>
  <c r="E7" i="7"/>
  <c r="E8" i="7"/>
  <c r="E5" i="7"/>
  <c r="F19" i="3"/>
  <c r="AB18" i="3"/>
  <c r="AB11" i="3"/>
  <c r="AB17" i="3"/>
  <c r="AB10" i="3"/>
  <c r="AB4" i="3"/>
  <c r="AB3" i="3"/>
  <c r="D12" i="3"/>
  <c r="Z3" i="3"/>
  <c r="Z17" i="3"/>
  <c r="Z16" i="3"/>
  <c r="Z10" i="3"/>
  <c r="Z9" i="3"/>
  <c r="Z2" i="3"/>
  <c r="AR30" i="3"/>
  <c r="S10" i="3" s="1"/>
  <c r="D19" i="3" l="1"/>
  <c r="AA17" i="3"/>
  <c r="AA16" i="3"/>
  <c r="AA10" i="3"/>
  <c r="AA9" i="3"/>
  <c r="AA3" i="3"/>
  <c r="AA2" i="3"/>
  <c r="D9" i="3"/>
  <c r="D11" i="3"/>
  <c r="D10" i="3"/>
  <c r="F16" i="3"/>
  <c r="F17" i="3"/>
  <c r="F18" i="3"/>
  <c r="AH9" i="3" l="1" a="1"/>
  <c r="AJ13" i="3" s="1"/>
  <c r="AH16" i="3" a="1"/>
  <c r="AJ16" i="3" s="1"/>
  <c r="AH2" i="3" a="1"/>
  <c r="AL2" i="3" s="1"/>
  <c r="D17" i="3"/>
  <c r="D18" i="3"/>
  <c r="D16" i="3"/>
  <c r="AH19" i="3" l="1"/>
  <c r="AL20" i="3"/>
  <c r="AK17" i="3"/>
  <c r="AK18" i="3"/>
  <c r="AI17" i="3"/>
  <c r="AK19" i="3"/>
  <c r="AI18" i="3"/>
  <c r="AH20" i="3"/>
  <c r="AL16" i="3"/>
  <c r="AH17" i="3"/>
  <c r="AJ19" i="3"/>
  <c r="AI16" i="3"/>
  <c r="AK20" i="3"/>
  <c r="AJ17" i="3"/>
  <c r="AI19" i="3"/>
  <c r="AH16" i="3"/>
  <c r="AJ20" i="3"/>
  <c r="AH18" i="3"/>
  <c r="AL19" i="3"/>
  <c r="AK16" i="3"/>
  <c r="AJ18" i="3"/>
  <c r="AI20" i="3"/>
  <c r="AL18" i="3"/>
  <c r="AL17" i="3"/>
  <c r="AI10" i="3"/>
  <c r="AI9" i="3"/>
  <c r="AK10" i="3"/>
  <c r="AH10" i="3"/>
  <c r="AJ9" i="3"/>
  <c r="AJ10" i="3"/>
  <c r="AI11" i="3"/>
  <c r="AH12" i="3"/>
  <c r="AJ11" i="3"/>
  <c r="AL12" i="3"/>
  <c r="AL13" i="3"/>
  <c r="AL10" i="3"/>
  <c r="AK12" i="3"/>
  <c r="AL11" i="3"/>
  <c r="AK13" i="3"/>
  <c r="AK11" i="3"/>
  <c r="AI12" i="3"/>
  <c r="AH9" i="3"/>
  <c r="AJ12" i="3"/>
  <c r="AH11" i="3"/>
  <c r="AI13" i="3"/>
  <c r="AH13" i="3"/>
  <c r="AL9" i="3"/>
  <c r="AK9" i="3"/>
  <c r="AJ5" i="3"/>
  <c r="AH6" i="3"/>
  <c r="AH3" i="3"/>
  <c r="AL5" i="3"/>
  <c r="AJ3" i="3"/>
  <c r="AK5" i="3"/>
  <c r="AI6" i="3"/>
  <c r="AK3" i="3"/>
  <c r="AL6" i="3"/>
  <c r="AL4" i="3"/>
  <c r="AH4" i="3"/>
  <c r="AH2" i="3"/>
  <c r="AJ4" i="3"/>
  <c r="AI2" i="3"/>
  <c r="AI4" i="3"/>
  <c r="AH5" i="3"/>
  <c r="AK4" i="3"/>
  <c r="AJ6" i="3"/>
  <c r="AJ2" i="3"/>
  <c r="AK2" i="3"/>
  <c r="AK6" i="3"/>
  <c r="AI5" i="3"/>
  <c r="AL3" i="3"/>
  <c r="AI3" i="3"/>
  <c r="AN16" i="3" l="1" a="1"/>
  <c r="AN17" i="3" s="1"/>
  <c r="AF30" i="3" s="1"/>
  <c r="AN9" i="3" a="1"/>
  <c r="AN11" i="3" s="1"/>
  <c r="AE31" i="3" s="1"/>
  <c r="AN2" i="3" a="1"/>
  <c r="AN5" i="3" s="1"/>
  <c r="AD32" i="3" s="1"/>
  <c r="AN19" i="3" l="1"/>
  <c r="AF32" i="3" s="1"/>
  <c r="AN16" i="3"/>
  <c r="AF29" i="3" s="1"/>
  <c r="AN18" i="3"/>
  <c r="AF31" i="3" s="1"/>
  <c r="AN20" i="3"/>
  <c r="AF33" i="3" s="1"/>
  <c r="AN13" i="3"/>
  <c r="AE33" i="3" s="1"/>
  <c r="AN12" i="3"/>
  <c r="AE32" i="3" s="1"/>
  <c r="AN9" i="3"/>
  <c r="AE29" i="3" s="1"/>
  <c r="AN10" i="3"/>
  <c r="AE30" i="3" s="1"/>
  <c r="AN2" i="3"/>
  <c r="AD29" i="3" s="1"/>
  <c r="AN3" i="3"/>
  <c r="AD30" i="3" s="1"/>
  <c r="AN4" i="3"/>
  <c r="AD31" i="3" s="1"/>
  <c r="AN6" i="3"/>
  <c r="AD33" i="3" s="1"/>
  <c r="AC29" i="3" l="1"/>
  <c r="AC32" i="3"/>
  <c r="AC30" i="3"/>
  <c r="AC33" i="3"/>
  <c r="AC31" i="3"/>
  <c r="Y11" i="4" l="1"/>
  <c r="B5" i="4" s="1"/>
  <c r="Z11" i="4"/>
  <c r="C5" i="4" s="1"/>
  <c r="AA11" i="4"/>
  <c r="D5" i="4" s="1"/>
  <c r="AB11" i="4"/>
  <c r="E5" i="4" s="1"/>
  <c r="H10" i="4" l="1"/>
  <c r="L10" i="4" s="1"/>
  <c r="P3" i="4" s="1"/>
  <c r="H3" i="4"/>
  <c r="L3" i="4" s="1"/>
  <c r="O3" i="4" s="1"/>
  <c r="H17" i="4"/>
  <c r="L17" i="4" s="1"/>
  <c r="Q3" i="4" s="1"/>
  <c r="R3" i="4" l="1"/>
  <c r="B5" i="6" l="1"/>
  <c r="AR32" i="8" l="1"/>
  <c r="AQ30" i="8" l="1"/>
  <c r="E5" i="8" s="1"/>
  <c r="F7" i="8"/>
  <c r="M4" i="8" l="1"/>
  <c r="M18" i="8"/>
  <c r="M11" i="8"/>
  <c r="O5" i="8"/>
  <c r="O4" i="8"/>
  <c r="O19" i="8"/>
  <c r="O12" i="8"/>
  <c r="O18" i="8"/>
  <c r="O11" i="8"/>
  <c r="AR31" i="8"/>
  <c r="AQ29" i="8" l="1"/>
  <c r="E4" i="8" s="1"/>
  <c r="F6" i="8"/>
  <c r="AR30" i="8" l="1"/>
  <c r="F5" i="8" s="1"/>
  <c r="N4" i="8"/>
  <c r="N3" i="8"/>
  <c r="N11" i="8"/>
  <c r="N18" i="8"/>
  <c r="N10" i="8"/>
  <c r="N17" i="8"/>
  <c r="L9" i="8"/>
  <c r="L3" i="8"/>
  <c r="L10" i="8"/>
  <c r="L2" i="8"/>
  <c r="L17" i="8"/>
  <c r="L16" i="8"/>
  <c r="M3" i="8" l="1"/>
  <c r="M9" i="8"/>
  <c r="M2" i="8"/>
  <c r="T2" i="8" s="1" a="1"/>
  <c r="M17" i="8"/>
  <c r="M16" i="8"/>
  <c r="M10" i="8"/>
  <c r="T9" i="8" s="1" a="1"/>
  <c r="W12" i="8" l="1"/>
  <c r="V12" i="8"/>
  <c r="T9" i="8"/>
  <c r="U9" i="8"/>
  <c r="V9" i="8"/>
  <c r="W9" i="8"/>
  <c r="T10" i="8"/>
  <c r="U10" i="8"/>
  <c r="V10" i="8"/>
  <c r="W10" i="8"/>
  <c r="T11" i="8"/>
  <c r="U11" i="8"/>
  <c r="V11" i="8"/>
  <c r="W11" i="8"/>
  <c r="T12" i="8"/>
  <c r="U12" i="8"/>
  <c r="T16" i="8" a="1"/>
  <c r="T2" i="8"/>
  <c r="W4" i="8"/>
  <c r="W2" i="8"/>
  <c r="V4" i="8"/>
  <c r="V2" i="8"/>
  <c r="U4" i="8"/>
  <c r="U2" i="8"/>
  <c r="T4" i="8"/>
  <c r="W5" i="8"/>
  <c r="W3" i="8"/>
  <c r="V5" i="8"/>
  <c r="V3" i="8"/>
  <c r="U5" i="8"/>
  <c r="U3" i="8"/>
  <c r="T5" i="8"/>
  <c r="T3" i="8"/>
  <c r="Z2" i="8" l="1" a="1"/>
  <c r="W19" i="8"/>
  <c r="T19" i="8"/>
  <c r="U19" i="8"/>
  <c r="V19" i="8"/>
  <c r="T16" i="8"/>
  <c r="V16" i="8"/>
  <c r="T18" i="8"/>
  <c r="V18" i="8"/>
  <c r="T17" i="8"/>
  <c r="U17" i="8"/>
  <c r="V17" i="8"/>
  <c r="W17" i="8"/>
  <c r="U16" i="8"/>
  <c r="W16" i="8"/>
  <c r="U18" i="8"/>
  <c r="W18" i="8"/>
  <c r="Z9" i="8" a="1"/>
  <c r="Z12" i="8" l="1"/>
  <c r="AE32" i="8" s="1"/>
  <c r="Z9" i="8"/>
  <c r="AE29" i="8" s="1"/>
  <c r="Z11" i="8"/>
  <c r="AE31" i="8" s="1"/>
  <c r="Z10" i="8"/>
  <c r="AE30" i="8" s="1"/>
  <c r="Z16" i="8" a="1"/>
  <c r="Z2" i="8"/>
  <c r="AD29" i="8" s="1"/>
  <c r="Z5" i="8"/>
  <c r="AD32" i="8" s="1"/>
  <c r="Z3" i="8"/>
  <c r="AD30" i="8" s="1"/>
  <c r="Z4" i="8"/>
  <c r="AD31" i="8" s="1"/>
  <c r="Z18" i="8" l="1"/>
  <c r="AF31" i="8" s="1"/>
  <c r="AC31" i="8" s="1"/>
  <c r="Z19" i="8"/>
  <c r="AF32" i="8" s="1"/>
  <c r="AC32" i="8" s="1"/>
  <c r="Z16" i="8"/>
  <c r="AF29" i="8" s="1"/>
  <c r="AC29" i="8" s="1"/>
  <c r="Z17" i="8"/>
  <c r="AF30" i="8" s="1"/>
  <c r="AC30" i="8" s="1"/>
  <c r="A6" i="5" l="1"/>
  <c r="R9" i="5"/>
  <c r="W8" i="5" s="1"/>
  <c r="B4" i="9" s="1"/>
  <c r="AA15" i="5" l="1"/>
  <c r="J11" i="5"/>
  <c r="X8" i="5"/>
  <c r="C4" i="9" s="1"/>
  <c r="J18" i="5"/>
  <c r="B7" i="5"/>
  <c r="S19" i="5"/>
  <c r="J4" i="5"/>
  <c r="Z13" i="5" l="1"/>
  <c r="AA14" i="5" s="1"/>
  <c r="AA8" i="5"/>
  <c r="F4" i="9" s="1"/>
  <c r="A5" i="5" l="1"/>
  <c r="B6" i="5"/>
  <c r="I3" i="5" l="1"/>
  <c r="I4" i="5"/>
  <c r="I11" i="5"/>
  <c r="I17" i="5"/>
  <c r="I10" i="5"/>
  <c r="I18" i="5"/>
  <c r="H3" i="5"/>
  <c r="H10" i="5"/>
  <c r="H4" i="5"/>
  <c r="H18" i="5"/>
  <c r="H17" i="5"/>
  <c r="H11" i="5"/>
  <c r="M17" i="5" l="1" a="1"/>
  <c r="M18" i="5" s="1"/>
  <c r="M10" i="5" a="1"/>
  <c r="M3" i="5" a="1"/>
  <c r="N18" i="5" l="1"/>
  <c r="M17" i="5"/>
  <c r="N17" i="5"/>
  <c r="N3" i="5"/>
  <c r="M3" i="5"/>
  <c r="M4" i="5"/>
  <c r="N4" i="5"/>
  <c r="N10" i="5"/>
  <c r="M11" i="5"/>
  <c r="M10" i="5"/>
  <c r="N11" i="5"/>
  <c r="S4" i="5" l="1" a="1"/>
  <c r="S4" i="5" s="1"/>
  <c r="Q4" i="5" a="1"/>
  <c r="R4" i="5" a="1"/>
  <c r="S5" i="5" l="1"/>
  <c r="R5" i="5"/>
  <c r="R4" i="5"/>
  <c r="Q4" i="5"/>
  <c r="Q5" i="5"/>
  <c r="T5" i="5" l="1"/>
  <c r="T4" i="5"/>
  <c r="A7" i="6"/>
  <c r="T12" i="6"/>
  <c r="K19" i="6" s="1"/>
  <c r="AC19" i="6" l="1"/>
  <c r="AC11" i="6" s="1"/>
  <c r="K5" i="6"/>
  <c r="X24" i="6"/>
  <c r="B8" i="6"/>
  <c r="Y11" i="6"/>
  <c r="K12" i="6"/>
  <c r="Z11" i="6"/>
  <c r="AB17" i="6" l="1"/>
  <c r="AC18" i="6" s="1"/>
  <c r="A6" i="6" l="1"/>
  <c r="I5" i="6" s="1"/>
  <c r="B7" i="6"/>
  <c r="AB16" i="6"/>
  <c r="I12" i="6" l="1"/>
  <c r="I19" i="6"/>
  <c r="A5" i="6"/>
  <c r="AC17" i="6"/>
  <c r="B6" i="6" s="1"/>
  <c r="J18" i="6"/>
  <c r="J4" i="6"/>
  <c r="J11" i="6"/>
  <c r="J5" i="6"/>
  <c r="J19" i="6"/>
  <c r="J12" i="6"/>
  <c r="I3" i="6" l="1"/>
  <c r="I10" i="6"/>
  <c r="I17" i="6"/>
  <c r="I18" i="6"/>
  <c r="I4" i="6"/>
  <c r="I11" i="6"/>
  <c r="H4" i="6"/>
  <c r="H18" i="6"/>
  <c r="H10" i="6"/>
  <c r="H11" i="6"/>
  <c r="H3" i="6"/>
  <c r="H17" i="6"/>
  <c r="O3" i="6" l="1" a="1"/>
  <c r="Q3" i="6" s="1"/>
  <c r="O17" i="6" a="1"/>
  <c r="Q17" i="6" s="1"/>
  <c r="O10" i="6" a="1"/>
  <c r="O5" i="6" l="1"/>
  <c r="P3" i="6"/>
  <c r="P4" i="6"/>
  <c r="O4" i="6"/>
  <c r="Q5" i="6"/>
  <c r="O3" i="6"/>
  <c r="P5" i="6"/>
  <c r="Q4" i="6"/>
  <c r="O17" i="6"/>
  <c r="P17" i="6"/>
  <c r="P19" i="6"/>
  <c r="O19" i="6"/>
  <c r="Q18" i="6"/>
  <c r="O18" i="6"/>
  <c r="P18" i="6"/>
  <c r="Q19" i="6"/>
  <c r="O11" i="6"/>
  <c r="Q11" i="6"/>
  <c r="O10" i="6"/>
  <c r="O12" i="6"/>
  <c r="P10" i="6"/>
  <c r="P11" i="6"/>
  <c r="Q12" i="6"/>
  <c r="Q10" i="6"/>
  <c r="P12" i="6"/>
  <c r="S4" i="6" l="1" a="1"/>
  <c r="S5" i="6" s="1"/>
  <c r="U4" i="6" a="1"/>
  <c r="U6" i="6" s="1"/>
  <c r="V24" i="6" s="1"/>
  <c r="T4" i="6" a="1"/>
  <c r="S4" i="6" l="1"/>
  <c r="S6" i="6"/>
  <c r="U4" i="6"/>
  <c r="V22" i="6" s="1"/>
  <c r="U5" i="6"/>
  <c r="V23" i="6" s="1"/>
  <c r="T22" i="6"/>
  <c r="T24" i="6"/>
  <c r="T23" i="6"/>
  <c r="T4" i="6"/>
  <c r="U22" i="6" s="1"/>
  <c r="T5" i="6"/>
  <c r="U23" i="6" s="1"/>
  <c r="T6" i="6"/>
  <c r="U24" i="6" s="1"/>
  <c r="V4" i="6" l="1"/>
  <c r="V5" i="6"/>
  <c r="V6" i="6"/>
  <c r="AJ31" i="1" l="1"/>
  <c r="Q6" i="1" s="1"/>
  <c r="AK30" i="1"/>
  <c r="R5" i="1" s="1"/>
  <c r="AK31" i="1"/>
  <c r="R6" i="1" s="1"/>
  <c r="AJ33" i="1"/>
  <c r="Q8" i="1" s="1"/>
  <c r="AK33" i="1"/>
  <c r="R8" i="1" s="1"/>
  <c r="AJ30" i="1"/>
  <c r="AT30" i="1" s="1"/>
  <c r="V5" i="1" s="1"/>
  <c r="AJ32" i="1"/>
  <c r="Q7" i="1" s="1"/>
  <c r="AK32" i="1"/>
  <c r="R7" i="1" s="1"/>
  <c r="S38" i="1"/>
  <c r="I38" i="1"/>
  <c r="I40" i="1"/>
  <c r="I39" i="1"/>
  <c r="S39" i="1"/>
  <c r="S41" i="1"/>
  <c r="S40" i="1"/>
  <c r="AK29" i="1"/>
  <c r="R4" i="1" s="1"/>
  <c r="I41" i="1"/>
  <c r="I37" i="1"/>
  <c r="AJ29" i="1"/>
  <c r="AT29" i="1" s="1"/>
  <c r="V4" i="1" s="1"/>
  <c r="S37" i="1"/>
  <c r="AT32" i="1" l="1"/>
  <c r="V7" i="1" s="1"/>
  <c r="AU33" i="1"/>
  <c r="W8" i="1" s="1"/>
  <c r="AT31" i="1"/>
  <c r="V6" i="1" s="1"/>
  <c r="AU31" i="1"/>
  <c r="W6" i="1" s="1"/>
  <c r="Q37" i="1"/>
  <c r="P37" i="1"/>
  <c r="L30" i="1"/>
  <c r="R37" i="1"/>
  <c r="T37" i="1"/>
  <c r="AI29" i="1"/>
  <c r="Q4" i="1"/>
  <c r="R41" i="1"/>
  <c r="Q41" i="1"/>
  <c r="L34" i="1"/>
  <c r="P41" i="1"/>
  <c r="U41" i="1"/>
  <c r="T41" i="1"/>
  <c r="U37" i="1"/>
  <c r="AI33" i="1"/>
  <c r="AU29" i="1"/>
  <c r="W4" i="1" s="1"/>
  <c r="Q39" i="1"/>
  <c r="R39" i="1"/>
  <c r="L32" i="1"/>
  <c r="P39" i="1"/>
  <c r="AI31" i="1"/>
  <c r="R40" i="1"/>
  <c r="Q40" i="1"/>
  <c r="AI32" i="1"/>
  <c r="U40" i="1"/>
  <c r="L33" i="1"/>
  <c r="P40" i="1"/>
  <c r="Q38" i="1"/>
  <c r="R38" i="1"/>
  <c r="AI30" i="1"/>
  <c r="L31" i="1"/>
  <c r="P38" i="1"/>
  <c r="T39" i="1"/>
  <c r="U39" i="1"/>
  <c r="T40" i="1"/>
  <c r="T38" i="1"/>
  <c r="U38" i="1"/>
  <c r="Q5" i="1"/>
  <c r="AU32" i="1"/>
  <c r="W7" i="1" s="1"/>
  <c r="AT33" i="1"/>
  <c r="V8" i="1" s="1"/>
  <c r="AU30" i="1"/>
  <c r="W5" i="1" s="1"/>
  <c r="X38" i="1" l="1"/>
  <c r="AA38" i="1" s="1"/>
  <c r="AD44" i="1" s="1"/>
  <c r="K51" i="1" s="1"/>
  <c r="K31" i="1" s="1"/>
  <c r="W40" i="1"/>
  <c r="Z40" i="1" s="1"/>
  <c r="AC46" i="1" s="1"/>
  <c r="J53" i="1" s="1"/>
  <c r="J33" i="1" s="1"/>
  <c r="X37" i="1"/>
  <c r="AA37" i="1" s="1"/>
  <c r="AD37" i="1" s="1"/>
  <c r="O50" i="1" s="1"/>
  <c r="W39" i="1"/>
  <c r="Z39" i="1" s="1"/>
  <c r="AC45" i="1" s="1"/>
  <c r="J52" i="1" s="1"/>
  <c r="J32" i="1" s="1"/>
  <c r="V41" i="1"/>
  <c r="Y41" i="1" s="1"/>
  <c r="AB41" i="1" s="1"/>
  <c r="M54" i="1" s="1"/>
  <c r="V38" i="1"/>
  <c r="Y38" i="1" s="1"/>
  <c r="AB44" i="1" s="1"/>
  <c r="I51" i="1" s="1"/>
  <c r="W41" i="1"/>
  <c r="Z41" i="1" s="1"/>
  <c r="AC41" i="1" s="1"/>
  <c r="N54" i="1" s="1"/>
  <c r="N34" i="1" s="1"/>
  <c r="W38" i="1"/>
  <c r="Z38" i="1" s="1"/>
  <c r="X39" i="1"/>
  <c r="AA39" i="1" s="1"/>
  <c r="P5" i="1"/>
  <c r="AS30" i="1"/>
  <c r="U5" i="1" s="1"/>
  <c r="V40" i="1"/>
  <c r="Y40" i="1" s="1"/>
  <c r="P7" i="1"/>
  <c r="AS32" i="1"/>
  <c r="U7" i="1" s="1"/>
  <c r="V39" i="1"/>
  <c r="Y39" i="1" s="1"/>
  <c r="P8" i="1"/>
  <c r="AS33" i="1"/>
  <c r="U8" i="1" s="1"/>
  <c r="AQ33" i="1"/>
  <c r="X41" i="1"/>
  <c r="AA41" i="1" s="1"/>
  <c r="W37" i="1"/>
  <c r="Z37" i="1" s="1"/>
  <c r="X40" i="1"/>
  <c r="AA40" i="1" s="1"/>
  <c r="P6" i="1"/>
  <c r="AS31" i="1"/>
  <c r="U6" i="1" s="1"/>
  <c r="P4" i="1"/>
  <c r="AS29" i="1"/>
  <c r="U4" i="1" s="1"/>
  <c r="V37" i="1"/>
  <c r="Y37" i="1" s="1"/>
  <c r="AD43" i="1" l="1"/>
  <c r="K50" i="1" s="1"/>
  <c r="K30" i="1" s="1"/>
  <c r="AB47" i="1"/>
  <c r="I54" i="1" s="1"/>
  <c r="AC40" i="1"/>
  <c r="N53" i="1" s="1"/>
  <c r="N33" i="1" s="1"/>
  <c r="AC47" i="1"/>
  <c r="J54" i="1" s="1"/>
  <c r="J34" i="1" s="1"/>
  <c r="AD38" i="1"/>
  <c r="O51" i="1" s="1"/>
  <c r="AB38" i="1"/>
  <c r="M51" i="1" s="1"/>
  <c r="M31" i="1" s="1"/>
  <c r="AC39" i="1"/>
  <c r="N52" i="1" s="1"/>
  <c r="N32" i="1" s="1"/>
  <c r="AD46" i="1"/>
  <c r="K53" i="1" s="1"/>
  <c r="K33" i="1" s="1"/>
  <c r="AD40" i="1"/>
  <c r="O53" i="1" s="1"/>
  <c r="AD41" i="1"/>
  <c r="O54" i="1" s="1"/>
  <c r="P54" i="1" s="1"/>
  <c r="AD47" i="1"/>
  <c r="K54" i="1" s="1"/>
  <c r="K34" i="1" s="1"/>
  <c r="AB39" i="1"/>
  <c r="M52" i="1" s="1"/>
  <c r="AB45" i="1"/>
  <c r="I52" i="1" s="1"/>
  <c r="AD39" i="1"/>
  <c r="O52" i="1" s="1"/>
  <c r="AD45" i="1"/>
  <c r="K52" i="1" s="1"/>
  <c r="K32" i="1" s="1"/>
  <c r="AB37" i="1"/>
  <c r="M50" i="1" s="1"/>
  <c r="AB43" i="1"/>
  <c r="I50" i="1" s="1"/>
  <c r="M34" i="1"/>
  <c r="AC37" i="1"/>
  <c r="N50" i="1" s="1"/>
  <c r="N30" i="1" s="1"/>
  <c r="AC43" i="1"/>
  <c r="J50" i="1" s="1"/>
  <c r="J30" i="1" s="1"/>
  <c r="S8" i="1"/>
  <c r="L12" i="1" s="1"/>
  <c r="AP25" i="1"/>
  <c r="AB40" i="1"/>
  <c r="M53" i="1" s="1"/>
  <c r="AB46" i="1"/>
  <c r="I53" i="1" s="1"/>
  <c r="AC38" i="1"/>
  <c r="N51" i="1" s="1"/>
  <c r="N31" i="1" s="1"/>
  <c r="AC44" i="1"/>
  <c r="J51" i="1" s="1"/>
  <c r="H51" i="1" l="1"/>
  <c r="J31" i="1"/>
  <c r="H53" i="1"/>
  <c r="P51" i="1"/>
  <c r="H54" i="1"/>
  <c r="AU24" i="1"/>
  <c r="B7" i="9" s="1"/>
  <c r="AV24" i="1"/>
  <c r="C7" i="9" s="1"/>
  <c r="S14" i="1"/>
  <c r="AR34" i="1"/>
  <c r="AY24" i="1"/>
  <c r="F7" i="9" s="1"/>
  <c r="P50" i="1"/>
  <c r="M30" i="1"/>
  <c r="H52" i="1"/>
  <c r="M33" i="1"/>
  <c r="P53" i="1"/>
  <c r="L10" i="1"/>
  <c r="L11" i="1"/>
  <c r="L9" i="1"/>
  <c r="H50" i="1"/>
  <c r="M32" i="1"/>
  <c r="P52" i="1"/>
  <c r="AQ32" i="1" l="1"/>
  <c r="S7" i="1" s="1"/>
  <c r="AE13" i="1"/>
  <c r="AE20" i="1"/>
  <c r="L19" i="1"/>
  <c r="AE6" i="1"/>
  <c r="AR33" i="1" l="1"/>
  <c r="S13" i="1" s="1"/>
  <c r="L17" i="1"/>
  <c r="L16" i="1"/>
  <c r="L18" i="1"/>
  <c r="AC20" i="1"/>
  <c r="AC13" i="1"/>
  <c r="AC6" i="1"/>
  <c r="J12" i="1"/>
  <c r="AQ31" i="1" l="1"/>
  <c r="S6" i="1" s="1"/>
  <c r="AB12" i="1" s="1"/>
  <c r="J11" i="1"/>
  <c r="J10" i="1"/>
  <c r="J9" i="1"/>
  <c r="AD13" i="1"/>
  <c r="AD20" i="1"/>
  <c r="AD19" i="1"/>
  <c r="J19" i="1"/>
  <c r="AD12" i="1"/>
  <c r="AD5" i="1"/>
  <c r="AD6" i="1"/>
  <c r="AR32" i="1" l="1"/>
  <c r="AQ30" i="1" s="1"/>
  <c r="S5" i="1" s="1"/>
  <c r="H12" i="1"/>
  <c r="H10" i="1" s="1"/>
  <c r="AB19" i="1"/>
  <c r="AB5" i="1"/>
  <c r="J16" i="1"/>
  <c r="J17" i="1"/>
  <c r="J18" i="1"/>
  <c r="S12" i="1" l="1"/>
  <c r="AC4" i="1" s="1"/>
  <c r="H9" i="1"/>
  <c r="H11" i="1"/>
  <c r="AR31" i="1"/>
  <c r="S11" i="1" s="1"/>
  <c r="AA18" i="1"/>
  <c r="AA4" i="1"/>
  <c r="AA11" i="1"/>
  <c r="F12" i="1"/>
  <c r="AC11" i="1" l="1"/>
  <c r="AC18" i="1"/>
  <c r="AC19" i="1"/>
  <c r="H19" i="1"/>
  <c r="H16" i="1" s="1"/>
  <c r="AC12" i="1"/>
  <c r="AC5" i="1"/>
  <c r="AQ29" i="1"/>
  <c r="S4" i="1" s="1"/>
  <c r="Z10" i="1" s="1"/>
  <c r="F10" i="1"/>
  <c r="F9" i="1"/>
  <c r="F11" i="1"/>
  <c r="AB18" i="1"/>
  <c r="AB3" i="1"/>
  <c r="AB17" i="1"/>
  <c r="F19" i="1"/>
  <c r="AB10" i="1"/>
  <c r="AB11" i="1"/>
  <c r="AB4" i="1"/>
  <c r="H18" i="1" l="1"/>
  <c r="H17" i="1"/>
  <c r="AR30" i="1"/>
  <c r="S10" i="1" s="1"/>
  <c r="AA16" i="1" s="1"/>
  <c r="Z2" i="1"/>
  <c r="Z16" i="1"/>
  <c r="D12" i="1"/>
  <c r="D9" i="1" s="1"/>
  <c r="Z9" i="1"/>
  <c r="Z17" i="1"/>
  <c r="Z3" i="1"/>
  <c r="F16" i="1"/>
  <c r="F18" i="1"/>
  <c r="F17" i="1"/>
  <c r="D10" i="1" l="1"/>
  <c r="AA2" i="1"/>
  <c r="AA9" i="1"/>
  <c r="D19" i="1"/>
  <c r="D17" i="1" s="1"/>
  <c r="AA17" i="1"/>
  <c r="AH16" i="1" s="1" a="1"/>
  <c r="AJ17" i="1" s="1"/>
  <c r="D11" i="1"/>
  <c r="AA3" i="1"/>
  <c r="AA10" i="1"/>
  <c r="D18" i="1" l="1"/>
  <c r="D16" i="1"/>
  <c r="AH2" i="1" a="1"/>
  <c r="AK4" i="1" s="1"/>
  <c r="AH9" i="1" a="1"/>
  <c r="AH11" i="1" s="1"/>
  <c r="AI18" i="1"/>
  <c r="AJ18" i="1"/>
  <c r="AH17" i="1"/>
  <c r="AL17" i="1"/>
  <c r="AH19" i="1"/>
  <c r="AI16" i="1"/>
  <c r="AH18" i="1"/>
  <c r="AK18" i="1"/>
  <c r="AI19" i="1"/>
  <c r="AJ16" i="1"/>
  <c r="AJ19" i="1"/>
  <c r="AH20" i="1"/>
  <c r="AJ20" i="1"/>
  <c r="AK16" i="1"/>
  <c r="AI20" i="1"/>
  <c r="AL20" i="1"/>
  <c r="AK20" i="1"/>
  <c r="AH16" i="1"/>
  <c r="AK19" i="1"/>
  <c r="AL16" i="1"/>
  <c r="AI17" i="1"/>
  <c r="AK17" i="1"/>
  <c r="AL19" i="1"/>
  <c r="AL18" i="1"/>
  <c r="AJ5" i="1" l="1"/>
  <c r="AH4" i="1"/>
  <c r="AL3" i="1"/>
  <c r="AK2" i="1"/>
  <c r="AL4" i="1"/>
  <c r="AI4" i="1"/>
  <c r="AI5" i="1"/>
  <c r="AL2" i="1"/>
  <c r="AH5" i="1"/>
  <c r="AK5" i="1"/>
  <c r="AK3" i="1"/>
  <c r="AI6" i="1"/>
  <c r="AL6" i="1"/>
  <c r="AJ6" i="1"/>
  <c r="AK6" i="1"/>
  <c r="AI3" i="1"/>
  <c r="AJ2" i="1"/>
  <c r="AJ4" i="1"/>
  <c r="AH6" i="1"/>
  <c r="AH3" i="1"/>
  <c r="AJ3" i="1"/>
  <c r="AI2" i="1"/>
  <c r="AL5" i="1"/>
  <c r="AH2" i="1"/>
  <c r="AL12" i="1"/>
  <c r="AH12" i="1"/>
  <c r="AK11" i="1"/>
  <c r="AI11" i="1"/>
  <c r="AL11" i="1"/>
  <c r="AI10" i="1"/>
  <c r="AI12" i="1"/>
  <c r="AH10" i="1"/>
  <c r="AL13" i="1"/>
  <c r="AJ11" i="1"/>
  <c r="AL10" i="1"/>
  <c r="AL9" i="1"/>
  <c r="AK10" i="1"/>
  <c r="AK13" i="1"/>
  <c r="AJ10" i="1"/>
  <c r="AK12" i="1"/>
  <c r="AH9" i="1"/>
  <c r="AK9" i="1"/>
  <c r="AJ9" i="1"/>
  <c r="AJ12" i="1"/>
  <c r="AJ13" i="1"/>
  <c r="AH13" i="1"/>
  <c r="AI13" i="1"/>
  <c r="AI9" i="1"/>
  <c r="AN16" i="1" a="1"/>
  <c r="AN18" i="1" s="1"/>
  <c r="AC31" i="1" s="1"/>
  <c r="AN9" i="1" l="1" a="1"/>
  <c r="AN11" i="1" s="1"/>
  <c r="AB31" i="1" s="1"/>
  <c r="AN2" i="1" a="1"/>
  <c r="AN3" i="1" s="1"/>
  <c r="AA30" i="1" s="1"/>
  <c r="AN16" i="1"/>
  <c r="AC29" i="1" s="1"/>
  <c r="AN20" i="1"/>
  <c r="AC33" i="1" s="1"/>
  <c r="AN19" i="1"/>
  <c r="AC32" i="1" s="1"/>
  <c r="AN17" i="1"/>
  <c r="AC30" i="1" s="1"/>
  <c r="AN13" i="1" l="1"/>
  <c r="AB33" i="1" s="1"/>
  <c r="AN9" i="1"/>
  <c r="AB29" i="1" s="1"/>
  <c r="AN12" i="1"/>
  <c r="AB32" i="1" s="1"/>
  <c r="AN10" i="1"/>
  <c r="AB30" i="1" s="1"/>
  <c r="Z30" i="1" s="1"/>
  <c r="AN6" i="1"/>
  <c r="AA33" i="1" s="1"/>
  <c r="AN5" i="1"/>
  <c r="AA32" i="1" s="1"/>
  <c r="AN2" i="1"/>
  <c r="AA29" i="1" s="1"/>
  <c r="AN4" i="1"/>
  <c r="AA31" i="1" s="1"/>
  <c r="Z31" i="1" s="1"/>
  <c r="Z33" i="1" l="1"/>
  <c r="Z29" i="1"/>
  <c r="Z32" i="1"/>
</calcChain>
</file>

<file path=xl/sharedStrings.xml><?xml version="1.0" encoding="utf-8"?>
<sst xmlns="http://schemas.openxmlformats.org/spreadsheetml/2006/main" count="905" uniqueCount="135">
  <si>
    <t>A</t>
  </si>
  <si>
    <t>B</t>
  </si>
  <si>
    <t>C</t>
  </si>
  <si>
    <t>MTBE</t>
  </si>
  <si>
    <t>Methanol</t>
  </si>
  <si>
    <t>[BMIM][HSO4]</t>
  </si>
  <si>
    <t>Kontakt</t>
  </si>
  <si>
    <t>F</t>
  </si>
  <si>
    <t>R1</t>
  </si>
  <si>
    <t>R2</t>
  </si>
  <si>
    <t>R3</t>
  </si>
  <si>
    <t>R4</t>
  </si>
  <si>
    <t>R5</t>
  </si>
  <si>
    <t>E1</t>
  </si>
  <si>
    <t>E2</t>
  </si>
  <si>
    <t>E3</t>
  </si>
  <si>
    <t>E4</t>
  </si>
  <si>
    <t>E5</t>
  </si>
  <si>
    <t>S</t>
  </si>
  <si>
    <t>A(zlozka A)</t>
  </si>
  <si>
    <t>A(zlozka B)</t>
  </si>
  <si>
    <t>A(zlozka C)</t>
  </si>
  <si>
    <t>psB</t>
  </si>
  <si>
    <t>psA</t>
  </si>
  <si>
    <t>psC</t>
  </si>
  <si>
    <t>n</t>
  </si>
  <si>
    <t>xi</t>
  </si>
  <si>
    <t>inverz</t>
  </si>
  <si>
    <t>xA</t>
  </si>
  <si>
    <t>xB</t>
  </si>
  <si>
    <t>xC</t>
  </si>
  <si>
    <t>'=xe/xr</t>
  </si>
  <si>
    <t>A+B+C</t>
  </si>
  <si>
    <t>1–2</t>
  </si>
  <si>
    <t>1–3</t>
  </si>
  <si>
    <t>2–3</t>
  </si>
  <si>
    <t>rmsd</t>
  </si>
  <si>
    <t>α</t>
  </si>
  <si>
    <t>NRTL parameters</t>
  </si>
  <si>
    <t>x1.1</t>
  </si>
  <si>
    <t>x2.1</t>
  </si>
  <si>
    <t>x3.1</t>
  </si>
  <si>
    <t>x1.2</t>
  </si>
  <si>
    <t>x2.2</t>
  </si>
  <si>
    <t>x3.3</t>
  </si>
  <si>
    <t>lnγ1.1</t>
  </si>
  <si>
    <t>lnγ2.1</t>
  </si>
  <si>
    <t>lnγ3.1</t>
  </si>
  <si>
    <t>γ1.1/γ1.2</t>
  </si>
  <si>
    <t>γ2.1/γ2.2</t>
  </si>
  <si>
    <t>γ3.1/γ3.2</t>
  </si>
  <si>
    <t>lnγ1.2</t>
  </si>
  <si>
    <t>lnγ2.2</t>
  </si>
  <si>
    <t>lnγ3.2</t>
  </si>
  <si>
    <t>γ1.2/γ1.1</t>
  </si>
  <si>
    <t>γ2.2/γ2.1</t>
  </si>
  <si>
    <t>γ3.2/γ3.1</t>
  </si>
  <si>
    <t>R</t>
  </si>
  <si>
    <t>kJ.mol^-1.K^-1</t>
  </si>
  <si>
    <t>T</t>
  </si>
  <si>
    <t>K</t>
  </si>
  <si>
    <t>Σxi</t>
  </si>
  <si>
    <t>kA</t>
  </si>
  <si>
    <t>kB</t>
  </si>
  <si>
    <t>kC</t>
  </si>
  <si>
    <t>-</t>
  </si>
  <si>
    <t>Meth</t>
  </si>
  <si>
    <t>Ils</t>
  </si>
  <si>
    <t>xRA</t>
  </si>
  <si>
    <t>xRB</t>
  </si>
  <si>
    <t>xRC</t>
  </si>
  <si>
    <t>xEA</t>
  </si>
  <si>
    <t>xEB</t>
  </si>
  <si>
    <t>xEC</t>
  </si>
  <si>
    <t>nR</t>
  </si>
  <si>
    <t>nE</t>
  </si>
  <si>
    <t>∑xRi</t>
  </si>
  <si>
    <t>∑xEi</t>
  </si>
  <si>
    <t>MTBE (1) + methanol (2) + [BMIM][HSO4] (3) at 318.15 K</t>
  </si>
  <si>
    <t>τ12</t>
  </si>
  <si>
    <t>τ21</t>
  </si>
  <si>
    <t>τ13</t>
  </si>
  <si>
    <t>τ31</t>
  </si>
  <si>
    <t>τ23</t>
  </si>
  <si>
    <t>τ32</t>
  </si>
  <si>
    <t>G12</t>
  </si>
  <si>
    <t>G21</t>
  </si>
  <si>
    <t>G13</t>
  </si>
  <si>
    <t>G31</t>
  </si>
  <si>
    <t>G23</t>
  </si>
  <si>
    <t>G32</t>
  </si>
  <si>
    <t>i–j</t>
  </si>
  <si>
    <t>Δgij(kJ·mol−1)</t>
  </si>
  <si>
    <t>Δgji(kJ·mol−1)</t>
  </si>
  <si>
    <t>φ1.1</t>
  </si>
  <si>
    <t>φ2.1</t>
  </si>
  <si>
    <t>φ3.1</t>
  </si>
  <si>
    <t>θ1.1</t>
  </si>
  <si>
    <t>θ2.1</t>
  </si>
  <si>
    <t>θ3.1</t>
  </si>
  <si>
    <t>γ1.1</t>
  </si>
  <si>
    <t>γ2.1</t>
  </si>
  <si>
    <t>γ3.1</t>
  </si>
  <si>
    <t>φ1.2</t>
  </si>
  <si>
    <t>φ2.2</t>
  </si>
  <si>
    <t>φ3.2</t>
  </si>
  <si>
    <t>θ1.2</t>
  </si>
  <si>
    <t>θ2.2</t>
  </si>
  <si>
    <t>θ3.2</t>
  </si>
  <si>
    <t>γ1.2</t>
  </si>
  <si>
    <t>γ2.2</t>
  </si>
  <si>
    <t>γ3.2</t>
  </si>
  <si>
    <t>Vysledne</t>
  </si>
  <si>
    <t>XA</t>
  </si>
  <si>
    <t>XB</t>
  </si>
  <si>
    <t>XC</t>
  </si>
  <si>
    <t>Yb</t>
  </si>
  <si>
    <t>sum x</t>
  </si>
  <si>
    <t>Pocet kontaktov</t>
  </si>
  <si>
    <t>ns/nf</t>
  </si>
  <si>
    <t>Ya</t>
  </si>
  <si>
    <t>Yc</t>
  </si>
  <si>
    <t>Ya v extrakte</t>
  </si>
  <si>
    <t>Yc straty do Raf</t>
  </si>
  <si>
    <t>n[kmol/h]</t>
  </si>
  <si>
    <t>nR [kmol/h][mol.h-1]</t>
  </si>
  <si>
    <t>nE [kmol/h]</t>
  </si>
  <si>
    <t>∑n [kmol/h]</t>
  </si>
  <si>
    <t>n [kmol/h]</t>
  </si>
  <si>
    <t>nR [kmol/h]</t>
  </si>
  <si>
    <t>nf [kmol/h]</t>
  </si>
  <si>
    <t>ns [kmol/h]</t>
  </si>
  <si>
    <t>ns</t>
  </si>
  <si>
    <t>Ya(straty</t>
  </si>
  <si>
    <t>Yc(straty)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</si>
</sst>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0.000"/>
    <numFmt numFmtId="166" formatCode="0.000000"/>
    <numFmt numFmtId="167" formatCode="0.00000"/>
    <numFmt numFmtId="168" formatCode="0.0000%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1F1F1F"/>
      <name val="Georgia"/>
      <family val="1"/>
    </font>
    <font>
      <sz val="11"/>
      <color rgb="FF1F1F1F"/>
      <name val="Georgia"/>
      <family val="1"/>
    </font>
    <font>
      <b/>
      <sz val="11"/>
      <color rgb="FF000000"/>
      <name val="Calibri"/>
      <family val="2"/>
    </font>
    <font>
      <b/>
      <i/>
      <sz val="11"/>
      <color rgb="FF1F1F1F"/>
      <name val="Georgia"/>
      <family val="1"/>
    </font>
    <font>
      <sz val="10"/>
      <color rgb="FF1F1F1F"/>
      <name val="Georgia"/>
      <family val="1"/>
    </font>
    <font>
      <sz val="11"/>
      <color rgb="FF7030A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8E8E8E"/>
      </top>
      <bottom/>
      <diagonal/>
    </border>
    <border>
      <left/>
      <right/>
      <top/>
      <bottom style="medium">
        <color rgb="FF8E8E8E"/>
      </bottom>
      <diagonal/>
    </border>
    <border>
      <left/>
      <right/>
      <top style="medium">
        <color rgb="FF8E8E8E"/>
      </top>
      <bottom style="medium">
        <color rgb="FF8E8E8E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4" fillId="0" borderId="0"/>
    <xf numFmtId="9" fontId="13" fillId="0" borderId="0" applyFont="0" applyFill="0" applyBorder="0" applyAlignment="0" applyProtection="0"/>
  </cellStyleXfs>
  <cellXfs count="15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0" borderId="13" xfId="0" applyBorder="1"/>
    <xf numFmtId="0" fontId="1" fillId="0" borderId="1" xfId="0" applyFont="1" applyBorder="1"/>
    <xf numFmtId="0" fontId="1" fillId="0" borderId="10" xfId="0" applyFont="1" applyBorder="1"/>
    <xf numFmtId="0" fontId="1" fillId="0" borderId="13" xfId="0" applyFont="1" applyBorder="1"/>
    <xf numFmtId="0" fontId="1" fillId="0" borderId="5" xfId="0" applyFont="1" applyBorder="1"/>
    <xf numFmtId="0" fontId="2" fillId="0" borderId="13" xfId="0" applyFont="1" applyBorder="1"/>
    <xf numFmtId="0" fontId="1" fillId="0" borderId="15" xfId="0" applyFont="1" applyBorder="1"/>
    <xf numFmtId="0" fontId="0" fillId="0" borderId="0" xfId="0" quotePrefix="1"/>
    <xf numFmtId="2" fontId="0" fillId="0" borderId="6" xfId="0" applyNumberFormat="1" applyBorder="1"/>
    <xf numFmtId="164" fontId="3" fillId="0" borderId="0" xfId="0" applyNumberFormat="1" applyFont="1"/>
    <xf numFmtId="0" fontId="6" fillId="0" borderId="16" xfId="0" applyFont="1" applyBorder="1" applyAlignment="1">
      <alignment horizontal="left" vertical="center" wrapText="1"/>
    </xf>
    <xf numFmtId="164" fontId="6" fillId="0" borderId="16" xfId="0" applyNumberFormat="1" applyFont="1" applyBorder="1" applyAlignment="1">
      <alignment horizontal="left" vertical="center" wrapText="1"/>
    </xf>
    <xf numFmtId="0" fontId="7" fillId="0" borderId="13" xfId="1" applyFont="1" applyBorder="1" applyAlignment="1">
      <alignment horizontal="center"/>
    </xf>
    <xf numFmtId="0" fontId="7" fillId="0" borderId="14" xfId="1" applyFont="1" applyBorder="1" applyAlignment="1">
      <alignment horizontal="center"/>
    </xf>
    <xf numFmtId="0" fontId="7" fillId="0" borderId="15" xfId="1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164" fontId="6" fillId="0" borderId="0" xfId="0" applyNumberFormat="1" applyFont="1" applyAlignment="1">
      <alignment horizontal="left" vertical="center" wrapText="1"/>
    </xf>
    <xf numFmtId="164" fontId="0" fillId="0" borderId="0" xfId="0" applyNumberFormat="1"/>
    <xf numFmtId="0" fontId="6" fillId="0" borderId="17" xfId="0" applyFont="1" applyBorder="1" applyAlignment="1">
      <alignment horizontal="left" vertical="center" wrapText="1"/>
    </xf>
    <xf numFmtId="164" fontId="6" fillId="0" borderId="17" xfId="0" applyNumberFormat="1" applyFont="1" applyBorder="1" applyAlignment="1">
      <alignment horizontal="left" vertical="center" wrapText="1"/>
    </xf>
    <xf numFmtId="0" fontId="0" fillId="0" borderId="17" xfId="0" applyBorder="1"/>
    <xf numFmtId="0" fontId="9" fillId="0" borderId="18" xfId="0" applyFont="1" applyBorder="1" applyAlignment="1">
      <alignment horizontal="left" vertical="center" wrapText="1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13" xfId="1" applyFont="1" applyBorder="1" applyAlignment="1">
      <alignment horizontal="center" vertical="center"/>
    </xf>
    <xf numFmtId="0" fontId="7" fillId="0" borderId="14" xfId="1" applyFont="1" applyBorder="1" applyAlignment="1">
      <alignment horizontal="center" vertical="center"/>
    </xf>
    <xf numFmtId="0" fontId="7" fillId="0" borderId="15" xfId="1" applyFont="1" applyBorder="1" applyAlignment="1">
      <alignment horizontal="center" vertical="center"/>
    </xf>
    <xf numFmtId="0" fontId="7" fillId="0" borderId="13" xfId="1" applyFont="1" applyFill="1" applyBorder="1" applyAlignment="1">
      <alignment horizontal="center" vertical="center"/>
    </xf>
    <xf numFmtId="0" fontId="7" fillId="0" borderId="14" xfId="1" applyFont="1" applyFill="1" applyBorder="1" applyAlignment="1">
      <alignment horizontal="center" vertical="center"/>
    </xf>
    <xf numFmtId="0" fontId="7" fillId="0" borderId="15" xfId="1" applyFont="1" applyFill="1" applyBorder="1" applyAlignment="1">
      <alignment horizontal="center" vertical="center"/>
    </xf>
    <xf numFmtId="164" fontId="10" fillId="0" borderId="0" xfId="0" applyNumberFormat="1" applyFont="1"/>
    <xf numFmtId="0" fontId="1" fillId="0" borderId="0" xfId="0" applyFont="1"/>
    <xf numFmtId="0" fontId="11" fillId="0" borderId="1" xfId="0" applyFont="1" applyBorder="1"/>
    <xf numFmtId="165" fontId="0" fillId="0" borderId="0" xfId="0" applyNumberFormat="1"/>
    <xf numFmtId="0" fontId="1" fillId="0" borderId="0" xfId="0" applyFont="1" applyBorder="1"/>
    <xf numFmtId="0" fontId="12" fillId="0" borderId="0" xfId="0" applyFont="1"/>
    <xf numFmtId="164" fontId="12" fillId="0" borderId="0" xfId="0" applyNumberFormat="1" applyFont="1"/>
    <xf numFmtId="0" fontId="3" fillId="0" borderId="3" xfId="0" applyFont="1" applyBorder="1"/>
    <xf numFmtId="0" fontId="3" fillId="0" borderId="0" xfId="0" applyFont="1" applyBorder="1"/>
    <xf numFmtId="0" fontId="3" fillId="0" borderId="8" xfId="0" applyFont="1" applyBorder="1"/>
    <xf numFmtId="0" fontId="0" fillId="0" borderId="0" xfId="0" applyNumberFormat="1"/>
    <xf numFmtId="164" fontId="0" fillId="0" borderId="2" xfId="0" applyNumberFormat="1" applyFill="1" applyBorder="1"/>
    <xf numFmtId="164" fontId="0" fillId="0" borderId="3" xfId="0" applyNumberFormat="1" applyFill="1" applyBorder="1"/>
    <xf numFmtId="164" fontId="0" fillId="0" borderId="5" xfId="0" applyNumberFormat="1" applyFill="1" applyBorder="1"/>
    <xf numFmtId="164" fontId="0" fillId="0" borderId="0" xfId="0" applyNumberFormat="1" applyFill="1" applyBorder="1"/>
    <xf numFmtId="164" fontId="0" fillId="0" borderId="7" xfId="0" applyNumberFormat="1" applyFill="1" applyBorder="1"/>
    <xf numFmtId="164" fontId="0" fillId="0" borderId="8" xfId="0" applyNumberFormat="1" applyFill="1" applyBorder="1"/>
    <xf numFmtId="2" fontId="0" fillId="0" borderId="9" xfId="0" applyNumberFormat="1" applyBorder="1"/>
    <xf numFmtId="2" fontId="0" fillId="0" borderId="5" xfId="0" applyNumberFormat="1" applyBorder="1"/>
    <xf numFmtId="2" fontId="0" fillId="0" borderId="8" xfId="0" applyNumberFormat="1" applyBorder="1"/>
    <xf numFmtId="2" fontId="0" fillId="0" borderId="0" xfId="0" applyNumberFormat="1" applyBorder="1"/>
    <xf numFmtId="0" fontId="10" fillId="0" borderId="0" xfId="0" applyNumberFormat="1" applyFont="1"/>
    <xf numFmtId="0" fontId="0" fillId="0" borderId="5" xfId="0" applyFill="1" applyBorder="1"/>
    <xf numFmtId="0" fontId="0" fillId="0" borderId="6" xfId="0" applyFill="1" applyBorder="1"/>
    <xf numFmtId="166" fontId="0" fillId="0" borderId="2" xfId="0" applyNumberFormat="1" applyBorder="1"/>
    <xf numFmtId="166" fontId="0" fillId="0" borderId="3" xfId="0" applyNumberFormat="1" applyBorder="1"/>
    <xf numFmtId="166" fontId="0" fillId="0" borderId="4" xfId="0" applyNumberFormat="1" applyBorder="1"/>
    <xf numFmtId="166" fontId="0" fillId="0" borderId="5" xfId="0" applyNumberFormat="1" applyBorder="1"/>
    <xf numFmtId="166" fontId="0" fillId="0" borderId="0" xfId="0" applyNumberFormat="1" applyBorder="1"/>
    <xf numFmtId="166" fontId="0" fillId="0" borderId="6" xfId="0" applyNumberFormat="1" applyBorder="1"/>
    <xf numFmtId="166" fontId="0" fillId="0" borderId="7" xfId="0" applyNumberFormat="1" applyBorder="1"/>
    <xf numFmtId="166" fontId="0" fillId="0" borderId="8" xfId="0" applyNumberFormat="1" applyBorder="1"/>
    <xf numFmtId="166" fontId="0" fillId="0" borderId="9" xfId="0" applyNumberFormat="1" applyBorder="1"/>
    <xf numFmtId="2" fontId="0" fillId="0" borderId="13" xfId="0" applyNumberFormat="1" applyBorder="1"/>
    <xf numFmtId="0" fontId="3" fillId="0" borderId="10" xfId="0" applyNumberFormat="1" applyFont="1" applyBorder="1"/>
    <xf numFmtId="0" fontId="3" fillId="0" borderId="11" xfId="0" applyNumberFormat="1" applyFont="1" applyBorder="1"/>
    <xf numFmtId="0" fontId="3" fillId="0" borderId="12" xfId="0" applyNumberFormat="1" applyFont="1" applyBorder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2" fontId="0" fillId="0" borderId="11" xfId="0" applyNumberFormat="1" applyBorder="1"/>
    <xf numFmtId="2" fontId="0" fillId="0" borderId="12" xfId="0" applyNumberFormat="1" applyBorder="1"/>
    <xf numFmtId="2" fontId="0" fillId="0" borderId="10" xfId="0" applyNumberFormat="1" applyBorder="1"/>
    <xf numFmtId="0" fontId="1" fillId="0" borderId="11" xfId="0" applyFont="1" applyBorder="1"/>
    <xf numFmtId="0" fontId="1" fillId="0" borderId="12" xfId="0" applyFont="1" applyBorder="1"/>
    <xf numFmtId="0" fontId="1" fillId="0" borderId="14" xfId="0" applyFont="1" applyBorder="1"/>
    <xf numFmtId="0" fontId="1" fillId="0" borderId="0" xfId="0" applyFont="1" applyFill="1" applyBorder="1"/>
    <xf numFmtId="0" fontId="1" fillId="0" borderId="2" xfId="0" applyFont="1" applyBorder="1"/>
    <xf numFmtId="0" fontId="1" fillId="0" borderId="3" xfId="0" applyFont="1" applyBorder="1"/>
    <xf numFmtId="0" fontId="2" fillId="0" borderId="4" xfId="0" applyFont="1" applyBorder="1"/>
    <xf numFmtId="0" fontId="1" fillId="0" borderId="2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2" fillId="0" borderId="14" xfId="0" applyFont="1" applyBorder="1"/>
    <xf numFmtId="0" fontId="0" fillId="0" borderId="5" xfId="0" applyNumberFormat="1" applyBorder="1"/>
    <xf numFmtId="0" fontId="1" fillId="0" borderId="9" xfId="0" applyFont="1" applyBorder="1"/>
    <xf numFmtId="167" fontId="0" fillId="0" borderId="0" xfId="0" applyNumberFormat="1"/>
    <xf numFmtId="167" fontId="0" fillId="0" borderId="6" xfId="0" applyNumberFormat="1" applyBorder="1"/>
    <xf numFmtId="0" fontId="0" fillId="0" borderId="6" xfId="0" applyNumberFormat="1" applyBorder="1"/>
    <xf numFmtId="164" fontId="0" fillId="0" borderId="5" xfId="0" applyNumberFormat="1" applyBorder="1"/>
    <xf numFmtId="0" fontId="3" fillId="0" borderId="0" xfId="0" applyFont="1"/>
    <xf numFmtId="0" fontId="3" fillId="0" borderId="7" xfId="0" applyFont="1" applyBorder="1"/>
    <xf numFmtId="0" fontId="8" fillId="0" borderId="16" xfId="0" applyFont="1" applyBorder="1" applyAlignment="1">
      <alignment horizontal="left" vertical="center" wrapText="1"/>
    </xf>
    <xf numFmtId="0" fontId="8" fillId="0" borderId="17" xfId="0" applyFont="1" applyBorder="1" applyAlignment="1">
      <alignment horizontal="left" vertical="center" wrapText="1"/>
    </xf>
    <xf numFmtId="0" fontId="5" fillId="0" borderId="18" xfId="0" applyFont="1" applyBorder="1" applyAlignment="1">
      <alignment horizontal="left" vertical="center" wrapText="1"/>
    </xf>
    <xf numFmtId="0" fontId="0" fillId="0" borderId="0" xfId="0" applyFill="1" applyBorder="1"/>
    <xf numFmtId="2" fontId="0" fillId="0" borderId="4" xfId="0" applyNumberFormat="1" applyBorder="1"/>
    <xf numFmtId="0" fontId="0" fillId="0" borderId="0" xfId="0" applyBorder="1" applyAlignment="1">
      <alignment horizontal="center"/>
    </xf>
    <xf numFmtId="0" fontId="0" fillId="0" borderId="11" xfId="0" applyFill="1" applyBorder="1"/>
    <xf numFmtId="0" fontId="1" fillId="0" borderId="4" xfId="0" applyFont="1" applyBorder="1"/>
    <xf numFmtId="0" fontId="1" fillId="0" borderId="19" xfId="0" applyFont="1" applyBorder="1"/>
    <xf numFmtId="2" fontId="0" fillId="0" borderId="2" xfId="0" applyNumberFormat="1" applyBorder="1"/>
    <xf numFmtId="2" fontId="0" fillId="0" borderId="3" xfId="0" applyNumberFormat="1" applyBorder="1"/>
    <xf numFmtId="2" fontId="0" fillId="0" borderId="3" xfId="0" applyNumberFormat="1" applyFill="1" applyBorder="1"/>
    <xf numFmtId="2" fontId="0" fillId="0" borderId="4" xfId="0" applyNumberFormat="1" applyFill="1" applyBorder="1"/>
    <xf numFmtId="2" fontId="0" fillId="0" borderId="0" xfId="0" applyNumberFormat="1" applyFill="1" applyBorder="1"/>
    <xf numFmtId="2" fontId="0" fillId="0" borderId="6" xfId="0" applyNumberFormat="1" applyFill="1" applyBorder="1"/>
    <xf numFmtId="2" fontId="0" fillId="0" borderId="7" xfId="0" applyNumberFormat="1" applyBorder="1"/>
    <xf numFmtId="11" fontId="0" fillId="0" borderId="0" xfId="0" applyNumberFormat="1"/>
    <xf numFmtId="0" fontId="1" fillId="0" borderId="5" xfId="0" applyFont="1" applyFill="1" applyBorder="1" applyAlignment="1">
      <alignment horizontal="left"/>
    </xf>
    <xf numFmtId="0" fontId="2" fillId="0" borderId="10" xfId="0" applyFont="1" applyBorder="1"/>
    <xf numFmtId="166" fontId="0" fillId="0" borderId="10" xfId="0" applyNumberFormat="1" applyBorder="1"/>
    <xf numFmtId="166" fontId="0" fillId="0" borderId="11" xfId="0" applyNumberFormat="1" applyBorder="1"/>
    <xf numFmtId="166" fontId="0" fillId="0" borderId="12" xfId="0" applyNumberFormat="1" applyBorder="1"/>
    <xf numFmtId="11" fontId="0" fillId="0" borderId="0" xfId="0" applyNumberFormat="1" applyBorder="1"/>
    <xf numFmtId="0" fontId="1" fillId="0" borderId="0" xfId="0" applyFont="1" applyFill="1" applyBorder="1" applyAlignment="1">
      <alignment horizontal="left"/>
    </xf>
    <xf numFmtId="167" fontId="10" fillId="0" borderId="0" xfId="0" applyNumberFormat="1" applyFont="1"/>
    <xf numFmtId="168" fontId="0" fillId="0" borderId="0" xfId="2" applyNumberFormat="1" applyFont="1"/>
    <xf numFmtId="10" fontId="0" fillId="0" borderId="0" xfId="2" applyNumberFormat="1" applyFont="1"/>
    <xf numFmtId="2" fontId="0" fillId="0" borderId="0" xfId="0" applyNumberFormat="1"/>
    <xf numFmtId="0" fontId="5" fillId="0" borderId="16" xfId="0" applyFont="1" applyBorder="1" applyAlignment="1">
      <alignment horizontal="left" vertical="center" wrapText="1"/>
    </xf>
    <xf numFmtId="0" fontId="8" fillId="0" borderId="16" xfId="0" applyFont="1" applyBorder="1" applyAlignment="1">
      <alignment horizontal="left" vertical="center" wrapText="1"/>
    </xf>
    <xf numFmtId="0" fontId="8" fillId="0" borderId="17" xfId="0" applyFont="1" applyBorder="1" applyAlignment="1">
      <alignment horizontal="left" vertical="center" wrapText="1"/>
    </xf>
    <xf numFmtId="0" fontId="5" fillId="0" borderId="18" xfId="0" applyFont="1" applyBorder="1" applyAlignment="1">
      <alignment horizontal="left" vertical="center" wrapText="1"/>
    </xf>
    <xf numFmtId="0" fontId="1" fillId="2" borderId="13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166" fontId="0" fillId="0" borderId="0" xfId="0" applyNumberFormat="1"/>
  </cellXfs>
  <cellStyles count="3">
    <cellStyle name="Normal 2" xfId="1"/>
    <cellStyle name="Обычный" xfId="0" builtinId="0"/>
    <cellStyle name="Процентный" xfId="2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ns/nf=f(PTE)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Vytazky!$A$3:$A$8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</c:numCache>
            </c:numRef>
          </c:xVal>
          <c:yVal>
            <c:numRef>
              <c:f>Vytazky!$C$3:$C$8</c:f>
              <c:numCache>
                <c:formatCode>0.00</c:formatCode>
                <c:ptCount val="6"/>
                <c:pt idx="0">
                  <c:v>1.2</c:v>
                </c:pt>
                <c:pt idx="1">
                  <c:v>0.52788089096779034</c:v>
                </c:pt>
                <c:pt idx="2">
                  <c:v>0.28025277559845452</c:v>
                </c:pt>
                <c:pt idx="3">
                  <c:v>0.2784372977571658</c:v>
                </c:pt>
                <c:pt idx="4">
                  <c:v>0.24698858366877474</c:v>
                </c:pt>
                <c:pt idx="5">
                  <c:v>0.23241273495599174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39872"/>
        <c:axId val="109841408"/>
      </c:scatterChart>
      <c:valAx>
        <c:axId val="10983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9841408"/>
        <c:crosses val="autoZero"/>
        <c:crossBetween val="midCat"/>
      </c:valAx>
      <c:valAx>
        <c:axId val="10984140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0983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Vytazky!$D$2</c:f>
          <c:strCache>
            <c:ptCount val="1"/>
            <c:pt idx="0">
              <c:v>Ya v extrakte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Vytazky!$A$3:$A$8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</c:numCache>
            </c:numRef>
          </c:xVal>
          <c:yVal>
            <c:numRef>
              <c:f>Vytazky!$D$3:$D$8</c:f>
              <c:numCache>
                <c:formatCode>0.00%</c:formatCode>
                <c:ptCount val="6"/>
                <c:pt idx="0">
                  <c:v>0.18239062135830861</c:v>
                </c:pt>
                <c:pt idx="1">
                  <c:v>0.12664123463902296</c:v>
                </c:pt>
                <c:pt idx="2">
                  <c:v>9.9695712243535878E-2</c:v>
                </c:pt>
                <c:pt idx="3">
                  <c:v>9.9638631879444481E-2</c:v>
                </c:pt>
                <c:pt idx="4">
                  <c:v>9.6893093248958673E-2</c:v>
                </c:pt>
                <c:pt idx="5">
                  <c:v>9.5709809331481197E-2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3696"/>
        <c:axId val="109867776"/>
      </c:scatterChart>
      <c:valAx>
        <c:axId val="10985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9867776"/>
        <c:crosses val="autoZero"/>
        <c:crossBetween val="midCat"/>
      </c:valAx>
      <c:valAx>
        <c:axId val="109867776"/>
        <c:scaling>
          <c:orientation val="minMax"/>
          <c:max val="0.2"/>
          <c:min val="9.0000000000000024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09853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Vytazky!$F$2</c:f>
          <c:strCache>
            <c:ptCount val="1"/>
            <c:pt idx="0">
              <c:v>Yc straty do Raf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Vytazky!$A$3:$A$8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</c:numCache>
            </c:numRef>
          </c:xVal>
          <c:yVal>
            <c:numRef>
              <c:f>Vytazky!$F$3:$F$8</c:f>
              <c:numCache>
                <c:formatCode>0.0000%</c:formatCode>
                <c:ptCount val="6"/>
                <c:pt idx="0">
                  <c:v>1.8765533371944388E-4</c:v>
                </c:pt>
                <c:pt idx="1">
                  <c:v>2.9192950096649975E-4</c:v>
                </c:pt>
                <c:pt idx="2">
                  <c:v>5.3635512214811961E-4</c:v>
                </c:pt>
                <c:pt idx="3">
                  <c:v>5.1950041027910507E-4</c:v>
                </c:pt>
                <c:pt idx="4">
                  <c:v>5.8442466840773492E-4</c:v>
                </c:pt>
                <c:pt idx="5">
                  <c:v>6.2084450249153792E-4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81984"/>
        <c:axId val="109891968"/>
      </c:scatterChart>
      <c:valAx>
        <c:axId val="109881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9891968"/>
        <c:crosses val="autoZero"/>
        <c:crossBetween val="midCat"/>
      </c:valAx>
      <c:valAx>
        <c:axId val="10989196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0988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161924</xdr:colOff>
      <xdr:row>1</xdr:row>
      <xdr:rowOff>4762</xdr:rowOff>
    </xdr:from>
    <xdr:to>
      <xdr:col>13</xdr:col>
      <xdr:colOff>495299</xdr:colOff>
      <xdr:row>12</xdr:row>
      <xdr:rowOff>104775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12</xdr:row>
      <xdr:rowOff>52387</xdr:rowOff>
    </xdr:from>
    <xdr:to>
      <xdr:col>6</xdr:col>
      <xdr:colOff>581025</xdr:colOff>
      <xdr:row>26</xdr:row>
      <xdr:rowOff>128587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190500</xdr:colOff>
      <xdr:row>13</xdr:row>
      <xdr:rowOff>147637</xdr:rowOff>
    </xdr:from>
    <xdr:to>
      <xdr:col>14</xdr:col>
      <xdr:colOff>495300</xdr:colOff>
      <xdr:row>28</xdr:row>
      <xdr:rowOff>33337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</xdr:row>
          <xdr:rowOff>152400</xdr:rowOff>
        </xdr:from>
        <xdr:to>
          <xdr:col>6</xdr:col>
          <xdr:colOff>561975</xdr:colOff>
          <xdr:row>36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NRTL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515470</xdr:colOff>
          <xdr:row>32</xdr:row>
          <xdr:rowOff>17930</xdr:rowOff>
        </xdr:from>
        <xdr:to>
          <xdr:col>18</xdr:col>
          <xdr:colOff>472327</xdr:colOff>
          <xdr:row>32</xdr:row>
          <xdr:rowOff>200586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NRTL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40</xdr:row>
          <xdr:rowOff>9525</xdr:rowOff>
        </xdr:from>
        <xdr:to>
          <xdr:col>8</xdr:col>
          <xdr:colOff>76200</xdr:colOff>
          <xdr:row>41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NRTL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</xdr:row>
          <xdr:rowOff>152400</xdr:rowOff>
        </xdr:from>
        <xdr:to>
          <xdr:col>6</xdr:col>
          <xdr:colOff>561975</xdr:colOff>
          <xdr:row>36</xdr:row>
          <xdr:rowOff>133350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NRTL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</xdr:row>
          <xdr:rowOff>152400</xdr:rowOff>
        </xdr:from>
        <xdr:to>
          <xdr:col>6</xdr:col>
          <xdr:colOff>561975</xdr:colOff>
          <xdr:row>36</xdr:row>
          <xdr:rowOff>133350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NRTL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2"/>
  <dimension ref="A2:F12"/>
  <sheetViews>
    <sheetView workbookViewId="0">
      <selection activeCell="B7" sqref="B7"/>
    </sheetView>
  </sheetViews>
  <sheetFormatPr defaultRowHeight="15" x14ac:dyDescent="0.25"/>
  <cols>
    <col min="1" max="1" width="15.42578125" bestFit="1" customWidth="1"/>
  </cols>
  <sheetData>
    <row r="2" spans="1:6" x14ac:dyDescent="0.25">
      <c r="A2" t="s">
        <v>118</v>
      </c>
      <c r="B2" t="s">
        <v>131</v>
      </c>
      <c r="C2" t="s">
        <v>119</v>
      </c>
      <c r="D2" t="s">
        <v>122</v>
      </c>
      <c r="E2" t="s">
        <v>116</v>
      </c>
      <c r="F2" t="s">
        <v>123</v>
      </c>
    </row>
    <row r="3" spans="1:6" x14ac:dyDescent="0.25">
      <c r="A3">
        <v>1</v>
      </c>
      <c r="B3" s="51">
        <f t="shared" ref="B3" si="0">C3*$B$10</f>
        <v>30</v>
      </c>
      <c r="C3" s="137">
        <v>1.2</v>
      </c>
      <c r="D3" s="136">
        <v>0.18239062135830861</v>
      </c>
      <c r="E3" s="136">
        <v>0.97319815661960429</v>
      </c>
      <c r="F3" s="135">
        <v>1.8765533371944388E-4</v>
      </c>
    </row>
    <row r="4" spans="1:6" x14ac:dyDescent="0.25">
      <c r="A4">
        <v>2</v>
      </c>
      <c r="B4" s="51">
        <f>'2 kontakty'!W8</f>
        <v>13.197022274194758</v>
      </c>
      <c r="C4" s="137">
        <f>'2 kontakty'!X8</f>
        <v>0.52788089096779034</v>
      </c>
      <c r="D4" s="136">
        <f>'2 kontakty'!Y8</f>
        <v>0.12664123463902296</v>
      </c>
      <c r="E4" s="136">
        <f>'2 kontakty'!Z8</f>
        <v>0.998</v>
      </c>
      <c r="F4" s="135">
        <f>'2 kontakty'!AA8</f>
        <v>2.9192950096649975E-4</v>
      </c>
    </row>
    <row r="5" spans="1:6" x14ac:dyDescent="0.25">
      <c r="A5">
        <v>3</v>
      </c>
      <c r="B5" s="51">
        <f>'3 kontakty'!Y11</f>
        <v>7.0063193899613623</v>
      </c>
      <c r="C5" s="137">
        <f>'3 kontakty'!Z11</f>
        <v>0.28025277559845452</v>
      </c>
      <c r="D5" s="136">
        <f>'3 kontakty'!AA11</f>
        <v>9.9695712243535878E-2</v>
      </c>
      <c r="E5" s="136">
        <f>'3 kontakty'!AB11</f>
        <v>0.998</v>
      </c>
      <c r="F5" s="135">
        <f>'3 kontakty'!AC11</f>
        <v>5.3635512214811961E-4</v>
      </c>
    </row>
    <row r="6" spans="1:6" x14ac:dyDescent="0.25">
      <c r="A6">
        <v>4</v>
      </c>
      <c r="B6" s="51">
        <f>'4 kont'!AU24</f>
        <v>6.9609324439291456</v>
      </c>
      <c r="C6" s="137">
        <f>'4 kont'!AV24</f>
        <v>0.2784372977571658</v>
      </c>
      <c r="D6" s="136">
        <f>'4 kont'!AW24</f>
        <v>9.9638631879444481E-2</v>
      </c>
      <c r="E6" s="136">
        <f>'4 kont'!AX24</f>
        <v>0.998</v>
      </c>
      <c r="F6" s="135">
        <f>'4 kont'!AY24</f>
        <v>5.1950041027910507E-4</v>
      </c>
    </row>
    <row r="7" spans="1:6" x14ac:dyDescent="0.25">
      <c r="A7">
        <v>5</v>
      </c>
      <c r="B7" s="51">
        <f>'MB 5 PTE'!AU24</f>
        <v>6.1747145917193684</v>
      </c>
      <c r="C7" s="137">
        <f>'MB 5 PTE'!AV24</f>
        <v>0.24698858366877474</v>
      </c>
      <c r="D7" s="136">
        <f>'MB 5 PTE'!AW24</f>
        <v>9.6893093248958673E-2</v>
      </c>
      <c r="E7" s="136">
        <f>'MB 5 PTE'!AX24</f>
        <v>0.998</v>
      </c>
      <c r="F7" s="135">
        <f>'MB 5 PTE'!AY24</f>
        <v>5.8442466840773492E-4</v>
      </c>
    </row>
    <row r="8" spans="1:6" x14ac:dyDescent="0.25">
      <c r="A8">
        <v>8</v>
      </c>
      <c r="B8" s="51">
        <f>'8 kont'!B15</f>
        <v>5.8103183738997934</v>
      </c>
      <c r="C8" s="137">
        <f>'8 kont'!C15</f>
        <v>0.23241273495599174</v>
      </c>
      <c r="D8" s="136">
        <f>'8 kont'!D15</f>
        <v>9.5709809331481197E-2</v>
      </c>
      <c r="E8" s="136">
        <f>'8 kont'!E15</f>
        <v>0.998</v>
      </c>
      <c r="F8" s="135">
        <f>'8 kont'!F15</f>
        <v>6.2084450249153792E-4</v>
      </c>
    </row>
    <row r="10" spans="1:6" x14ac:dyDescent="0.25">
      <c r="A10" t="s">
        <v>130</v>
      </c>
      <c r="B10">
        <v>25</v>
      </c>
    </row>
    <row r="11" spans="1:6" x14ac:dyDescent="0.25">
      <c r="A11" t="s">
        <v>28</v>
      </c>
      <c r="B11">
        <v>0.35</v>
      </c>
      <c r="C11" t="s">
        <v>30</v>
      </c>
      <c r="D11" s="135">
        <v>0</v>
      </c>
    </row>
    <row r="12" spans="1:6" x14ac:dyDescent="0.25">
      <c r="A12" t="s">
        <v>29</v>
      </c>
      <c r="B12">
        <v>0.65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1"/>
  <dimension ref="A1:AY57"/>
  <sheetViews>
    <sheetView topLeftCell="B16" zoomScale="85" zoomScaleNormal="85" workbookViewId="0">
      <selection activeCell="J37" sqref="J37:N41"/>
    </sheetView>
  </sheetViews>
  <sheetFormatPr defaultRowHeight="15" x14ac:dyDescent="0.25"/>
  <cols>
    <col min="2" max="2" width="13.85546875" bestFit="1" customWidth="1"/>
    <col min="3" max="3" width="14" bestFit="1" customWidth="1"/>
    <col min="25" max="25" width="13.42578125" bestFit="1" customWidth="1"/>
    <col min="31" max="31" width="10" bestFit="1" customWidth="1"/>
    <col min="36" max="36" width="11" bestFit="1" customWidth="1"/>
    <col min="37" max="37" width="12.85546875" bestFit="1" customWidth="1"/>
    <col min="44" max="44" width="11" bestFit="1" customWidth="1"/>
  </cols>
  <sheetData>
    <row r="1" spans="1:51" ht="15.75" thickBot="1" x14ac:dyDescent="0.3">
      <c r="P1" s="144" t="s">
        <v>26</v>
      </c>
      <c r="Q1" s="145"/>
      <c r="R1" s="146"/>
      <c r="S1" s="10" t="s">
        <v>128</v>
      </c>
      <c r="V1" t="s">
        <v>31</v>
      </c>
      <c r="Z1">
        <v>1</v>
      </c>
      <c r="AA1">
        <v>2</v>
      </c>
      <c r="AB1">
        <v>3</v>
      </c>
      <c r="AC1">
        <v>4</v>
      </c>
      <c r="AD1">
        <v>5</v>
      </c>
      <c r="AE1" s="18" t="s">
        <v>23</v>
      </c>
      <c r="AG1" s="17" t="s">
        <v>27</v>
      </c>
      <c r="AN1" s="17" t="s">
        <v>28</v>
      </c>
    </row>
    <row r="2" spans="1:51" ht="15.75" thickBot="1" x14ac:dyDescent="0.3">
      <c r="A2" t="s">
        <v>0</v>
      </c>
      <c r="B2" t="s">
        <v>3</v>
      </c>
      <c r="D2" s="23"/>
      <c r="E2" s="23"/>
      <c r="F2" s="23"/>
      <c r="G2" s="23"/>
      <c r="H2" s="23"/>
      <c r="I2" s="23"/>
      <c r="J2" s="23"/>
      <c r="K2" s="23"/>
      <c r="L2" s="23"/>
      <c r="P2" s="16" t="s">
        <v>0</v>
      </c>
      <c r="Q2" s="14" t="s">
        <v>1</v>
      </c>
      <c r="R2" s="15" t="s">
        <v>2</v>
      </c>
      <c r="S2" s="13" t="s">
        <v>32</v>
      </c>
      <c r="U2" s="16" t="s">
        <v>62</v>
      </c>
      <c r="V2" s="14" t="s">
        <v>63</v>
      </c>
      <c r="W2" s="15" t="s">
        <v>64</v>
      </c>
      <c r="Y2" s="17" t="s">
        <v>19</v>
      </c>
      <c r="Z2" s="1">
        <f>S$9*$U$4+S$4</f>
        <v>10.062961983884538</v>
      </c>
      <c r="AA2" s="2">
        <f>-$S$10*$U$5</f>
        <v>-5.0586156832242414E-2</v>
      </c>
      <c r="AB2" s="2">
        <v>0</v>
      </c>
      <c r="AC2" s="2">
        <v>0</v>
      </c>
      <c r="AD2" s="2">
        <v>0</v>
      </c>
      <c r="AE2" s="11">
        <f>$S$3*$P$3</f>
        <v>8.75</v>
      </c>
      <c r="AH2" s="1">
        <f t="array" ref="AH2:AL6">MINVERSE(Z2:AD6)</f>
        <v>9.9942855096736699E-2</v>
      </c>
      <c r="AI2" s="2">
        <v>6.4063297937953941E-4</v>
      </c>
      <c r="AJ2" s="2">
        <v>1.9138256700133441E-6</v>
      </c>
      <c r="AK2" s="2">
        <v>4.8061113518388573E-9</v>
      </c>
      <c r="AL2" s="3">
        <v>1.1838250221248087E-11</v>
      </c>
      <c r="AN2" s="53">
        <f t="array" ref="AN2:AN6">MMULT(AH2:AL6,AE2:AE6)</f>
        <v>0.87449998209644608</v>
      </c>
    </row>
    <row r="3" spans="1:51" x14ac:dyDescent="0.25">
      <c r="A3" t="s">
        <v>1</v>
      </c>
      <c r="B3" t="s">
        <v>4</v>
      </c>
      <c r="D3" s="23"/>
      <c r="E3" s="23"/>
      <c r="F3" s="23"/>
      <c r="G3" s="23"/>
      <c r="H3" s="23"/>
      <c r="I3" s="23"/>
      <c r="J3" s="23"/>
      <c r="K3" s="23"/>
      <c r="L3" s="23"/>
      <c r="O3" s="11" t="s">
        <v>7</v>
      </c>
      <c r="P3" s="59">
        <f>AQ24</f>
        <v>0.35</v>
      </c>
      <c r="Q3" s="59">
        <f t="shared" ref="Q3:R3" si="0">AR24</f>
        <v>0.65</v>
      </c>
      <c r="R3" s="59">
        <f t="shared" si="0"/>
        <v>0</v>
      </c>
      <c r="S3" s="90">
        <f>AP24</f>
        <v>25</v>
      </c>
      <c r="U3" s="85" t="s">
        <v>65</v>
      </c>
      <c r="V3" s="86" t="s">
        <v>65</v>
      </c>
      <c r="W3" s="87" t="s">
        <v>65</v>
      </c>
      <c r="Z3" s="66">
        <f>-$S$4</f>
        <v>-8.9304665596257671</v>
      </c>
      <c r="AA3" s="5">
        <f>$S$10*$U$5+$S$5</f>
        <v>7.9152599381719551</v>
      </c>
      <c r="AB3" s="5">
        <f>-$S$11*$U$6</f>
        <v>-2.3305458385347994E-2</v>
      </c>
      <c r="AC3" s="5">
        <v>0</v>
      </c>
      <c r="AD3" s="5">
        <v>0</v>
      </c>
      <c r="AE3" s="12">
        <v>0</v>
      </c>
      <c r="AH3" s="4">
        <v>0.1130971743577064</v>
      </c>
      <c r="AI3" s="5">
        <v>0.12743931780581602</v>
      </c>
      <c r="AJ3" s="5">
        <v>3.8071196088277579E-4</v>
      </c>
      <c r="AK3" s="5">
        <v>9.560662215209924E-7</v>
      </c>
      <c r="AL3" s="6">
        <v>2.354949839877991E-9</v>
      </c>
      <c r="AN3" s="54">
        <v>0.98960027562993103</v>
      </c>
      <c r="AV3" s="25"/>
      <c r="AW3" s="25"/>
      <c r="AX3" s="25"/>
      <c r="AY3" s="25"/>
    </row>
    <row r="4" spans="1:51" x14ac:dyDescent="0.25">
      <c r="A4" t="s">
        <v>2</v>
      </c>
      <c r="B4" t="s">
        <v>5</v>
      </c>
      <c r="D4" s="23"/>
      <c r="E4" s="23"/>
      <c r="F4" s="23"/>
      <c r="G4" s="23"/>
      <c r="H4" s="23"/>
      <c r="I4" s="23"/>
      <c r="J4" s="23"/>
      <c r="K4" s="23"/>
      <c r="L4" s="23"/>
      <c r="O4" s="12" t="s">
        <v>8</v>
      </c>
      <c r="P4" s="61">
        <f>AI29</f>
        <v>0.87449998209644597</v>
      </c>
      <c r="Q4" s="62">
        <f t="shared" ref="Q4:R8" si="1">AJ29</f>
        <v>0.1243170674587511</v>
      </c>
      <c r="R4" s="62">
        <f t="shared" si="1"/>
        <v>1.1829504448029832E-3</v>
      </c>
      <c r="S4" s="88">
        <f>AQ29</f>
        <v>8.9304665596257671</v>
      </c>
      <c r="U4" s="66">
        <f>AS29</f>
        <v>4.1579778634575813E-2</v>
      </c>
      <c r="V4" s="66">
        <f t="shared" ref="V4:W8" si="2">AT29</f>
        <v>4.2806718684192546</v>
      </c>
      <c r="W4" s="66">
        <f t="shared" si="2"/>
        <v>364.74724092546086</v>
      </c>
      <c r="Z4" s="4">
        <v>0</v>
      </c>
      <c r="AA4" s="68">
        <f>-$S$5</f>
        <v>-7.8646737813397127</v>
      </c>
      <c r="AB4" s="5">
        <f>$S$11*$U$6+$S$6</f>
        <v>7.8208382752513037</v>
      </c>
      <c r="AC4" s="5">
        <f>-$S$12*$U$7</f>
        <v>-1.9548228361086387E-2</v>
      </c>
      <c r="AD4" s="5">
        <v>0</v>
      </c>
      <c r="AE4" s="12">
        <v>0</v>
      </c>
      <c r="AH4" s="4">
        <v>0.11401655162216705</v>
      </c>
      <c r="AI4" s="5">
        <v>0.12847528366486102</v>
      </c>
      <c r="AJ4" s="5">
        <v>0.12856828328659262</v>
      </c>
      <c r="AK4" s="5">
        <v>3.2286821912354133E-4</v>
      </c>
      <c r="AL4" s="6">
        <v>7.9527802971332261E-7</v>
      </c>
      <c r="AN4" s="54">
        <v>0.99764482669396171</v>
      </c>
      <c r="AV4" s="25"/>
      <c r="AW4" s="25"/>
      <c r="AX4" s="25"/>
      <c r="AY4" s="25"/>
    </row>
    <row r="5" spans="1:51" x14ac:dyDescent="0.25">
      <c r="O5" s="12" t="s">
        <v>9</v>
      </c>
      <c r="P5" s="61">
        <f t="shared" ref="P5:P8" si="3">AI30</f>
        <v>0.98960027562993091</v>
      </c>
      <c r="Q5" s="62">
        <f t="shared" si="1"/>
        <v>9.9008249423116687E-3</v>
      </c>
      <c r="R5" s="62">
        <f t="shared" si="1"/>
        <v>4.9889942775740493E-4</v>
      </c>
      <c r="S5" s="88">
        <f t="shared" ref="S5" si="4">AQ30</f>
        <v>7.8646737813397127</v>
      </c>
      <c r="U5" s="66">
        <f t="shared" ref="U5:U8" si="5">AS30</f>
        <v>4.5299060037185916E-3</v>
      </c>
      <c r="V5" s="66">
        <f t="shared" si="2"/>
        <v>7.2304483931287065</v>
      </c>
      <c r="W5" s="66">
        <f t="shared" si="2"/>
        <v>1851.9359786169707</v>
      </c>
      <c r="Z5" s="4">
        <v>0</v>
      </c>
      <c r="AA5" s="5">
        <v>0</v>
      </c>
      <c r="AB5" s="68">
        <f>-$S$6</f>
        <v>-7.7975328168659557</v>
      </c>
      <c r="AC5" s="5">
        <f>$S$12*$U$7+$S$7</f>
        <v>7.8034081561370447</v>
      </c>
      <c r="AD5" s="5">
        <f>-$S$13*$U$8</f>
        <v>-1.9169546164196052E-2</v>
      </c>
      <c r="AE5" s="12">
        <v>0</v>
      </c>
      <c r="AH5" s="4">
        <v>0.11421132303707261</v>
      </c>
      <c r="AI5" s="5">
        <v>0.12869475454363943</v>
      </c>
      <c r="AJ5" s="5">
        <v>0.1287879130341287</v>
      </c>
      <c r="AK5" s="5">
        <v>0.12878819146852255</v>
      </c>
      <c r="AL5" s="6">
        <v>3.1722669837082399E-4</v>
      </c>
      <c r="AN5" s="54">
        <v>0.99934907657438532</v>
      </c>
      <c r="AV5" s="33"/>
      <c r="AW5" s="33"/>
      <c r="AX5" s="33"/>
      <c r="AY5" s="33"/>
    </row>
    <row r="6" spans="1:51" ht="15.75" thickBot="1" x14ac:dyDescent="0.3">
      <c r="O6" s="12" t="s">
        <v>10</v>
      </c>
      <c r="P6" s="61">
        <f t="shared" si="3"/>
        <v>0.99764482669396148</v>
      </c>
      <c r="Q6" s="62">
        <f t="shared" si="1"/>
        <v>1.8913666198813075E-3</v>
      </c>
      <c r="R6" s="62">
        <f t="shared" si="1"/>
        <v>4.6380668615719496E-4</v>
      </c>
      <c r="S6" s="88">
        <f t="shared" ref="S6" si="6">AQ31</f>
        <v>7.7975328168659557</v>
      </c>
      <c r="U6" s="66">
        <f t="shared" si="5"/>
        <v>2.3071602373806901E-3</v>
      </c>
      <c r="V6" s="66">
        <f t="shared" si="2"/>
        <v>7.4510921964772443</v>
      </c>
      <c r="W6" s="66">
        <f t="shared" si="2"/>
        <v>2120.7230422059524</v>
      </c>
      <c r="Z6" s="7">
        <v>0</v>
      </c>
      <c r="AA6" s="8">
        <v>0</v>
      </c>
      <c r="AB6" s="8">
        <v>0</v>
      </c>
      <c r="AC6" s="67">
        <f>-$S$7</f>
        <v>-7.7838599277759579</v>
      </c>
      <c r="AD6" s="8">
        <f>$S$13*$U$8+$S$8</f>
        <v>7.7824823523309874</v>
      </c>
      <c r="AE6" s="13">
        <f>$S$14*$P$14</f>
        <v>0</v>
      </c>
      <c r="AH6" s="7">
        <v>0.11423153955759018</v>
      </c>
      <c r="AI6" s="8">
        <v>0.12871753477309961</v>
      </c>
      <c r="AJ6" s="8">
        <v>0.12881070975355227</v>
      </c>
      <c r="AK6" s="8">
        <v>0.12881098823723169</v>
      </c>
      <c r="AL6" s="9">
        <v>0.12881098893661</v>
      </c>
      <c r="AN6" s="54">
        <v>0.99952597112891406</v>
      </c>
      <c r="AO6" s="5"/>
      <c r="AP6" s="5"/>
      <c r="AQ6" s="5"/>
      <c r="AR6" s="5"/>
      <c r="AS6" s="5"/>
      <c r="AV6" s="33"/>
      <c r="AW6" s="33"/>
      <c r="AX6" s="33"/>
      <c r="AY6" s="33"/>
    </row>
    <row r="7" spans="1:51" ht="15.75" thickBot="1" x14ac:dyDescent="0.3">
      <c r="B7" s="142" t="s">
        <v>7</v>
      </c>
      <c r="C7" s="143"/>
      <c r="D7" s="147" t="s">
        <v>8</v>
      </c>
      <c r="E7" s="148"/>
      <c r="F7" s="147" t="s">
        <v>9</v>
      </c>
      <c r="G7" s="148"/>
      <c r="H7" s="147" t="s">
        <v>10</v>
      </c>
      <c r="I7" s="148"/>
      <c r="J7" s="147" t="s">
        <v>11</v>
      </c>
      <c r="K7" s="148"/>
      <c r="L7" s="142" t="s">
        <v>12</v>
      </c>
      <c r="M7" s="143"/>
      <c r="O7" s="12" t="s">
        <v>11</v>
      </c>
      <c r="P7" s="61">
        <f t="shared" si="3"/>
        <v>0.99934907657438543</v>
      </c>
      <c r="Q7" s="62">
        <f t="shared" si="1"/>
        <v>1.9440776527489408E-4</v>
      </c>
      <c r="R7" s="62">
        <f t="shared" si="1"/>
        <v>4.5651566033969547E-4</v>
      </c>
      <c r="S7" s="88">
        <f t="shared" ref="S7" si="7">AQ32</f>
        <v>7.7838599277759579</v>
      </c>
      <c r="U7" s="66">
        <f t="shared" si="5"/>
        <v>1.9481562433594979E-3</v>
      </c>
      <c r="V7" s="66">
        <f t="shared" si="2"/>
        <v>7.4966091973724183</v>
      </c>
      <c r="W7" s="66">
        <f t="shared" si="2"/>
        <v>2183.0482487159456</v>
      </c>
      <c r="AU7" s="33"/>
      <c r="AV7" s="33"/>
      <c r="AW7" s="33"/>
      <c r="AX7" s="33"/>
      <c r="AY7" s="33"/>
    </row>
    <row r="8" spans="1:51" ht="15.75" thickBot="1" x14ac:dyDescent="0.3">
      <c r="A8" s="19" t="s">
        <v>6</v>
      </c>
      <c r="B8" s="19" t="s">
        <v>25</v>
      </c>
      <c r="C8" s="22" t="s">
        <v>26</v>
      </c>
      <c r="D8" s="19" t="s">
        <v>25</v>
      </c>
      <c r="E8" s="22" t="s">
        <v>26</v>
      </c>
      <c r="F8" s="19" t="s">
        <v>25</v>
      </c>
      <c r="G8" s="22" t="s">
        <v>26</v>
      </c>
      <c r="H8" s="19" t="s">
        <v>25</v>
      </c>
      <c r="I8" s="22" t="s">
        <v>26</v>
      </c>
      <c r="J8" s="19" t="s">
        <v>25</v>
      </c>
      <c r="K8" s="22" t="s">
        <v>26</v>
      </c>
      <c r="L8" s="19" t="s">
        <v>25</v>
      </c>
      <c r="M8" s="22" t="s">
        <v>26</v>
      </c>
      <c r="O8" s="12" t="s">
        <v>12</v>
      </c>
      <c r="P8" s="63">
        <f t="shared" si="3"/>
        <v>0.99952597112891417</v>
      </c>
      <c r="Q8" s="64">
        <f t="shared" si="1"/>
        <v>1.8267141919972515E-5</v>
      </c>
      <c r="R8" s="64">
        <f t="shared" si="1"/>
        <v>4.5576172916578282E-4</v>
      </c>
      <c r="S8" s="88">
        <f t="shared" ref="S8" si="8">AQ33</f>
        <v>7.7633128061667911</v>
      </c>
      <c r="U8" s="66">
        <f t="shared" si="5"/>
        <v>1.9130239029421059E-3</v>
      </c>
      <c r="V8" s="66">
        <f t="shared" si="2"/>
        <v>7.5013155267440537</v>
      </c>
      <c r="W8" s="66">
        <f t="shared" si="2"/>
        <v>2189.6328530193505</v>
      </c>
      <c r="Z8">
        <v>1</v>
      </c>
      <c r="AA8">
        <v>2</v>
      </c>
      <c r="AB8">
        <v>3</v>
      </c>
      <c r="AC8">
        <v>4</v>
      </c>
      <c r="AD8">
        <v>5</v>
      </c>
      <c r="AE8" s="17" t="s">
        <v>22</v>
      </c>
      <c r="AG8" s="17" t="s">
        <v>27</v>
      </c>
      <c r="AN8" s="17" t="s">
        <v>29</v>
      </c>
    </row>
    <row r="9" spans="1:51" ht="15.75" thickBot="1" x14ac:dyDescent="0.3">
      <c r="A9" s="20" t="s">
        <v>0</v>
      </c>
      <c r="B9" s="102">
        <f>$B$12*C9</f>
        <v>8.75</v>
      </c>
      <c r="C9" s="104">
        <v>0.35</v>
      </c>
      <c r="D9" s="107">
        <f t="shared" ref="D9:D10" si="9">$D$12*E9</f>
        <v>7.518145515159719</v>
      </c>
      <c r="E9" s="105">
        <v>0.84185361033083228</v>
      </c>
      <c r="F9" s="107">
        <f t="shared" ref="F9:F10" si="10">$F$12*G9</f>
        <v>7.7179826881642919</v>
      </c>
      <c r="G9" s="105">
        <v>0.9813481019996696</v>
      </c>
      <c r="H9" s="107">
        <f t="shared" ref="H9:H10" si="11">$H$12*I9</f>
        <v>7.779124488543828</v>
      </c>
      <c r="I9" s="105">
        <v>0.99763921117685961</v>
      </c>
      <c r="J9" s="107">
        <f t="shared" ref="J9:J10" si="12">$J$12*K9</f>
        <v>7.7787887070258481</v>
      </c>
      <c r="K9" s="105">
        <v>0.99934849537412496</v>
      </c>
      <c r="L9" s="107">
        <f t="shared" ref="L9:L10" si="13">$L$12*M9</f>
        <v>7.7596323470092914</v>
      </c>
      <c r="M9" s="105">
        <v>0.99952591641617528</v>
      </c>
      <c r="O9" s="1" t="s">
        <v>13</v>
      </c>
      <c r="P9" s="59">
        <f>AM29</f>
        <v>3.6361515671510733E-2</v>
      </c>
      <c r="Q9" s="60">
        <f t="shared" ref="Q9:R13" si="14">AN29</f>
        <v>0.53216057343505452</v>
      </c>
      <c r="R9" s="60">
        <f t="shared" si="14"/>
        <v>0.43147791089343479</v>
      </c>
      <c r="S9" s="88">
        <f>AR29</f>
        <v>27.236687193833209</v>
      </c>
      <c r="Y9" s="17" t="s">
        <v>20</v>
      </c>
      <c r="Z9" s="1">
        <f>S$9*$V$4+S$4</f>
        <v>125.52178721920255</v>
      </c>
      <c r="AA9" s="2">
        <f>-$S$10*$V$5</f>
        <v>-80.743528912518642</v>
      </c>
      <c r="AB9" s="2">
        <v>0</v>
      </c>
      <c r="AC9" s="2">
        <v>0</v>
      </c>
      <c r="AD9" s="2">
        <v>0</v>
      </c>
      <c r="AE9" s="11">
        <f>$S$3*$Q$3</f>
        <v>16.25</v>
      </c>
      <c r="AH9" s="1">
        <f t="array" ref="AH9:AL13">MINVERSE(Z9:AD13)</f>
        <v>8.5769042425092538E-3</v>
      </c>
      <c r="AI9" s="2">
        <v>8.5760748127062629E-3</v>
      </c>
      <c r="AJ9" s="2">
        <v>8.5675593814066864E-3</v>
      </c>
      <c r="AK9" s="2">
        <v>8.4853636495828954E-3</v>
      </c>
      <c r="AL9" s="3">
        <v>7.6910303942512312E-3</v>
      </c>
      <c r="AN9">
        <f t="array" ref="AN9:AN13">MMULT(AH9:AL13,AE9:AE13)</f>
        <v>0.13937469394077537</v>
      </c>
    </row>
    <row r="10" spans="1:51" x14ac:dyDescent="0.25">
      <c r="A10" s="20" t="s">
        <v>1</v>
      </c>
      <c r="B10" s="102">
        <f t="shared" ref="B10:B11" si="15">$B$12*C10</f>
        <v>16.25</v>
      </c>
      <c r="C10" s="104">
        <v>0.65</v>
      </c>
      <c r="D10" s="107">
        <f t="shared" si="9"/>
        <v>1.3992825902722201</v>
      </c>
      <c r="E10" s="105">
        <v>0.15668639269064766</v>
      </c>
      <c r="F10" s="107">
        <f t="shared" si="10"/>
        <v>0.1424748604193358</v>
      </c>
      <c r="G10" s="105">
        <v>1.8115800398152793E-2</v>
      </c>
      <c r="H10" s="107">
        <f t="shared" si="11"/>
        <v>1.4791585433217886E-2</v>
      </c>
      <c r="I10" s="105">
        <v>1.8969571248515801E-3</v>
      </c>
      <c r="J10" s="107">
        <f t="shared" si="12"/>
        <v>1.5177404371639349E-3</v>
      </c>
      <c r="K10" s="105">
        <v>1.949855792944094E-4</v>
      </c>
      <c r="L10" s="107">
        <f t="shared" si="13"/>
        <v>1.4223649394560109E-4</v>
      </c>
      <c r="M10" s="105">
        <v>1.8321623448254651E-5</v>
      </c>
      <c r="O10" s="4" t="s">
        <v>14</v>
      </c>
      <c r="P10" s="61">
        <f t="shared" ref="P10:P13" si="16">AM30</f>
        <v>4.4827962298575972E-3</v>
      </c>
      <c r="Q10" s="62">
        <f t="shared" si="14"/>
        <v>7.1587403794786023E-2</v>
      </c>
      <c r="R10" s="62">
        <f t="shared" si="14"/>
        <v>0.9239297999753564</v>
      </c>
      <c r="S10" s="88">
        <f>AR30</f>
        <v>11.167153753458974</v>
      </c>
      <c r="Z10" s="66">
        <f>-$S$4</f>
        <v>-8.9304665596257671</v>
      </c>
      <c r="AA10" s="5">
        <f>$S$10*$V$5+$S$5</f>
        <v>88.60820269385836</v>
      </c>
      <c r="AB10" s="5">
        <f>-$S$11*$V$6</f>
        <v>-75.266171935910705</v>
      </c>
      <c r="AC10" s="5">
        <v>0</v>
      </c>
      <c r="AD10" s="5">
        <v>0</v>
      </c>
      <c r="AE10" s="12">
        <v>0</v>
      </c>
      <c r="AH10" s="4">
        <v>9.4853854369805334E-4</v>
      </c>
      <c r="AI10" s="5">
        <v>1.3332142554517177E-2</v>
      </c>
      <c r="AJ10" s="5">
        <v>1.3318904686788815E-2</v>
      </c>
      <c r="AK10" s="5">
        <v>1.3191125342743909E-2</v>
      </c>
      <c r="AL10" s="6">
        <v>1.1956275551067055E-2</v>
      </c>
      <c r="AN10">
        <v>1.5413751335093366E-2</v>
      </c>
    </row>
    <row r="11" spans="1:51" ht="15.75" thickBot="1" x14ac:dyDescent="0.3">
      <c r="A11" s="20" t="s">
        <v>2</v>
      </c>
      <c r="B11" s="102">
        <f t="shared" si="15"/>
        <v>0</v>
      </c>
      <c r="C11" s="104">
        <v>0</v>
      </c>
      <c r="D11" s="107">
        <f>$D$12*E11</f>
        <v>1.3038454193828396E-2</v>
      </c>
      <c r="E11" s="105">
        <v>1.4599969785200981E-3</v>
      </c>
      <c r="F11" s="107">
        <f>$F$12*G11</f>
        <v>4.2162327560857239E-3</v>
      </c>
      <c r="G11" s="105">
        <v>5.3609760217765922E-4</v>
      </c>
      <c r="H11" s="107">
        <f>$H$12*I11</f>
        <v>3.6167428889093338E-3</v>
      </c>
      <c r="I11" s="105">
        <v>4.6383169828876757E-4</v>
      </c>
      <c r="J11" s="107">
        <f>$J$12*K11</f>
        <v>3.5534803129450049E-3</v>
      </c>
      <c r="K11" s="105">
        <v>4.5651904658057258E-4</v>
      </c>
      <c r="L11" s="107">
        <f>$L$12*M11</f>
        <v>3.538222663554194E-3</v>
      </c>
      <c r="M11" s="105">
        <v>4.557619603764523E-4</v>
      </c>
      <c r="O11" s="4" t="s">
        <v>15</v>
      </c>
      <c r="P11" s="61">
        <f t="shared" si="16"/>
        <v>2.3017264751768575E-3</v>
      </c>
      <c r="Q11" s="62">
        <f t="shared" si="14"/>
        <v>1.4092747062075153E-2</v>
      </c>
      <c r="R11" s="62">
        <f t="shared" si="14"/>
        <v>0.9836055264627479</v>
      </c>
      <c r="S11" s="88">
        <f>AR31</f>
        <v>10.10136097517292</v>
      </c>
      <c r="Z11" s="4">
        <v>0</v>
      </c>
      <c r="AA11" s="68">
        <f>-$S$5</f>
        <v>-7.8646737813397127</v>
      </c>
      <c r="AB11" s="5">
        <f>$S$11*$V$6+$S$6</f>
        <v>83.063704752776658</v>
      </c>
      <c r="AC11" s="5">
        <f>-$S$12*$V$7</f>
        <v>-75.222626020665729</v>
      </c>
      <c r="AD11" s="5">
        <v>0</v>
      </c>
      <c r="AE11" s="12">
        <v>0</v>
      </c>
      <c r="AH11" s="4">
        <v>9.9015783962534091E-5</v>
      </c>
      <c r="AI11" s="5">
        <v>1.391712077180496E-3</v>
      </c>
      <c r="AJ11" s="5">
        <v>1.4663319193829398E-2</v>
      </c>
      <c r="AK11" s="5">
        <v>1.4522641761850544E-2</v>
      </c>
      <c r="AL11" s="6">
        <v>1.3163145836502266E-2</v>
      </c>
      <c r="AN11">
        <v>1.6090064893911789E-3</v>
      </c>
    </row>
    <row r="12" spans="1:51" ht="15.75" thickBot="1" x14ac:dyDescent="0.3">
      <c r="A12" s="21" t="s">
        <v>127</v>
      </c>
      <c r="B12" s="81">
        <f>S3</f>
        <v>25</v>
      </c>
      <c r="C12" s="15">
        <f>SUM(C9:C11)</f>
        <v>1</v>
      </c>
      <c r="D12" s="81">
        <f>S4</f>
        <v>8.9304665596257671</v>
      </c>
      <c r="E12" s="15">
        <f t="shared" ref="E12:M12" si="17">SUM(E9:E11)</f>
        <v>1</v>
      </c>
      <c r="F12" s="81">
        <f>S5</f>
        <v>7.8646737813397127</v>
      </c>
      <c r="G12" s="15">
        <f t="shared" si="17"/>
        <v>1</v>
      </c>
      <c r="H12" s="81">
        <f>S6</f>
        <v>7.7975328168659557</v>
      </c>
      <c r="I12" s="15">
        <f t="shared" si="17"/>
        <v>1</v>
      </c>
      <c r="J12" s="81">
        <f>S7</f>
        <v>7.7838599277759579</v>
      </c>
      <c r="K12" s="15">
        <f t="shared" si="17"/>
        <v>1</v>
      </c>
      <c r="L12" s="81">
        <f>S8</f>
        <v>7.7633128061667911</v>
      </c>
      <c r="M12" s="15">
        <f t="shared" si="17"/>
        <v>1</v>
      </c>
      <c r="O12" s="4" t="s">
        <v>16</v>
      </c>
      <c r="P12" s="61">
        <f t="shared" si="16"/>
        <v>1.9468881428239379E-3</v>
      </c>
      <c r="Q12" s="62">
        <f t="shared" si="14"/>
        <v>1.4573990412003893E-3</v>
      </c>
      <c r="R12" s="62">
        <f t="shared" si="14"/>
        <v>0.9965957128159757</v>
      </c>
      <c r="S12" s="88">
        <f>AR32</f>
        <v>10.034220010699165</v>
      </c>
      <c r="Z12" s="4">
        <v>0</v>
      </c>
      <c r="AA12" s="5">
        <v>0</v>
      </c>
      <c r="AB12" s="5">
        <f>-$S$6</f>
        <v>-7.7975328168659557</v>
      </c>
      <c r="AC12" s="5">
        <f>$S$12*$V$7+$S$7</f>
        <v>83.006485948441693</v>
      </c>
      <c r="AD12" s="5">
        <f>-$S$13*$V$8</f>
        <v>-75.16728570979727</v>
      </c>
      <c r="AE12" s="12">
        <v>0</v>
      </c>
      <c r="AH12" s="4">
        <v>1.0165447155571776E-5</v>
      </c>
      <c r="AI12" s="5">
        <v>1.4288000367398485E-4</v>
      </c>
      <c r="AJ12" s="5">
        <v>1.5054084351496485E-3</v>
      </c>
      <c r="AK12" s="5">
        <v>1.4657299116416783E-2</v>
      </c>
      <c r="AL12" s="6">
        <v>1.3285197624680998E-2</v>
      </c>
      <c r="AN12">
        <v>1.6518851627804137E-4</v>
      </c>
    </row>
    <row r="13" spans="1:51" ht="15.75" thickBot="1" x14ac:dyDescent="0.3">
      <c r="O13" s="4" t="s">
        <v>17</v>
      </c>
      <c r="P13" s="61">
        <f t="shared" si="16"/>
        <v>1.912117074381034E-3</v>
      </c>
      <c r="Q13" s="62">
        <f t="shared" si="14"/>
        <v>1.37027595313527E-4</v>
      </c>
      <c r="R13" s="62">
        <f t="shared" si="14"/>
        <v>0.99795085533030548</v>
      </c>
      <c r="S13" s="88">
        <f>AR33</f>
        <v>10.020547121609166</v>
      </c>
      <c r="V13" s="58"/>
      <c r="Z13" s="7">
        <v>0</v>
      </c>
      <c r="AA13" s="8">
        <v>0</v>
      </c>
      <c r="AB13" s="8">
        <v>0</v>
      </c>
      <c r="AC13" s="67">
        <f>-$S$7</f>
        <v>-7.7838599277759579</v>
      </c>
      <c r="AD13" s="8">
        <f>$S$13*$V$8+$S$8</f>
        <v>82.930598515964064</v>
      </c>
      <c r="AE13" s="13">
        <f>$S$14*$Q$14</f>
        <v>0</v>
      </c>
      <c r="AH13" s="7">
        <v>9.5412812855736808E-7</v>
      </c>
      <c r="AI13" s="8">
        <v>1.3410706723216556E-5</v>
      </c>
      <c r="AJ13" s="8">
        <v>1.4129752591911631E-4</v>
      </c>
      <c r="AK13" s="8">
        <v>1.3757330259679755E-3</v>
      </c>
      <c r="AL13" s="9">
        <v>1.3305223128359954E-2</v>
      </c>
      <c r="AN13">
        <v>1.5504582089057232E-5</v>
      </c>
      <c r="AO13" s="5"/>
      <c r="AP13" s="5"/>
      <c r="AQ13" s="5"/>
      <c r="AR13" s="5"/>
      <c r="AS13" s="5"/>
    </row>
    <row r="14" spans="1:51" ht="15.75" thickBot="1" x14ac:dyDescent="0.3">
      <c r="B14" s="142" t="s">
        <v>13</v>
      </c>
      <c r="C14" s="143"/>
      <c r="D14" s="147" t="s">
        <v>14</v>
      </c>
      <c r="E14" s="148"/>
      <c r="F14" s="147" t="s">
        <v>15</v>
      </c>
      <c r="G14" s="148"/>
      <c r="H14" s="147" t="s">
        <v>16</v>
      </c>
      <c r="I14" s="148"/>
      <c r="J14" s="147" t="s">
        <v>17</v>
      </c>
      <c r="K14" s="148"/>
      <c r="L14" s="142" t="s">
        <v>18</v>
      </c>
      <c r="M14" s="143"/>
      <c r="O14" s="7" t="s">
        <v>18</v>
      </c>
      <c r="P14" s="63">
        <f>AQ25</f>
        <v>0</v>
      </c>
      <c r="Q14" s="63">
        <f t="shared" ref="Q14:R14" si="18">AR25</f>
        <v>0</v>
      </c>
      <c r="R14" s="63">
        <f t="shared" si="18"/>
        <v>1</v>
      </c>
      <c r="S14" s="89">
        <f>AP25</f>
        <v>10</v>
      </c>
      <c r="T14" t="s">
        <v>65</v>
      </c>
      <c r="U14" t="s">
        <v>65</v>
      </c>
      <c r="V14" t="s">
        <v>65</v>
      </c>
    </row>
    <row r="15" spans="1:51" ht="15.75" thickBot="1" x14ac:dyDescent="0.3">
      <c r="A15" s="19" t="s">
        <v>6</v>
      </c>
      <c r="B15" s="19" t="s">
        <v>25</v>
      </c>
      <c r="C15" s="22" t="s">
        <v>26</v>
      </c>
      <c r="D15" s="19" t="s">
        <v>25</v>
      </c>
      <c r="E15" s="22" t="s">
        <v>26</v>
      </c>
      <c r="F15" s="19" t="s">
        <v>25</v>
      </c>
      <c r="G15" s="22" t="s">
        <v>26</v>
      </c>
      <c r="H15" s="19" t="s">
        <v>25</v>
      </c>
      <c r="I15" s="22" t="s">
        <v>26</v>
      </c>
      <c r="J15" s="19" t="s">
        <v>25</v>
      </c>
      <c r="K15" s="22" t="s">
        <v>26</v>
      </c>
      <c r="L15" s="19" t="s">
        <v>25</v>
      </c>
      <c r="M15" s="22" t="s">
        <v>26</v>
      </c>
      <c r="Z15">
        <v>1</v>
      </c>
      <c r="AA15">
        <v>2</v>
      </c>
      <c r="AB15">
        <v>3</v>
      </c>
      <c r="AC15">
        <v>4</v>
      </c>
      <c r="AD15">
        <v>5</v>
      </c>
      <c r="AE15" s="17" t="s">
        <v>24</v>
      </c>
      <c r="AG15" s="17" t="s">
        <v>27</v>
      </c>
      <c r="AN15" s="17" t="s">
        <v>30</v>
      </c>
    </row>
    <row r="16" spans="1:51" ht="15.75" thickBot="1" x14ac:dyDescent="0.3">
      <c r="A16" s="20" t="s">
        <v>0</v>
      </c>
      <c r="B16" s="107">
        <f t="shared" ref="B16:B17" si="19">$B$19*C16</f>
        <v>0.98125613405073508</v>
      </c>
      <c r="C16" s="105">
        <v>3.6027000165897785E-2</v>
      </c>
      <c r="D16" s="107">
        <f t="shared" ref="D16:D17" si="20">$D$19*E16</f>
        <v>8.5155705317853714E-2</v>
      </c>
      <c r="E16" s="105">
        <v>7.6255514339521949E-3</v>
      </c>
      <c r="F16" s="107">
        <f t="shared" ref="F16:F17" si="21">$F$19*G16</f>
        <v>2.3260887008065098E-2</v>
      </c>
      <c r="G16" s="105">
        <v>2.3027478243016564E-3</v>
      </c>
      <c r="H16" s="107">
        <f t="shared" ref="H16:H17" si="22">$H$19*I16</f>
        <v>1.9535360193709401E-2</v>
      </c>
      <c r="I16" s="105">
        <v>1.9468738150927004E-3</v>
      </c>
      <c r="J16" s="107">
        <f t="shared" ref="J16:J17" si="23">$J$19*K16</f>
        <v>1.9160573506248609E-2</v>
      </c>
      <c r="K16" s="105">
        <v>1.9121284769899548E-3</v>
      </c>
      <c r="L16" s="4">
        <f t="shared" ref="L16:L17" si="24">$L$19*M16</f>
        <v>0</v>
      </c>
      <c r="M16" s="106">
        <v>0</v>
      </c>
      <c r="P16" t="s">
        <v>3</v>
      </c>
      <c r="Q16" t="s">
        <v>66</v>
      </c>
      <c r="R16" t="s">
        <v>67</v>
      </c>
      <c r="Y16" s="17" t="s">
        <v>21</v>
      </c>
      <c r="Z16" s="1">
        <f>S$9*$W$4+S$4</f>
        <v>9943.436972460122</v>
      </c>
      <c r="AA16" s="2">
        <f>-$S$10*$W$5</f>
        <v>-20680.853814778224</v>
      </c>
      <c r="AB16" s="2">
        <v>0</v>
      </c>
      <c r="AC16" s="2">
        <v>0</v>
      </c>
      <c r="AD16" s="2">
        <v>0</v>
      </c>
      <c r="AE16" s="11">
        <f>$S$3*$R$3</f>
        <v>0</v>
      </c>
      <c r="AH16" s="1">
        <f t="array" ref="AH16:AL20">MINVERSE(Z16:AD20)</f>
        <v>1.0065925261673143E-4</v>
      </c>
      <c r="AI16" s="2">
        <v>1.0065925261672969E-4</v>
      </c>
      <c r="AJ16" s="2">
        <v>1.0065925261212473E-4</v>
      </c>
      <c r="AK16" s="2">
        <v>1.0065923996090436E-4</v>
      </c>
      <c r="AL16" s="3">
        <v>1.0062363714393887E-4</v>
      </c>
      <c r="AN16">
        <f t="array" ref="AN16:AN20">MMULT(AH16:AL20,AE16:AE20)</f>
        <v>1.0062363714393888E-3</v>
      </c>
    </row>
    <row r="17" spans="1:49" x14ac:dyDescent="0.25">
      <c r="A17" s="20" t="s">
        <v>1</v>
      </c>
      <c r="B17" s="107">
        <f t="shared" si="19"/>
        <v>16.264944707517916</v>
      </c>
      <c r="C17" s="105">
        <v>0.59717044851183443</v>
      </c>
      <c r="D17" s="107">
        <f t="shared" si="20"/>
        <v>1.4144490007462334</v>
      </c>
      <c r="E17" s="105">
        <v>0.12666154975327659</v>
      </c>
      <c r="F17" s="107">
        <f t="shared" si="21"/>
        <v>0.14277276119938512</v>
      </c>
      <c r="G17" s="105">
        <v>1.413401239202236E-2</v>
      </c>
      <c r="H17" s="107">
        <f t="shared" si="22"/>
        <v>1.4666819327661913E-2</v>
      </c>
      <c r="I17" s="105">
        <v>1.4616800620300488E-3</v>
      </c>
      <c r="J17" s="107">
        <f t="shared" si="23"/>
        <v>1.3771864812506839E-3</v>
      </c>
      <c r="K17" s="105">
        <v>1.3743625617814831E-4</v>
      </c>
      <c r="L17" s="4">
        <f t="shared" si="24"/>
        <v>0</v>
      </c>
      <c r="M17" s="6">
        <v>0</v>
      </c>
      <c r="Z17" s="66">
        <f>-$S$4</f>
        <v>-8.9304665596257671</v>
      </c>
      <c r="AA17" s="5">
        <f>$S$10*$W$5+$S$5</f>
        <v>20688.718488559563</v>
      </c>
      <c r="AB17" s="5">
        <f>-$S$11*$W$6</f>
        <v>-21422.188977689202</v>
      </c>
      <c r="AC17" s="5">
        <v>0</v>
      </c>
      <c r="AD17" s="5">
        <v>0</v>
      </c>
      <c r="AE17" s="12">
        <v>0</v>
      </c>
      <c r="AH17" s="4">
        <v>4.3466971792444184E-8</v>
      </c>
      <c r="AI17" s="5">
        <v>4.839737000481895E-5</v>
      </c>
      <c r="AJ17" s="5">
        <v>4.8397370002604867E-5</v>
      </c>
      <c r="AK17" s="5">
        <v>4.8397363919847685E-5</v>
      </c>
      <c r="AL17" s="6">
        <v>4.8380245943495788E-5</v>
      </c>
      <c r="AN17">
        <v>4.8380245943495788E-4</v>
      </c>
    </row>
    <row r="18" spans="1:49" ht="15.75" thickBot="1" x14ac:dyDescent="0.3">
      <c r="A18" s="20" t="s">
        <v>2</v>
      </c>
      <c r="B18" s="107">
        <f>$B$19*C18</f>
        <v>9.9904863522645595</v>
      </c>
      <c r="C18" s="105">
        <v>0.3668025513222678</v>
      </c>
      <c r="D18" s="107">
        <f>$D$19*E18</f>
        <v>9.6675490473948873</v>
      </c>
      <c r="E18" s="105">
        <v>0.86571289881277125</v>
      </c>
      <c r="F18" s="107">
        <f>$F$19*G18</f>
        <v>9.9353273269654689</v>
      </c>
      <c r="G18" s="105">
        <v>0.98356323978367599</v>
      </c>
      <c r="H18" s="107">
        <f>$H$19*I18</f>
        <v>10.000017831177793</v>
      </c>
      <c r="I18" s="105">
        <v>0.9965914461228772</v>
      </c>
      <c r="J18" s="107">
        <f>$J$19*K18</f>
        <v>10.000009361621666</v>
      </c>
      <c r="K18" s="105">
        <v>0.99795043526683191</v>
      </c>
      <c r="L18" s="4">
        <f>$L$19*M18</f>
        <v>10</v>
      </c>
      <c r="M18" s="6">
        <v>1</v>
      </c>
      <c r="Z18" s="4">
        <v>0</v>
      </c>
      <c r="AA18" s="68">
        <f>-$S$5</f>
        <v>-7.8646737813397127</v>
      </c>
      <c r="AB18" s="5">
        <f>$S$11*$W$6+$S$6</f>
        <v>21429.986510506067</v>
      </c>
      <c r="AC18" s="5">
        <f>-$S$12*$W$7</f>
        <v>-21905.18642158731</v>
      </c>
      <c r="AD18" s="5">
        <v>0</v>
      </c>
      <c r="AE18" s="12">
        <v>0</v>
      </c>
      <c r="AH18" s="4">
        <v>1.5957918854635421E-11</v>
      </c>
      <c r="AI18" s="5">
        <v>1.776800341653703E-8</v>
      </c>
      <c r="AJ18" s="5">
        <v>4.6698338368831359E-5</v>
      </c>
      <c r="AK18" s="5">
        <v>4.6698332499614639E-5</v>
      </c>
      <c r="AL18" s="6">
        <v>4.6681815464663625E-5</v>
      </c>
      <c r="AN18">
        <v>4.6681815464663624E-4</v>
      </c>
    </row>
    <row r="19" spans="1:49" ht="15.75" thickBot="1" x14ac:dyDescent="0.3">
      <c r="A19" s="21" t="s">
        <v>127</v>
      </c>
      <c r="B19" s="81">
        <f>S9</f>
        <v>27.236687193833209</v>
      </c>
      <c r="C19" s="15">
        <f t="shared" ref="C19:M19" si="25">SUM(C16:C18)</f>
        <v>1</v>
      </c>
      <c r="D19" s="81">
        <f>S10</f>
        <v>11.167153753458974</v>
      </c>
      <c r="E19" s="15">
        <f t="shared" si="25"/>
        <v>1</v>
      </c>
      <c r="F19" s="81">
        <f>S11</f>
        <v>10.10136097517292</v>
      </c>
      <c r="G19" s="15">
        <f t="shared" si="25"/>
        <v>1</v>
      </c>
      <c r="H19" s="81">
        <f>S12</f>
        <v>10.034220010699165</v>
      </c>
      <c r="I19" s="15">
        <f t="shared" si="25"/>
        <v>1</v>
      </c>
      <c r="J19" s="81">
        <f>S13</f>
        <v>10.020547121609166</v>
      </c>
      <c r="K19" s="15">
        <f t="shared" si="25"/>
        <v>1</v>
      </c>
      <c r="L19" s="81">
        <f>S14</f>
        <v>10</v>
      </c>
      <c r="M19" s="15">
        <f t="shared" si="25"/>
        <v>1</v>
      </c>
      <c r="Z19" s="4">
        <v>0</v>
      </c>
      <c r="AA19" s="5">
        <v>0</v>
      </c>
      <c r="AB19" s="5">
        <f>-$S$6</f>
        <v>-7.7975328168659557</v>
      </c>
      <c r="AC19" s="5">
        <f>$S$12*$W$7+$S$7</f>
        <v>21912.970281515085</v>
      </c>
      <c r="AD19" s="5">
        <f>-$S$13*$W$8</f>
        <v>-21941.319182703919</v>
      </c>
      <c r="AE19" s="12">
        <v>0</v>
      </c>
      <c r="AH19" s="4">
        <v>5.680498578006241E-15</v>
      </c>
      <c r="AI19" s="5">
        <v>6.3248296385672128E-12</v>
      </c>
      <c r="AJ19" s="5">
        <v>1.6623085197750952E-8</v>
      </c>
      <c r="AK19" s="5">
        <v>4.5667906531254863E-5</v>
      </c>
      <c r="AL19" s="6">
        <v>4.5651753954322423E-5</v>
      </c>
      <c r="AN19">
        <v>4.5651753954322426E-4</v>
      </c>
    </row>
    <row r="20" spans="1:49" ht="15.75" thickBot="1" x14ac:dyDescent="0.3">
      <c r="Z20" s="7">
        <v>0</v>
      </c>
      <c r="AA20" s="8">
        <v>0</v>
      </c>
      <c r="AB20" s="8">
        <v>0</v>
      </c>
      <c r="AC20" s="67">
        <f>-$S$7</f>
        <v>-7.7838599277759579</v>
      </c>
      <c r="AD20" s="8">
        <f>$S$13*$W$8+$S$8</f>
        <v>21949.082495510087</v>
      </c>
      <c r="AE20" s="13">
        <f>$S$14*$R$14</f>
        <v>10</v>
      </c>
      <c r="AH20" s="7">
        <v>2.0144899113744723E-18</v>
      </c>
      <c r="AI20" s="8">
        <v>2.2429907028562063E-15</v>
      </c>
      <c r="AJ20" s="8">
        <v>5.8950877228352368E-12</v>
      </c>
      <c r="AK20" s="8">
        <v>1.6195327877908713E-8</v>
      </c>
      <c r="AL20" s="9">
        <v>4.5576180556197318E-5</v>
      </c>
      <c r="AN20">
        <v>4.557618055619732E-4</v>
      </c>
      <c r="AO20" s="5"/>
      <c r="AP20" s="5"/>
      <c r="AQ20" s="5"/>
      <c r="AR20" s="5"/>
      <c r="AS20" s="5"/>
    </row>
    <row r="22" spans="1:49" ht="15.75" thickBot="1" x14ac:dyDescent="0.3"/>
    <row r="23" spans="1:49" ht="15.75" thickBot="1" x14ac:dyDescent="0.3">
      <c r="Y23" s="5"/>
      <c r="Z23" s="5"/>
      <c r="AA23" s="5"/>
      <c r="AB23" s="5"/>
      <c r="AC23" s="5"/>
      <c r="AD23" s="5"/>
      <c r="AE23" s="52"/>
      <c r="AF23" s="5"/>
      <c r="AG23" s="5"/>
      <c r="AH23" s="5"/>
      <c r="AI23" s="5"/>
      <c r="AJ23" s="5"/>
      <c r="AK23" s="5"/>
      <c r="AL23" s="5"/>
      <c r="AO23" s="18"/>
      <c r="AP23" s="19" t="s">
        <v>128</v>
      </c>
      <c r="AQ23" s="93" t="s">
        <v>28</v>
      </c>
      <c r="AR23" s="93" t="s">
        <v>29</v>
      </c>
      <c r="AS23" s="22" t="s">
        <v>30</v>
      </c>
      <c r="AU23" s="94" t="s">
        <v>116</v>
      </c>
    </row>
    <row r="24" spans="1:49" ht="15.75" thickBot="1" x14ac:dyDescent="0.3">
      <c r="G24" s="28" t="s">
        <v>79</v>
      </c>
      <c r="H24" s="29" t="s">
        <v>80</v>
      </c>
      <c r="I24" s="29" t="s">
        <v>81</v>
      </c>
      <c r="J24" s="29" t="s">
        <v>82</v>
      </c>
      <c r="K24" s="29" t="s">
        <v>83</v>
      </c>
      <c r="L24" s="29" t="s">
        <v>84</v>
      </c>
      <c r="M24" s="29" t="s">
        <v>85</v>
      </c>
      <c r="N24" s="29" t="s">
        <v>86</v>
      </c>
      <c r="O24" s="29" t="s">
        <v>87</v>
      </c>
      <c r="P24" s="29" t="s">
        <v>88</v>
      </c>
      <c r="Q24" s="29" t="s">
        <v>89</v>
      </c>
      <c r="R24" s="30" t="s">
        <v>90</v>
      </c>
      <c r="Y24" s="52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O24" s="91" t="s">
        <v>7</v>
      </c>
      <c r="AP24" s="1">
        <v>25</v>
      </c>
      <c r="AQ24" s="2">
        <v>0.35</v>
      </c>
      <c r="AR24" s="2">
        <v>0.65</v>
      </c>
      <c r="AS24" s="3">
        <v>0</v>
      </c>
      <c r="AU24">
        <f>AR29*AN29/AP24/AR24</f>
        <v>0.89195637387947613</v>
      </c>
    </row>
    <row r="25" spans="1:49" ht="15.75" thickBot="1" x14ac:dyDescent="0.3">
      <c r="G25">
        <f>B31/$B$39/$B$40</f>
        <v>2.1071800296631609</v>
      </c>
      <c r="H25">
        <f>C31/$B$39/$B$40</f>
        <v>2.8350922655412045</v>
      </c>
      <c r="I25">
        <f>B32/$B$39/$B$40</f>
        <v>7.2849444468829168</v>
      </c>
      <c r="J25">
        <f>C32/$B$39/$B$40</f>
        <v>6.1290709297054313</v>
      </c>
      <c r="K25">
        <f>B33/$B$39/$B$40</f>
        <v>4.0246507210259157</v>
      </c>
      <c r="L25">
        <f>C33/$B$39/$B$40</f>
        <v>0.21292207917654202</v>
      </c>
      <c r="M25">
        <f>EXP(-$E$31*G25)</f>
        <v>0.43047242445194145</v>
      </c>
      <c r="N25">
        <f t="shared" ref="N25:R25" si="26">EXP(-$E$31*H25)</f>
        <v>0.32173183009668638</v>
      </c>
      <c r="O25">
        <f t="shared" si="26"/>
        <v>5.425946787469077E-2</v>
      </c>
      <c r="P25">
        <f t="shared" si="26"/>
        <v>8.6153182795249569E-2</v>
      </c>
      <c r="Q25">
        <f t="shared" si="26"/>
        <v>0.19991554264238187</v>
      </c>
      <c r="R25">
        <f t="shared" si="26"/>
        <v>0.91835722352796123</v>
      </c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O25" s="92" t="s">
        <v>18</v>
      </c>
      <c r="AP25" s="109">
        <v>10</v>
      </c>
      <c r="AQ25" s="8">
        <v>0</v>
      </c>
      <c r="AR25" s="8">
        <v>0</v>
      </c>
      <c r="AS25" s="9">
        <v>1</v>
      </c>
    </row>
    <row r="26" spans="1:49" ht="15.75" thickBot="1" x14ac:dyDescent="0.3"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W26" s="33"/>
    </row>
    <row r="27" spans="1:49" ht="15.75" thickBot="1" x14ac:dyDescent="0.3"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Q27" s="19" t="s">
        <v>129</v>
      </c>
      <c r="AR27" s="22" t="s">
        <v>126</v>
      </c>
    </row>
    <row r="28" spans="1:49" ht="15.75" thickBot="1" x14ac:dyDescent="0.3">
      <c r="Y28" s="5"/>
      <c r="Z28" s="5"/>
      <c r="AA28" s="5"/>
      <c r="AB28" s="5"/>
      <c r="AC28" s="52" t="s">
        <v>112</v>
      </c>
      <c r="AD28" s="52" t="s">
        <v>113</v>
      </c>
      <c r="AE28" s="52" t="s">
        <v>114</v>
      </c>
      <c r="AF28" s="94" t="s">
        <v>115</v>
      </c>
      <c r="AG28" s="5"/>
      <c r="AH28" s="17" t="s">
        <v>6</v>
      </c>
      <c r="AI28" s="95" t="s">
        <v>68</v>
      </c>
      <c r="AJ28" s="96" t="s">
        <v>69</v>
      </c>
      <c r="AK28" s="96" t="s">
        <v>70</v>
      </c>
      <c r="AL28" s="97" t="s">
        <v>76</v>
      </c>
      <c r="AM28" s="95" t="s">
        <v>71</v>
      </c>
      <c r="AN28" s="96" t="s">
        <v>72</v>
      </c>
      <c r="AO28" s="96" t="s">
        <v>73</v>
      </c>
      <c r="AP28" s="101" t="s">
        <v>77</v>
      </c>
      <c r="AQ28" s="95">
        <f>AP24</f>
        <v>25</v>
      </c>
      <c r="AR28" s="3"/>
      <c r="AS28" s="93" t="s">
        <v>62</v>
      </c>
      <c r="AT28" s="93" t="s">
        <v>63</v>
      </c>
      <c r="AU28" s="22" t="s">
        <v>64</v>
      </c>
    </row>
    <row r="29" spans="1:49" ht="15.75" thickBot="1" x14ac:dyDescent="0.3">
      <c r="AC29" s="33">
        <f>SUM(AD29:AF29)</f>
        <v>1.0148809124086609</v>
      </c>
      <c r="AD29" s="72">
        <f>AN2</f>
        <v>0.87449998209644608</v>
      </c>
      <c r="AE29" s="73">
        <f>AN9</f>
        <v>0.13937469394077537</v>
      </c>
      <c r="AF29" s="74">
        <f>AN16</f>
        <v>1.0062363714393888E-3</v>
      </c>
      <c r="AH29" s="98">
        <v>1</v>
      </c>
      <c r="AI29" s="72">
        <f>I37</f>
        <v>0.87449998209644597</v>
      </c>
      <c r="AJ29" s="73">
        <f t="shared" ref="AJ29:AO29" si="27">J37</f>
        <v>0.1243170674587511</v>
      </c>
      <c r="AK29" s="73">
        <f t="shared" si="27"/>
        <v>1.1829504448029832E-3</v>
      </c>
      <c r="AL29" s="129">
        <f t="shared" si="27"/>
        <v>1</v>
      </c>
      <c r="AM29" s="73">
        <f t="shared" si="27"/>
        <v>3.6361515671510733E-2</v>
      </c>
      <c r="AN29" s="73">
        <f t="shared" si="27"/>
        <v>0.53216057343505452</v>
      </c>
      <c r="AO29" s="74">
        <f t="shared" si="27"/>
        <v>0.43147791089343479</v>
      </c>
      <c r="AP29" s="55">
        <f>SUM(AM29:AO29)</f>
        <v>1</v>
      </c>
      <c r="AQ29" s="102">
        <f>(AR31*(AM30-AM31)+AQ30*(AI30-AM30))/(AI29-AM30)</f>
        <v>8.9304665596257671</v>
      </c>
      <c r="AR29" s="6">
        <f>AP24+AP25-AQ33</f>
        <v>27.236687193833209</v>
      </c>
      <c r="AS29" s="1">
        <f>AM29/AI29</f>
        <v>4.1579778634575813E-2</v>
      </c>
      <c r="AT29" s="2">
        <f t="shared" ref="AT29:AU33" si="28">AN29/AJ29</f>
        <v>4.2806718684192546</v>
      </c>
      <c r="AU29" s="3">
        <f t="shared" si="28"/>
        <v>364.74724092546086</v>
      </c>
    </row>
    <row r="30" spans="1:49" ht="15.75" thickBot="1" x14ac:dyDescent="0.3">
      <c r="A30" s="138" t="s">
        <v>78</v>
      </c>
      <c r="B30" s="138"/>
      <c r="C30" s="138"/>
      <c r="D30" s="138"/>
      <c r="E30" s="138"/>
      <c r="J30" s="33">
        <f>J37</f>
        <v>0.1243170674587511</v>
      </c>
      <c r="K30" s="33">
        <f>(K37+K50)/2</f>
        <v>1.182950446932201E-3</v>
      </c>
      <c r="L30" s="33">
        <f>SUM(I37:K37)</f>
        <v>1</v>
      </c>
      <c r="M30" s="33">
        <f t="shared" ref="M30:N34" si="29">(M37+M50)/2</f>
        <v>3.6361515070593584E-2</v>
      </c>
      <c r="N30" s="33">
        <f t="shared" si="29"/>
        <v>0.53216057319068399</v>
      </c>
      <c r="T30" s="25"/>
      <c r="U30" s="25"/>
      <c r="V30" s="25"/>
      <c r="W30" s="25"/>
      <c r="X30" s="25"/>
      <c r="Y30" s="25"/>
      <c r="Z30" s="25"/>
      <c r="AC30" s="33">
        <f t="shared" ref="AC30:AC33" si="30">SUM(AD30:AF30)</f>
        <v>1.0054978294244592</v>
      </c>
      <c r="AD30" s="72">
        <f t="shared" ref="AD30:AD33" si="31">AN3</f>
        <v>0.98960027562993103</v>
      </c>
      <c r="AE30" s="73">
        <f t="shared" ref="AE30:AE32" si="32">AN10</f>
        <v>1.5413751335093366E-2</v>
      </c>
      <c r="AF30" s="74">
        <f t="shared" ref="AF30:AF33" si="33">AN17</f>
        <v>4.8380245943495788E-4</v>
      </c>
      <c r="AH30" s="99">
        <v>2</v>
      </c>
      <c r="AI30" s="75">
        <f t="shared" ref="AI30:AI33" si="34">I38</f>
        <v>0.98960027562993091</v>
      </c>
      <c r="AJ30" s="76">
        <f t="shared" ref="AJ30:AJ33" si="35">J38</f>
        <v>9.9008249423116687E-3</v>
      </c>
      <c r="AK30" s="76">
        <f t="shared" ref="AK30:AK33" si="36">K38</f>
        <v>4.9889942775740493E-4</v>
      </c>
      <c r="AL30" s="130">
        <f t="shared" ref="AL30:AL33" si="37">L38</f>
        <v>1</v>
      </c>
      <c r="AM30" s="76">
        <f t="shared" ref="AM30:AM33" si="38">M38</f>
        <v>4.4827962298575972E-3</v>
      </c>
      <c r="AN30" s="76">
        <f t="shared" ref="AN30:AN33" si="39">N38</f>
        <v>7.1587403794786023E-2</v>
      </c>
      <c r="AO30" s="77">
        <f t="shared" ref="AO30:AO33" si="40">O38</f>
        <v>0.9239297999753564</v>
      </c>
      <c r="AP30" s="56">
        <f t="shared" ref="AP30:AP33" si="41">SUM(AM30:AO30)</f>
        <v>1</v>
      </c>
      <c r="AQ30" s="102">
        <f>(AR32*(AM31-AM32)+AQ31*(AI31-AM31))/(AI30-AM31)</f>
        <v>7.8646737813397127</v>
      </c>
      <c r="AR30" s="6">
        <f t="shared" ref="AR30:AR32" si="42">AR31+AQ29-AQ30</f>
        <v>11.167153753458974</v>
      </c>
      <c r="AS30" s="4">
        <f t="shared" ref="AS30:AS33" si="43">AM30/AI30</f>
        <v>4.5299060037185916E-3</v>
      </c>
      <c r="AT30" s="5">
        <f t="shared" si="28"/>
        <v>7.2304483931287065</v>
      </c>
      <c r="AU30" s="6">
        <f t="shared" si="28"/>
        <v>1851.9359786169707</v>
      </c>
    </row>
    <row r="31" spans="1:49" ht="15.75" thickBot="1" x14ac:dyDescent="0.3">
      <c r="A31" s="26" t="s">
        <v>33</v>
      </c>
      <c r="B31" s="27">
        <v>5.5736999999999997</v>
      </c>
      <c r="C31" s="27">
        <v>7.4991000000000003</v>
      </c>
      <c r="D31" s="26">
        <v>6.4999999999999997E-3</v>
      </c>
      <c r="E31" s="26">
        <v>0.4</v>
      </c>
      <c r="J31" s="33">
        <f t="shared" ref="J31:J34" si="44">J38</f>
        <v>9.9008249423116687E-3</v>
      </c>
      <c r="K31" s="33">
        <f t="shared" ref="K31" si="45">(K38+K51)/2</f>
        <v>4.9889942776046683E-4</v>
      </c>
      <c r="L31" s="33">
        <f t="shared" ref="L31:L34" si="46">SUM(I38:K38)</f>
        <v>1</v>
      </c>
      <c r="M31" s="33">
        <f t="shared" si="29"/>
        <v>4.4827962281981798E-3</v>
      </c>
      <c r="N31" s="33">
        <f t="shared" si="29"/>
        <v>7.1587403793174825E-2</v>
      </c>
      <c r="T31" s="25"/>
      <c r="U31" s="25"/>
      <c r="V31" s="25"/>
      <c r="W31" s="25"/>
      <c r="X31" s="25"/>
      <c r="Y31" s="25"/>
      <c r="Z31" s="25"/>
      <c r="AC31" s="33">
        <f t="shared" si="30"/>
        <v>0.99972065133799959</v>
      </c>
      <c r="AD31" s="72">
        <f t="shared" si="31"/>
        <v>0.99764482669396171</v>
      </c>
      <c r="AE31" s="73">
        <f t="shared" si="32"/>
        <v>1.6090064893911789E-3</v>
      </c>
      <c r="AF31" s="74">
        <f t="shared" si="33"/>
        <v>4.6681815464663624E-4</v>
      </c>
      <c r="AH31" s="99">
        <v>3</v>
      </c>
      <c r="AI31" s="75">
        <f t="shared" si="34"/>
        <v>0.99764482669396148</v>
      </c>
      <c r="AJ31" s="76">
        <f t="shared" si="35"/>
        <v>1.8913666198813075E-3</v>
      </c>
      <c r="AK31" s="76">
        <f t="shared" si="36"/>
        <v>4.6380668615719496E-4</v>
      </c>
      <c r="AL31" s="130">
        <f t="shared" si="37"/>
        <v>1</v>
      </c>
      <c r="AM31" s="76">
        <f t="shared" si="38"/>
        <v>2.3017264751768575E-3</v>
      </c>
      <c r="AN31" s="76">
        <f t="shared" si="39"/>
        <v>1.4092747062075153E-2</v>
      </c>
      <c r="AO31" s="77">
        <f t="shared" si="40"/>
        <v>0.9836055264627479</v>
      </c>
      <c r="AP31" s="56">
        <f t="shared" si="41"/>
        <v>0.99999999999999989</v>
      </c>
      <c r="AQ31" s="102">
        <f>(AR33*(AM32-AM33)+AQ32*(AI32-AM32))/(AI31-AM32)</f>
        <v>7.7975328168659557</v>
      </c>
      <c r="AR31" s="6">
        <f t="shared" si="42"/>
        <v>10.10136097517292</v>
      </c>
      <c r="AS31" s="4">
        <f t="shared" si="43"/>
        <v>2.3071602373806901E-3</v>
      </c>
      <c r="AT31" s="5">
        <f t="shared" si="28"/>
        <v>7.4510921964772443</v>
      </c>
      <c r="AU31" s="6">
        <f t="shared" si="28"/>
        <v>2120.7230422059524</v>
      </c>
    </row>
    <row r="32" spans="1:49" ht="15.75" thickBot="1" x14ac:dyDescent="0.3">
      <c r="A32" s="31" t="s">
        <v>34</v>
      </c>
      <c r="B32" s="32">
        <v>19.269400000000001</v>
      </c>
      <c r="C32" s="32">
        <v>16.212</v>
      </c>
      <c r="D32" s="31"/>
      <c r="E32" s="31"/>
      <c r="J32" s="33">
        <f t="shared" si="44"/>
        <v>1.8913666198813075E-3</v>
      </c>
      <c r="K32" s="33">
        <f t="shared" ref="K32" si="47">(K39+K52)/2</f>
        <v>4.6380668615719496E-4</v>
      </c>
      <c r="L32" s="33">
        <f t="shared" si="46"/>
        <v>1</v>
      </c>
      <c r="M32" s="33">
        <f t="shared" si="29"/>
        <v>2.3017264751768575E-3</v>
      </c>
      <c r="N32" s="33">
        <f t="shared" si="29"/>
        <v>1.4092747062075153E-2</v>
      </c>
      <c r="T32" s="33"/>
      <c r="U32" s="33"/>
      <c r="V32" s="33"/>
      <c r="W32" s="33"/>
      <c r="X32" s="33"/>
      <c r="Y32" s="33"/>
      <c r="Z32" s="33"/>
      <c r="AC32" s="33">
        <f t="shared" si="30"/>
        <v>0.99997078263020656</v>
      </c>
      <c r="AD32" s="72">
        <f t="shared" si="31"/>
        <v>0.99934907657438532</v>
      </c>
      <c r="AE32" s="73">
        <f t="shared" si="32"/>
        <v>1.6518851627804137E-4</v>
      </c>
      <c r="AF32" s="74">
        <f t="shared" si="33"/>
        <v>4.5651753954322426E-4</v>
      </c>
      <c r="AH32" s="99">
        <v>4</v>
      </c>
      <c r="AI32" s="75">
        <f t="shared" si="34"/>
        <v>0.99934907657438543</v>
      </c>
      <c r="AJ32" s="76">
        <f t="shared" si="35"/>
        <v>1.9440776527489408E-4</v>
      </c>
      <c r="AK32" s="76">
        <f t="shared" si="36"/>
        <v>4.5651566033969547E-4</v>
      </c>
      <c r="AL32" s="130">
        <f t="shared" si="37"/>
        <v>1</v>
      </c>
      <c r="AM32" s="76">
        <f t="shared" si="38"/>
        <v>1.9468881428239379E-3</v>
      </c>
      <c r="AN32" s="76">
        <f t="shared" si="39"/>
        <v>1.4573990412003893E-3</v>
      </c>
      <c r="AO32" s="77">
        <f t="shared" si="40"/>
        <v>0.9965957128159757</v>
      </c>
      <c r="AP32" s="56">
        <f t="shared" si="41"/>
        <v>1</v>
      </c>
      <c r="AQ32" s="102">
        <f>(AR34*(AM33-AM34)+AQ33*(AI33-AM33))/(AI32-AM33)</f>
        <v>7.7838599277759579</v>
      </c>
      <c r="AR32" s="6">
        <f t="shared" si="42"/>
        <v>10.034220010699165</v>
      </c>
      <c r="AS32" s="4">
        <f t="shared" si="43"/>
        <v>1.9481562433594979E-3</v>
      </c>
      <c r="AT32" s="5">
        <f t="shared" si="28"/>
        <v>7.4966091973724183</v>
      </c>
      <c r="AU32" s="6">
        <f t="shared" si="28"/>
        <v>2183.0482487159456</v>
      </c>
    </row>
    <row r="33" spans="1:51" ht="15.75" thickBot="1" x14ac:dyDescent="0.3">
      <c r="A33" s="34" t="s">
        <v>35</v>
      </c>
      <c r="B33" s="35">
        <v>10.6456</v>
      </c>
      <c r="C33" s="35">
        <v>0.56320000000000003</v>
      </c>
      <c r="D33" s="36"/>
      <c r="E33" s="36"/>
      <c r="J33" s="33">
        <f t="shared" si="44"/>
        <v>1.9440776527489408E-4</v>
      </c>
      <c r="K33" s="33">
        <f t="shared" ref="K33" si="48">(K40+K53)/2</f>
        <v>4.5651566033969547E-4</v>
      </c>
      <c r="L33" s="33">
        <f t="shared" si="46"/>
        <v>1</v>
      </c>
      <c r="M33" s="33">
        <f t="shared" si="29"/>
        <v>1.9468881428239379E-3</v>
      </c>
      <c r="N33" s="33">
        <f t="shared" si="29"/>
        <v>1.4573990412003893E-3</v>
      </c>
      <c r="T33" s="33"/>
      <c r="U33" s="33"/>
      <c r="V33" s="33"/>
      <c r="W33" s="33"/>
      <c r="X33" s="33"/>
      <c r="Y33" s="33"/>
      <c r="Z33" s="33"/>
      <c r="AC33" s="33">
        <f t="shared" si="30"/>
        <v>0.99999723751656511</v>
      </c>
      <c r="AD33" s="72">
        <f t="shared" si="31"/>
        <v>0.99952597112891406</v>
      </c>
      <c r="AE33" s="73">
        <f>AN13</f>
        <v>1.5504582089057232E-5</v>
      </c>
      <c r="AF33" s="74">
        <f t="shared" si="33"/>
        <v>4.557618055619732E-4</v>
      </c>
      <c r="AH33" s="100">
        <v>5</v>
      </c>
      <c r="AI33" s="78">
        <f t="shared" si="34"/>
        <v>0.99952597112891417</v>
      </c>
      <c r="AJ33" s="79">
        <f t="shared" si="35"/>
        <v>1.8267141919972515E-5</v>
      </c>
      <c r="AK33" s="79">
        <f t="shared" si="36"/>
        <v>4.5576172916578282E-4</v>
      </c>
      <c r="AL33" s="131">
        <f t="shared" si="37"/>
        <v>1</v>
      </c>
      <c r="AM33" s="79">
        <f t="shared" si="38"/>
        <v>1.912117074381034E-3</v>
      </c>
      <c r="AN33" s="79">
        <f t="shared" si="39"/>
        <v>1.37027595313527E-4</v>
      </c>
      <c r="AO33" s="80">
        <f t="shared" si="40"/>
        <v>0.99795085533030548</v>
      </c>
      <c r="AP33" s="57">
        <f t="shared" si="41"/>
        <v>1</v>
      </c>
      <c r="AQ33" s="4">
        <f>(AP24*AQ24+AP25*AQ25-(AP24+AP25)*AM29)/(AI33-AM29)</f>
        <v>7.7633128061667911</v>
      </c>
      <c r="AR33" s="6">
        <f>AR34+AQ32-AQ33</f>
        <v>10.020547121609166</v>
      </c>
      <c r="AS33" s="7">
        <f t="shared" si="43"/>
        <v>1.9130239029421059E-3</v>
      </c>
      <c r="AT33" s="8">
        <f t="shared" si="28"/>
        <v>7.5013155267440537</v>
      </c>
      <c r="AU33" s="9">
        <f t="shared" si="28"/>
        <v>2189.6328530193505</v>
      </c>
    </row>
    <row r="34" spans="1:51" ht="15.75" thickBot="1" x14ac:dyDescent="0.3">
      <c r="J34" s="33">
        <f t="shared" si="44"/>
        <v>1.8267141919972515E-5</v>
      </c>
      <c r="K34" s="33">
        <f t="shared" ref="K34" si="49">(K41+K54)/2</f>
        <v>4.5576172916578282E-4</v>
      </c>
      <c r="L34" s="33">
        <f t="shared" si="46"/>
        <v>1</v>
      </c>
      <c r="M34" s="33">
        <f t="shared" si="29"/>
        <v>1.912117074381034E-3</v>
      </c>
      <c r="N34" s="33">
        <f t="shared" si="29"/>
        <v>1.37027595313527E-4</v>
      </c>
      <c r="T34" s="33"/>
      <c r="U34" s="33"/>
      <c r="V34" s="33"/>
      <c r="W34" s="33"/>
      <c r="X34" s="33"/>
      <c r="Y34" s="33"/>
      <c r="Z34" s="33"/>
      <c r="AM34" s="70">
        <v>0</v>
      </c>
      <c r="AN34">
        <f>AR25</f>
        <v>0</v>
      </c>
      <c r="AO34" s="71">
        <v>1</v>
      </c>
      <c r="AQ34" s="7"/>
      <c r="AR34" s="103">
        <f>AP25</f>
        <v>10</v>
      </c>
    </row>
    <row r="35" spans="1:51" ht="26.25" thickBot="1" x14ac:dyDescent="0.3">
      <c r="A35" s="139" t="s">
        <v>91</v>
      </c>
      <c r="B35" s="37" t="s">
        <v>92</v>
      </c>
      <c r="C35" s="37" t="s">
        <v>93</v>
      </c>
      <c r="D35" s="139" t="s">
        <v>36</v>
      </c>
      <c r="E35" s="139" t="s">
        <v>37</v>
      </c>
    </row>
    <row r="36" spans="1:51" ht="15.75" thickBot="1" x14ac:dyDescent="0.3">
      <c r="A36" s="140"/>
      <c r="B36" s="141" t="s">
        <v>38</v>
      </c>
      <c r="C36" s="141"/>
      <c r="D36" s="140"/>
      <c r="E36" s="140"/>
      <c r="I36" s="38" t="s">
        <v>39</v>
      </c>
      <c r="J36" s="39" t="s">
        <v>40</v>
      </c>
      <c r="K36" s="40" t="s">
        <v>41</v>
      </c>
      <c r="L36" s="41"/>
      <c r="M36" s="38" t="s">
        <v>42</v>
      </c>
      <c r="N36" s="39" t="s">
        <v>43</v>
      </c>
      <c r="O36" s="40" t="s">
        <v>44</v>
      </c>
      <c r="P36" s="42" t="s">
        <v>94</v>
      </c>
      <c r="Q36" s="43" t="s">
        <v>95</v>
      </c>
      <c r="R36" s="44" t="s">
        <v>96</v>
      </c>
      <c r="S36" s="42" t="s">
        <v>97</v>
      </c>
      <c r="T36" s="43" t="s">
        <v>98</v>
      </c>
      <c r="U36" s="44" t="s">
        <v>99</v>
      </c>
      <c r="V36" s="45" t="s">
        <v>45</v>
      </c>
      <c r="W36" s="46" t="s">
        <v>46</v>
      </c>
      <c r="X36" s="47" t="s">
        <v>47</v>
      </c>
      <c r="Y36" s="42" t="s">
        <v>100</v>
      </c>
      <c r="Z36" s="43" t="s">
        <v>101</v>
      </c>
      <c r="AA36" s="43" t="s">
        <v>102</v>
      </c>
      <c r="AB36" s="19" t="s">
        <v>48</v>
      </c>
      <c r="AC36" s="93" t="s">
        <v>49</v>
      </c>
      <c r="AD36" s="22" t="s">
        <v>50</v>
      </c>
      <c r="AH36" s="133">
        <v>-7</v>
      </c>
      <c r="AW36" t="s">
        <v>120</v>
      </c>
      <c r="AX36" t="s">
        <v>116</v>
      </c>
      <c r="AY36" t="s">
        <v>121</v>
      </c>
    </row>
    <row r="37" spans="1:51" x14ac:dyDescent="0.25">
      <c r="I37" s="33">
        <f>1-J37-K37</f>
        <v>0.87449998209644597</v>
      </c>
      <c r="J37">
        <v>0.1243170674587511</v>
      </c>
      <c r="K37" s="6">
        <v>1.1829504448029832E-3</v>
      </c>
      <c r="L37" s="48">
        <v>1</v>
      </c>
      <c r="M37" s="48">
        <v>3.6361515671510733E-2</v>
      </c>
      <c r="N37" s="69">
        <v>0.53216057343505452</v>
      </c>
      <c r="O37" s="33">
        <f>1-M37-N37</f>
        <v>0.43147791089343479</v>
      </c>
      <c r="P37">
        <f>I37+$N$25*J37+$P$25*K37</f>
        <v>0.91459865466811197</v>
      </c>
      <c r="Q37">
        <f>$M$25*I37+J37+$R$25*K37</f>
        <v>0.50185156602104808</v>
      </c>
      <c r="R37">
        <f>$O$25*I37+$Q$25*J37+K37</f>
        <v>7.3485768130508569E-2</v>
      </c>
      <c r="S37">
        <f>J37*$H$25*$N$25+K37*$J$25*$P$25</f>
        <v>0.11401914212378278</v>
      </c>
      <c r="T37">
        <f>I37*$G$25*$M$25+K37*$L$25*$R$25</f>
        <v>0.79347528881241869</v>
      </c>
      <c r="U37">
        <f>I37*$I$25*$O$25+J37*$K$25*$Q$25</f>
        <v>0.44569421060763881</v>
      </c>
      <c r="V37">
        <f>S37/P37-I37*S37/P37^2+J37*$M$25/Q37*($G$25-T37/Q37)+K37*$O$25/R37*($I$25-U37/R37)</f>
        <v>6.2630387249039396E-2</v>
      </c>
      <c r="W37">
        <f>T37/Q37-J37*T37/Q37^2+(I37*$N$25/P37)*($H$25-S37/P37)+(K37*$Q$25/R37)*($K$25-U37/R37)</f>
        <v>2.016663407026519</v>
      </c>
      <c r="X37">
        <f>U37/R37-K37*U37/R37^2+I37*$P$25/P37*($J$25-S37/P37)+J37*$R$25/Q37*($L$25-T37/Q37)</f>
        <v>6.1507775938802611</v>
      </c>
      <c r="Y37">
        <f>EXP(V37)</f>
        <v>1.0646332644710159</v>
      </c>
      <c r="Z37">
        <f t="shared" ref="Z37:AA37" si="50">EXP(W37)</f>
        <v>7.513214526556272</v>
      </c>
      <c r="AA37">
        <f t="shared" si="50"/>
        <v>469.08200029619729</v>
      </c>
      <c r="AB37">
        <f>Y37/Y43</f>
        <v>4.157977726026555E-2</v>
      </c>
      <c r="AC37">
        <f t="shared" ref="AC37:AC41" si="51">Z37/Z43</f>
        <v>4.2806718644878456</v>
      </c>
      <c r="AD37">
        <f t="shared" ref="AD37:AD41" si="52">AA37/AA43</f>
        <v>364.74723961242813</v>
      </c>
      <c r="AH37" t="s">
        <v>6</v>
      </c>
      <c r="AI37" t="s">
        <v>68</v>
      </c>
      <c r="AJ37" t="s">
        <v>69</v>
      </c>
      <c r="AK37" t="s">
        <v>70</v>
      </c>
      <c r="AL37" t="s">
        <v>76</v>
      </c>
      <c r="AM37" t="s">
        <v>71</v>
      </c>
      <c r="AN37" t="s">
        <v>72</v>
      </c>
      <c r="AO37" t="s">
        <v>73</v>
      </c>
      <c r="AP37" t="s">
        <v>77</v>
      </c>
      <c r="AQ37">
        <v>25</v>
      </c>
      <c r="AS37" t="s">
        <v>62</v>
      </c>
      <c r="AT37" t="s">
        <v>63</v>
      </c>
      <c r="AU37" t="s">
        <v>64</v>
      </c>
      <c r="AW37">
        <f>AR38*AM38/AP24/AQ24</f>
        <v>9.9826632965374779E-2</v>
      </c>
      <c r="AX37">
        <f>AR38*AN38/AQ37/AR24</f>
        <v>0.999955712509774</v>
      </c>
      <c r="AY37">
        <f>AQ42*AK42/AR43/AS25</f>
        <v>5.1350255431998465E-4</v>
      </c>
    </row>
    <row r="38" spans="1:51" x14ac:dyDescent="0.25">
      <c r="I38" s="33">
        <f t="shared" ref="I38:I41" si="53">1-J38-K38</f>
        <v>0.98960027562993091</v>
      </c>
      <c r="J38">
        <v>9.9008249423116687E-3</v>
      </c>
      <c r="K38">
        <v>4.9889942775740493E-4</v>
      </c>
      <c r="L38">
        <v>1</v>
      </c>
      <c r="M38" s="48">
        <v>4.4827962298575972E-3</v>
      </c>
      <c r="N38">
        <v>7.1587403794786023E-2</v>
      </c>
      <c r="O38" s="33">
        <f t="shared" ref="O38:O41" si="54">1-M38-N38</f>
        <v>0.9239297999753564</v>
      </c>
      <c r="P38">
        <f t="shared" ref="P38:P41" si="55">I38+$N$25*J38+$P$25*K38</f>
        <v>0.99282866793168389</v>
      </c>
      <c r="Q38">
        <f t="shared" ref="Q38:Q41" si="56">$M$25*I38+J38+$R$25*K38</f>
        <v>0.43635462272433251</v>
      </c>
      <c r="R38">
        <f t="shared" ref="R38:R41" si="57">$O$25*I38+$Q$25*J38+K38</f>
        <v>5.6173412583034238E-2</v>
      </c>
      <c r="S38">
        <f t="shared" ref="S38:S41" si="58">J38*$H$25*$N$25+K38*$J$25*$P$25</f>
        <v>9.2943710900056202E-3</v>
      </c>
      <c r="T38">
        <f t="shared" ref="T38:T41" si="59">I38*$G$25*$M$25+K38*$L$25*$R$25</f>
        <v>0.89774703808575451</v>
      </c>
      <c r="U38">
        <f t="shared" ref="U38:U41" si="60">I38*$I$25*$O$25+J38*$K$25*$Q$25</f>
        <v>0.39913254220490318</v>
      </c>
      <c r="V38">
        <f t="shared" ref="V38:V41" si="61">S38/P38-I38*S38/P38^2+J38*$M$25/Q38*($G$25-T38/Q38)+K38*$O$25/R38*($I$25-U38/R38)</f>
        <v>6.0340092931445409E-4</v>
      </c>
      <c r="W38">
        <f t="shared" ref="W38:W41" si="62">T38/Q38-J38*T38/Q38^2+(I38*$N$25/P38)*($H$25-S38/P38)+(K38*$Q$25/R38)*($K$25-U38/R38)</f>
        <v>2.9113992100655812</v>
      </c>
      <c r="X38">
        <f t="shared" ref="X38:X41" si="63">U38/R38-K38*U38/R38^2+I38*$P$25/P38*($J$25-S38/P38)+J38*$R$25/Q38*($L$25-T38/Q38)</f>
        <v>7.5293426333406037</v>
      </c>
      <c r="Y38">
        <f t="shared" ref="Y38:Y41" si="64">EXP(V38)</f>
        <v>1.0006035830122764</v>
      </c>
      <c r="Z38">
        <f t="shared" ref="Z38:Z41" si="65">EXP(W38)</f>
        <v>18.382501562096035</v>
      </c>
      <c r="AA38">
        <f t="shared" ref="AA38:AA41" si="66">EXP(X38)</f>
        <v>1861.8811625800965</v>
      </c>
      <c r="AB38">
        <f>Y38/Y44</f>
        <v>4.5299060003648785E-3</v>
      </c>
      <c r="AC38">
        <f t="shared" si="51"/>
        <v>7.2304483928032397</v>
      </c>
      <c r="AD38">
        <f t="shared" si="52"/>
        <v>1851.935978594239</v>
      </c>
      <c r="AH38">
        <v>1</v>
      </c>
      <c r="AI38">
        <v>0.7976259415797109</v>
      </c>
      <c r="AJ38">
        <v>0.20047451700830898</v>
      </c>
      <c r="AK38">
        <v>1.8995414119801297E-3</v>
      </c>
      <c r="AL38">
        <v>1</v>
      </c>
      <c r="AM38">
        <v>3.6215390806816142E-2</v>
      </c>
      <c r="AN38">
        <v>0.67370974766099634</v>
      </c>
      <c r="AO38">
        <v>0.29007486153218753</v>
      </c>
      <c r="AP38">
        <v>1</v>
      </c>
      <c r="AQ38">
        <v>10.061575038681639</v>
      </c>
      <c r="AR38">
        <v>24.11911121176221</v>
      </c>
      <c r="AS38">
        <v>4.5403978129260669E-2</v>
      </c>
      <c r="AT38">
        <v>3.3605754871731324</v>
      </c>
      <c r="AU38">
        <v>152.70783764056304</v>
      </c>
    </row>
    <row r="39" spans="1:51" x14ac:dyDescent="0.25">
      <c r="A39" s="49" t="s">
        <v>57</v>
      </c>
      <c r="B39">
        <f>8.314/1000</f>
        <v>8.3140000000000002E-3</v>
      </c>
      <c r="C39" t="s">
        <v>58</v>
      </c>
      <c r="I39" s="33">
        <f t="shared" si="53"/>
        <v>0.99764482669396148</v>
      </c>
      <c r="J39">
        <v>1.8913666198813075E-3</v>
      </c>
      <c r="K39">
        <v>4.6380668615719496E-4</v>
      </c>
      <c r="L39">
        <v>1</v>
      </c>
      <c r="M39" s="48">
        <v>2.3017264751768575E-3</v>
      </c>
      <c r="N39">
        <v>1.4092747062075153E-2</v>
      </c>
      <c r="O39" s="33">
        <f t="shared" si="54"/>
        <v>0.9836055264627479</v>
      </c>
      <c r="P39">
        <f t="shared" si="55"/>
        <v>0.99829329796017385</v>
      </c>
      <c r="Q39">
        <f t="shared" si="56"/>
        <v>0.43177589412932088</v>
      </c>
      <c r="R39">
        <f t="shared" si="57"/>
        <v>5.4973597694658899E-2</v>
      </c>
      <c r="S39">
        <f t="shared" si="58"/>
        <v>1.9700980614914721E-3</v>
      </c>
      <c r="T39">
        <f t="shared" si="59"/>
        <v>0.90503725077986019</v>
      </c>
      <c r="U39">
        <f t="shared" si="60"/>
        <v>0.39586803796206971</v>
      </c>
      <c r="V39">
        <f t="shared" si="61"/>
        <v>6.0612777648357243E-5</v>
      </c>
      <c r="W39">
        <f t="shared" si="62"/>
        <v>2.9924541181131783</v>
      </c>
      <c r="X39">
        <f t="shared" si="63"/>
        <v>7.6602533792165408</v>
      </c>
      <c r="Y39">
        <f t="shared" si="64"/>
        <v>1.0000606146146398</v>
      </c>
      <c r="Z39">
        <f t="shared" si="65"/>
        <v>19.934544236884019</v>
      </c>
      <c r="AA39">
        <f t="shared" si="66"/>
        <v>2122.2951059286693</v>
      </c>
      <c r="AB39">
        <f>Y39/Y45</f>
        <v>2.3071602373806901E-3</v>
      </c>
      <c r="AC39">
        <f t="shared" si="51"/>
        <v>7.4510921964772443</v>
      </c>
      <c r="AD39">
        <f t="shared" si="52"/>
        <v>2120.7230422059524</v>
      </c>
      <c r="AH39">
        <v>2</v>
      </c>
      <c r="AI39">
        <v>0.96563174973024146</v>
      </c>
      <c r="AJ39">
        <v>3.3757630050776213E-2</v>
      </c>
      <c r="AK39">
        <v>6.1062021898224085E-4</v>
      </c>
      <c r="AL39">
        <v>1</v>
      </c>
      <c r="AM39">
        <v>1.6214071409224998E-2</v>
      </c>
      <c r="AN39">
        <v>0.21962585145662708</v>
      </c>
      <c r="AO39">
        <v>0.76416007713414791</v>
      </c>
      <c r="AP39">
        <v>1</v>
      </c>
      <c r="AQ39">
        <v>8.1801315980314975</v>
      </c>
      <c r="AR39">
        <v>9.1806862504438449</v>
      </c>
      <c r="AS39">
        <v>1.6791153991937976E-2</v>
      </c>
      <c r="AT39">
        <v>6.5059617966746766</v>
      </c>
      <c r="AU39">
        <v>1251.4490240886907</v>
      </c>
    </row>
    <row r="40" spans="1:51" x14ac:dyDescent="0.25">
      <c r="A40" s="49" t="s">
        <v>59</v>
      </c>
      <c r="B40">
        <v>318.14999999999998</v>
      </c>
      <c r="C40" t="s">
        <v>60</v>
      </c>
      <c r="I40" s="33">
        <f t="shared" si="53"/>
        <v>0.99934907657438543</v>
      </c>
      <c r="J40">
        <v>1.9440776527489408E-4</v>
      </c>
      <c r="K40">
        <v>4.5651566033969547E-4</v>
      </c>
      <c r="L40">
        <v>1</v>
      </c>
      <c r="M40" s="48">
        <v>1.9468881428239379E-3</v>
      </c>
      <c r="N40">
        <v>1.4573990412003893E-3</v>
      </c>
      <c r="O40" s="33">
        <f t="shared" si="54"/>
        <v>0.9965957128159757</v>
      </c>
      <c r="P40">
        <f t="shared" si="55"/>
        <v>0.9994509540176264</v>
      </c>
      <c r="Q40">
        <f t="shared" si="56"/>
        <v>0.4308058720863861</v>
      </c>
      <c r="R40">
        <f t="shared" si="57"/>
        <v>5.4719529910218272E-2</v>
      </c>
      <c r="S40">
        <f t="shared" si="58"/>
        <v>4.1838504510130427E-4</v>
      </c>
      <c r="T40">
        <f t="shared" si="59"/>
        <v>0.9065817210206506</v>
      </c>
      <c r="U40">
        <f t="shared" si="60"/>
        <v>0.39517633257860918</v>
      </c>
      <c r="V40">
        <f t="shared" si="61"/>
        <v>2.9146130587740967E-5</v>
      </c>
      <c r="W40">
        <f t="shared" si="62"/>
        <v>3.010015364022113</v>
      </c>
      <c r="X40">
        <f t="shared" si="63"/>
        <v>7.6887662901311353</v>
      </c>
      <c r="Y40">
        <f t="shared" si="64"/>
        <v>1.0000291465553404</v>
      </c>
      <c r="Z40">
        <f t="shared" si="65"/>
        <v>20.287711623696463</v>
      </c>
      <c r="AA40">
        <f t="shared" si="66"/>
        <v>2183.6788735445625</v>
      </c>
      <c r="AB40">
        <f>Y40/Y46</f>
        <v>1.9481562433594979E-3</v>
      </c>
      <c r="AC40">
        <f t="shared" si="51"/>
        <v>7.4966091973724192</v>
      </c>
      <c r="AD40">
        <f t="shared" si="52"/>
        <v>2183.0482487159456</v>
      </c>
      <c r="AH40">
        <v>3</v>
      </c>
      <c r="AI40">
        <v>0.99439879916335161</v>
      </c>
      <c r="AJ40">
        <v>5.1233691974359712E-3</v>
      </c>
      <c r="AK40">
        <v>4.7783163921246016E-4</v>
      </c>
      <c r="AL40">
        <v>1</v>
      </c>
      <c r="AM40">
        <v>3.0794737294752485E-3</v>
      </c>
      <c r="AN40">
        <v>3.7725088771859622E-2</v>
      </c>
      <c r="AO40">
        <v>0.95919543749866509</v>
      </c>
      <c r="AP40">
        <v>1</v>
      </c>
      <c r="AQ40">
        <v>7.9354994388385895</v>
      </c>
      <c r="AR40">
        <v>7.2992428097937045</v>
      </c>
      <c r="AS40">
        <v>3.0968196382238169E-3</v>
      </c>
      <c r="AT40">
        <v>7.3633359842073114</v>
      </c>
      <c r="AU40">
        <v>2007.3920577539955</v>
      </c>
    </row>
    <row r="41" spans="1:51" ht="15.75" thickBot="1" x14ac:dyDescent="0.3">
      <c r="I41" s="33">
        <f t="shared" si="53"/>
        <v>0.99952597112891417</v>
      </c>
      <c r="J41">
        <v>1.8267141919972515E-5</v>
      </c>
      <c r="K41">
        <v>4.5576172916578282E-4</v>
      </c>
      <c r="L41">
        <v>1</v>
      </c>
      <c r="M41" s="48">
        <v>1.912117074381034E-3</v>
      </c>
      <c r="N41">
        <v>1.37027595313527E-4</v>
      </c>
      <c r="O41" s="33">
        <f t="shared" si="54"/>
        <v>0.99795085533030548</v>
      </c>
      <c r="P41">
        <f t="shared" si="55"/>
        <v>0.99957111357347861</v>
      </c>
      <c r="Q41">
        <f t="shared" si="56"/>
        <v>0.43070518731265195</v>
      </c>
      <c r="R41">
        <f t="shared" si="57"/>
        <v>5.4693160935143648E-2</v>
      </c>
      <c r="S41">
        <f t="shared" si="58"/>
        <v>2.5732213349327453E-4</v>
      </c>
      <c r="T41">
        <f t="shared" si="59"/>
        <v>0.90674203162288836</v>
      </c>
      <c r="U41">
        <f t="shared" si="60"/>
        <v>0.39510453393928552</v>
      </c>
      <c r="V41">
        <f t="shared" si="61"/>
        <v>2.7593340654195531E-5</v>
      </c>
      <c r="W41">
        <f t="shared" si="62"/>
        <v>3.01184611109242</v>
      </c>
      <c r="X41">
        <f t="shared" si="63"/>
        <v>7.6917418260283572</v>
      </c>
      <c r="Y41">
        <f t="shared" si="64"/>
        <v>1.0000275937213539</v>
      </c>
      <c r="Z41">
        <f t="shared" si="65"/>
        <v>20.324887311572333</v>
      </c>
      <c r="AA41">
        <f t="shared" si="66"/>
        <v>2190.1861649592038</v>
      </c>
      <c r="AB41">
        <f>Y41/Y47</f>
        <v>1.9130239029421059E-3</v>
      </c>
      <c r="AC41">
        <f t="shared" si="51"/>
        <v>7.5013155267440528</v>
      </c>
      <c r="AD41">
        <f t="shared" si="52"/>
        <v>2189.63285301935</v>
      </c>
      <c r="AH41">
        <v>4</v>
      </c>
      <c r="AI41">
        <v>0.99878550116698417</v>
      </c>
      <c r="AJ41">
        <v>7.5557762158256646E-4</v>
      </c>
      <c r="AK41">
        <v>4.589212114332864E-4</v>
      </c>
      <c r="AL41">
        <v>1</v>
      </c>
      <c r="AM41">
        <v>2.0602343501885572E-3</v>
      </c>
      <c r="AN41">
        <v>5.6529246615080169E-3</v>
      </c>
      <c r="AO41">
        <v>0.99228684098830344</v>
      </c>
      <c r="AP41">
        <v>1</v>
      </c>
      <c r="AQ41">
        <v>7.899642762408182</v>
      </c>
      <c r="AR41">
        <v>7.0546106506007957</v>
      </c>
      <c r="AS41">
        <v>2.0627395449587253E-3</v>
      </c>
      <c r="AT41">
        <v>7.4815935517887597</v>
      </c>
      <c r="AU41">
        <v>2162.2161196019433</v>
      </c>
    </row>
    <row r="42" spans="1:51" ht="15.75" thickBot="1" x14ac:dyDescent="0.3">
      <c r="P42" s="42" t="s">
        <v>103</v>
      </c>
      <c r="Q42" s="43" t="s">
        <v>104</v>
      </c>
      <c r="R42" s="44" t="s">
        <v>105</v>
      </c>
      <c r="S42" s="42" t="s">
        <v>106</v>
      </c>
      <c r="T42" s="43" t="s">
        <v>107</v>
      </c>
      <c r="U42" s="44" t="s">
        <v>108</v>
      </c>
      <c r="V42" s="45" t="s">
        <v>51</v>
      </c>
      <c r="W42" s="46" t="s">
        <v>52</v>
      </c>
      <c r="X42" s="47" t="s">
        <v>53</v>
      </c>
      <c r="Y42" s="42" t="s">
        <v>109</v>
      </c>
      <c r="Z42" s="43" t="s">
        <v>110</v>
      </c>
      <c r="AA42" s="43" t="s">
        <v>111</v>
      </c>
      <c r="AB42" s="19" t="s">
        <v>54</v>
      </c>
      <c r="AC42" s="93" t="s">
        <v>55</v>
      </c>
      <c r="AD42" s="22" t="s">
        <v>56</v>
      </c>
      <c r="AH42">
        <v>5</v>
      </c>
      <c r="AI42">
        <v>0.99944526222837382</v>
      </c>
      <c r="AJ42">
        <v>9.8632124556983068E-5</v>
      </c>
      <c r="AK42">
        <v>4.5610564706923689E-4</v>
      </c>
      <c r="AL42">
        <v>1</v>
      </c>
      <c r="AM42">
        <v>1.92793393084047E-3</v>
      </c>
      <c r="AN42">
        <v>7.3965893450619272E-4</v>
      </c>
      <c r="AO42">
        <v>0.99733240713465332</v>
      </c>
      <c r="AP42">
        <v>1</v>
      </c>
      <c r="AQ42">
        <v>7.880888788237792</v>
      </c>
      <c r="AR42">
        <v>7.018753974170389</v>
      </c>
      <c r="AS42">
        <v>1.9290040222332216E-3</v>
      </c>
      <c r="AT42">
        <v>7.4991686311985211</v>
      </c>
      <c r="AU42">
        <v>2186.6258695614397</v>
      </c>
    </row>
    <row r="43" spans="1:51" x14ac:dyDescent="0.25">
      <c r="P43">
        <f>M37+$N$25*N37+$P$25*O37</f>
        <v>0.24474770619738737</v>
      </c>
      <c r="Q43">
        <f>$M$25*M37+N37+$R$25*O37</f>
        <v>0.94406405950465688</v>
      </c>
      <c r="R43">
        <f>$O$25*M37+$Q$25*N37+O37</f>
        <v>0.53983803719603818</v>
      </c>
      <c r="S43">
        <f>N37*$H$25*$N$25+O37*$J$25*$P$25</f>
        <v>0.71324178929907989</v>
      </c>
      <c r="T43">
        <f>M37*$G$25*$M$25+O37*$L$25*$R$25</f>
        <v>0.11735346513357289</v>
      </c>
      <c r="U43">
        <f>M37*$I$25*$O$25+N37*$K$25*$Q$25</f>
        <v>0.44254407812470653</v>
      </c>
      <c r="V43">
        <f>S43/P43-M37*S43/P43^2+N37*$M$25/Q43*($G$25-T43/Q43)+O37*$O$25/R43*($I$25-U43/R43)</f>
        <v>3.2427717407116283</v>
      </c>
      <c r="W43">
        <f>T43/Q43-N37*T43/Q43^2+(M37*$N$25/P43)*($H$25-S43/P43)+(O37*$Q$25/R43)*($K$25-U43/R43)</f>
        <v>0.56255343206844488</v>
      </c>
      <c r="X43">
        <f>U43/R43-O37*U43/R43^2+M37*$P$25/P43*($J$25-S43/P43)+N37*$R$25/Q43*($L$25-T43/Q43)</f>
        <v>0.25157297439516485</v>
      </c>
      <c r="Y43">
        <f>EXP(V43)</f>
        <v>25.604592776123415</v>
      </c>
      <c r="Z43">
        <f t="shared" ref="Z43:AA43" si="67">EXP(W43)</f>
        <v>1.7551484356662266</v>
      </c>
      <c r="AA43">
        <f t="shared" si="67"/>
        <v>1.2860467451230964</v>
      </c>
      <c r="AB43">
        <f>Y43/Y37</f>
        <v>24.050152884191125</v>
      </c>
      <c r="AC43">
        <f>Z43/Z37</f>
        <v>0.23360818854066578</v>
      </c>
      <c r="AD43">
        <f>AA43/AA37</f>
        <v>2.7416245865563688E-3</v>
      </c>
      <c r="AM43">
        <v>0</v>
      </c>
      <c r="AN43">
        <v>0</v>
      </c>
      <c r="AO43">
        <v>1</v>
      </c>
      <c r="AR43">
        <v>7</v>
      </c>
    </row>
    <row r="44" spans="1:51" x14ac:dyDescent="0.25">
      <c r="P44">
        <f>M38+$N$25*N38+$P$25*O38</f>
        <v>0.10711423561187983</v>
      </c>
      <c r="Q44">
        <f t="shared" ref="Q44:Q47" si="68">$M$25*M38+N38+$R$25*O38</f>
        <v>0.92201472979628973</v>
      </c>
      <c r="R44">
        <f t="shared" ref="R44:R47" si="69">$O$25*M38+$Q$25*N38+O38</f>
        <v>0.93848446878937308</v>
      </c>
      <c r="S44">
        <f t="shared" ref="S44:S47" si="70">N38*$H$25*$N$25+O38*$J$25*$P$25</f>
        <v>0.55316863143988193</v>
      </c>
      <c r="T44">
        <f t="shared" ref="T44:T47" si="71">M38*$G$25*$M$25+O38*$L$25*$R$25</f>
        <v>0.18473014219871597</v>
      </c>
      <c r="U44">
        <f t="shared" ref="U44:U47" si="72">M38*$I$25*$O$25+N38*$K$25*$Q$25</f>
        <v>5.9370473070735501E-2</v>
      </c>
      <c r="V44">
        <f t="shared" ref="V44:V47" si="73">S44/P44-M38*S44/P44^2+N38*$M$25/Q44*($G$25-T44/Q44)+O38*$O$25/R44*($I$25-U44/R44)</f>
        <v>5.3976574911031321</v>
      </c>
      <c r="W44">
        <f t="shared" ref="W44:W47" si="74">T44/Q44-N38*T44/Q44^2+(M38*$N$25/P44)*($H$25-S44/P44)+(O38*$Q$25/R44)*($K$25-U44/R44)</f>
        <v>0.93309815744960767</v>
      </c>
      <c r="X44">
        <f t="shared" ref="X44:X47" si="75">U44/R44-O38*U44/R44^2+M38*$P$25/P44*($J$25-S44/P44)+N38*$R$25/Q44*($L$25-T44/Q44)</f>
        <v>5.3557875256010331E-3</v>
      </c>
      <c r="Y44">
        <f t="shared" ref="Y44:Y47" si="76">EXP(V44)</f>
        <v>220.88837669737052</v>
      </c>
      <c r="Z44">
        <f t="shared" ref="Z44:Z47" si="77">EXP(W44)</f>
        <v>2.542373662523183</v>
      </c>
      <c r="AA44">
        <f t="shared" ref="AA44:AA47" si="78">EXP(X44)</f>
        <v>1.0053701553945762</v>
      </c>
      <c r="AB44">
        <f t="shared" ref="AB44:AD44" si="79">Y44/Y38</f>
        <v>220.75513264943049</v>
      </c>
      <c r="AC44">
        <f t="shared" si="79"/>
        <v>0.13830400905638726</v>
      </c>
      <c r="AD44">
        <f t="shared" si="79"/>
        <v>5.3997546975629066E-4</v>
      </c>
    </row>
    <row r="45" spans="1:51" x14ac:dyDescent="0.25">
      <c r="P45">
        <f t="shared" ref="P45:P47" si="80">M39+$N$25*N39+$P$25*O39</f>
        <v>9.1576558498310812E-2</v>
      </c>
      <c r="Q45">
        <f t="shared" si="68"/>
        <v>0.91838481716735754</v>
      </c>
      <c r="R45">
        <f t="shared" si="69"/>
        <v>0.98654777609272071</v>
      </c>
      <c r="S45">
        <f t="shared" si="70"/>
        <v>0.53223659745652074</v>
      </c>
      <c r="T45">
        <f t="shared" si="71"/>
        <v>0.19442063493081152</v>
      </c>
      <c r="U45">
        <f t="shared" si="72"/>
        <v>1.224870665744366E-2</v>
      </c>
      <c r="V45">
        <f t="shared" si="73"/>
        <v>6.0717984579447872</v>
      </c>
      <c r="W45">
        <f t="shared" si="74"/>
        <v>0.98409349291296833</v>
      </c>
      <c r="X45">
        <f t="shared" si="75"/>
        <v>7.4101205310329063E-4</v>
      </c>
      <c r="Y45">
        <f t="shared" si="76"/>
        <v>433.4595397457112</v>
      </c>
      <c r="Z45">
        <f t="shared" si="77"/>
        <v>2.6753855288904824</v>
      </c>
      <c r="AA45">
        <f t="shared" si="78"/>
        <v>1.000741286670362</v>
      </c>
      <c r="AB45">
        <f t="shared" ref="AB45:AD45" si="81">Y45/Y39</f>
        <v>433.4332673552384</v>
      </c>
      <c r="AC45">
        <f t="shared" si="81"/>
        <v>0.13420851247455826</v>
      </c>
      <c r="AD45">
        <f t="shared" si="81"/>
        <v>4.7153729180959489E-4</v>
      </c>
    </row>
    <row r="46" spans="1:51" x14ac:dyDescent="0.25">
      <c r="P46">
        <f t="shared" si="80"/>
        <v>8.8275672422727297E-2</v>
      </c>
      <c r="Q46">
        <f t="shared" si="68"/>
        <v>0.91752635250172743</v>
      </c>
      <c r="R46">
        <f t="shared" si="69"/>
        <v>0.99699270665078499</v>
      </c>
      <c r="S46">
        <f t="shared" si="70"/>
        <v>0.52757072300059493</v>
      </c>
      <c r="T46">
        <f t="shared" si="71"/>
        <v>0.19663884908557072</v>
      </c>
      <c r="U46">
        <f t="shared" si="72"/>
        <v>1.9421695455900789E-3</v>
      </c>
      <c r="V46">
        <f t="shared" si="73"/>
        <v>6.2409010160453988</v>
      </c>
      <c r="W46">
        <f t="shared" si="74"/>
        <v>0.99556455272805067</v>
      </c>
      <c r="X46">
        <f t="shared" si="75"/>
        <v>2.8883180255806815E-4</v>
      </c>
      <c r="Y46">
        <f t="shared" si="76"/>
        <v>513.32081292968587</v>
      </c>
      <c r="Z46">
        <f t="shared" si="77"/>
        <v>2.7062517318906472</v>
      </c>
      <c r="AA46">
        <f t="shared" si="78"/>
        <v>1.0002888735184794</v>
      </c>
      <c r="AB46">
        <f t="shared" ref="AB46:AD46" si="82">Y46/Y40</f>
        <v>513.3058518322689</v>
      </c>
      <c r="AC46">
        <f t="shared" si="82"/>
        <v>0.13339364153469579</v>
      </c>
      <c r="AD46">
        <f t="shared" si="82"/>
        <v>4.5807507946202898E-4</v>
      </c>
    </row>
    <row r="47" spans="1:51" x14ac:dyDescent="0.25">
      <c r="P47">
        <f t="shared" si="80"/>
        <v>8.7932845673342461E-2</v>
      </c>
      <c r="Q47">
        <f t="shared" si="68"/>
        <v>0.91743551798665168</v>
      </c>
      <c r="R47">
        <f t="shared" si="69"/>
        <v>0.99808199973134959</v>
      </c>
      <c r="S47">
        <f t="shared" si="70"/>
        <v>0.52708192820667776</v>
      </c>
      <c r="T47">
        <f t="shared" si="71"/>
        <v>0.19687229141856744</v>
      </c>
      <c r="U47">
        <f t="shared" si="72"/>
        <v>8.6606736561427181E-4</v>
      </c>
      <c r="V47">
        <f t="shared" si="73"/>
        <v>6.2590976869390227</v>
      </c>
      <c r="W47">
        <f t="shared" si="74"/>
        <v>0.99676770236568846</v>
      </c>
      <c r="X47">
        <f t="shared" si="75"/>
        <v>2.5266429527145506E-4</v>
      </c>
      <c r="Y47">
        <f t="shared" si="76"/>
        <v>522.74704575482656</v>
      </c>
      <c r="Z47">
        <f t="shared" si="77"/>
        <v>2.709509717210143</v>
      </c>
      <c r="AA47">
        <f t="shared" si="78"/>
        <v>1.0002526962175831</v>
      </c>
      <c r="AB47">
        <f t="shared" ref="AB47:AD47" si="83">Y47/Y41</f>
        <v>522.73262161652315</v>
      </c>
      <c r="AC47">
        <f t="shared" si="83"/>
        <v>0.13330995029268555</v>
      </c>
      <c r="AD47">
        <f t="shared" si="83"/>
        <v>4.566975685540478E-4</v>
      </c>
    </row>
    <row r="48" spans="1:51" ht="15.75" thickBot="1" x14ac:dyDescent="0.3">
      <c r="AO48" t="s">
        <v>18</v>
      </c>
      <c r="AP48">
        <v>10</v>
      </c>
      <c r="AQ48">
        <v>0</v>
      </c>
      <c r="AR48">
        <v>0</v>
      </c>
      <c r="AS48">
        <v>1</v>
      </c>
    </row>
    <row r="49" spans="8:47" ht="15.75" thickBot="1" x14ac:dyDescent="0.3">
      <c r="H49" s="50" t="s">
        <v>61</v>
      </c>
      <c r="I49" s="38" t="s">
        <v>39</v>
      </c>
      <c r="J49" s="39" t="s">
        <v>40</v>
      </c>
      <c r="K49" s="40" t="s">
        <v>41</v>
      </c>
      <c r="L49" s="41"/>
      <c r="M49" s="38" t="s">
        <v>42</v>
      </c>
      <c r="N49" s="39" t="s">
        <v>43</v>
      </c>
      <c r="O49" s="40" t="s">
        <v>44</v>
      </c>
      <c r="P49" s="50" t="s">
        <v>61</v>
      </c>
    </row>
    <row r="50" spans="8:47" x14ac:dyDescent="0.25">
      <c r="H50" s="51">
        <f>SUM(I50:K50)</f>
        <v>1.0000000290227311</v>
      </c>
      <c r="I50" s="33">
        <f t="shared" ref="I50:K53" si="84">M37*AB43</f>
        <v>0.87450001100074459</v>
      </c>
      <c r="J50" s="33">
        <f t="shared" si="84"/>
        <v>0.12431706757292503</v>
      </c>
      <c r="K50" s="33">
        <f t="shared" si="84"/>
        <v>1.1829504490614188E-3</v>
      </c>
      <c r="L50" s="33"/>
      <c r="M50" s="33">
        <f t="shared" ref="M50:O54" si="85">I37*AB37</f>
        <v>3.6361514469676434E-2</v>
      </c>
      <c r="N50" s="33">
        <f t="shared" si="85"/>
        <v>0.53216057294631336</v>
      </c>
      <c r="O50" s="33">
        <f t="shared" si="85"/>
        <v>0.43147790934018215</v>
      </c>
      <c r="P50" s="51">
        <f>SUM(M50:O50)</f>
        <v>0.9999999967561719</v>
      </c>
      <c r="AQ50" t="s">
        <v>74</v>
      </c>
      <c r="AR50" t="s">
        <v>75</v>
      </c>
    </row>
    <row r="51" spans="8:47" x14ac:dyDescent="0.25">
      <c r="H51" s="51">
        <f>SUM(I51:K51)</f>
        <v>1.0000000007331016</v>
      </c>
      <c r="I51" s="33">
        <f t="shared" si="84"/>
        <v>0.98960027636258074</v>
      </c>
      <c r="J51" s="33">
        <f t="shared" si="84"/>
        <v>9.9008249427573383E-3</v>
      </c>
      <c r="K51" s="33">
        <f t="shared" si="84"/>
        <v>4.9889942776352872E-4</v>
      </c>
      <c r="L51" s="33"/>
      <c r="M51" s="33">
        <f t="shared" si="85"/>
        <v>4.4827962265387615E-3</v>
      </c>
      <c r="N51" s="33">
        <f t="shared" si="85"/>
        <v>7.1587403791563628E-2</v>
      </c>
      <c r="O51" s="33">
        <f t="shared" si="85"/>
        <v>0.92392979996401559</v>
      </c>
      <c r="P51" s="51">
        <f>SUM(M51:O51)</f>
        <v>0.99999999998211797</v>
      </c>
      <c r="AH51" t="s">
        <v>6</v>
      </c>
      <c r="AI51" t="s">
        <v>68</v>
      </c>
      <c r="AJ51" t="s">
        <v>69</v>
      </c>
      <c r="AK51" t="s">
        <v>70</v>
      </c>
      <c r="AL51" t="s">
        <v>76</v>
      </c>
      <c r="AM51" t="s">
        <v>71</v>
      </c>
      <c r="AN51" t="s">
        <v>72</v>
      </c>
      <c r="AO51" t="s">
        <v>73</v>
      </c>
      <c r="AP51" t="s">
        <v>77</v>
      </c>
      <c r="AQ51">
        <v>25</v>
      </c>
      <c r="AS51" t="s">
        <v>62</v>
      </c>
      <c r="AT51" t="s">
        <v>63</v>
      </c>
      <c r="AU51" t="s">
        <v>64</v>
      </c>
    </row>
    <row r="52" spans="8:47" x14ac:dyDescent="0.25">
      <c r="H52" s="51">
        <f>SUM(I52:K52)</f>
        <v>0.99999999999999989</v>
      </c>
      <c r="I52" s="33">
        <f t="shared" si="84"/>
        <v>0.99764482669396137</v>
      </c>
      <c r="J52" s="33">
        <f t="shared" si="84"/>
        <v>1.8913666198813073E-3</v>
      </c>
      <c r="K52" s="33">
        <f t="shared" si="84"/>
        <v>4.6380668615719496E-4</v>
      </c>
      <c r="L52" s="33"/>
      <c r="M52" s="33">
        <f t="shared" si="85"/>
        <v>2.3017264751768575E-3</v>
      </c>
      <c r="N52" s="33">
        <f t="shared" si="85"/>
        <v>1.4092747062075153E-2</v>
      </c>
      <c r="O52" s="33">
        <f t="shared" si="85"/>
        <v>0.9836055264627479</v>
      </c>
      <c r="P52" s="51">
        <f>SUM(M52:O52)</f>
        <v>0.99999999999999989</v>
      </c>
      <c r="AH52">
        <v>1</v>
      </c>
      <c r="AI52">
        <v>0.84204542672865368</v>
      </c>
      <c r="AJ52">
        <v>0.15649632203148184</v>
      </c>
      <c r="AK52">
        <v>1.4582512398644391E-3</v>
      </c>
      <c r="AL52">
        <v>0.99999999999999989</v>
      </c>
      <c r="AM52">
        <v>3.6027713562243158E-2</v>
      </c>
      <c r="AN52">
        <v>0.59682565852191027</v>
      </c>
      <c r="AO52">
        <v>0.36714662791584662</v>
      </c>
      <c r="AP52">
        <v>1</v>
      </c>
      <c r="AQ52">
        <v>9.3308044168879807</v>
      </c>
      <c r="AR52">
        <v>27.227251096192802</v>
      </c>
      <c r="AS52">
        <v>4.2785950043349584E-2</v>
      </c>
      <c r="AT52">
        <v>3.8136721091876451</v>
      </c>
      <c r="AU52">
        <v>251.77186062257491</v>
      </c>
    </row>
    <row r="53" spans="8:47" x14ac:dyDescent="0.25">
      <c r="H53" s="51">
        <f>SUM(I53:K53)</f>
        <v>1</v>
      </c>
      <c r="I53" s="33">
        <f t="shared" si="84"/>
        <v>0.99934907657438543</v>
      </c>
      <c r="J53" s="33">
        <f t="shared" si="84"/>
        <v>1.9440776527489408E-4</v>
      </c>
      <c r="K53" s="33">
        <f t="shared" si="84"/>
        <v>4.5651566033969547E-4</v>
      </c>
      <c r="L53" s="33"/>
      <c r="M53" s="33">
        <f t="shared" si="85"/>
        <v>1.9468881428239379E-3</v>
      </c>
      <c r="N53" s="33">
        <f t="shared" si="85"/>
        <v>1.4573990412003893E-3</v>
      </c>
      <c r="O53" s="33">
        <f t="shared" si="85"/>
        <v>0.9965957128159757</v>
      </c>
      <c r="P53" s="51">
        <f>SUM(M53:O53)</f>
        <v>1</v>
      </c>
      <c r="AH53">
        <v>2</v>
      </c>
      <c r="AI53">
        <v>0.9814004329924565</v>
      </c>
      <c r="AJ53">
        <v>1.8063711535249834E-2</v>
      </c>
      <c r="AK53">
        <v>5.358554722936738E-4</v>
      </c>
      <c r="AL53">
        <v>1</v>
      </c>
      <c r="AM53">
        <v>7.6048077828900062E-3</v>
      </c>
      <c r="AN53">
        <v>0.12632714054874034</v>
      </c>
      <c r="AO53">
        <v>0.86606805166836964</v>
      </c>
      <c r="AP53">
        <v>1</v>
      </c>
      <c r="AQ53">
        <v>7.9401503316120108</v>
      </c>
      <c r="AR53">
        <v>11.558055513080784</v>
      </c>
      <c r="AS53">
        <v>7.7489346114324167E-3</v>
      </c>
      <c r="AT53">
        <v>6.9934210531552949</v>
      </c>
      <c r="AU53">
        <v>1616.2344073137019</v>
      </c>
    </row>
    <row r="54" spans="8:47" x14ac:dyDescent="0.25">
      <c r="H54" s="51">
        <f>SUM(I54:K54)</f>
        <v>1</v>
      </c>
      <c r="I54" s="33">
        <f>M41*AB47</f>
        <v>0.99952597112891428</v>
      </c>
      <c r="J54" s="33">
        <f t="shared" ref="J54:K54" si="86">N41*AC47</f>
        <v>1.8267141919972518E-5</v>
      </c>
      <c r="K54" s="33">
        <f t="shared" si="86"/>
        <v>4.5576172916578282E-4</v>
      </c>
      <c r="L54" s="33"/>
      <c r="M54" s="33">
        <f t="shared" si="85"/>
        <v>1.912117074381034E-3</v>
      </c>
      <c r="N54" s="33">
        <f t="shared" si="85"/>
        <v>1.37027595313527E-4</v>
      </c>
      <c r="O54" s="33">
        <f t="shared" si="85"/>
        <v>0.99795085533030536</v>
      </c>
      <c r="P54" s="51">
        <f>SUM(M54:O54)</f>
        <v>0.99999999999999989</v>
      </c>
      <c r="AH54">
        <v>3</v>
      </c>
      <c r="AI54">
        <v>0.99764482669396148</v>
      </c>
      <c r="AJ54">
        <v>1.8913666198813075E-3</v>
      </c>
      <c r="AK54">
        <v>4.6380668615719496E-4</v>
      </c>
      <c r="AL54">
        <v>1</v>
      </c>
      <c r="AM54">
        <v>2.3017264751769026E-3</v>
      </c>
      <c r="AN54">
        <v>1.4092747062075174E-2</v>
      </c>
      <c r="AO54">
        <v>0.9836055264627479</v>
      </c>
      <c r="AP54">
        <v>1</v>
      </c>
      <c r="AQ54">
        <v>7.8069867418633141</v>
      </c>
      <c r="AR54">
        <v>10.167401427804814</v>
      </c>
      <c r="AS54">
        <v>2.3071602373807352E-3</v>
      </c>
      <c r="AT54">
        <v>7.4510921964772558</v>
      </c>
      <c r="AU54">
        <v>2120.7230422059524</v>
      </c>
    </row>
    <row r="55" spans="8:47" x14ac:dyDescent="0.25">
      <c r="AH55">
        <v>4</v>
      </c>
      <c r="AI55">
        <v>0.99934907657438543</v>
      </c>
      <c r="AJ55">
        <v>1.9440776527489408E-4</v>
      </c>
      <c r="AK55">
        <v>4.5651566033969547E-4</v>
      </c>
      <c r="AL55">
        <v>1</v>
      </c>
      <c r="AM55">
        <v>1.9468881428239384E-3</v>
      </c>
      <c r="AN55">
        <v>1.4573990412003893E-3</v>
      </c>
      <c r="AO55">
        <v>0.9965957128159757</v>
      </c>
      <c r="AP55">
        <v>1</v>
      </c>
      <c r="AQ55">
        <v>7.7932976988998615</v>
      </c>
      <c r="AR55">
        <v>10.034237838056116</v>
      </c>
      <c r="AS55">
        <v>1.9481562433594983E-3</v>
      </c>
      <c r="AT55">
        <v>7.4966091973724183</v>
      </c>
      <c r="AU55">
        <v>2183.0482487159456</v>
      </c>
    </row>
    <row r="56" spans="8:47" x14ac:dyDescent="0.25">
      <c r="H56" s="51"/>
      <c r="I56" s="33"/>
      <c r="J56" s="58"/>
      <c r="K56" s="33"/>
      <c r="L56" s="33"/>
      <c r="M56" s="33"/>
      <c r="N56" s="33"/>
      <c r="O56" s="33"/>
      <c r="P56" s="51"/>
      <c r="AH56">
        <v>5</v>
      </c>
      <c r="AI56">
        <v>0.99952597112891417</v>
      </c>
      <c r="AJ56">
        <v>1.8267141919972515E-5</v>
      </c>
      <c r="AK56">
        <v>4.5576172916578282E-4</v>
      </c>
      <c r="AL56">
        <v>1</v>
      </c>
      <c r="AM56">
        <v>1.912117074381034E-3</v>
      </c>
      <c r="AN56">
        <v>1.37027595313527E-4</v>
      </c>
      <c r="AO56">
        <v>0.99795085533030548</v>
      </c>
      <c r="AP56">
        <v>1</v>
      </c>
      <c r="AQ56">
        <v>7.7727489038071997</v>
      </c>
      <c r="AR56">
        <v>10.020548795092663</v>
      </c>
      <c r="AS56">
        <v>1.9130239029421059E-3</v>
      </c>
      <c r="AT56">
        <v>7.5013155267440537</v>
      </c>
      <c r="AU56">
        <v>2189.6328530193505</v>
      </c>
    </row>
    <row r="57" spans="8:47" x14ac:dyDescent="0.25">
      <c r="AM57">
        <v>0</v>
      </c>
      <c r="AN57">
        <v>0</v>
      </c>
      <c r="AO57">
        <v>1</v>
      </c>
      <c r="AR57">
        <v>10</v>
      </c>
    </row>
  </sheetData>
  <mergeCells count="18">
    <mergeCell ref="L14:M14"/>
    <mergeCell ref="P1:R1"/>
    <mergeCell ref="B7:C7"/>
    <mergeCell ref="D7:E7"/>
    <mergeCell ref="F7:G7"/>
    <mergeCell ref="H7:I7"/>
    <mergeCell ref="J7:K7"/>
    <mergeCell ref="L7:M7"/>
    <mergeCell ref="B14:C14"/>
    <mergeCell ref="D14:E14"/>
    <mergeCell ref="F14:G14"/>
    <mergeCell ref="H14:I14"/>
    <mergeCell ref="J14:K14"/>
    <mergeCell ref="A30:E30"/>
    <mergeCell ref="A35:A36"/>
    <mergeCell ref="D35:D36"/>
    <mergeCell ref="E35:E36"/>
    <mergeCell ref="B36:C3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RTL_5">
                <anchor moveWithCells="1" sizeWithCells="1">
                  <from>
                    <xdr:col>5</xdr:col>
                    <xdr:colOff>0</xdr:colOff>
                    <xdr:row>35</xdr:row>
                    <xdr:rowOff>152400</xdr:rowOff>
                  </from>
                  <to>
                    <xdr:col>6</xdr:col>
                    <xdr:colOff>561975</xdr:colOff>
                    <xdr:row>36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2"/>
  <dimension ref="A1:AY56"/>
  <sheetViews>
    <sheetView tabSelected="1" topLeftCell="H18" zoomScale="85" zoomScaleNormal="85" workbookViewId="0">
      <selection activeCell="T32" sqref="T32"/>
    </sheetView>
  </sheetViews>
  <sheetFormatPr defaultRowHeight="15" x14ac:dyDescent="0.25"/>
  <cols>
    <col min="2" max="2" width="13.85546875" bestFit="1" customWidth="1"/>
    <col min="3" max="3" width="14" bestFit="1" customWidth="1"/>
    <col min="25" max="25" width="13.42578125" bestFit="1" customWidth="1"/>
    <col min="31" max="31" width="10" bestFit="1" customWidth="1"/>
    <col min="36" max="36" width="11" bestFit="1" customWidth="1"/>
    <col min="37" max="37" width="12.85546875" bestFit="1" customWidth="1"/>
    <col min="44" max="44" width="11" bestFit="1" customWidth="1"/>
  </cols>
  <sheetData>
    <row r="1" spans="1:51" ht="15.75" thickBot="1" x14ac:dyDescent="0.3">
      <c r="P1" s="144" t="s">
        <v>26</v>
      </c>
      <c r="Q1" s="145"/>
      <c r="R1" s="146"/>
      <c r="S1" s="10" t="s">
        <v>128</v>
      </c>
      <c r="V1" t="s">
        <v>31</v>
      </c>
      <c r="Z1">
        <v>1</v>
      </c>
      <c r="AA1">
        <v>2</v>
      </c>
      <c r="AB1">
        <v>3</v>
      </c>
      <c r="AC1">
        <v>4</v>
      </c>
      <c r="AD1">
        <v>5</v>
      </c>
      <c r="AE1" s="18" t="s">
        <v>23</v>
      </c>
      <c r="AG1" s="17" t="s">
        <v>27</v>
      </c>
      <c r="AN1" s="17" t="s">
        <v>28</v>
      </c>
    </row>
    <row r="2" spans="1:51" ht="15.75" thickBot="1" x14ac:dyDescent="0.3">
      <c r="A2" t="s">
        <v>0</v>
      </c>
      <c r="B2" t="s">
        <v>3</v>
      </c>
      <c r="D2" s="23"/>
      <c r="E2" s="23"/>
      <c r="F2" s="23"/>
      <c r="G2" s="23"/>
      <c r="H2" s="23"/>
      <c r="I2" s="23"/>
      <c r="J2" s="23"/>
      <c r="K2" s="23"/>
      <c r="L2" s="23"/>
      <c r="P2" s="16" t="s">
        <v>0</v>
      </c>
      <c r="Q2" s="14" t="s">
        <v>1</v>
      </c>
      <c r="R2" s="15" t="s">
        <v>2</v>
      </c>
      <c r="S2" s="13" t="s">
        <v>32</v>
      </c>
      <c r="U2" s="16" t="s">
        <v>62</v>
      </c>
      <c r="V2" s="14" t="s">
        <v>63</v>
      </c>
      <c r="W2" s="15" t="s">
        <v>64</v>
      </c>
      <c r="Y2" s="17" t="s">
        <v>19</v>
      </c>
      <c r="Z2" s="1">
        <f>S$9*$U$4+S$4</f>
        <v>11.324869468869059</v>
      </c>
      <c r="AA2" s="2">
        <f>-$S$10*$U$5</f>
        <v>-0.18166517704228063</v>
      </c>
      <c r="AB2" s="2">
        <v>0</v>
      </c>
      <c r="AC2" s="2">
        <v>0</v>
      </c>
      <c r="AD2" s="2">
        <v>0</v>
      </c>
      <c r="AE2" s="11">
        <f>$S$3*$P$3</f>
        <v>8.75</v>
      </c>
      <c r="AH2" s="1">
        <f t="array" ref="AH2:AL6">MINVERSE(Z2:AD6)</f>
        <v>9.0060434019884755E-2</v>
      </c>
      <c r="AI2" s="2">
        <v>1.9438633760866172E-3</v>
      </c>
      <c r="AJ2" s="2">
        <v>5.6614408243905995E-6</v>
      </c>
      <c r="AK2" s="2">
        <v>9.5408867210483828E-9</v>
      </c>
      <c r="AL2" s="3">
        <v>1.4492555084298777E-11</v>
      </c>
      <c r="AN2" s="53">
        <f t="array" ref="AN2:AN6">MMULT(AH2:AL6,AE2:AE6)</f>
        <v>0.78802879767399159</v>
      </c>
    </row>
    <row r="3" spans="1:51" ht="26.25" customHeight="1" x14ac:dyDescent="0.25">
      <c r="A3" t="s">
        <v>1</v>
      </c>
      <c r="B3" t="s">
        <v>4</v>
      </c>
      <c r="D3" s="23"/>
      <c r="E3" s="23"/>
      <c r="F3" s="23"/>
      <c r="G3" s="23"/>
      <c r="H3" s="23"/>
      <c r="I3" s="23"/>
      <c r="J3" s="23"/>
      <c r="K3" s="23"/>
      <c r="L3" s="23"/>
      <c r="O3" s="11" t="s">
        <v>7</v>
      </c>
      <c r="P3" s="59">
        <f>AQ24</f>
        <v>0.35</v>
      </c>
      <c r="Q3" s="59">
        <f t="shared" ref="Q3:R3" si="0">AR24</f>
        <v>0.65</v>
      </c>
      <c r="R3" s="59">
        <f t="shared" si="0"/>
        <v>0</v>
      </c>
      <c r="S3" s="90">
        <f>AP24</f>
        <v>25</v>
      </c>
      <c r="U3" s="85" t="s">
        <v>65</v>
      </c>
      <c r="V3" s="86" t="s">
        <v>65</v>
      </c>
      <c r="W3" s="87" t="s">
        <v>65</v>
      </c>
      <c r="Z3" s="66">
        <f>-$S$4</f>
        <v>-10.249001977184916</v>
      </c>
      <c r="AA3" s="5">
        <f>$S$10*$U$5+$S$5</f>
        <v>8.4407181245869189</v>
      </c>
      <c r="AB3" s="5">
        <f>-$S$11*$U$6</f>
        <v>-2.3251448539680405E-2</v>
      </c>
      <c r="AC3" s="5">
        <v>0</v>
      </c>
      <c r="AD3" s="5">
        <v>0</v>
      </c>
      <c r="AE3" s="12">
        <v>0</v>
      </c>
      <c r="AH3" s="4">
        <v>0.10966691530679155</v>
      </c>
      <c r="AI3" s="5">
        <v>0.12117896978336438</v>
      </c>
      <c r="AJ3" s="5">
        <v>3.5292993068797036E-4</v>
      </c>
      <c r="AK3" s="5">
        <v>5.9477164799719279E-7</v>
      </c>
      <c r="AL3" s="6">
        <v>9.0345490133136325E-10</v>
      </c>
      <c r="AN3" s="54">
        <v>0.95958550893442607</v>
      </c>
      <c r="AV3" s="25"/>
      <c r="AW3" s="25"/>
      <c r="AX3" s="25"/>
      <c r="AY3" s="25"/>
    </row>
    <row r="4" spans="1:51" x14ac:dyDescent="0.25">
      <c r="A4" t="s">
        <v>2</v>
      </c>
      <c r="B4" t="s">
        <v>5</v>
      </c>
      <c r="D4" s="23"/>
      <c r="E4" s="23"/>
      <c r="F4" s="23"/>
      <c r="G4" s="23"/>
      <c r="H4" s="23"/>
      <c r="I4" s="23"/>
      <c r="J4" s="23"/>
      <c r="K4" s="23"/>
      <c r="L4" s="23"/>
      <c r="O4" s="12" t="s">
        <v>8</v>
      </c>
      <c r="P4" s="61">
        <f>AI29</f>
        <v>0.78802879767399159</v>
      </c>
      <c r="Q4" s="62">
        <f t="shared" ref="Q4:R8" si="1">AJ29</f>
        <v>0.20996751270862013</v>
      </c>
      <c r="R4" s="62">
        <f t="shared" si="1"/>
        <v>2.0036896173882511E-3</v>
      </c>
      <c r="S4" s="88">
        <f>AQ29</f>
        <v>10.249001977184916</v>
      </c>
      <c r="U4" s="66">
        <f>AS29</f>
        <v>4.6238810270444186E-2</v>
      </c>
      <c r="V4" s="66">
        <f t="shared" ref="V4:W8" si="2">AT29</f>
        <v>3.3195534742215083</v>
      </c>
      <c r="W4" s="66">
        <f t="shared" si="2"/>
        <v>133.03662270737101</v>
      </c>
      <c r="Z4" s="4">
        <v>0</v>
      </c>
      <c r="AA4" s="68">
        <f>-$S$5</f>
        <v>-8.2590529475446388</v>
      </c>
      <c r="AB4" s="5">
        <f>$S$11*$U$6+$S$6</f>
        <v>7.9968537865599654</v>
      </c>
      <c r="AC4" s="5">
        <f>-$S$12*$U$7</f>
        <v>-1.3360764291528212E-2</v>
      </c>
      <c r="AD4" s="5">
        <v>0</v>
      </c>
      <c r="AE4" s="12">
        <v>0</v>
      </c>
      <c r="AH4" s="4">
        <v>0.1134532911849299</v>
      </c>
      <c r="AI4" s="5">
        <v>0.12536281252975529</v>
      </c>
      <c r="AJ4" s="5">
        <v>0.12562477298906433</v>
      </c>
      <c r="AK4" s="5">
        <v>2.1170789656272637E-4</v>
      </c>
      <c r="AL4" s="6">
        <v>3.2158314446261421E-7</v>
      </c>
      <c r="AN4" s="54">
        <v>0.99271629786813664</v>
      </c>
      <c r="AV4" s="25"/>
      <c r="AW4" s="25"/>
      <c r="AX4" s="25"/>
      <c r="AY4" s="25"/>
    </row>
    <row r="5" spans="1:51" x14ac:dyDescent="0.25">
      <c r="O5" s="12" t="s">
        <v>9</v>
      </c>
      <c r="P5" s="61">
        <f t="shared" ref="P5:P8" si="3">AI30</f>
        <v>0.95958550893442629</v>
      </c>
      <c r="Q5" s="62">
        <f t="shared" si="1"/>
        <v>3.9773762483705156E-2</v>
      </c>
      <c r="R5" s="62">
        <f t="shared" si="1"/>
        <v>6.4072858186861982E-4</v>
      </c>
      <c r="S5" s="88">
        <f t="shared" ref="S5:S8" si="4">AQ30</f>
        <v>8.2590529475446388</v>
      </c>
      <c r="U5" s="66">
        <f t="shared" ref="U5:U8" si="5">AS30</f>
        <v>2.133063806786992E-2</v>
      </c>
      <c r="V5" s="66">
        <f t="shared" si="2"/>
        <v>6.311365153569322</v>
      </c>
      <c r="W5" s="66">
        <f t="shared" si="2"/>
        <v>1136.9942138731153</v>
      </c>
      <c r="Z5" s="4">
        <v>0</v>
      </c>
      <c r="AA5" s="5">
        <v>0</v>
      </c>
      <c r="AB5" s="68">
        <f>-$S$6</f>
        <v>-7.9736023380202852</v>
      </c>
      <c r="AC5" s="5">
        <f>$S$12*$U$7+$S$7</f>
        <v>7.9401483347976214</v>
      </c>
      <c r="AD5" s="5">
        <f>-$S$13*$U$8</f>
        <v>-1.2029091879382264E-2</v>
      </c>
      <c r="AE5" s="12">
        <v>0</v>
      </c>
      <c r="AH5" s="4">
        <v>0.11410433295186637</v>
      </c>
      <c r="AI5" s="5">
        <v>0.12608219604102303</v>
      </c>
      <c r="AJ5" s="5">
        <v>0.1263456597374662</v>
      </c>
      <c r="AK5" s="5">
        <v>0.12634642801161883</v>
      </c>
      <c r="AL5" s="6">
        <v>1.919195375858703E-4</v>
      </c>
      <c r="AN5" s="54">
        <v>0.99841291332883075</v>
      </c>
      <c r="AV5" s="33"/>
      <c r="AW5" s="33"/>
      <c r="AX5" s="33"/>
      <c r="AY5" s="33"/>
    </row>
    <row r="6" spans="1:51" ht="15.75" thickBot="1" x14ac:dyDescent="0.3">
      <c r="O6" s="12" t="s">
        <v>10</v>
      </c>
      <c r="P6" s="61">
        <f t="shared" si="3"/>
        <v>0.99271629786813675</v>
      </c>
      <c r="Q6" s="62">
        <f t="shared" si="1"/>
        <v>6.7985293422953182E-3</v>
      </c>
      <c r="R6" s="62">
        <f t="shared" si="1"/>
        <v>4.8517278956799965E-4</v>
      </c>
      <c r="S6" s="88">
        <f t="shared" si="4"/>
        <v>7.9736023380202852</v>
      </c>
      <c r="U6" s="66">
        <f t="shared" si="5"/>
        <v>3.5625219736564731E-3</v>
      </c>
      <c r="V6" s="66">
        <f t="shared" si="2"/>
        <v>7.3172027961001289</v>
      </c>
      <c r="W6" s="66">
        <f t="shared" si="2"/>
        <v>1951.2990604963393</v>
      </c>
      <c r="Z6" s="7">
        <v>0</v>
      </c>
      <c r="AA6" s="8">
        <v>0</v>
      </c>
      <c r="AB6" s="8">
        <v>0</v>
      </c>
      <c r="AC6" s="67">
        <f>-$S$7</f>
        <v>-7.9267875705060931</v>
      </c>
      <c r="AD6" s="8">
        <f>$S$13*$U$8+$S$8</f>
        <v>7.919114490902226</v>
      </c>
      <c r="AE6" s="13">
        <f>$S$14*$P$14</f>
        <v>0</v>
      </c>
      <c r="AH6" s="7">
        <v>0.11421489223610094</v>
      </c>
      <c r="AI6" s="8">
        <v>0.1262043610542912</v>
      </c>
      <c r="AJ6" s="8">
        <v>0.12646808002901297</v>
      </c>
      <c r="AK6" s="8">
        <v>0.12646884904757066</v>
      </c>
      <c r="AL6" s="9">
        <v>0.12646885034376734</v>
      </c>
      <c r="AN6" s="54">
        <v>0.99938030706588321</v>
      </c>
      <c r="AO6" s="5"/>
      <c r="AP6" s="5"/>
      <c r="AQ6" s="5"/>
      <c r="AR6" s="5"/>
      <c r="AS6" s="5"/>
      <c r="AV6" s="33"/>
      <c r="AW6" s="33"/>
      <c r="AX6" s="33"/>
      <c r="AY6" s="33"/>
    </row>
    <row r="7" spans="1:51" ht="15.75" thickBot="1" x14ac:dyDescent="0.3">
      <c r="B7" s="142" t="s">
        <v>7</v>
      </c>
      <c r="C7" s="143"/>
      <c r="D7" s="147" t="s">
        <v>8</v>
      </c>
      <c r="E7" s="148"/>
      <c r="F7" s="147" t="s">
        <v>9</v>
      </c>
      <c r="G7" s="148"/>
      <c r="H7" s="147" t="s">
        <v>10</v>
      </c>
      <c r="I7" s="148"/>
      <c r="J7" s="147" t="s">
        <v>11</v>
      </c>
      <c r="K7" s="148"/>
      <c r="L7" s="142" t="s">
        <v>12</v>
      </c>
      <c r="M7" s="143"/>
      <c r="O7" s="12" t="s">
        <v>11</v>
      </c>
      <c r="P7" s="61">
        <f t="shared" si="3"/>
        <v>0.99841291332883075</v>
      </c>
      <c r="Q7" s="62">
        <f t="shared" si="1"/>
        <v>1.1265721288840794E-3</v>
      </c>
      <c r="R7" s="62">
        <f t="shared" si="1"/>
        <v>4.6051454228513843E-4</v>
      </c>
      <c r="S7" s="88">
        <f t="shared" si="4"/>
        <v>7.9267875705060931</v>
      </c>
      <c r="U7" s="66">
        <f t="shared" si="5"/>
        <v>2.1407256285513442E-3</v>
      </c>
      <c r="V7" s="66">
        <f t="shared" si="2"/>
        <v>7.4716474601741751</v>
      </c>
      <c r="W7" s="66">
        <f t="shared" si="2"/>
        <v>2148.5647710348358</v>
      </c>
      <c r="AU7" s="33"/>
      <c r="AV7" s="33"/>
      <c r="AW7" s="33"/>
      <c r="AX7" s="33"/>
      <c r="AY7" s="33"/>
    </row>
    <row r="8" spans="1:51" ht="15.75" thickBot="1" x14ac:dyDescent="0.3">
      <c r="A8" s="19" t="s">
        <v>6</v>
      </c>
      <c r="B8" s="19" t="s">
        <v>25</v>
      </c>
      <c r="C8" s="22" t="s">
        <v>26</v>
      </c>
      <c r="D8" s="19" t="s">
        <v>25</v>
      </c>
      <c r="E8" s="22" t="s">
        <v>26</v>
      </c>
      <c r="F8" s="19" t="s">
        <v>25</v>
      </c>
      <c r="G8" s="22" t="s">
        <v>26</v>
      </c>
      <c r="H8" s="19" t="s">
        <v>25</v>
      </c>
      <c r="I8" s="22" t="s">
        <v>26</v>
      </c>
      <c r="J8" s="19" t="s">
        <v>25</v>
      </c>
      <c r="K8" s="22" t="s">
        <v>26</v>
      </c>
      <c r="L8" s="19" t="s">
        <v>25</v>
      </c>
      <c r="M8" s="22" t="s">
        <v>26</v>
      </c>
      <c r="O8" s="12" t="s">
        <v>12</v>
      </c>
      <c r="P8" s="63">
        <f t="shared" si="3"/>
        <v>0.99938030706588332</v>
      </c>
      <c r="Q8" s="64">
        <f t="shared" si="1"/>
        <v>1.6331041822484647E-4</v>
      </c>
      <c r="R8" s="64">
        <f t="shared" si="1"/>
        <v>4.5638251589187986E-4</v>
      </c>
      <c r="S8" s="88">
        <f t="shared" si="4"/>
        <v>7.9070853990228436</v>
      </c>
      <c r="U8" s="66">
        <f t="shared" si="5"/>
        <v>1.941924855757206E-3</v>
      </c>
      <c r="V8" s="66">
        <f t="shared" si="2"/>
        <v>7.4974403212313687</v>
      </c>
      <c r="W8" s="66">
        <f t="shared" si="2"/>
        <v>2184.2091528831384</v>
      </c>
      <c r="Z8">
        <v>1</v>
      </c>
      <c r="AA8">
        <v>2</v>
      </c>
      <c r="AB8">
        <v>3</v>
      </c>
      <c r="AC8">
        <v>4</v>
      </c>
      <c r="AD8">
        <v>5</v>
      </c>
      <c r="AE8" s="17" t="s">
        <v>22</v>
      </c>
      <c r="AG8" s="17" t="s">
        <v>27</v>
      </c>
      <c r="AN8" s="17" t="s">
        <v>29</v>
      </c>
    </row>
    <row r="9" spans="1:51" ht="32.25" customHeight="1" thickBot="1" x14ac:dyDescent="0.3">
      <c r="A9" s="20" t="s">
        <v>0</v>
      </c>
      <c r="B9" s="102">
        <f>$B$12*C9</f>
        <v>8.75</v>
      </c>
      <c r="C9" s="104">
        <v>0.35</v>
      </c>
      <c r="D9" s="107">
        <f t="shared" ref="D9:D10" si="6">$D$12*E9</f>
        <v>8.6281593167809589</v>
      </c>
      <c r="E9" s="105">
        <v>0.84185361033083228</v>
      </c>
      <c r="F9" s="107">
        <f t="shared" ref="F9:F10" si="7">$F$12*G9</f>
        <v>8.1050059343877088</v>
      </c>
      <c r="G9" s="105">
        <v>0.9813481019996696</v>
      </c>
      <c r="H9" s="107">
        <f t="shared" ref="H9:H10" si="8">$H$12*I9</f>
        <v>7.9547783467405209</v>
      </c>
      <c r="I9" s="105">
        <v>0.99763921117685961</v>
      </c>
      <c r="J9" s="107">
        <f t="shared" ref="J9:J10" si="9">$J$12*K9</f>
        <v>7.9216232317355795</v>
      </c>
      <c r="K9" s="105">
        <v>0.99934849537412496</v>
      </c>
      <c r="L9" s="107">
        <f t="shared" ref="L9:L10" si="10">$L$12*M9</f>
        <v>7.9033367796392664</v>
      </c>
      <c r="M9" s="105">
        <v>0.99952591641617528</v>
      </c>
      <c r="O9" s="1" t="s">
        <v>13</v>
      </c>
      <c r="P9" s="59">
        <f>AM29</f>
        <v>3.6437514063293944E-2</v>
      </c>
      <c r="Q9" s="60">
        <f t="shared" ref="Q9:R13" si="11">AN29</f>
        <v>0.69699838628554867</v>
      </c>
      <c r="R9" s="60">
        <f t="shared" si="11"/>
        <v>0.26656409965115735</v>
      </c>
      <c r="S9" s="88">
        <f>AR29</f>
        <v>23.267629192696525</v>
      </c>
      <c r="Y9" s="17" t="s">
        <v>20</v>
      </c>
      <c r="Z9" s="1">
        <f>S$9*$V$4+S$4</f>
        <v>87.487141300698454</v>
      </c>
      <c r="AA9" s="2">
        <f>-$S$10*$V$5</f>
        <v>-53.751569191392065</v>
      </c>
      <c r="AB9" s="2">
        <v>0</v>
      </c>
      <c r="AC9" s="2">
        <v>0</v>
      </c>
      <c r="AD9" s="2">
        <v>0</v>
      </c>
      <c r="AE9" s="11">
        <f>$S$3*$Q$3</f>
        <v>16.25</v>
      </c>
      <c r="AH9" s="1">
        <f t="array" ref="AH9:AL13">MINVERSE(Z9:AD13)</f>
        <v>1.294591301073156E-2</v>
      </c>
      <c r="AI9" s="2">
        <v>1.2937934945432014E-2</v>
      </c>
      <c r="AJ9" s="2">
        <v>1.2886012100078469E-2</v>
      </c>
      <c r="AK9" s="2">
        <v>1.2575025651300399E-2</v>
      </c>
      <c r="AL9" s="3">
        <v>1.0745531980639243E-2</v>
      </c>
      <c r="AN9">
        <f t="array" ref="AN9:AN13">MMULT(AH9:AL13,AE9:AE13)</f>
        <v>0.21037108642438784</v>
      </c>
    </row>
    <row r="10" spans="1:51" x14ac:dyDescent="0.25">
      <c r="A10" s="20" t="s">
        <v>1</v>
      </c>
      <c r="B10" s="102">
        <f t="shared" ref="B10:B11" si="12">$B$12*C10</f>
        <v>16.25</v>
      </c>
      <c r="C10" s="104">
        <v>0.65</v>
      </c>
      <c r="D10" s="107">
        <f t="shared" si="6"/>
        <v>1.6058791484844199</v>
      </c>
      <c r="E10" s="105">
        <v>0.15668639269064766</v>
      </c>
      <c r="F10" s="107">
        <f t="shared" si="7"/>
        <v>0.14961935467549417</v>
      </c>
      <c r="G10" s="105">
        <v>1.8115800398152793E-2</v>
      </c>
      <c r="H10" s="107">
        <f t="shared" si="8"/>
        <v>1.5125581765840798E-2</v>
      </c>
      <c r="I10" s="105">
        <v>1.8969571248515801E-3</v>
      </c>
      <c r="J10" s="107">
        <f t="shared" si="9"/>
        <v>1.5456092663788546E-3</v>
      </c>
      <c r="K10" s="105">
        <v>1.949855792944094E-4</v>
      </c>
      <c r="L10" s="107">
        <f t="shared" si="10"/>
        <v>1.4487064125408891E-4</v>
      </c>
      <c r="M10" s="105">
        <v>1.8321623448254651E-5</v>
      </c>
      <c r="O10" s="4" t="s">
        <v>14</v>
      </c>
      <c r="P10" s="61">
        <f t="shared" ref="P10:P13" si="13">AM30</f>
        <v>2.0468571186253004E-2</v>
      </c>
      <c r="Q10" s="62">
        <f t="shared" si="11"/>
        <v>0.25102673856599955</v>
      </c>
      <c r="R10" s="62">
        <f t="shared" si="11"/>
        <v>0.72850469024774744</v>
      </c>
      <c r="S10" s="88">
        <f>AR30</f>
        <v>8.5166311698814425</v>
      </c>
      <c r="Z10" s="66">
        <f>-$S$4</f>
        <v>-10.249001977184916</v>
      </c>
      <c r="AA10" s="5">
        <f>$S$10*$V$5+$S$5</f>
        <v>62.010622138936704</v>
      </c>
      <c r="AB10" s="5">
        <f>-$S$11*$V$6</f>
        <v>-47.757056805829414</v>
      </c>
      <c r="AC10" s="5">
        <v>0</v>
      </c>
      <c r="AD10" s="5">
        <v>0</v>
      </c>
      <c r="AE10" s="12">
        <v>0</v>
      </c>
      <c r="AH10" s="4">
        <v>2.4669218560722061E-3</v>
      </c>
      <c r="AI10" s="5">
        <v>2.1058044625263166E-2</v>
      </c>
      <c r="AJ10" s="5">
        <v>2.0973533951872309E-2</v>
      </c>
      <c r="AK10" s="5">
        <v>2.0467366117218534E-2</v>
      </c>
      <c r="AL10" s="6">
        <v>1.7489645211918935E-2</v>
      </c>
      <c r="AN10">
        <v>4.0087480161173347E-2</v>
      </c>
    </row>
    <row r="11" spans="1:51" ht="15.75" thickBot="1" x14ac:dyDescent="0.3">
      <c r="A11" s="20" t="s">
        <v>2</v>
      </c>
      <c r="B11" s="102">
        <f t="shared" si="12"/>
        <v>0</v>
      </c>
      <c r="C11" s="104">
        <v>0</v>
      </c>
      <c r="D11" s="107">
        <f>$D$12*E11</f>
        <v>1.4963511919536489E-2</v>
      </c>
      <c r="E11" s="105">
        <v>1.4599969785200981E-3</v>
      </c>
      <c r="F11" s="107">
        <f>$F$12*G11</f>
        <v>4.4276584814370093E-3</v>
      </c>
      <c r="G11" s="105">
        <v>5.3609760217765922E-4</v>
      </c>
      <c r="H11" s="107">
        <f>$H$12*I11</f>
        <v>3.6984095139232366E-3</v>
      </c>
      <c r="I11" s="105">
        <v>4.6383169828876757E-4</v>
      </c>
      <c r="J11" s="107">
        <f>$J$12*K11</f>
        <v>3.6187295041341747E-3</v>
      </c>
      <c r="K11" s="105">
        <v>4.5651904658057258E-4</v>
      </c>
      <c r="L11" s="107">
        <f>$L$12*M11</f>
        <v>3.6037487423226738E-3</v>
      </c>
      <c r="M11" s="105">
        <v>4.557619603764523E-4</v>
      </c>
      <c r="O11" s="4" t="s">
        <v>15</v>
      </c>
      <c r="P11" s="61">
        <f t="shared" si="13"/>
        <v>3.5365736247621416E-3</v>
      </c>
      <c r="Q11" s="62">
        <f t="shared" si="11"/>
        <v>4.9746217912812071E-2</v>
      </c>
      <c r="R11" s="62">
        <f t="shared" si="11"/>
        <v>0.9467172084624258</v>
      </c>
      <c r="S11" s="88">
        <f>AR31</f>
        <v>6.5266821402411637</v>
      </c>
      <c r="Z11" s="4">
        <v>0</v>
      </c>
      <c r="AA11" s="68">
        <f>-$S$5</f>
        <v>-8.2590529475446388</v>
      </c>
      <c r="AB11" s="5">
        <f>$S$11*$V$6+$S$6</f>
        <v>55.730659143849699</v>
      </c>
      <c r="AC11" s="5">
        <f>-$S$12*$V$7</f>
        <v>-46.63228171483923</v>
      </c>
      <c r="AD11" s="5">
        <v>0</v>
      </c>
      <c r="AE11" s="12">
        <v>0</v>
      </c>
      <c r="AH11" s="4">
        <v>4.2491460690787929E-4</v>
      </c>
      <c r="AI11" s="5">
        <v>3.627139924261297E-3</v>
      </c>
      <c r="AJ11" s="5">
        <v>2.4467863044134397E-2</v>
      </c>
      <c r="AK11" s="5">
        <v>2.3877364309678201E-2</v>
      </c>
      <c r="AL11" s="6">
        <v>2.0403535461296533E-2</v>
      </c>
      <c r="AN11">
        <v>6.9048623622530387E-3</v>
      </c>
    </row>
    <row r="12" spans="1:51" ht="15.75" thickBot="1" x14ac:dyDescent="0.3">
      <c r="A12" s="21" t="s">
        <v>127</v>
      </c>
      <c r="B12" s="81">
        <f>S3</f>
        <v>25</v>
      </c>
      <c r="C12" s="15">
        <f>SUM(C9:C11)</f>
        <v>1</v>
      </c>
      <c r="D12" s="81">
        <f>S4</f>
        <v>10.249001977184916</v>
      </c>
      <c r="E12" s="15">
        <f t="shared" ref="E12:M12" si="14">SUM(E9:E11)</f>
        <v>1</v>
      </c>
      <c r="F12" s="81">
        <f>S5</f>
        <v>8.2590529475446388</v>
      </c>
      <c r="G12" s="15">
        <f t="shared" si="14"/>
        <v>1</v>
      </c>
      <c r="H12" s="81">
        <f>S6</f>
        <v>7.9736023380202852</v>
      </c>
      <c r="I12" s="15">
        <f t="shared" si="14"/>
        <v>1</v>
      </c>
      <c r="J12" s="81">
        <f>S7</f>
        <v>7.9267875705060931</v>
      </c>
      <c r="K12" s="15">
        <f t="shared" si="14"/>
        <v>1</v>
      </c>
      <c r="L12" s="81">
        <f>S8</f>
        <v>7.9070853990228436</v>
      </c>
      <c r="M12" s="15">
        <f t="shared" si="14"/>
        <v>1</v>
      </c>
      <c r="O12" s="4" t="s">
        <v>16</v>
      </c>
      <c r="P12" s="61">
        <f t="shared" si="13"/>
        <v>2.13732811143964E-3</v>
      </c>
      <c r="Q12" s="62">
        <f t="shared" si="11"/>
        <v>8.4173497854797448E-3</v>
      </c>
      <c r="R12" s="62">
        <f t="shared" si="11"/>
        <v>0.98944532210308067</v>
      </c>
      <c r="S12" s="88">
        <f>AR32</f>
        <v>6.24123153071681</v>
      </c>
      <c r="Z12" s="4">
        <v>0</v>
      </c>
      <c r="AA12" s="5">
        <v>0</v>
      </c>
      <c r="AB12" s="5">
        <f>-$S$6</f>
        <v>-7.9736023380202852</v>
      </c>
      <c r="AC12" s="5">
        <f>$S$12*$V$7+$S$7</f>
        <v>54.559069285345323</v>
      </c>
      <c r="AD12" s="5">
        <f>-$S$13*$V$8</f>
        <v>-46.442270006946814</v>
      </c>
      <c r="AE12" s="12">
        <v>0</v>
      </c>
      <c r="AH12" s="4">
        <v>7.0902232841382222E-5</v>
      </c>
      <c r="AI12" s="5">
        <v>6.0523294628466947E-4</v>
      </c>
      <c r="AJ12" s="5">
        <v>4.0827641471557494E-3</v>
      </c>
      <c r="AK12" s="5">
        <v>2.4911073368465431E-2</v>
      </c>
      <c r="AL12" s="6">
        <v>2.1286854037169654E-2</v>
      </c>
      <c r="AN12">
        <v>1.152161283672461E-3</v>
      </c>
    </row>
    <row r="13" spans="1:51" ht="15.75" thickBot="1" x14ac:dyDescent="0.3">
      <c r="O13" s="4" t="s">
        <v>17</v>
      </c>
      <c r="P13" s="61">
        <f t="shared" si="13"/>
        <v>1.9407214586455077E-3</v>
      </c>
      <c r="Q13" s="62">
        <f t="shared" si="11"/>
        <v>1.2244101144761222E-3</v>
      </c>
      <c r="R13" s="62">
        <f t="shared" si="11"/>
        <v>0.9968348684268783</v>
      </c>
      <c r="S13" s="88">
        <f>AR33</f>
        <v>6.1944167632026179</v>
      </c>
      <c r="V13" s="58"/>
      <c r="Z13" s="7">
        <v>0</v>
      </c>
      <c r="AA13" s="8">
        <v>0</v>
      </c>
      <c r="AB13" s="8">
        <v>0</v>
      </c>
      <c r="AC13" s="67">
        <f>-$S$7</f>
        <v>-7.9267875705060931</v>
      </c>
      <c r="AD13" s="8">
        <f>$S$13*$V$8+$S$8</f>
        <v>54.349355405969661</v>
      </c>
      <c r="AE13" s="13">
        <f>$S$14*$Q$14</f>
        <v>0</v>
      </c>
      <c r="AH13" s="7">
        <v>1.034100466896182E-5</v>
      </c>
      <c r="AI13" s="8">
        <v>8.8272491182906344E-5</v>
      </c>
      <c r="AJ13" s="8">
        <v>5.9546619924451532E-4</v>
      </c>
      <c r="AK13" s="8">
        <v>3.6332498383859005E-3</v>
      </c>
      <c r="AL13" s="9">
        <v>2.1504144092730885E-2</v>
      </c>
      <c r="AN13">
        <v>1.6804132587062957E-4</v>
      </c>
      <c r="AO13" s="5"/>
      <c r="AP13" s="5"/>
      <c r="AQ13" s="5"/>
      <c r="AR13" s="5"/>
      <c r="AS13" s="5"/>
    </row>
    <row r="14" spans="1:51" ht="15.75" thickBot="1" x14ac:dyDescent="0.3">
      <c r="B14" s="142" t="s">
        <v>13</v>
      </c>
      <c r="C14" s="143"/>
      <c r="D14" s="147" t="s">
        <v>14</v>
      </c>
      <c r="E14" s="148"/>
      <c r="F14" s="147" t="s">
        <v>15</v>
      </c>
      <c r="G14" s="148"/>
      <c r="H14" s="147" t="s">
        <v>16</v>
      </c>
      <c r="I14" s="148"/>
      <c r="J14" s="147" t="s">
        <v>17</v>
      </c>
      <c r="K14" s="148"/>
      <c r="L14" s="142" t="s">
        <v>18</v>
      </c>
      <c r="M14" s="143"/>
      <c r="O14" s="7" t="s">
        <v>18</v>
      </c>
      <c r="P14" s="63">
        <f>AQ25</f>
        <v>0</v>
      </c>
      <c r="Q14" s="63">
        <f t="shared" ref="Q14:R14" si="15">AR25</f>
        <v>0</v>
      </c>
      <c r="R14" s="63">
        <f t="shared" si="15"/>
        <v>1</v>
      </c>
      <c r="S14" s="89">
        <f>AP25</f>
        <v>6.1747145917193684</v>
      </c>
      <c r="T14" t="s">
        <v>65</v>
      </c>
      <c r="U14" t="s">
        <v>65</v>
      </c>
      <c r="V14" t="s">
        <v>65</v>
      </c>
    </row>
    <row r="15" spans="1:51" ht="15.75" thickBot="1" x14ac:dyDescent="0.3">
      <c r="A15" s="19" t="s">
        <v>6</v>
      </c>
      <c r="B15" s="19" t="s">
        <v>25</v>
      </c>
      <c r="C15" s="22" t="s">
        <v>26</v>
      </c>
      <c r="D15" s="19" t="s">
        <v>25</v>
      </c>
      <c r="E15" s="22" t="s">
        <v>26</v>
      </c>
      <c r="F15" s="19" t="s">
        <v>25</v>
      </c>
      <c r="G15" s="22" t="s">
        <v>26</v>
      </c>
      <c r="H15" s="19" t="s">
        <v>25</v>
      </c>
      <c r="I15" s="22" t="s">
        <v>26</v>
      </c>
      <c r="J15" s="19" t="s">
        <v>25</v>
      </c>
      <c r="K15" s="22" t="s">
        <v>26</v>
      </c>
      <c r="L15" s="19" t="s">
        <v>25</v>
      </c>
      <c r="M15" s="22" t="s">
        <v>26</v>
      </c>
      <c r="Z15">
        <v>1</v>
      </c>
      <c r="AA15">
        <v>2</v>
      </c>
      <c r="AB15">
        <v>3</v>
      </c>
      <c r="AC15">
        <v>4</v>
      </c>
      <c r="AD15">
        <v>5</v>
      </c>
      <c r="AE15" s="17" t="s">
        <v>24</v>
      </c>
      <c r="AG15" s="17" t="s">
        <v>27</v>
      </c>
      <c r="AN15" s="17" t="s">
        <v>30</v>
      </c>
    </row>
    <row r="16" spans="1:51" ht="15.75" thickBot="1" x14ac:dyDescent="0.3">
      <c r="A16" s="20" t="s">
        <v>0</v>
      </c>
      <c r="B16" s="107">
        <f t="shared" ref="B16:B17" si="16">$B$19*C16</f>
        <v>0.83826288078532585</v>
      </c>
      <c r="C16" s="105">
        <v>3.6027000165897785E-2</v>
      </c>
      <c r="D16" s="107">
        <f t="shared" ref="D16:D17" si="17">$D$19*E16</f>
        <v>6.4944009029931388E-2</v>
      </c>
      <c r="E16" s="105">
        <v>7.6255514339521949E-3</v>
      </c>
      <c r="F16" s="107">
        <f t="shared" ref="F16:F17" si="18">$F$19*G16</f>
        <v>1.5029303098348818E-2</v>
      </c>
      <c r="G16" s="105">
        <v>2.3027478243016564E-3</v>
      </c>
      <c r="H16" s="107">
        <f t="shared" ref="H16:H17" si="19">$H$19*I16</f>
        <v>1.2150890241083491E-2</v>
      </c>
      <c r="I16" s="105">
        <v>1.9468738150927004E-3</v>
      </c>
      <c r="J16" s="107">
        <f t="shared" ref="J16:J17" si="20">$J$19*K16</f>
        <v>1.1844520691263667E-2</v>
      </c>
      <c r="K16" s="105">
        <v>1.9121284769899548E-3</v>
      </c>
      <c r="L16" s="4">
        <f t="shared" ref="L16:L17" si="21">$L$19*M16</f>
        <v>0</v>
      </c>
      <c r="M16" s="106">
        <v>0</v>
      </c>
      <c r="P16" t="s">
        <v>3</v>
      </c>
      <c r="Q16" t="s">
        <v>66</v>
      </c>
      <c r="R16" t="s">
        <v>67</v>
      </c>
      <c r="Y16" s="17" t="s">
        <v>21</v>
      </c>
      <c r="Z16" s="1">
        <f>S$9*$W$4+S$4</f>
        <v>3105.6958081809639</v>
      </c>
      <c r="AA16" s="2">
        <f>-$S$10*$W$5</f>
        <v>-9683.3603618466204</v>
      </c>
      <c r="AB16" s="2">
        <v>0</v>
      </c>
      <c r="AC16" s="2">
        <v>0</v>
      </c>
      <c r="AD16" s="2">
        <v>0</v>
      </c>
      <c r="AE16" s="11">
        <f>$S$3*$R$3</f>
        <v>0</v>
      </c>
      <c r="AH16" s="1">
        <f t="array" ref="AH16:AL20">MINVERSE(Z16:AD20)</f>
        <v>3.2305513956687508E-4</v>
      </c>
      <c r="AI16" s="2">
        <v>3.230551395668155E-4</v>
      </c>
      <c r="AJ16" s="2">
        <v>3.2305513949698237E-4</v>
      </c>
      <c r="AK16" s="2">
        <v>3.2305502795893664E-4</v>
      </c>
      <c r="AL16" s="3">
        <v>3.228663398397599E-4</v>
      </c>
      <c r="AN16">
        <f t="array" ref="AN16:AN20">MMULT(AH16:AL20,AE16:AE20)</f>
        <v>1.9936074997835901E-3</v>
      </c>
    </row>
    <row r="17" spans="1:51" x14ac:dyDescent="0.25">
      <c r="A17" s="20" t="s">
        <v>1</v>
      </c>
      <c r="B17" s="107">
        <f t="shared" si="16"/>
        <v>13.894740560809636</v>
      </c>
      <c r="C17" s="105">
        <v>0.59717044851183443</v>
      </c>
      <c r="D17" s="107">
        <f t="shared" si="17"/>
        <v>1.0787297026542446</v>
      </c>
      <c r="E17" s="105">
        <v>0.12666154975327659</v>
      </c>
      <c r="F17" s="107">
        <f t="shared" si="18"/>
        <v>9.224820624895963E-2</v>
      </c>
      <c r="G17" s="105">
        <v>1.413401239202236E-2</v>
      </c>
      <c r="H17" s="107">
        <f t="shared" si="19"/>
        <v>9.1226836909620423E-3</v>
      </c>
      <c r="I17" s="105">
        <v>1.4616800620300488E-3</v>
      </c>
      <c r="J17" s="107">
        <f t="shared" si="20"/>
        <v>8.5133744914173126E-4</v>
      </c>
      <c r="K17" s="105">
        <v>1.3743625617814831E-4</v>
      </c>
      <c r="L17" s="4">
        <f t="shared" si="21"/>
        <v>0</v>
      </c>
      <c r="M17" s="6">
        <v>0</v>
      </c>
      <c r="Z17" s="66">
        <f>-$S$4</f>
        <v>-10.249001977184916</v>
      </c>
      <c r="AA17" s="5">
        <f>$S$10*$W$5+$S$5</f>
        <v>9691.6194147941642</v>
      </c>
      <c r="AB17" s="5">
        <f>-$S$11*$W$6</f>
        <v>-12735.508728410819</v>
      </c>
      <c r="AC17" s="5">
        <v>0</v>
      </c>
      <c r="AD17" s="5">
        <v>0</v>
      </c>
      <c r="AE17" s="12">
        <v>0</v>
      </c>
      <c r="AH17" s="4">
        <v>3.419260091987977E-7</v>
      </c>
      <c r="AI17" s="5">
        <v>1.036118615100929E-4</v>
      </c>
      <c r="AJ17" s="5">
        <v>1.0361186148769567E-4</v>
      </c>
      <c r="AK17" s="5">
        <v>1.0361182571465531E-4</v>
      </c>
      <c r="AL17" s="6">
        <v>1.0355130871653865E-4</v>
      </c>
      <c r="AN17">
        <v>6.3939977692364816E-4</v>
      </c>
    </row>
    <row r="18" spans="1:51" ht="15.75" thickBot="1" x14ac:dyDescent="0.3">
      <c r="A18" s="20" t="s">
        <v>2</v>
      </c>
      <c r="B18" s="107">
        <f>$B$19*C18</f>
        <v>8.5346257511015633</v>
      </c>
      <c r="C18" s="105">
        <v>0.3668025513222678</v>
      </c>
      <c r="D18" s="107">
        <f>$D$19*E18</f>
        <v>7.3729574581972672</v>
      </c>
      <c r="E18" s="105">
        <v>0.86571289881277125</v>
      </c>
      <c r="F18" s="107">
        <f>$F$19*G18</f>
        <v>6.4194046308938555</v>
      </c>
      <c r="G18" s="105">
        <v>0.98356323978367599</v>
      </c>
      <c r="H18" s="107">
        <f>$H$19*I18</f>
        <v>6.2199579567847643</v>
      </c>
      <c r="I18" s="105">
        <v>0.9965914461228772</v>
      </c>
      <c r="J18" s="107">
        <f>$J$19*K18</f>
        <v>6.1817209050622131</v>
      </c>
      <c r="K18" s="105">
        <v>0.99795043526683191</v>
      </c>
      <c r="L18" s="4">
        <f>$L$19*M18</f>
        <v>6.1747145917193684</v>
      </c>
      <c r="M18" s="6">
        <v>1</v>
      </c>
      <c r="Z18" s="4">
        <v>0</v>
      </c>
      <c r="AA18" s="68">
        <f>-$S$5</f>
        <v>-8.2590529475446388</v>
      </c>
      <c r="AB18" s="5">
        <f>$S$11*$W$6+$S$6</f>
        <v>12743.48233074884</v>
      </c>
      <c r="AC18" s="5">
        <f>-$S$12*$W$7</f>
        <v>-13409.690194769961</v>
      </c>
      <c r="AD18" s="5">
        <v>0</v>
      </c>
      <c r="AE18" s="12">
        <v>0</v>
      </c>
      <c r="AH18" s="4">
        <v>2.2174104495764781E-10</v>
      </c>
      <c r="AI18" s="5">
        <v>6.7192906720053842E-8</v>
      </c>
      <c r="AJ18" s="5">
        <v>7.8587809641316242E-5</v>
      </c>
      <c r="AK18" s="5">
        <v>7.8587782508082201E-5</v>
      </c>
      <c r="AL18" s="6">
        <v>7.8541881408924545E-5</v>
      </c>
      <c r="AN18">
        <v>4.8497370119677857E-4</v>
      </c>
    </row>
    <row r="19" spans="1:51" ht="15.75" thickBot="1" x14ac:dyDescent="0.3">
      <c r="A19" s="21" t="s">
        <v>127</v>
      </c>
      <c r="B19" s="81">
        <f>S9</f>
        <v>23.267629192696525</v>
      </c>
      <c r="C19" s="15">
        <f t="shared" ref="C19:M19" si="22">SUM(C16:C18)</f>
        <v>1</v>
      </c>
      <c r="D19" s="81">
        <f>S10</f>
        <v>8.5166311698814425</v>
      </c>
      <c r="E19" s="15">
        <f t="shared" si="22"/>
        <v>1</v>
      </c>
      <c r="F19" s="81">
        <f>S11</f>
        <v>6.5266821402411637</v>
      </c>
      <c r="G19" s="15">
        <f t="shared" si="22"/>
        <v>1</v>
      </c>
      <c r="H19" s="81">
        <f>S12</f>
        <v>6.24123153071681</v>
      </c>
      <c r="I19" s="15">
        <f t="shared" si="22"/>
        <v>1</v>
      </c>
      <c r="J19" s="81">
        <f>S13</f>
        <v>6.1944167632026179</v>
      </c>
      <c r="K19" s="15">
        <f t="shared" si="22"/>
        <v>1</v>
      </c>
      <c r="L19" s="81">
        <f>S14</f>
        <v>6.1747145917193684</v>
      </c>
      <c r="M19" s="15">
        <f t="shared" si="22"/>
        <v>1</v>
      </c>
      <c r="Z19" s="4">
        <v>0</v>
      </c>
      <c r="AA19" s="5">
        <v>0</v>
      </c>
      <c r="AB19" s="5">
        <f>-$S$6</f>
        <v>-7.9736023380202852</v>
      </c>
      <c r="AC19" s="5">
        <f>$S$12*$W$7+$S$7</f>
        <v>13417.616982340467</v>
      </c>
      <c r="AD19" s="5">
        <f>-$S$13*$W$8</f>
        <v>-13529.901790959902</v>
      </c>
      <c r="AE19" s="12">
        <v>0</v>
      </c>
      <c r="AH19" s="4">
        <v>1.3185049605047889E-13</v>
      </c>
      <c r="AI19" s="5">
        <v>3.9953893442708318E-11</v>
      </c>
      <c r="AJ19" s="5">
        <v>4.6729470796474549E-8</v>
      </c>
      <c r="AK19" s="5">
        <v>7.4619642043644892E-5</v>
      </c>
      <c r="AL19" s="6">
        <v>7.4576058633103918E-5</v>
      </c>
      <c r="AN19">
        <v>4.6048587743474596E-4</v>
      </c>
    </row>
    <row r="20" spans="1:51" ht="15.75" thickBot="1" x14ac:dyDescent="0.3">
      <c r="Z20" s="7">
        <v>0</v>
      </c>
      <c r="AA20" s="8">
        <v>0</v>
      </c>
      <c r="AB20" s="8">
        <v>0</v>
      </c>
      <c r="AC20" s="67">
        <f>-$S$7</f>
        <v>-7.9267875705060931</v>
      </c>
      <c r="AD20" s="8">
        <f>$S$13*$W$8+$S$8</f>
        <v>13537.808876358926</v>
      </c>
      <c r="AE20" s="13">
        <f>$S$14*$R$14</f>
        <v>6.1747145917193684</v>
      </c>
      <c r="AH20" s="7">
        <v>7.7202365818825055E-17</v>
      </c>
      <c r="AI20" s="8">
        <v>2.3394186520689391E-14</v>
      </c>
      <c r="AJ20" s="8">
        <v>2.7361487495415661E-11</v>
      </c>
      <c r="AK20" s="8">
        <v>4.3692007803427053E-8</v>
      </c>
      <c r="AL20" s="9">
        <v>7.3910863841634118E-5</v>
      </c>
      <c r="AN20">
        <v>4.5637848944952167E-4</v>
      </c>
      <c r="AO20" s="5"/>
      <c r="AP20" s="5"/>
      <c r="AQ20" s="5"/>
      <c r="AR20" s="5"/>
      <c r="AS20" s="5"/>
    </row>
    <row r="21" spans="1:51" x14ac:dyDescent="0.25">
      <c r="T21">
        <v>0.21081455344780983</v>
      </c>
      <c r="U21">
        <v>2.0137968794493128E-3</v>
      </c>
      <c r="V21">
        <v>1</v>
      </c>
      <c r="W21">
        <v>3.6454357747249991E-2</v>
      </c>
      <c r="X21">
        <v>0.69893201084998435</v>
      </c>
    </row>
    <row r="22" spans="1:51" ht="15.75" thickBot="1" x14ac:dyDescent="0.3">
      <c r="T22">
        <v>3.9175088401442071E-2</v>
      </c>
      <c r="U22">
        <v>6.3770142922972431E-4</v>
      </c>
      <c r="V22">
        <v>0.99999999999999989</v>
      </c>
      <c r="W22">
        <v>1.9981273743705959E-2</v>
      </c>
      <c r="X22">
        <v>0.24800782178079803</v>
      </c>
    </row>
    <row r="23" spans="1:51" ht="15.75" thickBot="1" x14ac:dyDescent="0.3">
      <c r="T23">
        <v>6.6585464585244107E-3</v>
      </c>
      <c r="U23">
        <v>4.8455744167386387E-4</v>
      </c>
      <c r="V23">
        <v>1</v>
      </c>
      <c r="W23">
        <v>3.4969428894350515E-3</v>
      </c>
      <c r="X23">
        <v>4.8747726600635623E-2</v>
      </c>
      <c r="Y23" s="5"/>
      <c r="Z23" s="5"/>
      <c r="AA23" s="5"/>
      <c r="AB23" s="5"/>
      <c r="AC23" s="5"/>
      <c r="AD23" s="5"/>
      <c r="AE23" s="52"/>
      <c r="AF23" s="5"/>
      <c r="AG23" s="5"/>
      <c r="AH23" s="5"/>
      <c r="AI23" s="5"/>
      <c r="AJ23" s="5"/>
      <c r="AK23" s="5"/>
      <c r="AL23" s="5"/>
      <c r="AO23" s="18"/>
      <c r="AP23" s="19" t="s">
        <v>124</v>
      </c>
      <c r="AQ23" s="93" t="s">
        <v>28</v>
      </c>
      <c r="AR23" s="93" t="s">
        <v>29</v>
      </c>
      <c r="AS23" s="22" t="s">
        <v>30</v>
      </c>
      <c r="AU23" s="94" t="s">
        <v>132</v>
      </c>
      <c r="AV23" s="94" t="s">
        <v>119</v>
      </c>
      <c r="AW23" s="94" t="s">
        <v>133</v>
      </c>
      <c r="AX23" s="94" t="s">
        <v>116</v>
      </c>
      <c r="AY23" s="94" t="s">
        <v>134</v>
      </c>
    </row>
    <row r="24" spans="1:51" ht="15.75" thickBot="1" x14ac:dyDescent="0.3">
      <c r="G24" s="28" t="s">
        <v>79</v>
      </c>
      <c r="H24" s="29" t="s">
        <v>80</v>
      </c>
      <c r="I24" s="29" t="s">
        <v>81</v>
      </c>
      <c r="J24" s="29" t="s">
        <v>82</v>
      </c>
      <c r="K24" s="29" t="s">
        <v>83</v>
      </c>
      <c r="L24" s="29" t="s">
        <v>84</v>
      </c>
      <c r="M24" s="29" t="s">
        <v>85</v>
      </c>
      <c r="N24" s="29" t="s">
        <v>86</v>
      </c>
      <c r="O24" s="29" t="s">
        <v>87</v>
      </c>
      <c r="P24" s="29" t="s">
        <v>88</v>
      </c>
      <c r="Q24" s="29" t="s">
        <v>89</v>
      </c>
      <c r="R24" s="30" t="s">
        <v>90</v>
      </c>
      <c r="T24">
        <v>1.0991843254690497E-3</v>
      </c>
      <c r="U24">
        <v>4.6039683671737064E-4</v>
      </c>
      <c r="V24">
        <v>1</v>
      </c>
      <c r="W24">
        <v>2.1315778002057644E-3</v>
      </c>
      <c r="X24">
        <v>8.2135254419584865E-3</v>
      </c>
      <c r="Y24" s="52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O24" s="91" t="s">
        <v>7</v>
      </c>
      <c r="AP24" s="1">
        <v>25</v>
      </c>
      <c r="AQ24" s="2">
        <v>0.35</v>
      </c>
      <c r="AR24" s="2">
        <v>0.65</v>
      </c>
      <c r="AS24" s="3">
        <v>0</v>
      </c>
      <c r="AU24">
        <f>AP25</f>
        <v>6.1747145917193684</v>
      </c>
      <c r="AV24">
        <f>AP25/AP24</f>
        <v>0.24698858366877474</v>
      </c>
      <c r="AW24">
        <f>AR29*AM29/AP24/AQ24</f>
        <v>9.6893093248958673E-2</v>
      </c>
      <c r="AX24">
        <v>0.998</v>
      </c>
      <c r="AY24">
        <f>AQ33*AK33/AP25/AS25</f>
        <v>5.8442466840773492E-4</v>
      </c>
    </row>
    <row r="25" spans="1:51" ht="15.75" thickBot="1" x14ac:dyDescent="0.3">
      <c r="G25">
        <f>B31/$B$39/$B$40</f>
        <v>2.1071800296631609</v>
      </c>
      <c r="H25">
        <f>C31/$B$39/$B$40</f>
        <v>2.8350922655412045</v>
      </c>
      <c r="I25">
        <f>B32/$B$39/$B$40</f>
        <v>7.2849444468829168</v>
      </c>
      <c r="J25">
        <f>C32/$B$39/$B$40</f>
        <v>6.1290709297054313</v>
      </c>
      <c r="K25">
        <f>B33/$B$39/$B$40</f>
        <v>4.0246507210259157</v>
      </c>
      <c r="L25">
        <f>C33/$B$39/$B$40</f>
        <v>0.21292207917654202</v>
      </c>
      <c r="M25">
        <f>EXP(-$E$31*G25)</f>
        <v>0.43047242445194145</v>
      </c>
      <c r="N25">
        <f t="shared" ref="N25:R25" si="23">EXP(-$E$31*H25)</f>
        <v>0.32173183009668638</v>
      </c>
      <c r="O25">
        <f t="shared" si="23"/>
        <v>5.425946787469077E-2</v>
      </c>
      <c r="P25">
        <f t="shared" si="23"/>
        <v>8.6153182795249569E-2</v>
      </c>
      <c r="Q25">
        <f t="shared" si="23"/>
        <v>0.19991554264238187</v>
      </c>
      <c r="R25">
        <f t="shared" si="23"/>
        <v>0.91835722352796123</v>
      </c>
      <c r="T25">
        <v>1.5884532286920852E-4</v>
      </c>
      <c r="U25">
        <v>4.5636339979653745E-4</v>
      </c>
      <c r="V25">
        <v>1</v>
      </c>
      <c r="W25">
        <v>1.9398370019517016E-3</v>
      </c>
      <c r="X25">
        <v>1.1909522832671301E-3</v>
      </c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O25" s="92" t="s">
        <v>18</v>
      </c>
      <c r="AP25" s="109">
        <f>AQ33+AR29-AP24</f>
        <v>6.1747145917193684</v>
      </c>
      <c r="AQ25" s="8">
        <v>0</v>
      </c>
      <c r="AR25" s="8">
        <v>0</v>
      </c>
      <c r="AS25" s="9">
        <v>1</v>
      </c>
    </row>
    <row r="26" spans="1:51" ht="15.75" thickBot="1" x14ac:dyDescent="0.3"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W26" s="33"/>
    </row>
    <row r="27" spans="1:51" ht="15.75" thickBot="1" x14ac:dyDescent="0.3">
      <c r="T27">
        <v>0.21364326311107357</v>
      </c>
      <c r="U27">
        <v>2.0459317637252497E-3</v>
      </c>
      <c r="V27">
        <v>1</v>
      </c>
      <c r="W27">
        <v>3.6684644982345027E-2</v>
      </c>
      <c r="X27">
        <v>0.71635978422717494</v>
      </c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Q27" s="19" t="s">
        <v>125</v>
      </c>
      <c r="AR27" s="22" t="s">
        <v>126</v>
      </c>
    </row>
    <row r="28" spans="1:51" ht="15.75" thickBot="1" x14ac:dyDescent="0.3">
      <c r="T28">
        <v>4.3972565015618512E-2</v>
      </c>
      <c r="U28">
        <v>6.6227310187575079E-4</v>
      </c>
      <c r="V28">
        <v>1</v>
      </c>
      <c r="W28">
        <v>2.3816899165740431E-2</v>
      </c>
      <c r="X28">
        <v>0.27147604805134734</v>
      </c>
      <c r="Y28" s="5"/>
      <c r="Z28" s="52" t="s">
        <v>112</v>
      </c>
      <c r="AA28" s="52" t="s">
        <v>113</v>
      </c>
      <c r="AB28" s="52" t="s">
        <v>114</v>
      </c>
      <c r="AC28" s="94" t="s">
        <v>115</v>
      </c>
      <c r="AG28" s="5"/>
      <c r="AH28" s="17" t="s">
        <v>6</v>
      </c>
      <c r="AI28" s="95" t="s">
        <v>68</v>
      </c>
      <c r="AJ28" s="96" t="s">
        <v>69</v>
      </c>
      <c r="AK28" s="96" t="s">
        <v>70</v>
      </c>
      <c r="AL28" s="97" t="s">
        <v>76</v>
      </c>
      <c r="AM28" s="95" t="s">
        <v>71</v>
      </c>
      <c r="AN28" s="96" t="s">
        <v>72</v>
      </c>
      <c r="AO28" s="96" t="s">
        <v>73</v>
      </c>
      <c r="AP28" s="101" t="s">
        <v>77</v>
      </c>
      <c r="AQ28" s="95">
        <f>AP24</f>
        <v>25</v>
      </c>
      <c r="AR28" s="3"/>
      <c r="AS28" s="93" t="s">
        <v>62</v>
      </c>
      <c r="AT28" s="93" t="s">
        <v>63</v>
      </c>
      <c r="AU28" s="22" t="s">
        <v>64</v>
      </c>
    </row>
    <row r="29" spans="1:51" ht="15.75" thickBot="1" x14ac:dyDescent="0.3">
      <c r="T29">
        <v>8.2209805216855378E-3</v>
      </c>
      <c r="U29">
        <v>4.9144538848639027E-4</v>
      </c>
      <c r="V29">
        <v>1</v>
      </c>
      <c r="W29">
        <v>3.9542369397066179E-3</v>
      </c>
      <c r="X29">
        <v>5.9829368562287932E-2</v>
      </c>
      <c r="Z29" s="33">
        <f>SUM(AA29:AC29)</f>
        <v>1.0003934915981629</v>
      </c>
      <c r="AA29" s="72">
        <f>AN2</f>
        <v>0.78802879767399159</v>
      </c>
      <c r="AB29" s="73">
        <f>AN9</f>
        <v>0.21037108642438784</v>
      </c>
      <c r="AC29" s="74">
        <f>AN16</f>
        <v>1.9936074997835901E-3</v>
      </c>
      <c r="AH29" s="98">
        <v>1</v>
      </c>
      <c r="AI29" s="72">
        <f>I37</f>
        <v>0.78802879767399159</v>
      </c>
      <c r="AJ29" s="73">
        <f t="shared" ref="AJ29:AO33" si="24">J37</f>
        <v>0.20996751270862013</v>
      </c>
      <c r="AK29" s="73">
        <f t="shared" si="24"/>
        <v>2.0036896173882511E-3</v>
      </c>
      <c r="AL29" s="129">
        <f t="shared" si="24"/>
        <v>1</v>
      </c>
      <c r="AM29" s="73">
        <f t="shared" si="24"/>
        <v>3.6437514063293944E-2</v>
      </c>
      <c r="AN29" s="73">
        <f t="shared" si="24"/>
        <v>0.69699838628554867</v>
      </c>
      <c r="AO29" s="74">
        <f t="shared" si="24"/>
        <v>0.26656409965115735</v>
      </c>
      <c r="AP29" s="55">
        <f>SUM(AM29:AO29)</f>
        <v>1</v>
      </c>
      <c r="AQ29" s="102">
        <f>(AR31*(AM30-AM31)+AQ30*(AI30-AM30))/(AI29-AM30)</f>
        <v>10.249001977184916</v>
      </c>
      <c r="AR29" s="6">
        <f>AP24*AR24*AX24/AN29</f>
        <v>23.267629192696525</v>
      </c>
      <c r="AS29" s="1">
        <f>AM29/AI29</f>
        <v>4.6238810270444186E-2</v>
      </c>
      <c r="AT29" s="2">
        <f t="shared" ref="AT29:AU33" si="25">AN29/AJ29</f>
        <v>3.3195534742215083</v>
      </c>
      <c r="AU29" s="3">
        <f t="shared" si="25"/>
        <v>133.03662270737101</v>
      </c>
    </row>
    <row r="30" spans="1:51" ht="15.75" thickBot="1" x14ac:dyDescent="0.3">
      <c r="A30" s="138" t="s">
        <v>78</v>
      </c>
      <c r="B30" s="138"/>
      <c r="C30" s="138"/>
      <c r="D30" s="138"/>
      <c r="E30" s="138"/>
      <c r="J30" s="33">
        <f>(J37+J50)/2</f>
        <v>0.20996699285788784</v>
      </c>
      <c r="K30" s="33">
        <f>(K37+K50)/2</f>
        <v>2.0036801347183934E-3</v>
      </c>
      <c r="L30" s="33">
        <f>SUM(I37:K37)</f>
        <v>1</v>
      </c>
      <c r="M30" s="33">
        <f t="shared" ref="M30:N34" si="26">(M37+M50)/2</f>
        <v>3.6437558493727144E-2</v>
      </c>
      <c r="N30" s="33">
        <f t="shared" si="26"/>
        <v>0.69700011196639822</v>
      </c>
      <c r="T30" s="25">
        <v>1.4865439683004989E-3</v>
      </c>
      <c r="U30" s="25">
        <v>4.6206281648190916E-4</v>
      </c>
      <c r="V30" s="25">
        <v>1</v>
      </c>
      <c r="W30" s="25">
        <v>2.2137854918901972E-3</v>
      </c>
      <c r="X30" s="25">
        <v>1.1092563558825437E-2</v>
      </c>
      <c r="Y30" s="25"/>
      <c r="Z30" s="33">
        <f t="shared" ref="Z30:Z33" si="27">SUM(AA30:AC30)</f>
        <v>1.0003123888725232</v>
      </c>
      <c r="AA30" s="72">
        <f>AN3</f>
        <v>0.95958550893442607</v>
      </c>
      <c r="AB30" s="73">
        <f>AN10</f>
        <v>4.0087480161173347E-2</v>
      </c>
      <c r="AC30" s="74">
        <f>AN17</f>
        <v>6.3939977692364816E-4</v>
      </c>
      <c r="AH30" s="99">
        <v>2</v>
      </c>
      <c r="AI30" s="75">
        <f t="shared" ref="AI30:AI33" si="28">I38</f>
        <v>0.95958550893442629</v>
      </c>
      <c r="AJ30" s="76">
        <f t="shared" si="24"/>
        <v>3.9773762483705156E-2</v>
      </c>
      <c r="AK30" s="76">
        <f t="shared" si="24"/>
        <v>6.4072858186861982E-4</v>
      </c>
      <c r="AL30" s="130">
        <f t="shared" si="24"/>
        <v>1</v>
      </c>
      <c r="AM30" s="76">
        <f t="shared" si="24"/>
        <v>2.0468571186253004E-2</v>
      </c>
      <c r="AN30" s="76">
        <f t="shared" si="24"/>
        <v>0.25102673856599955</v>
      </c>
      <c r="AO30" s="77">
        <f t="shared" si="24"/>
        <v>0.72850469024774744</v>
      </c>
      <c r="AP30" s="56">
        <f t="shared" ref="AP30:AP33" si="29">SUM(AM30:AO30)</f>
        <v>1</v>
      </c>
      <c r="AQ30" s="102">
        <f>(AR32*(AM31-AM32)+AQ31*(AI31-AM31))/(AI30-AM31)</f>
        <v>8.2590529475446388</v>
      </c>
      <c r="AR30" s="6">
        <f t="shared" ref="AR30:AR32" si="30">AR31+AQ29-AQ30</f>
        <v>8.5166311698814425</v>
      </c>
      <c r="AS30" s="4">
        <f t="shared" ref="AS30:AS33" si="31">AM30/AI30</f>
        <v>2.133063806786992E-2</v>
      </c>
      <c r="AT30" s="5">
        <f t="shared" si="25"/>
        <v>6.311365153569322</v>
      </c>
      <c r="AU30" s="6">
        <f t="shared" si="25"/>
        <v>1136.9942138731153</v>
      </c>
    </row>
    <row r="31" spans="1:51" ht="15.75" thickBot="1" x14ac:dyDescent="0.3">
      <c r="A31" s="26" t="s">
        <v>33</v>
      </c>
      <c r="B31" s="27">
        <v>5.5736999999999997</v>
      </c>
      <c r="C31" s="27">
        <v>7.4991000000000003</v>
      </c>
      <c r="D31" s="26">
        <v>6.4999999999999997E-3</v>
      </c>
      <c r="E31" s="26">
        <v>0.4</v>
      </c>
      <c r="J31" s="33">
        <f t="shared" ref="J31:J34" si="32">(J38+J51)/2</f>
        <v>3.977376065650394E-2</v>
      </c>
      <c r="K31" s="33">
        <f t="shared" ref="K31:K34" si="33">(K38+K51)/2</f>
        <v>6.4072852659392983E-4</v>
      </c>
      <c r="L31" s="33">
        <f t="shared" ref="L31:L34" si="34">SUM(I38:K38)</f>
        <v>1</v>
      </c>
      <c r="M31" s="33">
        <f t="shared" si="26"/>
        <v>2.0468791296090052E-2</v>
      </c>
      <c r="N31" s="33">
        <f t="shared" si="26"/>
        <v>0.25102675009813469</v>
      </c>
      <c r="T31" s="25">
        <v>2.3295600553901332E-4</v>
      </c>
      <c r="U31" s="25">
        <v>4.5668072933654688E-4</v>
      </c>
      <c r="V31" s="25">
        <v>1</v>
      </c>
      <c r="W31" s="25">
        <v>1.9545489892321957E-3</v>
      </c>
      <c r="X31" s="25">
        <v>1.7461400962760429E-3</v>
      </c>
      <c r="Y31" s="25"/>
      <c r="Z31" s="33">
        <f t="shared" si="27"/>
        <v>1.0001061339315864</v>
      </c>
      <c r="AA31" s="72">
        <f>AN4</f>
        <v>0.99271629786813664</v>
      </c>
      <c r="AB31" s="73">
        <f>AN11</f>
        <v>6.9048623622530387E-3</v>
      </c>
      <c r="AC31" s="74">
        <f>AN18</f>
        <v>4.8497370119677857E-4</v>
      </c>
      <c r="AH31" s="99">
        <v>3</v>
      </c>
      <c r="AI31" s="75">
        <f t="shared" si="28"/>
        <v>0.99271629786813675</v>
      </c>
      <c r="AJ31" s="76">
        <f t="shared" si="24"/>
        <v>6.7985293422953182E-3</v>
      </c>
      <c r="AK31" s="76">
        <f t="shared" si="24"/>
        <v>4.8517278956799965E-4</v>
      </c>
      <c r="AL31" s="130">
        <f t="shared" si="24"/>
        <v>1</v>
      </c>
      <c r="AM31" s="76">
        <f t="shared" si="24"/>
        <v>3.5365736247621416E-3</v>
      </c>
      <c r="AN31" s="76">
        <f t="shared" si="24"/>
        <v>4.9746217912812071E-2</v>
      </c>
      <c r="AO31" s="77">
        <f t="shared" si="24"/>
        <v>0.9467172084624258</v>
      </c>
      <c r="AP31" s="56">
        <f t="shared" si="29"/>
        <v>1</v>
      </c>
      <c r="AQ31" s="102">
        <f>(AR33*(AM32-AM33)+AQ32*(AI32-AM32))/(AI31-AM32)</f>
        <v>7.9736023380202852</v>
      </c>
      <c r="AR31" s="6">
        <f t="shared" si="30"/>
        <v>6.5266821402411637</v>
      </c>
      <c r="AS31" s="4">
        <f t="shared" si="31"/>
        <v>3.5625219736564731E-3</v>
      </c>
      <c r="AT31" s="5">
        <f t="shared" si="25"/>
        <v>7.3172027961001289</v>
      </c>
      <c r="AU31" s="6">
        <f t="shared" si="25"/>
        <v>1951.2990604963393</v>
      </c>
    </row>
    <row r="32" spans="1:51" ht="15.75" thickBot="1" x14ac:dyDescent="0.3">
      <c r="A32" s="31" t="s">
        <v>34</v>
      </c>
      <c r="B32" s="32">
        <v>19.269400000000001</v>
      </c>
      <c r="C32" s="32">
        <v>16.212</v>
      </c>
      <c r="D32" s="31"/>
      <c r="E32" s="31"/>
      <c r="J32" s="33">
        <f t="shared" si="32"/>
        <v>6.7985293422935748E-3</v>
      </c>
      <c r="K32" s="33">
        <f t="shared" si="33"/>
        <v>4.8517278956789292E-4</v>
      </c>
      <c r="L32" s="33">
        <f t="shared" si="34"/>
        <v>1</v>
      </c>
      <c r="M32" s="33">
        <f t="shared" si="26"/>
        <v>3.5365736248114737E-3</v>
      </c>
      <c r="N32" s="33">
        <f t="shared" si="26"/>
        <v>4.9746217912824832E-2</v>
      </c>
      <c r="T32" s="33"/>
      <c r="U32" s="33"/>
      <c r="V32" s="33"/>
      <c r="W32" s="33"/>
      <c r="X32" s="33"/>
      <c r="Y32" s="33"/>
      <c r="Z32" s="33">
        <f t="shared" si="27"/>
        <v>1.000025560489938</v>
      </c>
      <c r="AA32" s="72">
        <f>AN5</f>
        <v>0.99841291332883075</v>
      </c>
      <c r="AB32" s="73">
        <f>AN12</f>
        <v>1.152161283672461E-3</v>
      </c>
      <c r="AC32" s="74">
        <f>AN19</f>
        <v>4.6048587743474596E-4</v>
      </c>
      <c r="AH32" s="99">
        <v>4</v>
      </c>
      <c r="AI32" s="75">
        <f t="shared" si="28"/>
        <v>0.99841291332883075</v>
      </c>
      <c r="AJ32" s="76">
        <f t="shared" si="24"/>
        <v>1.1265721288840794E-3</v>
      </c>
      <c r="AK32" s="76">
        <f t="shared" si="24"/>
        <v>4.6051454228513843E-4</v>
      </c>
      <c r="AL32" s="130">
        <f t="shared" si="24"/>
        <v>1</v>
      </c>
      <c r="AM32" s="76">
        <f t="shared" si="24"/>
        <v>2.13732811143964E-3</v>
      </c>
      <c r="AN32" s="76">
        <f t="shared" si="24"/>
        <v>8.4173497854797448E-3</v>
      </c>
      <c r="AO32" s="77">
        <f t="shared" si="24"/>
        <v>0.98944532210308067</v>
      </c>
      <c r="AP32" s="56">
        <f t="shared" si="29"/>
        <v>1</v>
      </c>
      <c r="AQ32" s="102">
        <f>(AR34*(AM33-AM34)+AQ33*(AI33-AM33))/(AI32-AM33)</f>
        <v>7.9267875705060931</v>
      </c>
      <c r="AR32" s="6">
        <f t="shared" si="30"/>
        <v>6.24123153071681</v>
      </c>
      <c r="AS32" s="4">
        <f t="shared" si="31"/>
        <v>2.1407256285513442E-3</v>
      </c>
      <c r="AT32" s="5">
        <f t="shared" si="25"/>
        <v>7.4716474601741751</v>
      </c>
      <c r="AU32" s="6">
        <f t="shared" si="25"/>
        <v>2148.5647710348358</v>
      </c>
    </row>
    <row r="33" spans="1:47" ht="15.75" thickBot="1" x14ac:dyDescent="0.3">
      <c r="A33" s="34" t="s">
        <v>35</v>
      </c>
      <c r="B33" s="35">
        <v>10.6456</v>
      </c>
      <c r="C33" s="35">
        <v>0.56320000000000003</v>
      </c>
      <c r="D33" s="36"/>
      <c r="E33" s="36"/>
      <c r="J33" s="33">
        <f t="shared" si="32"/>
        <v>1.1265721288840772E-3</v>
      </c>
      <c r="K33" s="33">
        <f t="shared" si="33"/>
        <v>4.6051454228513778E-4</v>
      </c>
      <c r="L33" s="33">
        <f t="shared" si="34"/>
        <v>1</v>
      </c>
      <c r="M33" s="33">
        <f t="shared" si="26"/>
        <v>2.1373281114398933E-3</v>
      </c>
      <c r="N33" s="33">
        <f t="shared" si="26"/>
        <v>8.4173497854797604E-3</v>
      </c>
      <c r="T33" s="33"/>
      <c r="U33" s="33"/>
      <c r="V33" s="33"/>
      <c r="W33" s="33"/>
      <c r="X33" s="33"/>
      <c r="Y33" s="33"/>
      <c r="Z33" s="33">
        <f t="shared" si="27"/>
        <v>1.0000047268812033</v>
      </c>
      <c r="AA33" s="72">
        <f>AN6</f>
        <v>0.99938030706588321</v>
      </c>
      <c r="AB33" s="73">
        <f>AN13</f>
        <v>1.6804132587062957E-4</v>
      </c>
      <c r="AC33" s="74">
        <f>AN20</f>
        <v>4.5637848944952167E-4</v>
      </c>
      <c r="AH33" s="100">
        <v>5</v>
      </c>
      <c r="AI33" s="78">
        <f t="shared" si="28"/>
        <v>0.99938030706588332</v>
      </c>
      <c r="AJ33" s="79">
        <f t="shared" si="24"/>
        <v>1.6331041822484647E-4</v>
      </c>
      <c r="AK33" s="79">
        <f t="shared" si="24"/>
        <v>4.5638251589187986E-4</v>
      </c>
      <c r="AL33" s="131">
        <f t="shared" si="24"/>
        <v>1</v>
      </c>
      <c r="AM33" s="79">
        <f t="shared" si="24"/>
        <v>1.9407214586455077E-3</v>
      </c>
      <c r="AN33" s="79">
        <f t="shared" si="24"/>
        <v>1.2244101144761222E-3</v>
      </c>
      <c r="AO33" s="80">
        <f t="shared" si="24"/>
        <v>0.9968348684268783</v>
      </c>
      <c r="AP33" s="57">
        <f t="shared" si="29"/>
        <v>0.99999999999999989</v>
      </c>
      <c r="AQ33" s="4">
        <f>(AP24*(AQ24-AQ25)-AR29*(AM29-AQ25))/(AI33-AQ25)</f>
        <v>7.9070853990228436</v>
      </c>
      <c r="AR33" s="6">
        <f>AR34+AQ32-AQ33</f>
        <v>6.1944167632026179</v>
      </c>
      <c r="AS33" s="7">
        <f t="shared" si="31"/>
        <v>1.941924855757206E-3</v>
      </c>
      <c r="AT33" s="8">
        <f t="shared" si="25"/>
        <v>7.4974403212313687</v>
      </c>
      <c r="AU33" s="9">
        <f t="shared" si="25"/>
        <v>2184.2091528831384</v>
      </c>
    </row>
    <row r="34" spans="1:47" ht="15.75" thickBot="1" x14ac:dyDescent="0.3">
      <c r="J34" s="33">
        <f t="shared" si="32"/>
        <v>1.6331041822484644E-4</v>
      </c>
      <c r="K34" s="33">
        <f t="shared" si="33"/>
        <v>4.5638251589187986E-4</v>
      </c>
      <c r="L34" s="33">
        <f t="shared" si="34"/>
        <v>1</v>
      </c>
      <c r="M34" s="33">
        <f t="shared" si="26"/>
        <v>1.9407214586455298E-3</v>
      </c>
      <c r="N34" s="33">
        <f t="shared" si="26"/>
        <v>1.2244101144761224E-3</v>
      </c>
      <c r="T34" s="33"/>
      <c r="U34" s="33"/>
      <c r="V34" s="33"/>
      <c r="W34" s="33"/>
      <c r="X34" s="33"/>
      <c r="Y34" s="33"/>
      <c r="Z34" s="33"/>
      <c r="AM34" s="70">
        <v>0</v>
      </c>
      <c r="AN34">
        <f>AR25</f>
        <v>0</v>
      </c>
      <c r="AO34" s="71">
        <v>1</v>
      </c>
      <c r="AQ34" s="7"/>
      <c r="AR34" s="103">
        <f>AP25</f>
        <v>6.1747145917193684</v>
      </c>
    </row>
    <row r="35" spans="1:47" ht="26.25" thickBot="1" x14ac:dyDescent="0.3">
      <c r="A35" s="139" t="s">
        <v>91</v>
      </c>
      <c r="B35" s="37" t="s">
        <v>92</v>
      </c>
      <c r="C35" s="37" t="s">
        <v>93</v>
      </c>
      <c r="D35" s="139" t="s">
        <v>36</v>
      </c>
      <c r="E35" s="139" t="s">
        <v>37</v>
      </c>
    </row>
    <row r="36" spans="1:47" ht="15.75" thickBot="1" x14ac:dyDescent="0.3">
      <c r="A36" s="140"/>
      <c r="B36" s="141" t="s">
        <v>38</v>
      </c>
      <c r="C36" s="141"/>
      <c r="D36" s="140"/>
      <c r="E36" s="140"/>
      <c r="I36" s="38" t="s">
        <v>39</v>
      </c>
      <c r="J36" s="39" t="s">
        <v>40</v>
      </c>
      <c r="K36" s="40" t="s">
        <v>41</v>
      </c>
      <c r="L36" s="41"/>
      <c r="M36" s="38" t="s">
        <v>42</v>
      </c>
      <c r="N36" s="39" t="s">
        <v>43</v>
      </c>
      <c r="O36" s="40" t="s">
        <v>44</v>
      </c>
      <c r="P36" s="42" t="s">
        <v>94</v>
      </c>
      <c r="Q36" s="43" t="s">
        <v>95</v>
      </c>
      <c r="R36" s="44" t="s">
        <v>96</v>
      </c>
      <c r="S36" s="42" t="s">
        <v>97</v>
      </c>
      <c r="T36" s="43" t="s">
        <v>98</v>
      </c>
      <c r="U36" s="44" t="s">
        <v>99</v>
      </c>
      <c r="V36" s="45" t="s">
        <v>45</v>
      </c>
      <c r="W36" s="46" t="s">
        <v>46</v>
      </c>
      <c r="X36" s="47" t="s">
        <v>47</v>
      </c>
      <c r="Y36" s="42" t="s">
        <v>100</v>
      </c>
      <c r="Z36" s="43" t="s">
        <v>101</v>
      </c>
      <c r="AA36" s="43" t="s">
        <v>102</v>
      </c>
      <c r="AB36" s="19" t="s">
        <v>48</v>
      </c>
      <c r="AC36" s="93" t="s">
        <v>49</v>
      </c>
      <c r="AD36" s="22" t="s">
        <v>50</v>
      </c>
      <c r="AH36" s="133"/>
    </row>
    <row r="37" spans="1:47" x14ac:dyDescent="0.25">
      <c r="I37" s="33">
        <f>1-J37-K37</f>
        <v>0.78802879767399159</v>
      </c>
      <c r="J37" s="149">
        <v>0.20996751270862013</v>
      </c>
      <c r="K37" s="149">
        <v>2.0036896173882511E-3</v>
      </c>
      <c r="L37" s="48">
        <v>1</v>
      </c>
      <c r="M37" s="48">
        <v>3.6437514063293944E-2</v>
      </c>
      <c r="N37" s="69">
        <v>0.69699838628554867</v>
      </c>
      <c r="O37" s="33">
        <f>1-M37-N37</f>
        <v>0.26656409965115735</v>
      </c>
      <c r="P37">
        <f>I37+$N$25*J37+$P$25*K37</f>
        <v>0.85575465403645701</v>
      </c>
      <c r="Q37">
        <f>$M$25*I37+J37+$R$25*K37</f>
        <v>0.55103228261512827</v>
      </c>
      <c r="R37">
        <f>$O$25*I37+$Q$25*J37+K37</f>
        <v>8.6737482089526391E-2</v>
      </c>
      <c r="S37">
        <f>J37*$H$25*$N$25+K37*$J$25*$P$25</f>
        <v>0.19257767210684756</v>
      </c>
      <c r="T37">
        <f>I37*$G$25*$M$25+K37*$L$25*$R$25</f>
        <v>0.71519924254594713</v>
      </c>
      <c r="U37">
        <f>I37*$I$25*$O$25+J37*$K$25*$Q$25</f>
        <v>0.48042763384068599</v>
      </c>
      <c r="V37">
        <f>S37/P37-I37*S37/P37^2+J37*$M$25/Q37*($G$25-T37/Q37)+K37*$O$25/R37*($I$25-U37/R37)</f>
        <v>0.15273951582850981</v>
      </c>
      <c r="W37">
        <f>T37/Q37-J37*T37/Q37^2+(I37*$N$25/P37)*($H$25-S37/P37)+(K37*$Q$25/R37)*($K$25-U37/R37)</f>
        <v>1.5696455429496627</v>
      </c>
      <c r="X37">
        <f>U37/R37-K37*U37/R37^2+I37*$P$25/P37*($J$25-S37/P37)+J37*$R$25/Q37*($L$25-T37/Q37)</f>
        <v>5.4996339831169232</v>
      </c>
      <c r="Y37">
        <f>EXP(V37)</f>
        <v>1.1650214697624659</v>
      </c>
      <c r="Z37">
        <f t="shared" ref="Z37:AA41" si="35">EXP(W37)</f>
        <v>4.8049447453518903</v>
      </c>
      <c r="AA37">
        <f t="shared" si="35"/>
        <v>244.60238727434773</v>
      </c>
      <c r="AB37">
        <f>Y37/Y43</f>
        <v>4.6238923033920167E-2</v>
      </c>
      <c r="AC37">
        <f t="shared" ref="AC37:AD41" si="36">Z37/Z43</f>
        <v>3.3195699118201376</v>
      </c>
      <c r="AD37">
        <f t="shared" si="36"/>
        <v>133.03788193864321</v>
      </c>
    </row>
    <row r="38" spans="1:47" x14ac:dyDescent="0.25">
      <c r="I38" s="33">
        <f t="shared" ref="I38:I41" si="37">1-J38-K38</f>
        <v>0.95958550893442629</v>
      </c>
      <c r="J38" s="149">
        <v>3.9773762483705156E-2</v>
      </c>
      <c r="K38" s="149">
        <v>6.4072858186861982E-4</v>
      </c>
      <c r="L38">
        <v>1</v>
      </c>
      <c r="M38" s="48">
        <v>2.0468571186253004E-2</v>
      </c>
      <c r="N38">
        <v>0.25102673856599955</v>
      </c>
      <c r="O38" s="33">
        <f t="shared" ref="O38:O41" si="38">1-M38-N38</f>
        <v>0.72850469024774744</v>
      </c>
      <c r="P38">
        <f t="shared" ref="P38:P41" si="39">I38+$N$25*J38+$P$25*K38</f>
        <v>0.97243719513477556</v>
      </c>
      <c r="Q38">
        <f t="shared" ref="Q38:Q41" si="40">$M$25*I38+J38+$R$25*K38</f>
        <v>0.45343728070513767</v>
      </c>
      <c r="R38">
        <f t="shared" ref="R38:R41" si="41">$O$25*I38+$Q$25*J38+K38</f>
        <v>6.0658720986774044E-2</v>
      </c>
      <c r="S38">
        <f t="shared" ref="S38:S41" si="42">J38*$H$25*$N$25+K38*$J$25*$P$25</f>
        <v>3.6617546425076003E-2</v>
      </c>
      <c r="T38">
        <f t="shared" ref="T38:T41" si="43">I38*$G$25*$M$25+K38*$L$25*$R$25</f>
        <v>0.87054888964928523</v>
      </c>
      <c r="U38">
        <f t="shared" ref="U38:U41" si="44">I38*$I$25*$O$25+J38*$K$25*$Q$25</f>
        <v>0.41130386276322178</v>
      </c>
      <c r="V38">
        <f t="shared" ref="V38:V41" si="45">S38/P38-I38*S38/P38^2+J38*$M$25/Q38*($G$25-T38/Q38)+K38*$O$25/R38*($I$25-U38/R38)</f>
        <v>7.8587188480175093E-3</v>
      </c>
      <c r="W38">
        <f t="shared" ref="W38:W41" si="46">T38/Q38-J38*T38/Q38^2+(I38*$N$25/P38)*($H$25-S38/P38)+(K38*$Q$25/R38)*($K$25-U38/R38)</f>
        <v>2.6337931188827883</v>
      </c>
      <c r="X38">
        <f t="shared" ref="X38:X41" si="47">U38/R38-K38*U38/R38^2+I38*$P$25/P38*($J$25-S38/P38)+J38*$R$25/Q38*($L$25-T38/Q38)</f>
        <v>7.0893543831975014</v>
      </c>
      <c r="Y38">
        <f t="shared" ref="Y38:Y41" si="48">EXP(V38)</f>
        <v>1.007889679629868</v>
      </c>
      <c r="Z38">
        <f t="shared" si="35"/>
        <v>13.92649469320553</v>
      </c>
      <c r="AA38">
        <f t="shared" si="35"/>
        <v>1199.1333699929273</v>
      </c>
      <c r="AB38">
        <f>Y38/Y44</f>
        <v>2.1331096828105457E-2</v>
      </c>
      <c r="AC38">
        <f t="shared" si="36"/>
        <v>6.3113657334558813</v>
      </c>
      <c r="AD38">
        <f t="shared" si="36"/>
        <v>1136.9944100467069</v>
      </c>
    </row>
    <row r="39" spans="1:47" x14ac:dyDescent="0.25">
      <c r="A39" s="49" t="s">
        <v>57</v>
      </c>
      <c r="B39">
        <f>8.314/1000</f>
        <v>8.3140000000000002E-3</v>
      </c>
      <c r="C39" t="s">
        <v>58</v>
      </c>
      <c r="I39" s="33">
        <f t="shared" si="37"/>
        <v>0.99271629786813675</v>
      </c>
      <c r="J39" s="149">
        <v>6.7985293422953182E-3</v>
      </c>
      <c r="K39" s="149">
        <v>4.8517278956799965E-4</v>
      </c>
      <c r="L39">
        <v>1</v>
      </c>
      <c r="M39" s="48">
        <v>3.5365736247621416E-3</v>
      </c>
      <c r="N39">
        <v>4.9746217912812071E-2</v>
      </c>
      <c r="O39" s="33">
        <f t="shared" si="38"/>
        <v>0.9467172084624258</v>
      </c>
      <c r="P39">
        <f t="shared" si="39"/>
        <v>0.99494540033542633</v>
      </c>
      <c r="Q39">
        <f t="shared" si="40"/>
        <v>0.43458108281450675</v>
      </c>
      <c r="R39">
        <f t="shared" si="41"/>
        <v>5.5708562545061242E-2</v>
      </c>
      <c r="S39">
        <f t="shared" si="42"/>
        <v>6.4573967712999152E-3</v>
      </c>
      <c r="T39">
        <f t="shared" si="43"/>
        <v>0.90057084447533287</v>
      </c>
      <c r="U39">
        <f t="shared" si="44"/>
        <v>0.39786815803982267</v>
      </c>
      <c r="V39">
        <f t="shared" si="45"/>
        <v>3.1717959493941366E-4</v>
      </c>
      <c r="W39">
        <f t="shared" si="46"/>
        <v>2.9424399935512286</v>
      </c>
      <c r="X39">
        <f t="shared" si="47"/>
        <v>7.5793421742221883</v>
      </c>
      <c r="Y39">
        <f t="shared" si="48"/>
        <v>1.0003172299017058</v>
      </c>
      <c r="Z39">
        <f t="shared" si="35"/>
        <v>18.962057209491959</v>
      </c>
      <c r="AA39">
        <f t="shared" si="35"/>
        <v>1957.3409524559615</v>
      </c>
      <c r="AB39">
        <f>Y39/Y45</f>
        <v>3.5625219737558606E-3</v>
      </c>
      <c r="AC39">
        <f t="shared" si="36"/>
        <v>7.3172027961038824</v>
      </c>
      <c r="AD39">
        <f t="shared" si="36"/>
        <v>1951.2990604971974</v>
      </c>
    </row>
    <row r="40" spans="1:47" x14ac:dyDescent="0.25">
      <c r="A40" s="49" t="s">
        <v>59</v>
      </c>
      <c r="B40">
        <v>318.14999999999998</v>
      </c>
      <c r="C40" t="s">
        <v>60</v>
      </c>
      <c r="I40" s="33">
        <f t="shared" si="37"/>
        <v>0.99841291332883075</v>
      </c>
      <c r="J40" s="149">
        <v>1.1265721288840794E-3</v>
      </c>
      <c r="K40" s="149">
        <v>4.6051454228513843E-4</v>
      </c>
      <c r="L40">
        <v>1</v>
      </c>
      <c r="M40" s="48">
        <v>2.13732811143964E-3</v>
      </c>
      <c r="N40">
        <v>8.4173497854797448E-3</v>
      </c>
      <c r="O40" s="33">
        <f t="shared" si="38"/>
        <v>0.98944532210308067</v>
      </c>
      <c r="P40">
        <f t="shared" si="39"/>
        <v>0.99881504223513395</v>
      </c>
      <c r="Q40">
        <f t="shared" si="40"/>
        <v>0.43133871639011917</v>
      </c>
      <c r="R40">
        <f t="shared" si="41"/>
        <v>5.4859087217198899E-2</v>
      </c>
      <c r="S40">
        <f t="shared" si="42"/>
        <v>1.2707604754409925E-3</v>
      </c>
      <c r="T40">
        <f t="shared" si="43"/>
        <v>0.90573332528812145</v>
      </c>
      <c r="U40">
        <f t="shared" si="44"/>
        <v>0.39555629892592664</v>
      </c>
      <c r="V40">
        <f t="shared" si="45"/>
        <v>4.2738844336030356E-5</v>
      </c>
      <c r="W40">
        <f t="shared" si="46"/>
        <v>3.0003516206563088</v>
      </c>
      <c r="X40">
        <f t="shared" si="47"/>
        <v>7.67306934521232</v>
      </c>
      <c r="Y40">
        <f t="shared" si="48"/>
        <v>1.0000427397576535</v>
      </c>
      <c r="Z40">
        <f t="shared" si="35"/>
        <v>20.092600654667084</v>
      </c>
      <c r="AA40">
        <f t="shared" si="35"/>
        <v>2149.6694072140695</v>
      </c>
      <c r="AB40">
        <f>Y40/Y46</f>
        <v>2.1407256285518516E-3</v>
      </c>
      <c r="AC40">
        <f t="shared" si="36"/>
        <v>7.4716474601742027</v>
      </c>
      <c r="AD40">
        <f t="shared" si="36"/>
        <v>2148.5647710348421</v>
      </c>
    </row>
    <row r="41" spans="1:47" ht="15.75" thickBot="1" x14ac:dyDescent="0.3">
      <c r="I41" s="33">
        <f t="shared" si="37"/>
        <v>0.99938030706588332</v>
      </c>
      <c r="J41" s="149">
        <v>1.6331041822484647E-4</v>
      </c>
      <c r="K41" s="149">
        <v>4.5638251589187986E-4</v>
      </c>
      <c r="L41">
        <v>1</v>
      </c>
      <c r="M41" s="48">
        <v>1.9407214586455077E-3</v>
      </c>
      <c r="N41">
        <v>1.2244101144761222E-3</v>
      </c>
      <c r="O41" s="33">
        <f t="shared" si="38"/>
        <v>0.9968348684268783</v>
      </c>
      <c r="P41">
        <f t="shared" si="39"/>
        <v>0.99947216803192884</v>
      </c>
      <c r="Q41">
        <f t="shared" si="40"/>
        <v>0.43078809633056253</v>
      </c>
      <c r="R41">
        <f t="shared" si="41"/>
        <v>5.471487447261035E-2</v>
      </c>
      <c r="S41">
        <f t="shared" si="42"/>
        <v>3.8994962344674085E-4</v>
      </c>
      <c r="T41">
        <f t="shared" si="43"/>
        <v>0.90661002363045651</v>
      </c>
      <c r="U41">
        <f t="shared" si="44"/>
        <v>0.39516365665842623</v>
      </c>
      <c r="V41">
        <f t="shared" si="45"/>
        <v>2.884846638275546E-5</v>
      </c>
      <c r="W41">
        <f t="shared" si="46"/>
        <v>3.0103384707521048</v>
      </c>
      <c r="X41">
        <f t="shared" si="47"/>
        <v>7.6892913971426422</v>
      </c>
      <c r="Y41">
        <f t="shared" si="48"/>
        <v>1.0000288488825038</v>
      </c>
      <c r="Z41">
        <f t="shared" si="35"/>
        <v>20.29426777897012</v>
      </c>
      <c r="AA41">
        <f t="shared" si="35"/>
        <v>2184.8258397455825</v>
      </c>
      <c r="AB41">
        <f>Y41/Y47</f>
        <v>1.94192485575725E-3</v>
      </c>
      <c r="AC41">
        <f t="shared" si="36"/>
        <v>7.4974403212313714</v>
      </c>
      <c r="AD41">
        <f t="shared" si="36"/>
        <v>2184.2091528831384</v>
      </c>
    </row>
    <row r="42" spans="1:47" ht="15.75" thickBot="1" x14ac:dyDescent="0.3">
      <c r="P42" s="42" t="s">
        <v>103</v>
      </c>
      <c r="Q42" s="43" t="s">
        <v>104</v>
      </c>
      <c r="R42" s="44" t="s">
        <v>105</v>
      </c>
      <c r="S42" s="42" t="s">
        <v>106</v>
      </c>
      <c r="T42" s="43" t="s">
        <v>107</v>
      </c>
      <c r="U42" s="44" t="s">
        <v>108</v>
      </c>
      <c r="V42" s="45" t="s">
        <v>51</v>
      </c>
      <c r="W42" s="46" t="s">
        <v>52</v>
      </c>
      <c r="X42" s="47" t="s">
        <v>53</v>
      </c>
      <c r="Y42" s="42" t="s">
        <v>109</v>
      </c>
      <c r="Z42" s="43" t="s">
        <v>110</v>
      </c>
      <c r="AA42" s="43" t="s">
        <v>111</v>
      </c>
      <c r="AB42" s="19" t="s">
        <v>54</v>
      </c>
      <c r="AC42" s="93" t="s">
        <v>55</v>
      </c>
      <c r="AD42" s="22" t="s">
        <v>56</v>
      </c>
    </row>
    <row r="43" spans="1:47" x14ac:dyDescent="0.25">
      <c r="P43">
        <f>M37+$N$25*N37+$P$25*O37</f>
        <v>0.28364942606127796</v>
      </c>
      <c r="Q43">
        <f>$M$25*M37+N37+$R$25*O37</f>
        <v>0.95748479775324413</v>
      </c>
      <c r="R43">
        <f>$O$25*M37+$Q$25*N37+O37</f>
        <v>0.40788199039004819</v>
      </c>
      <c r="S43">
        <f>N37*$H$25*$N$25+O37*$J$25*$P$25</f>
        <v>0.77651593808953268</v>
      </c>
      <c r="T43">
        <f>M37*$G$25*$M$25+O37*$L$25*$R$25</f>
        <v>8.5175397836872571E-2</v>
      </c>
      <c r="U43">
        <f>M37*$I$25*$O$25+N37*$K$25*$Q$25</f>
        <v>0.57520101277912017</v>
      </c>
      <c r="V43">
        <f>S43/P43-M37*S43/P43^2+N37*$M$25/Q43*($G$25-T43/Q43)+O37*$O$25/R43*($I$25-U43/R43)</f>
        <v>3.2266728615066831</v>
      </c>
      <c r="W43">
        <f>T43/Q43-N37*T43/Q43^2+(M37*$N$25/P43)*($H$25-S43/P43)+(O37*$Q$25/R43)*($K$25-U43/R43)</f>
        <v>0.36981031304538481</v>
      </c>
      <c r="X43">
        <f>U43/R43-O37*U43/R43^2+M37*$P$25/P43*($J$25-S43/P43)+N37*$R$25/Q43*($L$25-T43/Q43)</f>
        <v>0.60900006884422675</v>
      </c>
      <c r="Y43">
        <f>EXP(V43)</f>
        <v>25.195687817119442</v>
      </c>
      <c r="Z43">
        <f t="shared" ref="Z43:AA47" si="49">EXP(W43)</f>
        <v>1.4474600243371027</v>
      </c>
      <c r="AA43">
        <f t="shared" si="49"/>
        <v>1.8385920138683345</v>
      </c>
      <c r="AB43">
        <f>Y43/Y37</f>
        <v>21.62680128311845</v>
      </c>
      <c r="AC43">
        <f>Z43/Z37</f>
        <v>0.30124384380014302</v>
      </c>
      <c r="AD43">
        <f>AA43/AA37</f>
        <v>7.5166560488477852E-3</v>
      </c>
    </row>
    <row r="44" spans="1:47" x14ac:dyDescent="0.25">
      <c r="P44">
        <f>M38+$N$25*N38+$P$25*O38</f>
        <v>0.16399486093440535</v>
      </c>
      <c r="Q44">
        <f t="shared" ref="Q44:Q47" si="50">$M$25*M38+N38+$R$25*O38</f>
        <v>0.92886543869263183</v>
      </c>
      <c r="R44">
        <f t="shared" ref="R44:R47" si="51">$O$25*M38+$Q$25*N38+O38</f>
        <v>0.77979945068663792</v>
      </c>
      <c r="S44">
        <f t="shared" ref="S44:S47" si="52">N38*$H$25*$N$25+O38*$J$25*$P$25</f>
        <v>0.61365024944148916</v>
      </c>
      <c r="T44">
        <f t="shared" ref="T44:T47" si="53">M38*$G$25*$M$25+O38*$L$25*$R$25</f>
        <v>0.16101742666721056</v>
      </c>
      <c r="U44">
        <f t="shared" ref="U44:U47" si="54">M38*$I$25*$O$25+N38*$K$25*$Q$25</f>
        <v>0.21006442172636808</v>
      </c>
      <c r="V44">
        <f t="shared" ref="V44:V47" si="55">S44/P44-M38*S44/P44^2+N38*$M$25/Q44*($G$25-T44/Q44)+O38*$O$25/R44*($I$25-U44/R44)</f>
        <v>3.8554480448168458</v>
      </c>
      <c r="W44">
        <f t="shared" ref="W44:W47" si="56">T44/Q44-N38*T44/Q44^2+(M38*$N$25/P44)*($H$25-S44/P44)+(O38*$Q$25/R44)*($K$25-U44/R44)</f>
        <v>0.79144102621590295</v>
      </c>
      <c r="X44">
        <f t="shared" ref="X44:X47" si="57">U44/R44-O38*U44/R44^2+M38*$P$25/P44*($J$25-S44/P44)+N38*$R$25/Q44*($L$25-T44/Q44)</f>
        <v>5.3210805864761623E-2</v>
      </c>
      <c r="Y44">
        <f t="shared" ref="Y44:Y47" si="58">EXP(V44)</f>
        <v>47.249782219444583</v>
      </c>
      <c r="Z44">
        <f t="shared" si="49"/>
        <v>2.2065738671081374</v>
      </c>
      <c r="AA44">
        <f t="shared" si="49"/>
        <v>1.0546519485031309</v>
      </c>
      <c r="AB44">
        <f t="shared" ref="AB44:AD47" si="59">Y44/Y38</f>
        <v>46.879914711296912</v>
      </c>
      <c r="AC44">
        <f t="shared" si="59"/>
        <v>0.15844431177535884</v>
      </c>
      <c r="AD44">
        <f t="shared" si="59"/>
        <v>8.7951179985037975E-4</v>
      </c>
    </row>
    <row r="45" spans="1:47" x14ac:dyDescent="0.25">
      <c r="P45">
        <f t="shared" ref="P45:P47" si="60">M39+$N$25*N39+$P$25*O39</f>
        <v>0.10110421607031149</v>
      </c>
      <c r="Q45">
        <f t="shared" si="50"/>
        <v>0.92069320236501162</v>
      </c>
      <c r="R45">
        <f t="shared" si="51"/>
        <v>0.95685414321385109</v>
      </c>
      <c r="S45">
        <f t="shared" si="52"/>
        <v>0.54527906441481944</v>
      </c>
      <c r="T45">
        <f t="shared" si="53"/>
        <v>0.18832765620348058</v>
      </c>
      <c r="U45">
        <f t="shared" si="54"/>
        <v>4.1423248005847998E-2</v>
      </c>
      <c r="V45">
        <f t="shared" si="55"/>
        <v>5.6376037449295096</v>
      </c>
      <c r="W45">
        <f t="shared" si="56"/>
        <v>0.95221187028872178</v>
      </c>
      <c r="X45">
        <f t="shared" si="57"/>
        <v>3.0915595966765495E-3</v>
      </c>
      <c r="Y45">
        <f t="shared" si="58"/>
        <v>280.78906944877065</v>
      </c>
      <c r="Z45">
        <f t="shared" si="49"/>
        <v>2.5914352434769876</v>
      </c>
      <c r="AA45">
        <f t="shared" si="49"/>
        <v>1.003096343395576</v>
      </c>
      <c r="AB45">
        <f t="shared" si="59"/>
        <v>280.700023008063</v>
      </c>
      <c r="AC45">
        <f t="shared" si="59"/>
        <v>0.13666424559566123</v>
      </c>
      <c r="AD45">
        <f t="shared" si="59"/>
        <v>5.1247910699305963E-4</v>
      </c>
    </row>
    <row r="46" spans="1:47" x14ac:dyDescent="0.25">
      <c r="P46">
        <f t="shared" si="60"/>
        <v>9.0089321163537295E-2</v>
      </c>
      <c r="Q46">
        <f t="shared" si="50"/>
        <v>0.91800166943877493</v>
      </c>
      <c r="R46">
        <f t="shared" si="51"/>
        <v>0.99124405143905592</v>
      </c>
      <c r="S46">
        <f t="shared" si="52"/>
        <v>0.53014348352312213</v>
      </c>
      <c r="T46">
        <f t="shared" si="53"/>
        <v>0.19541341703877416</v>
      </c>
      <c r="U46">
        <f t="shared" si="54"/>
        <v>7.6173545147959921E-3</v>
      </c>
      <c r="V46">
        <f t="shared" si="55"/>
        <v>6.1466531675043772</v>
      </c>
      <c r="W46">
        <f t="shared" si="56"/>
        <v>0.98923610229704906</v>
      </c>
      <c r="X46">
        <f t="shared" si="57"/>
        <v>5.1399535611011324E-4</v>
      </c>
      <c r="Y46">
        <f t="shared" si="58"/>
        <v>467.15129039406969</v>
      </c>
      <c r="Z46">
        <f t="shared" si="49"/>
        <v>2.6891794295389069</v>
      </c>
      <c r="AA46">
        <f t="shared" si="49"/>
        <v>1.0005141274743583</v>
      </c>
      <c r="AB46">
        <f t="shared" si="59"/>
        <v>467.13132531443341</v>
      </c>
      <c r="AC46">
        <f t="shared" si="59"/>
        <v>0.13383929117778329</v>
      </c>
      <c r="AD46">
        <f t="shared" si="59"/>
        <v>4.6542697408110095E-4</v>
      </c>
    </row>
    <row r="47" spans="1:47" x14ac:dyDescent="0.25">
      <c r="P47">
        <f t="shared" si="60"/>
        <v>8.8215149801824197E-2</v>
      </c>
      <c r="Q47">
        <f t="shared" si="50"/>
        <v>0.91751033927033365</v>
      </c>
      <c r="R47">
        <f t="shared" si="51"/>
        <v>0.99718494955296966</v>
      </c>
      <c r="S47">
        <f t="shared" si="52"/>
        <v>0.52748448809740101</v>
      </c>
      <c r="T47">
        <f t="shared" si="53"/>
        <v>0.19668001952829475</v>
      </c>
      <c r="U47">
        <f t="shared" si="54"/>
        <v>1.7522713810758986E-3</v>
      </c>
      <c r="V47">
        <f t="shared" si="55"/>
        <v>6.2441044525827918</v>
      </c>
      <c r="W47">
        <f t="shared" si="56"/>
        <v>0.9957767989651819</v>
      </c>
      <c r="X47">
        <f t="shared" si="57"/>
        <v>2.8229889098149832E-4</v>
      </c>
      <c r="Y47">
        <f t="shared" si="58"/>
        <v>514.96784024248166</v>
      </c>
      <c r="Z47">
        <f t="shared" si="49"/>
        <v>2.706826184598027</v>
      </c>
      <c r="AA47">
        <f t="shared" si="49"/>
        <v>1.0002823387410633</v>
      </c>
      <c r="AB47">
        <f t="shared" si="59"/>
        <v>514.95298442433909</v>
      </c>
      <c r="AC47">
        <f t="shared" si="59"/>
        <v>0.1333788542695277</v>
      </c>
      <c r="AD47">
        <f t="shared" si="59"/>
        <v>4.5783161318594789E-4</v>
      </c>
    </row>
    <row r="48" spans="1:47" ht="15.75" thickBot="1" x14ac:dyDescent="0.3"/>
    <row r="49" spans="8:16" ht="15.75" thickBot="1" x14ac:dyDescent="0.3">
      <c r="H49" s="50" t="s">
        <v>61</v>
      </c>
      <c r="I49" s="38" t="s">
        <v>39</v>
      </c>
      <c r="J49" s="39" t="s">
        <v>40</v>
      </c>
      <c r="K49" s="40" t="s">
        <v>41</v>
      </c>
      <c r="L49" s="41"/>
      <c r="M49" s="38" t="s">
        <v>42</v>
      </c>
      <c r="N49" s="39" t="s">
        <v>43</v>
      </c>
      <c r="O49" s="40" t="s">
        <v>44</v>
      </c>
      <c r="P49" s="50" t="s">
        <v>61</v>
      </c>
    </row>
    <row r="50" spans="8:16" x14ac:dyDescent="0.25">
      <c r="H50" s="51">
        <f>SUM(I50:K50)</f>
        <v>0.99999701955689613</v>
      </c>
      <c r="I50" s="33">
        <f t="shared" ref="I50:K54" si="61">M37*AB43</f>
        <v>0.78802687589769205</v>
      </c>
      <c r="J50" s="33">
        <f t="shared" si="61"/>
        <v>0.20996647300715557</v>
      </c>
      <c r="K50" s="33">
        <f t="shared" si="61"/>
        <v>2.0036706520485358E-3</v>
      </c>
      <c r="L50" s="33"/>
      <c r="M50" s="33">
        <f t="shared" ref="M50:O54" si="62">I37*AB37</f>
        <v>3.6437602924160345E-2</v>
      </c>
      <c r="N50" s="33">
        <f t="shared" si="62"/>
        <v>0.69700183764724777</v>
      </c>
      <c r="O50" s="33">
        <f t="shared" si="62"/>
        <v>0.26656662275978332</v>
      </c>
      <c r="P50" s="51">
        <f>SUM(M50:O50)</f>
        <v>1.0000060633311914</v>
      </c>
    </row>
    <row r="51" spans="8:16" x14ac:dyDescent="0.25">
      <c r="H51" s="51">
        <f>SUM(I51:K51)</f>
        <v>0.99997935877427224</v>
      </c>
      <c r="I51" s="33">
        <f t="shared" si="61"/>
        <v>0.95956487147365033</v>
      </c>
      <c r="J51" s="33">
        <f t="shared" si="61"/>
        <v>3.977375882930273E-2</v>
      </c>
      <c r="K51" s="33">
        <f t="shared" si="61"/>
        <v>6.4072847131923974E-4</v>
      </c>
      <c r="L51" s="33"/>
      <c r="M51" s="33">
        <f t="shared" si="62"/>
        <v>2.04690114059271E-2</v>
      </c>
      <c r="N51" s="33">
        <f t="shared" si="62"/>
        <v>0.25102676163026982</v>
      </c>
      <c r="O51" s="33">
        <f t="shared" si="62"/>
        <v>0.72850481594177452</v>
      </c>
      <c r="P51" s="51">
        <f>SUM(M51:O51)</f>
        <v>1.0000005889779715</v>
      </c>
    </row>
    <row r="52" spans="8:16" x14ac:dyDescent="0.25">
      <c r="H52" s="51">
        <f>SUM(I52:K52)</f>
        <v>0.9999999999723016</v>
      </c>
      <c r="I52" s="33">
        <f t="shared" si="61"/>
        <v>0.99271629784044191</v>
      </c>
      <c r="J52" s="33">
        <f t="shared" si="61"/>
        <v>6.7985293422918314E-3</v>
      </c>
      <c r="K52" s="33">
        <f t="shared" si="61"/>
        <v>4.8517278956778623E-4</v>
      </c>
      <c r="L52" s="33"/>
      <c r="M52" s="33">
        <f t="shared" si="62"/>
        <v>3.5365736248608053E-3</v>
      </c>
      <c r="N52" s="33">
        <f t="shared" si="62"/>
        <v>4.9746217912837593E-2</v>
      </c>
      <c r="O52" s="33">
        <f t="shared" si="62"/>
        <v>0.94671720846284213</v>
      </c>
      <c r="P52" s="51">
        <f>SUM(M52:O52)</f>
        <v>1.0000000000005405</v>
      </c>
    </row>
    <row r="53" spans="8:16" x14ac:dyDescent="0.25">
      <c r="H53" s="51">
        <f>SUM(I53:K53)</f>
        <v>0.9999999999997633</v>
      </c>
      <c r="I53" s="33">
        <f t="shared" si="61"/>
        <v>0.99841291332859405</v>
      </c>
      <c r="J53" s="33">
        <f t="shared" si="61"/>
        <v>1.1265721288840752E-3</v>
      </c>
      <c r="K53" s="33">
        <f t="shared" si="61"/>
        <v>4.6051454228513713E-4</v>
      </c>
      <c r="L53" s="33"/>
      <c r="M53" s="33">
        <f t="shared" si="62"/>
        <v>2.1373281114401466E-3</v>
      </c>
      <c r="N53" s="33">
        <f t="shared" si="62"/>
        <v>8.417349785479776E-3</v>
      </c>
      <c r="O53" s="33">
        <f t="shared" si="62"/>
        <v>0.98944532210308356</v>
      </c>
      <c r="P53" s="51">
        <f>SUM(M53:O53)</f>
        <v>1.0000000000000036</v>
      </c>
    </row>
    <row r="54" spans="8:16" x14ac:dyDescent="0.25">
      <c r="H54" s="51">
        <f>SUM(I54:K54)</f>
        <v>0.99999999999997746</v>
      </c>
      <c r="I54" s="33">
        <f>M41*AB47</f>
        <v>0.99938030706586078</v>
      </c>
      <c r="J54" s="33">
        <f t="shared" si="61"/>
        <v>1.6331041822484642E-4</v>
      </c>
      <c r="K54" s="33">
        <f t="shared" si="61"/>
        <v>4.563825158918798E-4</v>
      </c>
      <c r="L54" s="33"/>
      <c r="M54" s="33">
        <f t="shared" si="62"/>
        <v>1.9407214586455517E-3</v>
      </c>
      <c r="N54" s="33">
        <f t="shared" si="62"/>
        <v>1.2244101144761226E-3</v>
      </c>
      <c r="O54" s="33">
        <f t="shared" si="62"/>
        <v>0.9968348684268783</v>
      </c>
      <c r="P54" s="51">
        <f>SUM(M54:O54)</f>
        <v>1</v>
      </c>
    </row>
    <row r="56" spans="8:16" x14ac:dyDescent="0.25">
      <c r="H56" s="51"/>
      <c r="I56" s="33"/>
      <c r="J56" s="58"/>
      <c r="K56" s="33"/>
      <c r="L56" s="33"/>
      <c r="M56" s="33"/>
      <c r="N56" s="33"/>
      <c r="O56" s="33"/>
      <c r="P56" s="51"/>
    </row>
  </sheetData>
  <mergeCells count="18">
    <mergeCell ref="P1:R1"/>
    <mergeCell ref="L14:M14"/>
    <mergeCell ref="B7:C7"/>
    <mergeCell ref="D7:E7"/>
    <mergeCell ref="F7:G7"/>
    <mergeCell ref="H7:I7"/>
    <mergeCell ref="J7:K7"/>
    <mergeCell ref="L7:M7"/>
    <mergeCell ref="B14:C14"/>
    <mergeCell ref="D14:E14"/>
    <mergeCell ref="F14:G14"/>
    <mergeCell ref="H14:I14"/>
    <mergeCell ref="J14:K14"/>
    <mergeCell ref="A30:E30"/>
    <mergeCell ref="A35:A36"/>
    <mergeCell ref="D35:D36"/>
    <mergeCell ref="E35:E36"/>
    <mergeCell ref="B36:C3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NRTL_5">
                <anchor moveWithCells="1" sizeWithCells="1">
                  <from>
                    <xdr:col>16</xdr:col>
                    <xdr:colOff>514350</xdr:colOff>
                    <xdr:row>32</xdr:row>
                    <xdr:rowOff>19050</xdr:rowOff>
                  </from>
                  <to>
                    <xdr:col>18</xdr:col>
                    <xdr:colOff>476250</xdr:colOff>
                    <xdr:row>32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"/>
  <dimension ref="A2:AB17"/>
  <sheetViews>
    <sheetView topLeftCell="I1" workbookViewId="0">
      <selection activeCell="X9" sqref="X9"/>
    </sheetView>
  </sheetViews>
  <sheetFormatPr defaultRowHeight="15" x14ac:dyDescent="0.25"/>
  <cols>
    <col min="18" max="18" width="9.5703125" bestFit="1" customWidth="1"/>
  </cols>
  <sheetData>
    <row r="2" spans="1:28" x14ac:dyDescent="0.25">
      <c r="A2" t="s">
        <v>25</v>
      </c>
      <c r="D2" t="s">
        <v>31</v>
      </c>
      <c r="H2">
        <v>1</v>
      </c>
      <c r="I2" t="s">
        <v>23</v>
      </c>
      <c r="K2" t="s">
        <v>27</v>
      </c>
      <c r="O2" t="s">
        <v>28</v>
      </c>
      <c r="P2" t="s">
        <v>29</v>
      </c>
      <c r="Q2" t="s">
        <v>30</v>
      </c>
    </row>
    <row r="3" spans="1:28" x14ac:dyDescent="0.25">
      <c r="A3" t="s">
        <v>32</v>
      </c>
      <c r="C3" t="s">
        <v>62</v>
      </c>
      <c r="D3" t="s">
        <v>63</v>
      </c>
      <c r="E3" t="s">
        <v>64</v>
      </c>
      <c r="G3" t="s">
        <v>19</v>
      </c>
      <c r="H3">
        <f>A5+B5*C5</f>
        <v>9.3003578839582079</v>
      </c>
      <c r="I3">
        <f>$A$4*$Q$6+$P$7*$Q$7</f>
        <v>8.75</v>
      </c>
      <c r="L3">
        <f>MINVERSE(H3)</f>
        <v>0.10752274401449191</v>
      </c>
      <c r="O3">
        <f>MMULT(L3,I3)</f>
        <v>0.94082401012680417</v>
      </c>
      <c r="P3">
        <f>MMULT(L10,I10)</f>
        <v>5.8403947394848651E-2</v>
      </c>
      <c r="Q3">
        <f>MMULT(L17,I17)</f>
        <v>7.4056693357379521E-4</v>
      </c>
      <c r="R3" s="33">
        <f>SUM(O3:Q3)</f>
        <v>0.99996852445522666</v>
      </c>
    </row>
    <row r="4" spans="1:28" x14ac:dyDescent="0.25">
      <c r="A4">
        <f>P6</f>
        <v>25</v>
      </c>
      <c r="C4" t="s">
        <v>65</v>
      </c>
      <c r="D4" t="s">
        <v>65</v>
      </c>
      <c r="E4" t="s">
        <v>65</v>
      </c>
    </row>
    <row r="5" spans="1:28" x14ac:dyDescent="0.25">
      <c r="A5">
        <f>X11</f>
        <v>7.6040598306484268</v>
      </c>
      <c r="B5">
        <f t="shared" ref="B5:E5" si="0">Y11</f>
        <v>47.395940169351576</v>
      </c>
      <c r="C5">
        <f t="shared" si="0"/>
        <v>3.5789944186120123E-2</v>
      </c>
      <c r="D5">
        <f t="shared" si="0"/>
        <v>5.7099945126214431</v>
      </c>
      <c r="E5">
        <f t="shared" si="0"/>
        <v>854.54367890131653</v>
      </c>
      <c r="P5" t="s">
        <v>25</v>
      </c>
      <c r="Q5" t="s">
        <v>28</v>
      </c>
      <c r="R5" t="s">
        <v>29</v>
      </c>
      <c r="S5" t="s">
        <v>30</v>
      </c>
      <c r="U5" t="s">
        <v>120</v>
      </c>
      <c r="V5" t="s">
        <v>116</v>
      </c>
      <c r="W5" t="s">
        <v>121</v>
      </c>
    </row>
    <row r="6" spans="1:28" x14ac:dyDescent="0.25">
      <c r="B6">
        <f>P7</f>
        <v>30</v>
      </c>
      <c r="C6" t="s">
        <v>65</v>
      </c>
      <c r="D6" t="s">
        <v>65</v>
      </c>
      <c r="E6" t="s">
        <v>65</v>
      </c>
      <c r="O6" t="s">
        <v>7</v>
      </c>
      <c r="P6">
        <v>25</v>
      </c>
      <c r="Q6">
        <v>0.35</v>
      </c>
      <c r="R6">
        <v>0.65</v>
      </c>
      <c r="S6">
        <v>0</v>
      </c>
      <c r="U6">
        <f>Y11*T11/P6/Q6</f>
        <v>0.18239062135830861</v>
      </c>
      <c r="V6">
        <f>Y11*U11/P6/R6</f>
        <v>0.97319815661960429</v>
      </c>
      <c r="W6">
        <f>X11*R11/Y12</f>
        <v>1.8765533371944388E-4</v>
      </c>
    </row>
    <row r="7" spans="1:28" x14ac:dyDescent="0.25">
      <c r="O7" t="s">
        <v>18</v>
      </c>
      <c r="P7">
        <v>30</v>
      </c>
      <c r="Q7">
        <v>0</v>
      </c>
      <c r="R7">
        <v>0</v>
      </c>
      <c r="S7">
        <v>1</v>
      </c>
    </row>
    <row r="9" spans="1:28" x14ac:dyDescent="0.25">
      <c r="H9">
        <v>1</v>
      </c>
      <c r="I9" t="s">
        <v>22</v>
      </c>
      <c r="K9" t="s">
        <v>27</v>
      </c>
      <c r="X9" t="s">
        <v>74</v>
      </c>
      <c r="Y9" t="s">
        <v>75</v>
      </c>
    </row>
    <row r="10" spans="1:28" x14ac:dyDescent="0.25">
      <c r="G10" t="s">
        <v>20</v>
      </c>
      <c r="H10">
        <f>A5+B5*D5</f>
        <v>278.23461811818021</v>
      </c>
      <c r="I10">
        <f>$A$4*$R$6+$P$7*$R$7</f>
        <v>16.25</v>
      </c>
      <c r="L10">
        <f>MINVERSE(H10)</f>
        <v>3.5940890704522247E-3</v>
      </c>
      <c r="O10" t="s">
        <v>6</v>
      </c>
      <c r="P10" t="s">
        <v>68</v>
      </c>
      <c r="Q10" t="s">
        <v>69</v>
      </c>
      <c r="R10" t="s">
        <v>70</v>
      </c>
      <c r="S10" t="s">
        <v>76</v>
      </c>
      <c r="T10" t="s">
        <v>71</v>
      </c>
      <c r="U10" t="s">
        <v>72</v>
      </c>
      <c r="V10" t="s">
        <v>73</v>
      </c>
      <c r="W10" t="s">
        <v>77</v>
      </c>
      <c r="X10">
        <f>P6</f>
        <v>25</v>
      </c>
      <c r="Z10" t="s">
        <v>62</v>
      </c>
      <c r="AA10" t="s">
        <v>63</v>
      </c>
      <c r="AB10" t="s">
        <v>64</v>
      </c>
    </row>
    <row r="11" spans="1:28" x14ac:dyDescent="0.25">
      <c r="O11">
        <v>1</v>
      </c>
      <c r="P11">
        <v>0.94082401012680417</v>
      </c>
      <c r="Q11">
        <v>5.8435640620696172E-2</v>
      </c>
      <c r="R11">
        <v>7.4034925249966826E-4</v>
      </c>
      <c r="T11">
        <v>3.3672038811400032E-2</v>
      </c>
      <c r="U11">
        <v>0.33366718728569383</v>
      </c>
      <c r="V11">
        <v>0.6326607739029062</v>
      </c>
      <c r="X11">
        <f>(P6*Q6+P7*Q7-(P6+P7)*T11)/(P11-T11)</f>
        <v>7.6040598306484268</v>
      </c>
      <c r="Y11">
        <f>X10-X11+Y12</f>
        <v>47.395940169351576</v>
      </c>
      <c r="Z11">
        <f>T11/P11</f>
        <v>3.5789944186120123E-2</v>
      </c>
      <c r="AA11">
        <f t="shared" ref="AA11:AB11" si="1">U11/Q11</f>
        <v>5.7099945126214431</v>
      </c>
      <c r="AB11">
        <f t="shared" si="1"/>
        <v>854.54367890131653</v>
      </c>
    </row>
    <row r="12" spans="1:28" x14ac:dyDescent="0.25">
      <c r="Y12">
        <f>P7</f>
        <v>30</v>
      </c>
    </row>
    <row r="16" spans="1:28" x14ac:dyDescent="0.25">
      <c r="H16">
        <v>1</v>
      </c>
      <c r="I16" t="s">
        <v>24</v>
      </c>
      <c r="K16" t="s">
        <v>27</v>
      </c>
      <c r="P16">
        <f>P7/P6</f>
        <v>1.2</v>
      </c>
    </row>
    <row r="17" spans="7:12" x14ac:dyDescent="0.25">
      <c r="G17" t="s">
        <v>21</v>
      </c>
      <c r="H17">
        <f>A5+B5*E5</f>
        <v>40509.505137135035</v>
      </c>
      <c r="I17">
        <f>$A$4*$S$6+$P$7*$S$7</f>
        <v>30</v>
      </c>
      <c r="L17">
        <f>MINVERSE(H17)</f>
        <v>2.4685564452459841E-5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"/>
  <dimension ref="A2:AD19"/>
  <sheetViews>
    <sheetView topLeftCell="J1" workbookViewId="0">
      <selection activeCell="R4" sqref="R4:S5"/>
    </sheetView>
  </sheetViews>
  <sheetFormatPr defaultRowHeight="15" x14ac:dyDescent="0.25"/>
  <cols>
    <col min="20" max="20" width="9.5703125" bestFit="1" customWidth="1"/>
  </cols>
  <sheetData>
    <row r="2" spans="1:30" x14ac:dyDescent="0.25">
      <c r="A2" t="s">
        <v>25</v>
      </c>
      <c r="D2" t="s">
        <v>31</v>
      </c>
      <c r="H2">
        <v>1</v>
      </c>
      <c r="J2" t="s">
        <v>23</v>
      </c>
      <c r="L2" t="s">
        <v>27</v>
      </c>
    </row>
    <row r="3" spans="1:30" x14ac:dyDescent="0.25">
      <c r="A3" t="s">
        <v>32</v>
      </c>
      <c r="C3" t="s">
        <v>62</v>
      </c>
      <c r="D3" t="s">
        <v>63</v>
      </c>
      <c r="E3" t="s">
        <v>64</v>
      </c>
      <c r="G3" t="s">
        <v>19</v>
      </c>
      <c r="H3">
        <f>$A$5+$B$5*C5</f>
        <v>10.078952864255097</v>
      </c>
      <c r="I3">
        <f>-$B$6*C6</f>
        <v>-6.4717139757500639E-2</v>
      </c>
      <c r="J3">
        <f>$R$8*$S$8</f>
        <v>8.75</v>
      </c>
      <c r="M3">
        <f t="array" ref="M3:N4">MINVERSE(H3:I4)</f>
        <v>9.9942855096736657E-2</v>
      </c>
      <c r="N3">
        <v>8.3062620636143358E-4</v>
      </c>
      <c r="Q3" t="s">
        <v>28</v>
      </c>
      <c r="R3" t="s">
        <v>29</v>
      </c>
      <c r="S3" t="s">
        <v>30</v>
      </c>
    </row>
    <row r="4" spans="1:30" x14ac:dyDescent="0.25">
      <c r="A4">
        <f>R8</f>
        <v>25</v>
      </c>
      <c r="C4" t="s">
        <v>65</v>
      </c>
      <c r="D4" t="s">
        <v>65</v>
      </c>
      <c r="E4" t="s">
        <v>65</v>
      </c>
      <c r="H4">
        <f>-$A$5</f>
        <v>-8.8118164139661346</v>
      </c>
      <c r="I4">
        <f>$A$6+$B$6*$C$6</f>
        <v>7.7869150666367126</v>
      </c>
      <c r="J4">
        <f>$R$9*$S$9</f>
        <v>0</v>
      </c>
      <c r="M4">
        <v>0.11309717435770639</v>
      </c>
      <c r="N4">
        <v>0.12936051273436616</v>
      </c>
      <c r="Q4">
        <f t="array" ref="Q4:Q5">MMULT(M3:N4,J3:J4)</f>
        <v>0.87449998209644575</v>
      </c>
      <c r="R4">
        <f t="array" ref="R4:R5">MMULT(M10:N11,J10:J11)</f>
        <v>0.1239836775877917</v>
      </c>
      <c r="S4">
        <f t="array" ref="S4:S5">MMULT(M17:N18,J17:J18)</f>
        <v>1.1869047969072862E-3</v>
      </c>
      <c r="T4" s="33">
        <f>SUM(Q4:S4)</f>
        <v>0.99967056448114477</v>
      </c>
    </row>
    <row r="5" spans="1:30" x14ac:dyDescent="0.25">
      <c r="A5">
        <f>Z13</f>
        <v>8.8118164139661346</v>
      </c>
      <c r="B5">
        <f t="shared" ref="B5:E5" si="0">AA13</f>
        <v>30.474824347315543</v>
      </c>
      <c r="C5">
        <f t="shared" si="0"/>
        <v>4.1579778634575813E-2</v>
      </c>
      <c r="D5">
        <f t="shared" si="0"/>
        <v>4.2806718684192546</v>
      </c>
      <c r="E5">
        <f t="shared" si="0"/>
        <v>364.74724092546086</v>
      </c>
      <c r="Q5">
        <v>0.98960027562993091</v>
      </c>
      <c r="R5">
        <v>9.8406719563130986E-3</v>
      </c>
      <c r="S5">
        <v>4.9904207749516707E-4</v>
      </c>
      <c r="T5" s="33">
        <f>SUM(Q5:S5)</f>
        <v>0.9999399896637392</v>
      </c>
    </row>
    <row r="6" spans="1:30" x14ac:dyDescent="0.25">
      <c r="A6">
        <f>Z14</f>
        <v>7.722197926879212</v>
      </c>
      <c r="B6">
        <f t="shared" ref="B6:E6" si="1">AA14</f>
        <v>14.286640761281681</v>
      </c>
      <c r="C6">
        <f t="shared" si="1"/>
        <v>4.5299060037185916E-3</v>
      </c>
      <c r="D6">
        <f t="shared" si="1"/>
        <v>7.2304483931287065</v>
      </c>
      <c r="E6">
        <f t="shared" si="1"/>
        <v>1851.9359786169707</v>
      </c>
    </row>
    <row r="7" spans="1:30" x14ac:dyDescent="0.25">
      <c r="B7">
        <f>R9</f>
        <v>13.197022274194758</v>
      </c>
      <c r="C7" t="s">
        <v>65</v>
      </c>
      <c r="D7" t="s">
        <v>65</v>
      </c>
      <c r="E7" t="s">
        <v>65</v>
      </c>
      <c r="R7" t="s">
        <v>25</v>
      </c>
      <c r="S7" t="s">
        <v>28</v>
      </c>
      <c r="T7" t="s">
        <v>29</v>
      </c>
      <c r="U7" t="s">
        <v>30</v>
      </c>
      <c r="W7" t="s">
        <v>132</v>
      </c>
      <c r="X7" t="s">
        <v>119</v>
      </c>
      <c r="Y7" t="s">
        <v>120</v>
      </c>
      <c r="Z7" t="s">
        <v>116</v>
      </c>
      <c r="AA7" t="s">
        <v>121</v>
      </c>
    </row>
    <row r="8" spans="1:30" x14ac:dyDescent="0.25">
      <c r="Q8" t="s">
        <v>7</v>
      </c>
      <c r="R8">
        <v>25</v>
      </c>
      <c r="S8">
        <v>0.35</v>
      </c>
      <c r="T8">
        <v>0.65</v>
      </c>
      <c r="U8">
        <v>0</v>
      </c>
      <c r="W8">
        <f>R9</f>
        <v>13.197022274194758</v>
      </c>
      <c r="X8">
        <f>R9/R8</f>
        <v>0.52788089096779034</v>
      </c>
      <c r="Y8">
        <f>AA13*V13/R8/S8</f>
        <v>0.12664123463902296</v>
      </c>
      <c r="Z8">
        <v>0.998</v>
      </c>
      <c r="AA8">
        <f>Z14*T14/AA15</f>
        <v>2.9192950096649975E-4</v>
      </c>
    </row>
    <row r="9" spans="1:30" x14ac:dyDescent="0.25">
      <c r="H9">
        <v>1</v>
      </c>
      <c r="J9" t="s">
        <v>22</v>
      </c>
      <c r="L9" t="s">
        <v>27</v>
      </c>
      <c r="Q9" t="s">
        <v>18</v>
      </c>
      <c r="R9">
        <f>AA13+Z14-R8</f>
        <v>13.197022274194758</v>
      </c>
      <c r="S9">
        <v>0</v>
      </c>
      <c r="T9">
        <v>0</v>
      </c>
      <c r="U9">
        <v>1</v>
      </c>
    </row>
    <row r="10" spans="1:30" x14ac:dyDescent="0.25">
      <c r="G10" t="s">
        <v>20</v>
      </c>
      <c r="H10">
        <f>$A$5+$B$5*D5</f>
        <v>139.26453969253797</v>
      </c>
      <c r="I10">
        <f>-$B$6*D6</f>
        <v>-103.29881873561621</v>
      </c>
      <c r="J10">
        <f>$R$8*$T$8</f>
        <v>16.25</v>
      </c>
      <c r="M10">
        <f t="array" ref="M10:N11">MINVERSE(H10:I11)</f>
        <v>7.6297647746333356E-3</v>
      </c>
      <c r="N10">
        <v>7.0990674751809056E-3</v>
      </c>
    </row>
    <row r="11" spans="1:30" x14ac:dyDescent="0.25">
      <c r="H11">
        <f>-$A$5</f>
        <v>-8.8118164139661346</v>
      </c>
      <c r="I11">
        <f>$A$6+$B$6*$D$6</f>
        <v>111.02101666249543</v>
      </c>
      <c r="J11">
        <f>$R$9*$T$9</f>
        <v>0</v>
      </c>
      <c r="M11">
        <v>6.055798126961907E-4</v>
      </c>
      <c r="N11">
        <v>9.5707615660900313E-3</v>
      </c>
      <c r="Z11" t="s">
        <v>74</v>
      </c>
      <c r="AA11" t="s">
        <v>75</v>
      </c>
    </row>
    <row r="12" spans="1:30" x14ac:dyDescent="0.25">
      <c r="Q12" t="s">
        <v>6</v>
      </c>
      <c r="R12" t="s">
        <v>68</v>
      </c>
      <c r="S12" t="s">
        <v>69</v>
      </c>
      <c r="T12" t="s">
        <v>70</v>
      </c>
      <c r="U12" t="s">
        <v>76</v>
      </c>
      <c r="V12" t="s">
        <v>71</v>
      </c>
      <c r="W12" t="s">
        <v>72</v>
      </c>
      <c r="X12" t="s">
        <v>73</v>
      </c>
      <c r="Y12" t="s">
        <v>77</v>
      </c>
      <c r="Z12">
        <f>R8</f>
        <v>25</v>
      </c>
      <c r="AB12" t="s">
        <v>62</v>
      </c>
      <c r="AC12" t="s">
        <v>63</v>
      </c>
      <c r="AD12" t="s">
        <v>64</v>
      </c>
    </row>
    <row r="13" spans="1:30" x14ac:dyDescent="0.25">
      <c r="Q13">
        <v>1</v>
      </c>
      <c r="R13">
        <f>'MB 5 PTE s ns=10'!I37</f>
        <v>0.87449998209644597</v>
      </c>
      <c r="S13">
        <f>'MB 5 PTE s ns=10'!J37</f>
        <v>0.1243170674587511</v>
      </c>
      <c r="T13">
        <f>'MB 5 PTE s ns=10'!K37</f>
        <v>1.1829504448029832E-3</v>
      </c>
      <c r="U13">
        <f>'MB 5 PTE s ns=10'!L37</f>
        <v>1</v>
      </c>
      <c r="V13">
        <f>'MB 5 PTE s ns=10'!M37</f>
        <v>3.6361515671510733E-2</v>
      </c>
      <c r="W13">
        <f>'MB 5 PTE s ns=10'!N37</f>
        <v>0.53216057343505452</v>
      </c>
      <c r="X13">
        <f>'MB 5 PTE s ns=10'!O37</f>
        <v>0.43147791089343479</v>
      </c>
      <c r="Z13">
        <f>(AA15*(V14-V15)+Z14*(R14-V14))/(R13-V14)</f>
        <v>8.8118164139661346</v>
      </c>
      <c r="AA13">
        <f>Z8*R8*T8/W13</f>
        <v>30.474824347315543</v>
      </c>
      <c r="AB13">
        <f>V13/R13</f>
        <v>4.1579778634575813E-2</v>
      </c>
      <c r="AC13">
        <f t="shared" ref="AC13:AD14" si="2">W13/S13</f>
        <v>4.2806718684192546</v>
      </c>
      <c r="AD13">
        <f t="shared" si="2"/>
        <v>364.74724092546086</v>
      </c>
    </row>
    <row r="14" spans="1:30" x14ac:dyDescent="0.25">
      <c r="Q14">
        <v>2</v>
      </c>
      <c r="R14">
        <f>'MB 5 PTE s ns=10'!I38</f>
        <v>0.98960027562993091</v>
      </c>
      <c r="S14">
        <f>'MB 5 PTE s ns=10'!J38</f>
        <v>9.9008249423116687E-3</v>
      </c>
      <c r="T14">
        <f>'MB 5 PTE s ns=10'!K38</f>
        <v>4.9889942775740493E-4</v>
      </c>
      <c r="U14">
        <f>'MB 5 PTE s ns=10'!L38</f>
        <v>1</v>
      </c>
      <c r="V14">
        <f>'MB 5 PTE s ns=10'!M38</f>
        <v>4.4827962298575972E-3</v>
      </c>
      <c r="W14">
        <f>'MB 5 PTE s ns=10'!N38</f>
        <v>7.1587403794786023E-2</v>
      </c>
      <c r="X14">
        <f>'MB 5 PTE s ns=10'!O38</f>
        <v>0.9239297999753564</v>
      </c>
      <c r="Z14">
        <f>(R8*(S8-S9)-AA13*(V13-S9))/(R14-S9)</f>
        <v>7.722197926879212</v>
      </c>
      <c r="AA14">
        <f>Z13+AA15-Z14</f>
        <v>14.286640761281681</v>
      </c>
      <c r="AB14">
        <f>V14/R14</f>
        <v>4.5299060037185916E-3</v>
      </c>
      <c r="AC14">
        <f t="shared" si="2"/>
        <v>7.2304483931287065</v>
      </c>
      <c r="AD14">
        <f t="shared" si="2"/>
        <v>1851.9359786169707</v>
      </c>
    </row>
    <row r="15" spans="1:30" x14ac:dyDescent="0.25">
      <c r="V15">
        <v>0</v>
      </c>
      <c r="W15">
        <v>0</v>
      </c>
      <c r="X15">
        <v>1</v>
      </c>
      <c r="AA15">
        <f>R9</f>
        <v>13.197022274194758</v>
      </c>
    </row>
    <row r="16" spans="1:30" x14ac:dyDescent="0.25">
      <c r="H16">
        <v>1</v>
      </c>
      <c r="J16" t="s">
        <v>24</v>
      </c>
      <c r="L16" t="s">
        <v>27</v>
      </c>
    </row>
    <row r="17" spans="7:19" x14ac:dyDescent="0.25">
      <c r="G17" t="s">
        <v>21</v>
      </c>
      <c r="H17">
        <f>$A$5+$B$5*E5</f>
        <v>11124.419914785371</v>
      </c>
      <c r="I17">
        <f>-$B$6*E6</f>
        <v>-26457.944039393293</v>
      </c>
      <c r="J17">
        <f>$R$8*$U$8</f>
        <v>0</v>
      </c>
      <c r="M17">
        <f t="array" ref="M17:N18">MINVERSE(H17:I18)</f>
        <v>8.9963568330440685E-5</v>
      </c>
      <c r="N17">
        <v>8.9937318604678003E-5</v>
      </c>
    </row>
    <row r="18" spans="7:19" x14ac:dyDescent="0.25">
      <c r="H18">
        <f>-$A$5</f>
        <v>-8.8118164139661346</v>
      </c>
      <c r="I18">
        <f>$A$6+$B$6*$E$6</f>
        <v>26465.666237320173</v>
      </c>
      <c r="J18">
        <f>$R$9*$U$9</f>
        <v>13.197022274194758</v>
      </c>
      <c r="M18">
        <v>2.9953617678260711E-8</v>
      </c>
      <c r="N18">
        <v>3.7814748442986705E-5</v>
      </c>
    </row>
    <row r="19" spans="7:19" x14ac:dyDescent="0.25">
      <c r="S19">
        <f>R9/R8</f>
        <v>0.52788089096779034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3"/>
  <dimension ref="A2:AF49"/>
  <sheetViews>
    <sheetView topLeftCell="D1" zoomScale="70" zoomScaleNormal="70" workbookViewId="0">
      <selection activeCell="T28" sqref="T28"/>
    </sheetView>
  </sheetViews>
  <sheetFormatPr defaultRowHeight="15" x14ac:dyDescent="0.25"/>
  <sheetData>
    <row r="2" spans="1:32" x14ac:dyDescent="0.25">
      <c r="A2" t="s">
        <v>25</v>
      </c>
      <c r="D2" t="s">
        <v>31</v>
      </c>
      <c r="H2">
        <v>1</v>
      </c>
      <c r="I2">
        <v>2</v>
      </c>
      <c r="J2">
        <v>3</v>
      </c>
      <c r="K2" t="s">
        <v>23</v>
      </c>
      <c r="N2" t="s">
        <v>27</v>
      </c>
    </row>
    <row r="3" spans="1:32" x14ac:dyDescent="0.25">
      <c r="A3" t="s">
        <v>32</v>
      </c>
      <c r="C3" t="s">
        <v>62</v>
      </c>
      <c r="D3" t="s">
        <v>63</v>
      </c>
      <c r="E3" t="s">
        <v>64</v>
      </c>
      <c r="G3" t="s">
        <v>19</v>
      </c>
      <c r="H3">
        <f>$A$5+$B$5*C5</f>
        <v>11.147879076178105</v>
      </c>
      <c r="I3">
        <f>-$B$6*C6</f>
        <v>-0.14976843110745511</v>
      </c>
      <c r="J3">
        <v>0</v>
      </c>
      <c r="K3">
        <f>$T$11*$U$11</f>
        <v>8.75</v>
      </c>
      <c r="O3">
        <f t="array" ref="O3:Q5">MINVERSE(H3:J5)</f>
        <v>9.1186704040574704E-2</v>
      </c>
      <c r="P3">
        <v>1.6448598315857905E-3</v>
      </c>
      <c r="Q3">
        <v>4.3797026470703848E-6</v>
      </c>
      <c r="S3" t="s">
        <v>28</v>
      </c>
      <c r="T3" t="s">
        <v>29</v>
      </c>
      <c r="U3" t="s">
        <v>30</v>
      </c>
    </row>
    <row r="4" spans="1:32" x14ac:dyDescent="0.25">
      <c r="A4">
        <f>T11</f>
        <v>25</v>
      </c>
      <c r="C4" t="s">
        <v>65</v>
      </c>
      <c r="D4" t="s">
        <v>65</v>
      </c>
      <c r="E4" t="s">
        <v>65</v>
      </c>
      <c r="H4">
        <f>-$A$5</f>
        <v>-10.054564943460083</v>
      </c>
      <c r="I4">
        <f>$A$6+$B$6*$C$6</f>
        <v>8.3245346407561822</v>
      </c>
      <c r="J4">
        <f>-$B$7*C7</f>
        <v>-2.1134681068512164E-2</v>
      </c>
      <c r="K4">
        <v>0</v>
      </c>
      <c r="O4">
        <v>0.11042614172610442</v>
      </c>
      <c r="P4">
        <v>0.12243366885926014</v>
      </c>
      <c r="Q4">
        <v>3.2599924522229602E-4</v>
      </c>
      <c r="S4">
        <f t="array" ref="S4:S6">MMULT(O3:Q5,K3:K5)</f>
        <v>0.79788366035502867</v>
      </c>
      <c r="T4">
        <f t="array" ref="T4:T6">MMULT(O10:Q12,K10:K12)</f>
        <v>0.20019051777828853</v>
      </c>
      <c r="U4">
        <f t="array" ref="U4:U6">MMULT(O17:Q19,K17:K19)</f>
        <v>1.8974237931380967E-3</v>
      </c>
      <c r="V4" s="25">
        <f>SUM(S4:U4)</f>
        <v>0.99997160192645529</v>
      </c>
    </row>
    <row r="5" spans="1:32" x14ac:dyDescent="0.25">
      <c r="A5">
        <f>AB16</f>
        <v>10.054564943460083</v>
      </c>
      <c r="B5">
        <f t="shared" ref="B5:E5" si="0">AC16</f>
        <v>24.090022983961461</v>
      </c>
      <c r="C5">
        <f t="shared" si="0"/>
        <v>4.5384520116312194E-2</v>
      </c>
      <c r="D5">
        <f t="shared" si="0"/>
        <v>3.3623288759353089</v>
      </c>
      <c r="E5">
        <f t="shared" si="0"/>
        <v>153.19880361942293</v>
      </c>
      <c r="H5">
        <v>0</v>
      </c>
      <c r="I5">
        <f>-$A$6</f>
        <v>-8.1747662096487268</v>
      </c>
      <c r="J5">
        <f>$A$7+$B$7*$C$7</f>
        <v>7.9374310870684148</v>
      </c>
      <c r="K5">
        <f>$T$12*$U$12</f>
        <v>0</v>
      </c>
      <c r="O5">
        <v>0.11372796590513051</v>
      </c>
      <c r="P5">
        <v>0.12609452707496302</v>
      </c>
      <c r="Q5">
        <v>0.12632109263257052</v>
      </c>
      <c r="S5">
        <v>0.96622874010341364</v>
      </c>
      <c r="T5">
        <v>3.3149463291087901E-2</v>
      </c>
      <c r="U5">
        <v>6.0774351274905914E-4</v>
      </c>
      <c r="V5" s="25">
        <f>SUM(S5:U5)</f>
        <v>0.99998594690725062</v>
      </c>
    </row>
    <row r="6" spans="1:32" x14ac:dyDescent="0.25">
      <c r="A6">
        <f t="shared" ref="A6:A7" si="1">AB17</f>
        <v>8.1747662096487268</v>
      </c>
      <c r="B6">
        <f t="shared" ref="B6:B7" si="2">AC17</f>
        <v>9.1445879274215436</v>
      </c>
      <c r="C6">
        <f t="shared" ref="C6:C7" si="3">AD17</f>
        <v>1.6377821756008267E-2</v>
      </c>
      <c r="D6">
        <f t="shared" ref="D6:D7" si="4">AE17</f>
        <v>6.5249985993622515</v>
      </c>
      <c r="E6">
        <f t="shared" ref="E6:E7" si="5">AF17</f>
        <v>1263.4383088447021</v>
      </c>
      <c r="S6">
        <v>0.99511970166989194</v>
      </c>
      <c r="T6">
        <v>4.4026080557764214E-3</v>
      </c>
      <c r="U6">
        <v>4.7470586465992614E-4</v>
      </c>
      <c r="V6" s="25">
        <f>SUM(S6:U6)</f>
        <v>0.99999701559032828</v>
      </c>
    </row>
    <row r="7" spans="1:32" x14ac:dyDescent="0.25">
      <c r="A7">
        <f t="shared" si="1"/>
        <v>7.916296405999903</v>
      </c>
      <c r="B7">
        <f t="shared" si="2"/>
        <v>7.264789193610186</v>
      </c>
      <c r="C7">
        <f t="shared" si="3"/>
        <v>2.9091939910797925E-3</v>
      </c>
      <c r="D7">
        <f t="shared" si="4"/>
        <v>7.3829608122802188</v>
      </c>
      <c r="E7">
        <f t="shared" si="5"/>
        <v>2031.9701766817661</v>
      </c>
    </row>
    <row r="8" spans="1:32" x14ac:dyDescent="0.25">
      <c r="B8">
        <f>T12</f>
        <v>7.0063193899613623</v>
      </c>
      <c r="C8" t="s">
        <v>65</v>
      </c>
      <c r="D8" t="s">
        <v>65</v>
      </c>
      <c r="E8" t="s">
        <v>65</v>
      </c>
    </row>
    <row r="9" spans="1:32" x14ac:dyDescent="0.25">
      <c r="H9">
        <v>1</v>
      </c>
      <c r="I9">
        <v>2</v>
      </c>
      <c r="J9">
        <v>3</v>
      </c>
      <c r="K9" t="s">
        <v>22</v>
      </c>
      <c r="N9" t="s">
        <v>27</v>
      </c>
    </row>
    <row r="10" spans="1:32" x14ac:dyDescent="0.25">
      <c r="G10" t="s">
        <v>20</v>
      </c>
      <c r="H10">
        <f>$A$5+$B$5*D5</f>
        <v>91.053144844378977</v>
      </c>
      <c r="I10">
        <f>-$B$6*D6</f>
        <v>-59.668423418170526</v>
      </c>
      <c r="J10">
        <v>0</v>
      </c>
      <c r="K10">
        <f>$T$11*$V$11</f>
        <v>16.25</v>
      </c>
      <c r="O10">
        <f t="array" ref="O10:Q12">MINVERSE(H10:J12)</f>
        <v>1.231941647866391E-2</v>
      </c>
      <c r="P10">
        <v>1.2106104412721239E-2</v>
      </c>
      <c r="Q10">
        <v>1.0549118641574753E-2</v>
      </c>
      <c r="T10" t="s">
        <v>25</v>
      </c>
      <c r="U10" t="s">
        <v>28</v>
      </c>
      <c r="V10" t="s">
        <v>29</v>
      </c>
      <c r="W10" t="s">
        <v>30</v>
      </c>
      <c r="Y10" t="s">
        <v>132</v>
      </c>
      <c r="Z10" t="s">
        <v>119</v>
      </c>
      <c r="AA10" t="s">
        <v>120</v>
      </c>
      <c r="AB10" t="s">
        <v>116</v>
      </c>
      <c r="AC10" t="s">
        <v>121</v>
      </c>
    </row>
    <row r="11" spans="1:32" x14ac:dyDescent="0.25">
      <c r="H11">
        <f>-$A$5</f>
        <v>-10.054564943460083</v>
      </c>
      <c r="I11">
        <f>$A$6+$B$6*$D$6</f>
        <v>67.843189627819257</v>
      </c>
      <c r="J11">
        <f>-$B$7*D7</f>
        <v>-53.635653925900812</v>
      </c>
      <c r="K11">
        <v>0</v>
      </c>
      <c r="O11">
        <v>2.0399669717592554E-3</v>
      </c>
      <c r="P11">
        <v>1.8473738963530328E-2</v>
      </c>
      <c r="Q11">
        <v>1.6097801360029546E-2</v>
      </c>
      <c r="S11" t="s">
        <v>7</v>
      </c>
      <c r="T11">
        <v>25</v>
      </c>
      <c r="U11">
        <v>0.35</v>
      </c>
      <c r="V11">
        <v>0.65</v>
      </c>
      <c r="W11">
        <v>0</v>
      </c>
      <c r="Y11">
        <f>T12</f>
        <v>7.0063193899613623</v>
      </c>
      <c r="Z11">
        <f>T12/T11</f>
        <v>0.28025277559845452</v>
      </c>
      <c r="AA11">
        <f>AC16*X16/T11/U11</f>
        <v>9.9695712243535878E-2</v>
      </c>
      <c r="AB11">
        <v>0.998</v>
      </c>
      <c r="AC11">
        <f>AB18*V18/AC19</f>
        <v>5.3635512214811961E-4</v>
      </c>
    </row>
    <row r="12" spans="1:32" x14ac:dyDescent="0.25">
      <c r="H12">
        <v>0</v>
      </c>
      <c r="I12">
        <f>-$A$6</f>
        <v>-8.1747662096487268</v>
      </c>
      <c r="J12">
        <f>$A$7+$B$7*$D$7</f>
        <v>61.551950331900713</v>
      </c>
      <c r="K12">
        <f>$T$12*$V$12</f>
        <v>0</v>
      </c>
      <c r="O12">
        <v>2.7092972650931825E-4</v>
      </c>
      <c r="P12">
        <v>2.4535127844140794E-3</v>
      </c>
      <c r="Q12">
        <v>1.8384401412234883E-2</v>
      </c>
      <c r="S12" t="s">
        <v>18</v>
      </c>
      <c r="T12" s="108">
        <f>AC16+AB18-T11</f>
        <v>7.0063193899613623</v>
      </c>
      <c r="U12">
        <v>0</v>
      </c>
      <c r="V12">
        <v>0</v>
      </c>
      <c r="W12">
        <v>1</v>
      </c>
    </row>
    <row r="14" spans="1:32" ht="15.75" thickBot="1" x14ac:dyDescent="0.3">
      <c r="AB14" t="s">
        <v>74</v>
      </c>
      <c r="AC14" t="s">
        <v>75</v>
      </c>
    </row>
    <row r="15" spans="1:32" ht="15.75" thickBot="1" x14ac:dyDescent="0.3">
      <c r="S15" t="s">
        <v>6</v>
      </c>
      <c r="T15" s="16" t="s">
        <v>68</v>
      </c>
      <c r="U15" s="14" t="s">
        <v>69</v>
      </c>
      <c r="V15" s="14" t="s">
        <v>70</v>
      </c>
      <c r="W15" s="14" t="s">
        <v>76</v>
      </c>
      <c r="X15" s="14" t="s">
        <v>71</v>
      </c>
      <c r="Y15" s="14" t="s">
        <v>72</v>
      </c>
      <c r="Z15" s="14" t="s">
        <v>73</v>
      </c>
      <c r="AA15" s="15" t="s">
        <v>77</v>
      </c>
      <c r="AB15">
        <f>T11</f>
        <v>25</v>
      </c>
      <c r="AD15" t="s">
        <v>62</v>
      </c>
      <c r="AE15" t="s">
        <v>63</v>
      </c>
      <c r="AF15" t="s">
        <v>64</v>
      </c>
    </row>
    <row r="16" spans="1:32" x14ac:dyDescent="0.25">
      <c r="H16">
        <v>1</v>
      </c>
      <c r="I16">
        <v>2</v>
      </c>
      <c r="J16">
        <v>3</v>
      </c>
      <c r="K16" t="s">
        <v>24</v>
      </c>
      <c r="N16" t="s">
        <v>27</v>
      </c>
      <c r="S16">
        <v>1</v>
      </c>
      <c r="T16" s="33">
        <f>I37</f>
        <v>0.79788366035502867</v>
      </c>
      <c r="U16" s="33">
        <f t="shared" ref="U16:Z16" si="6">J37</f>
        <v>0.20021955964953925</v>
      </c>
      <c r="V16" s="33">
        <f t="shared" si="6"/>
        <v>1.8967799954320371E-3</v>
      </c>
      <c r="W16" s="33">
        <f t="shared" si="6"/>
        <v>0</v>
      </c>
      <c r="X16" s="33">
        <f t="shared" si="6"/>
        <v>3.6211567033859603E-2</v>
      </c>
      <c r="Y16" s="33">
        <f t="shared" si="6"/>
        <v>0.6732040069366978</v>
      </c>
      <c r="Z16" s="33">
        <f t="shared" si="6"/>
        <v>0.29058442602944257</v>
      </c>
      <c r="AB16" s="102">
        <f>(AC18*(X17-X18)+AB17*(T17-X17))/(T16-X17)</f>
        <v>10.054564943460083</v>
      </c>
      <c r="AC16">
        <f>AB11*T11*V11/Y16</f>
        <v>24.090022983961461</v>
      </c>
      <c r="AD16">
        <f>X16/T16</f>
        <v>4.5384520116312194E-2</v>
      </c>
      <c r="AE16">
        <f t="shared" ref="AE16:AF18" si="7">Y16/U16</f>
        <v>3.3623288759353089</v>
      </c>
      <c r="AF16">
        <f t="shared" si="7"/>
        <v>153.19880361942293</v>
      </c>
    </row>
    <row r="17" spans="1:32" x14ac:dyDescent="0.25">
      <c r="G17" t="s">
        <v>21</v>
      </c>
      <c r="H17">
        <f>$A$5+$B$5*E5</f>
        <v>3700.6172652507571</v>
      </c>
      <c r="I17">
        <f>-$B$6*E6</f>
        <v>-11553.622706103155</v>
      </c>
      <c r="J17">
        <v>0</v>
      </c>
      <c r="K17">
        <f>$T$11*$W$11</f>
        <v>0</v>
      </c>
      <c r="O17">
        <f t="array" ref="O17:Q19">MINVERSE(H17:J19)</f>
        <v>2.7096138994835476E-4</v>
      </c>
      <c r="P17">
        <v>2.7096128719091581E-4</v>
      </c>
      <c r="Q17">
        <v>2.7081605726634743E-4</v>
      </c>
      <c r="S17">
        <v>2</v>
      </c>
      <c r="T17" s="33">
        <f t="shared" ref="T17:T18" si="8">I38</f>
        <v>0.96622874010341364</v>
      </c>
      <c r="U17" s="33">
        <f t="shared" ref="U17:U18" si="9">J38</f>
        <v>3.3163566551174938E-2</v>
      </c>
      <c r="V17" s="33">
        <f t="shared" ref="V17:V18" si="10">K38</f>
        <v>6.0769334541141743E-4</v>
      </c>
      <c r="W17" s="33">
        <f t="shared" ref="W17:W18" si="11">L38</f>
        <v>0</v>
      </c>
      <c r="X17" s="33">
        <f t="shared" ref="X17:X18" si="12">M38</f>
        <v>1.5824722080946145E-2</v>
      </c>
      <c r="Y17" s="33">
        <f t="shared" ref="Y17:Y18" si="13">N38</f>
        <v>0.21639222529627328</v>
      </c>
      <c r="Z17" s="33">
        <f t="shared" ref="Z17:Z18" si="14">O38</f>
        <v>0.76778305262278068</v>
      </c>
      <c r="AB17" s="102">
        <f>(AC19*(X18-X19)+AB18*(T18-X18))/(T17-X18)</f>
        <v>8.1747662096487268</v>
      </c>
      <c r="AC17">
        <f>AB16+AC18-AB17</f>
        <v>9.1445879274215436</v>
      </c>
      <c r="AD17">
        <f>X17/T17</f>
        <v>1.6377821756008267E-2</v>
      </c>
      <c r="AE17">
        <f t="shared" si="7"/>
        <v>6.5249985993622515</v>
      </c>
      <c r="AF17">
        <f t="shared" si="7"/>
        <v>1263.4383088447021</v>
      </c>
    </row>
    <row r="18" spans="1:32" x14ac:dyDescent="0.25">
      <c r="H18">
        <f>-$A$5</f>
        <v>-10.054564943460083</v>
      </c>
      <c r="I18">
        <f>$A$6+$B$6*$E$6</f>
        <v>11561.797472312805</v>
      </c>
      <c r="J18">
        <f>-$B$7*E7</f>
        <v>-14761.834981295875</v>
      </c>
      <c r="K18">
        <v>0</v>
      </c>
      <c r="O18">
        <v>2.3580464141220819E-7</v>
      </c>
      <c r="P18">
        <v>8.6788710614860815E-5</v>
      </c>
      <c r="Q18">
        <v>8.6742193571682247E-5</v>
      </c>
      <c r="S18">
        <v>3</v>
      </c>
      <c r="T18" s="33">
        <f t="shared" si="8"/>
        <v>0.99511970166989194</v>
      </c>
      <c r="U18" s="33">
        <f t="shared" si="9"/>
        <v>4.4055971441641856E-3</v>
      </c>
      <c r="V18" s="33">
        <f t="shared" si="10"/>
        <v>4.7470118594388454E-4</v>
      </c>
      <c r="W18" s="33">
        <f t="shared" si="11"/>
        <v>0</v>
      </c>
      <c r="X18" s="33">
        <f t="shared" si="12"/>
        <v>2.8949962565031654E-3</v>
      </c>
      <c r="Y18" s="33">
        <f t="shared" si="13"/>
        <v>3.252635107005783E-2</v>
      </c>
      <c r="Z18" s="33">
        <f t="shared" si="14"/>
        <v>0.96457865267343901</v>
      </c>
      <c r="AB18">
        <f>(T11*(U11-U12)-AC16*(X16-U12))/(T18-U12)</f>
        <v>7.916296405999903</v>
      </c>
      <c r="AC18">
        <f>AB17+AC19-AB18</f>
        <v>7.264789193610186</v>
      </c>
      <c r="AD18">
        <f>X18/T18</f>
        <v>2.9091939910797925E-3</v>
      </c>
      <c r="AE18">
        <f t="shared" si="7"/>
        <v>7.3829608122802188</v>
      </c>
      <c r="AF18">
        <f t="shared" si="7"/>
        <v>2031.9701766817661</v>
      </c>
    </row>
    <row r="19" spans="1:32" x14ac:dyDescent="0.25">
      <c r="H19">
        <v>0</v>
      </c>
      <c r="I19">
        <f>-$A$6</f>
        <v>-8.1747662096487268</v>
      </c>
      <c r="J19">
        <f>$A$7+$B$7*$E$7</f>
        <v>14769.751277701875</v>
      </c>
      <c r="K19">
        <f>$T$12*$W$12</f>
        <v>7.0063193899613623</v>
      </c>
      <c r="O19">
        <v>1.3051322114036238E-10</v>
      </c>
      <c r="P19">
        <v>4.8035840656603003E-8</v>
      </c>
      <c r="Q19">
        <v>6.7753957283204014E-5</v>
      </c>
      <c r="X19">
        <v>0</v>
      </c>
      <c r="Y19">
        <v>0</v>
      </c>
      <c r="Z19">
        <v>1</v>
      </c>
      <c r="AC19">
        <f>T12</f>
        <v>7.0063193899613623</v>
      </c>
    </row>
    <row r="22" spans="1:32" x14ac:dyDescent="0.25">
      <c r="T22">
        <f>T16-S4</f>
        <v>0</v>
      </c>
      <c r="U22">
        <f t="shared" ref="U22:V22" si="15">U16-T4</f>
        <v>2.9041871250717888E-5</v>
      </c>
      <c r="V22">
        <f t="shared" si="15"/>
        <v>-6.4379770605966884E-7</v>
      </c>
    </row>
    <row r="23" spans="1:32" x14ac:dyDescent="0.25">
      <c r="T23">
        <f t="shared" ref="T23:V23" si="16">T17-S5</f>
        <v>0</v>
      </c>
      <c r="U23">
        <f t="shared" si="16"/>
        <v>1.4103260087036662E-5</v>
      </c>
      <c r="V23">
        <f t="shared" si="16"/>
        <v>-5.0167337641709997E-8</v>
      </c>
    </row>
    <row r="24" spans="1:32" x14ac:dyDescent="0.25">
      <c r="T24">
        <f t="shared" ref="T24:V24" si="17">T18-S6</f>
        <v>0</v>
      </c>
      <c r="U24">
        <f t="shared" si="17"/>
        <v>2.9890883877642382E-6</v>
      </c>
      <c r="V24">
        <f t="shared" si="17"/>
        <v>-4.6787160416024605E-9</v>
      </c>
      <c r="X24">
        <f>T12/T11</f>
        <v>0.28025277559845452</v>
      </c>
    </row>
    <row r="28" spans="1:32" ht="15.75" thickBot="1" x14ac:dyDescent="0.3"/>
    <row r="29" spans="1:32" ht="15.75" thickBot="1" x14ac:dyDescent="0.3">
      <c r="G29" s="28" t="s">
        <v>79</v>
      </c>
      <c r="H29" s="29" t="s">
        <v>80</v>
      </c>
      <c r="I29" s="29" t="s">
        <v>81</v>
      </c>
      <c r="J29" s="29" t="s">
        <v>82</v>
      </c>
      <c r="K29" s="29" t="s">
        <v>83</v>
      </c>
      <c r="L29" s="29" t="s">
        <v>84</v>
      </c>
      <c r="M29" s="29" t="s">
        <v>85</v>
      </c>
      <c r="N29" s="29" t="s">
        <v>86</v>
      </c>
      <c r="O29" s="29" t="s">
        <v>87</v>
      </c>
      <c r="P29" s="29" t="s">
        <v>88</v>
      </c>
      <c r="Q29" s="29" t="s">
        <v>89</v>
      </c>
      <c r="R29" s="30" t="s">
        <v>90</v>
      </c>
    </row>
    <row r="30" spans="1:32" ht="15.75" thickBot="1" x14ac:dyDescent="0.3">
      <c r="A30" s="138" t="s">
        <v>78</v>
      </c>
      <c r="B30" s="138"/>
      <c r="C30" s="138"/>
      <c r="D30" s="138"/>
      <c r="E30" s="138"/>
      <c r="G30">
        <f>B31/$B$39/$B$40</f>
        <v>2.1071800296631609</v>
      </c>
      <c r="H30">
        <f>C31/$B$39/$B$40</f>
        <v>2.8350922655412045</v>
      </c>
      <c r="I30">
        <f>B32/$B$39/$B$40</f>
        <v>7.2849444468829168</v>
      </c>
      <c r="J30">
        <f>C32/$B$39/$B$40</f>
        <v>6.1290709297054313</v>
      </c>
      <c r="K30">
        <f>B33/$B$39/$B$40</f>
        <v>4.0246507210259157</v>
      </c>
      <c r="L30">
        <f>C33/$B$39/$B$40</f>
        <v>0.21292207917654202</v>
      </c>
      <c r="M30">
        <f>EXP(-$E$31*G30)</f>
        <v>0.43047242445194145</v>
      </c>
      <c r="N30">
        <f t="shared" ref="N30:R30" si="18">EXP(-$E$31*H30)</f>
        <v>0.32173183009668638</v>
      </c>
      <c r="O30">
        <f t="shared" si="18"/>
        <v>5.425946787469077E-2</v>
      </c>
      <c r="P30">
        <f t="shared" si="18"/>
        <v>8.6153182795249569E-2</v>
      </c>
      <c r="Q30">
        <f t="shared" si="18"/>
        <v>0.19991554264238187</v>
      </c>
      <c r="R30">
        <f t="shared" si="18"/>
        <v>0.91835722352796123</v>
      </c>
      <c r="T30" s="25"/>
      <c r="U30" s="25"/>
      <c r="V30" s="25"/>
      <c r="W30" s="25"/>
      <c r="X30" s="25"/>
      <c r="Y30" s="25"/>
      <c r="Z30" s="25"/>
      <c r="AC30" s="51"/>
      <c r="AD30" s="72"/>
      <c r="AE30" s="73"/>
    </row>
    <row r="31" spans="1:32" ht="15.75" thickBot="1" x14ac:dyDescent="0.3">
      <c r="A31" s="26" t="s">
        <v>33</v>
      </c>
      <c r="B31" s="27">
        <v>5.5736999999999997</v>
      </c>
      <c r="C31" s="27">
        <v>7.4991000000000003</v>
      </c>
      <c r="D31" s="26">
        <v>6.4999999999999997E-3</v>
      </c>
      <c r="E31" s="26">
        <v>0.4</v>
      </c>
      <c r="T31" s="25"/>
      <c r="U31" s="25"/>
      <c r="V31" s="25"/>
      <c r="W31" s="25"/>
      <c r="X31" s="25"/>
      <c r="Y31" s="25"/>
      <c r="Z31" s="25"/>
      <c r="AC31" s="51"/>
      <c r="AD31" s="72"/>
      <c r="AE31" s="73"/>
    </row>
    <row r="32" spans="1:32" ht="15.75" thickBot="1" x14ac:dyDescent="0.3">
      <c r="A32" s="31" t="s">
        <v>34</v>
      </c>
      <c r="B32" s="32">
        <v>19.269400000000001</v>
      </c>
      <c r="C32" s="32">
        <v>16.212</v>
      </c>
      <c r="D32" s="31"/>
      <c r="E32" s="31"/>
      <c r="J32" s="33">
        <f>J37</f>
        <v>0.20021955964953925</v>
      </c>
      <c r="K32" s="33">
        <f>(K37+K47)/2</f>
        <v>1.8967800863068577E-3</v>
      </c>
      <c r="L32" s="33"/>
      <c r="M32" s="33">
        <f>(M37+M47)/2</f>
        <v>3.6211565646165123E-2</v>
      </c>
      <c r="N32" s="33">
        <f>(N37+N47)/2</f>
        <v>0.67320394113846604</v>
      </c>
      <c r="T32" s="33"/>
      <c r="U32" s="33"/>
      <c r="V32" s="33"/>
      <c r="W32" s="33"/>
      <c r="X32" s="33"/>
      <c r="Y32" s="33"/>
      <c r="Z32" s="33"/>
      <c r="AC32" s="51"/>
      <c r="AD32" s="72"/>
      <c r="AE32" s="73"/>
    </row>
    <row r="33" spans="1:31" ht="15.75" thickBot="1" x14ac:dyDescent="0.3">
      <c r="A33" s="34" t="s">
        <v>35</v>
      </c>
      <c r="B33" s="35">
        <v>10.6456</v>
      </c>
      <c r="C33" s="35">
        <v>0.56320000000000003</v>
      </c>
      <c r="D33" s="36"/>
      <c r="E33" s="36"/>
      <c r="J33" s="33">
        <f t="shared" ref="J33:J34" si="19">J38</f>
        <v>3.3163566551174938E-2</v>
      </c>
      <c r="K33" s="33">
        <f t="shared" ref="K33:K34" si="20">(K38+K48)/2</f>
        <v>6.0769334582352495E-4</v>
      </c>
      <c r="M33" s="33">
        <f t="shared" ref="M33:N34" si="21">(M38+M48)/2</f>
        <v>1.5824720951193007E-2</v>
      </c>
      <c r="N33" s="33">
        <f t="shared" si="21"/>
        <v>0.21639222496012056</v>
      </c>
      <c r="T33" s="33"/>
      <c r="U33" s="33"/>
      <c r="V33" s="33"/>
      <c r="W33" s="33"/>
      <c r="X33" s="33"/>
      <c r="Y33" s="33"/>
      <c r="Z33" s="33"/>
      <c r="AC33" s="51"/>
      <c r="AD33" s="72"/>
      <c r="AE33" s="73"/>
    </row>
    <row r="34" spans="1:31" ht="15.75" thickBot="1" x14ac:dyDescent="0.3">
      <c r="J34" s="33">
        <f t="shared" si="19"/>
        <v>4.4055971441641856E-3</v>
      </c>
      <c r="K34" s="33">
        <f t="shared" si="20"/>
        <v>4.7470118594388465E-4</v>
      </c>
      <c r="M34" s="33">
        <f t="shared" si="21"/>
        <v>2.8949962565031325E-3</v>
      </c>
      <c r="N34" s="33">
        <f t="shared" si="21"/>
        <v>3.2526351070057802E-2</v>
      </c>
      <c r="T34" s="33"/>
      <c r="U34" s="33"/>
      <c r="V34" s="33"/>
      <c r="W34" s="33"/>
      <c r="X34" s="33"/>
      <c r="Y34" s="33"/>
      <c r="Z34" s="33"/>
    </row>
    <row r="35" spans="1:31" ht="26.25" thickBot="1" x14ac:dyDescent="0.3">
      <c r="A35" s="139" t="s">
        <v>91</v>
      </c>
      <c r="B35" s="37" t="s">
        <v>92</v>
      </c>
      <c r="C35" s="37" t="s">
        <v>93</v>
      </c>
      <c r="D35" s="139" t="s">
        <v>36</v>
      </c>
      <c r="E35" s="139" t="s">
        <v>37</v>
      </c>
    </row>
    <row r="36" spans="1:31" ht="15.75" thickBot="1" x14ac:dyDescent="0.3">
      <c r="A36" s="140"/>
      <c r="B36" s="141" t="s">
        <v>38</v>
      </c>
      <c r="C36" s="141"/>
      <c r="D36" s="140"/>
      <c r="E36" s="140"/>
      <c r="I36" s="38" t="s">
        <v>39</v>
      </c>
      <c r="J36" s="39" t="s">
        <v>40</v>
      </c>
      <c r="K36" s="40" t="s">
        <v>41</v>
      </c>
      <c r="L36" s="41"/>
      <c r="M36" s="38" t="s">
        <v>42</v>
      </c>
      <c r="N36" s="39" t="s">
        <v>43</v>
      </c>
      <c r="O36" s="39" t="s">
        <v>44</v>
      </c>
      <c r="P36" s="42" t="s">
        <v>94</v>
      </c>
      <c r="Q36" s="43" t="s">
        <v>95</v>
      </c>
      <c r="R36" s="44" t="s">
        <v>96</v>
      </c>
      <c r="S36" s="42" t="s">
        <v>97</v>
      </c>
      <c r="T36" s="43" t="s">
        <v>98</v>
      </c>
      <c r="U36" s="44" t="s">
        <v>99</v>
      </c>
      <c r="V36" s="45" t="s">
        <v>45</v>
      </c>
      <c r="W36" s="46" t="s">
        <v>46</v>
      </c>
      <c r="X36" s="47" t="s">
        <v>47</v>
      </c>
      <c r="Y36" s="42" t="s">
        <v>100</v>
      </c>
      <c r="Z36" s="43" t="s">
        <v>101</v>
      </c>
      <c r="AA36" s="43" t="s">
        <v>102</v>
      </c>
      <c r="AB36" s="19" t="s">
        <v>48</v>
      </c>
      <c r="AC36" s="93" t="s">
        <v>49</v>
      </c>
      <c r="AD36" s="22" t="s">
        <v>50</v>
      </c>
    </row>
    <row r="37" spans="1:31" x14ac:dyDescent="0.25">
      <c r="I37" s="33">
        <f>1-J37-K37</f>
        <v>0.79788366035502867</v>
      </c>
      <c r="J37" s="5">
        <v>0.20021955964953925</v>
      </c>
      <c r="K37" s="6">
        <v>1.8967799954320371E-3</v>
      </c>
      <c r="L37" s="48"/>
      <c r="M37" s="33">
        <v>3.6211567033859603E-2</v>
      </c>
      <c r="N37" s="69">
        <v>0.6732040069366978</v>
      </c>
      <c r="O37" s="33">
        <f>1-M37-N37</f>
        <v>0.29058442602944257</v>
      </c>
      <c r="P37" s="4">
        <f>I37+N30*J37+P30*K37</f>
        <v>0.86246407933589642</v>
      </c>
      <c r="Q37" s="5">
        <f>M30*I37+J37+R30*K37</f>
        <v>0.54542839496340623</v>
      </c>
      <c r="R37" s="5">
        <f>O30*I37+Q30*J37+K37</f>
        <v>8.5216524747162778E-2</v>
      </c>
      <c r="S37" s="5">
        <f>J37*$H$30*$N$30+K37*$J$30*$P$30</f>
        <v>0.18362972738080721</v>
      </c>
      <c r="T37" s="5">
        <f>I37*$G$30*$M$30+K37*$L$30*$R$30</f>
        <v>0.72411751497732191</v>
      </c>
      <c r="U37" s="5">
        <f>I37*$I$30*$O$30+J37*$K$30*$Q$30</f>
        <v>0.47647992863662447</v>
      </c>
      <c r="V37" s="5">
        <f>S37/P37-I37*S37/P37^2+J37*$M$30/Q37*($G$30-T37/Q37)+K37*$O$30/R37*($I$30-U37/R37)</f>
        <v>0.14117588362118416</v>
      </c>
      <c r="W37" s="5">
        <f>T37/Q37-J37*T37/Q37^2+(I37*$N$30/P37)*($H$30-S37/P37)+(K37*$Q$30/R37)*($K$30-U37/R37)</f>
        <v>1.6137595011978367</v>
      </c>
      <c r="X37" s="5">
        <f>U37/R37-K37*U37/R37^2+I37*$P$30/P37*($J$30-S37/P37)+J37*$R$30/Q37*($L$30-T37/Q37)</f>
        <v>5.56269700065282</v>
      </c>
      <c r="Y37" s="5">
        <f>EXP(V37)</f>
        <v>1.1516271825320852</v>
      </c>
      <c r="Z37" s="5">
        <f t="shared" ref="Z37:AA37" si="22">EXP(W37)</f>
        <v>5.0216547014738104</v>
      </c>
      <c r="AA37" s="5">
        <f t="shared" si="22"/>
        <v>260.52452448351596</v>
      </c>
      <c r="AB37" s="5">
        <f t="shared" ref="AB37:AD39" si="23">Y37/Y41</f>
        <v>4.5384516637874038E-2</v>
      </c>
      <c r="AC37" s="5">
        <f t="shared" si="23"/>
        <v>3.3623282186745307</v>
      </c>
      <c r="AD37" s="6">
        <f t="shared" si="23"/>
        <v>153.19878893990028</v>
      </c>
    </row>
    <row r="38" spans="1:31" x14ac:dyDescent="0.25">
      <c r="I38" s="33">
        <f t="shared" ref="I38:I39" si="24">1-J38-K38</f>
        <v>0.96622874010341364</v>
      </c>
      <c r="J38">
        <v>3.3163566551174938E-2</v>
      </c>
      <c r="K38">
        <v>6.0769334541141743E-4</v>
      </c>
      <c r="M38">
        <v>1.5824722080946145E-2</v>
      </c>
      <c r="N38">
        <v>0.21639222529627328</v>
      </c>
      <c r="O38" s="33">
        <f t="shared" ref="O38:O39" si="25">1-M38-N38</f>
        <v>0.76778305262278068</v>
      </c>
      <c r="P38" s="4">
        <f>I38+$N$30*J38+$P$30*K38</f>
        <v>0.97695086977832712</v>
      </c>
      <c r="Q38" s="5">
        <f>$M$30*I38+J38+$R$30*K38</f>
        <v>0.44965647445208468</v>
      </c>
      <c r="R38" s="5">
        <f>$O$30*I38+$Q$30*J38+K38</f>
        <v>5.9664663031690407E-2</v>
      </c>
      <c r="S38" s="5">
        <f>J38*$H$30*$N$30+K38*$J$30*$P$30</f>
        <v>3.0570682228523383E-2</v>
      </c>
      <c r="T38" s="5">
        <f>I38*$G$30*$M$30+K38*$L$30*$R$30</f>
        <v>0.87656839135612619</v>
      </c>
      <c r="U38" s="5">
        <f>I38*$I$30*$O$30+J38*$K$30*$Q$30</f>
        <v>0.40861128155519477</v>
      </c>
      <c r="V38" s="5">
        <f>S38/P38-I38*S38/P38^2+J38*$M$30/Q38*($G$30-T38/Q38)+K38*$O$30/R38*($I$30-U38/R38)</f>
        <v>5.5933880220783785E-3</v>
      </c>
      <c r="W38" s="5">
        <f>T38/Q38-J38*T38/Q38^2+(I38*$N$30/P38)*($H$30-S38/P38)+(K38*$Q$30/R38)*($K$30-U38/R38)</f>
        <v>2.6920640028526694</v>
      </c>
      <c r="X38" s="5">
        <f>U38/R38-K38*U38/R38^2+I38*$P$30/P38*($J$30-S38/P38)+J38*$R$30/Q38*($L$30-T38/Q38)</f>
        <v>7.1806726846074405</v>
      </c>
      <c r="Y38" s="5">
        <f>EXP(V38)</f>
        <v>1.0056090602234706</v>
      </c>
      <c r="Z38" s="5">
        <f>EXP(W38)</f>
        <v>14.762113542430644</v>
      </c>
      <c r="AA38" s="5">
        <f>EXP(X38)</f>
        <v>1313.7917285370834</v>
      </c>
      <c r="AB38" s="5">
        <f t="shared" si="23"/>
        <v>1.637781941752859E-2</v>
      </c>
      <c r="AC38" s="5">
        <f t="shared" si="23"/>
        <v>6.5249985790898402</v>
      </c>
      <c r="AD38" s="6">
        <f t="shared" si="23"/>
        <v>1263.4383071310997</v>
      </c>
    </row>
    <row r="39" spans="1:31" ht="15.75" thickBot="1" x14ac:dyDescent="0.3">
      <c r="A39" s="49" t="s">
        <v>57</v>
      </c>
      <c r="B39">
        <f>8.314/1000</f>
        <v>8.3140000000000002E-3</v>
      </c>
      <c r="C39" t="s">
        <v>58</v>
      </c>
      <c r="I39" s="33">
        <f t="shared" si="24"/>
        <v>0.99511970166989194</v>
      </c>
      <c r="J39">
        <v>4.4055971441641856E-3</v>
      </c>
      <c r="K39">
        <v>4.7470118594388454E-4</v>
      </c>
      <c r="M39">
        <v>2.8949962565031654E-3</v>
      </c>
      <c r="N39">
        <v>3.252635107005783E-2</v>
      </c>
      <c r="O39" s="33">
        <f t="shared" si="25"/>
        <v>0.96457865267343901</v>
      </c>
      <c r="P39" s="4">
        <f>I39+$N$30*J39+$P$30*K39</f>
        <v>0.99657801951979841</v>
      </c>
      <c r="Q39" s="5">
        <f>$M$30*I39+J39+$R$30*K39</f>
        <v>0.43321313300502406</v>
      </c>
      <c r="R39" s="5">
        <f>$O$30*I39+$Q$30*J39+K39</f>
        <v>5.5350114013912557E-2</v>
      </c>
      <c r="S39" s="5">
        <f>J39*$H$30*$N$30+K39*$J$30*$P$30</f>
        <v>4.2691795618410048E-3</v>
      </c>
      <c r="T39" s="5">
        <f>I39*$G$30*$M$30+K39*$L$30*$R$30</f>
        <v>0.90274888335441494</v>
      </c>
      <c r="U39" s="5">
        <f>I39*$I$30*$O$30+J39*$K$30*$Q$30</f>
        <v>0.39689283891265947</v>
      </c>
      <c r="V39" s="5">
        <f>S39/P39-I39*S39/P39^2+J39*$M$30/Q39*($G$30-T39/Q39)+K39*$O$30/R39*($I$30-U39/R39)</f>
        <v>1.6164007643169138E-4</v>
      </c>
      <c r="W39" s="5">
        <f>T39/Q39-J39*T39/Q39^2+(I39*$N$30/P39)*($H$30-S39/P39)+(K39*$Q$30/R39)*($K$30-U39/R39)</f>
        <v>2.9666874415923652</v>
      </c>
      <c r="X39" s="5">
        <f>U39/R39-K39*U39/R39^2+I39*$P$30/P39*($J$30-S39/P39)+J39*$R$30/Q39*($L$30-T39/Q39)</f>
        <v>7.6185148109627656</v>
      </c>
      <c r="Y39" s="5">
        <f>EXP(V39)</f>
        <v>1.0001616531408928</v>
      </c>
      <c r="Z39" s="5">
        <f t="shared" ref="Z39" si="26">EXP(W39)</f>
        <v>19.427458298743197</v>
      </c>
      <c r="AA39" s="5">
        <f t="shared" ref="AA39" si="27">EXP(X39)</f>
        <v>2035.5367268979958</v>
      </c>
      <c r="AB39" s="5">
        <f t="shared" si="23"/>
        <v>2.9091939910797257E-3</v>
      </c>
      <c r="AC39" s="5">
        <f t="shared" si="23"/>
        <v>7.3829608122802082</v>
      </c>
      <c r="AD39" s="6">
        <f t="shared" si="23"/>
        <v>2031.9701766817655</v>
      </c>
    </row>
    <row r="40" spans="1:31" ht="15.75" thickBot="1" x14ac:dyDescent="0.3">
      <c r="A40" s="49" t="s">
        <v>59</v>
      </c>
      <c r="B40">
        <v>318.14999999999998</v>
      </c>
      <c r="C40" t="s">
        <v>60</v>
      </c>
      <c r="P40" s="42" t="s">
        <v>103</v>
      </c>
      <c r="Q40" s="43" t="s">
        <v>104</v>
      </c>
      <c r="R40" s="44" t="s">
        <v>105</v>
      </c>
      <c r="S40" s="42" t="s">
        <v>106</v>
      </c>
      <c r="T40" s="43" t="s">
        <v>107</v>
      </c>
      <c r="U40" s="44" t="s">
        <v>108</v>
      </c>
      <c r="V40" s="45" t="s">
        <v>51</v>
      </c>
      <c r="W40" s="46" t="s">
        <v>52</v>
      </c>
      <c r="X40" s="47" t="s">
        <v>53</v>
      </c>
      <c r="Y40" s="42" t="s">
        <v>109</v>
      </c>
      <c r="Z40" s="43" t="s">
        <v>110</v>
      </c>
      <c r="AA40" s="43" t="s">
        <v>111</v>
      </c>
      <c r="AB40" s="19" t="s">
        <v>54</v>
      </c>
      <c r="AC40" s="93" t="s">
        <v>55</v>
      </c>
      <c r="AD40" s="22" t="s">
        <v>56</v>
      </c>
    </row>
    <row r="41" spans="1:31" x14ac:dyDescent="0.25">
      <c r="P41" s="4">
        <f>M37+$N$30*N37+$P$30*O37</f>
        <v>0.27783749738719299</v>
      </c>
      <c r="Q41" s="5">
        <f>$M$30*M37+N37+$R$30*O37</f>
        <v>0.95565239467983254</v>
      </c>
      <c r="R41" s="5">
        <f>$O$30*M37+$Q$30*N37+O37</f>
        <v>0.42713319074338424</v>
      </c>
      <c r="S41" s="5">
        <f>N37*$H$30*$N$30+O37*$J$30*$P$30</f>
        <v>0.76749581499353703</v>
      </c>
      <c r="T41" s="5">
        <f>M37*$G$30*$M$30+O37*$L$30*$R$30</f>
        <v>8.9667344448210271E-2</v>
      </c>
      <c r="U41" s="5">
        <f>M37*$I$30*$O$30+N37*$K$30*$Q$30</f>
        <v>0.5559669758473279</v>
      </c>
      <c r="V41" s="5">
        <f>S41/P41-M37*S41/P41^2+N37*$M$30/Q41*($G$30-T41/Q41)+O37*$O$30/R41*($I$30-U41/R41)</f>
        <v>3.2337601589431166</v>
      </c>
      <c r="W41" s="5">
        <f>T41/Q41-N37*T41/Q41^2+(M37*$N$30/P41)*($H$30-S41/P41)+(O37*$Q$30/R41)*($K$30-U41/R41)</f>
        <v>0.40112584495792314</v>
      </c>
      <c r="X41" s="5">
        <f>U41/R41-O37*U41/R41^2+M37*$P$30/P41*($J$30-S41/P41)+N37*$R$30/Q41*($L$30-T41/Q41)</f>
        <v>0.53096064846960911</v>
      </c>
      <c r="Y41" s="5">
        <f>EXP(V41)</f>
        <v>25.374891435354311</v>
      </c>
      <c r="Z41" s="5">
        <f t="shared" ref="Z41:AA41" si="28">EXP(W41)</f>
        <v>1.4935052067740744</v>
      </c>
      <c r="AA41" s="5">
        <f t="shared" si="28"/>
        <v>1.7005651695178834</v>
      </c>
      <c r="AB41" s="5">
        <f t="shared" ref="AB41:AD43" si="29">Y41/Y37</f>
        <v>22.033946246008611</v>
      </c>
      <c r="AC41" s="5">
        <f t="shared" si="29"/>
        <v>0.29741296356671915</v>
      </c>
      <c r="AD41" s="6">
        <f t="shared" si="29"/>
        <v>6.5274667438284971E-3</v>
      </c>
    </row>
    <row r="42" spans="1:31" x14ac:dyDescent="0.25">
      <c r="P42" s="4">
        <f>M38+$N$30*N38+$P$30*O38</f>
        <v>0.15159194242391577</v>
      </c>
      <c r="Q42" s="5">
        <f>$M$30*M38+N38+$R$30*O38</f>
        <v>0.92830344425521583</v>
      </c>
      <c r="R42" s="5">
        <f>$O$30*M38+$Q$30*N38+O38</f>
        <v>0.81190186276585474</v>
      </c>
      <c r="S42" s="5">
        <f>N38*$H$30*$N$30+O38*$J$30*$P$30</f>
        <v>0.60279925042878979</v>
      </c>
      <c r="T42" s="5">
        <f>M38*$G$30*$M$30+O38*$L$30*$R$30</f>
        <v>0.16448550379002308</v>
      </c>
      <c r="U42" s="5">
        <f>M38*$I$30*$O$30+N38*$K$30*$Q$30</f>
        <v>0.1803622229161608</v>
      </c>
      <c r="V42" s="5">
        <f>S42/P42-M38*S42/P42^2+N38*$M$30/Q42*($G$30-T42/Q42)+O38*$O$30/R42*($I$30-U42/R42)</f>
        <v>4.1174207221341748</v>
      </c>
      <c r="W42" s="5">
        <f>T42/Q42-N38*T42/Q42^2+(M38*$N$30/P42)*($H$30-S42/P42)+(O38*$Q$30/R42)*($K$30-U42/R42)</f>
        <v>0.81642326740794524</v>
      </c>
      <c r="X42" s="5">
        <f>U42/R42-O38*U42/R42^2+M38*$P$30/P42*($J$30-S42/P42)+N38*$R$30/Q42*($L$30-T42/Q42)</f>
        <v>3.9080585935176701E-2</v>
      </c>
      <c r="Y42" s="5">
        <f>EXP(V42)</f>
        <v>61.400668464276961</v>
      </c>
      <c r="Z42" s="5">
        <f t="shared" ref="Z42:Z43" si="30">EXP(W42)</f>
        <v>2.2623933727338503</v>
      </c>
      <c r="AA42" s="5">
        <f t="shared" ref="AA42:AA43" si="31">EXP(X42)</f>
        <v>1.0398542779032256</v>
      </c>
      <c r="AB42" s="5">
        <f t="shared" si="29"/>
        <v>61.058189402780691</v>
      </c>
      <c r="AC42" s="5">
        <f t="shared" si="29"/>
        <v>0.15325673835464471</v>
      </c>
      <c r="AD42" s="6">
        <f t="shared" si="29"/>
        <v>7.9149096109861405E-4</v>
      </c>
    </row>
    <row r="43" spans="1:31" ht="15.75" thickBot="1" x14ac:dyDescent="0.3">
      <c r="P43" s="7">
        <f>M39+$N$30*N39+$P$30*O39</f>
        <v>9.6461279696810523E-2</v>
      </c>
      <c r="Q43" s="8">
        <f>$M$30*M39+N39+$R$30*O39</f>
        <v>0.91960034047089523</v>
      </c>
      <c r="R43" s="8">
        <f>$O$30*M39+$Q$30*N39+O39</f>
        <v>0.97123825675416331</v>
      </c>
      <c r="S43" s="8">
        <f>N39*$H$30*$N$30+O39*$J$30*$P$30</f>
        <v>0.53900368357850426</v>
      </c>
      <c r="T43" s="8">
        <f>M39*$G$30*$M$30+O39*$L$30*$R$30</f>
        <v>0.19123829288125138</v>
      </c>
      <c r="U43" s="8">
        <f>M39*$I$30*$O$30+N39*$K$30*$Q$30</f>
        <v>2.7314710421762058E-2</v>
      </c>
      <c r="V43" s="8">
        <f>S43/P43-M39*S43/P43^2+N39*$M$30/Q43*($G$30-T43/Q43)+O39*$O$30/R43*($I$30-U43/R43)</f>
        <v>5.8400408552513419</v>
      </c>
      <c r="W43" s="8">
        <f>T43/Q43-N39*T43/Q43^2+(M39*$N$30/P43)*($H$30-S43/P43)+(O39*$Q$30/R43)*($K$30-U43/R43)</f>
        <v>0.96751268936089996</v>
      </c>
      <c r="X43" s="8">
        <f>U43/R43-O39*U43/R43^2+M39*$P$30/P43*($J$30-S43/P43)+N39*$R$30/Q43*($L$30-T43/Q43)</f>
        <v>1.7536792019387337E-3</v>
      </c>
      <c r="Y43" s="8">
        <f>EXP(V43)</f>
        <v>343.79338614324934</v>
      </c>
      <c r="Z43" s="8">
        <f t="shared" si="30"/>
        <v>2.6313912253779224</v>
      </c>
      <c r="AA43" s="8">
        <f t="shared" si="31"/>
        <v>1.0017552177965794</v>
      </c>
      <c r="AB43" s="8">
        <f t="shared" si="29"/>
        <v>343.73781984502773</v>
      </c>
      <c r="AC43" s="8">
        <f t="shared" si="29"/>
        <v>0.13544701447374372</v>
      </c>
      <c r="AD43" s="9">
        <f t="shared" si="29"/>
        <v>4.9213320720730921E-4</v>
      </c>
    </row>
    <row r="45" spans="1:31" ht="15.75" thickBot="1" x14ac:dyDescent="0.3"/>
    <row r="46" spans="1:31" ht="15.75" thickBot="1" x14ac:dyDescent="0.3">
      <c r="H46" s="50" t="s">
        <v>61</v>
      </c>
      <c r="I46" s="38" t="s">
        <v>39</v>
      </c>
      <c r="J46" s="39" t="s">
        <v>40</v>
      </c>
      <c r="K46" s="40" t="s">
        <v>41</v>
      </c>
      <c r="L46" s="41"/>
      <c r="M46" s="38" t="s">
        <v>42</v>
      </c>
      <c r="N46" s="39" t="s">
        <v>43</v>
      </c>
      <c r="O46" s="40" t="s">
        <v>44</v>
      </c>
      <c r="P46" s="50" t="s">
        <v>61</v>
      </c>
    </row>
    <row r="47" spans="1:31" x14ac:dyDescent="0.25">
      <c r="H47" s="51">
        <f>SUM(I47:K47)</f>
        <v>1.000000100473015</v>
      </c>
      <c r="I47" s="33">
        <f>M37*AB41</f>
        <v>0.79788372150779996</v>
      </c>
      <c r="J47" s="58">
        <f>N37*AC41</f>
        <v>0.20021959878803344</v>
      </c>
      <c r="K47" s="33">
        <f>O37*AD41</f>
        <v>1.8967801771816782E-3</v>
      </c>
      <c r="L47" s="33"/>
      <c r="M47" s="33">
        <f>I37*AB37</f>
        <v>3.6211564258470635E-2</v>
      </c>
      <c r="N47" s="33">
        <f>J37*AC37</f>
        <v>0.67320387534023429</v>
      </c>
      <c r="O47" s="33">
        <f>K37*AD37</f>
        <v>0.29058439818561765</v>
      </c>
      <c r="P47" s="51">
        <f>SUM(M47:O47)</f>
        <v>0.99999983778432255</v>
      </c>
    </row>
    <row r="48" spans="1:31" x14ac:dyDescent="0.25">
      <c r="H48" s="51">
        <f t="shared" ref="H48:H49" si="32">SUM(I48:K48)</f>
        <v>1.0000001380652215</v>
      </c>
      <c r="I48" s="33">
        <f t="shared" ref="I48:K48" si="33">M38*AB42</f>
        <v>0.96622887806477553</v>
      </c>
      <c r="J48" s="58">
        <f t="shared" si="33"/>
        <v>3.3163566654210282E-2</v>
      </c>
      <c r="K48" s="33">
        <f t="shared" si="33"/>
        <v>6.0769334623563247E-4</v>
      </c>
      <c r="M48" s="33">
        <f t="shared" ref="M48:O48" si="34">I38*AB38</f>
        <v>1.5824719821439872E-2</v>
      </c>
      <c r="N48" s="33">
        <f t="shared" si="34"/>
        <v>0.21639222462396782</v>
      </c>
      <c r="O48" s="33">
        <f t="shared" si="34"/>
        <v>0.76778305158143589</v>
      </c>
      <c r="P48" s="51">
        <f>SUM(M48:O48)</f>
        <v>0.99999999602684353</v>
      </c>
    </row>
    <row r="49" spans="8:16" x14ac:dyDescent="0.25">
      <c r="H49" s="51">
        <f t="shared" si="32"/>
        <v>1.0000000000000229</v>
      </c>
      <c r="I49" s="33">
        <f t="shared" ref="I49:K49" si="35">M39*AB43</f>
        <v>0.99511970166991481</v>
      </c>
      <c r="J49" s="58">
        <f t="shared" si="35"/>
        <v>4.4055971441641925E-3</v>
      </c>
      <c r="K49" s="33">
        <f t="shared" si="35"/>
        <v>4.747011859438847E-4</v>
      </c>
      <c r="M49" s="33">
        <f t="shared" ref="M49:O49" si="36">I39*AB39</f>
        <v>2.8949962565030991E-3</v>
      </c>
      <c r="N49" s="33">
        <f t="shared" si="36"/>
        <v>3.2526351070057781E-2</v>
      </c>
      <c r="O49" s="33">
        <f t="shared" si="36"/>
        <v>0.96457865267343867</v>
      </c>
      <c r="P49" s="51">
        <f t="shared" ref="P49" si="37">SUM(M49:O49)</f>
        <v>0.99999999999999956</v>
      </c>
    </row>
  </sheetData>
  <mergeCells count="5">
    <mergeCell ref="A30:E30"/>
    <mergeCell ref="A35:A36"/>
    <mergeCell ref="D35:D36"/>
    <mergeCell ref="E35:E36"/>
    <mergeCell ref="B36:C3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RTLM">
                <anchor moveWithCells="1" sizeWithCells="1">
                  <from>
                    <xdr:col>6</xdr:col>
                    <xdr:colOff>123825</xdr:colOff>
                    <xdr:row>40</xdr:row>
                    <xdr:rowOff>9525</xdr:rowOff>
                  </from>
                  <to>
                    <xdr:col>8</xdr:col>
                    <xdr:colOff>76200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4"/>
  <dimension ref="A1:AY54"/>
  <sheetViews>
    <sheetView topLeftCell="AB13" zoomScale="85" zoomScaleNormal="85" workbookViewId="0">
      <selection activeCell="J37" sqref="J37:N41"/>
    </sheetView>
  </sheetViews>
  <sheetFormatPr defaultRowHeight="15" x14ac:dyDescent="0.25"/>
  <cols>
    <col min="20" max="21" width="12" bestFit="1" customWidth="1"/>
    <col min="22" max="23" width="12.140625" bestFit="1" customWidth="1"/>
    <col min="24" max="24" width="9.42578125" bestFit="1" customWidth="1"/>
  </cols>
  <sheetData>
    <row r="1" spans="1:48" ht="15.75" thickBot="1" x14ac:dyDescent="0.3">
      <c r="A1" s="5"/>
      <c r="B1" s="115"/>
      <c r="C1" s="115"/>
      <c r="D1" s="115"/>
      <c r="E1" s="15" t="s">
        <v>25</v>
      </c>
      <c r="H1" t="s">
        <v>31</v>
      </c>
      <c r="L1">
        <v>1</v>
      </c>
      <c r="M1">
        <v>2</v>
      </c>
      <c r="N1">
        <v>3</v>
      </c>
      <c r="O1">
        <v>4</v>
      </c>
      <c r="P1" s="18" t="s">
        <v>23</v>
      </c>
      <c r="S1" s="17" t="s">
        <v>27</v>
      </c>
      <c r="Z1" s="17" t="s">
        <v>28</v>
      </c>
    </row>
    <row r="2" spans="1:48" ht="15.75" thickBot="1" x14ac:dyDescent="0.3">
      <c r="A2" s="5"/>
      <c r="B2" s="5"/>
      <c r="C2" s="5"/>
      <c r="D2" s="5"/>
      <c r="E2" s="9" t="s">
        <v>32</v>
      </c>
      <c r="G2" s="16" t="s">
        <v>62</v>
      </c>
      <c r="H2" s="14" t="s">
        <v>63</v>
      </c>
      <c r="I2" s="15" t="s">
        <v>64</v>
      </c>
      <c r="K2" s="17" t="s">
        <v>19</v>
      </c>
      <c r="L2" s="1">
        <f>F$4*$G$4+E$4</f>
        <v>11.154795919142396</v>
      </c>
      <c r="M2" s="2">
        <f>-$F$5*$G$5</f>
        <v>-0.15292833612066328</v>
      </c>
      <c r="N2" s="2">
        <v>0</v>
      </c>
      <c r="O2" s="2">
        <v>0</v>
      </c>
      <c r="P2" s="11">
        <f>$E$3*$AQ$24</f>
        <v>8.75</v>
      </c>
      <c r="T2" s="1">
        <f t="array" ref="T2:W5">MINVERSE(L2:O5)</f>
        <v>9.1160623412487388E-2</v>
      </c>
      <c r="U2" s="2">
        <v>1.6774491811209892E-3</v>
      </c>
      <c r="V2" s="2">
        <v>4.7066540766687461E-6</v>
      </c>
      <c r="W2" s="3">
        <v>8.5294947425025436E-9</v>
      </c>
      <c r="X2" s="5"/>
      <c r="Z2" s="53">
        <f t="array" ref="Z2:Z5">MMULT(T2:W5,P2:P5)</f>
        <v>0.79765545485926459</v>
      </c>
    </row>
    <row r="3" spans="1:48" x14ac:dyDescent="0.25">
      <c r="A3" s="5"/>
      <c r="B3" s="62"/>
      <c r="C3" s="62"/>
      <c r="D3" s="62"/>
      <c r="E3" s="114">
        <f>AP24</f>
        <v>25</v>
      </c>
      <c r="G3" s="85" t="s">
        <v>65</v>
      </c>
      <c r="H3" s="86" t="s">
        <v>65</v>
      </c>
      <c r="I3" s="87" t="s">
        <v>65</v>
      </c>
      <c r="L3" s="66">
        <f>-$E$4</f>
        <v>-10.061795145896305</v>
      </c>
      <c r="M3" s="5">
        <f>$F$5*$G$5+$E$5</f>
        <v>8.3338125575425597</v>
      </c>
      <c r="N3" s="5">
        <f>-$F$6*$G$6</f>
        <v>-2.2289852736097179E-2</v>
      </c>
      <c r="O3" s="5">
        <v>0</v>
      </c>
      <c r="P3" s="12">
        <v>0</v>
      </c>
      <c r="T3" s="4">
        <v>0.1103664007353989</v>
      </c>
      <c r="U3" s="5">
        <v>0.12235537085405392</v>
      </c>
      <c r="V3" s="5">
        <v>3.4330959859404068E-4</v>
      </c>
      <c r="W3" s="6">
        <v>6.2215267333414857E-7</v>
      </c>
      <c r="X3" s="5"/>
      <c r="Z3" s="54">
        <v>0.96570600643474036</v>
      </c>
      <c r="AV3" s="25"/>
    </row>
    <row r="4" spans="1:48" x14ac:dyDescent="0.25">
      <c r="A4" s="5"/>
      <c r="B4" s="62"/>
      <c r="C4" s="62"/>
      <c r="D4" s="62"/>
      <c r="E4" s="24">
        <f>AQ29</f>
        <v>10.061795145896305</v>
      </c>
      <c r="F4" s="24">
        <f t="shared" ref="F4:I4" si="0">AR29</f>
        <v>24.073962002030225</v>
      </c>
      <c r="G4" s="24">
        <f t="shared" si="0"/>
        <v>4.5401781939919811E-2</v>
      </c>
      <c r="H4" s="24">
        <f t="shared" si="0"/>
        <v>3.3607825281983614</v>
      </c>
      <c r="I4" s="24">
        <f t="shared" si="0"/>
        <v>152.76345345978643</v>
      </c>
      <c r="L4" s="4">
        <v>0</v>
      </c>
      <c r="M4" s="68">
        <f>-$E$5</f>
        <v>-8.1808842214218966</v>
      </c>
      <c r="N4" s="5">
        <f>$F$6*$G$6+$E$6</f>
        <v>7.9584745883775554</v>
      </c>
      <c r="O4" s="5">
        <f>-$F$7*$G$7</f>
        <v>-1.4318878042793019E-2</v>
      </c>
      <c r="P4" s="12">
        <v>0</v>
      </c>
      <c r="T4" s="4">
        <v>0.11365612239746525</v>
      </c>
      <c r="U4" s="5">
        <v>0.12600245104591201</v>
      </c>
      <c r="V4" s="5">
        <v>0.1262332455965135</v>
      </c>
      <c r="W4" s="6">
        <v>2.2876246843417058E-4</v>
      </c>
      <c r="X4" s="5"/>
      <c r="Z4" s="54">
        <v>0.99449107097782097</v>
      </c>
      <c r="AV4" s="25"/>
    </row>
    <row r="5" spans="1:48" ht="15.75" thickBot="1" x14ac:dyDescent="0.3">
      <c r="A5" s="5"/>
      <c r="B5" s="62"/>
      <c r="C5" s="62"/>
      <c r="D5" s="62"/>
      <c r="E5" s="24">
        <f t="shared" ref="E5:E7" si="1">AQ30</f>
        <v>8.1808842214218966</v>
      </c>
      <c r="F5" s="24">
        <f t="shared" ref="F5:F7" si="2">AR30</f>
        <v>9.1357571479265278</v>
      </c>
      <c r="G5" s="24">
        <f t="shared" ref="G5:G7" si="3">AS30</f>
        <v>1.6739536049879811E-2</v>
      </c>
      <c r="H5" s="24">
        <f t="shared" ref="H5:H7" si="4">AT30</f>
        <v>6.5083325560302834</v>
      </c>
      <c r="I5" s="24">
        <f t="shared" ref="I5:I7" si="5">AU30</f>
        <v>1252.9331385640228</v>
      </c>
      <c r="L5" s="4">
        <v>0</v>
      </c>
      <c r="M5" s="5">
        <v>0</v>
      </c>
      <c r="N5" s="68">
        <f>-$E$6</f>
        <v>-7.9361847356414579</v>
      </c>
      <c r="O5" s="5">
        <f>$F$7*$G$7+$E$7</f>
        <v>7.9012893199417151</v>
      </c>
      <c r="P5" s="12">
        <f>$F$8*$AQ$25</f>
        <v>0</v>
      </c>
      <c r="T5" s="7">
        <v>0.11415807562019697</v>
      </c>
      <c r="U5" s="8">
        <v>0.12655893084691566</v>
      </c>
      <c r="V5" s="8">
        <v>0.12679074468328919</v>
      </c>
      <c r="W5" s="9">
        <v>0.126791395763934</v>
      </c>
      <c r="X5" s="5"/>
      <c r="Z5" s="54">
        <v>0.99888316167672353</v>
      </c>
      <c r="AV5" s="33"/>
    </row>
    <row r="6" spans="1:48" x14ac:dyDescent="0.25">
      <c r="A6" s="5"/>
      <c r="B6" s="62"/>
      <c r="C6" s="62"/>
      <c r="D6" s="62"/>
      <c r="E6" s="24">
        <f t="shared" si="1"/>
        <v>7.9361847356414579</v>
      </c>
      <c r="F6" s="24">
        <f t="shared" si="2"/>
        <v>7.2548462234521196</v>
      </c>
      <c r="G6" s="24">
        <f t="shared" si="3"/>
        <v>3.072408711302892E-3</v>
      </c>
      <c r="H6" s="24">
        <f t="shared" si="4"/>
        <v>7.3658525072733818</v>
      </c>
      <c r="I6" s="24">
        <f t="shared" si="5"/>
        <v>2010.5195015240909</v>
      </c>
      <c r="L6" s="5"/>
      <c r="M6" s="5"/>
      <c r="N6" s="5"/>
      <c r="O6" s="68"/>
      <c r="P6" s="5"/>
      <c r="T6" s="5"/>
      <c r="U6" s="5"/>
      <c r="V6" s="5"/>
      <c r="W6" s="5"/>
      <c r="X6" s="5"/>
      <c r="Z6" s="54"/>
      <c r="AA6" s="5"/>
      <c r="AB6" s="5"/>
      <c r="AC6" s="5"/>
      <c r="AD6" s="5"/>
      <c r="AS6" s="5"/>
      <c r="AV6" s="33"/>
    </row>
    <row r="7" spans="1:48" ht="15.75" thickBot="1" x14ac:dyDescent="0.3">
      <c r="A7" s="5"/>
      <c r="B7" s="62"/>
      <c r="C7" s="62"/>
      <c r="D7" s="62"/>
      <c r="E7" s="24">
        <f t="shared" si="1"/>
        <v>7.8869704418989217</v>
      </c>
      <c r="F7" s="24">
        <f t="shared" si="2"/>
        <v>7.0101467376716817</v>
      </c>
      <c r="G7" s="24">
        <f t="shared" si="3"/>
        <v>2.0425931979205368E-3</v>
      </c>
      <c r="H7" s="24">
        <f t="shared" si="4"/>
        <v>7.4841980082405328</v>
      </c>
      <c r="I7" s="24">
        <f t="shared" si="5"/>
        <v>2165.810217385465</v>
      </c>
      <c r="L7" s="5"/>
      <c r="M7" s="5"/>
      <c r="N7" s="5"/>
      <c r="O7" s="5"/>
      <c r="P7" s="5"/>
      <c r="AU7" s="33"/>
      <c r="AV7" s="33"/>
    </row>
    <row r="8" spans="1:48" ht="15.75" thickBot="1" x14ac:dyDescent="0.3">
      <c r="A8" s="5"/>
      <c r="B8" s="62"/>
      <c r="C8" s="62"/>
      <c r="D8" s="62"/>
      <c r="E8" s="24"/>
      <c r="F8" s="89">
        <f>AP25</f>
        <v>6.9609324439291456</v>
      </c>
      <c r="G8" s="66"/>
      <c r="H8" s="66"/>
      <c r="I8" s="66"/>
      <c r="L8">
        <v>1</v>
      </c>
      <c r="M8">
        <v>2</v>
      </c>
      <c r="N8">
        <v>3</v>
      </c>
      <c r="O8">
        <v>4</v>
      </c>
      <c r="P8" s="17" t="s">
        <v>22</v>
      </c>
      <c r="S8" s="17" t="s">
        <v>27</v>
      </c>
      <c r="Z8" s="17" t="s">
        <v>29</v>
      </c>
    </row>
    <row r="9" spans="1:48" ht="15.75" thickBot="1" x14ac:dyDescent="0.3">
      <c r="A9" s="5"/>
      <c r="B9" s="62"/>
      <c r="C9" s="62"/>
      <c r="D9" s="62"/>
      <c r="K9" s="17" t="s">
        <v>20</v>
      </c>
      <c r="L9" s="1">
        <f>F$4*$H$4+E$4</f>
        <v>90.969146026830742</v>
      </c>
      <c r="M9" s="2">
        <f>-$F$5*$H$5</f>
        <v>-59.458545669836589</v>
      </c>
      <c r="N9" s="2">
        <v>0</v>
      </c>
      <c r="O9" s="2">
        <v>0</v>
      </c>
      <c r="P9" s="11">
        <f>$E$3*$AR$24</f>
        <v>16.25</v>
      </c>
      <c r="T9" s="1">
        <f t="array" ref="T9:W12">MINVERSE(L9:O12)</f>
        <v>1.2355801818223126E-2</v>
      </c>
      <c r="U9" s="2">
        <v>1.2323520612630687E-2</v>
      </c>
      <c r="V9" s="2">
        <v>1.2088901287256339E-2</v>
      </c>
      <c r="W9" s="3">
        <v>1.0509097164607861E-2</v>
      </c>
      <c r="X9" s="5"/>
      <c r="Z9" s="53">
        <f t="array" ref="Z9:Z12">MMULT(T9:W12,P9:P12)</f>
        <v>0.2007817795461258</v>
      </c>
    </row>
    <row r="10" spans="1:48" x14ac:dyDescent="0.25">
      <c r="A10" s="5"/>
      <c r="B10" s="62"/>
      <c r="C10" s="62"/>
      <c r="D10" s="62"/>
      <c r="L10" s="66">
        <f>-$E$4</f>
        <v>-10.061795145896305</v>
      </c>
      <c r="M10" s="5">
        <f>$F$5*$H$5+$E$5</f>
        <v>67.639429891258487</v>
      </c>
      <c r="N10" s="5">
        <f>-$F$6*$H$6</f>
        <v>-53.438127244897622</v>
      </c>
      <c r="O10" s="5">
        <v>0</v>
      </c>
      <c r="P10" s="12">
        <v>0</v>
      </c>
      <c r="T10" s="4">
        <v>2.0854317656717296E-3</v>
      </c>
      <c r="U10" s="5">
        <v>1.8854483128466007E-2</v>
      </c>
      <c r="V10" s="5">
        <v>1.8495525144710229E-2</v>
      </c>
      <c r="W10" s="6">
        <v>1.6078489371164479E-2</v>
      </c>
      <c r="X10" s="5"/>
      <c r="Z10" s="54">
        <v>3.3888266192165603E-2</v>
      </c>
    </row>
    <row r="11" spans="1:48" x14ac:dyDescent="0.25">
      <c r="A11" s="5"/>
      <c r="B11" s="62"/>
      <c r="C11" s="62"/>
      <c r="D11" s="62"/>
      <c r="L11" s="4">
        <v>0</v>
      </c>
      <c r="M11" s="68">
        <f>-$E$5</f>
        <v>-8.1808842214218966</v>
      </c>
      <c r="N11" s="5">
        <f>$F$6*$H$6+$E$6</f>
        <v>61.374311980539076</v>
      </c>
      <c r="O11" s="5">
        <f>-$F$7*$H$7</f>
        <v>-52.46532625155627</v>
      </c>
      <c r="P11" s="12">
        <v>0</v>
      </c>
      <c r="T11" s="4">
        <v>3.1318217556922546E-4</v>
      </c>
      <c r="U11" s="5">
        <v>2.8314942462307037E-3</v>
      </c>
      <c r="V11" s="5">
        <v>2.1134549174234712E-2</v>
      </c>
      <c r="W11" s="6">
        <v>1.8372639954993272E-2</v>
      </c>
      <c r="X11" s="5"/>
      <c r="Z11" s="54">
        <v>5.0892103529999134E-3</v>
      </c>
    </row>
    <row r="12" spans="1:48" ht="15.75" thickBot="1" x14ac:dyDescent="0.3">
      <c r="A12" s="5"/>
      <c r="B12" s="62"/>
      <c r="C12" s="62"/>
      <c r="D12" s="62"/>
      <c r="L12" s="4">
        <v>0</v>
      </c>
      <c r="M12" s="5">
        <v>0</v>
      </c>
      <c r="N12" s="5">
        <f>-$E$6</f>
        <v>-7.9361847356414579</v>
      </c>
      <c r="O12" s="5">
        <f>$F$7*$H$7+$E$7</f>
        <v>60.352296693455195</v>
      </c>
      <c r="P12" s="12">
        <f>$F$8*$AR$25</f>
        <v>0</v>
      </c>
      <c r="T12" s="7">
        <v>4.1182717765519654E-5</v>
      </c>
      <c r="U12" s="8">
        <v>3.7233481817817201E-4</v>
      </c>
      <c r="V12" s="8">
        <v>2.7791433920594157E-3</v>
      </c>
      <c r="W12" s="9">
        <v>1.8985336557846511E-2</v>
      </c>
      <c r="X12" s="5"/>
      <c r="Z12" s="54">
        <v>6.6921916368969437E-4</v>
      </c>
    </row>
    <row r="13" spans="1:48" x14ac:dyDescent="0.25">
      <c r="A13" s="5"/>
      <c r="B13" s="62"/>
      <c r="C13" s="62"/>
      <c r="D13" s="62"/>
      <c r="H13" s="58"/>
      <c r="L13" s="5"/>
      <c r="M13" s="5"/>
      <c r="N13" s="5"/>
      <c r="O13" s="68"/>
      <c r="P13" s="5"/>
      <c r="T13" s="5"/>
      <c r="U13" s="5"/>
      <c r="V13" s="5"/>
      <c r="W13" s="5"/>
      <c r="X13" s="5"/>
      <c r="AA13" s="5"/>
      <c r="AB13" s="5"/>
      <c r="AC13" s="5"/>
      <c r="AD13" s="5"/>
      <c r="AS13" s="5"/>
    </row>
    <row r="14" spans="1:48" ht="15.75" thickBot="1" x14ac:dyDescent="0.3">
      <c r="A14" s="5"/>
      <c r="B14" s="62"/>
      <c r="C14" s="62"/>
      <c r="D14" s="62"/>
      <c r="F14" t="s">
        <v>65</v>
      </c>
      <c r="G14" t="s">
        <v>65</v>
      </c>
      <c r="H14" t="s">
        <v>65</v>
      </c>
      <c r="L14" s="5"/>
      <c r="M14" s="5"/>
      <c r="N14" s="5"/>
      <c r="O14" s="5"/>
      <c r="P14" s="5"/>
    </row>
    <row r="15" spans="1:48" ht="15.75" thickBot="1" x14ac:dyDescent="0.3">
      <c r="L15">
        <v>1</v>
      </c>
      <c r="M15">
        <v>2</v>
      </c>
      <c r="N15">
        <v>3</v>
      </c>
      <c r="O15">
        <v>4</v>
      </c>
      <c r="P15" s="17" t="s">
        <v>24</v>
      </c>
      <c r="S15" s="17" t="s">
        <v>27</v>
      </c>
      <c r="Z15" s="17" t="s">
        <v>30</v>
      </c>
    </row>
    <row r="16" spans="1:48" ht="15.75" thickBot="1" x14ac:dyDescent="0.3">
      <c r="B16" t="s">
        <v>3</v>
      </c>
      <c r="C16" t="s">
        <v>66</v>
      </c>
      <c r="D16" t="s">
        <v>67</v>
      </c>
      <c r="K16" s="17" t="s">
        <v>21</v>
      </c>
      <c r="L16" s="1">
        <f>F$4*$I$4+E$4</f>
        <v>3687.6833690357075</v>
      </c>
      <c r="M16" s="2">
        <f>-$F$5*$I$5</f>
        <v>-11446.49287651029</v>
      </c>
      <c r="N16" s="2">
        <v>0</v>
      </c>
      <c r="O16" s="2">
        <v>0</v>
      </c>
      <c r="P16" s="11">
        <f>$E$3*$AS$24</f>
        <v>0</v>
      </c>
      <c r="T16" s="1">
        <f t="array" ref="T16:W19">MINVERSE(L16:O19)</f>
        <v>2.7191487212800691E-4</v>
      </c>
      <c r="U16" s="2">
        <v>2.7191487207310687E-4</v>
      </c>
      <c r="V16" s="2">
        <v>2.7191479525824272E-4</v>
      </c>
      <c r="W16" s="3">
        <v>2.7177361629136712E-4</v>
      </c>
      <c r="X16" s="5"/>
      <c r="Z16" s="53">
        <f t="array" ref="Z16:Z19">MMULT(T16:W19,P16:P19)</f>
        <v>1.891797783046528E-3</v>
      </c>
    </row>
    <row r="17" spans="1:51" x14ac:dyDescent="0.25">
      <c r="L17" s="66">
        <f>-$E$4</f>
        <v>-10.061795145896305</v>
      </c>
      <c r="M17" s="5">
        <f>$F$5*$I$5+$E$5</f>
        <v>11454.673760731712</v>
      </c>
      <c r="N17" s="5">
        <f>-$F$6*$I$6</f>
        <v>-14586.009812808888</v>
      </c>
      <c r="O17" s="5">
        <v>0</v>
      </c>
      <c r="P17" s="12">
        <v>0</v>
      </c>
      <c r="T17" s="4">
        <v>2.3902096209195519E-7</v>
      </c>
      <c r="U17" s="5">
        <v>8.7602024686112738E-5</v>
      </c>
      <c r="V17" s="5">
        <v>8.7601999938891024E-5</v>
      </c>
      <c r="W17" s="6">
        <v>8.7556516721121064E-5</v>
      </c>
      <c r="X17" s="5"/>
      <c r="Z17" s="54">
        <v>6.094749979214764E-4</v>
      </c>
    </row>
    <row r="18" spans="1:51" x14ac:dyDescent="0.25">
      <c r="L18" s="4">
        <v>0</v>
      </c>
      <c r="M18" s="68">
        <f>-$E$5</f>
        <v>-8.1808842214218966</v>
      </c>
      <c r="N18" s="5">
        <f>$F$6*$I$6+$E$6</f>
        <v>14593.94599754453</v>
      </c>
      <c r="O18" s="5">
        <f>-$F$7*$I$7</f>
        <v>-15182.647429820712</v>
      </c>
      <c r="P18" s="12">
        <v>0</v>
      </c>
      <c r="T18" s="4">
        <v>1.3406012268389665E-10</v>
      </c>
      <c r="U18" s="5">
        <v>4.9133507262262371E-8</v>
      </c>
      <c r="V18" s="5">
        <v>6.8607960090758864E-5</v>
      </c>
      <c r="W18" s="6">
        <v>6.8572338634722036E-5</v>
      </c>
      <c r="X18" s="5"/>
      <c r="Z18" s="54">
        <v>4.7732741675853262E-4</v>
      </c>
    </row>
    <row r="19" spans="1:51" ht="15.75" thickBot="1" x14ac:dyDescent="0.3">
      <c r="L19" s="4">
        <v>0</v>
      </c>
      <c r="M19" s="5">
        <v>0</v>
      </c>
      <c r="N19" s="5">
        <f>-$E$6</f>
        <v>-7.9361847356414579</v>
      </c>
      <c r="O19" s="5">
        <f>$F$7*$I$7+$E$7</f>
        <v>15190.534400262612</v>
      </c>
      <c r="P19" s="12">
        <f>$F$8*$AS$25</f>
        <v>6.9609324439291456</v>
      </c>
      <c r="T19" s="7">
        <v>7.0038740657061342E-14</v>
      </c>
      <c r="U19" s="8">
        <v>2.5669445199805102E-11</v>
      </c>
      <c r="V19" s="8">
        <v>3.5843732107697666E-8</v>
      </c>
      <c r="W19" s="9">
        <v>6.5866293863227273E-5</v>
      </c>
      <c r="X19" s="5"/>
      <c r="Z19" s="54">
        <v>4.5849082191390991E-4</v>
      </c>
    </row>
    <row r="20" spans="1:51" x14ac:dyDescent="0.25">
      <c r="L20" s="5"/>
      <c r="M20" s="5"/>
      <c r="N20" s="5"/>
      <c r="O20" s="68"/>
      <c r="P20" s="5"/>
      <c r="T20" s="5"/>
      <c r="U20" s="5"/>
      <c r="V20" s="5"/>
      <c r="W20" s="5"/>
      <c r="X20" s="5"/>
      <c r="AA20" s="5"/>
      <c r="AB20" s="5"/>
      <c r="AC20" s="5"/>
      <c r="AD20" s="5"/>
      <c r="AS20" s="5"/>
    </row>
    <row r="21" spans="1:51" x14ac:dyDescent="0.25">
      <c r="L21" s="5"/>
      <c r="M21" s="5"/>
      <c r="N21" s="5"/>
      <c r="O21" s="5"/>
      <c r="P21" s="5"/>
    </row>
    <row r="22" spans="1:51" ht="15.75" thickBot="1" x14ac:dyDescent="0.3"/>
    <row r="23" spans="1:51" ht="15.75" thickBot="1" x14ac:dyDescent="0.3">
      <c r="Y23" s="5"/>
      <c r="Z23" s="5"/>
      <c r="AA23" s="5"/>
      <c r="AB23" s="5"/>
      <c r="AC23" s="5"/>
      <c r="AD23" s="5"/>
      <c r="AE23" s="52"/>
      <c r="AF23" s="5"/>
      <c r="AG23" s="5"/>
      <c r="AH23" s="5"/>
      <c r="AI23" s="5"/>
      <c r="AJ23" s="5"/>
      <c r="AK23" s="5"/>
      <c r="AL23" s="5"/>
      <c r="AO23" s="18"/>
      <c r="AP23" s="19" t="s">
        <v>25</v>
      </c>
      <c r="AQ23" s="93" t="s">
        <v>28</v>
      </c>
      <c r="AR23" s="93" t="s">
        <v>29</v>
      </c>
      <c r="AS23" s="22" t="s">
        <v>30</v>
      </c>
      <c r="AU23" s="94" t="s">
        <v>132</v>
      </c>
      <c r="AV23" s="94" t="s">
        <v>119</v>
      </c>
      <c r="AW23" t="s">
        <v>120</v>
      </c>
      <c r="AX23" t="s">
        <v>116</v>
      </c>
      <c r="AY23" t="s">
        <v>121</v>
      </c>
    </row>
    <row r="24" spans="1:51" ht="15.75" thickBot="1" x14ac:dyDescent="0.3">
      <c r="G24" s="28" t="s">
        <v>79</v>
      </c>
      <c r="H24" s="29" t="s">
        <v>80</v>
      </c>
      <c r="I24" s="29" t="s">
        <v>81</v>
      </c>
      <c r="J24" s="29" t="s">
        <v>82</v>
      </c>
      <c r="K24" s="29" t="s">
        <v>83</v>
      </c>
      <c r="L24" s="29" t="s">
        <v>84</v>
      </c>
      <c r="M24" s="29" t="s">
        <v>85</v>
      </c>
      <c r="N24" s="29" t="s">
        <v>86</v>
      </c>
      <c r="O24" s="29" t="s">
        <v>87</v>
      </c>
      <c r="P24" s="29" t="s">
        <v>88</v>
      </c>
      <c r="Q24" s="29" t="s">
        <v>89</v>
      </c>
      <c r="R24" s="30" t="s">
        <v>90</v>
      </c>
      <c r="Y24" s="52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O24" s="91" t="s">
        <v>7</v>
      </c>
      <c r="AP24" s="1">
        <v>25</v>
      </c>
      <c r="AQ24" s="2">
        <v>0.35</v>
      </c>
      <c r="AR24" s="2">
        <v>0.65</v>
      </c>
      <c r="AS24" s="3">
        <v>0</v>
      </c>
      <c r="AU24">
        <f>AP25</f>
        <v>6.9609324439291456</v>
      </c>
      <c r="AV24">
        <f>AP25/AP24</f>
        <v>0.2784372977571658</v>
      </c>
      <c r="AW24">
        <f>AM29*AR29/AP24/AQ24</f>
        <v>9.9638631879444481E-2</v>
      </c>
      <c r="AX24">
        <f>0.998</f>
        <v>0.998</v>
      </c>
      <c r="AY24">
        <f>AQ32*AK32/AR33</f>
        <v>5.1950041027910507E-4</v>
      </c>
    </row>
    <row r="25" spans="1:51" ht="15.75" thickBot="1" x14ac:dyDescent="0.3">
      <c r="G25">
        <f>B31/$B$39/$B$40</f>
        <v>2.1071800296631609</v>
      </c>
      <c r="H25">
        <f>C31/$B$39/$B$40</f>
        <v>2.8350922655412045</v>
      </c>
      <c r="I25">
        <f>B32/$B$39/$B$40</f>
        <v>7.2849444468829168</v>
      </c>
      <c r="J25">
        <f>C32/$B$39/$B$40</f>
        <v>6.1290709297054313</v>
      </c>
      <c r="K25">
        <f>B33/$B$39/$B$40</f>
        <v>4.0246507210259157</v>
      </c>
      <c r="L25">
        <f>C33/$B$39/$B$40</f>
        <v>0.21292207917654202</v>
      </c>
      <c r="M25">
        <f>EXP(-$E$31*G25)</f>
        <v>0.43047242445194145</v>
      </c>
      <c r="N25">
        <f t="shared" ref="N25:R25" si="6">EXP(-$E$31*H25)</f>
        <v>0.32173183009668638</v>
      </c>
      <c r="O25">
        <f t="shared" si="6"/>
        <v>5.425946787469077E-2</v>
      </c>
      <c r="P25">
        <f t="shared" si="6"/>
        <v>8.6153182795249569E-2</v>
      </c>
      <c r="Q25">
        <f t="shared" si="6"/>
        <v>0.19991554264238187</v>
      </c>
      <c r="R25">
        <f t="shared" si="6"/>
        <v>0.91835722352796123</v>
      </c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O25" s="92" t="s">
        <v>18</v>
      </c>
      <c r="AP25" s="109">
        <f>AQ32+AR29-AQ28</f>
        <v>6.9609324439291456</v>
      </c>
      <c r="AQ25" s="8">
        <v>0</v>
      </c>
      <c r="AR25" s="8">
        <v>0</v>
      </c>
      <c r="AS25" s="9">
        <v>1</v>
      </c>
    </row>
    <row r="26" spans="1:51" ht="15.75" thickBot="1" x14ac:dyDescent="0.3"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</row>
    <row r="27" spans="1:51" ht="15.75" thickBot="1" x14ac:dyDescent="0.3"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Q27" s="19" t="s">
        <v>74</v>
      </c>
      <c r="AR27" s="22" t="s">
        <v>75</v>
      </c>
    </row>
    <row r="28" spans="1:51" ht="15.75" thickBot="1" x14ac:dyDescent="0.3">
      <c r="Y28" s="5"/>
      <c r="Z28" s="5"/>
      <c r="AA28" s="5"/>
      <c r="AB28" s="5"/>
      <c r="AC28" s="52" t="s">
        <v>112</v>
      </c>
      <c r="AD28" s="52" t="s">
        <v>113</v>
      </c>
      <c r="AE28" s="52" t="s">
        <v>114</v>
      </c>
      <c r="AF28" s="94" t="s">
        <v>115</v>
      </c>
      <c r="AG28" s="5"/>
      <c r="AH28" s="17" t="s">
        <v>6</v>
      </c>
      <c r="AI28" s="95" t="s">
        <v>68</v>
      </c>
      <c r="AJ28" s="96" t="s">
        <v>69</v>
      </c>
      <c r="AK28" s="96" t="s">
        <v>70</v>
      </c>
      <c r="AL28" s="97" t="s">
        <v>76</v>
      </c>
      <c r="AM28" s="95" t="s">
        <v>71</v>
      </c>
      <c r="AN28" s="96" t="s">
        <v>72</v>
      </c>
      <c r="AO28" s="96" t="s">
        <v>73</v>
      </c>
      <c r="AP28" s="101" t="s">
        <v>77</v>
      </c>
      <c r="AQ28" s="95">
        <f>AP24</f>
        <v>25</v>
      </c>
      <c r="AR28" s="3"/>
      <c r="AS28" s="93" t="s">
        <v>62</v>
      </c>
      <c r="AT28" s="93" t="s">
        <v>63</v>
      </c>
      <c r="AU28" s="22" t="s">
        <v>64</v>
      </c>
    </row>
    <row r="29" spans="1:51" ht="15.75" thickBot="1" x14ac:dyDescent="0.3">
      <c r="AC29" s="33">
        <f>SUM(AD29:AF29)</f>
        <v>1.0003290321884371</v>
      </c>
      <c r="AD29" s="72">
        <f>Z2</f>
        <v>0.79765545485926459</v>
      </c>
      <c r="AE29" s="73">
        <f>Z9</f>
        <v>0.2007817795461258</v>
      </c>
      <c r="AF29" s="74">
        <f>Z16</f>
        <v>1.891797783046528E-3</v>
      </c>
      <c r="AH29" s="98">
        <v>1</v>
      </c>
      <c r="AI29" s="72">
        <v>0.79765545485926448</v>
      </c>
      <c r="AJ29" s="73">
        <v>0.2004453220062308</v>
      </c>
      <c r="AK29" s="73">
        <v>1.8992231345046917E-3</v>
      </c>
      <c r="AL29" s="82">
        <v>1</v>
      </c>
      <c r="AM29" s="73">
        <v>3.6214979024707876E-2</v>
      </c>
      <c r="AN29" s="73">
        <v>0.67365313605763499</v>
      </c>
      <c r="AO29" s="74">
        <v>0.29013188491765718</v>
      </c>
      <c r="AP29" s="55">
        <f>SUM(AM29:AO29)</f>
        <v>1</v>
      </c>
      <c r="AQ29" s="102">
        <f t="shared" ref="AQ29:AQ30" si="7">(AR31*(AM30-AM31)+AQ30*(AI30-AM30))/(AI29-AM30)</f>
        <v>10.061795145896305</v>
      </c>
      <c r="AR29" s="6">
        <f>AX24*AP24*AR24/AN29</f>
        <v>24.073962002030225</v>
      </c>
      <c r="AS29" s="1">
        <f>AM29/AI29</f>
        <v>4.5401781939919811E-2</v>
      </c>
      <c r="AT29" s="2">
        <f t="shared" ref="AT29:AU32" si="8">AN29/AJ29</f>
        <v>3.3607825281983614</v>
      </c>
      <c r="AU29" s="3">
        <f t="shared" si="8"/>
        <v>152.76345345978643</v>
      </c>
    </row>
    <row r="30" spans="1:51" ht="15.75" thickBot="1" x14ac:dyDescent="0.3">
      <c r="A30" s="138" t="s">
        <v>78</v>
      </c>
      <c r="B30" s="138"/>
      <c r="C30" s="138"/>
      <c r="D30" s="138"/>
      <c r="E30" s="138"/>
      <c r="J30" s="33">
        <f>J37</f>
        <v>0.2007817795461258</v>
      </c>
      <c r="K30" s="33">
        <f>(K37+K50)/2</f>
        <v>1.9028707313451681E-3</v>
      </c>
      <c r="L30" s="33">
        <f>SUM(I37:K37)</f>
        <v>1</v>
      </c>
      <c r="M30" s="33">
        <f t="shared" ref="M30:N33" si="9">(M37+M50)/2</f>
        <v>3.6220105331768379E-2</v>
      </c>
      <c r="N30" s="33">
        <f t="shared" si="9"/>
        <v>0.67432434551644493</v>
      </c>
      <c r="T30" s="25"/>
      <c r="U30" s="25"/>
      <c r="V30" s="25"/>
      <c r="W30" s="25"/>
      <c r="X30" s="25"/>
      <c r="Y30" s="25"/>
      <c r="Z30" s="25"/>
      <c r="AC30" s="33">
        <f t="shared" ref="AC30:AC32" si="10">SUM(AD30:AF30)</f>
        <v>1.0002037476248273</v>
      </c>
      <c r="AD30" s="72">
        <f>Z3</f>
        <v>0.96570600643474036</v>
      </c>
      <c r="AE30" s="73">
        <f>Z10</f>
        <v>3.3888266192165603E-2</v>
      </c>
      <c r="AF30" s="74">
        <f>Z17</f>
        <v>6.094749979214764E-4</v>
      </c>
      <c r="AH30" s="99">
        <v>2</v>
      </c>
      <c r="AI30" s="75">
        <v>0.96570600643474047</v>
      </c>
      <c r="AJ30" s="76">
        <v>3.3683737887557873E-2</v>
      </c>
      <c r="AK30" s="76">
        <v>6.1025567770170864E-4</v>
      </c>
      <c r="AL30" s="83">
        <v>1</v>
      </c>
      <c r="AM30" s="76">
        <v>1.6165470508299803E-2</v>
      </c>
      <c r="AN30" s="76">
        <v>0.21922496790238363</v>
      </c>
      <c r="AO30" s="77">
        <v>0.76460956158931659</v>
      </c>
      <c r="AP30" s="56">
        <f t="shared" ref="AP30:AP32" si="11">SUM(AM30:AO30)</f>
        <v>1</v>
      </c>
      <c r="AQ30" s="102">
        <f t="shared" si="7"/>
        <v>8.1808842214218966</v>
      </c>
      <c r="AR30" s="6">
        <f t="shared" ref="AR30:AR31" si="12">AR31+AQ29-AQ30</f>
        <v>9.1357571479265278</v>
      </c>
      <c r="AS30" s="4">
        <f t="shared" ref="AS30:AS32" si="13">AM30/AI30</f>
        <v>1.6739536049879811E-2</v>
      </c>
      <c r="AT30" s="5">
        <f t="shared" si="8"/>
        <v>6.5083325560302834</v>
      </c>
      <c r="AU30" s="6">
        <f t="shared" si="8"/>
        <v>1252.9331385640228</v>
      </c>
    </row>
    <row r="31" spans="1:51" ht="15.75" thickBot="1" x14ac:dyDescent="0.3">
      <c r="A31" s="26" t="s">
        <v>33</v>
      </c>
      <c r="B31" s="27">
        <v>5.5736999999999997</v>
      </c>
      <c r="C31" s="27">
        <v>7.4991000000000003</v>
      </c>
      <c r="D31" s="26">
        <v>6.4999999999999997E-3</v>
      </c>
      <c r="E31" s="26">
        <v>0.4</v>
      </c>
      <c r="J31" s="33">
        <f t="shared" ref="J31:J33" si="14">J38</f>
        <v>3.3888266192165603E-2</v>
      </c>
      <c r="K31" s="33">
        <f t="shared" ref="K31:K33" si="15">(K38+K51)/2</f>
        <v>6.1126493241877656E-4</v>
      </c>
      <c r="L31" s="33">
        <f t="shared" ref="L31:L33" si="16">SUM(I38:K38)</f>
        <v>1</v>
      </c>
      <c r="M31" s="33">
        <f t="shared" si="9"/>
        <v>1.6300392731047775E-2</v>
      </c>
      <c r="N31" s="33">
        <f t="shared" si="9"/>
        <v>0.22033374097133543</v>
      </c>
      <c r="T31" s="25"/>
      <c r="U31" s="25"/>
      <c r="V31" s="25"/>
      <c r="W31" s="25"/>
      <c r="X31" s="25"/>
      <c r="Y31" s="25"/>
      <c r="Z31" s="25"/>
      <c r="AC31" s="33">
        <f t="shared" si="10"/>
        <v>1.0000576087475794</v>
      </c>
      <c r="AD31" s="72">
        <f>Z4</f>
        <v>0.99449107097782097</v>
      </c>
      <c r="AE31" s="73">
        <f>Z11</f>
        <v>5.0892103529999134E-3</v>
      </c>
      <c r="AF31" s="74">
        <f>Z18</f>
        <v>4.7732741675853262E-4</v>
      </c>
      <c r="AH31" s="99">
        <v>3</v>
      </c>
      <c r="AI31" s="75">
        <v>0.99449107097782119</v>
      </c>
      <c r="AJ31" s="76">
        <v>5.0314985670616517E-3</v>
      </c>
      <c r="AK31" s="76">
        <v>4.7743045511721419E-4</v>
      </c>
      <c r="AL31" s="83">
        <v>1</v>
      </c>
      <c r="AM31" s="76">
        <v>3.0554830297852007E-3</v>
      </c>
      <c r="AN31" s="76">
        <v>3.7061276335533494E-2</v>
      </c>
      <c r="AO31" s="77">
        <v>0.95988324063468133</v>
      </c>
      <c r="AP31" s="56">
        <f t="shared" si="11"/>
        <v>1</v>
      </c>
      <c r="AQ31" s="102">
        <f>(AR33*(AM32-AM33)+AQ32*(AI32-AM32))/(AI31-AM32)</f>
        <v>7.9361847356414579</v>
      </c>
      <c r="AR31" s="6">
        <f t="shared" si="12"/>
        <v>7.2548462234521196</v>
      </c>
      <c r="AS31" s="4">
        <f t="shared" si="13"/>
        <v>3.072408711302892E-3</v>
      </c>
      <c r="AT31" s="5">
        <f t="shared" si="8"/>
        <v>7.3658525072733818</v>
      </c>
      <c r="AU31" s="6">
        <f t="shared" si="8"/>
        <v>2010.5195015240909</v>
      </c>
    </row>
    <row r="32" spans="1:51" ht="15.75" thickBot="1" x14ac:dyDescent="0.3">
      <c r="A32" s="31" t="s">
        <v>34</v>
      </c>
      <c r="B32" s="32">
        <v>19.269400000000001</v>
      </c>
      <c r="C32" s="32">
        <v>16.212</v>
      </c>
      <c r="D32" s="31"/>
      <c r="E32" s="31"/>
      <c r="J32" s="33">
        <f t="shared" si="14"/>
        <v>5.0892103529999134E-3</v>
      </c>
      <c r="K32" s="33">
        <f t="shared" si="15"/>
        <v>4.7768245607302006E-4</v>
      </c>
      <c r="L32" s="33">
        <f t="shared" si="16"/>
        <v>1</v>
      </c>
      <c r="M32" s="33">
        <f t="shared" si="9"/>
        <v>3.070540546651835E-3</v>
      </c>
      <c r="N32" s="33">
        <f t="shared" si="9"/>
        <v>3.7478328346403994E-2</v>
      </c>
      <c r="T32" s="33"/>
      <c r="U32" s="33"/>
      <c r="V32" s="33"/>
      <c r="W32" s="33"/>
      <c r="X32" s="33"/>
      <c r="Y32" s="33"/>
      <c r="Z32" s="33"/>
      <c r="AC32" s="33">
        <f t="shared" si="10"/>
        <v>1.000010871662327</v>
      </c>
      <c r="AD32" s="72">
        <f>Z5</f>
        <v>0.99888316167672353</v>
      </c>
      <c r="AE32" s="73">
        <f>Z12</f>
        <v>6.6921916368969437E-4</v>
      </c>
      <c r="AF32" s="74">
        <f>Z19</f>
        <v>4.5849082191390991E-4</v>
      </c>
      <c r="AH32" s="99">
        <v>4</v>
      </c>
      <c r="AI32" s="75">
        <v>0.99888316167672364</v>
      </c>
      <c r="AJ32" s="132">
        <v>6.583343530654921E-4</v>
      </c>
      <c r="AK32" s="76">
        <v>4.5850397021085596E-4</v>
      </c>
      <c r="AL32" s="83">
        <v>1</v>
      </c>
      <c r="AM32" s="76">
        <v>2.0403119515582354E-3</v>
      </c>
      <c r="AN32" s="76">
        <v>4.9271046539690758E-3</v>
      </c>
      <c r="AO32" s="77">
        <v>0.99303258339447276</v>
      </c>
      <c r="AP32" s="56">
        <f t="shared" si="11"/>
        <v>1</v>
      </c>
      <c r="AQ32" s="4">
        <f>(AP24*(AQ24-AQ25)-AR29*(AM29-AQ25))/(AI32-AQ25)</f>
        <v>7.8869704418989217</v>
      </c>
      <c r="AR32" s="6">
        <f>AR33+AQ31-AQ32</f>
        <v>7.0101467376716817</v>
      </c>
      <c r="AS32" s="4">
        <f t="shared" si="13"/>
        <v>2.0425931979205368E-3</v>
      </c>
      <c r="AT32" s="5">
        <f t="shared" si="8"/>
        <v>7.4841980082405328</v>
      </c>
      <c r="AU32" s="6">
        <f t="shared" si="8"/>
        <v>2165.810217385465</v>
      </c>
    </row>
    <row r="33" spans="1:47" ht="15.75" thickBot="1" x14ac:dyDescent="0.3">
      <c r="A33" s="34" t="s">
        <v>35</v>
      </c>
      <c r="B33" s="35">
        <v>10.6456</v>
      </c>
      <c r="C33" s="35">
        <v>0.56320000000000003</v>
      </c>
      <c r="D33" s="36"/>
      <c r="E33" s="36"/>
      <c r="J33" s="33">
        <f t="shared" si="14"/>
        <v>6.6921916368969437E-4</v>
      </c>
      <c r="K33" s="33">
        <f t="shared" si="15"/>
        <v>4.5855066551055146E-4</v>
      </c>
      <c r="L33" s="33">
        <f t="shared" si="16"/>
        <v>1</v>
      </c>
      <c r="M33" s="33">
        <f t="shared" si="9"/>
        <v>2.042536063373031E-3</v>
      </c>
      <c r="N33" s="33">
        <f t="shared" si="9"/>
        <v>5.0083736676696366E-3</v>
      </c>
      <c r="T33" s="33"/>
      <c r="U33" s="33"/>
      <c r="V33" s="33"/>
      <c r="W33" s="33"/>
      <c r="X33" s="33"/>
      <c r="Y33" s="33"/>
      <c r="Z33" s="33"/>
      <c r="AC33" s="33"/>
      <c r="AD33" s="72"/>
      <c r="AE33" s="73"/>
      <c r="AF33" s="74"/>
      <c r="AH33" s="100"/>
      <c r="AI33" s="78"/>
      <c r="AJ33" s="79"/>
      <c r="AK33" s="79"/>
      <c r="AL33" s="84"/>
      <c r="AM33" s="70">
        <v>0</v>
      </c>
      <c r="AN33">
        <f>AR25</f>
        <v>0</v>
      </c>
      <c r="AO33" s="71">
        <v>1</v>
      </c>
      <c r="AP33" s="57"/>
      <c r="AR33" s="103">
        <f>AP25</f>
        <v>6.9609324439291456</v>
      </c>
      <c r="AS33" s="7"/>
      <c r="AT33" s="8"/>
      <c r="AU33" s="9"/>
    </row>
    <row r="34" spans="1:47" ht="15.75" thickBot="1" x14ac:dyDescent="0.3">
      <c r="J34" s="33"/>
      <c r="K34" s="33"/>
      <c r="L34" s="33"/>
      <c r="M34" s="33"/>
      <c r="N34" s="33"/>
      <c r="T34" s="33"/>
      <c r="U34" s="33"/>
      <c r="V34" s="33"/>
      <c r="W34" s="33"/>
      <c r="X34" s="33"/>
      <c r="Y34" s="33"/>
      <c r="Z34" s="33"/>
      <c r="AQ34" s="5"/>
    </row>
    <row r="35" spans="1:47" ht="26.25" thickBot="1" x14ac:dyDescent="0.3">
      <c r="A35" s="139" t="s">
        <v>91</v>
      </c>
      <c r="B35" s="37" t="s">
        <v>92</v>
      </c>
      <c r="C35" s="37" t="s">
        <v>93</v>
      </c>
      <c r="D35" s="139" t="s">
        <v>36</v>
      </c>
      <c r="E35" s="139" t="s">
        <v>37</v>
      </c>
    </row>
    <row r="36" spans="1:47" ht="15.75" thickBot="1" x14ac:dyDescent="0.3">
      <c r="A36" s="140"/>
      <c r="B36" s="141" t="s">
        <v>38</v>
      </c>
      <c r="C36" s="141"/>
      <c r="D36" s="140"/>
      <c r="E36" s="140"/>
      <c r="I36" s="38" t="s">
        <v>39</v>
      </c>
      <c r="J36" s="39" t="s">
        <v>40</v>
      </c>
      <c r="K36" s="40" t="s">
        <v>41</v>
      </c>
      <c r="L36" s="41"/>
      <c r="M36" s="38" t="s">
        <v>42</v>
      </c>
      <c r="N36" s="39" t="s">
        <v>43</v>
      </c>
      <c r="O36" s="39" t="s">
        <v>44</v>
      </c>
      <c r="P36" s="42" t="s">
        <v>94</v>
      </c>
      <c r="Q36" s="43" t="s">
        <v>95</v>
      </c>
      <c r="R36" s="44" t="s">
        <v>96</v>
      </c>
      <c r="S36" s="42" t="s">
        <v>97</v>
      </c>
      <c r="T36" s="43" t="s">
        <v>98</v>
      </c>
      <c r="U36" s="44" t="s">
        <v>99</v>
      </c>
      <c r="V36" s="45" t="s">
        <v>45</v>
      </c>
      <c r="W36" s="46" t="s">
        <v>46</v>
      </c>
      <c r="X36" s="47" t="s">
        <v>47</v>
      </c>
      <c r="Y36" s="42" t="s">
        <v>100</v>
      </c>
      <c r="Z36" s="43" t="s">
        <v>101</v>
      </c>
      <c r="AA36" s="43" t="s">
        <v>102</v>
      </c>
      <c r="AB36" s="19" t="s">
        <v>48</v>
      </c>
      <c r="AC36" s="93" t="s">
        <v>49</v>
      </c>
      <c r="AD36" s="22" t="s">
        <v>50</v>
      </c>
    </row>
    <row r="37" spans="1:47" x14ac:dyDescent="0.25">
      <c r="I37" s="33">
        <f>1-J37-K37</f>
        <v>0.79731534973056006</v>
      </c>
      <c r="J37">
        <v>0.2007817795461258</v>
      </c>
      <c r="K37" s="6">
        <v>1.9028707233141383E-3</v>
      </c>
      <c r="L37" s="48">
        <v>1</v>
      </c>
      <c r="M37" s="48">
        <v>3.6220105455710652E-2</v>
      </c>
      <c r="N37" s="69">
        <v>0.67432435145957048</v>
      </c>
      <c r="O37" s="33">
        <f>1-M37-N37</f>
        <v>0.28945554308471888</v>
      </c>
      <c r="P37" s="4">
        <f>I37+$N$25*J37+$P$25*K37</f>
        <v>0.86207717748326596</v>
      </c>
      <c r="Q37" s="5">
        <f>$M$25*I37+J37+$R$25*K37</f>
        <v>0.54575156627158306</v>
      </c>
      <c r="R37" s="5">
        <f>$O$25*I37+$Q$25*J37+K37</f>
        <v>8.5304175738684124E-2</v>
      </c>
      <c r="S37" s="5">
        <f>J37*$H$25*$N$25+K37*$J$25*$P$25</f>
        <v>0.18414576645459318</v>
      </c>
      <c r="T37" s="5">
        <f>I37*$G$25*$M$25+K37*$L$25*$R$25</f>
        <v>0.72360320110215337</v>
      </c>
      <c r="U37" s="5">
        <f>I37*$I$25*$O$25+J37*$K$25*$Q$25</f>
        <v>0.4767076450365364</v>
      </c>
      <c r="V37" s="5">
        <f>S37/P37-I37*S37/P37^2+J37*$M$25/Q37*($G$25-T37/Q37)+K37*$O$25/R37*($I$25-U37/R37)</f>
        <v>0.14183468560687976</v>
      </c>
      <c r="W37" s="5">
        <f>T37/Q37-J37*T37/Q37^2+(I37*$N$25/P37)*($H$25-S37/P37)+(K37*$Q$25/R37)*($K$25-U37/R37)</f>
        <v>1.6111738782265921</v>
      </c>
      <c r="X37" s="5">
        <f>U37/R37-K37*U37/R37^2+I37*$P$25/P37*($J$25-S37/P37)+J37*$R$25/Q37*($L$25-T37/Q37)</f>
        <v>5.558990764493128</v>
      </c>
      <c r="Y37" s="5">
        <f>EXP(V37)</f>
        <v>1.1523861267762561</v>
      </c>
      <c r="Z37" s="5">
        <f t="shared" ref="Z37:AA40" si="17">EXP(W37)</f>
        <v>5.0086873672669885</v>
      </c>
      <c r="AA37" s="5">
        <f t="shared" si="17"/>
        <v>259.56074616862855</v>
      </c>
      <c r="AB37" s="5">
        <f>Y37/Y43</f>
        <v>4.5427577959042321E-2</v>
      </c>
      <c r="AC37" s="5">
        <f t="shared" ref="AC37:AD40" si="18">Z37/Z43</f>
        <v>3.3584936895053583</v>
      </c>
      <c r="AD37" s="6">
        <f t="shared" si="18"/>
        <v>152.11518948449893</v>
      </c>
    </row>
    <row r="38" spans="1:47" x14ac:dyDescent="0.25">
      <c r="I38" s="33">
        <f t="shared" ref="I38:I40" si="19">1-J38-K38</f>
        <v>0.96550046887541585</v>
      </c>
      <c r="J38">
        <v>3.3888266192165603E-2</v>
      </c>
      <c r="K38">
        <v>6.1126493241863192E-4</v>
      </c>
      <c r="L38">
        <v>1</v>
      </c>
      <c r="M38" s="48">
        <v>1.6300392731467786E-2</v>
      </c>
      <c r="N38">
        <v>0.22033374097145092</v>
      </c>
      <c r="O38" s="33">
        <f t="shared" ref="O38:O40" si="20">1-M38-N38</f>
        <v>0.76336586629708125</v>
      </c>
      <c r="P38" s="4">
        <f t="shared" ref="P38:P40" si="21">I38+$N$25*J38+$P$25*K38</f>
        <v>0.97645606519568395</v>
      </c>
      <c r="Q38" s="5">
        <f t="shared" ref="Q38:Q40" si="22">$M$25*I38+J38+$R$25*K38</f>
        <v>0.4500709534046281</v>
      </c>
      <c r="R38" s="5">
        <f t="shared" ref="R38:R40" si="23">$O$25*I38+$Q$25*J38+K38</f>
        <v>5.9773597731379399E-2</v>
      </c>
      <c r="S38" s="5">
        <f t="shared" ref="S38:S40" si="24">J38*$H$25*$N$25+K38*$J$25*$P$25</f>
        <v>3.1233595278084926E-2</v>
      </c>
      <c r="T38" s="5">
        <f t="shared" ref="T38:T40" si="25">I38*$G$25*$M$25+K38*$L$25*$R$25</f>
        <v>0.87590848736434002</v>
      </c>
      <c r="U38" s="5">
        <f t="shared" ref="U38:U40" si="26">I38*$I$25*$O$25+J38*$K$25*$Q$25</f>
        <v>0.4089064987895461</v>
      </c>
      <c r="V38" s="5">
        <f t="shared" ref="V38:V40" si="27">S38/P38-I38*S38/P38^2+J38*$M$25/Q38*($G$25-T38/Q38)+K38*$O$25/R38*($I$25-U38/R38)</f>
        <v>5.8244511199239471E-3</v>
      </c>
      <c r="W38" s="5">
        <f t="shared" ref="W38:W40" si="28">T38/Q38-J38*T38/Q38^2+(I38*$N$25/P38)*($H$25-S38/P38)+(K38*$Q$25/R38)*($K$25-U38/R38)</f>
        <v>2.6855920230611661</v>
      </c>
      <c r="X38" s="5">
        <f t="shared" ref="X38:X40" si="29">U38/R38-K38*U38/R38^2+I38*$P$25/P38*($J$25-S38/P38)+J38*$R$25/Q38*($L$25-T38/Q38)</f>
        <v>7.170503949918027</v>
      </c>
      <c r="Y38" s="5">
        <f t="shared" ref="Y38:Y40" si="30">EXP(V38)</f>
        <v>1.0058414462150269</v>
      </c>
      <c r="Z38" s="5">
        <f t="shared" si="17"/>
        <v>14.666881942808102</v>
      </c>
      <c r="AA38" s="5">
        <f t="shared" si="17"/>
        <v>1300.4998244706435</v>
      </c>
      <c r="AB38" s="5">
        <f>Y38/Y44</f>
        <v>1.6882842894539393E-2</v>
      </c>
      <c r="AC38" s="5">
        <f t="shared" si="18"/>
        <v>6.5017708407329904</v>
      </c>
      <c r="AD38" s="6">
        <f t="shared" si="18"/>
        <v>1248.8298049035143</v>
      </c>
    </row>
    <row r="39" spans="1:47" x14ac:dyDescent="0.25">
      <c r="A39" s="49" t="s">
        <v>57</v>
      </c>
      <c r="B39">
        <f>8.314/1000</f>
        <v>8.3140000000000002E-3</v>
      </c>
      <c r="C39" t="s">
        <v>58</v>
      </c>
      <c r="I39" s="33">
        <f t="shared" si="19"/>
        <v>0.99443310719092703</v>
      </c>
      <c r="J39">
        <v>5.0892103529999134E-3</v>
      </c>
      <c r="K39">
        <v>4.7768245607302006E-4</v>
      </c>
      <c r="L39">
        <v>1</v>
      </c>
      <c r="M39" s="48">
        <v>3.070540546651835E-3</v>
      </c>
      <c r="N39">
        <v>3.7478328346403994E-2</v>
      </c>
      <c r="O39" s="33">
        <f t="shared" si="20"/>
        <v>0.95945113110694424</v>
      </c>
      <c r="P39" s="4">
        <f t="shared" si="21"/>
        <v>0.99611162201550074</v>
      </c>
      <c r="Q39" s="5">
        <f t="shared" si="22"/>
        <v>0.43360392409484289</v>
      </c>
      <c r="R39" s="5">
        <f t="shared" si="23"/>
        <v>5.5452505938569249E-2</v>
      </c>
      <c r="S39" s="5">
        <f t="shared" si="24"/>
        <v>4.8943043465649065E-3</v>
      </c>
      <c r="T39" s="5">
        <f t="shared" si="25"/>
        <v>0.90212666819914844</v>
      </c>
      <c r="U39" s="5">
        <f t="shared" si="26"/>
        <v>0.39717147227404231</v>
      </c>
      <c r="V39" s="5">
        <f t="shared" si="27"/>
        <v>2.0021045793667977E-4</v>
      </c>
      <c r="W39" s="5">
        <f t="shared" si="28"/>
        <v>2.9597331228201962</v>
      </c>
      <c r="X39" s="5">
        <f t="shared" si="29"/>
        <v>7.6072694592596246</v>
      </c>
      <c r="Y39" s="5">
        <f t="shared" si="30"/>
        <v>1.000200230501388</v>
      </c>
      <c r="Z39" s="5">
        <f t="shared" si="17"/>
        <v>19.292822254397446</v>
      </c>
      <c r="AA39" s="5">
        <f t="shared" si="17"/>
        <v>2012.7746242942105</v>
      </c>
      <c r="AB39" s="5">
        <f>Y39/Y45</f>
        <v>3.0877296063940318E-3</v>
      </c>
      <c r="AC39" s="5">
        <f t="shared" si="18"/>
        <v>7.3642718116990018</v>
      </c>
      <c r="AD39" s="6">
        <f t="shared" si="18"/>
        <v>2008.5542579781898</v>
      </c>
    </row>
    <row r="40" spans="1:47" x14ac:dyDescent="0.25">
      <c r="A40" s="49" t="s">
        <v>59</v>
      </c>
      <c r="B40">
        <v>318.14999999999998</v>
      </c>
      <c r="C40" t="s">
        <v>60</v>
      </c>
      <c r="I40" s="33">
        <f t="shared" si="19"/>
        <v>0.99887223017079974</v>
      </c>
      <c r="J40">
        <v>6.6921916368969437E-4</v>
      </c>
      <c r="K40">
        <v>4.5855066551055146E-4</v>
      </c>
      <c r="L40">
        <v>1</v>
      </c>
      <c r="M40" s="48">
        <v>2.042536063373031E-3</v>
      </c>
      <c r="N40">
        <v>5.0083736676696366E-3</v>
      </c>
      <c r="O40" s="33">
        <f t="shared" si="20"/>
        <v>0.99294909026895739</v>
      </c>
      <c r="P40" s="4">
        <f t="shared" si="21"/>
        <v>0.99912704487637605</v>
      </c>
      <c r="Q40" s="5">
        <f t="shared" si="22"/>
        <v>0.43107728311905669</v>
      </c>
      <c r="R40" s="5">
        <f t="shared" si="23"/>
        <v>5.4790613661639488E-2</v>
      </c>
      <c r="S40" s="5">
        <f t="shared" si="24"/>
        <v>8.5255380215645859E-4</v>
      </c>
      <c r="T40" s="5">
        <f t="shared" si="25"/>
        <v>0.90614957972579735</v>
      </c>
      <c r="U40" s="5">
        <f t="shared" si="26"/>
        <v>0.39536987467659579</v>
      </c>
      <c r="V40" s="5">
        <f t="shared" si="27"/>
        <v>3.4941738575713415E-5</v>
      </c>
      <c r="W40" s="5">
        <f t="shared" si="28"/>
        <v>3.0050877772305196</v>
      </c>
      <c r="X40" s="5">
        <f t="shared" si="29"/>
        <v>7.6807603178124486</v>
      </c>
      <c r="Y40" s="5">
        <f t="shared" si="30"/>
        <v>1.0000349423490453</v>
      </c>
      <c r="Z40" s="5">
        <f t="shared" si="17"/>
        <v>20.18798806389907</v>
      </c>
      <c r="AA40" s="5">
        <f t="shared" si="17"/>
        <v>2166.2661966409278</v>
      </c>
      <c r="AB40" s="5">
        <f>Y40/Y46</f>
        <v>2.044842174683115E-3</v>
      </c>
      <c r="AC40" s="5">
        <f t="shared" si="18"/>
        <v>7.4839065278051935</v>
      </c>
      <c r="AD40" s="6">
        <f t="shared" si="18"/>
        <v>2165.4075873238685</v>
      </c>
    </row>
    <row r="41" spans="1:47" ht="15.75" thickBot="1" x14ac:dyDescent="0.3">
      <c r="I41" s="33"/>
      <c r="M41" s="48"/>
      <c r="O41" s="33"/>
      <c r="P41" s="4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6"/>
    </row>
    <row r="42" spans="1:47" ht="15.75" thickBot="1" x14ac:dyDescent="0.3">
      <c r="P42" s="42" t="s">
        <v>103</v>
      </c>
      <c r="Q42" s="43" t="s">
        <v>104</v>
      </c>
      <c r="R42" s="44" t="s">
        <v>105</v>
      </c>
      <c r="S42" s="42" t="s">
        <v>106</v>
      </c>
      <c r="T42" s="43" t="s">
        <v>107</v>
      </c>
      <c r="U42" s="44" t="s">
        <v>108</v>
      </c>
      <c r="V42" s="45" t="s">
        <v>51</v>
      </c>
      <c r="W42" s="46" t="s">
        <v>52</v>
      </c>
      <c r="X42" s="47" t="s">
        <v>53</v>
      </c>
      <c r="Y42" s="42" t="s">
        <v>109</v>
      </c>
      <c r="Z42" s="43" t="s">
        <v>110</v>
      </c>
      <c r="AA42" s="43" t="s">
        <v>111</v>
      </c>
      <c r="AB42" s="19" t="s">
        <v>54</v>
      </c>
      <c r="AC42" s="93" t="s">
        <v>55</v>
      </c>
      <c r="AD42" s="22" t="s">
        <v>56</v>
      </c>
    </row>
    <row r="43" spans="1:47" x14ac:dyDescent="0.25">
      <c r="P43" s="4">
        <f>M37+$N$25*N37+$P$25*O37</f>
        <v>0.27810922944403549</v>
      </c>
      <c r="Q43" s="5">
        <f>$M$25*M37+N37+$R$25*O37</f>
        <v>0.95573969695105587</v>
      </c>
      <c r="R43" s="5">
        <f>$O$25*M37+$Q$25*N37+O37</f>
        <v>0.42622874537212319</v>
      </c>
      <c r="S43" s="5">
        <f>N37*$H$25*$N$25+O37*$J$25*$P$25</f>
        <v>0.76792163121496837</v>
      </c>
      <c r="T43" s="5">
        <f>M37*$G$25*$M$25+O37*$L$25*$R$25</f>
        <v>8.9454349393687099E-2</v>
      </c>
      <c r="U43" s="5">
        <f>M37*$I$25*$O$25+N37*$K$25*$Q$25</f>
        <v>0.55687176915140701</v>
      </c>
      <c r="V43" s="5">
        <f>S43/P43-M37*S43/P43^2+N37*$M$25/Q43*($G$25-T43/Q43)+O37*$O$25/R43*($I$25-U43/R43)</f>
        <v>3.233470599929392</v>
      </c>
      <c r="W43" s="5">
        <f>T43/Q43-N37*T43/Q43^2+(M37*$N$25/P43)*($H$25-S43/P43)+(O37*$Q$25/R43)*($K$25-U43/R43)</f>
        <v>0.39968131146580277</v>
      </c>
      <c r="X43" s="5">
        <f>U43/R43-O37*U43/R43^2+M37*$P$25/P43*($J$25-S43/P43)+N37*$R$25/Q43*($L$25-T43/Q43)</f>
        <v>0.53435270509573374</v>
      </c>
      <c r="Y43" s="5">
        <f>EXP(V43)</f>
        <v>25.36754497048581</v>
      </c>
      <c r="Z43" s="5">
        <f t="shared" ref="Z43:AA46" si="31">EXP(W43)</f>
        <v>1.4913493459636877</v>
      </c>
      <c r="AA43" s="5">
        <f t="shared" si="31"/>
        <v>1.7063433773329961</v>
      </c>
      <c r="AB43" s="5">
        <f>Y43/Y37</f>
        <v>22.013060016133895</v>
      </c>
      <c r="AC43" s="5">
        <f>Z43/Z37</f>
        <v>0.29775253207257951</v>
      </c>
      <c r="AD43" s="6">
        <f>AA43/AA37</f>
        <v>6.5739654493998023E-3</v>
      </c>
    </row>
    <row r="44" spans="1:47" x14ac:dyDescent="0.25">
      <c r="P44" s="4">
        <f>M38+$N$25*N38+$P$25*O38</f>
        <v>0.15295516946500842</v>
      </c>
      <c r="Q44" s="5">
        <f t="shared" ref="Q44:Q46" si="32">$M$25*M38+N38+$R$25*O38</f>
        <v>0.9283931680586891</v>
      </c>
      <c r="R44" s="5">
        <f t="shared" ref="R44:R46" si="33">$O$25*M38+$Q$25*N38+O38</f>
        <v>0.80829845632157282</v>
      </c>
      <c r="S44" s="5">
        <f t="shared" ref="S44:S46" si="34">N38*$H$25*$N$25+O38*$J$25*$P$25</f>
        <v>0.6040620157531833</v>
      </c>
      <c r="T44" s="5">
        <f t="shared" ref="T44:T46" si="35">M38*$G$25*$M$25+O38*$L$25*$R$25</f>
        <v>0.16405324638282057</v>
      </c>
      <c r="U44" s="5">
        <f t="shared" ref="U44:U46" si="36">M38*$I$25*$O$25+N38*$K$25*$Q$25</f>
        <v>0.18372154969822352</v>
      </c>
      <c r="V44" s="5">
        <f t="shared" ref="V44:V46" si="37">S44/P44-M38*S44/P44^2+N38*$M$25/Q44*($G$25-T44/Q44)+O38*$O$25/R44*($I$25-U44/R44)</f>
        <v>4.0872818371920063</v>
      </c>
      <c r="W44" s="5">
        <f t="shared" ref="W44:W46" si="38">T44/Q44-N38*T44/Q44^2+(M38*$N$25/P44)*($H$25-S44/P44)+(O38*$Q$25/R44)*($K$25-U44/R44)</f>
        <v>0.81351744622796029</v>
      </c>
      <c r="X44" s="5">
        <f t="shared" ref="X44:X46" si="39">U44/R44-O38*U44/R44^2+M38*$P$25/P44*($J$25-S44/P44)+N38*$R$25/Q44*($L$25-T44/Q44)</f>
        <v>4.0541714166640055E-2</v>
      </c>
      <c r="Y44" s="5">
        <f t="shared" ref="Y44:Y46" si="40">EXP(V44)</f>
        <v>59.57772944391715</v>
      </c>
      <c r="Z44" s="5">
        <f t="shared" si="31"/>
        <v>2.2558288045037589</v>
      </c>
      <c r="AA44" s="5">
        <f t="shared" si="31"/>
        <v>1.0413747488763061</v>
      </c>
      <c r="AB44" s="5">
        <f t="shared" ref="AB44:AD46" si="41">Y44/Y38</f>
        <v>59.231730476117939</v>
      </c>
      <c r="AC44" s="5">
        <f t="shared" si="41"/>
        <v>0.1538042518716736</v>
      </c>
      <c r="AD44" s="6">
        <f t="shared" si="41"/>
        <v>8.007496266292755E-4</v>
      </c>
    </row>
    <row r="45" spans="1:47" x14ac:dyDescent="0.25">
      <c r="P45" s="4">
        <f t="shared" ref="P45:P46" si="42">M39+$N$25*N39+$P$25*O39</f>
        <v>9.7788280395870439E-2</v>
      </c>
      <c r="Q45" s="5">
        <f t="shared" si="32"/>
        <v>0.91991898825403451</v>
      </c>
      <c r="R45" s="5">
        <f t="shared" si="33"/>
        <v>0.96711023735179391</v>
      </c>
      <c r="S45" s="5">
        <f t="shared" si="34"/>
        <v>0.54081304607723202</v>
      </c>
      <c r="T45" s="5">
        <f t="shared" si="35"/>
        <v>0.19039489807746909</v>
      </c>
      <c r="U45" s="5">
        <f t="shared" si="36"/>
        <v>3.1368411628653808E-2</v>
      </c>
      <c r="V45" s="5">
        <f t="shared" si="37"/>
        <v>5.7805194238076139</v>
      </c>
      <c r="W45" s="5">
        <f t="shared" si="38"/>
        <v>0.96309294925344924</v>
      </c>
      <c r="X45" s="5">
        <f t="shared" si="39"/>
        <v>2.0989916463291813E-3</v>
      </c>
      <c r="Y45" s="5">
        <f t="shared" si="40"/>
        <v>323.92740233153376</v>
      </c>
      <c r="Z45" s="5">
        <f t="shared" si="31"/>
        <v>2.6197868231518227</v>
      </c>
      <c r="AA45" s="5">
        <f t="shared" si="31"/>
        <v>1.0021011960713817</v>
      </c>
      <c r="AB45" s="5">
        <f t="shared" si="41"/>
        <v>323.86255516973131</v>
      </c>
      <c r="AC45" s="5">
        <f t="shared" si="41"/>
        <v>0.13579075101646623</v>
      </c>
      <c r="AD45" s="6">
        <f t="shared" si="41"/>
        <v>4.9787054346572628E-4</v>
      </c>
    </row>
    <row r="46" spans="1:47" ht="15.75" thickBot="1" x14ac:dyDescent="0.3">
      <c r="P46" s="7">
        <f t="shared" si="42"/>
        <v>8.9199613769598687E-2</v>
      </c>
      <c r="Q46" s="8">
        <f t="shared" si="32"/>
        <v>0.91776959876291508</v>
      </c>
      <c r="R46" s="8">
        <f t="shared" si="33"/>
        <v>0.99406116892839891</v>
      </c>
      <c r="S46" s="8">
        <f t="shared" si="34"/>
        <v>0.52888414814073381</v>
      </c>
      <c r="T46" s="8">
        <f t="shared" si="35"/>
        <v>0.19601255446800983</v>
      </c>
      <c r="U46" s="8">
        <f t="shared" si="36"/>
        <v>4.8370564902086742E-3</v>
      </c>
      <c r="V46" s="8">
        <f t="shared" si="37"/>
        <v>6.1924696103982591</v>
      </c>
      <c r="W46" s="8">
        <f t="shared" si="38"/>
        <v>0.99233285850046771</v>
      </c>
      <c r="X46" s="8">
        <f t="shared" si="39"/>
        <v>3.9643305157580669E-4</v>
      </c>
      <c r="Y46" s="8">
        <f t="shared" si="40"/>
        <v>489.05238493724761</v>
      </c>
      <c r="Z46" s="8">
        <f t="shared" si="31"/>
        <v>2.6975200704196403</v>
      </c>
      <c r="AA46" s="8">
        <f t="shared" si="31"/>
        <v>1.000396511641543</v>
      </c>
      <c r="AB46" s="8">
        <f t="shared" si="41"/>
        <v>489.03529689520803</v>
      </c>
      <c r="AC46" s="8">
        <f t="shared" si="41"/>
        <v>0.13362005475144145</v>
      </c>
      <c r="AD46" s="9">
        <f t="shared" si="41"/>
        <v>4.6180682373790692E-4</v>
      </c>
    </row>
    <row r="48" spans="1:47" ht="15.75" thickBot="1" x14ac:dyDescent="0.3"/>
    <row r="49" spans="8:16" ht="15.75" thickBot="1" x14ac:dyDescent="0.3">
      <c r="H49" s="50" t="s">
        <v>61</v>
      </c>
      <c r="I49" s="38" t="s">
        <v>39</v>
      </c>
      <c r="J49" s="39" t="s">
        <v>40</v>
      </c>
      <c r="K49" s="40" t="s">
        <v>41</v>
      </c>
      <c r="L49" s="41"/>
      <c r="M49" s="38" t="s">
        <v>42</v>
      </c>
      <c r="N49" s="39" t="s">
        <v>43</v>
      </c>
      <c r="O49" s="40" t="s">
        <v>44</v>
      </c>
      <c r="P49" s="50" t="s">
        <v>61</v>
      </c>
    </row>
    <row r="50" spans="8:16" x14ac:dyDescent="0.25">
      <c r="H50" s="51">
        <f>SUM(I50:K50)</f>
        <v>1.0000000090119205</v>
      </c>
      <c r="I50" s="33">
        <f t="shared" ref="I50:K53" si="43">M37*AB43</f>
        <v>0.79731535518725727</v>
      </c>
      <c r="J50" s="33">
        <f t="shared" si="43"/>
        <v>0.20078178308528713</v>
      </c>
      <c r="K50" s="33">
        <f t="shared" si="43"/>
        <v>1.9028707393761977E-3</v>
      </c>
      <c r="L50" s="33"/>
      <c r="M50" s="33">
        <f t="shared" ref="M50:O53" si="44">I37*AB37</f>
        <v>3.6220105207826113E-2</v>
      </c>
      <c r="N50" s="33">
        <f t="shared" si="44"/>
        <v>0.6743243395733195</v>
      </c>
      <c r="O50" s="33">
        <f t="shared" si="44"/>
        <v>0.28945554064143569</v>
      </c>
      <c r="P50" s="51">
        <f>SUM(M50:O50)</f>
        <v>0.99999998542258139</v>
      </c>
    </row>
    <row r="51" spans="8:16" x14ac:dyDescent="0.25">
      <c r="H51" s="51">
        <f>SUM(I51:K51)</f>
        <v>1.0000000000497919</v>
      </c>
      <c r="I51" s="33">
        <f t="shared" si="43"/>
        <v>0.96550046892517183</v>
      </c>
      <c r="J51" s="33">
        <f t="shared" si="43"/>
        <v>3.3888266192201123E-2</v>
      </c>
      <c r="K51" s="33">
        <f t="shared" si="43"/>
        <v>6.112649324189213E-4</v>
      </c>
      <c r="L51" s="33"/>
      <c r="M51" s="33">
        <f t="shared" si="44"/>
        <v>1.6300392730627767E-2</v>
      </c>
      <c r="N51" s="33">
        <f t="shared" si="44"/>
        <v>0.22033374097121994</v>
      </c>
      <c r="O51" s="33">
        <f t="shared" si="44"/>
        <v>0.76336586629671999</v>
      </c>
      <c r="P51" s="51">
        <f>SUM(M51:O51)</f>
        <v>0.9999999999985677</v>
      </c>
    </row>
    <row r="52" spans="8:16" x14ac:dyDescent="0.25">
      <c r="H52" s="51">
        <f>SUM(I52:K52)</f>
        <v>0.99999999999999978</v>
      </c>
      <c r="I52" s="33">
        <f t="shared" si="43"/>
        <v>0.99443310719092681</v>
      </c>
      <c r="J52" s="33">
        <f t="shared" si="43"/>
        <v>5.0892103529999134E-3</v>
      </c>
      <c r="K52" s="33">
        <f t="shared" si="43"/>
        <v>4.7768245607302011E-4</v>
      </c>
      <c r="L52" s="33"/>
      <c r="M52" s="33">
        <f t="shared" si="44"/>
        <v>3.070540546651835E-3</v>
      </c>
      <c r="N52" s="33">
        <f t="shared" si="44"/>
        <v>3.7478328346403987E-2</v>
      </c>
      <c r="O52" s="33">
        <f t="shared" si="44"/>
        <v>0.95945113110694402</v>
      </c>
      <c r="P52" s="51">
        <f>SUM(M52:O52)</f>
        <v>0.99999999999999989</v>
      </c>
    </row>
    <row r="53" spans="8:16" x14ac:dyDescent="0.25">
      <c r="H53" s="51">
        <f>SUM(I53:K53)</f>
        <v>0.99999999999999989</v>
      </c>
      <c r="I53" s="33">
        <f t="shared" si="43"/>
        <v>0.99887223017079962</v>
      </c>
      <c r="J53" s="33">
        <f t="shared" si="43"/>
        <v>6.6921916368969448E-4</v>
      </c>
      <c r="K53" s="33">
        <f t="shared" si="43"/>
        <v>4.5855066551055146E-4</v>
      </c>
      <c r="L53" s="33"/>
      <c r="M53" s="33">
        <f t="shared" si="44"/>
        <v>2.042536063373031E-3</v>
      </c>
      <c r="N53" s="33">
        <f t="shared" si="44"/>
        <v>5.0083736676696357E-3</v>
      </c>
      <c r="O53" s="33">
        <f t="shared" si="44"/>
        <v>0.9929490902689575</v>
      </c>
      <c r="P53" s="51">
        <f>SUM(M53:O53)</f>
        <v>1.0000000000000002</v>
      </c>
    </row>
    <row r="54" spans="8:16" x14ac:dyDescent="0.25">
      <c r="H54" s="51"/>
      <c r="I54" s="33"/>
      <c r="J54" s="33"/>
      <c r="K54" s="33"/>
      <c r="L54" s="33"/>
      <c r="M54" s="33"/>
      <c r="N54" s="33"/>
      <c r="O54" s="33"/>
      <c r="P54" s="51"/>
    </row>
  </sheetData>
  <mergeCells count="5">
    <mergeCell ref="A30:E30"/>
    <mergeCell ref="A35:A36"/>
    <mergeCell ref="D35:D36"/>
    <mergeCell ref="E35:E36"/>
    <mergeCell ref="B36:C3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RTL_5">
                <anchor moveWithCells="1" sizeWithCells="1">
                  <from>
                    <xdr:col>5</xdr:col>
                    <xdr:colOff>0</xdr:colOff>
                    <xdr:row>35</xdr:row>
                    <xdr:rowOff>152400</xdr:rowOff>
                  </from>
                  <to>
                    <xdr:col>6</xdr:col>
                    <xdr:colOff>561975</xdr:colOff>
                    <xdr:row>36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5"/>
  <dimension ref="A1:AJ80"/>
  <sheetViews>
    <sheetView zoomScale="85" zoomScaleNormal="85" workbookViewId="0">
      <selection activeCell="J41" sqref="J41:N48"/>
    </sheetView>
  </sheetViews>
  <sheetFormatPr defaultRowHeight="15" x14ac:dyDescent="0.25"/>
  <cols>
    <col min="2" max="2" width="10" bestFit="1" customWidth="1"/>
    <col min="3" max="3" width="14" bestFit="1" customWidth="1"/>
    <col min="14" max="14" width="12.7109375" bestFit="1" customWidth="1"/>
  </cols>
  <sheetData>
    <row r="1" spans="1:36" ht="15.75" thickBot="1" x14ac:dyDescent="0.3">
      <c r="H1" s="15" t="s">
        <v>25</v>
      </c>
      <c r="K1" t="s">
        <v>31</v>
      </c>
      <c r="R1" s="16">
        <v>1</v>
      </c>
      <c r="S1" s="14">
        <v>2</v>
      </c>
      <c r="T1" s="14">
        <v>3</v>
      </c>
      <c r="U1" s="14">
        <v>4</v>
      </c>
      <c r="V1" s="14">
        <v>5</v>
      </c>
      <c r="W1" s="14">
        <v>6</v>
      </c>
      <c r="X1" s="14">
        <v>7</v>
      </c>
      <c r="Y1" s="15">
        <v>8</v>
      </c>
      <c r="Z1" s="117" t="s">
        <v>23</v>
      </c>
      <c r="AB1" s="10" t="s">
        <v>27</v>
      </c>
    </row>
    <row r="2" spans="1:36" ht="15.75" thickBot="1" x14ac:dyDescent="0.3">
      <c r="B2" s="19" t="s">
        <v>28</v>
      </c>
      <c r="C2" s="93" t="s">
        <v>29</v>
      </c>
      <c r="D2" s="22" t="s">
        <v>30</v>
      </c>
      <c r="E2" s="15" t="s">
        <v>117</v>
      </c>
      <c r="H2" s="9" t="s">
        <v>32</v>
      </c>
      <c r="J2" s="16" t="s">
        <v>62</v>
      </c>
      <c r="K2" s="14" t="s">
        <v>63</v>
      </c>
      <c r="L2" s="15" t="s">
        <v>64</v>
      </c>
      <c r="P2" s="11">
        <v>1</v>
      </c>
      <c r="Q2" s="93" t="s">
        <v>21</v>
      </c>
      <c r="R2" s="119">
        <f>$H$4+$I$4*$J$4</f>
        <v>11.37789996867413</v>
      </c>
      <c r="S2" s="120">
        <f>-$I$5*$J$5</f>
        <v>-0.19627955639415343</v>
      </c>
      <c r="T2" s="120">
        <v>0</v>
      </c>
      <c r="U2" s="120">
        <v>0</v>
      </c>
      <c r="V2" s="121">
        <v>0</v>
      </c>
      <c r="W2" s="121">
        <v>0</v>
      </c>
      <c r="X2" s="121">
        <v>0</v>
      </c>
      <c r="Y2" s="122">
        <v>0</v>
      </c>
      <c r="Z2" s="11">
        <f>$I$15*$J$15</f>
        <v>8.75</v>
      </c>
      <c r="AC2" s="1">
        <f t="array" ref="AC2:AJ9">MINVERSE(R2:Y9)</f>
        <v>8.977548020528682E-2</v>
      </c>
      <c r="AD2" s="2">
        <v>2.0807654743216263E-3</v>
      </c>
      <c r="AE2" s="2">
        <v>6.2302689170656452E-6</v>
      </c>
      <c r="AF2" s="2">
        <v>1.0175159156711577E-8</v>
      </c>
      <c r="AG2" s="2">
        <v>1.4674128758000985E-11</v>
      </c>
      <c r="AH2" s="2">
        <v>2.0680397900508927E-14</v>
      </c>
      <c r="AI2" s="2">
        <v>2.9023549293263586E-17</v>
      </c>
      <c r="AJ2" s="3">
        <v>4.0701850227694189E-20</v>
      </c>
    </row>
    <row r="3" spans="1:36" x14ac:dyDescent="0.25">
      <c r="B3" s="4">
        <f t="array" ref="B3:B10">MMULT(AC2:AJ9,Z2:Z9)</f>
        <v>0.78553545179625972</v>
      </c>
      <c r="C3" s="5">
        <f t="array" ref="C3:C10">MMULT(AC12:AJ19,Z12:Z19)</f>
        <v>0.21285890894982479</v>
      </c>
      <c r="D3" s="6">
        <f t="array" ref="D3:D10">MMULT(AC22:AJ29,Z22:Z29)</f>
        <v>2.0199224676014271E-3</v>
      </c>
      <c r="E3">
        <f>SUM(B3:D3)</f>
        <v>1.000414283213686</v>
      </c>
      <c r="H3" s="114">
        <v>25</v>
      </c>
      <c r="J3" s="85" t="s">
        <v>65</v>
      </c>
      <c r="K3" s="86" t="s">
        <v>65</v>
      </c>
      <c r="L3" s="87" t="s">
        <v>65</v>
      </c>
      <c r="P3" s="12">
        <v>2</v>
      </c>
      <c r="R3" s="66">
        <f>-$H$4</f>
        <v>-10.311798076346465</v>
      </c>
      <c r="S3" s="68">
        <f>$H$5+$I$5*$J$5</f>
        <v>8.4934054189311485</v>
      </c>
      <c r="T3" s="68">
        <f>-$I$6*$J$6</f>
        <v>-2.3962508575986231E-2</v>
      </c>
      <c r="U3" s="68">
        <v>0</v>
      </c>
      <c r="V3" s="123">
        <v>0</v>
      </c>
      <c r="W3" s="123">
        <v>0</v>
      </c>
      <c r="X3" s="123">
        <v>0</v>
      </c>
      <c r="Y3" s="24">
        <v>0</v>
      </c>
      <c r="Z3" s="12">
        <v>0</v>
      </c>
      <c r="AC3" s="4">
        <v>0.10931568121313021</v>
      </c>
      <c r="AD3" s="5">
        <v>0.12061745940346666</v>
      </c>
      <c r="AE3" s="5">
        <v>3.6115516979242637E-4</v>
      </c>
      <c r="AF3" s="5">
        <v>5.8983189679682521E-7</v>
      </c>
      <c r="AG3" s="5">
        <v>8.5062740207493561E-10</v>
      </c>
      <c r="AH3" s="5">
        <v>1.1987977910030469E-12</v>
      </c>
      <c r="AI3" s="5">
        <v>1.6824321730761375E-15</v>
      </c>
      <c r="AJ3" s="6">
        <v>2.3593979369950074E-18</v>
      </c>
    </row>
    <row r="4" spans="1:36" x14ac:dyDescent="0.25">
      <c r="B4" s="4">
        <v>0.95651221061488934</v>
      </c>
      <c r="C4" s="5">
        <v>4.3063747430031968E-2</v>
      </c>
      <c r="D4" s="6">
        <v>6.5551990543552627E-4</v>
      </c>
      <c r="E4">
        <f t="shared" ref="E4:E10" si="0">SUM(B4:D4)</f>
        <v>1.0002314779503567</v>
      </c>
      <c r="G4" s="118">
        <v>1</v>
      </c>
      <c r="H4" s="24">
        <f>J20</f>
        <v>10.311798076346465</v>
      </c>
      <c r="I4" s="24">
        <f t="shared" ref="I4:L4" si="1">K20</f>
        <v>22.894162116369326</v>
      </c>
      <c r="J4" s="24">
        <f t="shared" si="1"/>
        <v>4.6566538967827219E-2</v>
      </c>
      <c r="K4" s="24">
        <f t="shared" si="1"/>
        <v>3.3345444328230682</v>
      </c>
      <c r="L4" s="24">
        <f t="shared" si="1"/>
        <v>125.56562517925747</v>
      </c>
      <c r="P4" s="12">
        <v>3</v>
      </c>
      <c r="R4" s="66">
        <v>0</v>
      </c>
      <c r="S4" s="68">
        <f>-$H$5</f>
        <v>-8.2971258625369959</v>
      </c>
      <c r="T4" s="68">
        <f>$H$6+$I$6*$J$6</f>
        <v>8.0159751028369435</v>
      </c>
      <c r="U4" s="68">
        <f>-$I$7*$J$7</f>
        <v>-1.2968122554049208E-2</v>
      </c>
      <c r="V4" s="123">
        <v>0</v>
      </c>
      <c r="W4" s="123">
        <v>0</v>
      </c>
      <c r="X4" s="123">
        <v>0</v>
      </c>
      <c r="Y4" s="124">
        <v>0</v>
      </c>
      <c r="Z4" s="12">
        <v>0</v>
      </c>
      <c r="AC4" s="4">
        <v>0.11333434048365271</v>
      </c>
      <c r="AD4" s="5">
        <v>0.12505159425072215</v>
      </c>
      <c r="AE4" s="5">
        <v>0.12532878148515261</v>
      </c>
      <c r="AF4" s="5">
        <v>2.0468463167538079E-4</v>
      </c>
      <c r="AG4" s="5">
        <v>2.9518640384188766E-7</v>
      </c>
      <c r="AH4" s="5">
        <v>4.1600918098405481E-10</v>
      </c>
      <c r="AI4" s="5">
        <v>5.8384094101225159E-13</v>
      </c>
      <c r="AJ4" s="6">
        <v>8.1876293963096473E-16</v>
      </c>
    </row>
    <row r="5" spans="1:36" x14ac:dyDescent="0.25">
      <c r="B5" s="4">
        <v>0.9916754792319612</v>
      </c>
      <c r="C5" s="5">
        <v>7.9179500710980007E-3</v>
      </c>
      <c r="D5" s="6">
        <v>4.8958443831950628E-4</v>
      </c>
      <c r="E5">
        <f t="shared" si="0"/>
        <v>1.0000830137413788</v>
      </c>
      <c r="G5" s="118">
        <v>2</v>
      </c>
      <c r="H5" s="24">
        <f t="shared" ref="H5:H10" si="2">J21</f>
        <v>8.2971258625369959</v>
      </c>
      <c r="I5" s="24">
        <f t="shared" ref="I5:I11" si="3">K21</f>
        <v>8.205960192715791</v>
      </c>
      <c r="J5" s="24">
        <f t="shared" ref="J5:J11" si="4">L21</f>
        <v>2.3919145570360612E-2</v>
      </c>
      <c r="K5" s="24">
        <f t="shared" ref="K5:K11" si="5">M21</f>
        <v>6.2113070696463186</v>
      </c>
      <c r="L5" s="24">
        <f t="shared" ref="L5:L11" si="6">N21</f>
        <v>1083.3529767856419</v>
      </c>
      <c r="P5" s="12">
        <v>4</v>
      </c>
      <c r="R5" s="66">
        <v>0</v>
      </c>
      <c r="S5" s="68">
        <v>0</v>
      </c>
      <c r="T5" s="68">
        <f>-$H$6</f>
        <v>-7.9920125942609568</v>
      </c>
      <c r="U5" s="68">
        <f>$H$7+$I$7*$J$7</f>
        <v>7.951854694240267</v>
      </c>
      <c r="V5" s="68">
        <f>-$I$8*$J$8</f>
        <v>-1.143571591280223E-2</v>
      </c>
      <c r="W5" s="123">
        <v>0</v>
      </c>
      <c r="X5" s="123">
        <v>0</v>
      </c>
      <c r="Y5" s="24">
        <v>0</v>
      </c>
      <c r="Z5" s="12">
        <v>0</v>
      </c>
      <c r="AC5" s="4">
        <v>0.11407093300726631</v>
      </c>
      <c r="AD5" s="5">
        <v>0.12586434058160437</v>
      </c>
      <c r="AE5" s="5">
        <v>0.12614332933571237</v>
      </c>
      <c r="AF5" s="5">
        <v>0.12614416582969107</v>
      </c>
      <c r="AG5" s="5">
        <v>1.8191909364233887E-4</v>
      </c>
      <c r="AH5" s="5">
        <v>2.5638041646405864E-7</v>
      </c>
      <c r="AI5" s="5">
        <v>3.5981269271849616E-10</v>
      </c>
      <c r="AJ5" s="6">
        <v>5.0459170865262581E-13</v>
      </c>
    </row>
    <row r="6" spans="1:36" x14ac:dyDescent="0.25">
      <c r="B6" s="4">
        <v>0.99812066381358022</v>
      </c>
      <c r="C6" s="5">
        <v>1.4401381544501175E-3</v>
      </c>
      <c r="D6" s="6">
        <v>4.6173988350119665E-4</v>
      </c>
      <c r="E6">
        <f t="shared" si="0"/>
        <v>1.0000225418515316</v>
      </c>
      <c r="G6" s="118">
        <v>3</v>
      </c>
      <c r="H6" s="24">
        <f>J22</f>
        <v>7.9920125942609568</v>
      </c>
      <c r="I6" s="24">
        <f t="shared" si="3"/>
        <v>6.1912879789063231</v>
      </c>
      <c r="J6" s="24">
        <f t="shared" si="4"/>
        <v>3.8703592301999744E-3</v>
      </c>
      <c r="K6" s="24">
        <f t="shared" si="5"/>
        <v>7.2884202959237498</v>
      </c>
      <c r="L6" s="24">
        <f t="shared" si="6"/>
        <v>1917.4683491260328</v>
      </c>
      <c r="P6" s="12">
        <v>5</v>
      </c>
      <c r="R6" s="66">
        <v>0</v>
      </c>
      <c r="S6" s="68">
        <v>0</v>
      </c>
      <c r="T6" s="123">
        <v>0</v>
      </c>
      <c r="U6" s="68">
        <f>-$H$7</f>
        <v>-7.9388865716862176</v>
      </c>
      <c r="V6" s="68">
        <f>$H$8+$I$8*$J$8</f>
        <v>7.9407925103404589</v>
      </c>
      <c r="W6" s="68">
        <f>-$I$9*$J$9</f>
        <v>-1.1172566148170708E-2</v>
      </c>
      <c r="X6" s="123">
        <v>0</v>
      </c>
      <c r="Y6" s="24">
        <v>0</v>
      </c>
      <c r="Z6" s="116">
        <v>0</v>
      </c>
      <c r="AC6" s="4">
        <v>0.11420427129741689</v>
      </c>
      <c r="AD6" s="5">
        <v>0.12601146426615434</v>
      </c>
      <c r="AE6" s="5">
        <v>0.12629077913211625</v>
      </c>
      <c r="AF6" s="5">
        <v>0.1262916166038785</v>
      </c>
      <c r="AG6" s="5">
        <v>0.12629161797188349</v>
      </c>
      <c r="AH6" s="5">
        <v>1.7798405303848567E-4</v>
      </c>
      <c r="AI6" s="5">
        <v>2.4978866275344749E-7</v>
      </c>
      <c r="AJ6" s="6">
        <v>3.5029694808300302E-10</v>
      </c>
    </row>
    <row r="7" spans="1:36" x14ac:dyDescent="0.25">
      <c r="B7" s="4">
        <v>0.99928737385239785</v>
      </c>
      <c r="C7" s="5">
        <v>2.6128416499938777E-4</v>
      </c>
      <c r="D7" s="6">
        <v>4.5677412069490303E-4</v>
      </c>
      <c r="E7">
        <f t="shared" si="0"/>
        <v>1.0000054321380922</v>
      </c>
      <c r="G7" s="118">
        <v>4</v>
      </c>
      <c r="H7" s="24">
        <f t="shared" si="2"/>
        <v>7.9388865716862176</v>
      </c>
      <c r="I7" s="24">
        <f t="shared" si="3"/>
        <v>5.8861747106302831</v>
      </c>
      <c r="J7" s="24">
        <f t="shared" si="4"/>
        <v>2.2031494462148916E-3</v>
      </c>
      <c r="K7" s="24">
        <f t="shared" si="5"/>
        <v>7.4638347725291805</v>
      </c>
      <c r="L7" s="24">
        <f t="shared" si="6"/>
        <v>2137.9238084087392</v>
      </c>
      <c r="P7" s="12">
        <v>6</v>
      </c>
      <c r="R7" s="66">
        <v>0</v>
      </c>
      <c r="S7" s="68">
        <v>0</v>
      </c>
      <c r="T7" s="68">
        <v>0</v>
      </c>
      <c r="U7" s="123">
        <v>0</v>
      </c>
      <c r="V7" s="68">
        <f>-$H$8</f>
        <v>-7.9293567944276564</v>
      </c>
      <c r="W7" s="68">
        <f>$H$9+$I$9*$J$9</f>
        <v>7.9388106166582961</v>
      </c>
      <c r="X7" s="68">
        <f>-$I$10*$J$10</f>
        <v>-1.112548381809262E-2</v>
      </c>
      <c r="Y7" s="24">
        <v>0</v>
      </c>
      <c r="Z7" s="116">
        <v>0</v>
      </c>
      <c r="AC7" s="4">
        <v>0.11422835894528861</v>
      </c>
      <c r="AD7" s="5">
        <v>0.1260380422543903</v>
      </c>
      <c r="AE7" s="5">
        <v>0.12631741603266841</v>
      </c>
      <c r="AF7" s="5">
        <v>0.12631825368106783</v>
      </c>
      <c r="AG7" s="5">
        <v>0.12631825504936137</v>
      </c>
      <c r="AH7" s="5">
        <v>0.12631825505133473</v>
      </c>
      <c r="AI7" s="5">
        <v>1.7727918581446795E-4</v>
      </c>
      <c r="AJ7" s="6">
        <v>2.4861159455720989E-7</v>
      </c>
    </row>
    <row r="8" spans="1:36" x14ac:dyDescent="0.25">
      <c r="B8" s="4">
        <v>0.99949814077127541</v>
      </c>
      <c r="C8" s="5">
        <v>4.7199806489095802E-5</v>
      </c>
      <c r="D8" s="6">
        <v>4.5587947526479694E-4</v>
      </c>
      <c r="E8">
        <f t="shared" si="0"/>
        <v>1.0000012200530293</v>
      </c>
      <c r="G8" s="118">
        <v>5</v>
      </c>
      <c r="H8" s="24">
        <f t="shared" si="2"/>
        <v>7.9293567944276564</v>
      </c>
      <c r="I8" s="24">
        <f t="shared" si="3"/>
        <v>5.833048688055543</v>
      </c>
      <c r="J8" s="24">
        <f t="shared" si="4"/>
        <v>1.9605041076066086E-3</v>
      </c>
      <c r="K8" s="24">
        <f t="shared" si="5"/>
        <v>7.494966838019292</v>
      </c>
      <c r="L8" s="24">
        <f t="shared" si="6"/>
        <v>2180.7566382494183</v>
      </c>
      <c r="P8" s="12">
        <v>7</v>
      </c>
      <c r="R8" s="66">
        <v>0</v>
      </c>
      <c r="S8" s="68">
        <v>0</v>
      </c>
      <c r="T8" s="68">
        <v>0</v>
      </c>
      <c r="U8" s="123">
        <v>0</v>
      </c>
      <c r="V8" s="123">
        <v>0</v>
      </c>
      <c r="W8" s="68">
        <f>-$H$9</f>
        <v>-7.9276380505101258</v>
      </c>
      <c r="X8" s="68">
        <f>$H$10+$I$10*$J$10</f>
        <v>7.9384532461228847</v>
      </c>
      <c r="Y8" s="24">
        <f>-$I$11*$J$11</f>
        <v>-1.111699625118957E-2</v>
      </c>
      <c r="Z8" s="116">
        <v>0</v>
      </c>
      <c r="AC8" s="4">
        <v>0.11423270882053875</v>
      </c>
      <c r="AD8" s="5">
        <v>0.126042841848516</v>
      </c>
      <c r="AE8" s="5">
        <v>0.12632222626549267</v>
      </c>
      <c r="AF8" s="5">
        <v>0.12632306394579021</v>
      </c>
      <c r="AG8" s="5">
        <v>0.12632306531413587</v>
      </c>
      <c r="AH8" s="5">
        <v>0.12632306531610929</v>
      </c>
      <c r="AI8" s="5">
        <v>0.12632306531611207</v>
      </c>
      <c r="AJ8" s="6">
        <v>1.7715209235257085E-4</v>
      </c>
    </row>
    <row r="9" spans="1:36" ht="15.75" thickBot="1" x14ac:dyDescent="0.3">
      <c r="B9" s="4">
        <v>0.99953620217971406</v>
      </c>
      <c r="C9" s="5">
        <v>8.3357021523639877E-6</v>
      </c>
      <c r="D9" s="6">
        <v>4.5571799423864613E-4</v>
      </c>
      <c r="E9">
        <f t="shared" si="0"/>
        <v>1.0000002558761052</v>
      </c>
      <c r="G9" s="118">
        <v>6</v>
      </c>
      <c r="H9" s="24">
        <f t="shared" si="2"/>
        <v>7.9276380505101258</v>
      </c>
      <c r="I9" s="24">
        <f t="shared" si="3"/>
        <v>5.8235189107969827</v>
      </c>
      <c r="J9" s="24">
        <f t="shared" si="4"/>
        <v>1.9185249192642663E-3</v>
      </c>
      <c r="K9" s="24">
        <f t="shared" si="5"/>
        <v>7.5005752987035912</v>
      </c>
      <c r="L9" s="24">
        <f t="shared" si="6"/>
        <v>2188.5954552832704</v>
      </c>
      <c r="P9" s="13">
        <v>8</v>
      </c>
      <c r="R9" s="125">
        <v>0</v>
      </c>
      <c r="S9" s="67">
        <v>0</v>
      </c>
      <c r="T9" s="67">
        <v>0</v>
      </c>
      <c r="U9" s="67">
        <v>0</v>
      </c>
      <c r="V9" s="67">
        <v>0</v>
      </c>
      <c r="W9" s="67">
        <v>0</v>
      </c>
      <c r="X9" s="67">
        <f>-$H$10</f>
        <v>-7.9273277623047917</v>
      </c>
      <c r="Y9" s="65">
        <f>$H$11+$I$11*$J$11</f>
        <v>7.9272732537816566</v>
      </c>
      <c r="Z9" s="13">
        <f>$I$16*$J$16</f>
        <v>0</v>
      </c>
      <c r="AC9" s="7">
        <v>0.11423349429317886</v>
      </c>
      <c r="AD9" s="8">
        <v>0.12604370852851313</v>
      </c>
      <c r="AE9" s="8">
        <v>0.12632309486655793</v>
      </c>
      <c r="AF9" s="8">
        <v>0.12632393255261543</v>
      </c>
      <c r="AG9" s="8">
        <v>0.12632393392097049</v>
      </c>
      <c r="AH9" s="8">
        <v>0.12632393392294394</v>
      </c>
      <c r="AI9" s="8">
        <v>0.12632393392294672</v>
      </c>
      <c r="AJ9" s="9">
        <v>0.12632393392294672</v>
      </c>
    </row>
    <row r="10" spans="1:36" ht="15.75" thickBot="1" x14ac:dyDescent="0.3">
      <c r="B10" s="7">
        <v>0.99954307506531503</v>
      </c>
      <c r="C10" s="8">
        <v>1.2809240192725012E-6</v>
      </c>
      <c r="D10" s="9">
        <v>4.5568883758970017E-4</v>
      </c>
      <c r="E10">
        <f t="shared" si="0"/>
        <v>1.000000044826924</v>
      </c>
      <c r="G10" s="118">
        <v>7</v>
      </c>
      <c r="H10" s="24">
        <f t="shared" si="2"/>
        <v>7.9273277623047917</v>
      </c>
      <c r="I10" s="24">
        <f t="shared" si="3"/>
        <v>5.8218001668794521</v>
      </c>
      <c r="J10" s="24">
        <f t="shared" si="4"/>
        <v>1.9110040707659673E-3</v>
      </c>
      <c r="K10" s="24">
        <f t="shared" si="5"/>
        <v>7.5015876316501267</v>
      </c>
      <c r="L10" s="24">
        <f t="shared" si="6"/>
        <v>2190.0143603688202</v>
      </c>
      <c r="R10" s="66"/>
      <c r="S10" s="5"/>
      <c r="T10" s="5"/>
      <c r="U10" s="5"/>
    </row>
    <row r="11" spans="1:36" ht="15.75" thickBot="1" x14ac:dyDescent="0.3">
      <c r="G11" s="118">
        <v>8</v>
      </c>
      <c r="H11" s="24">
        <f>J27</f>
        <v>7.9161562575304671</v>
      </c>
      <c r="I11" s="24">
        <f t="shared" si="3"/>
        <v>5.821489878674118</v>
      </c>
      <c r="J11" s="24">
        <f t="shared" si="4"/>
        <v>1.9096479566020543E-3</v>
      </c>
      <c r="K11" s="24">
        <f t="shared" si="5"/>
        <v>7.5017704170594683</v>
      </c>
      <c r="L11" s="24">
        <f t="shared" si="6"/>
        <v>2190.2706859566401</v>
      </c>
      <c r="R11" s="16">
        <v>1</v>
      </c>
      <c r="S11" s="14">
        <v>2</v>
      </c>
      <c r="T11" s="14">
        <v>3</v>
      </c>
      <c r="U11" s="14">
        <v>4</v>
      </c>
      <c r="V11" s="14">
        <v>5</v>
      </c>
      <c r="W11" s="14">
        <v>6</v>
      </c>
      <c r="X11" s="14">
        <v>7</v>
      </c>
      <c r="Y11" s="15">
        <v>8</v>
      </c>
      <c r="Z11" s="22" t="s">
        <v>22</v>
      </c>
      <c r="AB11" s="10" t="s">
        <v>27</v>
      </c>
    </row>
    <row r="12" spans="1:36" ht="15.75" thickBot="1" x14ac:dyDescent="0.3">
      <c r="I12" s="89">
        <f>I16</f>
        <v>5.8103183738997934</v>
      </c>
      <c r="P12" s="11">
        <v>1</v>
      </c>
      <c r="Q12" s="93" t="s">
        <v>21</v>
      </c>
      <c r="R12" s="119">
        <f>$H$4+$I$4*$K$4</f>
        <v>86.653398905634589</v>
      </c>
      <c r="S12" s="120">
        <f>-$I$5*$K$5</f>
        <v>-50.969738558251862</v>
      </c>
      <c r="T12" s="120">
        <v>0</v>
      </c>
      <c r="U12" s="120">
        <v>0</v>
      </c>
      <c r="V12" s="121">
        <v>0</v>
      </c>
      <c r="W12" s="121">
        <v>0</v>
      </c>
      <c r="X12" s="121">
        <v>0</v>
      </c>
      <c r="Y12" s="122">
        <v>0</v>
      </c>
      <c r="Z12" s="11">
        <f>$I$15*$K$15</f>
        <v>16.25</v>
      </c>
      <c r="AC12" s="1">
        <f t="array" ref="AC12:AJ19">MINVERSE(R12:Y19)</f>
        <v>1.3099009781527679E-2</v>
      </c>
      <c r="AD12" s="2">
        <v>1.3098949268349603E-2</v>
      </c>
      <c r="AE12" s="2">
        <v>1.3098577532291007E-2</v>
      </c>
      <c r="AF12" s="2">
        <v>1.3096478626507584E-2</v>
      </c>
      <c r="AG12" s="2">
        <v>1.3084863377821634E-2</v>
      </c>
      <c r="AH12" s="2">
        <v>1.3020822707420932E-2</v>
      </c>
      <c r="AI12" s="2">
        <v>1.2667971082662382E-2</v>
      </c>
      <c r="AJ12" s="3">
        <v>1.0724062721041518E-2</v>
      </c>
    </row>
    <row r="13" spans="1:36" ht="15.75" thickBot="1" x14ac:dyDescent="0.3">
      <c r="P13" s="12">
        <v>2</v>
      </c>
      <c r="R13" s="66">
        <f>-$H$4</f>
        <v>-10.311798076346465</v>
      </c>
      <c r="S13" s="68">
        <f>$H$5+$I$5*$K$5</f>
        <v>59.266864420788856</v>
      </c>
      <c r="T13" s="68">
        <f>-$I$6*$K$6</f>
        <v>-45.124708963369578</v>
      </c>
      <c r="U13" s="68">
        <v>0</v>
      </c>
      <c r="V13" s="123">
        <v>0</v>
      </c>
      <c r="W13" s="123">
        <v>0</v>
      </c>
      <c r="X13" s="123">
        <v>0</v>
      </c>
      <c r="Y13" s="24">
        <v>0</v>
      </c>
      <c r="Z13" s="12">
        <v>0</v>
      </c>
      <c r="AC13" s="4">
        <v>2.6500767649250442E-3</v>
      </c>
      <c r="AD13" s="5">
        <v>2.2269458472849162E-2</v>
      </c>
      <c r="AE13" s="5">
        <v>2.2268826486225642E-2</v>
      </c>
      <c r="AF13" s="5">
        <v>2.2265258146947062E-2</v>
      </c>
      <c r="AG13" s="5">
        <v>2.2245511120451693E-2</v>
      </c>
      <c r="AH13" s="5">
        <v>2.2136635895359573E-2</v>
      </c>
      <c r="AI13" s="5">
        <v>2.1536754603840691E-2</v>
      </c>
      <c r="AJ13" s="6">
        <v>1.8231925670825485E-2</v>
      </c>
    </row>
    <row r="14" spans="1:36" ht="15.75" thickBot="1" x14ac:dyDescent="0.3">
      <c r="A14" s="5"/>
      <c r="B14" t="s">
        <v>132</v>
      </c>
      <c r="C14" t="s">
        <v>119</v>
      </c>
      <c r="D14" t="s">
        <v>120</v>
      </c>
      <c r="E14" t="s">
        <v>116</v>
      </c>
      <c r="F14" t="s">
        <v>121</v>
      </c>
      <c r="H14" s="18"/>
      <c r="I14" s="19" t="s">
        <v>25</v>
      </c>
      <c r="J14" s="93" t="s">
        <v>28</v>
      </c>
      <c r="K14" s="93" t="s">
        <v>29</v>
      </c>
      <c r="L14" s="22" t="s">
        <v>30</v>
      </c>
      <c r="N14" s="94"/>
      <c r="P14" s="12">
        <v>3</v>
      </c>
      <c r="R14" s="66">
        <v>0</v>
      </c>
      <c r="S14" s="68">
        <f>-$H$5</f>
        <v>-8.2971258625369959</v>
      </c>
      <c r="T14" s="68">
        <f>$H$6+$I$6*$K$6</f>
        <v>53.116721557630534</v>
      </c>
      <c r="U14" s="68">
        <f>-$I$7*$K$7</f>
        <v>-43.933435482384191</v>
      </c>
      <c r="V14" s="123">
        <v>0</v>
      </c>
      <c r="W14" s="123">
        <v>0</v>
      </c>
      <c r="X14" s="123">
        <v>0</v>
      </c>
      <c r="Y14" s="124">
        <v>0</v>
      </c>
      <c r="Z14" s="12">
        <v>0</v>
      </c>
      <c r="AC14" s="4">
        <v>4.8725846591372315E-4</v>
      </c>
      <c r="AD14" s="5">
        <v>4.0945916419582512E-3</v>
      </c>
      <c r="AE14" s="5">
        <v>2.6254654285539497E-2</v>
      </c>
      <c r="AF14" s="5">
        <v>2.6250447260342608E-2</v>
      </c>
      <c r="AG14" s="5">
        <v>2.6227165775163139E-2</v>
      </c>
      <c r="AH14" s="5">
        <v>2.609880331309887E-2</v>
      </c>
      <c r="AI14" s="5">
        <v>2.5391551140159577E-2</v>
      </c>
      <c r="AJ14" s="6">
        <v>2.1495201183738103E-2</v>
      </c>
    </row>
    <row r="15" spans="1:36" x14ac:dyDescent="0.25">
      <c r="A15" s="5"/>
      <c r="B15">
        <f>I16</f>
        <v>5.8103183738997934</v>
      </c>
      <c r="C15">
        <f>I16/I15</f>
        <v>0.23241273495599174</v>
      </c>
      <c r="D15">
        <f>K20*F20/I15/J15</f>
        <v>9.5709809331481197E-2</v>
      </c>
      <c r="E15">
        <v>0.998</v>
      </c>
      <c r="F15">
        <f>J27*D27/K28</f>
        <v>6.2084450249153792E-4</v>
      </c>
      <c r="H15" s="91" t="s">
        <v>7</v>
      </c>
      <c r="I15" s="1">
        <v>25</v>
      </c>
      <c r="J15" s="2">
        <v>0.35</v>
      </c>
      <c r="K15" s="2">
        <v>0.65</v>
      </c>
      <c r="L15" s="3">
        <v>0</v>
      </c>
      <c r="N15" s="58"/>
      <c r="P15" s="12">
        <v>4</v>
      </c>
      <c r="R15" s="66">
        <v>0</v>
      </c>
      <c r="S15" s="68">
        <v>0</v>
      </c>
      <c r="T15" s="68">
        <f>-$H$6</f>
        <v>-7.9920125942609568</v>
      </c>
      <c r="U15" s="68">
        <f>$H$7+$I$7*$K$7</f>
        <v>51.872322054070409</v>
      </c>
      <c r="V15" s="68">
        <f>-$I$8*$K$8</f>
        <v>-43.71850648152823</v>
      </c>
      <c r="W15" s="123">
        <v>0</v>
      </c>
      <c r="X15" s="123">
        <v>0</v>
      </c>
      <c r="Y15" s="24">
        <v>0</v>
      </c>
      <c r="Z15" s="12">
        <v>0</v>
      </c>
      <c r="AC15" s="4">
        <v>8.8623886427699534E-5</v>
      </c>
      <c r="AD15" s="5">
        <v>7.4473539205570057E-4</v>
      </c>
      <c r="AE15" s="5">
        <v>4.7752674655675712E-3</v>
      </c>
      <c r="AF15" s="5">
        <v>2.7532562282064077E-2</v>
      </c>
      <c r="AG15" s="5">
        <v>2.7508143690854352E-2</v>
      </c>
      <c r="AH15" s="5">
        <v>2.7373511795008423E-2</v>
      </c>
      <c r="AI15" s="5">
        <v>2.6631716262633099E-2</v>
      </c>
      <c r="AJ15" s="6">
        <v>2.2545062165506231E-2</v>
      </c>
    </row>
    <row r="16" spans="1:36" ht="15.75" thickBot="1" x14ac:dyDescent="0.3">
      <c r="A16" s="5"/>
      <c r="B16" s="5"/>
      <c r="C16" s="5"/>
      <c r="D16" s="5"/>
      <c r="E16" s="5"/>
      <c r="H16" s="92" t="s">
        <v>18</v>
      </c>
      <c r="I16" s="109">
        <f>J27+K20-J19</f>
        <v>5.8103183738997934</v>
      </c>
      <c r="J16" s="8">
        <v>0</v>
      </c>
      <c r="K16" s="8">
        <v>0</v>
      </c>
      <c r="L16" s="9">
        <v>1</v>
      </c>
      <c r="N16" s="33"/>
      <c r="P16" s="12">
        <v>5</v>
      </c>
      <c r="R16" s="66">
        <v>0</v>
      </c>
      <c r="S16" s="68">
        <v>0</v>
      </c>
      <c r="T16" s="123">
        <v>0</v>
      </c>
      <c r="U16" s="68">
        <f>-$H$7</f>
        <v>-7.9388865716862176</v>
      </c>
      <c r="V16" s="68">
        <f>$H$8+$I$8*$K$8</f>
        <v>51.647863275955885</v>
      </c>
      <c r="W16" s="68">
        <f>-$I$9*$K$9</f>
        <v>-43.679742093857094</v>
      </c>
      <c r="X16" s="123">
        <v>0</v>
      </c>
      <c r="Y16" s="24">
        <v>0</v>
      </c>
      <c r="Z16" s="116">
        <v>0</v>
      </c>
      <c r="AC16" s="4">
        <v>1.6079025538423864E-5</v>
      </c>
      <c r="AD16" s="5">
        <v>1.3511729028043427E-4</v>
      </c>
      <c r="AE16" s="5">
        <v>8.6637644349195841E-4</v>
      </c>
      <c r="AF16" s="5">
        <v>4.995230856104595E-3</v>
      </c>
      <c r="AG16" s="5">
        <v>2.7844122487786688E-2</v>
      </c>
      <c r="AH16" s="5">
        <v>2.7707846225715857E-2</v>
      </c>
      <c r="AI16" s="5">
        <v>2.6956990555610481E-2</v>
      </c>
      <c r="AJ16" s="6">
        <v>2.2820422907701639E-2</v>
      </c>
    </row>
    <row r="17" spans="1:36" ht="15.75" thickBot="1" x14ac:dyDescent="0.3">
      <c r="A17" s="5"/>
      <c r="B17" s="5"/>
      <c r="C17" s="5"/>
      <c r="D17" s="5"/>
      <c r="E17" s="5"/>
      <c r="N17" s="33"/>
      <c r="P17" s="12">
        <v>6</v>
      </c>
      <c r="R17" s="66">
        <v>0</v>
      </c>
      <c r="S17" s="68">
        <v>0</v>
      </c>
      <c r="T17" s="68">
        <v>0</v>
      </c>
      <c r="U17" s="123">
        <v>0</v>
      </c>
      <c r="V17" s="68">
        <f>-$H$8</f>
        <v>-7.9293567944276564</v>
      </c>
      <c r="W17" s="68">
        <f>$H$9+$I$9*$K$9</f>
        <v>51.60738014436722</v>
      </c>
      <c r="X17" s="68">
        <f>-$I$10*$K$10</f>
        <v>-43.672744125801543</v>
      </c>
      <c r="Y17" s="24">
        <v>0</v>
      </c>
      <c r="Z17" s="116">
        <v>0</v>
      </c>
      <c r="AC17" s="4">
        <v>2.9046034762520495E-6</v>
      </c>
      <c r="AD17" s="5">
        <v>2.4408329355062243E-5</v>
      </c>
      <c r="AE17" s="5">
        <v>1.5650699872924676E-4</v>
      </c>
      <c r="AF17" s="5">
        <v>9.0236593471728255E-4</v>
      </c>
      <c r="AG17" s="5">
        <v>5.0299152008897747E-3</v>
      </c>
      <c r="AH17" s="5">
        <v>2.7787156932375524E-2</v>
      </c>
      <c r="AI17" s="5">
        <v>2.7034152019297226E-2</v>
      </c>
      <c r="AJ17" s="6">
        <v>2.2885743894845073E-2</v>
      </c>
    </row>
    <row r="18" spans="1:36" ht="15.75" thickBot="1" x14ac:dyDescent="0.3">
      <c r="A18" s="5"/>
      <c r="B18" s="5"/>
      <c r="C18" s="5"/>
      <c r="D18" s="5"/>
      <c r="E18" s="5"/>
      <c r="J18" s="19" t="s">
        <v>74</v>
      </c>
      <c r="K18" s="22" t="s">
        <v>75</v>
      </c>
      <c r="P18" s="12">
        <v>7</v>
      </c>
      <c r="R18" s="66">
        <v>0</v>
      </c>
      <c r="S18" s="68">
        <v>0</v>
      </c>
      <c r="T18" s="68">
        <v>0</v>
      </c>
      <c r="U18" s="123">
        <v>0</v>
      </c>
      <c r="V18" s="123">
        <v>0</v>
      </c>
      <c r="W18" s="68">
        <f>-$H$9</f>
        <v>-7.9276380505101258</v>
      </c>
      <c r="X18" s="68">
        <f>$H$10+$I$10*$K$10</f>
        <v>51.600071888106335</v>
      </c>
      <c r="Y18" s="24">
        <f>-$I$11*$K$11</f>
        <v>-43.67148055504861</v>
      </c>
      <c r="Z18" s="116">
        <v>0</v>
      </c>
      <c r="AC18" s="4">
        <v>5.1296628629932227E-7</v>
      </c>
      <c r="AD18" s="5">
        <v>4.3106228324814278E-6</v>
      </c>
      <c r="AE18" s="5">
        <v>2.7639853279245974E-5</v>
      </c>
      <c r="AF18" s="5">
        <v>1.593619597991468E-4</v>
      </c>
      <c r="AG18" s="5">
        <v>8.8830607760969303E-4</v>
      </c>
      <c r="AH18" s="5">
        <v>4.9073392684944404E-3</v>
      </c>
      <c r="AI18" s="5">
        <v>2.7051429617473102E-2</v>
      </c>
      <c r="AJ18" s="6">
        <v>2.2900370234398428E-2</v>
      </c>
    </row>
    <row r="19" spans="1:36" ht="15.75" thickBot="1" x14ac:dyDescent="0.3">
      <c r="A19" s="17" t="s">
        <v>6</v>
      </c>
      <c r="B19" s="95" t="s">
        <v>68</v>
      </c>
      <c r="C19" s="96" t="s">
        <v>69</v>
      </c>
      <c r="D19" s="96" t="s">
        <v>70</v>
      </c>
      <c r="E19" s="128" t="s">
        <v>76</v>
      </c>
      <c r="F19" s="96" t="s">
        <v>71</v>
      </c>
      <c r="G19" s="96" t="s">
        <v>72</v>
      </c>
      <c r="H19" s="96" t="s">
        <v>73</v>
      </c>
      <c r="I19" s="101" t="s">
        <v>77</v>
      </c>
      <c r="J19" s="95">
        <f>I15</f>
        <v>25</v>
      </c>
      <c r="K19" s="3"/>
      <c r="L19" s="93" t="s">
        <v>62</v>
      </c>
      <c r="M19" s="93" t="s">
        <v>63</v>
      </c>
      <c r="N19" s="22" t="s">
        <v>64</v>
      </c>
      <c r="P19" s="13">
        <v>8</v>
      </c>
      <c r="R19" s="125">
        <v>0</v>
      </c>
      <c r="S19" s="67">
        <v>0</v>
      </c>
      <c r="T19" s="67">
        <v>0</v>
      </c>
      <c r="U19" s="67">
        <v>0</v>
      </c>
      <c r="V19" s="67">
        <v>0</v>
      </c>
      <c r="W19" s="67">
        <v>0</v>
      </c>
      <c r="X19" s="67">
        <f>-$H$10</f>
        <v>-7.9273277623047917</v>
      </c>
      <c r="Y19" s="65">
        <f>$H$11+$I$11*$K$11</f>
        <v>51.587636812579078</v>
      </c>
      <c r="Z19" s="13">
        <f>$I$16*$K$16</f>
        <v>0</v>
      </c>
      <c r="AC19" s="7">
        <v>7.8826093493692386E-8</v>
      </c>
      <c r="AD19" s="8">
        <v>6.6240134582831956E-7</v>
      </c>
      <c r="AE19" s="8">
        <v>4.2473388932824723E-6</v>
      </c>
      <c r="AF19" s="8">
        <v>2.4488706330176988E-5</v>
      </c>
      <c r="AG19" s="8">
        <v>1.3650350870002067E-4</v>
      </c>
      <c r="AH19" s="8">
        <v>7.5409709042339036E-4</v>
      </c>
      <c r="AI19" s="8">
        <v>4.1569174760945514E-3</v>
      </c>
      <c r="AJ19" s="9">
        <v>2.2903525219013322E-2</v>
      </c>
    </row>
    <row r="20" spans="1:36" ht="15.75" thickBot="1" x14ac:dyDescent="0.3">
      <c r="A20" s="98">
        <v>1</v>
      </c>
      <c r="B20" s="72">
        <f>I41</f>
        <v>0.78553545179625961</v>
      </c>
      <c r="C20" s="73">
        <f t="shared" ref="C20:H20" si="7">J41</f>
        <v>0.2124333236902497</v>
      </c>
      <c r="D20" s="73">
        <f t="shared" si="7"/>
        <v>2.0312245134907316E-3</v>
      </c>
      <c r="E20" s="129">
        <f t="shared" si="7"/>
        <v>1</v>
      </c>
      <c r="F20" s="73">
        <f t="shared" si="7"/>
        <v>3.6579667226680282E-2</v>
      </c>
      <c r="G20" s="73">
        <f t="shared" si="7"/>
        <v>0.70836835685742294</v>
      </c>
      <c r="H20" s="74">
        <f t="shared" si="7"/>
        <v>0.25505197591589679</v>
      </c>
      <c r="I20" s="55">
        <v>1</v>
      </c>
      <c r="J20" s="102">
        <f>(K22*(F21-F22)+J21*(B21-F21))/(B20-F21)</f>
        <v>10.311798076346465</v>
      </c>
      <c r="K20" s="6">
        <f>E15*I15*K15/G20</f>
        <v>22.894162116369326</v>
      </c>
      <c r="L20" s="1">
        <f>F20/B20</f>
        <v>4.6566538967827219E-2</v>
      </c>
      <c r="M20" s="1">
        <f t="shared" ref="M20:N20" si="8">G20/C20</f>
        <v>3.3345444328230682</v>
      </c>
      <c r="N20" s="11">
        <f t="shared" si="8"/>
        <v>125.56562517925747</v>
      </c>
    </row>
    <row r="21" spans="1:36" ht="15.75" thickBot="1" x14ac:dyDescent="0.3">
      <c r="A21" s="99">
        <v>2</v>
      </c>
      <c r="B21" s="75">
        <f t="shared" ref="B21:B27" si="9">I42</f>
        <v>0.95651221061488911</v>
      </c>
      <c r="C21" s="76">
        <f t="shared" ref="C21:C27" si="10">J42</f>
        <v>4.2831417942596831E-2</v>
      </c>
      <c r="D21" s="76">
        <f t="shared" ref="D21:D27" si="11">K42</f>
        <v>6.5637144251401804E-4</v>
      </c>
      <c r="E21" s="130">
        <f t="shared" ref="E21:E27" si="12">L42</f>
        <v>1</v>
      </c>
      <c r="F21" s="76">
        <f t="shared" ref="F21:F27" si="13">M42</f>
        <v>2.2878954805524963E-2</v>
      </c>
      <c r="G21" s="76">
        <f t="shared" ref="G21:G27" si="14">N42</f>
        <v>0.26603908906982787</v>
      </c>
      <c r="H21" s="77">
        <f t="shared" ref="H21:H27" si="15">O42</f>
        <v>0.7110819561246472</v>
      </c>
      <c r="I21" s="56">
        <v>1</v>
      </c>
      <c r="J21" s="102">
        <f t="shared" ref="J21:J26" si="16">(K23*(F22-F23)+J22*(B22-F22))/(B21-F22)</f>
        <v>8.2971258625369959</v>
      </c>
      <c r="K21" s="6">
        <f>K22+J20-J21</f>
        <v>8.205960192715791</v>
      </c>
      <c r="L21" s="1">
        <f t="shared" ref="L21:L27" si="17">F21/B21</f>
        <v>2.3919145570360612E-2</v>
      </c>
      <c r="M21" s="1">
        <f t="shared" ref="M21:M27" si="18">G21/C21</f>
        <v>6.2113070696463186</v>
      </c>
      <c r="N21" s="11">
        <f t="shared" ref="N21:N27" si="19">H21/D21</f>
        <v>1083.3529767856419</v>
      </c>
      <c r="R21" s="16">
        <v>1</v>
      </c>
      <c r="S21" s="14">
        <v>2</v>
      </c>
      <c r="T21" s="14">
        <v>3</v>
      </c>
      <c r="U21" s="14">
        <v>4</v>
      </c>
      <c r="V21" s="14">
        <v>5</v>
      </c>
      <c r="W21" s="14">
        <v>6</v>
      </c>
      <c r="X21" s="14">
        <v>7</v>
      </c>
      <c r="Y21" s="15">
        <v>8</v>
      </c>
      <c r="Z21" s="22" t="s">
        <v>24</v>
      </c>
      <c r="AB21" s="10" t="s">
        <v>27</v>
      </c>
    </row>
    <row r="22" spans="1:36" ht="15.75" thickBot="1" x14ac:dyDescent="0.3">
      <c r="A22" s="99">
        <v>3</v>
      </c>
      <c r="B22" s="75">
        <f t="shared" si="9"/>
        <v>0.99167547923196109</v>
      </c>
      <c r="C22" s="76">
        <f t="shared" si="10"/>
        <v>7.8347819536912378E-3</v>
      </c>
      <c r="D22" s="76">
        <f t="shared" si="11"/>
        <v>4.8973881434767196E-4</v>
      </c>
      <c r="E22" s="130">
        <f t="shared" si="12"/>
        <v>1</v>
      </c>
      <c r="F22" s="76">
        <f t="shared" si="13"/>
        <v>3.8381403444084036E-3</v>
      </c>
      <c r="G22" s="76">
        <f t="shared" si="14"/>
        <v>5.7103183805420343E-2</v>
      </c>
      <c r="H22" s="77">
        <f t="shared" si="15"/>
        <v>0.93905867585017122</v>
      </c>
      <c r="I22" s="56">
        <v>1</v>
      </c>
      <c r="J22" s="102">
        <f>(K24*(F23-F24)+J23*(B23-F23))/(B22-F23)</f>
        <v>7.9920125942609568</v>
      </c>
      <c r="K22" s="6">
        <f t="shared" ref="K22:K27" si="20">K23+J21-J22</f>
        <v>6.1912879789063231</v>
      </c>
      <c r="L22" s="1">
        <f t="shared" si="17"/>
        <v>3.8703592301999744E-3</v>
      </c>
      <c r="M22" s="1">
        <f t="shared" si="18"/>
        <v>7.2884202959237498</v>
      </c>
      <c r="N22" s="11">
        <f t="shared" si="19"/>
        <v>1917.4683491260328</v>
      </c>
      <c r="P22" s="11">
        <v>1</v>
      </c>
      <c r="Q22" s="93" t="s">
        <v>21</v>
      </c>
      <c r="R22" s="119">
        <f>$H$4+$I$4*$L$4</f>
        <v>2885.0315771735332</v>
      </c>
      <c r="S22" s="120">
        <f>-$I$5*$L$5</f>
        <v>-8889.9514021631312</v>
      </c>
      <c r="T22" s="120">
        <v>0</v>
      </c>
      <c r="U22" s="120">
        <v>0</v>
      </c>
      <c r="V22" s="121">
        <v>0</v>
      </c>
      <c r="W22" s="121">
        <v>0</v>
      </c>
      <c r="X22" s="121">
        <v>0</v>
      </c>
      <c r="Y22" s="122">
        <v>0</v>
      </c>
      <c r="Z22" s="11">
        <f>$I$15*$L$15</f>
        <v>0</v>
      </c>
      <c r="AC22" s="1">
        <f t="array" ref="AC22:AJ29">MINVERSE(R22:Y29)</f>
        <v>3.4785999222298206E-4</v>
      </c>
      <c r="AD22" s="2">
        <v>3.4785999222298211E-4</v>
      </c>
      <c r="AE22" s="2">
        <v>3.4785999222298211E-4</v>
      </c>
      <c r="AF22" s="2">
        <v>3.4785999222298211E-4</v>
      </c>
      <c r="AG22" s="2">
        <v>3.4785999222293013E-4</v>
      </c>
      <c r="AH22" s="2">
        <v>3.4785999213945962E-4</v>
      </c>
      <c r="AI22" s="2">
        <v>3.4785985794340458E-4</v>
      </c>
      <c r="AJ22" s="3">
        <v>3.4764402526976971E-4</v>
      </c>
    </row>
    <row r="23" spans="1:36" ht="15.75" thickBot="1" x14ac:dyDescent="0.3">
      <c r="A23" s="99">
        <v>4</v>
      </c>
      <c r="B23" s="75">
        <f t="shared" si="9"/>
        <v>0.99812066381358011</v>
      </c>
      <c r="C23" s="76">
        <f t="shared" si="10"/>
        <v>1.4175702070497466E-3</v>
      </c>
      <c r="D23" s="76">
        <f t="shared" si="11"/>
        <v>4.6176597937003857E-4</v>
      </c>
      <c r="E23" s="130">
        <f t="shared" si="12"/>
        <v>1</v>
      </c>
      <c r="F23" s="76">
        <f t="shared" si="13"/>
        <v>2.199008987736529E-3</v>
      </c>
      <c r="G23" s="76">
        <f t="shared" si="14"/>
        <v>1.058050980387929E-2</v>
      </c>
      <c r="H23" s="77">
        <f t="shared" si="15"/>
        <v>0.98722048120838424</v>
      </c>
      <c r="I23" s="56">
        <v>1</v>
      </c>
      <c r="J23" s="102">
        <f>(K25*(F24-F25)+J24*(B24-F24))/(B23-F24)</f>
        <v>7.9388865716862176</v>
      </c>
      <c r="K23" s="6">
        <f t="shared" si="20"/>
        <v>5.8861747106302831</v>
      </c>
      <c r="L23" s="1">
        <f>F23/B23</f>
        <v>2.2031494462148916E-3</v>
      </c>
      <c r="M23" s="1">
        <f>G23/C23</f>
        <v>7.4638347725291805</v>
      </c>
      <c r="N23" s="11">
        <f>H23/D23</f>
        <v>2137.9238084087392</v>
      </c>
      <c r="P23" s="12">
        <v>2</v>
      </c>
      <c r="R23" s="66">
        <f>-$H$4</f>
        <v>-10.311798076346465</v>
      </c>
      <c r="S23" s="68">
        <f>$H$5+$I$5*$L$5</f>
        <v>8898.2485280256678</v>
      </c>
      <c r="T23" s="68">
        <f>-$I$6*$L$6</f>
        <v>-11871.59873987736</v>
      </c>
      <c r="U23" s="68">
        <v>0</v>
      </c>
      <c r="V23" s="123">
        <v>0</v>
      </c>
      <c r="W23" s="123">
        <v>0</v>
      </c>
      <c r="X23" s="123">
        <v>0</v>
      </c>
      <c r="Y23" s="24">
        <v>0</v>
      </c>
      <c r="Z23" s="12">
        <v>0</v>
      </c>
      <c r="AC23" s="4">
        <v>4.0349624383436198E-7</v>
      </c>
      <c r="AD23" s="5">
        <v>1.1289005041742377E-4</v>
      </c>
      <c r="AE23" s="5">
        <v>1.1289005041742377E-4</v>
      </c>
      <c r="AF23" s="5">
        <v>1.1289005041742377E-4</v>
      </c>
      <c r="AG23" s="5">
        <v>1.1289005041740689E-4</v>
      </c>
      <c r="AH23" s="5">
        <v>1.1289005039031845E-4</v>
      </c>
      <c r="AI23" s="5">
        <v>1.1289000684004029E-4</v>
      </c>
      <c r="AJ23" s="6">
        <v>1.1281996325367481E-4</v>
      </c>
    </row>
    <row r="24" spans="1:36" ht="15.75" thickBot="1" x14ac:dyDescent="0.3">
      <c r="A24" s="99">
        <v>5</v>
      </c>
      <c r="B24" s="75">
        <f t="shared" si="9"/>
        <v>0.99928737385239774</v>
      </c>
      <c r="C24" s="76">
        <f t="shared" si="10"/>
        <v>2.5584738197388505E-4</v>
      </c>
      <c r="D24" s="76">
        <f t="shared" si="11"/>
        <v>4.567787656283478E-4</v>
      </c>
      <c r="E24" s="130">
        <f t="shared" si="12"/>
        <v>1</v>
      </c>
      <c r="F24" s="76">
        <f t="shared" si="13"/>
        <v>1.9591070011170464E-3</v>
      </c>
      <c r="G24" s="76">
        <f t="shared" si="14"/>
        <v>1.9175676434883232E-3</v>
      </c>
      <c r="H24" s="77">
        <f t="shared" si="15"/>
        <v>0.99612332535539472</v>
      </c>
      <c r="I24" s="56">
        <v>1</v>
      </c>
      <c r="J24" s="102">
        <f t="shared" si="16"/>
        <v>7.9293567944276564</v>
      </c>
      <c r="K24" s="6">
        <f t="shared" si="20"/>
        <v>5.833048688055543</v>
      </c>
      <c r="L24" s="1">
        <f t="shared" si="17"/>
        <v>1.9605041076066086E-3</v>
      </c>
      <c r="M24" s="1">
        <f t="shared" si="18"/>
        <v>7.494966838019292</v>
      </c>
      <c r="N24" s="11">
        <f t="shared" si="19"/>
        <v>2180.7566382494183</v>
      </c>
      <c r="P24" s="12">
        <v>3</v>
      </c>
      <c r="R24" s="66">
        <v>0</v>
      </c>
      <c r="S24" s="68">
        <f>-$H$5</f>
        <v>-8.2971258625369959</v>
      </c>
      <c r="T24" s="68">
        <f>$H$6+$I$6*$L$6</f>
        <v>11879.59075247162</v>
      </c>
      <c r="U24" s="68">
        <f>-$I$7*$L$7</f>
        <v>-12584.193054309902</v>
      </c>
      <c r="V24" s="123">
        <v>0</v>
      </c>
      <c r="W24" s="123">
        <v>0</v>
      </c>
      <c r="X24" s="123">
        <v>0</v>
      </c>
      <c r="Y24" s="124">
        <v>0</v>
      </c>
      <c r="Z24" s="12">
        <v>0</v>
      </c>
      <c r="AC24" s="4">
        <v>2.8200575116382377E-10</v>
      </c>
      <c r="AD24" s="5">
        <v>7.8899479123667579E-8</v>
      </c>
      <c r="AE24" s="5">
        <v>8.4313552444687981E-5</v>
      </c>
      <c r="AF24" s="5">
        <v>8.4313552444687981E-5</v>
      </c>
      <c r="AG24" s="5">
        <v>8.4313552444675378E-5</v>
      </c>
      <c r="AH24" s="5">
        <v>8.4313552424443989E-5</v>
      </c>
      <c r="AI24" s="5">
        <v>8.4313519898294463E-5</v>
      </c>
      <c r="AJ24" s="6">
        <v>8.4261206841735415E-5</v>
      </c>
    </row>
    <row r="25" spans="1:36" ht="15.75" thickBot="1" x14ac:dyDescent="0.3">
      <c r="A25" s="127">
        <v>6</v>
      </c>
      <c r="B25" s="75">
        <f t="shared" si="9"/>
        <v>0.99949814077127519</v>
      </c>
      <c r="C25" s="76">
        <f t="shared" si="10"/>
        <v>4.5978921040598735E-5</v>
      </c>
      <c r="D25" s="76">
        <f t="shared" si="11"/>
        <v>4.5588030768418844E-4</v>
      </c>
      <c r="E25" s="130">
        <f t="shared" si="12"/>
        <v>1</v>
      </c>
      <c r="F25" s="76">
        <f t="shared" si="13"/>
        <v>1.9175620898279949E-3</v>
      </c>
      <c r="G25" s="76">
        <f t="shared" si="14"/>
        <v>3.4486835941815769E-4</v>
      </c>
      <c r="H25" s="77">
        <f t="shared" si="15"/>
        <v>0.99773756955075388</v>
      </c>
      <c r="I25" s="56">
        <v>0.99999999999999989</v>
      </c>
      <c r="J25" s="102">
        <f>(K27*(F26-F27)+J26*(B26-F26))/(B25-F26)</f>
        <v>7.9276380505101258</v>
      </c>
      <c r="K25" s="6">
        <f t="shared" si="20"/>
        <v>5.8235189107969827</v>
      </c>
      <c r="L25" s="1">
        <f t="shared" si="17"/>
        <v>1.9185249192642663E-3</v>
      </c>
      <c r="M25" s="1">
        <f t="shared" si="18"/>
        <v>7.5005752987035912</v>
      </c>
      <c r="N25" s="11">
        <f t="shared" si="19"/>
        <v>2188.5954552832704</v>
      </c>
      <c r="P25" s="12">
        <v>4</v>
      </c>
      <c r="R25" s="66">
        <v>0</v>
      </c>
      <c r="S25" s="68">
        <v>0</v>
      </c>
      <c r="T25" s="68">
        <f>-$H$6</f>
        <v>-7.9920125942609568</v>
      </c>
      <c r="U25" s="68">
        <f>$H$7+$I$7*$L$7</f>
        <v>12592.131940881589</v>
      </c>
      <c r="V25" s="68">
        <f>-$I$8*$L$8</f>
        <v>-12720.459647709185</v>
      </c>
      <c r="W25" s="123">
        <v>0</v>
      </c>
      <c r="X25" s="123">
        <v>0</v>
      </c>
      <c r="Y25" s="24">
        <v>0</v>
      </c>
      <c r="Z25" s="12">
        <v>0</v>
      </c>
      <c r="AC25" s="4">
        <v>1.7909718209412002E-13</v>
      </c>
      <c r="AD25" s="5">
        <v>5.010775248882733E-11</v>
      </c>
      <c r="AE25" s="5">
        <v>5.3546140789222029E-8</v>
      </c>
      <c r="AF25" s="5">
        <v>7.9518315608666595E-5</v>
      </c>
      <c r="AG25" s="5">
        <v>7.9518315608654696E-5</v>
      </c>
      <c r="AH25" s="5">
        <v>7.9518315589573944E-5</v>
      </c>
      <c r="AI25" s="5">
        <v>7.9518284913311971E-5</v>
      </c>
      <c r="AJ25" s="6">
        <v>7.9468947101995753E-5</v>
      </c>
    </row>
    <row r="26" spans="1:36" ht="15.75" thickBot="1" x14ac:dyDescent="0.3">
      <c r="A26" s="127">
        <v>7</v>
      </c>
      <c r="B26" s="75">
        <f t="shared" si="9"/>
        <v>0.99953620217971406</v>
      </c>
      <c r="C26" s="76">
        <f t="shared" si="10"/>
        <v>8.0796798559120201E-6</v>
      </c>
      <c r="D26" s="76">
        <f t="shared" si="11"/>
        <v>4.5571814043000327E-4</v>
      </c>
      <c r="E26" s="130">
        <f t="shared" si="12"/>
        <v>1</v>
      </c>
      <c r="F26" s="76">
        <f t="shared" si="13"/>
        <v>1.9101177512433885E-3</v>
      </c>
      <c r="G26" s="76">
        <f t="shared" si="14"/>
        <v>6.0610426474802288E-5</v>
      </c>
      <c r="H26" s="77">
        <f t="shared" si="15"/>
        <v>0.99802927182228185</v>
      </c>
      <c r="I26" s="56">
        <v>1</v>
      </c>
      <c r="J26" s="102">
        <f t="shared" si="16"/>
        <v>7.9273277623047917</v>
      </c>
      <c r="K26" s="6">
        <f t="shared" si="20"/>
        <v>5.8218001668794521</v>
      </c>
      <c r="L26" s="1">
        <f t="shared" si="17"/>
        <v>1.9110040707659673E-3</v>
      </c>
      <c r="M26" s="1">
        <f t="shared" si="18"/>
        <v>7.5015876316501267</v>
      </c>
      <c r="N26" s="11">
        <f t="shared" si="19"/>
        <v>2190.0143603688202</v>
      </c>
      <c r="P26" s="12">
        <v>5</v>
      </c>
      <c r="R26" s="66">
        <v>0</v>
      </c>
      <c r="S26" s="68">
        <v>0</v>
      </c>
      <c r="T26" s="123">
        <v>0</v>
      </c>
      <c r="U26" s="68">
        <f>-$H$7</f>
        <v>-7.9388865716862176</v>
      </c>
      <c r="V26" s="68">
        <f>$H$8+$I$8*$L$8</f>
        <v>12728.389004503613</v>
      </c>
      <c r="W26" s="68">
        <f>-$I$9*$L$9</f>
        <v>-12745.327021926458</v>
      </c>
      <c r="X26" s="123">
        <v>0</v>
      </c>
      <c r="Y26" s="24">
        <v>0</v>
      </c>
      <c r="Z26" s="116">
        <v>0</v>
      </c>
      <c r="AC26" s="4">
        <v>1.1177522301324184E-16</v>
      </c>
      <c r="AD26" s="5">
        <v>3.127243624742034E-14</v>
      </c>
      <c r="AE26" s="5">
        <v>3.3418347280686986E-11</v>
      </c>
      <c r="AF26" s="5">
        <v>4.9627678988969798E-8</v>
      </c>
      <c r="AG26" s="5">
        <v>7.866313911604929E-5</v>
      </c>
      <c r="AH26" s="5">
        <v>7.8663139097173736E-5</v>
      </c>
      <c r="AI26" s="5">
        <v>7.8663108750818398E-5</v>
      </c>
      <c r="AJ26" s="6">
        <v>7.8614301540988281E-5</v>
      </c>
    </row>
    <row r="27" spans="1:36" ht="15.75" thickBot="1" x14ac:dyDescent="0.3">
      <c r="A27" s="127">
        <v>8</v>
      </c>
      <c r="B27" s="78">
        <f t="shared" si="9"/>
        <v>0.99954307506531503</v>
      </c>
      <c r="C27" s="79">
        <f t="shared" si="10"/>
        <v>1.2360747373206145E-6</v>
      </c>
      <c r="D27" s="79">
        <f t="shared" si="11"/>
        <v>4.5568885994761777E-4</v>
      </c>
      <c r="E27" s="131">
        <f t="shared" si="12"/>
        <v>1</v>
      </c>
      <c r="F27" s="79">
        <f t="shared" si="13"/>
        <v>1.9087753908342126E-3</v>
      </c>
      <c r="G27" s="79">
        <f t="shared" si="14"/>
        <v>9.2727488977063391E-6</v>
      </c>
      <c r="H27" s="80">
        <f t="shared" si="15"/>
        <v>0.99808195186026805</v>
      </c>
      <c r="I27" s="57">
        <v>1</v>
      </c>
      <c r="J27" s="4">
        <f>(I15*(J15-J16)-K20*(F20-J16))/(B27-J16)</f>
        <v>7.9161562575304671</v>
      </c>
      <c r="K27" s="6">
        <f t="shared" si="20"/>
        <v>5.821489878674118</v>
      </c>
      <c r="L27" s="16">
        <f t="shared" si="17"/>
        <v>1.9096479566020543E-3</v>
      </c>
      <c r="M27" s="16">
        <f t="shared" si="18"/>
        <v>7.5017704170594683</v>
      </c>
      <c r="N27" s="10">
        <f t="shared" si="19"/>
        <v>2190.2706859566401</v>
      </c>
      <c r="P27" s="12">
        <v>6</v>
      </c>
      <c r="R27" s="66">
        <v>0</v>
      </c>
      <c r="S27" s="68">
        <v>0</v>
      </c>
      <c r="T27" s="68">
        <v>0</v>
      </c>
      <c r="U27" s="123">
        <v>0</v>
      </c>
      <c r="V27" s="68">
        <f>-$H$8</f>
        <v>-7.9293567944276564</v>
      </c>
      <c r="W27" s="68">
        <f>$H$9+$I$9*$L$9</f>
        <v>12753.254659976968</v>
      </c>
      <c r="X27" s="68">
        <f>-$I$10*$L$10</f>
        <v>-12749.825968663594</v>
      </c>
      <c r="Y27" s="24">
        <v>0</v>
      </c>
      <c r="Z27" s="116">
        <v>0</v>
      </c>
      <c r="AC27" s="4">
        <v>6.9539653420526972E-20</v>
      </c>
      <c r="AD27" s="5">
        <v>1.9455782056489427E-17</v>
      </c>
      <c r="AE27" s="5">
        <v>2.0790835617572186E-14</v>
      </c>
      <c r="AF27" s="5">
        <v>3.0875282588783403E-11</v>
      </c>
      <c r="AG27" s="5">
        <v>4.8939356000682887E-8</v>
      </c>
      <c r="AH27" s="5">
        <v>7.8509068157681759E-5</v>
      </c>
      <c r="AI27" s="5">
        <v>7.8509037870763305E-5</v>
      </c>
      <c r="AJ27" s="6">
        <v>7.8460326255550412E-5</v>
      </c>
    </row>
    <row r="28" spans="1:36" ht="15.75" thickBot="1" x14ac:dyDescent="0.3">
      <c r="A28" s="10" t="s">
        <v>18</v>
      </c>
      <c r="B28" s="5"/>
      <c r="C28" s="5"/>
      <c r="D28" s="5"/>
      <c r="E28" s="5"/>
      <c r="F28" s="113">
        <v>0</v>
      </c>
      <c r="G28" s="5">
        <f>K16</f>
        <v>0</v>
      </c>
      <c r="H28" s="113">
        <v>1</v>
      </c>
      <c r="I28" s="5"/>
      <c r="J28" s="5"/>
      <c r="K28" s="52">
        <f>I16</f>
        <v>5.8103183738997934</v>
      </c>
      <c r="L28" s="5"/>
      <c r="M28" s="5"/>
      <c r="N28" s="5"/>
      <c r="P28" s="12">
        <v>7</v>
      </c>
      <c r="R28" s="66">
        <v>0</v>
      </c>
      <c r="S28" s="68">
        <v>0</v>
      </c>
      <c r="T28" s="68">
        <v>0</v>
      </c>
      <c r="U28" s="123">
        <v>0</v>
      </c>
      <c r="V28" s="123">
        <v>0</v>
      </c>
      <c r="W28" s="68">
        <f>-$H$9</f>
        <v>-7.9276380505101258</v>
      </c>
      <c r="X28" s="68">
        <f>$H$10+$I$10*$L$10</f>
        <v>12757.753296425899</v>
      </c>
      <c r="Y28" s="24">
        <f>-$I$11*$L$11</f>
        <v>-12750.638629853198</v>
      </c>
      <c r="Z28" s="116">
        <v>0</v>
      </c>
      <c r="AC28" s="4">
        <v>4.323862860231737E-23</v>
      </c>
      <c r="AD28" s="5">
        <v>1.2097289720743076E-20</v>
      </c>
      <c r="AE28" s="5">
        <v>1.2927404371196866E-17</v>
      </c>
      <c r="AF28" s="5">
        <v>1.919774993376556E-14</v>
      </c>
      <c r="AG28" s="5">
        <v>3.0429697792044072E-11</v>
      </c>
      <c r="AH28" s="5">
        <v>4.881566520695349E-8</v>
      </c>
      <c r="AI28" s="5">
        <v>7.8481228502969052E-5</v>
      </c>
      <c r="AJ28" s="6">
        <v>7.8432534142320229E-5</v>
      </c>
    </row>
    <row r="29" spans="1:36" ht="15.75" thickBot="1" x14ac:dyDescent="0.3">
      <c r="P29" s="13">
        <v>8</v>
      </c>
      <c r="R29" s="125">
        <v>0</v>
      </c>
      <c r="S29" s="67">
        <v>0</v>
      </c>
      <c r="T29" s="67">
        <v>0</v>
      </c>
      <c r="U29" s="67">
        <v>0</v>
      </c>
      <c r="V29" s="67">
        <v>0</v>
      </c>
      <c r="W29" s="67">
        <v>0</v>
      </c>
      <c r="X29" s="67">
        <f>-$H$10</f>
        <v>-7.9273277623047917</v>
      </c>
      <c r="Y29" s="65">
        <f>$H$11+$I$11*$L$11</f>
        <v>12758.554786110728</v>
      </c>
      <c r="Z29" s="13">
        <f>$I$16*$L$16</f>
        <v>5.8103183738997934</v>
      </c>
      <c r="AC29" s="7">
        <v>2.6865643222873549E-26</v>
      </c>
      <c r="AD29" s="8">
        <v>7.5164610929357881E-24</v>
      </c>
      <c r="AE29" s="8">
        <v>8.0322398017909678E-21</v>
      </c>
      <c r="AF29" s="8">
        <v>1.1928220599828363E-17</v>
      </c>
      <c r="AG29" s="8">
        <v>1.8907015108640712E-14</v>
      </c>
      <c r="AH29" s="8">
        <v>3.0330847381847035E-11</v>
      </c>
      <c r="AI29" s="8">
        <v>4.8763079514982082E-8</v>
      </c>
      <c r="AJ29" s="9">
        <v>7.8427516061198047E-5</v>
      </c>
    </row>
    <row r="30" spans="1:36" x14ac:dyDescent="0.25">
      <c r="T30" s="25"/>
      <c r="U30" s="25"/>
      <c r="V30" s="25"/>
      <c r="W30" s="25"/>
      <c r="X30" s="25"/>
      <c r="Y30" s="25"/>
      <c r="Z30" s="25"/>
      <c r="AC30" s="33"/>
      <c r="AD30" s="76"/>
      <c r="AE30" s="76"/>
    </row>
    <row r="31" spans="1:36" x14ac:dyDescent="0.25">
      <c r="J31" s="33">
        <f>(J41+H52)/2</f>
        <v>0.21243094330389806</v>
      </c>
      <c r="K31" s="33">
        <f>(K41+I52)/2</f>
        <v>2.0311862360083664E-3</v>
      </c>
      <c r="L31" s="33">
        <f>SUM(I41:K41)</f>
        <v>1</v>
      </c>
      <c r="M31" s="33">
        <f t="shared" ref="M31:N38" si="21">(M41+K52)/2</f>
        <v>3.6579848078054006E-2</v>
      </c>
      <c r="N31" s="33">
        <f t="shared" si="21"/>
        <v>0.70837629453936857</v>
      </c>
      <c r="T31" s="25"/>
      <c r="U31" s="25"/>
      <c r="V31" s="25"/>
      <c r="W31" s="25"/>
      <c r="X31" s="25"/>
      <c r="Y31" s="25"/>
      <c r="Z31" s="25"/>
      <c r="AC31" s="33"/>
      <c r="AD31" s="76"/>
      <c r="AE31" s="76"/>
    </row>
    <row r="32" spans="1:36" x14ac:dyDescent="0.25">
      <c r="J32" s="33">
        <f t="shared" ref="J32:J38" si="22">J42</f>
        <v>4.2831417942596831E-2</v>
      </c>
      <c r="K32" s="33">
        <f t="shared" ref="K32" si="23">(K42+I53)/2</f>
        <v>6.5637127660337139E-4</v>
      </c>
      <c r="L32" s="33">
        <f t="shared" ref="L32:L38" si="24">SUM(I42:K42)</f>
        <v>1</v>
      </c>
      <c r="M32" s="33">
        <f t="shared" si="21"/>
        <v>2.2880057479517435E-2</v>
      </c>
      <c r="N32" s="33">
        <f t="shared" si="21"/>
        <v>0.26603911142884495</v>
      </c>
      <c r="AC32" s="33"/>
      <c r="AD32" s="76"/>
      <c r="AE32" s="76"/>
    </row>
    <row r="33" spans="1:31" x14ac:dyDescent="0.25">
      <c r="J33" s="33">
        <f t="shared" si="22"/>
        <v>7.8347819536912378E-3</v>
      </c>
      <c r="K33" s="33">
        <f t="shared" ref="K33" si="25">(K43+I54)/2</f>
        <v>4.897388143184371E-4</v>
      </c>
      <c r="L33" s="33">
        <f t="shared" si="24"/>
        <v>1</v>
      </c>
      <c r="M33" s="33">
        <f t="shared" si="21"/>
        <v>3.8381403582582311E-3</v>
      </c>
      <c r="N33" s="33">
        <f t="shared" si="21"/>
        <v>5.7103183818542964E-2</v>
      </c>
      <c r="AC33" s="33"/>
      <c r="AD33" s="76"/>
      <c r="AE33" s="76"/>
    </row>
    <row r="34" spans="1:31" ht="15.75" thickBot="1" x14ac:dyDescent="0.3">
      <c r="J34" s="33">
        <f t="shared" si="22"/>
        <v>1.4175702070497466E-3</v>
      </c>
      <c r="K34" s="33">
        <f t="shared" ref="K34" si="26">(K44+I55)/2</f>
        <v>4.6176597936970425E-4</v>
      </c>
      <c r="L34" s="33">
        <f t="shared" si="24"/>
        <v>1</v>
      </c>
      <c r="M34" s="33">
        <f t="shared" si="21"/>
        <v>2.1990089878538193E-3</v>
      </c>
      <c r="N34" s="33">
        <f t="shared" si="21"/>
        <v>1.0580509803920644E-2</v>
      </c>
      <c r="T34" s="33"/>
      <c r="U34" s="33"/>
      <c r="V34" s="33"/>
      <c r="W34" s="33"/>
      <c r="X34" s="33"/>
      <c r="Y34" s="33"/>
      <c r="Z34" s="33"/>
    </row>
    <row r="35" spans="1:31" ht="15.75" thickBot="1" x14ac:dyDescent="0.3">
      <c r="A35" s="138" t="s">
        <v>78</v>
      </c>
      <c r="B35" s="138"/>
      <c r="C35" s="138"/>
      <c r="D35" s="138"/>
      <c r="E35" s="138"/>
      <c r="J35" s="33">
        <f t="shared" si="22"/>
        <v>2.5584738197388505E-4</v>
      </c>
      <c r="K35" s="33">
        <f t="shared" ref="K35" si="27">(K45+I56)/2</f>
        <v>4.5677876562830909E-4</v>
      </c>
      <c r="L35" s="33">
        <f t="shared" si="24"/>
        <v>1</v>
      </c>
      <c r="M35" s="33">
        <f t="shared" si="21"/>
        <v>1.9591070011307828E-3</v>
      </c>
      <c r="N35" s="33">
        <f t="shared" si="21"/>
        <v>1.9175676434893523E-3</v>
      </c>
    </row>
    <row r="36" spans="1:31" ht="15.75" customHeight="1" thickBot="1" x14ac:dyDescent="0.3">
      <c r="A36" s="26" t="s">
        <v>33</v>
      </c>
      <c r="B36" s="27">
        <v>5.5736999999999997</v>
      </c>
      <c r="C36" s="27">
        <v>7.4991000000000003</v>
      </c>
      <c r="D36" s="26">
        <v>6.4999999999999997E-3</v>
      </c>
      <c r="E36" s="26">
        <v>0.4</v>
      </c>
      <c r="J36" s="33">
        <f t="shared" si="22"/>
        <v>4.5978921040598735E-5</v>
      </c>
      <c r="K36" s="33">
        <f t="shared" ref="K36" si="28">(K46+I57)/2</f>
        <v>4.5588030768418085E-4</v>
      </c>
      <c r="L36" s="33">
        <f t="shared" si="24"/>
        <v>1</v>
      </c>
      <c r="M36" s="33">
        <f t="shared" si="21"/>
        <v>1.9175620898306866E-3</v>
      </c>
      <c r="N36" s="33">
        <f t="shared" si="21"/>
        <v>3.4486835941819813E-4</v>
      </c>
    </row>
    <row r="37" spans="1:31" ht="15.75" thickBot="1" x14ac:dyDescent="0.3">
      <c r="A37" s="31" t="s">
        <v>34</v>
      </c>
      <c r="B37" s="32">
        <v>19.269400000000001</v>
      </c>
      <c r="C37" s="32">
        <v>16.212</v>
      </c>
      <c r="D37" s="31"/>
      <c r="E37" s="31"/>
      <c r="J37" s="33">
        <f t="shared" si="22"/>
        <v>8.0796798559120201E-6</v>
      </c>
      <c r="K37" s="33">
        <f t="shared" ref="K37" si="29">(K47+I58)/2</f>
        <v>4.5571814043000164E-4</v>
      </c>
      <c r="L37" s="33">
        <f t="shared" si="24"/>
        <v>1</v>
      </c>
      <c r="M37" s="33">
        <f t="shared" si="21"/>
        <v>1.9101177512439375E-3</v>
      </c>
      <c r="N37" s="33">
        <f t="shared" si="21"/>
        <v>6.0610426474804409E-5</v>
      </c>
      <c r="P37" s="28" t="s">
        <v>79</v>
      </c>
      <c r="Q37" s="29" t="s">
        <v>80</v>
      </c>
      <c r="R37" s="29" t="s">
        <v>81</v>
      </c>
      <c r="S37" s="29" t="s">
        <v>82</v>
      </c>
      <c r="T37" s="29" t="s">
        <v>83</v>
      </c>
      <c r="U37" s="29" t="s">
        <v>84</v>
      </c>
      <c r="V37" s="29" t="s">
        <v>85</v>
      </c>
      <c r="W37" s="29" t="s">
        <v>86</v>
      </c>
      <c r="X37" s="29" t="s">
        <v>87</v>
      </c>
      <c r="Y37" s="29" t="s">
        <v>88</v>
      </c>
      <c r="Z37" s="29" t="s">
        <v>89</v>
      </c>
      <c r="AA37" s="30" t="s">
        <v>90</v>
      </c>
    </row>
    <row r="38" spans="1:31" ht="15.75" thickBot="1" x14ac:dyDescent="0.3">
      <c r="A38" s="34" t="s">
        <v>35</v>
      </c>
      <c r="B38" s="35">
        <v>10.6456</v>
      </c>
      <c r="C38" s="35">
        <v>0.56320000000000003</v>
      </c>
      <c r="D38" s="36"/>
      <c r="E38" s="36"/>
      <c r="J38" s="33">
        <f t="shared" si="22"/>
        <v>1.2360747373206145E-6</v>
      </c>
      <c r="K38" s="33">
        <f t="shared" ref="K38" si="30">(K48+I59)/2</f>
        <v>4.5568885994761745E-4</v>
      </c>
      <c r="L38" s="33">
        <f t="shared" si="24"/>
        <v>1</v>
      </c>
      <c r="M38" s="33">
        <f t="shared" si="21"/>
        <v>1.9087753908343091E-3</v>
      </c>
      <c r="N38" s="33">
        <f t="shared" si="21"/>
        <v>9.2727488977065153E-6</v>
      </c>
      <c r="P38">
        <f>B36/$B$44/$B$45</f>
        <v>2.1071800296631609</v>
      </c>
      <c r="Q38">
        <f>C36/$B$44/$B$45</f>
        <v>2.8350922655412045</v>
      </c>
      <c r="R38">
        <f>B37/$B$44/$B$45</f>
        <v>7.2849444468829168</v>
      </c>
      <c r="S38">
        <f>C37/$B$44/$B$45</f>
        <v>6.1290709297054313</v>
      </c>
      <c r="T38">
        <f>B38/$B$44/$B$45</f>
        <v>4.0246507210259157</v>
      </c>
      <c r="U38">
        <f>C38/$B$44/$B$45</f>
        <v>0.21292207917654202</v>
      </c>
      <c r="V38">
        <f t="shared" ref="V38:AA38" si="31">EXP(-$E$36*P38)</f>
        <v>0.43047242445194145</v>
      </c>
      <c r="W38">
        <f t="shared" si="31"/>
        <v>0.32173183009668638</v>
      </c>
      <c r="X38">
        <f t="shared" si="31"/>
        <v>5.425946787469077E-2</v>
      </c>
      <c r="Y38">
        <f t="shared" si="31"/>
        <v>8.6153182795249569E-2</v>
      </c>
      <c r="Z38">
        <f t="shared" si="31"/>
        <v>0.19991554264238187</v>
      </c>
      <c r="AA38">
        <f t="shared" si="31"/>
        <v>0.91835722352796123</v>
      </c>
    </row>
    <row r="39" spans="1:31" ht="15.75" thickBot="1" x14ac:dyDescent="0.3"/>
    <row r="40" spans="1:31" ht="26.25" thickBot="1" x14ac:dyDescent="0.3">
      <c r="A40" s="110" t="s">
        <v>91</v>
      </c>
      <c r="B40" s="37" t="s">
        <v>92</v>
      </c>
      <c r="C40" s="37" t="s">
        <v>93</v>
      </c>
      <c r="D40" s="110" t="s">
        <v>36</v>
      </c>
      <c r="E40" s="110" t="s">
        <v>37</v>
      </c>
      <c r="I40" s="38" t="s">
        <v>39</v>
      </c>
      <c r="J40" s="39" t="s">
        <v>40</v>
      </c>
      <c r="K40" s="40" t="s">
        <v>41</v>
      </c>
      <c r="L40" s="41"/>
      <c r="M40" s="38" t="s">
        <v>42</v>
      </c>
      <c r="N40" s="39" t="s">
        <v>43</v>
      </c>
      <c r="O40" s="39" t="s">
        <v>44</v>
      </c>
      <c r="P40" s="42" t="s">
        <v>94</v>
      </c>
      <c r="Q40" s="43" t="s">
        <v>95</v>
      </c>
      <c r="R40" s="44" t="s">
        <v>96</v>
      </c>
      <c r="S40" s="42" t="s">
        <v>97</v>
      </c>
      <c r="T40" s="43" t="s">
        <v>98</v>
      </c>
      <c r="U40" s="44" t="s">
        <v>99</v>
      </c>
      <c r="V40" s="45" t="s">
        <v>45</v>
      </c>
      <c r="W40" s="46" t="s">
        <v>46</v>
      </c>
      <c r="X40" s="47" t="s">
        <v>47</v>
      </c>
      <c r="Y40" s="42" t="s">
        <v>100</v>
      </c>
      <c r="Z40" s="43" t="s">
        <v>101</v>
      </c>
      <c r="AA40" s="43" t="s">
        <v>102</v>
      </c>
      <c r="AB40" s="19" t="s">
        <v>48</v>
      </c>
      <c r="AC40" s="93" t="s">
        <v>49</v>
      </c>
      <c r="AD40" s="22" t="s">
        <v>50</v>
      </c>
    </row>
    <row r="41" spans="1:31" ht="43.5" thickBot="1" x14ac:dyDescent="0.3">
      <c r="A41" s="111"/>
      <c r="B41" s="112" t="s">
        <v>38</v>
      </c>
      <c r="C41" s="112"/>
      <c r="D41" s="111"/>
      <c r="E41" s="111"/>
      <c r="I41" s="58">
        <f t="shared" ref="I41:I47" si="32">1-J41-K41</f>
        <v>0.78553545179625961</v>
      </c>
      <c r="J41" s="58">
        <v>0.2124333236902497</v>
      </c>
      <c r="K41" s="106">
        <v>2.0312245134907316E-3</v>
      </c>
      <c r="L41" s="69">
        <v>1</v>
      </c>
      <c r="M41" s="134">
        <v>3.6579667226680282E-2</v>
      </c>
      <c r="N41" s="134">
        <v>0.70836835685742294</v>
      </c>
      <c r="O41" s="104">
        <f>1-M41-N41</f>
        <v>0.25505197591589679</v>
      </c>
      <c r="P41" s="4">
        <f t="shared" ref="P41:P48" si="33">I41+$W$38*J41+$Y$38*K41</f>
        <v>0.8540570102574544</v>
      </c>
      <c r="Q41" s="5">
        <f t="shared" ref="Q41:Q48" si="34">$V$38*I41+J41+$AA$38*K41</f>
        <v>0.55245006382250805</v>
      </c>
      <c r="R41" s="5">
        <f t="shared" ref="R41:R48" si="35">$X$38*I41+$Z$38*J41+K41</f>
        <v>8.71226833055216E-2</v>
      </c>
      <c r="S41" s="5">
        <f t="shared" ref="S41:S48" si="36">J41*$Q$38*$W$38+K41*$S$38*$Y$38</f>
        <v>0.19484137501119575</v>
      </c>
      <c r="T41" s="5">
        <f t="shared" ref="T41:T48" si="37">I41*$P$38*$V$38+K41*$U$38*$AA$38</f>
        <v>0.71294295527922336</v>
      </c>
      <c r="U41" s="5">
        <f t="shared" ref="U41:U48" si="38">I41*$R$38*$X$38+J41*$T$38*$Z$38</f>
        <v>0.4814260384724528</v>
      </c>
      <c r="V41" s="5">
        <f t="shared" ref="V41:V48" si="39">S41/P41-I41*S41/P41^2+J41*$V$38/Q41*($P$38-T41/Q41)+K41*$X$38/R41*($R$38-U41/R41)</f>
        <v>0.15571150430930839</v>
      </c>
      <c r="W41" s="5">
        <f t="shared" ref="W41:W48" si="40">T41/Q41-J41*T41/Q41^2+(I41*$W$38/P41)*($Q$38-S41/P41)+(K41*$Z$38/R41)*($T$38-U41/R41)</f>
        <v>1.5587226357719173</v>
      </c>
      <c r="X41" s="5">
        <f t="shared" ref="X41:X48" si="41">U41/R41-K41*U41/R41^2+I41*$Y$38/P41*($S$38-S41/P41)+J41*$AA$38/Q41*($U$38-T41/Q41)</f>
        <v>5.4840694176481852</v>
      </c>
      <c r="Y41" s="5">
        <f>EXP(V41)</f>
        <v>1.1684890504029972</v>
      </c>
      <c r="Z41" s="5">
        <f t="shared" ref="Z41:AA45" si="42">EXP(W41)</f>
        <v>4.7527463778465684</v>
      </c>
      <c r="AA41" s="5">
        <f t="shared" si="42"/>
        <v>240.82473244465683</v>
      </c>
      <c r="AB41" s="5">
        <f t="shared" ref="AB41:AD45" si="43">Y41/Y50</f>
        <v>4.6566999421580928E-2</v>
      </c>
      <c r="AC41" s="5">
        <f t="shared" si="43"/>
        <v>3.3346191638662743</v>
      </c>
      <c r="AD41" s="6">
        <f t="shared" si="43"/>
        <v>125.57035780937755</v>
      </c>
    </row>
    <row r="42" spans="1:31" x14ac:dyDescent="0.25">
      <c r="I42" s="58">
        <f t="shared" si="32"/>
        <v>0.95651221061488911</v>
      </c>
      <c r="J42" s="58">
        <v>4.2831417942596831E-2</v>
      </c>
      <c r="K42" s="106">
        <v>6.5637144251401804E-4</v>
      </c>
      <c r="L42" s="58">
        <v>1</v>
      </c>
      <c r="M42" s="134">
        <v>2.2878954805524963E-2</v>
      </c>
      <c r="N42" s="104">
        <v>0.26603908906982787</v>
      </c>
      <c r="O42" s="104">
        <f t="shared" ref="O42:O48" si="44">1-M42-N42</f>
        <v>0.7110819561246472</v>
      </c>
      <c r="P42" s="4">
        <f t="shared" si="33"/>
        <v>0.97034898958406535</v>
      </c>
      <c r="Q42" s="5">
        <f t="shared" si="34"/>
        <v>0.45518633171942441</v>
      </c>
      <c r="R42" s="5">
        <f t="shared" si="35"/>
        <v>6.1118881166258944E-2</v>
      </c>
      <c r="S42" s="5">
        <f t="shared" si="36"/>
        <v>3.9414814551338238E-2</v>
      </c>
      <c r="T42" s="5">
        <f t="shared" si="37"/>
        <v>0.86776421209090804</v>
      </c>
      <c r="U42" s="5">
        <f t="shared" si="38"/>
        <v>0.41254921769809755</v>
      </c>
      <c r="V42" s="5">
        <f t="shared" si="39"/>
        <v>9.024008872152418E-3</v>
      </c>
      <c r="W42" s="5">
        <f t="shared" si="40"/>
        <v>2.6074080207858885</v>
      </c>
      <c r="X42" s="5">
        <f t="shared" si="41"/>
        <v>7.048177608284842</v>
      </c>
      <c r="Y42" s="5">
        <f t="shared" ref="Y42:Y45" si="45">EXP(V42)</f>
        <v>1.0090648479919735</v>
      </c>
      <c r="Z42" s="5">
        <f t="shared" si="42"/>
        <v>13.563848036882399</v>
      </c>
      <c r="AA42" s="5">
        <f t="shared" si="42"/>
        <v>1150.7596957856517</v>
      </c>
      <c r="AB42" s="5">
        <f t="shared" si="43"/>
        <v>2.3921451184403458E-2</v>
      </c>
      <c r="AC42" s="5">
        <f t="shared" si="43"/>
        <v>6.2113081136938035</v>
      </c>
      <c r="AD42" s="6">
        <f t="shared" si="43"/>
        <v>1083.3535244629848</v>
      </c>
    </row>
    <row r="43" spans="1:31" x14ac:dyDescent="0.25">
      <c r="I43" s="58">
        <f t="shared" si="32"/>
        <v>0.99167547923196109</v>
      </c>
      <c r="J43" s="58">
        <v>7.8347819536912378E-3</v>
      </c>
      <c r="K43" s="106">
        <v>4.8973881434767196E-4</v>
      </c>
      <c r="L43" s="58">
        <v>1</v>
      </c>
      <c r="M43" s="134">
        <v>3.8381403444084036E-3</v>
      </c>
      <c r="N43" s="104">
        <v>5.7103183805420343E-2</v>
      </c>
      <c r="O43" s="104">
        <f t="shared" si="44"/>
        <v>0.93905867585017122</v>
      </c>
      <c r="P43" s="4">
        <f t="shared" si="33"/>
        <v>0.99423837052592512</v>
      </c>
      <c r="Q43" s="5">
        <f t="shared" si="34"/>
        <v>0.43517348494601266</v>
      </c>
      <c r="R43" s="5">
        <f t="shared" si="35"/>
        <v>5.586381730760976E-2</v>
      </c>
      <c r="S43" s="5">
        <f t="shared" si="36"/>
        <v>7.4050146694427717E-3</v>
      </c>
      <c r="T43" s="5">
        <f t="shared" si="37"/>
        <v>0.89962762852625977</v>
      </c>
      <c r="U43" s="5">
        <f t="shared" si="38"/>
        <v>0.39829050488393197</v>
      </c>
      <c r="V43" s="5">
        <f t="shared" si="39"/>
        <v>4.0225159773822465E-4</v>
      </c>
      <c r="W43" s="5">
        <f t="shared" si="40"/>
        <v>2.9320222904084177</v>
      </c>
      <c r="X43" s="5">
        <f t="shared" si="41"/>
        <v>7.5625431690265588</v>
      </c>
      <c r="Y43" s="5">
        <f t="shared" si="45"/>
        <v>1.000402332511761</v>
      </c>
      <c r="Z43" s="5">
        <f t="shared" si="42"/>
        <v>18.765541524832777</v>
      </c>
      <c r="AA43" s="5">
        <f t="shared" si="42"/>
        <v>1924.7342187861489</v>
      </c>
      <c r="AB43" s="5">
        <f t="shared" si="43"/>
        <v>3.8703592581321514E-3</v>
      </c>
      <c r="AC43" s="5">
        <f t="shared" si="43"/>
        <v>7.2884202992735867</v>
      </c>
      <c r="AD43" s="6">
        <f t="shared" si="43"/>
        <v>1917.4683493549583</v>
      </c>
    </row>
    <row r="44" spans="1:31" x14ac:dyDescent="0.25">
      <c r="A44" s="49" t="s">
        <v>57</v>
      </c>
      <c r="B44">
        <f>8.314/1000</f>
        <v>8.3140000000000002E-3</v>
      </c>
      <c r="C44" t="s">
        <v>58</v>
      </c>
      <c r="I44" s="58">
        <f t="shared" si="32"/>
        <v>0.99812066381358011</v>
      </c>
      <c r="J44" s="58">
        <v>1.4175702070497466E-3</v>
      </c>
      <c r="K44" s="106">
        <v>4.6176597937003857E-4</v>
      </c>
      <c r="L44" s="58">
        <v>1</v>
      </c>
      <c r="M44" s="134">
        <v>2.199008987736529E-3</v>
      </c>
      <c r="N44" s="104">
        <v>1.058050980387929E-2</v>
      </c>
      <c r="O44" s="104">
        <f t="shared" si="44"/>
        <v>0.98722048120838424</v>
      </c>
      <c r="P44" s="4">
        <f t="shared" si="33"/>
        <v>0.99861652387941402</v>
      </c>
      <c r="Q44" s="5">
        <f t="shared" si="34"/>
        <v>0.43150505837719672</v>
      </c>
      <c r="R44" s="5">
        <f t="shared" si="35"/>
        <v>5.4902656389804037E-2</v>
      </c>
      <c r="S44" s="5">
        <f t="shared" si="36"/>
        <v>1.5368521021250654E-3</v>
      </c>
      <c r="T44" s="5">
        <f t="shared" si="37"/>
        <v>0.90546847545560383</v>
      </c>
      <c r="U44" s="5">
        <f t="shared" si="38"/>
        <v>0.39567491356462009</v>
      </c>
      <c r="V44" s="5">
        <f t="shared" si="39"/>
        <v>4.8827753930340913E-5</v>
      </c>
      <c r="W44" s="5">
        <f t="shared" si="40"/>
        <v>2.9973433873756172</v>
      </c>
      <c r="X44" s="5">
        <f t="shared" si="41"/>
        <v>7.6681863452475598</v>
      </c>
      <c r="Y44" s="5">
        <f t="shared" si="45"/>
        <v>1.0000488289460245</v>
      </c>
      <c r="Z44" s="5">
        <f t="shared" si="42"/>
        <v>20.032248247255431</v>
      </c>
      <c r="AA44" s="5">
        <f t="shared" si="42"/>
        <v>2139.1981579354187</v>
      </c>
      <c r="AB44" s="5">
        <f t="shared" si="43"/>
        <v>2.2031494464499141E-3</v>
      </c>
      <c r="AC44" s="5">
        <f t="shared" si="43"/>
        <v>7.4638347725875267</v>
      </c>
      <c r="AD44" s="6">
        <f t="shared" si="43"/>
        <v>2137.9238084118351</v>
      </c>
    </row>
    <row r="45" spans="1:31" x14ac:dyDescent="0.25">
      <c r="A45" s="49" t="s">
        <v>59</v>
      </c>
      <c r="B45">
        <v>318.14999999999998</v>
      </c>
      <c r="C45" t="s">
        <v>60</v>
      </c>
      <c r="I45" s="58">
        <f t="shared" si="32"/>
        <v>0.99928737385239774</v>
      </c>
      <c r="J45" s="126">
        <v>2.5584738197388505E-4</v>
      </c>
      <c r="K45" s="106">
        <v>4.567787656283478E-4</v>
      </c>
      <c r="L45" s="58">
        <v>1</v>
      </c>
      <c r="M45" s="134">
        <v>1.9591070011170464E-3</v>
      </c>
      <c r="N45" s="104">
        <v>1.9175676434883232E-3</v>
      </c>
      <c r="O45" s="104">
        <f t="shared" si="44"/>
        <v>0.99612332535539472</v>
      </c>
      <c r="P45" s="4">
        <f t="shared" si="33"/>
        <v>0.99940904104331785</v>
      </c>
      <c r="Q45" s="5">
        <f t="shared" si="34"/>
        <v>0.43084099200739812</v>
      </c>
      <c r="R45" s="5">
        <f t="shared" si="35"/>
        <v>5.4728727792957572E-2</v>
      </c>
      <c r="S45" s="5">
        <f t="shared" si="36"/>
        <v>4.7456547147685873E-4</v>
      </c>
      <c r="T45" s="5">
        <f t="shared" si="37"/>
        <v>0.90652580298411234</v>
      </c>
      <c r="U45" s="5">
        <f t="shared" si="38"/>
        <v>0.39520137661436827</v>
      </c>
      <c r="V45" s="5">
        <f t="shared" si="39"/>
        <v>2.9763863335068623E-5</v>
      </c>
      <c r="W45" s="5">
        <f t="shared" si="40"/>
        <v>3.0093771329662693</v>
      </c>
      <c r="X45" s="5">
        <f t="shared" si="41"/>
        <v>7.6877291023128356</v>
      </c>
      <c r="Y45" s="5">
        <f t="shared" si="45"/>
        <v>1.0000297643062832</v>
      </c>
      <c r="Z45" s="5">
        <f t="shared" si="42"/>
        <v>20.274767507194177</v>
      </c>
      <c r="AA45" s="5">
        <f t="shared" si="42"/>
        <v>2181.4151625675022</v>
      </c>
      <c r="AB45" s="5">
        <f t="shared" si="43"/>
        <v>1.9605041076341014E-3</v>
      </c>
      <c r="AC45" s="5">
        <f t="shared" si="43"/>
        <v>7.4949668380273371</v>
      </c>
      <c r="AD45" s="6">
        <f t="shared" si="43"/>
        <v>2180.756638249788</v>
      </c>
    </row>
    <row r="46" spans="1:31" x14ac:dyDescent="0.25">
      <c r="I46" s="58">
        <f t="shared" si="32"/>
        <v>0.99949814077127519</v>
      </c>
      <c r="J46" s="58">
        <v>4.5978921040598735E-5</v>
      </c>
      <c r="K46" s="106">
        <v>4.5588030768418844E-4</v>
      </c>
      <c r="L46" s="58">
        <v>1</v>
      </c>
      <c r="M46" s="104">
        <v>1.9175620898279949E-3</v>
      </c>
      <c r="N46" s="104">
        <v>3.4486835941815769E-4</v>
      </c>
      <c r="O46" s="104">
        <f t="shared" si="44"/>
        <v>0.99773756955075388</v>
      </c>
      <c r="P46" s="4">
        <f t="shared" si="33"/>
        <v>0.99955220919316812</v>
      </c>
      <c r="Q46" s="5">
        <f t="shared" si="34"/>
        <v>0.43072102778768517</v>
      </c>
      <c r="R46" s="5">
        <f t="shared" si="35"/>
        <v>5.4697309468626297E-2</v>
      </c>
      <c r="S46" s="5">
        <f t="shared" si="36"/>
        <v>2.826617537915425E-4</v>
      </c>
      <c r="T46" s="5">
        <f t="shared" si="37"/>
        <v>0.90671681036814999</v>
      </c>
      <c r="U46" s="5">
        <f t="shared" si="38"/>
        <v>0.39511582986000249</v>
      </c>
      <c r="V46" s="5">
        <f t="shared" si="39"/>
        <v>2.7816181180209852E-5</v>
      </c>
      <c r="W46" s="5">
        <f t="shared" si="40"/>
        <v>3.0115579848747434</v>
      </c>
      <c r="X46" s="5">
        <f t="shared" si="41"/>
        <v>7.6912734922649868</v>
      </c>
      <c r="Y46" s="5">
        <f t="shared" ref="Y46:Y48" si="46">EXP(V46)</f>
        <v>1.0000278165680538</v>
      </c>
      <c r="Z46" s="5">
        <f t="shared" ref="Z46:Z48" si="47">EXP(W46)</f>
        <v>20.31903202223824</v>
      </c>
      <c r="AA46" s="5">
        <f t="shared" ref="AA46:AA48" si="48">EXP(X46)</f>
        <v>2189.1606669864932</v>
      </c>
      <c r="AB46" s="5">
        <f t="shared" ref="AB46:AD46" si="49">Y46/Y55</f>
        <v>1.9185249192696522E-3</v>
      </c>
      <c r="AC46" s="5">
        <f t="shared" si="49"/>
        <v>7.5005752987053516</v>
      </c>
      <c r="AD46" s="6">
        <f t="shared" si="49"/>
        <v>2188.5954552833432</v>
      </c>
    </row>
    <row r="47" spans="1:31" x14ac:dyDescent="0.25">
      <c r="I47" s="58">
        <f t="shared" si="32"/>
        <v>0.99953620217971406</v>
      </c>
      <c r="J47" s="58">
        <v>8.0796798559120201E-6</v>
      </c>
      <c r="K47" s="106">
        <v>4.5571814043000327E-4</v>
      </c>
      <c r="L47" s="58">
        <v>1</v>
      </c>
      <c r="M47" s="104">
        <v>1.9101177512433885E-3</v>
      </c>
      <c r="N47" s="104">
        <v>6.0610426474802288E-5</v>
      </c>
      <c r="O47" s="104">
        <f t="shared" si="44"/>
        <v>0.99802927182228185</v>
      </c>
      <c r="P47" s="4">
        <f t="shared" si="33"/>
        <v>0.99957806323815634</v>
      </c>
      <c r="Q47" s="5">
        <f t="shared" si="34"/>
        <v>0.43069936400579995</v>
      </c>
      <c r="R47" s="5">
        <f t="shared" si="35"/>
        <v>5.4691635845773384E-2</v>
      </c>
      <c r="S47" s="5">
        <f t="shared" si="36"/>
        <v>2.4800673117239173E-4</v>
      </c>
      <c r="T47" s="5">
        <f t="shared" si="37"/>
        <v>0.90675130351080102</v>
      </c>
      <c r="U47" s="5">
        <f t="shared" si="38"/>
        <v>0.39510038130801856</v>
      </c>
      <c r="V47" s="5">
        <f t="shared" si="39"/>
        <v>2.7513434493205015E-5</v>
      </c>
      <c r="W47" s="5">
        <f t="shared" si="40"/>
        <v>3.0119520419688204</v>
      </c>
      <c r="X47" s="5">
        <f t="shared" si="41"/>
        <v>7.6919140146349791</v>
      </c>
      <c r="Y47" s="5">
        <f t="shared" si="46"/>
        <v>1.0000275138129913</v>
      </c>
      <c r="Z47" s="5">
        <f t="shared" si="47"/>
        <v>20.327040458738356</v>
      </c>
      <c r="AA47" s="5">
        <f t="shared" si="48"/>
        <v>2190.5633225333772</v>
      </c>
      <c r="AB47" s="5">
        <f t="shared" ref="AB47:AD47" si="50">Y47/Y56</f>
        <v>1.9110040707670658E-3</v>
      </c>
      <c r="AC47" s="5">
        <f t="shared" si="50"/>
        <v>7.5015876316506507</v>
      </c>
      <c r="AD47" s="6">
        <f t="shared" si="50"/>
        <v>2190.0143603688362</v>
      </c>
    </row>
    <row r="48" spans="1:31" ht="15.75" thickBot="1" x14ac:dyDescent="0.3">
      <c r="I48" s="58">
        <f>1-J48-K48</f>
        <v>0.99954307506531503</v>
      </c>
      <c r="J48" s="58">
        <v>1.2360747373206145E-6</v>
      </c>
      <c r="K48" s="106">
        <v>4.5568885994761777E-4</v>
      </c>
      <c r="L48" s="58">
        <v>1</v>
      </c>
      <c r="M48" s="104">
        <v>1.9087753908342126E-3</v>
      </c>
      <c r="N48" s="104">
        <v>9.2727488977063391E-6</v>
      </c>
      <c r="O48" s="104">
        <f t="shared" si="44"/>
        <v>0.99808195186026805</v>
      </c>
      <c r="P48" s="4">
        <f t="shared" si="33"/>
        <v>0.99958273179555124</v>
      </c>
      <c r="Q48" s="5">
        <f t="shared" si="34"/>
        <v>0.43069545209846655</v>
      </c>
      <c r="R48" s="5">
        <f t="shared" si="35"/>
        <v>5.469061134137556E-2</v>
      </c>
      <c r="S48" s="5">
        <f t="shared" si="36"/>
        <v>2.4174894791198815E-4</v>
      </c>
      <c r="T48" s="5">
        <f t="shared" si="37"/>
        <v>0.90675753206231413</v>
      </c>
      <c r="U48" s="5">
        <f t="shared" si="38"/>
        <v>0.39509759170522213</v>
      </c>
      <c r="V48" s="5">
        <f t="shared" si="39"/>
        <v>2.7460364467216645E-5</v>
      </c>
      <c r="W48" s="5">
        <f t="shared" si="40"/>
        <v>3.0120232056927261</v>
      </c>
      <c r="X48" s="5">
        <f t="shared" si="41"/>
        <v>7.6920296909984707</v>
      </c>
      <c r="Y48" s="5">
        <f t="shared" si="46"/>
        <v>1.0000274607415065</v>
      </c>
      <c r="Z48" s="5">
        <f t="shared" si="47"/>
        <v>20.32848705810547</v>
      </c>
      <c r="AA48" s="5">
        <f t="shared" si="48"/>
        <v>2190.816733589078</v>
      </c>
      <c r="AB48" s="5">
        <f t="shared" ref="AB48:AD48" si="51">Y48/Y57</f>
        <v>1.9096479566022471E-3</v>
      </c>
      <c r="AC48" s="5">
        <f t="shared" si="51"/>
        <v>7.5017704170597517</v>
      </c>
      <c r="AD48" s="6">
        <f t="shared" si="51"/>
        <v>2190.2706859566433</v>
      </c>
    </row>
    <row r="49" spans="6:30" ht="15.75" thickBot="1" x14ac:dyDescent="0.3">
      <c r="O49" s="33"/>
      <c r="P49" s="42" t="s">
        <v>103</v>
      </c>
      <c r="Q49" s="43" t="s">
        <v>104</v>
      </c>
      <c r="R49" s="44" t="s">
        <v>105</v>
      </c>
      <c r="S49" s="42" t="s">
        <v>106</v>
      </c>
      <c r="T49" s="43" t="s">
        <v>107</v>
      </c>
      <c r="U49" s="44" t="s">
        <v>108</v>
      </c>
      <c r="V49" s="45" t="s">
        <v>51</v>
      </c>
      <c r="W49" s="46" t="s">
        <v>52</v>
      </c>
      <c r="X49" s="47" t="s">
        <v>53</v>
      </c>
      <c r="Y49" s="42" t="s">
        <v>109</v>
      </c>
      <c r="Z49" s="43" t="s">
        <v>110</v>
      </c>
      <c r="AA49" s="43" t="s">
        <v>111</v>
      </c>
      <c r="AB49" s="19" t="s">
        <v>54</v>
      </c>
      <c r="AC49" s="93" t="s">
        <v>55</v>
      </c>
      <c r="AD49" s="22" t="s">
        <v>56</v>
      </c>
    </row>
    <row r="50" spans="6:30" ht="15.75" thickBot="1" x14ac:dyDescent="0.3">
      <c r="P50" s="4">
        <f t="shared" ref="P50:P57" si="52">M41+$W$38*N41+$Y$38*O41</f>
        <v>0.28645785456437339</v>
      </c>
      <c r="Q50" s="5">
        <f t="shared" ref="Q50:Q57" si="53">$V$38*M41+N41+$AA$38*O41</f>
        <v>0.95834371935158069</v>
      </c>
      <c r="R50" s="5">
        <f t="shared" ref="R50:R57" si="54">$X$38*M41+$Z$38*N41+O41</f>
        <v>0.39865061364649385</v>
      </c>
      <c r="S50" s="5">
        <f t="shared" ref="S50:S57" si="55">N41*$Q$38*$W$38+O41*$S$38*$Y$38</f>
        <v>0.78080808654882661</v>
      </c>
      <c r="T50" s="5">
        <f t="shared" ref="T50:T57" si="56">M41*$P$38*$V$38+O41*$U$38*$AA$38</f>
        <v>8.3053278793851826E-2</v>
      </c>
      <c r="U50" s="5">
        <f t="shared" ref="U50:U57" si="57">M41*$R$38*$X$38+N41*$T$38*$Z$38</f>
        <v>0.584405369954628</v>
      </c>
      <c r="V50" s="5">
        <f t="shared" ref="V50:V57" si="58">S50/P50-M41*S50/P50^2+N41*$V$38/Q50*($P$38-T50/Q50)+O41*$X$38/R50*($R$38-U50/R50)</f>
        <v>3.2225746599473468</v>
      </c>
      <c r="W50" s="5">
        <f t="shared" ref="W50:W57" si="59">T50/Q50-N41*T50/Q50^2+(M41*$W$38/P50)*($Q$38-S50/P50)+(O41*$Z$38/R50)*($T$38-U50/R50)</f>
        <v>0.35436415666817828</v>
      </c>
      <c r="X50" s="5">
        <f t="shared" ref="X50:X57" si="60">U50/R50-O41*U50/R50^2+M41*$Y$38/P50*($S$38-S50/P50)+N41*$AA$38/Q50*($U$38-T50/Q50)</f>
        <v>0.65120319616998712</v>
      </c>
      <c r="Y50" s="5">
        <f>EXP(V50)</f>
        <v>25.092642105290441</v>
      </c>
      <c r="Z50" s="5">
        <f t="shared" ref="Z50:AA54" si="61">EXP(W50)</f>
        <v>1.4252741150614836</v>
      </c>
      <c r="AA50" s="5">
        <f t="shared" si="61"/>
        <v>1.9178469875051365</v>
      </c>
      <c r="AB50" s="5">
        <f t="shared" ref="AB50:AD54" si="62">Y50/Y41</f>
        <v>21.474434952245641</v>
      </c>
      <c r="AC50" s="5">
        <f t="shared" si="62"/>
        <v>0.29988431987554615</v>
      </c>
      <c r="AD50" s="6">
        <f t="shared" si="62"/>
        <v>7.9636629013835648E-3</v>
      </c>
    </row>
    <row r="51" spans="6:30" ht="15.75" thickBot="1" x14ac:dyDescent="0.3">
      <c r="F51" s="50" t="s">
        <v>61</v>
      </c>
      <c r="G51" s="38" t="s">
        <v>39</v>
      </c>
      <c r="H51" s="39" t="s">
        <v>40</v>
      </c>
      <c r="I51" s="40" t="s">
        <v>41</v>
      </c>
      <c r="J51" s="41"/>
      <c r="K51" s="38" t="s">
        <v>42</v>
      </c>
      <c r="L51" s="39" t="s">
        <v>43</v>
      </c>
      <c r="M51" s="40" t="s">
        <v>44</v>
      </c>
      <c r="N51" s="50" t="s">
        <v>61</v>
      </c>
      <c r="P51" s="4">
        <f t="shared" si="52"/>
        <v>0.16973417155762641</v>
      </c>
      <c r="Q51" s="5">
        <f t="shared" si="53"/>
        <v>0.92891509914135106</v>
      </c>
      <c r="R51" s="5">
        <f t="shared" si="54"/>
        <v>0.76550870489340372</v>
      </c>
      <c r="S51" s="5">
        <f t="shared" si="55"/>
        <v>0.61814372362011261</v>
      </c>
      <c r="T51" s="5">
        <f t="shared" si="56"/>
        <v>0.15979702861174394</v>
      </c>
      <c r="U51" s="5">
        <f t="shared" si="57"/>
        <v>0.2230959820238082</v>
      </c>
      <c r="V51" s="5">
        <f t="shared" si="58"/>
        <v>3.7420036923678102</v>
      </c>
      <c r="W51" s="5">
        <f t="shared" si="59"/>
        <v>0.78103650069581909</v>
      </c>
      <c r="X51" s="5">
        <f t="shared" si="60"/>
        <v>6.0360983837021223E-2</v>
      </c>
      <c r="Y51" s="5">
        <f t="shared" ref="Y51:Y54" si="63">EXP(V51)</f>
        <v>42.18242615021088</v>
      </c>
      <c r="Z51" s="5">
        <f t="shared" si="61"/>
        <v>2.1837345352388442</v>
      </c>
      <c r="AA51" s="5">
        <f t="shared" si="61"/>
        <v>1.0622199215681511</v>
      </c>
      <c r="AB51" s="5">
        <f t="shared" si="62"/>
        <v>41.803483922914751</v>
      </c>
      <c r="AC51" s="5">
        <f t="shared" si="62"/>
        <v>0.16099668245330531</v>
      </c>
      <c r="AD51" s="6">
        <f t="shared" si="62"/>
        <v>9.230597191214172E-4</v>
      </c>
    </row>
    <row r="52" spans="6:30" x14ac:dyDescent="0.25">
      <c r="F52" s="51">
        <f t="shared" ref="F52:F59" si="64">SUM(G52:I52)</f>
        <v>0.99998739531020986</v>
      </c>
      <c r="G52" s="33">
        <f t="shared" ref="G52:I59" si="65">M41*AB50</f>
        <v>0.78552768443413745</v>
      </c>
      <c r="H52" s="33">
        <f t="shared" si="65"/>
        <v>0.21242856291754644</v>
      </c>
      <c r="I52" s="33">
        <f t="shared" si="65"/>
        <v>2.0311479585260017E-3</v>
      </c>
      <c r="J52" s="33"/>
      <c r="K52" s="33">
        <f t="shared" ref="K52:M59" si="66">I41*AB41</f>
        <v>3.6580028929427737E-2</v>
      </c>
      <c r="L52" s="33">
        <f t="shared" si="66"/>
        <v>0.70838423222131408</v>
      </c>
      <c r="M52" s="33">
        <f t="shared" si="66"/>
        <v>0.25506158895021003</v>
      </c>
      <c r="N52" s="51">
        <f t="shared" ref="N52:N59" si="67">SUM(K52:M52)</f>
        <v>1.0000258501009518</v>
      </c>
      <c r="P52" s="4">
        <f t="shared" si="52"/>
        <v>0.10311294593045858</v>
      </c>
      <c r="Q52" s="5">
        <f t="shared" si="53"/>
        <v>0.92114671566847162</v>
      </c>
      <c r="R52" s="5">
        <f t="shared" si="54"/>
        <v>0.95068274527995544</v>
      </c>
      <c r="S52" s="5">
        <f t="shared" si="55"/>
        <v>0.54794563938147678</v>
      </c>
      <c r="T52" s="5">
        <f t="shared" si="56"/>
        <v>0.18710366401208792</v>
      </c>
      <c r="U52" s="5">
        <f t="shared" si="57"/>
        <v>4.746179335770196E-2</v>
      </c>
      <c r="V52" s="5">
        <f t="shared" si="58"/>
        <v>5.5548101962880718</v>
      </c>
      <c r="W52" s="5">
        <f t="shared" si="59"/>
        <v>0.94573546207058568</v>
      </c>
      <c r="X52" s="5">
        <f t="shared" si="60"/>
        <v>3.7821421247880016E-3</v>
      </c>
      <c r="Y52" s="5">
        <f t="shared" si="63"/>
        <v>258.47789979955468</v>
      </c>
      <c r="Z52" s="5">
        <f t="shared" si="61"/>
        <v>2.5747062812367005</v>
      </c>
      <c r="AA52" s="5">
        <f t="shared" si="61"/>
        <v>1.0037893034498508</v>
      </c>
      <c r="AB52" s="5">
        <f t="shared" si="62"/>
        <v>258.37394756025913</v>
      </c>
      <c r="AC52" s="5">
        <f t="shared" si="62"/>
        <v>0.13720394254701074</v>
      </c>
      <c r="AD52" s="6">
        <f t="shared" si="62"/>
        <v>5.2152099425078005E-4</v>
      </c>
    </row>
    <row r="53" spans="6:30" x14ac:dyDescent="0.25">
      <c r="F53" s="51">
        <f t="shared" si="64"/>
        <v>0.99990780123969036</v>
      </c>
      <c r="G53" s="33">
        <f t="shared" si="65"/>
        <v>0.95642001938585597</v>
      </c>
      <c r="H53" s="33">
        <f t="shared" si="65"/>
        <v>4.2831410743141687E-2</v>
      </c>
      <c r="I53" s="33">
        <f t="shared" si="65"/>
        <v>6.5637111069272473E-4</v>
      </c>
      <c r="J53" s="33"/>
      <c r="K53" s="33">
        <f t="shared" si="66"/>
        <v>2.2881160153509907E-2</v>
      </c>
      <c r="L53" s="33">
        <f t="shared" si="66"/>
        <v>0.26603913378786204</v>
      </c>
      <c r="M53" s="33">
        <f t="shared" si="66"/>
        <v>0.71108231560441482</v>
      </c>
      <c r="N53" s="51">
        <f t="shared" si="67"/>
        <v>1.0000026095457868</v>
      </c>
      <c r="P53" s="4">
        <f t="shared" si="52"/>
        <v>9.0655282347054708E-2</v>
      </c>
      <c r="Q53" s="5">
        <f t="shared" si="53"/>
        <v>0.9181481826666914</v>
      </c>
      <c r="R53" s="5">
        <f t="shared" si="54"/>
        <v>0.98945500662478603</v>
      </c>
      <c r="S53" s="5">
        <f t="shared" si="55"/>
        <v>0.53094178436396455</v>
      </c>
      <c r="T53" s="5">
        <f t="shared" si="56"/>
        <v>0.1950343245898489</v>
      </c>
      <c r="U53" s="5">
        <f t="shared" si="57"/>
        <v>9.3821929823128432E-3</v>
      </c>
      <c r="V53" s="5">
        <f t="shared" si="58"/>
        <v>6.1179162035181802</v>
      </c>
      <c r="W53" s="5">
        <f t="shared" si="59"/>
        <v>0.98727406065282597</v>
      </c>
      <c r="X53" s="5">
        <f t="shared" si="60"/>
        <v>5.9589114891697259E-4</v>
      </c>
      <c r="Y53" s="5">
        <f t="shared" si="63"/>
        <v>453.91783592233014</v>
      </c>
      <c r="Z53" s="5">
        <f t="shared" si="61"/>
        <v>2.6839083202682885</v>
      </c>
      <c r="AA53" s="5">
        <f t="shared" si="61"/>
        <v>1.0005960687273183</v>
      </c>
      <c r="AB53" s="5">
        <f t="shared" si="62"/>
        <v>453.89567267502832</v>
      </c>
      <c r="AC53" s="5">
        <f t="shared" si="62"/>
        <v>0.13397938599507941</v>
      </c>
      <c r="AD53" s="6">
        <f t="shared" si="62"/>
        <v>4.6774351642720787E-4</v>
      </c>
    </row>
    <row r="54" spans="6:30" x14ac:dyDescent="0.25">
      <c r="F54" s="51">
        <f t="shared" si="64"/>
        <v>0.99999999283947116</v>
      </c>
      <c r="G54" s="33">
        <f t="shared" si="65"/>
        <v>0.99167547207509177</v>
      </c>
      <c r="H54" s="33">
        <f t="shared" si="65"/>
        <v>7.8347819500902867E-3</v>
      </c>
      <c r="I54" s="33">
        <f t="shared" si="65"/>
        <v>4.8973881428920223E-4</v>
      </c>
      <c r="J54" s="33"/>
      <c r="K54" s="33">
        <f t="shared" si="66"/>
        <v>3.8381403721080586E-3</v>
      </c>
      <c r="L54" s="33">
        <f t="shared" si="66"/>
        <v>5.7103183831665585E-2</v>
      </c>
      <c r="M54" s="33">
        <f t="shared" si="66"/>
        <v>0.93905867596228487</v>
      </c>
      <c r="N54" s="51">
        <f t="shared" si="67"/>
        <v>1.0000000001660585</v>
      </c>
      <c r="P54" s="4">
        <f t="shared" si="52"/>
        <v>8.8395244484345908E-2</v>
      </c>
      <c r="Q54" s="5">
        <f t="shared" si="53"/>
        <v>0.9175579605488402</v>
      </c>
      <c r="R54" s="5">
        <f t="shared" si="54"/>
        <v>0.99661297703478635</v>
      </c>
      <c r="S54" s="5">
        <f t="shared" si="55"/>
        <v>0.52774102193674532</v>
      </c>
      <c r="T54" s="5">
        <f t="shared" si="56"/>
        <v>0.19655756265356103</v>
      </c>
      <c r="U54" s="5">
        <f t="shared" si="57"/>
        <v>2.3172465446560835E-3</v>
      </c>
      <c r="V54" s="5">
        <f t="shared" si="58"/>
        <v>6.2345834049002224</v>
      </c>
      <c r="W54" s="5">
        <f t="shared" si="59"/>
        <v>0.99514542596754907</v>
      </c>
      <c r="X54" s="5">
        <f t="shared" si="60"/>
        <v>3.0192498268552385E-4</v>
      </c>
      <c r="Y54" s="5">
        <f t="shared" si="63"/>
        <v>510.08807398679716</v>
      </c>
      <c r="Z54" s="5">
        <f t="shared" si="61"/>
        <v>2.705117707035841</v>
      </c>
      <c r="AA54" s="5">
        <f t="shared" si="61"/>
        <v>1.0003019705666207</v>
      </c>
      <c r="AB54" s="5">
        <f t="shared" si="62"/>
        <v>510.07289202101231</v>
      </c>
      <c r="AC54" s="5">
        <f t="shared" si="62"/>
        <v>0.133422871856655</v>
      </c>
      <c r="AD54" s="6">
        <f t="shared" si="62"/>
        <v>4.5855643975137501E-4</v>
      </c>
    </row>
    <row r="55" spans="6:30" x14ac:dyDescent="0.25">
      <c r="F55" s="51">
        <f t="shared" si="64"/>
        <v>0.99999999989351307</v>
      </c>
      <c r="G55" s="33">
        <f t="shared" si="65"/>
        <v>0.99812066370710495</v>
      </c>
      <c r="H55" s="33">
        <f t="shared" si="65"/>
        <v>1.4175702070386652E-3</v>
      </c>
      <c r="I55" s="33">
        <f t="shared" si="65"/>
        <v>4.6176597936936994E-4</v>
      </c>
      <c r="J55" s="33"/>
      <c r="K55" s="33">
        <f t="shared" si="66"/>
        <v>2.19900898797111E-3</v>
      </c>
      <c r="L55" s="33">
        <f t="shared" si="66"/>
        <v>1.0580509803961999E-2</v>
      </c>
      <c r="M55" s="33">
        <f t="shared" si="66"/>
        <v>0.98722048120981376</v>
      </c>
      <c r="N55" s="51">
        <f t="shared" si="67"/>
        <v>1.0000000000017468</v>
      </c>
      <c r="P55" s="4">
        <f t="shared" si="52"/>
        <v>8.7986784429440176E-2</v>
      </c>
      <c r="Q55" s="5">
        <f t="shared" si="53"/>
        <v>0.91744983014342996</v>
      </c>
      <c r="R55" s="5">
        <f t="shared" si="54"/>
        <v>0.99791055999457789</v>
      </c>
      <c r="S55" s="5">
        <f t="shared" si="55"/>
        <v>0.52715888475838169</v>
      </c>
      <c r="T55" s="5">
        <f t="shared" si="56"/>
        <v>0.19683552491126016</v>
      </c>
      <c r="U55" s="5">
        <f t="shared" si="57"/>
        <v>1.0354463049086912E-3</v>
      </c>
      <c r="V55" s="5">
        <f t="shared" si="58"/>
        <v>6.256226475608921</v>
      </c>
      <c r="W55" s="5">
        <f t="shared" si="59"/>
        <v>0.99657826078022438</v>
      </c>
      <c r="X55" s="5">
        <f t="shared" si="60"/>
        <v>2.5821982335421257E-4</v>
      </c>
      <c r="Y55" s="5">
        <f t="shared" ref="Y55:Y57" si="68">EXP(V55)</f>
        <v>521.24828117882691</v>
      </c>
      <c r="Z55" s="5">
        <f t="shared" ref="Z55:Z57" si="69">EXP(W55)</f>
        <v>2.7089964720100119</v>
      </c>
      <c r="AA55" s="5">
        <f t="shared" ref="AA55:AA57" si="70">EXP(X55)</f>
        <v>1.0002582531649626</v>
      </c>
      <c r="AB55" s="5">
        <f t="shared" ref="AB55:AD55" si="71">Y55/Y46</f>
        <v>521.23378224385112</v>
      </c>
      <c r="AC55" s="5">
        <f t="shared" si="71"/>
        <v>0.13332310658525173</v>
      </c>
      <c r="AD55" s="6">
        <f t="shared" si="71"/>
        <v>4.5691404392984836E-4</v>
      </c>
    </row>
    <row r="56" spans="6:30" x14ac:dyDescent="0.25">
      <c r="F56" s="51">
        <f t="shared" si="64"/>
        <v>0.99999999998598632</v>
      </c>
      <c r="G56" s="33">
        <f t="shared" si="65"/>
        <v>0.99928737383838451</v>
      </c>
      <c r="H56" s="33">
        <f t="shared" si="65"/>
        <v>2.5584738197361042E-4</v>
      </c>
      <c r="I56" s="33">
        <f t="shared" si="65"/>
        <v>4.5677876562827039E-4</v>
      </c>
      <c r="J56" s="33"/>
      <c r="K56" s="33">
        <f t="shared" si="66"/>
        <v>1.9591070011445197E-3</v>
      </c>
      <c r="L56" s="33">
        <f t="shared" si="66"/>
        <v>1.9175676434903817E-3</v>
      </c>
      <c r="M56" s="33">
        <f t="shared" si="66"/>
        <v>0.99612332535556358</v>
      </c>
      <c r="N56" s="51">
        <f t="shared" si="67"/>
        <v>1.0000000000001985</v>
      </c>
      <c r="P56" s="4">
        <f t="shared" si="52"/>
        <v>8.7913016344990935E-2</v>
      </c>
      <c r="Q56" s="5">
        <f t="shared" si="53"/>
        <v>0.91743025451618487</v>
      </c>
      <c r="R56" s="5">
        <f t="shared" si="54"/>
        <v>0.99814503076134087</v>
      </c>
      <c r="S56" s="5">
        <f t="shared" si="55"/>
        <v>0.52705363205789024</v>
      </c>
      <c r="T56" s="5">
        <f t="shared" si="56"/>
        <v>0.19688581131227192</v>
      </c>
      <c r="U56" s="5">
        <f t="shared" si="57"/>
        <v>8.0379257107524591E-4</v>
      </c>
      <c r="V56" s="5">
        <f t="shared" si="58"/>
        <v>6.2601539969843811</v>
      </c>
      <c r="W56" s="5">
        <f t="shared" si="59"/>
        <v>0.99683735960841191</v>
      </c>
      <c r="X56" s="5">
        <f t="shared" si="60"/>
        <v>2.5063459988726591E-4</v>
      </c>
      <c r="Y56" s="5">
        <f t="shared" si="68"/>
        <v>523.29952045135417</v>
      </c>
      <c r="Z56" s="5">
        <f t="shared" si="69"/>
        <v>2.7096984607597778</v>
      </c>
      <c r="AA56" s="5">
        <f t="shared" si="70"/>
        <v>1.0002506660113628</v>
      </c>
      <c r="AB56" s="5">
        <f t="shared" ref="AB56:AD56" si="72">Y56/Y47</f>
        <v>523.28512288234208</v>
      </c>
      <c r="AC56" s="5">
        <f t="shared" si="72"/>
        <v>0.13330511474408516</v>
      </c>
      <c r="AD56" s="6">
        <f t="shared" si="72"/>
        <v>4.5661801040956768E-4</v>
      </c>
    </row>
    <row r="57" spans="6:30" x14ac:dyDescent="0.25">
      <c r="F57" s="51">
        <f t="shared" si="64"/>
        <v>0.99999999999719402</v>
      </c>
      <c r="G57" s="33">
        <f t="shared" si="65"/>
        <v>0.99949814076846921</v>
      </c>
      <c r="H57" s="33">
        <f t="shared" si="65"/>
        <v>4.597892104058794E-5</v>
      </c>
      <c r="I57" s="33">
        <f t="shared" si="65"/>
        <v>4.5588030768417331E-4</v>
      </c>
      <c r="J57" s="33"/>
      <c r="K57" s="33">
        <f t="shared" si="66"/>
        <v>1.9175620898333782E-3</v>
      </c>
      <c r="L57" s="33">
        <f t="shared" si="66"/>
        <v>3.4486835941823863E-4</v>
      </c>
      <c r="M57" s="33">
        <f t="shared" si="66"/>
        <v>0.99773756955078696</v>
      </c>
      <c r="N57" s="51">
        <f t="shared" si="67"/>
        <v>1.0000000000000386</v>
      </c>
      <c r="P57" s="4">
        <f t="shared" si="52"/>
        <v>8.789969557256426E-2</v>
      </c>
      <c r="Q57" s="5">
        <f t="shared" si="53"/>
        <v>0.91742671808288834</v>
      </c>
      <c r="R57" s="5">
        <f t="shared" si="54"/>
        <v>0.99818737476389474</v>
      </c>
      <c r="S57" s="5">
        <f t="shared" si="55"/>
        <v>0.52703462205118401</v>
      </c>
      <c r="T57" s="5">
        <f t="shared" si="56"/>
        <v>0.19689489465726406</v>
      </c>
      <c r="U57" s="5">
        <f t="shared" si="57"/>
        <v>7.6195617264376912E-4</v>
      </c>
      <c r="V57" s="5">
        <f t="shared" si="58"/>
        <v>6.2608638301913855</v>
      </c>
      <c r="W57" s="5">
        <f t="shared" si="59"/>
        <v>0.99688415739923564</v>
      </c>
      <c r="X57" s="5">
        <f t="shared" si="60"/>
        <v>2.4927493244083983E-4</v>
      </c>
      <c r="Y57" s="5">
        <f t="shared" si="68"/>
        <v>523.67110769505996</v>
      </c>
      <c r="Z57" s="5">
        <f t="shared" si="69"/>
        <v>2.709825271628751</v>
      </c>
      <c r="AA57" s="5">
        <f t="shared" si="70"/>
        <v>1.0002493060040185</v>
      </c>
      <c r="AB57" s="5">
        <f t="shared" ref="AB57:AD57" si="73">Y57/Y48</f>
        <v>523.65672769302262</v>
      </c>
      <c r="AC57" s="5">
        <f t="shared" si="73"/>
        <v>0.13330186668015104</v>
      </c>
      <c r="AD57" s="6">
        <f t="shared" si="73"/>
        <v>4.5656457277709974E-4</v>
      </c>
    </row>
    <row r="58" spans="6:30" x14ac:dyDescent="0.25">
      <c r="F58" s="51">
        <f t="shared" si="64"/>
        <v>0.99999999999942535</v>
      </c>
      <c r="G58" s="33">
        <f t="shared" si="65"/>
        <v>0.99953620217913941</v>
      </c>
      <c r="H58" s="33">
        <f t="shared" si="65"/>
        <v>8.0796798559114559E-6</v>
      </c>
      <c r="I58" s="33">
        <f t="shared" si="65"/>
        <v>4.5571814042999996E-4</v>
      </c>
      <c r="J58" s="33"/>
      <c r="K58" s="33">
        <f t="shared" si="66"/>
        <v>1.9101177512444866E-3</v>
      </c>
      <c r="L58" s="33">
        <f t="shared" si="66"/>
        <v>6.0610426474806524E-5</v>
      </c>
      <c r="M58" s="33">
        <f t="shared" si="66"/>
        <v>0.99802927182228907</v>
      </c>
      <c r="N58" s="51">
        <f t="shared" si="67"/>
        <v>1.0000000000000084</v>
      </c>
    </row>
    <row r="59" spans="6:30" x14ac:dyDescent="0.25">
      <c r="F59" s="51">
        <f t="shared" si="64"/>
        <v>0.99999999999989908</v>
      </c>
      <c r="G59" s="33">
        <f t="shared" si="65"/>
        <v>0.99954307506521411</v>
      </c>
      <c r="H59" s="33">
        <f t="shared" si="65"/>
        <v>1.2360747373205679E-6</v>
      </c>
      <c r="I59" s="33">
        <f t="shared" si="65"/>
        <v>4.5568885994761712E-4</v>
      </c>
      <c r="J59" s="33"/>
      <c r="K59" s="33">
        <f t="shared" si="66"/>
        <v>1.9087753908344053E-3</v>
      </c>
      <c r="L59" s="33">
        <f t="shared" si="66"/>
        <v>9.2727488977066897E-6</v>
      </c>
      <c r="M59" s="33">
        <f t="shared" si="66"/>
        <v>0.9980819518602696</v>
      </c>
      <c r="N59" s="51">
        <f t="shared" si="67"/>
        <v>1.0000000000000018</v>
      </c>
    </row>
    <row r="66" spans="1:14" x14ac:dyDescent="0.25">
      <c r="I66" t="s">
        <v>25</v>
      </c>
      <c r="J66" t="s">
        <v>28</v>
      </c>
      <c r="K66" t="s">
        <v>29</v>
      </c>
      <c r="L66" t="s">
        <v>30</v>
      </c>
      <c r="N66" t="s">
        <v>116</v>
      </c>
    </row>
    <row r="67" spans="1:14" x14ac:dyDescent="0.25">
      <c r="H67" t="s">
        <v>7</v>
      </c>
      <c r="I67">
        <v>25</v>
      </c>
      <c r="J67">
        <v>0.35</v>
      </c>
      <c r="K67">
        <v>0.65</v>
      </c>
      <c r="L67">
        <v>0</v>
      </c>
      <c r="N67">
        <v>0.99999922730763247</v>
      </c>
    </row>
    <row r="68" spans="1:14" x14ac:dyDescent="0.25">
      <c r="H68" t="s">
        <v>18</v>
      </c>
      <c r="I68">
        <v>5.6785498815422155</v>
      </c>
      <c r="J68">
        <v>0</v>
      </c>
      <c r="K68">
        <v>0</v>
      </c>
      <c r="L68">
        <v>1</v>
      </c>
      <c r="N68">
        <v>0.99</v>
      </c>
    </row>
    <row r="69" spans="1:14" x14ac:dyDescent="0.25">
      <c r="N69">
        <v>9.9992273076324745E-3</v>
      </c>
    </row>
    <row r="70" spans="1:14" x14ac:dyDescent="0.25">
      <c r="J70" t="s">
        <v>74</v>
      </c>
      <c r="K70" t="s">
        <v>75</v>
      </c>
    </row>
    <row r="71" spans="1:14" x14ac:dyDescent="0.25">
      <c r="A71" t="s">
        <v>6</v>
      </c>
      <c r="B71" t="s">
        <v>68</v>
      </c>
      <c r="C71" t="s">
        <v>69</v>
      </c>
      <c r="D71" t="s">
        <v>70</v>
      </c>
      <c r="E71" t="s">
        <v>76</v>
      </c>
      <c r="F71" t="s">
        <v>71</v>
      </c>
      <c r="G71" t="s">
        <v>72</v>
      </c>
      <c r="H71" t="s">
        <v>73</v>
      </c>
      <c r="I71" t="s">
        <v>77</v>
      </c>
      <c r="J71">
        <v>25</v>
      </c>
      <c r="L71" t="s">
        <v>62</v>
      </c>
      <c r="M71" t="s">
        <v>63</v>
      </c>
      <c r="N71" t="s">
        <v>64</v>
      </c>
    </row>
    <row r="72" spans="1:14" x14ac:dyDescent="0.25">
      <c r="A72">
        <v>1</v>
      </c>
      <c r="B72">
        <v>0.78510860853055753</v>
      </c>
      <c r="C72">
        <v>0.21285577832060334</v>
      </c>
      <c r="D72">
        <v>2.0356058213487835E-3</v>
      </c>
      <c r="E72">
        <v>1</v>
      </c>
      <c r="F72">
        <v>3.6661335103611165E-2</v>
      </c>
      <c r="G72">
        <v>0.71399277990579624</v>
      </c>
      <c r="H72">
        <v>0.24934588499059263</v>
      </c>
      <c r="I72">
        <v>1</v>
      </c>
      <c r="J72">
        <v>10.328686310844445</v>
      </c>
      <c r="K72">
        <v>22.759316201899185</v>
      </c>
      <c r="L72">
        <v>4.669587711212092E-2</v>
      </c>
      <c r="M72">
        <v>3.354349999511784</v>
      </c>
      <c r="N72">
        <v>122.49222436659035</v>
      </c>
    </row>
    <row r="73" spans="1:14" x14ac:dyDescent="0.25">
      <c r="A73">
        <v>2</v>
      </c>
      <c r="B73">
        <v>0.95529366834159102</v>
      </c>
      <c r="C73">
        <v>4.4041741050383311E-2</v>
      </c>
      <c r="D73">
        <v>6.6245536880650145E-4</v>
      </c>
      <c r="E73">
        <v>1</v>
      </c>
      <c r="F73">
        <v>2.3927719502763192E-2</v>
      </c>
      <c r="G73">
        <v>0.27181137470388106</v>
      </c>
      <c r="H73">
        <v>0.70426090579335576</v>
      </c>
      <c r="I73">
        <v>1</v>
      </c>
      <c r="J73">
        <v>8.3113080502590346</v>
      </c>
      <c r="K73">
        <v>8.0880025127436301</v>
      </c>
      <c r="L73">
        <v>2.5047501407920135E-2</v>
      </c>
      <c r="M73">
        <v>6.1716764192617086</v>
      </c>
      <c r="N73">
        <v>1063.1069487174243</v>
      </c>
    </row>
    <row r="74" spans="1:14" x14ac:dyDescent="0.25">
      <c r="A74">
        <v>3</v>
      </c>
      <c r="B74">
        <v>0.99122100115873302</v>
      </c>
      <c r="C74">
        <v>8.2869861376191796E-3</v>
      </c>
      <c r="D74">
        <v>4.9168741672542802E-4</v>
      </c>
      <c r="E74">
        <v>1</v>
      </c>
      <c r="F74">
        <v>3.9743645881635111E-3</v>
      </c>
      <c r="G74">
        <v>6.029637951594876E-2</v>
      </c>
      <c r="H74">
        <v>0.93572925589588773</v>
      </c>
      <c r="I74">
        <v>1</v>
      </c>
      <c r="J74">
        <v>7.9986497579119344</v>
      </c>
      <c r="K74">
        <v>6.0706242521582183</v>
      </c>
      <c r="L74">
        <v>4.0095645507081633E-3</v>
      </c>
      <c r="M74">
        <v>7.2760323855533429</v>
      </c>
      <c r="N74">
        <v>1903.0978301777959</v>
      </c>
    </row>
    <row r="75" spans="1:14" x14ac:dyDescent="0.25">
      <c r="A75">
        <v>4</v>
      </c>
      <c r="B75">
        <v>0.99799490601023988</v>
      </c>
      <c r="C75">
        <v>1.5427608539052328E-3</v>
      </c>
      <c r="D75">
        <v>4.6229476309747277E-4</v>
      </c>
      <c r="E75">
        <v>1</v>
      </c>
      <c r="F75">
        <v>2.2258795991250929E-3</v>
      </c>
      <c r="G75">
        <v>1.1509931099386028E-2</v>
      </c>
      <c r="H75">
        <v>0.98626418930148885</v>
      </c>
      <c r="I75">
        <v>1</v>
      </c>
      <c r="J75">
        <v>7.9427448313677171</v>
      </c>
      <c r="K75">
        <v>5.7579659598111181</v>
      </c>
      <c r="L75">
        <v>2.2303516638413124E-3</v>
      </c>
      <c r="M75">
        <v>7.4606061401225112</v>
      </c>
      <c r="N75">
        <v>2133.4098242716618</v>
      </c>
    </row>
    <row r="76" spans="1:14" x14ac:dyDescent="0.25">
      <c r="A76">
        <v>5</v>
      </c>
      <c r="B76">
        <v>0.9992565971571592</v>
      </c>
      <c r="C76">
        <v>2.864798016481879E-4</v>
      </c>
      <c r="D76">
        <v>4.5690783833546089E-4</v>
      </c>
      <c r="E76">
        <v>1</v>
      </c>
      <c r="F76">
        <v>1.965219134913097E-3</v>
      </c>
      <c r="G76">
        <v>2.1470194403225393E-3</v>
      </c>
      <c r="H76">
        <v>0.99588776142476432</v>
      </c>
      <c r="I76">
        <v>1</v>
      </c>
      <c r="J76">
        <v>7.9324321772128608</v>
      </c>
      <c r="K76">
        <v>5.7020610332669017</v>
      </c>
      <c r="L76">
        <v>1.966681171286793E-3</v>
      </c>
      <c r="M76">
        <v>7.4944880161540706</v>
      </c>
      <c r="N76">
        <v>2179.6250312816596</v>
      </c>
    </row>
    <row r="77" spans="1:14" x14ac:dyDescent="0.25">
      <c r="A77">
        <v>6</v>
      </c>
      <c r="B77">
        <v>0.99949112460073319</v>
      </c>
      <c r="C77">
        <v>5.2953800075130462E-5</v>
      </c>
      <c r="D77">
        <v>4.5590970907754717E-4</v>
      </c>
      <c r="E77">
        <v>1</v>
      </c>
      <c r="F77">
        <v>1.9189363023559419E-3</v>
      </c>
      <c r="G77">
        <v>3.972595505151291E-4</v>
      </c>
      <c r="H77">
        <v>0.99768380414712887</v>
      </c>
      <c r="I77">
        <v>0.99999999999999989</v>
      </c>
      <c r="J77">
        <v>7.9305186427469252</v>
      </c>
      <c r="K77">
        <v>5.6917483791120453</v>
      </c>
      <c r="L77">
        <v>1.9199132990025294E-3</v>
      </c>
      <c r="M77">
        <v>7.5020026882206787</v>
      </c>
      <c r="N77">
        <v>2188.3363838988339</v>
      </c>
    </row>
    <row r="78" spans="1:14" x14ac:dyDescent="0.25">
      <c r="A78">
        <v>7</v>
      </c>
      <c r="B78">
        <v>0.99953470848248527</v>
      </c>
      <c r="C78">
        <v>9.5609258898007151E-6</v>
      </c>
      <c r="D78">
        <v>4.5572438849590956E-4</v>
      </c>
      <c r="E78">
        <v>1</v>
      </c>
      <c r="F78">
        <v>1.9104095654564092E-3</v>
      </c>
      <c r="G78">
        <v>7.1767409300881632E-5</v>
      </c>
      <c r="H78">
        <v>0.99801782302524267</v>
      </c>
      <c r="I78">
        <v>1</v>
      </c>
      <c r="J78">
        <v>7.9301631527554921</v>
      </c>
      <c r="K78">
        <v>5.6898348446461089</v>
      </c>
      <c r="L78">
        <v>1.9112988766111319E-3</v>
      </c>
      <c r="M78">
        <v>7.5063241916183845</v>
      </c>
      <c r="N78">
        <v>2189.9592126704902</v>
      </c>
    </row>
    <row r="79" spans="1:14" x14ac:dyDescent="0.25">
      <c r="A79">
        <v>8</v>
      </c>
      <c r="B79">
        <v>0.99954280959542685</v>
      </c>
      <c r="C79">
        <v>1.4984023552993043E-6</v>
      </c>
      <c r="D79">
        <v>4.55689967043696E-4</v>
      </c>
      <c r="E79">
        <v>1</v>
      </c>
      <c r="F79">
        <v>1.9088272296824489E-3</v>
      </c>
      <c r="G79">
        <v>1.1255748230029552E-5</v>
      </c>
      <c r="H79">
        <v>0.99807991702208754</v>
      </c>
      <c r="I79">
        <v>1</v>
      </c>
      <c r="J79">
        <v>7.9192336796430318</v>
      </c>
      <c r="K79">
        <v>5.6894793546546758</v>
      </c>
      <c r="L79">
        <v>1.909700326347265E-3</v>
      </c>
      <c r="M79">
        <v>7.5118329801218362</v>
      </c>
      <c r="N79">
        <v>2190.2608993065278</v>
      </c>
    </row>
    <row r="80" spans="1:14" x14ac:dyDescent="0.25">
      <c r="A80" t="s">
        <v>18</v>
      </c>
      <c r="F80">
        <v>0</v>
      </c>
      <c r="G80">
        <v>0</v>
      </c>
      <c r="H80">
        <v>1</v>
      </c>
      <c r="K80">
        <v>5.6785498815422155</v>
      </c>
    </row>
  </sheetData>
  <mergeCells count="1">
    <mergeCell ref="A35:E3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NRTL_8">
                <anchor moveWithCells="1" sizeWithCells="1">
                  <from>
                    <xdr:col>5</xdr:col>
                    <xdr:colOff>0</xdr:colOff>
                    <xdr:row>35</xdr:row>
                    <xdr:rowOff>152400</xdr:rowOff>
                  </from>
                  <to>
                    <xdr:col>6</xdr:col>
                    <xdr:colOff>561975</xdr:colOff>
                    <xdr:row>36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Vytazky</vt:lpstr>
      <vt:lpstr>MB 5 PTE s ns=10</vt:lpstr>
      <vt:lpstr>MB 5 PTE</vt:lpstr>
      <vt:lpstr>1 kontakt</vt:lpstr>
      <vt:lpstr>2 kontakty</vt:lpstr>
      <vt:lpstr>3 kontakty</vt:lpstr>
      <vt:lpstr>4 kont</vt:lpstr>
      <vt:lpstr>8 kont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2024-05-14T23:35:44Z</dcterms:modified>
</cp:coreProperties>
</file>