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Workbook________" defaultThemeVersion="124226"/>
  <bookViews>
    <workbookView xWindow="240" yWindow="105" windowWidth="14805" windowHeight="8010" activeTab="8"/>
  </bookViews>
  <sheets>
    <sheet name="Vytazky" sheetId="3" r:id="rId1"/>
    <sheet name="8PTK" sheetId="2" r:id="rId2"/>
    <sheet name="5PTK" sheetId="1" r:id="rId3"/>
    <sheet name="4PTK" sheetId="5" r:id="rId4"/>
    <sheet name="3PTK" sheetId="6" r:id="rId5"/>
    <sheet name="2PTK" sheetId="7" r:id="rId6"/>
    <sheet name="1PTK" sheetId="8" r:id="rId7"/>
    <sheet name="Vytazky 2 (bez RK)" sheetId="13" r:id="rId8"/>
    <sheet name="8.2" sheetId="14" r:id="rId9"/>
    <sheet name="5.2" sheetId="9" r:id="rId10"/>
    <sheet name="4.2" sheetId="10" r:id="rId11"/>
    <sheet name="3.2" sheetId="11" r:id="rId12"/>
    <sheet name="2.2" sheetId="12" r:id="rId13"/>
    <sheet name="1.2" sheetId="15" r:id="rId14"/>
  </sheets>
  <definedNames>
    <definedName name="solver_adj" localSheetId="10" hidden="1">'4.2'!$Z$27</definedName>
    <definedName name="solver_adj" localSheetId="3" hidden="1">'4PTK'!$Z$27</definedName>
    <definedName name="solver_adj" localSheetId="9" hidden="1">'5.2'!$Z$27</definedName>
    <definedName name="solver_adj" localSheetId="2" hidden="1">'5PTK'!$Z$27</definedName>
    <definedName name="solver_cvg" localSheetId="10" hidden="1">0.0001</definedName>
    <definedName name="solver_cvg" localSheetId="3" hidden="1">0.0001</definedName>
    <definedName name="solver_cvg" localSheetId="9" hidden="1">0.0001</definedName>
    <definedName name="solver_cvg" localSheetId="2" hidden="1">0.0001</definedName>
    <definedName name="solver_drv" localSheetId="10" hidden="1">1</definedName>
    <definedName name="solver_drv" localSheetId="3" hidden="1">1</definedName>
    <definedName name="solver_drv" localSheetId="9" hidden="1">1</definedName>
    <definedName name="solver_drv" localSheetId="2" hidden="1">1</definedName>
    <definedName name="solver_eng" localSheetId="10" hidden="1">1</definedName>
    <definedName name="solver_eng" localSheetId="3" hidden="1">1</definedName>
    <definedName name="solver_eng" localSheetId="9" hidden="1">1</definedName>
    <definedName name="solver_eng" localSheetId="2" hidden="1">1</definedName>
    <definedName name="solver_est" localSheetId="10" hidden="1">1</definedName>
    <definedName name="solver_est" localSheetId="3" hidden="1">1</definedName>
    <definedName name="solver_est" localSheetId="9" hidden="1">1</definedName>
    <definedName name="solver_est" localSheetId="2" hidden="1">1</definedName>
    <definedName name="solver_itr" localSheetId="10" hidden="1">2147483647</definedName>
    <definedName name="solver_itr" localSheetId="3" hidden="1">2147483647</definedName>
    <definedName name="solver_itr" localSheetId="9" hidden="1">2147483647</definedName>
    <definedName name="solver_itr" localSheetId="2" hidden="1">2147483647</definedName>
    <definedName name="solver_mip" localSheetId="10" hidden="1">2147483647</definedName>
    <definedName name="solver_mip" localSheetId="3" hidden="1">2147483647</definedName>
    <definedName name="solver_mip" localSheetId="9" hidden="1">2147483647</definedName>
    <definedName name="solver_mip" localSheetId="2" hidden="1">2147483647</definedName>
    <definedName name="solver_mni" localSheetId="10" hidden="1">30</definedName>
    <definedName name="solver_mni" localSheetId="3" hidden="1">30</definedName>
    <definedName name="solver_mni" localSheetId="9" hidden="1">30</definedName>
    <definedName name="solver_mni" localSheetId="2" hidden="1">30</definedName>
    <definedName name="solver_mrt" localSheetId="10" hidden="1">0.075</definedName>
    <definedName name="solver_mrt" localSheetId="3" hidden="1">0.075</definedName>
    <definedName name="solver_mrt" localSheetId="9" hidden="1">0.075</definedName>
    <definedName name="solver_mrt" localSheetId="2" hidden="1">0.075</definedName>
    <definedName name="solver_msl" localSheetId="10" hidden="1">2</definedName>
    <definedName name="solver_msl" localSheetId="3" hidden="1">2</definedName>
    <definedName name="solver_msl" localSheetId="9" hidden="1">2</definedName>
    <definedName name="solver_msl" localSheetId="2" hidden="1">2</definedName>
    <definedName name="solver_neg" localSheetId="10" hidden="1">1</definedName>
    <definedName name="solver_neg" localSheetId="3" hidden="1">1</definedName>
    <definedName name="solver_neg" localSheetId="9" hidden="1">1</definedName>
    <definedName name="solver_neg" localSheetId="2" hidden="1">1</definedName>
    <definedName name="solver_nod" localSheetId="10" hidden="1">2147483647</definedName>
    <definedName name="solver_nod" localSheetId="3" hidden="1">2147483647</definedName>
    <definedName name="solver_nod" localSheetId="9" hidden="1">2147483647</definedName>
    <definedName name="solver_nod" localSheetId="2" hidden="1">2147483647</definedName>
    <definedName name="solver_num" localSheetId="10" hidden="1">0</definedName>
    <definedName name="solver_num" localSheetId="3" hidden="1">0</definedName>
    <definedName name="solver_num" localSheetId="9" hidden="1">0</definedName>
    <definedName name="solver_num" localSheetId="2" hidden="1">0</definedName>
    <definedName name="solver_nwt" localSheetId="10" hidden="1">1</definedName>
    <definedName name="solver_nwt" localSheetId="3" hidden="1">1</definedName>
    <definedName name="solver_nwt" localSheetId="9" hidden="1">1</definedName>
    <definedName name="solver_nwt" localSheetId="2" hidden="1">1</definedName>
    <definedName name="solver_opt" localSheetId="10" hidden="1">'4.2'!$AH$26</definedName>
    <definedName name="solver_opt" localSheetId="3" hidden="1">'4PTK'!$AI$30</definedName>
    <definedName name="solver_opt" localSheetId="9" hidden="1">'5.2'!$AH$26</definedName>
    <definedName name="solver_opt" localSheetId="2" hidden="1">'5PTK'!$AH$26</definedName>
    <definedName name="solver_pre" localSheetId="10" hidden="1">0.000001</definedName>
    <definedName name="solver_pre" localSheetId="3" hidden="1">0.000001</definedName>
    <definedName name="solver_pre" localSheetId="9" hidden="1">0.000001</definedName>
    <definedName name="solver_pre" localSheetId="2" hidden="1">0.000001</definedName>
    <definedName name="solver_rbv" localSheetId="10" hidden="1">1</definedName>
    <definedName name="solver_rbv" localSheetId="3" hidden="1">1</definedName>
    <definedName name="solver_rbv" localSheetId="9" hidden="1">1</definedName>
    <definedName name="solver_rbv" localSheetId="2" hidden="1">1</definedName>
    <definedName name="solver_rlx" localSheetId="10" hidden="1">2</definedName>
    <definedName name="solver_rlx" localSheetId="3" hidden="1">2</definedName>
    <definedName name="solver_rlx" localSheetId="9" hidden="1">2</definedName>
    <definedName name="solver_rlx" localSheetId="2" hidden="1">2</definedName>
    <definedName name="solver_rsd" localSheetId="10" hidden="1">0</definedName>
    <definedName name="solver_rsd" localSheetId="3" hidden="1">0</definedName>
    <definedName name="solver_rsd" localSheetId="9" hidden="1">0</definedName>
    <definedName name="solver_rsd" localSheetId="2" hidden="1">0</definedName>
    <definedName name="solver_scl" localSheetId="10" hidden="1">1</definedName>
    <definedName name="solver_scl" localSheetId="3" hidden="1">1</definedName>
    <definedName name="solver_scl" localSheetId="9" hidden="1">1</definedName>
    <definedName name="solver_scl" localSheetId="2" hidden="1">1</definedName>
    <definedName name="solver_sho" localSheetId="10" hidden="1">2</definedName>
    <definedName name="solver_sho" localSheetId="3" hidden="1">2</definedName>
    <definedName name="solver_sho" localSheetId="9" hidden="1">2</definedName>
    <definedName name="solver_sho" localSheetId="2" hidden="1">2</definedName>
    <definedName name="solver_ssz" localSheetId="10" hidden="1">100</definedName>
    <definedName name="solver_ssz" localSheetId="3" hidden="1">100</definedName>
    <definedName name="solver_ssz" localSheetId="9" hidden="1">100</definedName>
    <definedName name="solver_ssz" localSheetId="2" hidden="1">100</definedName>
    <definedName name="solver_tim" localSheetId="10" hidden="1">2147483647</definedName>
    <definedName name="solver_tim" localSheetId="3" hidden="1">2147483647</definedName>
    <definedName name="solver_tim" localSheetId="9" hidden="1">2147483647</definedName>
    <definedName name="solver_tim" localSheetId="2" hidden="1">2147483647</definedName>
    <definedName name="solver_tol" localSheetId="10" hidden="1">0.01</definedName>
    <definedName name="solver_tol" localSheetId="3" hidden="1">0.01</definedName>
    <definedName name="solver_tol" localSheetId="9" hidden="1">0.01</definedName>
    <definedName name="solver_tol" localSheetId="2" hidden="1">0.01</definedName>
    <definedName name="solver_typ" localSheetId="10" hidden="1">3</definedName>
    <definedName name="solver_typ" localSheetId="3" hidden="1">2</definedName>
    <definedName name="solver_typ" localSheetId="9" hidden="1">3</definedName>
    <definedName name="solver_typ" localSheetId="2" hidden="1">3</definedName>
    <definedName name="solver_val" localSheetId="10" hidden="1">0.9998</definedName>
    <definedName name="solver_val" localSheetId="3" hidden="1">0</definedName>
    <definedName name="solver_val" localSheetId="9" hidden="1">0.9998</definedName>
    <definedName name="solver_val" localSheetId="2" hidden="1">0.9998</definedName>
    <definedName name="solver_ver" localSheetId="10" hidden="1">3</definedName>
    <definedName name="solver_ver" localSheetId="3" hidden="1">3</definedName>
    <definedName name="solver_ver" localSheetId="9" hidden="1">3</definedName>
    <definedName name="solver_ver" localSheetId="2" hidden="1">3</definedName>
  </definedNames>
  <calcPr calcId="145621"/>
</workbook>
</file>

<file path=xl/calcChain.xml><?xml version="1.0" encoding="utf-8"?>
<calcChain xmlns="http://schemas.openxmlformats.org/spreadsheetml/2006/main">
  <c r="Q49" i="11" l="1"/>
  <c r="Q48" i="11"/>
  <c r="Q47" i="11"/>
  <c r="O43" i="11"/>
  <c r="I43" i="11"/>
  <c r="M49" i="11" s="1"/>
  <c r="C43" i="11"/>
  <c r="P43" i="11" s="1"/>
  <c r="O42" i="11"/>
  <c r="I42" i="11"/>
  <c r="N48" i="11" s="1"/>
  <c r="C42" i="11"/>
  <c r="P42" i="11" s="1"/>
  <c r="O41" i="11"/>
  <c r="I41" i="11"/>
  <c r="M47" i="11" s="1"/>
  <c r="C41" i="11"/>
  <c r="P41" i="11" s="1"/>
  <c r="AB34" i="11"/>
  <c r="X34" i="11"/>
  <c r="Y33" i="11"/>
  <c r="D10" i="11" s="1"/>
  <c r="X33" i="11"/>
  <c r="C10" i="11" s="1"/>
  <c r="W33" i="11"/>
  <c r="U33" i="11"/>
  <c r="D7" i="11" s="1"/>
  <c r="T33" i="11"/>
  <c r="C7" i="11" s="1"/>
  <c r="X32" i="11"/>
  <c r="C9" i="11" s="1"/>
  <c r="W32" i="11"/>
  <c r="U32" i="11"/>
  <c r="D6" i="11" s="1"/>
  <c r="T32" i="11"/>
  <c r="C6" i="11" s="1"/>
  <c r="X31" i="11"/>
  <c r="C8" i="11" s="1"/>
  <c r="W31" i="11"/>
  <c r="B8" i="11" s="1"/>
  <c r="U31" i="11"/>
  <c r="D5" i="11" s="1"/>
  <c r="T31" i="11"/>
  <c r="C5" i="11" s="1"/>
  <c r="AA30" i="11"/>
  <c r="AE26" i="11"/>
  <c r="AF26" i="11" s="1"/>
  <c r="E11" i="11"/>
  <c r="O13" i="11" s="1"/>
  <c r="D11" i="11"/>
  <c r="C11" i="11"/>
  <c r="B11" i="11"/>
  <c r="E4" i="11"/>
  <c r="D4" i="11"/>
  <c r="C4" i="11"/>
  <c r="O11" i="11" s="1"/>
  <c r="B4" i="11"/>
  <c r="O4" i="11" s="1"/>
  <c r="S33" i="11" l="1"/>
  <c r="B7" i="11" s="1"/>
  <c r="O6" i="11"/>
  <c r="Y32" i="11"/>
  <c r="D9" i="11" s="1"/>
  <c r="I6" i="11" s="1"/>
  <c r="Z33" i="11"/>
  <c r="B10" i="11"/>
  <c r="G7" i="11" s="1"/>
  <c r="H5" i="11"/>
  <c r="Y31" i="11"/>
  <c r="D8" i="11" s="1"/>
  <c r="I5" i="11" s="1"/>
  <c r="H6" i="11"/>
  <c r="B9" i="11"/>
  <c r="S32" i="11"/>
  <c r="V32" i="11" s="1"/>
  <c r="H7" i="11"/>
  <c r="AE33" i="11"/>
  <c r="I7" i="11"/>
  <c r="AD32" i="11"/>
  <c r="V33" i="11"/>
  <c r="AD33" i="11"/>
  <c r="O47" i="11"/>
  <c r="O49" i="11"/>
  <c r="M42" i="11"/>
  <c r="Q42" i="11"/>
  <c r="O18" i="11"/>
  <c r="O20" i="11"/>
  <c r="AC33" i="11"/>
  <c r="N41" i="11"/>
  <c r="N43" i="11"/>
  <c r="AG32" i="11"/>
  <c r="AG36" i="11" s="1"/>
  <c r="AG34" i="11" s="1"/>
  <c r="AD31" i="11"/>
  <c r="AA33" i="11"/>
  <c r="Q41" i="11"/>
  <c r="M41" i="11"/>
  <c r="S31" i="11"/>
  <c r="L41" i="11"/>
  <c r="O48" i="11"/>
  <c r="M48" i="11"/>
  <c r="Q43" i="11"/>
  <c r="M43" i="11"/>
  <c r="L43" i="11"/>
  <c r="L48" i="11"/>
  <c r="P48" i="11"/>
  <c r="L42" i="11"/>
  <c r="N42" i="11"/>
  <c r="L47" i="11"/>
  <c r="N47" i="11"/>
  <c r="P47" i="11"/>
  <c r="L49" i="11"/>
  <c r="N49" i="11"/>
  <c r="P49" i="11"/>
  <c r="Q51" i="9"/>
  <c r="Q50" i="9"/>
  <c r="Q49" i="9"/>
  <c r="Q48" i="9"/>
  <c r="Q47" i="9"/>
  <c r="O45" i="9"/>
  <c r="I45" i="9"/>
  <c r="Y35" i="9" s="1"/>
  <c r="D14" i="9" s="1"/>
  <c r="C45" i="9"/>
  <c r="P45" i="9" s="1"/>
  <c r="O44" i="9"/>
  <c r="I44" i="9"/>
  <c r="Y34" i="9" s="1"/>
  <c r="D13" i="9" s="1"/>
  <c r="C44" i="9"/>
  <c r="S34" i="9" s="1"/>
  <c r="O43" i="9"/>
  <c r="I43" i="9"/>
  <c r="Y33" i="9" s="1"/>
  <c r="D12" i="9" s="1"/>
  <c r="C43" i="9"/>
  <c r="Q43" i="9" s="1"/>
  <c r="O42" i="9"/>
  <c r="I42" i="9"/>
  <c r="Y32" i="9" s="1"/>
  <c r="C42" i="9"/>
  <c r="S32" i="9" s="1"/>
  <c r="B6" i="9" s="1"/>
  <c r="O41" i="9"/>
  <c r="I41" i="9"/>
  <c r="Y31" i="9" s="1"/>
  <c r="D10" i="9" s="1"/>
  <c r="C41" i="9"/>
  <c r="Q41" i="9" s="1"/>
  <c r="AB36" i="9"/>
  <c r="E15" i="9" s="1"/>
  <c r="Q15" i="9" s="1"/>
  <c r="X36" i="9"/>
  <c r="X35" i="9"/>
  <c r="C14" i="9" s="1"/>
  <c r="W35" i="9"/>
  <c r="B14" i="9" s="1"/>
  <c r="U35" i="9"/>
  <c r="D9" i="9" s="1"/>
  <c r="T35" i="9"/>
  <c r="C9" i="9" s="1"/>
  <c r="X34" i="9"/>
  <c r="C13" i="9" s="1"/>
  <c r="W34" i="9"/>
  <c r="B13" i="9" s="1"/>
  <c r="U34" i="9"/>
  <c r="D8" i="9" s="1"/>
  <c r="T34" i="9"/>
  <c r="C8" i="9" s="1"/>
  <c r="X33" i="9"/>
  <c r="C12" i="9" s="1"/>
  <c r="W33" i="9"/>
  <c r="B12" i="9" s="1"/>
  <c r="U33" i="9"/>
  <c r="D7" i="9" s="1"/>
  <c r="T33" i="9"/>
  <c r="C7" i="9" s="1"/>
  <c r="X32" i="9"/>
  <c r="C11" i="9" s="1"/>
  <c r="W32" i="9"/>
  <c r="U32" i="9"/>
  <c r="D6" i="9" s="1"/>
  <c r="T32" i="9"/>
  <c r="C6" i="9" s="1"/>
  <c r="X31" i="9"/>
  <c r="AG32" i="9" s="1"/>
  <c r="W31" i="9"/>
  <c r="B10" i="9" s="1"/>
  <c r="U31" i="9"/>
  <c r="D5" i="9" s="1"/>
  <c r="T31" i="9"/>
  <c r="C5" i="9" s="1"/>
  <c r="AA30" i="9"/>
  <c r="AE26" i="9"/>
  <c r="AF26" i="9" s="1"/>
  <c r="D15" i="9"/>
  <c r="C15" i="9"/>
  <c r="B15" i="9"/>
  <c r="E4" i="9"/>
  <c r="D4" i="9"/>
  <c r="C4" i="9"/>
  <c r="Q11" i="9" s="1"/>
  <c r="B4" i="9"/>
  <c r="Q4" i="9" s="1"/>
  <c r="AE31" i="11" l="1"/>
  <c r="Z31" i="11"/>
  <c r="AE32" i="11"/>
  <c r="AC32" i="11"/>
  <c r="T49" i="11"/>
  <c r="W49" i="11" s="1"/>
  <c r="S47" i="11"/>
  <c r="V47" i="11" s="1"/>
  <c r="Z32" i="11"/>
  <c r="R42" i="11"/>
  <c r="U42" i="11" s="1"/>
  <c r="T48" i="11"/>
  <c r="W48" i="11" s="1"/>
  <c r="S43" i="11"/>
  <c r="V43" i="11" s="1"/>
  <c r="R41" i="11"/>
  <c r="U41" i="11" s="1"/>
  <c r="B6" i="11"/>
  <c r="G6" i="11" s="1"/>
  <c r="T47" i="11"/>
  <c r="W47" i="11" s="1"/>
  <c r="R49" i="11"/>
  <c r="U49" i="11" s="1"/>
  <c r="S48" i="11"/>
  <c r="V48" i="11" s="1"/>
  <c r="T42" i="11"/>
  <c r="W42" i="11" s="1"/>
  <c r="S41" i="11"/>
  <c r="V41" i="11" s="1"/>
  <c r="R47" i="11"/>
  <c r="U47" i="11" s="1"/>
  <c r="S49" i="11"/>
  <c r="V49" i="11" s="1"/>
  <c r="R43" i="11"/>
  <c r="U43" i="11" s="1"/>
  <c r="T43" i="11"/>
  <c r="W43" i="11" s="1"/>
  <c r="V31" i="11"/>
  <c r="B5" i="11"/>
  <c r="G5" i="11" s="1"/>
  <c r="T41" i="11"/>
  <c r="W41" i="11" s="1"/>
  <c r="E7" i="11"/>
  <c r="AA32" i="11"/>
  <c r="AB31" i="11"/>
  <c r="AI26" i="11"/>
  <c r="AC31" i="11"/>
  <c r="S42" i="11"/>
  <c r="V42" i="11" s="1"/>
  <c r="R48" i="11"/>
  <c r="U48" i="11" s="1"/>
  <c r="S35" i="9"/>
  <c r="B9" i="9" s="1"/>
  <c r="G9" i="9" s="1"/>
  <c r="S31" i="9"/>
  <c r="B5" i="9" s="1"/>
  <c r="G5" i="9" s="1"/>
  <c r="S33" i="9"/>
  <c r="B7" i="9" s="1"/>
  <c r="G7" i="9" s="1"/>
  <c r="C10" i="9"/>
  <c r="H5" i="9" s="1"/>
  <c r="AD33" i="9"/>
  <c r="V34" i="9"/>
  <c r="B8" i="9"/>
  <c r="G8" i="9" s="1"/>
  <c r="AD34" i="9"/>
  <c r="H7" i="9"/>
  <c r="I8" i="9"/>
  <c r="Z35" i="9"/>
  <c r="H9" i="9"/>
  <c r="Z31" i="9"/>
  <c r="AE31" i="9"/>
  <c r="V32" i="9"/>
  <c r="AC32" i="9"/>
  <c r="AE32" i="9"/>
  <c r="AD35" i="9"/>
  <c r="I5" i="9"/>
  <c r="I7" i="9"/>
  <c r="H8" i="9"/>
  <c r="I9" i="9"/>
  <c r="B11" i="9"/>
  <c r="G6" i="9" s="1"/>
  <c r="D11" i="9"/>
  <c r="I6" i="9" s="1"/>
  <c r="Z34" i="9"/>
  <c r="H6" i="9"/>
  <c r="M41" i="9"/>
  <c r="M43" i="9"/>
  <c r="N45" i="9"/>
  <c r="AD31" i="9"/>
  <c r="AD32" i="9"/>
  <c r="AE33" i="9"/>
  <c r="AE34" i="9"/>
  <c r="AE35" i="9"/>
  <c r="Q8" i="9"/>
  <c r="Q18" i="9"/>
  <c r="Q22" i="9"/>
  <c r="Z32" i="9"/>
  <c r="Z33" i="9"/>
  <c r="AC34" i="9"/>
  <c r="P47" i="9"/>
  <c r="N47" i="9"/>
  <c r="L47" i="9"/>
  <c r="L42" i="9"/>
  <c r="N42" i="9"/>
  <c r="P42" i="9"/>
  <c r="P49" i="9"/>
  <c r="N49" i="9"/>
  <c r="L49" i="9"/>
  <c r="O49" i="9"/>
  <c r="M49" i="9"/>
  <c r="P44" i="9"/>
  <c r="N44" i="9"/>
  <c r="L44" i="9"/>
  <c r="M44" i="9"/>
  <c r="Q44" i="9"/>
  <c r="M47" i="9"/>
  <c r="L41" i="9"/>
  <c r="N41" i="9"/>
  <c r="P41" i="9"/>
  <c r="O48" i="9"/>
  <c r="M48" i="9"/>
  <c r="P48" i="9"/>
  <c r="N48" i="9"/>
  <c r="M42" i="9"/>
  <c r="Q42" i="9"/>
  <c r="L43" i="9"/>
  <c r="N43" i="9"/>
  <c r="P43" i="9"/>
  <c r="O50" i="9"/>
  <c r="M50" i="9"/>
  <c r="P50" i="9"/>
  <c r="N50" i="9"/>
  <c r="L50" i="9"/>
  <c r="Q45" i="9"/>
  <c r="M45" i="9"/>
  <c r="L45" i="9"/>
  <c r="O47" i="9"/>
  <c r="L48" i="9"/>
  <c r="M51" i="9"/>
  <c r="O51" i="9"/>
  <c r="L51" i="9"/>
  <c r="N51" i="9"/>
  <c r="P51" i="9"/>
  <c r="AG32" i="15"/>
  <c r="AG36" i="15" s="1"/>
  <c r="AG34" i="15" s="1"/>
  <c r="AG32" i="12"/>
  <c r="AG36" i="12" s="1"/>
  <c r="AG34" i="12" s="1"/>
  <c r="AG32" i="8"/>
  <c r="AG36" i="8" s="1"/>
  <c r="AG32" i="7"/>
  <c r="AG36" i="7" s="1"/>
  <c r="AG32" i="6"/>
  <c r="AG36" i="6" s="1"/>
  <c r="Z43" i="11" l="1"/>
  <c r="I52" i="11" s="1"/>
  <c r="I60" i="11" s="1"/>
  <c r="X43" i="11"/>
  <c r="G52" i="11" s="1"/>
  <c r="G60" i="11" s="1"/>
  <c r="X48" i="11"/>
  <c r="C51" i="11" s="1"/>
  <c r="Y49" i="11"/>
  <c r="D52" i="11" s="1"/>
  <c r="D60" i="11" s="1"/>
  <c r="Y41" i="11"/>
  <c r="H50" i="11" s="1"/>
  <c r="H58" i="11" s="1"/>
  <c r="Z48" i="11"/>
  <c r="E51" i="11" s="1"/>
  <c r="E59" i="11" s="1"/>
  <c r="Y42" i="11"/>
  <c r="H51" i="11" s="1"/>
  <c r="H59" i="11" s="1"/>
  <c r="Z41" i="11"/>
  <c r="I50" i="11" s="1"/>
  <c r="I58" i="11" s="1"/>
  <c r="X47" i="11"/>
  <c r="C50" i="11" s="1"/>
  <c r="C58" i="11" s="1"/>
  <c r="Y47" i="11"/>
  <c r="D50" i="11" s="1"/>
  <c r="D58" i="11" s="1"/>
  <c r="Z42" i="11"/>
  <c r="I51" i="11" s="1"/>
  <c r="I59" i="11" s="1"/>
  <c r="X41" i="11"/>
  <c r="G50" i="11" s="1"/>
  <c r="G58" i="11" s="1"/>
  <c r="C59" i="11"/>
  <c r="AB33" i="11"/>
  <c r="E6" i="11"/>
  <c r="Y48" i="11"/>
  <c r="D51" i="11" s="1"/>
  <c r="D59" i="11" s="1"/>
  <c r="Z47" i="11"/>
  <c r="E50" i="11" s="1"/>
  <c r="E58" i="11" s="1"/>
  <c r="X49" i="11"/>
  <c r="C52" i="11" s="1"/>
  <c r="AG26" i="11"/>
  <c r="E8" i="11"/>
  <c r="AH26" i="11"/>
  <c r="AI30" i="11" s="1"/>
  <c r="AC37" i="11"/>
  <c r="Y43" i="11"/>
  <c r="H52" i="11" s="1"/>
  <c r="H60" i="11" s="1"/>
  <c r="X42" i="11"/>
  <c r="G51" i="11" s="1"/>
  <c r="Z49" i="11"/>
  <c r="E52" i="11" s="1"/>
  <c r="E60" i="11" s="1"/>
  <c r="AC35" i="9"/>
  <c r="V35" i="9"/>
  <c r="AA35" i="9"/>
  <c r="AA34" i="9" s="1"/>
  <c r="AG36" i="9"/>
  <c r="AG34" i="9" s="1"/>
  <c r="AC31" i="9"/>
  <c r="V31" i="9"/>
  <c r="V33" i="9"/>
  <c r="AC33" i="9"/>
  <c r="R44" i="9"/>
  <c r="U44" i="9" s="1"/>
  <c r="T49" i="9"/>
  <c r="W49" i="9" s="1"/>
  <c r="T51" i="9"/>
  <c r="W51" i="9" s="1"/>
  <c r="R47" i="9"/>
  <c r="U47" i="9" s="1"/>
  <c r="T50" i="9"/>
  <c r="W50" i="9" s="1"/>
  <c r="S48" i="9"/>
  <c r="V48" i="9" s="1"/>
  <c r="S51" i="9"/>
  <c r="V51" i="9" s="1"/>
  <c r="T43" i="9"/>
  <c r="W43" i="9" s="1"/>
  <c r="T44" i="9"/>
  <c r="W44" i="9" s="1"/>
  <c r="R49" i="9"/>
  <c r="U49" i="9" s="1"/>
  <c r="R41" i="9"/>
  <c r="U41" i="9" s="1"/>
  <c r="S45" i="9"/>
  <c r="V45" i="9" s="1"/>
  <c r="S43" i="9"/>
  <c r="V43" i="9" s="1"/>
  <c r="R43" i="9"/>
  <c r="U43" i="9" s="1"/>
  <c r="T41" i="9"/>
  <c r="W41" i="9" s="1"/>
  <c r="T47" i="9"/>
  <c r="W47" i="9" s="1"/>
  <c r="S44" i="9"/>
  <c r="V44" i="9" s="1"/>
  <c r="S42" i="9"/>
  <c r="V42" i="9" s="1"/>
  <c r="R42" i="9"/>
  <c r="U42" i="9" s="1"/>
  <c r="R51" i="9"/>
  <c r="U51" i="9" s="1"/>
  <c r="R45" i="9"/>
  <c r="U45" i="9" s="1"/>
  <c r="T45" i="9"/>
  <c r="W45" i="9" s="1"/>
  <c r="S50" i="9"/>
  <c r="V50" i="9" s="1"/>
  <c r="R50" i="9"/>
  <c r="U50" i="9" s="1"/>
  <c r="T42" i="9"/>
  <c r="W42" i="9" s="1"/>
  <c r="T48" i="9"/>
  <c r="W48" i="9" s="1"/>
  <c r="R48" i="9"/>
  <c r="U48" i="9" s="1"/>
  <c r="S41" i="9"/>
  <c r="V41" i="9" s="1"/>
  <c r="S49" i="9"/>
  <c r="V49" i="9" s="1"/>
  <c r="S47" i="9"/>
  <c r="V47" i="9" s="1"/>
  <c r="AG34" i="8"/>
  <c r="AG34" i="7"/>
  <c r="AG34" i="6"/>
  <c r="J50" i="11" l="1"/>
  <c r="B50" i="11"/>
  <c r="C60" i="11"/>
  <c r="B52" i="11"/>
  <c r="AA31" i="11"/>
  <c r="E10" i="11"/>
  <c r="B51" i="11"/>
  <c r="G59" i="11"/>
  <c r="J51" i="11"/>
  <c r="J52" i="11"/>
  <c r="M13" i="11"/>
  <c r="M6" i="11"/>
  <c r="M20" i="11"/>
  <c r="AI26" i="9"/>
  <c r="Z43" i="9"/>
  <c r="I52" i="9" s="1"/>
  <c r="I60" i="9" s="1"/>
  <c r="Z44" i="9"/>
  <c r="I53" i="9" s="1"/>
  <c r="I61" i="9" s="1"/>
  <c r="E9" i="9"/>
  <c r="AB31" i="9"/>
  <c r="AG26" i="9" s="1"/>
  <c r="AG38" i="9"/>
  <c r="X50" i="9"/>
  <c r="C53" i="9" s="1"/>
  <c r="C61" i="9" s="1"/>
  <c r="Z45" i="9"/>
  <c r="I54" i="9" s="1"/>
  <c r="I62" i="9" s="1"/>
  <c r="Z50" i="9"/>
  <c r="E53" i="9" s="1"/>
  <c r="E61" i="9" s="1"/>
  <c r="Y45" i="9"/>
  <c r="H54" i="9" s="1"/>
  <c r="H62" i="9" s="1"/>
  <c r="Y47" i="9"/>
  <c r="D50" i="9" s="1"/>
  <c r="D58" i="9" s="1"/>
  <c r="X47" i="9"/>
  <c r="C50" i="9" s="1"/>
  <c r="C58" i="9" s="1"/>
  <c r="X48" i="9"/>
  <c r="C51" i="9" s="1"/>
  <c r="C59" i="9" s="1"/>
  <c r="Y51" i="9"/>
  <c r="D54" i="9" s="1"/>
  <c r="D62" i="9" s="1"/>
  <c r="Y42" i="9"/>
  <c r="H51" i="9" s="1"/>
  <c r="H59" i="9" s="1"/>
  <c r="Z49" i="9"/>
  <c r="E52" i="9" s="1"/>
  <c r="E60" i="9" s="1"/>
  <c r="Y49" i="9"/>
  <c r="D52" i="9" s="1"/>
  <c r="D60" i="9" s="1"/>
  <c r="X41" i="9"/>
  <c r="G50" i="9" s="1"/>
  <c r="G58" i="9" s="1"/>
  <c r="X49" i="9"/>
  <c r="C52" i="9" s="1"/>
  <c r="C60" i="9" s="1"/>
  <c r="X43" i="9"/>
  <c r="G52" i="9" s="1"/>
  <c r="G60" i="9" s="1"/>
  <c r="Y44" i="9"/>
  <c r="H53" i="9" s="1"/>
  <c r="H61" i="9" s="1"/>
  <c r="Y43" i="9"/>
  <c r="H52" i="9" s="1"/>
  <c r="H60" i="9" s="1"/>
  <c r="Z48" i="9"/>
  <c r="E51" i="9" s="1"/>
  <c r="E59" i="9" s="1"/>
  <c r="X51" i="9"/>
  <c r="C54" i="9" s="1"/>
  <c r="C62" i="9" s="1"/>
  <c r="Z47" i="9"/>
  <c r="E50" i="9" s="1"/>
  <c r="E58" i="9" s="1"/>
  <c r="AB35" i="9"/>
  <c r="E8" i="9"/>
  <c r="Y41" i="9"/>
  <c r="H50" i="9" s="1"/>
  <c r="Z51" i="9"/>
  <c r="E54" i="9" s="1"/>
  <c r="E62" i="9" s="1"/>
  <c r="Z42" i="9"/>
  <c r="I51" i="9" s="1"/>
  <c r="I59" i="9" s="1"/>
  <c r="Y50" i="9"/>
  <c r="D53" i="9" s="1"/>
  <c r="D61" i="9" s="1"/>
  <c r="X45" i="9"/>
  <c r="G54" i="9" s="1"/>
  <c r="X42" i="9"/>
  <c r="G51" i="9" s="1"/>
  <c r="Y48" i="9"/>
  <c r="D51" i="9" s="1"/>
  <c r="D59" i="9" s="1"/>
  <c r="X44" i="9"/>
  <c r="G53" i="9" s="1"/>
  <c r="Z41" i="9"/>
  <c r="I50" i="9" s="1"/>
  <c r="I58" i="9" s="1"/>
  <c r="J32" i="14"/>
  <c r="J33" i="14"/>
  <c r="J34" i="14"/>
  <c r="J35" i="14"/>
  <c r="J36" i="14"/>
  <c r="J37" i="14"/>
  <c r="J38" i="14"/>
  <c r="J31" i="14"/>
  <c r="C3" i="13"/>
  <c r="E7" i="13"/>
  <c r="B3" i="13"/>
  <c r="Q47" i="15"/>
  <c r="O41" i="15"/>
  <c r="I41" i="15"/>
  <c r="O47" i="15" s="1"/>
  <c r="C41" i="15"/>
  <c r="Q41" i="15" s="1"/>
  <c r="AB32" i="15"/>
  <c r="X32" i="15"/>
  <c r="X31" i="15"/>
  <c r="W31" i="15"/>
  <c r="U31" i="15"/>
  <c r="D5" i="15" s="1"/>
  <c r="T31" i="15"/>
  <c r="C5" i="15" s="1"/>
  <c r="AA30" i="15"/>
  <c r="E4" i="15" s="1"/>
  <c r="AE26" i="15"/>
  <c r="B2" i="13" s="1"/>
  <c r="E7" i="15"/>
  <c r="D7" i="15"/>
  <c r="C7" i="15"/>
  <c r="B7" i="15"/>
  <c r="D4" i="15"/>
  <c r="C4" i="15"/>
  <c r="B4" i="15"/>
  <c r="O48" i="14"/>
  <c r="H27" i="14" s="1"/>
  <c r="I48" i="14"/>
  <c r="B27" i="14" s="1"/>
  <c r="O47" i="14"/>
  <c r="H26" i="14" s="1"/>
  <c r="I47" i="14"/>
  <c r="O46" i="14"/>
  <c r="I46" i="14"/>
  <c r="B25" i="14" s="1"/>
  <c r="O45" i="14"/>
  <c r="H24" i="14" s="1"/>
  <c r="I45" i="14"/>
  <c r="O44" i="14"/>
  <c r="H23" i="14" s="1"/>
  <c r="I44" i="14"/>
  <c r="B23" i="14" s="1"/>
  <c r="B44" i="14"/>
  <c r="O43" i="14"/>
  <c r="H22" i="14" s="1"/>
  <c r="I43" i="14"/>
  <c r="B22" i="14" s="1"/>
  <c r="O42" i="14"/>
  <c r="H21" i="14" s="1"/>
  <c r="I42" i="14"/>
  <c r="B21" i="14" s="1"/>
  <c r="O41" i="14"/>
  <c r="H20" i="14" s="1"/>
  <c r="I41" i="14"/>
  <c r="B20" i="14" s="1"/>
  <c r="AA38" i="14"/>
  <c r="W38" i="14"/>
  <c r="U38" i="14"/>
  <c r="S38" i="14"/>
  <c r="Y38" i="14" s="1"/>
  <c r="Q38" i="14"/>
  <c r="G28" i="14"/>
  <c r="G27" i="14"/>
  <c r="F27" i="14"/>
  <c r="D27" i="14"/>
  <c r="C27" i="14"/>
  <c r="G26" i="14"/>
  <c r="F26" i="14"/>
  <c r="D26" i="14"/>
  <c r="C26" i="14"/>
  <c r="G25" i="14"/>
  <c r="F25" i="14"/>
  <c r="D25" i="14"/>
  <c r="C25" i="14"/>
  <c r="G24" i="14"/>
  <c r="F24" i="14"/>
  <c r="D24" i="14"/>
  <c r="C24" i="14"/>
  <c r="G23" i="14"/>
  <c r="F23" i="14"/>
  <c r="D23" i="14"/>
  <c r="C23" i="14"/>
  <c r="Z22" i="14"/>
  <c r="G22" i="14"/>
  <c r="F22" i="14"/>
  <c r="D22" i="14"/>
  <c r="C22" i="14"/>
  <c r="G21" i="14"/>
  <c r="F21" i="14"/>
  <c r="D21" i="14"/>
  <c r="C21" i="14"/>
  <c r="G20" i="14"/>
  <c r="K20" i="14" s="1"/>
  <c r="F20" i="14"/>
  <c r="D20" i="14"/>
  <c r="C20" i="14"/>
  <c r="J19" i="14"/>
  <c r="Z12" i="14"/>
  <c r="Z2" i="14"/>
  <c r="Q48" i="12"/>
  <c r="Q47" i="12"/>
  <c r="O42" i="12"/>
  <c r="I42" i="12"/>
  <c r="Y32" i="12" s="1"/>
  <c r="D8" i="12" s="1"/>
  <c r="C42" i="12"/>
  <c r="P42" i="12" s="1"/>
  <c r="O41" i="12"/>
  <c r="I41" i="12"/>
  <c r="Y31" i="12" s="1"/>
  <c r="D7" i="12" s="1"/>
  <c r="C41" i="12"/>
  <c r="Q41" i="12" s="1"/>
  <c r="AB33" i="12"/>
  <c r="E9" i="12" s="1"/>
  <c r="N5" i="12" s="1"/>
  <c r="X33" i="12"/>
  <c r="X32" i="12"/>
  <c r="C8" i="12" s="1"/>
  <c r="W32" i="12"/>
  <c r="B8" i="12" s="1"/>
  <c r="U32" i="12"/>
  <c r="D6" i="12" s="1"/>
  <c r="T32" i="12"/>
  <c r="C6" i="12" s="1"/>
  <c r="S32" i="12"/>
  <c r="B6" i="12" s="1"/>
  <c r="X31" i="12"/>
  <c r="W31" i="12"/>
  <c r="B7" i="12" s="1"/>
  <c r="U31" i="12"/>
  <c r="D5" i="12" s="1"/>
  <c r="T31" i="12"/>
  <c r="C5" i="12" s="1"/>
  <c r="AA30" i="12"/>
  <c r="AE26" i="12"/>
  <c r="AF26" i="12" s="1"/>
  <c r="D9" i="12"/>
  <c r="C9" i="12"/>
  <c r="B9" i="12"/>
  <c r="E4" i="12"/>
  <c r="D4" i="12"/>
  <c r="N18" i="12" s="1"/>
  <c r="C4" i="12"/>
  <c r="N11" i="12" s="1"/>
  <c r="B4" i="12"/>
  <c r="N4" i="12" s="1"/>
  <c r="C4" i="13"/>
  <c r="Q50" i="10"/>
  <c r="Q49" i="10"/>
  <c r="Q48" i="10"/>
  <c r="Q47" i="10"/>
  <c r="O44" i="10"/>
  <c r="I44" i="10"/>
  <c r="Y34" i="10" s="1"/>
  <c r="D12" i="10" s="1"/>
  <c r="C44" i="10"/>
  <c r="P44" i="10" s="1"/>
  <c r="O43" i="10"/>
  <c r="I43" i="10"/>
  <c r="Y33" i="10" s="1"/>
  <c r="D11" i="10" s="1"/>
  <c r="C43" i="10"/>
  <c r="S33" i="10" s="1"/>
  <c r="B7" i="10" s="1"/>
  <c r="O42" i="10"/>
  <c r="I42" i="10"/>
  <c r="Y32" i="10" s="1"/>
  <c r="D10" i="10" s="1"/>
  <c r="C42" i="10"/>
  <c r="P42" i="10" s="1"/>
  <c r="O41" i="10"/>
  <c r="I41" i="10"/>
  <c r="O47" i="10" s="1"/>
  <c r="C41" i="10"/>
  <c r="P41" i="10" s="1"/>
  <c r="AB35" i="10"/>
  <c r="E13" i="10" s="1"/>
  <c r="P21" i="10" s="1"/>
  <c r="X35" i="10"/>
  <c r="X34" i="10"/>
  <c r="C12" i="10" s="1"/>
  <c r="W34" i="10"/>
  <c r="B12" i="10" s="1"/>
  <c r="U34" i="10"/>
  <c r="D8" i="10" s="1"/>
  <c r="T34" i="10"/>
  <c r="C8" i="10" s="1"/>
  <c r="X33" i="10"/>
  <c r="C11" i="10" s="1"/>
  <c r="W33" i="10"/>
  <c r="B11" i="10" s="1"/>
  <c r="U33" i="10"/>
  <c r="D7" i="10" s="1"/>
  <c r="T33" i="10"/>
  <c r="C7" i="10" s="1"/>
  <c r="X32" i="10"/>
  <c r="C10" i="10" s="1"/>
  <c r="W32" i="10"/>
  <c r="B10" i="10" s="1"/>
  <c r="U32" i="10"/>
  <c r="D6" i="10" s="1"/>
  <c r="T32" i="10"/>
  <c r="C6" i="10" s="1"/>
  <c r="X31" i="10"/>
  <c r="AG32" i="10" s="1"/>
  <c r="W31" i="10"/>
  <c r="B9" i="10" s="1"/>
  <c r="U31" i="10"/>
  <c r="D5" i="10" s="1"/>
  <c r="T31" i="10"/>
  <c r="C5" i="10" s="1"/>
  <c r="AA30" i="10"/>
  <c r="AE26" i="10"/>
  <c r="AF26" i="10" s="1"/>
  <c r="C5" i="13" s="1"/>
  <c r="D13" i="10"/>
  <c r="C13" i="10"/>
  <c r="B13" i="10"/>
  <c r="E4" i="10"/>
  <c r="D4" i="10"/>
  <c r="P18" i="10" s="1"/>
  <c r="C4" i="10"/>
  <c r="P11" i="10" s="1"/>
  <c r="B4" i="10"/>
  <c r="P4" i="10" s="1"/>
  <c r="Z2" i="2"/>
  <c r="D4" i="8"/>
  <c r="C4" i="8"/>
  <c r="B4" i="8"/>
  <c r="D4" i="7"/>
  <c r="C4" i="7"/>
  <c r="B4" i="7"/>
  <c r="D4" i="6"/>
  <c r="C4" i="6"/>
  <c r="B4" i="6"/>
  <c r="D4" i="5"/>
  <c r="C4" i="5"/>
  <c r="B4" i="5"/>
  <c r="C4" i="1"/>
  <c r="D4" i="1"/>
  <c r="B4" i="1"/>
  <c r="AB32" i="11" l="1"/>
  <c r="E9" i="11" s="1"/>
  <c r="E5" i="11"/>
  <c r="N12" i="11"/>
  <c r="N5" i="11"/>
  <c r="N19" i="11"/>
  <c r="N20" i="11"/>
  <c r="N6" i="11"/>
  <c r="N13" i="11"/>
  <c r="I16" i="14"/>
  <c r="K28" i="14" s="1"/>
  <c r="AH26" i="9"/>
  <c r="AI29" i="9" s="1"/>
  <c r="E10" i="9"/>
  <c r="B50" i="9"/>
  <c r="B52" i="9"/>
  <c r="J52" i="9"/>
  <c r="G62" i="9"/>
  <c r="J54" i="9"/>
  <c r="B51" i="9"/>
  <c r="H58" i="9"/>
  <c r="J50" i="9"/>
  <c r="AA33" i="9"/>
  <c r="E14" i="9"/>
  <c r="G61" i="9"/>
  <c r="J53" i="9"/>
  <c r="G59" i="9"/>
  <c r="J51" i="9"/>
  <c r="B54" i="9"/>
  <c r="B53" i="9"/>
  <c r="O15" i="9"/>
  <c r="O22" i="9"/>
  <c r="O8" i="9"/>
  <c r="B4" i="13"/>
  <c r="B5" i="13"/>
  <c r="E20" i="14"/>
  <c r="M21" i="14"/>
  <c r="K5" i="14" s="1"/>
  <c r="M23" i="14"/>
  <c r="K7" i="14" s="1"/>
  <c r="E27" i="14"/>
  <c r="M27" i="14"/>
  <c r="K11" i="14" s="1"/>
  <c r="E25" i="14"/>
  <c r="N24" i="14"/>
  <c r="L8" i="14" s="1"/>
  <c r="N26" i="14"/>
  <c r="L10" i="14" s="1"/>
  <c r="M20" i="14"/>
  <c r="K4" i="14" s="1"/>
  <c r="E21" i="14"/>
  <c r="M22" i="14"/>
  <c r="K6" i="14" s="1"/>
  <c r="L22" i="14"/>
  <c r="J6" i="14" s="1"/>
  <c r="N22" i="14"/>
  <c r="L6" i="14" s="1"/>
  <c r="M25" i="14"/>
  <c r="K9" i="14" s="1"/>
  <c r="L20" i="14"/>
  <c r="J4" i="14" s="1"/>
  <c r="N20" i="14"/>
  <c r="L4" i="14" s="1"/>
  <c r="L21" i="14"/>
  <c r="J5" i="14" s="1"/>
  <c r="N21" i="14"/>
  <c r="L5" i="14" s="1"/>
  <c r="E22" i="14"/>
  <c r="E23" i="14"/>
  <c r="AF26" i="15"/>
  <c r="C2" i="13" s="1"/>
  <c r="Y31" i="15"/>
  <c r="D6" i="15" s="1"/>
  <c r="I5" i="15" s="1"/>
  <c r="C6" i="15"/>
  <c r="H5" i="15" s="1"/>
  <c r="S31" i="15"/>
  <c r="B5" i="15" s="1"/>
  <c r="M41" i="15"/>
  <c r="M11" i="15"/>
  <c r="M4" i="15"/>
  <c r="M18" i="15"/>
  <c r="L47" i="15"/>
  <c r="N47" i="15"/>
  <c r="P47" i="15"/>
  <c r="B6" i="15"/>
  <c r="AD31" i="15"/>
  <c r="L41" i="15"/>
  <c r="N41" i="15"/>
  <c r="P41" i="15"/>
  <c r="M47" i="15"/>
  <c r="D15" i="14"/>
  <c r="D7" i="13" s="1"/>
  <c r="I4" i="14"/>
  <c r="M24" i="14"/>
  <c r="K8" i="14" s="1"/>
  <c r="M26" i="14"/>
  <c r="K10" i="14" s="1"/>
  <c r="P56" i="14"/>
  <c r="P54" i="14"/>
  <c r="P52" i="14"/>
  <c r="P57" i="14"/>
  <c r="P53" i="14"/>
  <c r="S41" i="14"/>
  <c r="P42" i="14"/>
  <c r="S46" i="14"/>
  <c r="B26" i="14"/>
  <c r="P47" i="14"/>
  <c r="P51" i="14"/>
  <c r="S54" i="14"/>
  <c r="L23" i="14"/>
  <c r="J7" i="14" s="1"/>
  <c r="N23" i="14"/>
  <c r="L7" i="14" s="1"/>
  <c r="L25" i="14"/>
  <c r="J9" i="14" s="1"/>
  <c r="H25" i="14"/>
  <c r="N25" i="14" s="1"/>
  <c r="L9" i="14" s="1"/>
  <c r="L27" i="14"/>
  <c r="J11" i="14" s="1"/>
  <c r="N27" i="14"/>
  <c r="L11" i="14" s="1"/>
  <c r="S57" i="14"/>
  <c r="S55" i="14"/>
  <c r="S53" i="14"/>
  <c r="S51" i="14"/>
  <c r="S56" i="14"/>
  <c r="S52" i="14"/>
  <c r="S50" i="14"/>
  <c r="S47" i="14"/>
  <c r="S45" i="14"/>
  <c r="S42" i="14"/>
  <c r="S43" i="14"/>
  <c r="T38" i="14"/>
  <c r="Z38" i="14" s="1"/>
  <c r="R38" i="14"/>
  <c r="P38" i="14"/>
  <c r="S44" i="14"/>
  <c r="B24" i="14"/>
  <c r="P45" i="14"/>
  <c r="S48" i="14"/>
  <c r="P50" i="14"/>
  <c r="P55" i="14"/>
  <c r="P41" i="14"/>
  <c r="P43" i="14"/>
  <c r="P44" i="14"/>
  <c r="P46" i="14"/>
  <c r="P48" i="14"/>
  <c r="I5" i="12"/>
  <c r="S31" i="12"/>
  <c r="B5" i="12" s="1"/>
  <c r="G5" i="12" s="1"/>
  <c r="G6" i="12"/>
  <c r="C7" i="12"/>
  <c r="H5" i="12" s="1"/>
  <c r="I6" i="12"/>
  <c r="AA32" i="12"/>
  <c r="AI26" i="12" s="1"/>
  <c r="F3" i="13" s="1"/>
  <c r="Z31" i="12"/>
  <c r="AE31" i="12"/>
  <c r="V32" i="12"/>
  <c r="H6" i="12"/>
  <c r="AC32" i="12"/>
  <c r="AE32" i="12"/>
  <c r="AD31" i="12"/>
  <c r="AD32" i="12"/>
  <c r="M42" i="12"/>
  <c r="Q42" i="12"/>
  <c r="N12" i="12"/>
  <c r="N19" i="12"/>
  <c r="Z32" i="12"/>
  <c r="L41" i="12"/>
  <c r="N41" i="12"/>
  <c r="P41" i="12"/>
  <c r="L47" i="12"/>
  <c r="N47" i="12"/>
  <c r="P47" i="12"/>
  <c r="M48" i="12"/>
  <c r="O48" i="12"/>
  <c r="M41" i="12"/>
  <c r="L42" i="12"/>
  <c r="N42" i="12"/>
  <c r="M47" i="12"/>
  <c r="O47" i="12"/>
  <c r="L48" i="12"/>
  <c r="N48" i="12"/>
  <c r="P48" i="12"/>
  <c r="P7" i="10"/>
  <c r="S31" i="10"/>
  <c r="B5" i="10" s="1"/>
  <c r="G5" i="10" s="1"/>
  <c r="H8" i="10"/>
  <c r="C9" i="10"/>
  <c r="H5" i="10" s="1"/>
  <c r="Y31" i="10"/>
  <c r="D9" i="10" s="1"/>
  <c r="I5" i="10" s="1"/>
  <c r="H7" i="10"/>
  <c r="I6" i="10"/>
  <c r="S32" i="10"/>
  <c r="B6" i="10" s="1"/>
  <c r="G6" i="10" s="1"/>
  <c r="AD33" i="10"/>
  <c r="S34" i="10"/>
  <c r="AE32" i="10"/>
  <c r="H6" i="10"/>
  <c r="G7" i="10"/>
  <c r="I7" i="10"/>
  <c r="AD34" i="10"/>
  <c r="I8" i="10"/>
  <c r="AD31" i="10"/>
  <c r="AD32" i="10"/>
  <c r="V33" i="10"/>
  <c r="AC33" i="10"/>
  <c r="AE33" i="10"/>
  <c r="AE34" i="10"/>
  <c r="M42" i="10"/>
  <c r="Q42" i="10"/>
  <c r="M44" i="10"/>
  <c r="Q44" i="10"/>
  <c r="G9" i="10"/>
  <c r="Z34" i="10"/>
  <c r="N41" i="10"/>
  <c r="P14" i="10"/>
  <c r="Z32" i="10"/>
  <c r="Z33" i="10"/>
  <c r="Q41" i="10"/>
  <c r="M41" i="10"/>
  <c r="L41" i="10"/>
  <c r="P48" i="10"/>
  <c r="N48" i="10"/>
  <c r="L48" i="10"/>
  <c r="O48" i="10"/>
  <c r="M48" i="10"/>
  <c r="Q43" i="10"/>
  <c r="M43" i="10"/>
  <c r="P43" i="10"/>
  <c r="N43" i="10"/>
  <c r="L43" i="10"/>
  <c r="L47" i="10"/>
  <c r="N47" i="10"/>
  <c r="P47" i="10"/>
  <c r="L49" i="10"/>
  <c r="N49" i="10"/>
  <c r="P49" i="10"/>
  <c r="M50" i="10"/>
  <c r="O50" i="10"/>
  <c r="L42" i="10"/>
  <c r="N42" i="10"/>
  <c r="L44" i="10"/>
  <c r="N44" i="10"/>
  <c r="M47" i="10"/>
  <c r="M49" i="10"/>
  <c r="O49" i="10"/>
  <c r="L50" i="10"/>
  <c r="N50" i="10"/>
  <c r="P50" i="10"/>
  <c r="Q50" i="5"/>
  <c r="Q49" i="5"/>
  <c r="Q48" i="5"/>
  <c r="Q47" i="5"/>
  <c r="O44" i="5"/>
  <c r="I44" i="5"/>
  <c r="Y34" i="5" s="1"/>
  <c r="D12" i="5" s="1"/>
  <c r="C44" i="5"/>
  <c r="P44" i="5" s="1"/>
  <c r="O43" i="5"/>
  <c r="I43" i="5"/>
  <c r="Y33" i="5" s="1"/>
  <c r="D11" i="5" s="1"/>
  <c r="C43" i="5"/>
  <c r="Q43" i="5" s="1"/>
  <c r="O42" i="5"/>
  <c r="I42" i="5"/>
  <c r="Y32" i="5" s="1"/>
  <c r="D10" i="5" s="1"/>
  <c r="C42" i="5"/>
  <c r="P42" i="5" s="1"/>
  <c r="O41" i="5"/>
  <c r="I41" i="5"/>
  <c r="Y31" i="5" s="1"/>
  <c r="C41" i="5"/>
  <c r="Q41" i="5" s="1"/>
  <c r="AB35" i="5"/>
  <c r="E13" i="5" s="1"/>
  <c r="P21" i="5" s="1"/>
  <c r="X35" i="5"/>
  <c r="X34" i="5"/>
  <c r="C12" i="5" s="1"/>
  <c r="W34" i="5"/>
  <c r="B12" i="5" s="1"/>
  <c r="U34" i="5"/>
  <c r="D8" i="5" s="1"/>
  <c r="T34" i="5"/>
  <c r="C8" i="5" s="1"/>
  <c r="X33" i="5"/>
  <c r="C11" i="5" s="1"/>
  <c r="W33" i="5"/>
  <c r="B11" i="5" s="1"/>
  <c r="U33" i="5"/>
  <c r="D7" i="5" s="1"/>
  <c r="T33" i="5"/>
  <c r="C7" i="5" s="1"/>
  <c r="X32" i="5"/>
  <c r="C10" i="5" s="1"/>
  <c r="W32" i="5"/>
  <c r="B10" i="5" s="1"/>
  <c r="U32" i="5"/>
  <c r="D6" i="5" s="1"/>
  <c r="T32" i="5"/>
  <c r="C6" i="5" s="1"/>
  <c r="X31" i="5"/>
  <c r="C9" i="5" s="1"/>
  <c r="W31" i="5"/>
  <c r="B9" i="5" s="1"/>
  <c r="U31" i="5"/>
  <c r="D5" i="5" s="1"/>
  <c r="T31" i="5"/>
  <c r="C5" i="5" s="1"/>
  <c r="AA30" i="5"/>
  <c r="AE26" i="5"/>
  <c r="AF26" i="5" s="1"/>
  <c r="D13" i="5"/>
  <c r="C13" i="5"/>
  <c r="B13" i="5"/>
  <c r="E4" i="5"/>
  <c r="P18" i="5" s="1"/>
  <c r="J27" i="14" l="1"/>
  <c r="H11" i="14" s="1"/>
  <c r="L19" i="11"/>
  <c r="L5" i="11"/>
  <c r="L12" i="11"/>
  <c r="L11" i="11"/>
  <c r="L4" i="11"/>
  <c r="L18" i="11"/>
  <c r="M18" i="11"/>
  <c r="M11" i="11"/>
  <c r="M4" i="11"/>
  <c r="M12" i="11"/>
  <c r="M5" i="11"/>
  <c r="M19" i="11"/>
  <c r="AB34" i="9"/>
  <c r="E7" i="9"/>
  <c r="P21" i="9"/>
  <c r="P14" i="9"/>
  <c r="P7" i="9"/>
  <c r="P22" i="9"/>
  <c r="P8" i="9"/>
  <c r="P15" i="9"/>
  <c r="AA34" i="10"/>
  <c r="AB31" i="10" s="1"/>
  <c r="AH26" i="10" s="1"/>
  <c r="AG36" i="10"/>
  <c r="AG34" i="10" s="1"/>
  <c r="S34" i="5"/>
  <c r="V31" i="15"/>
  <c r="AE31" i="15"/>
  <c r="Z31" i="15"/>
  <c r="AC31" i="15"/>
  <c r="AA31" i="15"/>
  <c r="AB31" i="15" s="1"/>
  <c r="G5" i="15"/>
  <c r="R47" i="15"/>
  <c r="U47" i="15" s="1"/>
  <c r="T41" i="15"/>
  <c r="W41" i="15" s="1"/>
  <c r="T47" i="15"/>
  <c r="W47" i="15" s="1"/>
  <c r="R41" i="15"/>
  <c r="U41" i="15" s="1"/>
  <c r="S41" i="15"/>
  <c r="V41" i="15" s="1"/>
  <c r="S47" i="15"/>
  <c r="V47" i="15" s="1"/>
  <c r="V38" i="14"/>
  <c r="T50" i="14"/>
  <c r="T47" i="14"/>
  <c r="L26" i="14"/>
  <c r="J10" i="14" s="1"/>
  <c r="E26" i="14"/>
  <c r="L24" i="14"/>
  <c r="J8" i="14" s="1"/>
  <c r="E24" i="14"/>
  <c r="X38" i="14"/>
  <c r="U46" i="14"/>
  <c r="U56" i="14"/>
  <c r="U44" i="14"/>
  <c r="U47" i="14"/>
  <c r="U42" i="14"/>
  <c r="AC31" i="12"/>
  <c r="AB31" i="12"/>
  <c r="E6" i="12"/>
  <c r="V31" i="12"/>
  <c r="S48" i="12"/>
  <c r="V48" i="12" s="1"/>
  <c r="AA31" i="12"/>
  <c r="AB32" i="12" s="1"/>
  <c r="E8" i="12" s="1"/>
  <c r="R42" i="12"/>
  <c r="U42" i="12" s="1"/>
  <c r="S41" i="12"/>
  <c r="V41" i="12" s="1"/>
  <c r="T48" i="12"/>
  <c r="W48" i="12" s="1"/>
  <c r="T41" i="12"/>
  <c r="W41" i="12" s="1"/>
  <c r="T47" i="12"/>
  <c r="W47" i="12" s="1"/>
  <c r="R41" i="12"/>
  <c r="U41" i="12" s="1"/>
  <c r="T42" i="12"/>
  <c r="W42" i="12" s="1"/>
  <c r="R47" i="12"/>
  <c r="U47" i="12" s="1"/>
  <c r="R48" i="12"/>
  <c r="U48" i="12" s="1"/>
  <c r="S47" i="12"/>
  <c r="V47" i="12" s="1"/>
  <c r="S42" i="12"/>
  <c r="V42" i="12" s="1"/>
  <c r="V31" i="10"/>
  <c r="AC31" i="10"/>
  <c r="Z31" i="10"/>
  <c r="AE31" i="10"/>
  <c r="AC34" i="10"/>
  <c r="AC32" i="10"/>
  <c r="V32" i="10"/>
  <c r="R41" i="10"/>
  <c r="U41" i="10" s="1"/>
  <c r="T50" i="10"/>
  <c r="W50" i="10" s="1"/>
  <c r="R44" i="10"/>
  <c r="U44" i="10" s="1"/>
  <c r="T48" i="10"/>
  <c r="W48" i="10" s="1"/>
  <c r="V34" i="10"/>
  <c r="B8" i="10"/>
  <c r="G8" i="10" s="1"/>
  <c r="S47" i="10"/>
  <c r="V47" i="10" s="1"/>
  <c r="R47" i="10"/>
  <c r="U47" i="10" s="1"/>
  <c r="S50" i="10"/>
  <c r="V50" i="10" s="1"/>
  <c r="T44" i="10"/>
  <c r="W44" i="10" s="1"/>
  <c r="T42" i="10"/>
  <c r="W42" i="10" s="1"/>
  <c r="S41" i="10"/>
  <c r="V41" i="10" s="1"/>
  <c r="R50" i="10"/>
  <c r="U50" i="10" s="1"/>
  <c r="S44" i="10"/>
  <c r="V44" i="10" s="1"/>
  <c r="T43" i="10"/>
  <c r="W43" i="10" s="1"/>
  <c r="S48" i="10"/>
  <c r="V48" i="10" s="1"/>
  <c r="T41" i="10"/>
  <c r="W41" i="10" s="1"/>
  <c r="T49" i="10"/>
  <c r="W49" i="10" s="1"/>
  <c r="R49" i="10"/>
  <c r="U49" i="10" s="1"/>
  <c r="S42" i="10"/>
  <c r="V42" i="10" s="1"/>
  <c r="S49" i="10"/>
  <c r="V49" i="10" s="1"/>
  <c r="T47" i="10"/>
  <c r="W47" i="10" s="1"/>
  <c r="R43" i="10"/>
  <c r="U43" i="10" s="1"/>
  <c r="S43" i="10"/>
  <c r="V43" i="10" s="1"/>
  <c r="R42" i="10"/>
  <c r="U42" i="10" s="1"/>
  <c r="R48" i="10"/>
  <c r="U48" i="10" s="1"/>
  <c r="S32" i="5"/>
  <c r="B6" i="5" s="1"/>
  <c r="G6" i="5" s="1"/>
  <c r="S31" i="5"/>
  <c r="B5" i="5" s="1"/>
  <c r="G5" i="5" s="1"/>
  <c r="I7" i="5"/>
  <c r="S33" i="5"/>
  <c r="B7" i="5" s="1"/>
  <c r="G7" i="5" s="1"/>
  <c r="H6" i="5"/>
  <c r="I6" i="5"/>
  <c r="H7" i="5"/>
  <c r="I8" i="5"/>
  <c r="G9" i="5"/>
  <c r="AE32" i="5"/>
  <c r="AE33" i="5"/>
  <c r="AD32" i="5"/>
  <c r="AD33" i="5"/>
  <c r="AD34" i="5"/>
  <c r="M41" i="5"/>
  <c r="M43" i="5"/>
  <c r="H5" i="5"/>
  <c r="H8" i="5"/>
  <c r="AD31" i="5"/>
  <c r="AE34" i="5"/>
  <c r="AE31" i="5"/>
  <c r="D9" i="5"/>
  <c r="I5" i="5" s="1"/>
  <c r="P4" i="5"/>
  <c r="P7" i="5"/>
  <c r="P14" i="5"/>
  <c r="Z32" i="5"/>
  <c r="AG32" i="5"/>
  <c r="Z33" i="5"/>
  <c r="N42" i="5"/>
  <c r="P11" i="5"/>
  <c r="Z31" i="5"/>
  <c r="Z34" i="5"/>
  <c r="O47" i="5"/>
  <c r="M47" i="5"/>
  <c r="P47" i="5"/>
  <c r="N47" i="5"/>
  <c r="L47" i="5"/>
  <c r="Q42" i="5"/>
  <c r="M42" i="5"/>
  <c r="L42" i="5"/>
  <c r="O49" i="5"/>
  <c r="M49" i="5"/>
  <c r="P49" i="5"/>
  <c r="N49" i="5"/>
  <c r="L49" i="5"/>
  <c r="L41" i="5"/>
  <c r="N41" i="5"/>
  <c r="P41" i="5"/>
  <c r="L43" i="5"/>
  <c r="N43" i="5"/>
  <c r="P43" i="5"/>
  <c r="M44" i="5"/>
  <c r="Q44" i="5"/>
  <c r="M48" i="5"/>
  <c r="O48" i="5"/>
  <c r="M50" i="5"/>
  <c r="O50" i="5"/>
  <c r="L44" i="5"/>
  <c r="N44" i="5"/>
  <c r="L48" i="5"/>
  <c r="N48" i="5"/>
  <c r="P48" i="5"/>
  <c r="L50" i="5"/>
  <c r="N50" i="5"/>
  <c r="P50" i="5"/>
  <c r="T4" i="11" l="1" a="1"/>
  <c r="T18" i="11" a="1"/>
  <c r="T11" i="11" a="1"/>
  <c r="E8" i="10"/>
  <c r="AA32" i="9"/>
  <c r="E13" i="9"/>
  <c r="N21" i="9"/>
  <c r="N14" i="9"/>
  <c r="N7" i="9"/>
  <c r="AA33" i="10"/>
  <c r="E7" i="10" s="1"/>
  <c r="N14" i="10" s="1"/>
  <c r="AI26" i="10"/>
  <c r="F5" i="13" s="1"/>
  <c r="B8" i="5"/>
  <c r="G8" i="5" s="1"/>
  <c r="AG36" i="5"/>
  <c r="AC34" i="5"/>
  <c r="V34" i="5"/>
  <c r="AA34" i="5"/>
  <c r="AB31" i="5" s="1"/>
  <c r="AH26" i="5" s="1"/>
  <c r="AI30" i="5" s="1"/>
  <c r="AC33" i="5"/>
  <c r="AC32" i="5"/>
  <c r="V31" i="5"/>
  <c r="AI30" i="10"/>
  <c r="E5" i="13"/>
  <c r="X41" i="15"/>
  <c r="G50" i="15" s="1"/>
  <c r="G58" i="15" s="1"/>
  <c r="AI26" i="15"/>
  <c r="F2" i="13" s="1"/>
  <c r="AC37" i="15"/>
  <c r="E5" i="15"/>
  <c r="Z47" i="15"/>
  <c r="E50" i="15" s="1"/>
  <c r="E58" i="15" s="1"/>
  <c r="Y47" i="15"/>
  <c r="D50" i="15" s="1"/>
  <c r="D58" i="15" s="1"/>
  <c r="X47" i="15"/>
  <c r="C50" i="15" s="1"/>
  <c r="C58" i="15" s="1"/>
  <c r="AG26" i="15"/>
  <c r="D2" i="13" s="1"/>
  <c r="AH26" i="15"/>
  <c r="E6" i="15"/>
  <c r="Y41" i="15"/>
  <c r="H50" i="15" s="1"/>
  <c r="H58" i="15" s="1"/>
  <c r="Z41" i="15"/>
  <c r="I50" i="15" s="1"/>
  <c r="I58" i="15" s="1"/>
  <c r="R56" i="14"/>
  <c r="R54" i="14"/>
  <c r="R52" i="14"/>
  <c r="R55" i="14"/>
  <c r="R51" i="14"/>
  <c r="R48" i="14"/>
  <c r="R46" i="14"/>
  <c r="R44" i="14"/>
  <c r="R43" i="14"/>
  <c r="R41" i="14"/>
  <c r="R57" i="14"/>
  <c r="R47" i="14"/>
  <c r="R42" i="14"/>
  <c r="R53" i="14"/>
  <c r="R50" i="14"/>
  <c r="R45" i="14"/>
  <c r="U54" i="14"/>
  <c r="U53" i="14"/>
  <c r="U57" i="14"/>
  <c r="Q57" i="14"/>
  <c r="Q55" i="14"/>
  <c r="Q53" i="14"/>
  <c r="Q51" i="14"/>
  <c r="Q54" i="14"/>
  <c r="Q50" i="14"/>
  <c r="Q47" i="14"/>
  <c r="Q45" i="14"/>
  <c r="Q42" i="14"/>
  <c r="Q56" i="14"/>
  <c r="Q46" i="14"/>
  <c r="Q41" i="14"/>
  <c r="Q52" i="14"/>
  <c r="Q48" i="14"/>
  <c r="Q44" i="14"/>
  <c r="Q43" i="14"/>
  <c r="T42" i="14"/>
  <c r="T45" i="14"/>
  <c r="T46" i="14"/>
  <c r="T41" i="14"/>
  <c r="T43" i="14"/>
  <c r="T48" i="14"/>
  <c r="T57" i="14"/>
  <c r="T54" i="14"/>
  <c r="U43" i="14"/>
  <c r="U48" i="14"/>
  <c r="U41" i="14"/>
  <c r="U52" i="14"/>
  <c r="U50" i="14"/>
  <c r="U51" i="14"/>
  <c r="U55" i="14"/>
  <c r="Z19" i="14"/>
  <c r="B15" i="14"/>
  <c r="B7" i="13" s="1"/>
  <c r="Z29" i="14"/>
  <c r="C15" i="14"/>
  <c r="C7" i="13" s="1"/>
  <c r="I12" i="14"/>
  <c r="Z9" i="14"/>
  <c r="T44" i="14"/>
  <c r="T55" i="14"/>
  <c r="T51" i="14"/>
  <c r="T53" i="14"/>
  <c r="T52" i="14"/>
  <c r="T56" i="14"/>
  <c r="U45" i="14"/>
  <c r="E5" i="12"/>
  <c r="L5" i="12" s="1"/>
  <c r="E7" i="12"/>
  <c r="Z42" i="12"/>
  <c r="I51" i="12" s="1"/>
  <c r="I59" i="12" s="1"/>
  <c r="AG26" i="12"/>
  <c r="D3" i="13" s="1"/>
  <c r="AC37" i="12"/>
  <c r="AH26" i="12"/>
  <c r="Y47" i="12"/>
  <c r="D50" i="12" s="1"/>
  <c r="D58" i="12" s="1"/>
  <c r="Y42" i="12"/>
  <c r="H51" i="12" s="1"/>
  <c r="H59" i="12" s="1"/>
  <c r="X48" i="12"/>
  <c r="C51" i="12" s="1"/>
  <c r="C59" i="12" s="1"/>
  <c r="X47" i="12"/>
  <c r="C50" i="12" s="1"/>
  <c r="C58" i="12" s="1"/>
  <c r="M12" i="12"/>
  <c r="M19" i="12"/>
  <c r="Z47" i="12"/>
  <c r="E50" i="12" s="1"/>
  <c r="E58" i="12" s="1"/>
  <c r="M5" i="12"/>
  <c r="X41" i="12"/>
  <c r="G50" i="12" s="1"/>
  <c r="M18" i="12"/>
  <c r="M11" i="12"/>
  <c r="M4" i="12"/>
  <c r="Y41" i="12"/>
  <c r="H50" i="12" s="1"/>
  <c r="H58" i="12" s="1"/>
  <c r="Y48" i="12"/>
  <c r="D51" i="12" s="1"/>
  <c r="D59" i="12" s="1"/>
  <c r="Z41" i="12"/>
  <c r="I50" i="12" s="1"/>
  <c r="I58" i="12" s="1"/>
  <c r="X42" i="12"/>
  <c r="G51" i="12" s="1"/>
  <c r="Z48" i="12"/>
  <c r="E51" i="12" s="1"/>
  <c r="E59" i="12" s="1"/>
  <c r="F4" i="13"/>
  <c r="X50" i="10"/>
  <c r="C53" i="10" s="1"/>
  <c r="C61" i="10" s="1"/>
  <c r="X43" i="10"/>
  <c r="G52" i="10" s="1"/>
  <c r="G60" i="10" s="1"/>
  <c r="E9" i="10"/>
  <c r="AG38" i="10"/>
  <c r="Z44" i="10"/>
  <c r="I53" i="10" s="1"/>
  <c r="I61" i="10" s="1"/>
  <c r="AG26" i="10"/>
  <c r="D5" i="13" s="1"/>
  <c r="Y44" i="10"/>
  <c r="H53" i="10" s="1"/>
  <c r="H61" i="10" s="1"/>
  <c r="X41" i="10"/>
  <c r="G50" i="10" s="1"/>
  <c r="G58" i="10" s="1"/>
  <c r="Z47" i="10"/>
  <c r="E50" i="10" s="1"/>
  <c r="E58" i="10" s="1"/>
  <c r="Y42" i="10"/>
  <c r="H51" i="10" s="1"/>
  <c r="H59" i="10" s="1"/>
  <c r="Z48" i="10"/>
  <c r="E51" i="10" s="1"/>
  <c r="E59" i="10" s="1"/>
  <c r="Y50" i="10"/>
  <c r="D53" i="10" s="1"/>
  <c r="D61" i="10" s="1"/>
  <c r="Y41" i="10"/>
  <c r="H50" i="10" s="1"/>
  <c r="H58" i="10" s="1"/>
  <c r="X47" i="10"/>
  <c r="C50" i="10" s="1"/>
  <c r="C58" i="10" s="1"/>
  <c r="X48" i="10"/>
  <c r="C51" i="10" s="1"/>
  <c r="C59" i="10" s="1"/>
  <c r="Y43" i="10"/>
  <c r="H52" i="10" s="1"/>
  <c r="H60" i="10" s="1"/>
  <c r="Z49" i="10"/>
  <c r="E52" i="10" s="1"/>
  <c r="E60" i="10" s="1"/>
  <c r="Y47" i="10"/>
  <c r="D50" i="10" s="1"/>
  <c r="D58" i="10" s="1"/>
  <c r="Z42" i="10"/>
  <c r="I51" i="10" s="1"/>
  <c r="I59" i="10" s="1"/>
  <c r="Z50" i="10"/>
  <c r="E53" i="10" s="1"/>
  <c r="E61" i="10" s="1"/>
  <c r="Z41" i="10"/>
  <c r="I50" i="10" s="1"/>
  <c r="I58" i="10" s="1"/>
  <c r="Y48" i="10"/>
  <c r="D51" i="10" s="1"/>
  <c r="D59" i="10" s="1"/>
  <c r="X44" i="10"/>
  <c r="G53" i="10" s="1"/>
  <c r="X42" i="10"/>
  <c r="G51" i="10" s="1"/>
  <c r="Y49" i="10"/>
  <c r="D52" i="10" s="1"/>
  <c r="D60" i="10" s="1"/>
  <c r="X49" i="10"/>
  <c r="C52" i="10" s="1"/>
  <c r="Z43" i="10"/>
  <c r="I52" i="10" s="1"/>
  <c r="I60" i="10" s="1"/>
  <c r="V32" i="5"/>
  <c r="V33" i="5"/>
  <c r="AC31" i="5"/>
  <c r="S50" i="5"/>
  <c r="V50" i="5" s="1"/>
  <c r="T48" i="5"/>
  <c r="W48" i="5" s="1"/>
  <c r="T41" i="5"/>
  <c r="W41" i="5" s="1"/>
  <c r="S42" i="5"/>
  <c r="V42" i="5" s="1"/>
  <c r="R43" i="5"/>
  <c r="U43" i="5" s="1"/>
  <c r="T49" i="5"/>
  <c r="W49" i="5" s="1"/>
  <c r="T47" i="5"/>
  <c r="W47" i="5" s="1"/>
  <c r="S44" i="5"/>
  <c r="V44" i="5" s="1"/>
  <c r="T43" i="5"/>
  <c r="W43" i="5" s="1"/>
  <c r="S41" i="5"/>
  <c r="V41" i="5" s="1"/>
  <c r="R41" i="5"/>
  <c r="U41" i="5" s="1"/>
  <c r="T50" i="5"/>
  <c r="W50" i="5" s="1"/>
  <c r="S48" i="5"/>
  <c r="V48" i="5" s="1"/>
  <c r="R44" i="5"/>
  <c r="U44" i="5" s="1"/>
  <c r="R50" i="5"/>
  <c r="U50" i="5" s="1"/>
  <c r="R48" i="5"/>
  <c r="U48" i="5" s="1"/>
  <c r="T44" i="5"/>
  <c r="W44" i="5" s="1"/>
  <c r="S43" i="5"/>
  <c r="V43" i="5" s="1"/>
  <c r="S49" i="5"/>
  <c r="V49" i="5" s="1"/>
  <c r="R49" i="5"/>
  <c r="U49" i="5" s="1"/>
  <c r="R42" i="5"/>
  <c r="U42" i="5" s="1"/>
  <c r="T42" i="5"/>
  <c r="W42" i="5" s="1"/>
  <c r="R47" i="5"/>
  <c r="U47" i="5" s="1"/>
  <c r="S47" i="5"/>
  <c r="V47" i="5" s="1"/>
  <c r="Q47" i="8"/>
  <c r="O41" i="8"/>
  <c r="I41" i="8"/>
  <c r="Y31" i="8" s="1"/>
  <c r="C41" i="8"/>
  <c r="S31" i="8" s="1"/>
  <c r="X32" i="8"/>
  <c r="X31" i="8"/>
  <c r="W31" i="8"/>
  <c r="B6" i="8" s="1"/>
  <c r="U31" i="8"/>
  <c r="D5" i="8" s="1"/>
  <c r="T31" i="8"/>
  <c r="C5" i="8" s="1"/>
  <c r="AA30" i="8"/>
  <c r="D7" i="8"/>
  <c r="C7" i="8"/>
  <c r="B7" i="8"/>
  <c r="E4" i="8"/>
  <c r="Q48" i="7"/>
  <c r="Q47" i="7"/>
  <c r="O42" i="7"/>
  <c r="I42" i="7"/>
  <c r="O48" i="7" s="1"/>
  <c r="C42" i="7"/>
  <c r="Q42" i="7" s="1"/>
  <c r="O41" i="7"/>
  <c r="I41" i="7"/>
  <c r="Y31" i="7" s="1"/>
  <c r="D7" i="7" s="1"/>
  <c r="C41" i="7"/>
  <c r="Q41" i="7" s="1"/>
  <c r="X33" i="7"/>
  <c r="X32" i="7"/>
  <c r="W32" i="7"/>
  <c r="B8" i="7" s="1"/>
  <c r="U32" i="7"/>
  <c r="D6" i="7" s="1"/>
  <c r="T32" i="7"/>
  <c r="C6" i="7" s="1"/>
  <c r="X31" i="7"/>
  <c r="W31" i="7"/>
  <c r="U31" i="7"/>
  <c r="D5" i="7" s="1"/>
  <c r="T31" i="7"/>
  <c r="C5" i="7" s="1"/>
  <c r="AA30" i="7"/>
  <c r="D9" i="7"/>
  <c r="C9" i="7"/>
  <c r="B9" i="7"/>
  <c r="E4" i="7"/>
  <c r="N18" i="7" s="1"/>
  <c r="V13" i="11" l="1"/>
  <c r="T13" i="11"/>
  <c r="U12" i="11"/>
  <c r="V11" i="11"/>
  <c r="T11" i="11"/>
  <c r="U13" i="11"/>
  <c r="V12" i="11"/>
  <c r="T12" i="11"/>
  <c r="U11" i="11"/>
  <c r="V6" i="11"/>
  <c r="U6" i="11"/>
  <c r="V5" i="11"/>
  <c r="T5" i="11"/>
  <c r="U4" i="11"/>
  <c r="U5" i="11"/>
  <c r="T4" i="11"/>
  <c r="V4" i="11"/>
  <c r="T6" i="11"/>
  <c r="U20" i="11"/>
  <c r="V19" i="11"/>
  <c r="T19" i="11"/>
  <c r="U18" i="11"/>
  <c r="V20" i="11"/>
  <c r="T20" i="11"/>
  <c r="U19" i="11"/>
  <c r="V18" i="11"/>
  <c r="T18" i="11"/>
  <c r="W44" i="14"/>
  <c r="Z44" i="14" s="1"/>
  <c r="O13" i="9"/>
  <c r="O20" i="9"/>
  <c r="O6" i="9"/>
  <c r="O14" i="9"/>
  <c r="O21" i="9"/>
  <c r="O7" i="9"/>
  <c r="AB33" i="9"/>
  <c r="E6" i="9"/>
  <c r="AI30" i="12"/>
  <c r="E3" i="13"/>
  <c r="N21" i="10"/>
  <c r="AB34" i="10"/>
  <c r="E12" i="10" s="1"/>
  <c r="O20" i="10" s="1"/>
  <c r="N7" i="10"/>
  <c r="AI26" i="5"/>
  <c r="AG26" i="5"/>
  <c r="AA33" i="5"/>
  <c r="AB34" i="5" s="1"/>
  <c r="AA32" i="5" s="1"/>
  <c r="E9" i="5"/>
  <c r="E8" i="5"/>
  <c r="Z47" i="5"/>
  <c r="E50" i="5" s="1"/>
  <c r="E58" i="5" s="1"/>
  <c r="W47" i="14"/>
  <c r="Z47" i="14" s="1"/>
  <c r="V47" i="14"/>
  <c r="Y47" i="14" s="1"/>
  <c r="W56" i="14"/>
  <c r="Z56" i="14" s="1"/>
  <c r="V54" i="14"/>
  <c r="Y54" i="14" s="1"/>
  <c r="W53" i="14"/>
  <c r="Z53" i="14" s="1"/>
  <c r="X48" i="14"/>
  <c r="AA48" i="14" s="1"/>
  <c r="W54" i="14"/>
  <c r="Z54" i="14" s="1"/>
  <c r="X45" i="14"/>
  <c r="AA45" i="14" s="1"/>
  <c r="W52" i="14"/>
  <c r="Z52" i="14" s="1"/>
  <c r="W51" i="14"/>
  <c r="Z51" i="14" s="1"/>
  <c r="X50" i="14"/>
  <c r="AA50" i="14" s="1"/>
  <c r="X41" i="14"/>
  <c r="AA41" i="14" s="1"/>
  <c r="X43" i="14"/>
  <c r="AA43" i="14" s="1"/>
  <c r="W57" i="14"/>
  <c r="Z57" i="14" s="1"/>
  <c r="W46" i="14"/>
  <c r="Z46" i="14" s="1"/>
  <c r="W42" i="14"/>
  <c r="Z42" i="14" s="1"/>
  <c r="W55" i="14"/>
  <c r="Z55" i="14" s="1"/>
  <c r="X56" i="14"/>
  <c r="AA56" i="14" s="1"/>
  <c r="X42" i="14"/>
  <c r="AA42" i="14" s="1"/>
  <c r="X46" i="14"/>
  <c r="AA46" i="14" s="1"/>
  <c r="W43" i="14"/>
  <c r="Z43" i="14" s="1"/>
  <c r="X47" i="14"/>
  <c r="AA47" i="14" s="1"/>
  <c r="X44" i="14"/>
  <c r="AA44" i="14" s="1"/>
  <c r="J50" i="15"/>
  <c r="AI30" i="15"/>
  <c r="E2" i="13"/>
  <c r="B50" i="15"/>
  <c r="L18" i="15"/>
  <c r="T18" i="15" s="1"/>
  <c r="Z18" i="15" s="1"/>
  <c r="N28" i="15" s="1"/>
  <c r="L11" i="15"/>
  <c r="T11" i="15" s="1"/>
  <c r="Z11" i="15" s="1"/>
  <c r="M28" i="15" s="1"/>
  <c r="L4" i="15"/>
  <c r="T4" i="15" s="1"/>
  <c r="Z4" i="15" s="1"/>
  <c r="L28" i="15" s="1"/>
  <c r="J26" i="14"/>
  <c r="H10" i="14" s="1"/>
  <c r="F15" i="14"/>
  <c r="F7" i="13" s="1"/>
  <c r="X51" i="14"/>
  <c r="AA51" i="14" s="1"/>
  <c r="X52" i="14"/>
  <c r="AA52" i="14" s="1"/>
  <c r="V44" i="14"/>
  <c r="Y44" i="14" s="1"/>
  <c r="V52" i="14"/>
  <c r="Y52" i="14" s="1"/>
  <c r="V46" i="14"/>
  <c r="Y46" i="14" s="1"/>
  <c r="V42" i="14"/>
  <c r="Y42" i="14" s="1"/>
  <c r="V53" i="14"/>
  <c r="Y53" i="14" s="1"/>
  <c r="V57" i="14"/>
  <c r="Y57" i="14" s="1"/>
  <c r="X57" i="14"/>
  <c r="AA57" i="14" s="1"/>
  <c r="X54" i="14"/>
  <c r="AA54" i="14" s="1"/>
  <c r="V51" i="14"/>
  <c r="Y51" i="14" s="1"/>
  <c r="X55" i="14"/>
  <c r="AA55" i="14" s="1"/>
  <c r="W48" i="14"/>
  <c r="Z48" i="14" s="1"/>
  <c r="W41" i="14"/>
  <c r="Z41" i="14" s="1"/>
  <c r="W45" i="14"/>
  <c r="Z45" i="14" s="1"/>
  <c r="V43" i="14"/>
  <c r="Y43" i="14" s="1"/>
  <c r="V48" i="14"/>
  <c r="Y48" i="14" s="1"/>
  <c r="V41" i="14"/>
  <c r="Y41" i="14" s="1"/>
  <c r="V56" i="14"/>
  <c r="Y56" i="14" s="1"/>
  <c r="V45" i="14"/>
  <c r="Y45" i="14" s="1"/>
  <c r="V50" i="14"/>
  <c r="Y50" i="14" s="1"/>
  <c r="V55" i="14"/>
  <c r="Y55" i="14" s="1"/>
  <c r="W50" i="14"/>
  <c r="Z50" i="14" s="1"/>
  <c r="X53" i="14"/>
  <c r="AA53" i="14" s="1"/>
  <c r="L12" i="12"/>
  <c r="L11" i="12"/>
  <c r="L19" i="12"/>
  <c r="L4" i="12"/>
  <c r="T4" i="12" s="1" a="1"/>
  <c r="L18" i="12"/>
  <c r="B50" i="12"/>
  <c r="G59" i="12"/>
  <c r="J51" i="12"/>
  <c r="B51" i="12"/>
  <c r="G58" i="12"/>
  <c r="J50" i="12"/>
  <c r="D4" i="13"/>
  <c r="B50" i="10"/>
  <c r="B53" i="10"/>
  <c r="J50" i="10"/>
  <c r="G61" i="10"/>
  <c r="J53" i="10"/>
  <c r="B51" i="10"/>
  <c r="C60" i="10"/>
  <c r="B52" i="10"/>
  <c r="J52" i="10"/>
  <c r="G59" i="10"/>
  <c r="J51" i="10"/>
  <c r="Z42" i="5"/>
  <c r="I51" i="5" s="1"/>
  <c r="I59" i="5" s="1"/>
  <c r="Y47" i="5"/>
  <c r="D50" i="5" s="1"/>
  <c r="D58" i="5" s="1"/>
  <c r="Y48" i="5"/>
  <c r="D51" i="5" s="1"/>
  <c r="D59" i="5" s="1"/>
  <c r="Z43" i="5"/>
  <c r="I52" i="5" s="1"/>
  <c r="I60" i="5" s="1"/>
  <c r="Y50" i="5"/>
  <c r="D53" i="5" s="1"/>
  <c r="D61" i="5" s="1"/>
  <c r="X47" i="5"/>
  <c r="C50" i="5" s="1"/>
  <c r="C58" i="5" s="1"/>
  <c r="X49" i="5"/>
  <c r="C52" i="5" s="1"/>
  <c r="C60" i="5" s="1"/>
  <c r="Z49" i="5"/>
  <c r="E52" i="5" s="1"/>
  <c r="E60" i="5" s="1"/>
  <c r="Z41" i="5"/>
  <c r="I50" i="5" s="1"/>
  <c r="I58" i="5" s="1"/>
  <c r="Y44" i="5"/>
  <c r="H53" i="5" s="1"/>
  <c r="H61" i="5" s="1"/>
  <c r="Y43" i="5"/>
  <c r="H52" i="5" s="1"/>
  <c r="H60" i="5" s="1"/>
  <c r="X44" i="5"/>
  <c r="G53" i="5" s="1"/>
  <c r="G61" i="5" s="1"/>
  <c r="Y41" i="5"/>
  <c r="H50" i="5" s="1"/>
  <c r="H58" i="5" s="1"/>
  <c r="X48" i="5"/>
  <c r="C51" i="5" s="1"/>
  <c r="C59" i="5" s="1"/>
  <c r="Z50" i="5"/>
  <c r="E53" i="5" s="1"/>
  <c r="E61" i="5" s="1"/>
  <c r="Z48" i="5"/>
  <c r="E51" i="5" s="1"/>
  <c r="E59" i="5" s="1"/>
  <c r="X42" i="5"/>
  <c r="G51" i="5" s="1"/>
  <c r="Y49" i="5"/>
  <c r="D52" i="5" s="1"/>
  <c r="D60" i="5" s="1"/>
  <c r="Z44" i="5"/>
  <c r="I53" i="5" s="1"/>
  <c r="I61" i="5" s="1"/>
  <c r="X50" i="5"/>
  <c r="C53" i="5" s="1"/>
  <c r="Y42" i="5"/>
  <c r="H51" i="5" s="1"/>
  <c r="H59" i="5" s="1"/>
  <c r="X43" i="5"/>
  <c r="G52" i="5" s="1"/>
  <c r="X41" i="5"/>
  <c r="G50" i="5" s="1"/>
  <c r="C6" i="8"/>
  <c r="H5" i="8" s="1"/>
  <c r="B7" i="7"/>
  <c r="C7" i="7"/>
  <c r="H5" i="7" s="1"/>
  <c r="AE31" i="8"/>
  <c r="D6" i="8"/>
  <c r="I5" i="8" s="1"/>
  <c r="V31" i="8"/>
  <c r="B5" i="8"/>
  <c r="G5" i="8" s="1"/>
  <c r="AC31" i="8"/>
  <c r="M41" i="8"/>
  <c r="Q41" i="8"/>
  <c r="AD31" i="8"/>
  <c r="Z31" i="8"/>
  <c r="L41" i="8"/>
  <c r="N41" i="8"/>
  <c r="P41" i="8"/>
  <c r="L47" i="8"/>
  <c r="N47" i="8"/>
  <c r="P47" i="8"/>
  <c r="M47" i="8"/>
  <c r="O47" i="8"/>
  <c r="S31" i="7"/>
  <c r="V31" i="7" s="1"/>
  <c r="I5" i="7"/>
  <c r="AD31" i="7"/>
  <c r="S32" i="7"/>
  <c r="AD32" i="7"/>
  <c r="C8" i="7"/>
  <c r="H6" i="7" s="1"/>
  <c r="AE31" i="7"/>
  <c r="M42" i="7"/>
  <c r="N4" i="7"/>
  <c r="N11" i="7"/>
  <c r="Z31" i="7"/>
  <c r="Y32" i="7"/>
  <c r="Z32" i="7" s="1"/>
  <c r="O47" i="7"/>
  <c r="M47" i="7"/>
  <c r="M41" i="7"/>
  <c r="L42" i="7"/>
  <c r="N42" i="7"/>
  <c r="P42" i="7"/>
  <c r="L47" i="7"/>
  <c r="P47" i="7"/>
  <c r="L41" i="7"/>
  <c r="N41" i="7"/>
  <c r="P41" i="7"/>
  <c r="P48" i="7"/>
  <c r="N48" i="7"/>
  <c r="L48" i="7"/>
  <c r="N47" i="7"/>
  <c r="M48" i="7"/>
  <c r="Q49" i="6"/>
  <c r="Q48" i="6"/>
  <c r="Q47" i="6"/>
  <c r="O43" i="6"/>
  <c r="I43" i="6"/>
  <c r="Y33" i="6" s="1"/>
  <c r="D10" i="6" s="1"/>
  <c r="C43" i="6"/>
  <c r="Q43" i="6" s="1"/>
  <c r="O42" i="6"/>
  <c r="I42" i="6"/>
  <c r="Y32" i="6" s="1"/>
  <c r="D9" i="6" s="1"/>
  <c r="C42" i="6"/>
  <c r="P42" i="6" s="1"/>
  <c r="O41" i="6"/>
  <c r="I41" i="6"/>
  <c r="O47" i="6" s="1"/>
  <c r="C41" i="6"/>
  <c r="S31" i="6" s="1"/>
  <c r="B5" i="6" s="1"/>
  <c r="X34" i="6"/>
  <c r="X33" i="6"/>
  <c r="C10" i="6" s="1"/>
  <c r="W33" i="6"/>
  <c r="B10" i="6" s="1"/>
  <c r="U33" i="6"/>
  <c r="D7" i="6" s="1"/>
  <c r="T33" i="6"/>
  <c r="C7" i="6" s="1"/>
  <c r="X32" i="6"/>
  <c r="C9" i="6" s="1"/>
  <c r="W32" i="6"/>
  <c r="U32" i="6"/>
  <c r="D6" i="6" s="1"/>
  <c r="T32" i="6"/>
  <c r="C6" i="6" s="1"/>
  <c r="X31" i="6"/>
  <c r="W31" i="6"/>
  <c r="B8" i="6" s="1"/>
  <c r="U31" i="6"/>
  <c r="D5" i="6" s="1"/>
  <c r="T31" i="6"/>
  <c r="C5" i="6" s="1"/>
  <c r="AA30" i="6"/>
  <c r="E4" i="6" s="1"/>
  <c r="D11" i="6"/>
  <c r="C11" i="6"/>
  <c r="B11" i="6"/>
  <c r="Z18" i="11" l="1" a="1"/>
  <c r="Z19" i="11" s="1"/>
  <c r="N29" i="11" s="1"/>
  <c r="Z11" i="11" a="1"/>
  <c r="Z4" i="11" a="1"/>
  <c r="O13" i="10"/>
  <c r="AC53" i="14"/>
  <c r="H55" i="14" s="1"/>
  <c r="M20" i="9"/>
  <c r="M13" i="9"/>
  <c r="M6" i="9"/>
  <c r="AA31" i="9"/>
  <c r="E12" i="9"/>
  <c r="E4" i="13"/>
  <c r="O7" i="10"/>
  <c r="O14" i="10"/>
  <c r="O21" i="10"/>
  <c r="O6" i="10"/>
  <c r="AA32" i="10"/>
  <c r="E6" i="10" s="1"/>
  <c r="M13" i="10" s="1"/>
  <c r="E7" i="5"/>
  <c r="N21" i="5" s="1"/>
  <c r="E12" i="5"/>
  <c r="O20" i="5" s="1"/>
  <c r="AC56" i="14"/>
  <c r="H58" i="14" s="1"/>
  <c r="AD54" i="14"/>
  <c r="I56" i="14" s="1"/>
  <c r="K35" i="14" s="1"/>
  <c r="AC42" i="14"/>
  <c r="L53" i="14" s="1"/>
  <c r="N32" i="14" s="1"/>
  <c r="AD51" i="14"/>
  <c r="I53" i="14" s="1"/>
  <c r="K32" i="14" s="1"/>
  <c r="AB45" i="14"/>
  <c r="K56" i="14" s="1"/>
  <c r="M35" i="14" s="1"/>
  <c r="AC55" i="14"/>
  <c r="H57" i="14" s="1"/>
  <c r="AB56" i="14"/>
  <c r="G58" i="14" s="1"/>
  <c r="AC47" i="14"/>
  <c r="L58" i="14" s="1"/>
  <c r="N37" i="14" s="1"/>
  <c r="AB51" i="14"/>
  <c r="G53" i="14" s="1"/>
  <c r="AC45" i="14"/>
  <c r="L56" i="14" s="1"/>
  <c r="N35" i="14" s="1"/>
  <c r="AC44" i="14"/>
  <c r="L55" i="14" s="1"/>
  <c r="N34" i="14" s="1"/>
  <c r="AC52" i="14"/>
  <c r="H54" i="14" s="1"/>
  <c r="AD47" i="14"/>
  <c r="M58" i="14" s="1"/>
  <c r="AC48" i="14"/>
  <c r="L59" i="14" s="1"/>
  <c r="N38" i="14" s="1"/>
  <c r="AD57" i="14"/>
  <c r="I59" i="14" s="1"/>
  <c r="K38" i="14" s="1"/>
  <c r="AD53" i="14"/>
  <c r="I55" i="14" s="1"/>
  <c r="K34" i="14" s="1"/>
  <c r="AC46" i="14"/>
  <c r="L57" i="14" s="1"/>
  <c r="N36" i="14" s="1"/>
  <c r="AD52" i="14"/>
  <c r="I54" i="14" s="1"/>
  <c r="K33" i="14" s="1"/>
  <c r="AB48" i="14"/>
  <c r="K59" i="14" s="1"/>
  <c r="M38" i="14" s="1"/>
  <c r="AD41" i="14"/>
  <c r="M52" i="14" s="1"/>
  <c r="AD50" i="14"/>
  <c r="I52" i="14" s="1"/>
  <c r="K31" i="14" s="1"/>
  <c r="AC51" i="14"/>
  <c r="H53" i="14" s="1"/>
  <c r="AC50" i="14"/>
  <c r="H52" i="14" s="1"/>
  <c r="AB43" i="14"/>
  <c r="K54" i="14" s="1"/>
  <c r="M33" i="14" s="1"/>
  <c r="AC43" i="14"/>
  <c r="L54" i="14" s="1"/>
  <c r="N33" i="14" s="1"/>
  <c r="AB55" i="14"/>
  <c r="G57" i="14" s="1"/>
  <c r="AD43" i="14"/>
  <c r="M54" i="14" s="1"/>
  <c r="AD55" i="14"/>
  <c r="I57" i="14" s="1"/>
  <c r="K36" i="14" s="1"/>
  <c r="AB50" i="14"/>
  <c r="G52" i="14" s="1"/>
  <c r="AB53" i="14"/>
  <c r="G55" i="14" s="1"/>
  <c r="AD56" i="14"/>
  <c r="I58" i="14" s="1"/>
  <c r="K37" i="14" s="1"/>
  <c r="K27" i="14"/>
  <c r="J25" i="14" s="1"/>
  <c r="H9" i="14" s="1"/>
  <c r="O28" i="15"/>
  <c r="AB41" i="14"/>
  <c r="K52" i="14" s="1"/>
  <c r="AC41" i="14"/>
  <c r="L52" i="14" s="1"/>
  <c r="N31" i="14" s="1"/>
  <c r="AC54" i="14"/>
  <c r="H56" i="14" s="1"/>
  <c r="AB46" i="14"/>
  <c r="K57" i="14" s="1"/>
  <c r="AB44" i="14"/>
  <c r="K55" i="14" s="1"/>
  <c r="AB47" i="14"/>
  <c r="K58" i="14" s="1"/>
  <c r="AD42" i="14"/>
  <c r="M53" i="14" s="1"/>
  <c r="AB57" i="14"/>
  <c r="G59" i="14" s="1"/>
  <c r="AB42" i="14"/>
  <c r="K53" i="14" s="1"/>
  <c r="AB52" i="14"/>
  <c r="G54" i="14" s="1"/>
  <c r="AC57" i="14"/>
  <c r="H59" i="14" s="1"/>
  <c r="AD48" i="14"/>
  <c r="M59" i="14" s="1"/>
  <c r="X29" i="14"/>
  <c r="X19" i="14"/>
  <c r="X9" i="14"/>
  <c r="AB54" i="14"/>
  <c r="G56" i="14" s="1"/>
  <c r="AD45" i="14"/>
  <c r="M56" i="14" s="1"/>
  <c r="AD46" i="14"/>
  <c r="M57" i="14" s="1"/>
  <c r="AD44" i="14"/>
  <c r="M55" i="14" s="1"/>
  <c r="T18" i="12" a="1"/>
  <c r="T18" i="12" s="1"/>
  <c r="T11" i="12" a="1"/>
  <c r="T12" i="12" s="1"/>
  <c r="T5" i="12"/>
  <c r="T4" i="12"/>
  <c r="U5" i="12"/>
  <c r="U4" i="12"/>
  <c r="B50" i="5"/>
  <c r="B52" i="5"/>
  <c r="B51" i="5"/>
  <c r="G60" i="5"/>
  <c r="J52" i="5"/>
  <c r="J53" i="5"/>
  <c r="C61" i="5"/>
  <c r="B53" i="5"/>
  <c r="G58" i="5"/>
  <c r="J50" i="5"/>
  <c r="G59" i="5"/>
  <c r="J51" i="5"/>
  <c r="AB33" i="5"/>
  <c r="E6" i="5"/>
  <c r="B6" i="7"/>
  <c r="G6" i="7" s="1"/>
  <c r="S41" i="8"/>
  <c r="V41" i="8" s="1"/>
  <c r="T47" i="8"/>
  <c r="W47" i="8" s="1"/>
  <c r="R47" i="8"/>
  <c r="U47" i="8" s="1"/>
  <c r="R41" i="8"/>
  <c r="U41" i="8" s="1"/>
  <c r="T41" i="8"/>
  <c r="W41" i="8" s="1"/>
  <c r="S47" i="8"/>
  <c r="V47" i="8" s="1"/>
  <c r="B5" i="7"/>
  <c r="G5" i="7" s="1"/>
  <c r="V32" i="7"/>
  <c r="AC31" i="7"/>
  <c r="AC32" i="7"/>
  <c r="R48" i="7"/>
  <c r="U48" i="7" s="1"/>
  <c r="T48" i="7"/>
  <c r="W48" i="7" s="1"/>
  <c r="R42" i="7"/>
  <c r="U42" i="7" s="1"/>
  <c r="T41" i="7"/>
  <c r="W41" i="7" s="1"/>
  <c r="T42" i="7"/>
  <c r="W42" i="7" s="1"/>
  <c r="T47" i="7"/>
  <c r="W47" i="7" s="1"/>
  <c r="S48" i="7"/>
  <c r="V48" i="7" s="1"/>
  <c r="S41" i="7"/>
  <c r="V41" i="7" s="1"/>
  <c r="R41" i="7"/>
  <c r="U41" i="7" s="1"/>
  <c r="S47" i="7"/>
  <c r="V47" i="7" s="1"/>
  <c r="S42" i="7"/>
  <c r="V42" i="7" s="1"/>
  <c r="AE32" i="7"/>
  <c r="D8" i="7"/>
  <c r="I6" i="7" s="1"/>
  <c r="R47" i="7"/>
  <c r="U47" i="7" s="1"/>
  <c r="S32" i="6"/>
  <c r="B6" i="6" s="1"/>
  <c r="Y31" i="6"/>
  <c r="D8" i="6" s="1"/>
  <c r="I5" i="6" s="1"/>
  <c r="AE33" i="6"/>
  <c r="I7" i="6"/>
  <c r="C8" i="6"/>
  <c r="H5" i="6" s="1"/>
  <c r="Z32" i="6"/>
  <c r="I6" i="6"/>
  <c r="G5" i="6"/>
  <c r="AC31" i="6"/>
  <c r="H6" i="6"/>
  <c r="H7" i="6"/>
  <c r="AD31" i="6"/>
  <c r="AD32" i="6"/>
  <c r="S33" i="6"/>
  <c r="AD33" i="6"/>
  <c r="O18" i="6"/>
  <c r="O11" i="6"/>
  <c r="O4" i="6"/>
  <c r="V31" i="6"/>
  <c r="AE32" i="6"/>
  <c r="Z33" i="6"/>
  <c r="B9" i="6"/>
  <c r="L41" i="6"/>
  <c r="N41" i="6"/>
  <c r="P41" i="6"/>
  <c r="M42" i="6"/>
  <c r="Q42" i="6"/>
  <c r="L43" i="6"/>
  <c r="N43" i="6"/>
  <c r="P43" i="6"/>
  <c r="L47" i="6"/>
  <c r="N47" i="6"/>
  <c r="P47" i="6"/>
  <c r="M48" i="6"/>
  <c r="O48" i="6"/>
  <c r="L49" i="6"/>
  <c r="N49" i="6"/>
  <c r="P49" i="6"/>
  <c r="M41" i="6"/>
  <c r="Q41" i="6"/>
  <c r="L42" i="6"/>
  <c r="N42" i="6"/>
  <c r="M43" i="6"/>
  <c r="M47" i="6"/>
  <c r="L48" i="6"/>
  <c r="N48" i="6"/>
  <c r="P48" i="6"/>
  <c r="M49" i="6"/>
  <c r="O49" i="6"/>
  <c r="D7" i="3"/>
  <c r="O48" i="2"/>
  <c r="H27" i="2" s="1"/>
  <c r="I48" i="2"/>
  <c r="O47" i="2"/>
  <c r="I47" i="2"/>
  <c r="O46" i="2"/>
  <c r="H25" i="2" s="1"/>
  <c r="I46" i="2"/>
  <c r="O45" i="2"/>
  <c r="H24" i="2" s="1"/>
  <c r="I45" i="2"/>
  <c r="O44" i="2"/>
  <c r="H23" i="2" s="1"/>
  <c r="I44" i="2"/>
  <c r="B44" i="2"/>
  <c r="O43" i="2"/>
  <c r="H22" i="2" s="1"/>
  <c r="I43" i="2"/>
  <c r="B22" i="2" s="1"/>
  <c r="O42" i="2"/>
  <c r="H21" i="2" s="1"/>
  <c r="I42" i="2"/>
  <c r="B21" i="2" s="1"/>
  <c r="O41" i="2"/>
  <c r="H20" i="2" s="1"/>
  <c r="I41" i="2"/>
  <c r="B20" i="2" s="1"/>
  <c r="AA38" i="2"/>
  <c r="W38" i="2"/>
  <c r="U38" i="2"/>
  <c r="S38" i="2"/>
  <c r="Y38" i="2" s="1"/>
  <c r="Q38" i="2"/>
  <c r="G28" i="2"/>
  <c r="G27" i="2"/>
  <c r="F27" i="2"/>
  <c r="D27" i="2"/>
  <c r="C27" i="2"/>
  <c r="G26" i="2"/>
  <c r="F26" i="2"/>
  <c r="D26" i="2"/>
  <c r="C26" i="2"/>
  <c r="G25" i="2"/>
  <c r="F25" i="2"/>
  <c r="D25" i="2"/>
  <c r="C25" i="2"/>
  <c r="G24" i="2"/>
  <c r="F24" i="2"/>
  <c r="D24" i="2"/>
  <c r="C24" i="2"/>
  <c r="G23" i="2"/>
  <c r="F23" i="2"/>
  <c r="D23" i="2"/>
  <c r="C23" i="2"/>
  <c r="Z22" i="2"/>
  <c r="G22" i="2"/>
  <c r="F22" i="2"/>
  <c r="D22" i="2"/>
  <c r="C22" i="2"/>
  <c r="G21" i="2"/>
  <c r="F21" i="2"/>
  <c r="D21" i="2"/>
  <c r="C21" i="2"/>
  <c r="G20" i="2"/>
  <c r="K20" i="2" s="1"/>
  <c r="F20" i="2"/>
  <c r="D20" i="2"/>
  <c r="C20" i="2"/>
  <c r="J19" i="2"/>
  <c r="Z12" i="2"/>
  <c r="Z20" i="11" l="1"/>
  <c r="N30" i="11" s="1"/>
  <c r="Z18" i="11"/>
  <c r="N28" i="11" s="1"/>
  <c r="Z6" i="11"/>
  <c r="L30" i="11" s="1"/>
  <c r="Z4" i="11"/>
  <c r="L28" i="11" s="1"/>
  <c r="Z5" i="11"/>
  <c r="L29" i="11" s="1"/>
  <c r="Z13" i="11"/>
  <c r="M30" i="11" s="1"/>
  <c r="Z11" i="11"/>
  <c r="M28" i="11" s="1"/>
  <c r="Z12" i="11"/>
  <c r="M29" i="11" s="1"/>
  <c r="N12" i="9"/>
  <c r="N19" i="9"/>
  <c r="N5" i="9"/>
  <c r="N20" i="9"/>
  <c r="N13" i="9"/>
  <c r="N6" i="9"/>
  <c r="AB32" i="9"/>
  <c r="E11" i="9" s="1"/>
  <c r="E5" i="9"/>
  <c r="M6" i="10"/>
  <c r="M20" i="10"/>
  <c r="AB33" i="10"/>
  <c r="E11" i="10" s="1"/>
  <c r="N19" i="10" s="1"/>
  <c r="N7" i="5"/>
  <c r="N14" i="5"/>
  <c r="O14" i="5"/>
  <c r="O7" i="5"/>
  <c r="O13" i="5"/>
  <c r="O21" i="5"/>
  <c r="O6" i="5"/>
  <c r="N56" i="14"/>
  <c r="F54" i="14"/>
  <c r="F53" i="14"/>
  <c r="F55" i="14"/>
  <c r="N59" i="14"/>
  <c r="F52" i="14"/>
  <c r="N54" i="14"/>
  <c r="F57" i="14"/>
  <c r="I11" i="14"/>
  <c r="Y28" i="14" s="1"/>
  <c r="F56" i="14"/>
  <c r="F58" i="14"/>
  <c r="N53" i="14"/>
  <c r="M32" i="14"/>
  <c r="M37" i="14"/>
  <c r="N58" i="14"/>
  <c r="W28" i="14"/>
  <c r="W18" i="14"/>
  <c r="W8" i="14"/>
  <c r="N55" i="14"/>
  <c r="M34" i="14"/>
  <c r="F59" i="14"/>
  <c r="K26" i="14"/>
  <c r="N57" i="14"/>
  <c r="M36" i="14"/>
  <c r="N52" i="14"/>
  <c r="M31" i="14"/>
  <c r="T19" i="12"/>
  <c r="U19" i="12"/>
  <c r="U18" i="12"/>
  <c r="U11" i="12"/>
  <c r="T11" i="12"/>
  <c r="U12" i="12"/>
  <c r="Z4" i="12" a="1"/>
  <c r="AA31" i="5"/>
  <c r="E11" i="5"/>
  <c r="M20" i="5"/>
  <c r="M13" i="5"/>
  <c r="M6" i="5"/>
  <c r="AC33" i="6"/>
  <c r="AA33" i="6"/>
  <c r="Y47" i="8"/>
  <c r="D50" i="8" s="1"/>
  <c r="D58" i="8" s="1"/>
  <c r="Z41" i="8"/>
  <c r="I50" i="8" s="1"/>
  <c r="I58" i="8" s="1"/>
  <c r="X41" i="8"/>
  <c r="G50" i="8" s="1"/>
  <c r="G58" i="8" s="1"/>
  <c r="X47" i="8"/>
  <c r="C50" i="8" s="1"/>
  <c r="C58" i="8" s="1"/>
  <c r="Z47" i="8"/>
  <c r="E50" i="8" s="1"/>
  <c r="E58" i="8" s="1"/>
  <c r="Y41" i="8"/>
  <c r="H50" i="8" s="1"/>
  <c r="Y47" i="7"/>
  <c r="D50" i="7" s="1"/>
  <c r="D58" i="7" s="1"/>
  <c r="Y42" i="7"/>
  <c r="H51" i="7" s="1"/>
  <c r="H59" i="7" s="1"/>
  <c r="X48" i="7"/>
  <c r="C51" i="7" s="1"/>
  <c r="C59" i="7" s="1"/>
  <c r="Z48" i="7"/>
  <c r="E51" i="7" s="1"/>
  <c r="E59" i="7" s="1"/>
  <c r="X42" i="7"/>
  <c r="G51" i="7" s="1"/>
  <c r="Z42" i="7"/>
  <c r="I51" i="7" s="1"/>
  <c r="I59" i="7" s="1"/>
  <c r="X47" i="7"/>
  <c r="C50" i="7" s="1"/>
  <c r="C58" i="7" s="1"/>
  <c r="Z47" i="7"/>
  <c r="E50" i="7" s="1"/>
  <c r="E58" i="7" s="1"/>
  <c r="X41" i="7"/>
  <c r="G50" i="7" s="1"/>
  <c r="Y48" i="7"/>
  <c r="D51" i="7" s="1"/>
  <c r="Y41" i="7"/>
  <c r="H50" i="7" s="1"/>
  <c r="H58" i="7" s="1"/>
  <c r="Z41" i="7"/>
  <c r="I50" i="7" s="1"/>
  <c r="I58" i="7" s="1"/>
  <c r="AC32" i="6"/>
  <c r="Z31" i="6"/>
  <c r="G6" i="6"/>
  <c r="V32" i="6"/>
  <c r="AE31" i="6"/>
  <c r="V33" i="6"/>
  <c r="T48" i="6"/>
  <c r="W48" i="6" s="1"/>
  <c r="T41" i="6"/>
  <c r="W41" i="6" s="1"/>
  <c r="T47" i="6"/>
  <c r="W47" i="6" s="1"/>
  <c r="T49" i="6"/>
  <c r="W49" i="6" s="1"/>
  <c r="R47" i="6"/>
  <c r="U47" i="6" s="1"/>
  <c r="R43" i="6"/>
  <c r="U43" i="6" s="1"/>
  <c r="S42" i="6"/>
  <c r="V42" i="6" s="1"/>
  <c r="R42" i="6"/>
  <c r="U42" i="6" s="1"/>
  <c r="T43" i="6"/>
  <c r="W43" i="6" s="1"/>
  <c r="R41" i="6"/>
  <c r="U41" i="6" s="1"/>
  <c r="B7" i="6"/>
  <c r="G7" i="6" s="1"/>
  <c r="S49" i="6"/>
  <c r="V49" i="6" s="1"/>
  <c r="S43" i="6"/>
  <c r="V43" i="6" s="1"/>
  <c r="R49" i="6"/>
  <c r="U49" i="6" s="1"/>
  <c r="S48" i="6"/>
  <c r="V48" i="6" s="1"/>
  <c r="R48" i="6"/>
  <c r="U48" i="6" s="1"/>
  <c r="S47" i="6"/>
  <c r="V47" i="6" s="1"/>
  <c r="T42" i="6"/>
  <c r="W42" i="6" s="1"/>
  <c r="S41" i="6"/>
  <c r="V41" i="6" s="1"/>
  <c r="D15" i="2"/>
  <c r="G7" i="3" s="1"/>
  <c r="E20" i="2"/>
  <c r="E21" i="2"/>
  <c r="E22" i="2"/>
  <c r="B24" i="2"/>
  <c r="B25" i="2"/>
  <c r="B23" i="2"/>
  <c r="B26" i="2"/>
  <c r="E26" i="2" s="1"/>
  <c r="B27" i="2"/>
  <c r="I16" i="2" s="1"/>
  <c r="J27" i="2" s="1"/>
  <c r="M20" i="2"/>
  <c r="K4" i="2" s="1"/>
  <c r="M21" i="2"/>
  <c r="K5" i="2" s="1"/>
  <c r="I4" i="2"/>
  <c r="M22" i="2"/>
  <c r="K6" i="2" s="1"/>
  <c r="M23" i="2"/>
  <c r="K7" i="2" s="1"/>
  <c r="N24" i="2"/>
  <c r="L8" i="2" s="1"/>
  <c r="M27" i="2"/>
  <c r="K11" i="2" s="1"/>
  <c r="M25" i="2"/>
  <c r="K9" i="2" s="1"/>
  <c r="L21" i="2"/>
  <c r="J5" i="2" s="1"/>
  <c r="N21" i="2"/>
  <c r="L5" i="2" s="1"/>
  <c r="N23" i="2"/>
  <c r="L7" i="2" s="1"/>
  <c r="M24" i="2"/>
  <c r="K8" i="2" s="1"/>
  <c r="N25" i="2"/>
  <c r="L9" i="2" s="1"/>
  <c r="M26" i="2"/>
  <c r="K10" i="2" s="1"/>
  <c r="S57" i="2"/>
  <c r="S55" i="2"/>
  <c r="S53" i="2"/>
  <c r="S51" i="2"/>
  <c r="S54" i="2"/>
  <c r="S48" i="2"/>
  <c r="S46" i="2"/>
  <c r="S56" i="2"/>
  <c r="S52" i="2"/>
  <c r="S50" i="2"/>
  <c r="S45" i="2"/>
  <c r="S42" i="2"/>
  <c r="S43" i="2"/>
  <c r="T38" i="2"/>
  <c r="Z38" i="2" s="1"/>
  <c r="R38" i="2"/>
  <c r="P38" i="2"/>
  <c r="S44" i="2"/>
  <c r="H26" i="2"/>
  <c r="N26" i="2" s="1"/>
  <c r="L10" i="2" s="1"/>
  <c r="L20" i="2"/>
  <c r="J4" i="2" s="1"/>
  <c r="N20" i="2"/>
  <c r="L4" i="2" s="1"/>
  <c r="L22" i="2"/>
  <c r="J6" i="2" s="1"/>
  <c r="N22" i="2"/>
  <c r="L6" i="2" s="1"/>
  <c r="N27" i="2"/>
  <c r="L11" i="2" s="1"/>
  <c r="P56" i="2"/>
  <c r="P54" i="2"/>
  <c r="P52" i="2"/>
  <c r="P55" i="2"/>
  <c r="P51" i="2"/>
  <c r="P50" i="2"/>
  <c r="P53" i="2"/>
  <c r="P57" i="2"/>
  <c r="S41" i="2"/>
  <c r="P42" i="2"/>
  <c r="S47" i="2"/>
  <c r="P41" i="2"/>
  <c r="P43" i="2"/>
  <c r="P44" i="2"/>
  <c r="P46" i="2"/>
  <c r="P48" i="2"/>
  <c r="P45" i="2"/>
  <c r="P47" i="2"/>
  <c r="O29" i="11" l="1"/>
  <c r="O30" i="11"/>
  <c r="O28" i="11"/>
  <c r="L19" i="9"/>
  <c r="L12" i="9"/>
  <c r="L5" i="9"/>
  <c r="L11" i="9"/>
  <c r="L18" i="9"/>
  <c r="L4" i="9"/>
  <c r="M18" i="9"/>
  <c r="M11" i="9"/>
  <c r="M4" i="9"/>
  <c r="M5" i="9"/>
  <c r="M12" i="9"/>
  <c r="M19" i="9"/>
  <c r="N12" i="10"/>
  <c r="N20" i="10"/>
  <c r="N5" i="10"/>
  <c r="N13" i="10"/>
  <c r="N6" i="10"/>
  <c r="AA31" i="10"/>
  <c r="AB32" i="10" s="1"/>
  <c r="E10" i="10" s="1"/>
  <c r="M4" i="10" s="1"/>
  <c r="Y29" i="14"/>
  <c r="Y9" i="14"/>
  <c r="Y18" i="14"/>
  <c r="Y19" i="14"/>
  <c r="Y8" i="14"/>
  <c r="I10" i="14"/>
  <c r="J24" i="14"/>
  <c r="H8" i="14" s="1"/>
  <c r="Z18" i="12" a="1"/>
  <c r="Z18" i="12" s="1"/>
  <c r="N28" i="12" s="1"/>
  <c r="Z11" i="12" a="1"/>
  <c r="Z12" i="12" s="1"/>
  <c r="M29" i="12" s="1"/>
  <c r="Z5" i="12"/>
  <c r="L29" i="12" s="1"/>
  <c r="Z4" i="12"/>
  <c r="L28" i="12" s="1"/>
  <c r="N5" i="5"/>
  <c r="N12" i="5"/>
  <c r="N19" i="5"/>
  <c r="N6" i="5"/>
  <c r="N20" i="5"/>
  <c r="N13" i="5"/>
  <c r="AB32" i="5"/>
  <c r="E10" i="5" s="1"/>
  <c r="E5" i="5"/>
  <c r="AB31" i="6"/>
  <c r="AI26" i="6"/>
  <c r="AA32" i="6"/>
  <c r="B50" i="8"/>
  <c r="H58" i="8"/>
  <c r="J50" i="8"/>
  <c r="AE26" i="8"/>
  <c r="AB32" i="8"/>
  <c r="AA31" i="8" s="1"/>
  <c r="J51" i="7"/>
  <c r="G59" i="7"/>
  <c r="B50" i="7"/>
  <c r="G58" i="7"/>
  <c r="J50" i="7"/>
  <c r="D59" i="7"/>
  <c r="B51" i="7"/>
  <c r="E7" i="6"/>
  <c r="Z42" i="6"/>
  <c r="I51" i="6" s="1"/>
  <c r="I59" i="6" s="1"/>
  <c r="Y41" i="6"/>
  <c r="H50" i="6" s="1"/>
  <c r="H58" i="6" s="1"/>
  <c r="X48" i="6"/>
  <c r="C51" i="6" s="1"/>
  <c r="C59" i="6" s="1"/>
  <c r="X49" i="6"/>
  <c r="C52" i="6" s="1"/>
  <c r="C60" i="6" s="1"/>
  <c r="Y48" i="6"/>
  <c r="D51" i="6" s="1"/>
  <c r="D59" i="6" s="1"/>
  <c r="X47" i="6"/>
  <c r="C50" i="6" s="1"/>
  <c r="C58" i="6" s="1"/>
  <c r="Z41" i="6"/>
  <c r="I50" i="6" s="1"/>
  <c r="I58" i="6" s="1"/>
  <c r="Z49" i="6"/>
  <c r="E52" i="6" s="1"/>
  <c r="E60" i="6" s="1"/>
  <c r="Z47" i="6"/>
  <c r="E50" i="6" s="1"/>
  <c r="E58" i="6" s="1"/>
  <c r="X41" i="6"/>
  <c r="G50" i="6" s="1"/>
  <c r="G58" i="6" s="1"/>
  <c r="Y43" i="6"/>
  <c r="H52" i="6" s="1"/>
  <c r="H60" i="6" s="1"/>
  <c r="Z43" i="6"/>
  <c r="I52" i="6" s="1"/>
  <c r="I60" i="6" s="1"/>
  <c r="Y47" i="6"/>
  <c r="D50" i="6" s="1"/>
  <c r="D58" i="6" s="1"/>
  <c r="Y49" i="6"/>
  <c r="D52" i="6" s="1"/>
  <c r="D60" i="6" s="1"/>
  <c r="Z48" i="6"/>
  <c r="E51" i="6" s="1"/>
  <c r="E59" i="6" s="1"/>
  <c r="X43" i="6"/>
  <c r="G52" i="6" s="1"/>
  <c r="G60" i="6" s="1"/>
  <c r="X42" i="6"/>
  <c r="G51" i="6" s="1"/>
  <c r="G59" i="6" s="1"/>
  <c r="Y42" i="6"/>
  <c r="H51" i="6" s="1"/>
  <c r="H59" i="6" s="1"/>
  <c r="L26" i="2"/>
  <c r="J10" i="2" s="1"/>
  <c r="L27" i="2"/>
  <c r="J11" i="2" s="1"/>
  <c r="E27" i="2"/>
  <c r="L23" i="2"/>
  <c r="J7" i="2" s="1"/>
  <c r="E23" i="2"/>
  <c r="L24" i="2"/>
  <c r="J8" i="2" s="1"/>
  <c r="E24" i="2"/>
  <c r="L25" i="2"/>
  <c r="J9" i="2" s="1"/>
  <c r="E25" i="2"/>
  <c r="V38" i="2"/>
  <c r="U57" i="2"/>
  <c r="U53" i="2"/>
  <c r="U56" i="2"/>
  <c r="U50" i="2"/>
  <c r="U47" i="2"/>
  <c r="X38" i="2"/>
  <c r="U44" i="2"/>
  <c r="U43" i="2"/>
  <c r="U45" i="2"/>
  <c r="U41" i="2"/>
  <c r="H11" i="2"/>
  <c r="T4" i="9" l="1" a="1"/>
  <c r="T11" i="9" a="1"/>
  <c r="T18" i="9" a="1"/>
  <c r="M11" i="10"/>
  <c r="M19" i="10"/>
  <c r="M18" i="10"/>
  <c r="M12" i="10"/>
  <c r="M5" i="10"/>
  <c r="E5" i="10"/>
  <c r="L19" i="10" s="1"/>
  <c r="K25" i="14"/>
  <c r="V27" i="14"/>
  <c r="V17" i="14"/>
  <c r="V7" i="14"/>
  <c r="X27" i="14"/>
  <c r="X17" i="14"/>
  <c r="X7" i="14"/>
  <c r="X18" i="14"/>
  <c r="X28" i="14"/>
  <c r="X8" i="14"/>
  <c r="Z19" i="12"/>
  <c r="N29" i="12" s="1"/>
  <c r="O29" i="12" s="1"/>
  <c r="Z11" i="12"/>
  <c r="M28" i="12" s="1"/>
  <c r="O28" i="12" s="1"/>
  <c r="L19" i="5"/>
  <c r="L12" i="5"/>
  <c r="L5" i="5"/>
  <c r="L18" i="5"/>
  <c r="L4" i="5"/>
  <c r="L11" i="5"/>
  <c r="M4" i="5"/>
  <c r="M18" i="5"/>
  <c r="M11" i="5"/>
  <c r="M5" i="5"/>
  <c r="M19" i="5"/>
  <c r="M12" i="5"/>
  <c r="AG26" i="6"/>
  <c r="G4" i="3" s="1"/>
  <c r="E8" i="6"/>
  <c r="AH26" i="6"/>
  <c r="AF26" i="8"/>
  <c r="B2" i="3"/>
  <c r="C2" i="3" s="1"/>
  <c r="E7" i="8"/>
  <c r="B52" i="6"/>
  <c r="J50" i="6"/>
  <c r="B51" i="6"/>
  <c r="J51" i="6"/>
  <c r="AB34" i="6"/>
  <c r="F4" i="3" s="1"/>
  <c r="AE26" i="6"/>
  <c r="J52" i="6"/>
  <c r="B50" i="6"/>
  <c r="C15" i="2"/>
  <c r="B7" i="3"/>
  <c r="C7" i="3" s="1"/>
  <c r="K28" i="2"/>
  <c r="F15" i="2" s="1"/>
  <c r="F7" i="3" s="1"/>
  <c r="R56" i="2"/>
  <c r="R54" i="2"/>
  <c r="R52" i="2"/>
  <c r="R57" i="2"/>
  <c r="R53" i="2"/>
  <c r="R50" i="2"/>
  <c r="R47" i="2"/>
  <c r="R45" i="2"/>
  <c r="R55" i="2"/>
  <c r="R51" i="2"/>
  <c r="R48" i="2"/>
  <c r="R44" i="2"/>
  <c r="R43" i="2"/>
  <c r="R41" i="2"/>
  <c r="R46" i="2"/>
  <c r="R42" i="2"/>
  <c r="U48" i="2"/>
  <c r="U42" i="2"/>
  <c r="U46" i="2"/>
  <c r="U54" i="2"/>
  <c r="U52" i="2"/>
  <c r="U51" i="2"/>
  <c r="U55" i="2"/>
  <c r="T53" i="2"/>
  <c r="T50" i="2"/>
  <c r="T55" i="2"/>
  <c r="T54" i="2"/>
  <c r="Z19" i="2"/>
  <c r="B15" i="2"/>
  <c r="Z29" i="2"/>
  <c r="I12" i="2"/>
  <c r="Z9" i="2"/>
  <c r="Q57" i="2"/>
  <c r="Q55" i="2"/>
  <c r="Q53" i="2"/>
  <c r="Q51" i="2"/>
  <c r="Q56" i="2"/>
  <c r="Q52" i="2"/>
  <c r="Q48" i="2"/>
  <c r="Q46" i="2"/>
  <c r="Q54" i="2"/>
  <c r="Q50" i="2"/>
  <c r="Q47" i="2"/>
  <c r="Q42" i="2"/>
  <c r="Q45" i="2"/>
  <c r="Q44" i="2"/>
  <c r="Q43" i="2"/>
  <c r="Q41" i="2"/>
  <c r="T44" i="2"/>
  <c r="T48" i="2"/>
  <c r="T42" i="2"/>
  <c r="T41" i="2"/>
  <c r="T46" i="2"/>
  <c r="T45" i="2"/>
  <c r="T47" i="2"/>
  <c r="T43" i="2"/>
  <c r="T57" i="2"/>
  <c r="T51" i="2"/>
  <c r="T52" i="2"/>
  <c r="T56" i="2"/>
  <c r="L11" i="10" l="1"/>
  <c r="W15" i="9"/>
  <c r="U15" i="9"/>
  <c r="X14" i="9"/>
  <c r="V14" i="9"/>
  <c r="T14" i="9"/>
  <c r="W13" i="9"/>
  <c r="U13" i="9"/>
  <c r="X12" i="9"/>
  <c r="V12" i="9"/>
  <c r="T12" i="9"/>
  <c r="W11" i="9"/>
  <c r="U11" i="9"/>
  <c r="X15" i="9"/>
  <c r="V15" i="9"/>
  <c r="T15" i="9"/>
  <c r="W14" i="9"/>
  <c r="U14" i="9"/>
  <c r="X13" i="9"/>
  <c r="V13" i="9"/>
  <c r="T13" i="9"/>
  <c r="W12" i="9"/>
  <c r="U12" i="9"/>
  <c r="X11" i="9"/>
  <c r="V11" i="9"/>
  <c r="T11" i="9"/>
  <c r="W22" i="9"/>
  <c r="U22" i="9"/>
  <c r="X21" i="9"/>
  <c r="V21" i="9"/>
  <c r="T21" i="9"/>
  <c r="W20" i="9"/>
  <c r="U20" i="9"/>
  <c r="X19" i="9"/>
  <c r="V19" i="9"/>
  <c r="T19" i="9"/>
  <c r="W18" i="9"/>
  <c r="U18" i="9"/>
  <c r="X22" i="9"/>
  <c r="V22" i="9"/>
  <c r="T22" i="9"/>
  <c r="W21" i="9"/>
  <c r="U21" i="9"/>
  <c r="X20" i="9"/>
  <c r="V20" i="9"/>
  <c r="T20" i="9"/>
  <c r="W19" i="9"/>
  <c r="U19" i="9"/>
  <c r="X18" i="9"/>
  <c r="V18" i="9"/>
  <c r="T18" i="9"/>
  <c r="X8" i="9"/>
  <c r="V8" i="9"/>
  <c r="T8" i="9"/>
  <c r="W7" i="9"/>
  <c r="U7" i="9"/>
  <c r="X6" i="9"/>
  <c r="V6" i="9"/>
  <c r="T6" i="9"/>
  <c r="W5" i="9"/>
  <c r="U5" i="9"/>
  <c r="X4" i="9"/>
  <c r="V4" i="9"/>
  <c r="T4" i="9"/>
  <c r="W8" i="9"/>
  <c r="U8" i="9"/>
  <c r="X7" i="9"/>
  <c r="V7" i="9"/>
  <c r="T7" i="9"/>
  <c r="W6" i="9"/>
  <c r="U6" i="9"/>
  <c r="X5" i="9"/>
  <c r="V5" i="9"/>
  <c r="T5" i="9"/>
  <c r="W4" i="9"/>
  <c r="U4" i="9"/>
  <c r="L5" i="10"/>
  <c r="L12" i="10"/>
  <c r="L4" i="10"/>
  <c r="L18" i="10"/>
  <c r="T18" i="10" s="1" a="1"/>
  <c r="U21" i="10" s="1"/>
  <c r="J23" i="14"/>
  <c r="H7" i="14" s="1"/>
  <c r="I9" i="14"/>
  <c r="T11" i="5" a="1"/>
  <c r="T18" i="5" a="1"/>
  <c r="T4" i="5" a="1"/>
  <c r="F5" i="3"/>
  <c r="AI30" i="6"/>
  <c r="D4" i="3"/>
  <c r="B5" i="3"/>
  <c r="C5" i="3" s="1"/>
  <c r="AF26" i="6"/>
  <c r="B4" i="3"/>
  <c r="C4" i="3" s="1"/>
  <c r="M18" i="8"/>
  <c r="M4" i="8"/>
  <c r="M11" i="8"/>
  <c r="AB33" i="6"/>
  <c r="AC37" i="6"/>
  <c r="E11" i="6"/>
  <c r="O20" i="6" s="1"/>
  <c r="J26" i="2"/>
  <c r="H10" i="2" s="1"/>
  <c r="W51" i="2"/>
  <c r="Z51" i="2" s="1"/>
  <c r="W41" i="2"/>
  <c r="Z41" i="2" s="1"/>
  <c r="W47" i="2"/>
  <c r="Z47" i="2" s="1"/>
  <c r="V41" i="2"/>
  <c r="Y41" i="2" s="1"/>
  <c r="W52" i="2"/>
  <c r="Z52" i="2" s="1"/>
  <c r="W57" i="2"/>
  <c r="Z57" i="2" s="1"/>
  <c r="W46" i="2"/>
  <c r="Z46" i="2" s="1"/>
  <c r="W42" i="2"/>
  <c r="Z42" i="2" s="1"/>
  <c r="V45" i="2"/>
  <c r="Y45" i="2" s="1"/>
  <c r="V54" i="2"/>
  <c r="Y54" i="2" s="1"/>
  <c r="V53" i="2"/>
  <c r="Y53" i="2" s="1"/>
  <c r="V47" i="2"/>
  <c r="Y47" i="2" s="1"/>
  <c r="X43" i="2"/>
  <c r="AA43" i="2" s="1"/>
  <c r="W56" i="2"/>
  <c r="Z56" i="2" s="1"/>
  <c r="W43" i="2"/>
  <c r="Z43" i="2" s="1"/>
  <c r="W45" i="2"/>
  <c r="Z45" i="2" s="1"/>
  <c r="W48" i="2"/>
  <c r="Z48" i="2" s="1"/>
  <c r="V44" i="2"/>
  <c r="Y44" i="2" s="1"/>
  <c r="V50" i="2"/>
  <c r="Y50" i="2" s="1"/>
  <c r="V46" i="2"/>
  <c r="Y46" i="2" s="1"/>
  <c r="V55" i="2"/>
  <c r="Y55" i="2" s="1"/>
  <c r="X41" i="2"/>
  <c r="AA41" i="2" s="1"/>
  <c r="X44" i="2"/>
  <c r="AA44" i="2" s="1"/>
  <c r="W44" i="2"/>
  <c r="Z44" i="2" s="1"/>
  <c r="V43" i="2"/>
  <c r="Y43" i="2" s="1"/>
  <c r="V48" i="2"/>
  <c r="Y48" i="2" s="1"/>
  <c r="V56" i="2"/>
  <c r="Y56" i="2" s="1"/>
  <c r="V57" i="2"/>
  <c r="Y57" i="2" s="1"/>
  <c r="X53" i="2"/>
  <c r="AA53" i="2" s="1"/>
  <c r="X50" i="2"/>
  <c r="AA50" i="2" s="1"/>
  <c r="X45" i="2"/>
  <c r="AA45" i="2" s="1"/>
  <c r="W54" i="2"/>
  <c r="Z54" i="2" s="1"/>
  <c r="W50" i="2"/>
  <c r="Z50" i="2" s="1"/>
  <c r="X55" i="2"/>
  <c r="AA55" i="2" s="1"/>
  <c r="X52" i="2"/>
  <c r="AA52" i="2" s="1"/>
  <c r="X46" i="2"/>
  <c r="AA46" i="2" s="1"/>
  <c r="X48" i="2"/>
  <c r="AA48" i="2" s="1"/>
  <c r="V42" i="2"/>
  <c r="Y42" i="2" s="1"/>
  <c r="V52" i="2"/>
  <c r="Y52" i="2" s="1"/>
  <c r="V51" i="2"/>
  <c r="Y51" i="2" s="1"/>
  <c r="X57" i="2"/>
  <c r="AA57" i="2" s="1"/>
  <c r="X56" i="2"/>
  <c r="AA56" i="2" s="1"/>
  <c r="X47" i="2"/>
  <c r="AA47" i="2" s="1"/>
  <c r="W55" i="2"/>
  <c r="Z55" i="2" s="1"/>
  <c r="W53" i="2"/>
  <c r="Z53" i="2" s="1"/>
  <c r="X51" i="2"/>
  <c r="AA51" i="2" s="1"/>
  <c r="X54" i="2"/>
  <c r="AA54" i="2" s="1"/>
  <c r="X42" i="2"/>
  <c r="AA42" i="2" s="1"/>
  <c r="T11" i="10" l="1" a="1"/>
  <c r="U14" i="10" s="1"/>
  <c r="T4" i="10" a="1"/>
  <c r="W7" i="10" s="1"/>
  <c r="Z18" i="9" a="1"/>
  <c r="Z21" i="9" s="1"/>
  <c r="N31" i="9" s="1"/>
  <c r="Z4" i="9" a="1"/>
  <c r="Z11" i="9" a="1"/>
  <c r="W21" i="10"/>
  <c r="T18" i="10"/>
  <c r="V21" i="10"/>
  <c r="V19" i="10"/>
  <c r="W19" i="10"/>
  <c r="V18" i="10"/>
  <c r="V20" i="10"/>
  <c r="W18" i="10"/>
  <c r="W20" i="10"/>
  <c r="T19" i="10"/>
  <c r="T20" i="10"/>
  <c r="T21" i="10"/>
  <c r="U18" i="10"/>
  <c r="U19" i="10"/>
  <c r="U20" i="10"/>
  <c r="U26" i="14"/>
  <c r="U16" i="14"/>
  <c r="U6" i="14"/>
  <c r="W26" i="14"/>
  <c r="W16" i="14"/>
  <c r="W6" i="14"/>
  <c r="W27" i="14"/>
  <c r="W17" i="14"/>
  <c r="W7" i="14"/>
  <c r="K24" i="14"/>
  <c r="V21" i="5"/>
  <c r="T21" i="5"/>
  <c r="V20" i="5"/>
  <c r="T20" i="5"/>
  <c r="V19" i="5"/>
  <c r="T19" i="5"/>
  <c r="V18" i="5"/>
  <c r="T18" i="5"/>
  <c r="W21" i="5"/>
  <c r="U21" i="5"/>
  <c r="W20" i="5"/>
  <c r="U20" i="5"/>
  <c r="W19" i="5"/>
  <c r="U19" i="5"/>
  <c r="W18" i="5"/>
  <c r="U18" i="5"/>
  <c r="W7" i="5"/>
  <c r="W6" i="5"/>
  <c r="W5" i="5"/>
  <c r="W4" i="5"/>
  <c r="V7" i="5"/>
  <c r="T7" i="5"/>
  <c r="V6" i="5"/>
  <c r="T6" i="5"/>
  <c r="V5" i="5"/>
  <c r="T5" i="5"/>
  <c r="V4" i="5"/>
  <c r="T4" i="5"/>
  <c r="U7" i="5"/>
  <c r="U6" i="5"/>
  <c r="U5" i="5"/>
  <c r="U4" i="5"/>
  <c r="V14" i="5"/>
  <c r="T14" i="5"/>
  <c r="V13" i="5"/>
  <c r="T13" i="5"/>
  <c r="V12" i="5"/>
  <c r="T12" i="5"/>
  <c r="V11" i="5"/>
  <c r="T11" i="5"/>
  <c r="W14" i="5"/>
  <c r="U14" i="5"/>
  <c r="W13" i="5"/>
  <c r="U13" i="5"/>
  <c r="W12" i="5"/>
  <c r="U12" i="5"/>
  <c r="W11" i="5"/>
  <c r="U11" i="5"/>
  <c r="G5" i="3"/>
  <c r="E6" i="6"/>
  <c r="M6" i="6" s="1"/>
  <c r="AA31" i="6"/>
  <c r="E10" i="6"/>
  <c r="N6" i="6" s="1"/>
  <c r="O6" i="6"/>
  <c r="O13" i="6"/>
  <c r="AB57" i="2"/>
  <c r="G59" i="2" s="1"/>
  <c r="AC52" i="2"/>
  <c r="H54" i="2" s="1"/>
  <c r="J33" i="2" s="1"/>
  <c r="AD54" i="2"/>
  <c r="I56" i="2" s="1"/>
  <c r="K35" i="2" s="1"/>
  <c r="AC54" i="2"/>
  <c r="H56" i="2" s="1"/>
  <c r="J35" i="2" s="1"/>
  <c r="AD42" i="2"/>
  <c r="M53" i="2" s="1"/>
  <c r="AC51" i="2"/>
  <c r="H53" i="2" s="1"/>
  <c r="J32" i="2" s="1"/>
  <c r="AC50" i="2"/>
  <c r="H52" i="2" s="1"/>
  <c r="J31" i="2" s="1"/>
  <c r="AD46" i="2"/>
  <c r="M57" i="2" s="1"/>
  <c r="AC47" i="2"/>
  <c r="L58" i="2" s="1"/>
  <c r="N37" i="2" s="1"/>
  <c r="AC56" i="2"/>
  <c r="H58" i="2" s="1"/>
  <c r="J37" i="2" s="1"/>
  <c r="AD50" i="2"/>
  <c r="I52" i="2" s="1"/>
  <c r="K31" i="2" s="1"/>
  <c r="AC53" i="2"/>
  <c r="H55" i="2" s="1"/>
  <c r="J34" i="2" s="1"/>
  <c r="AB56" i="2"/>
  <c r="G58" i="2" s="1"/>
  <c r="AC42" i="2"/>
  <c r="L53" i="2" s="1"/>
  <c r="N32" i="2" s="1"/>
  <c r="AB41" i="2"/>
  <c r="K52" i="2" s="1"/>
  <c r="M31" i="2" s="1"/>
  <c r="AC57" i="2"/>
  <c r="H59" i="2" s="1"/>
  <c r="J38" i="2" s="1"/>
  <c r="AC41" i="2"/>
  <c r="L52" i="2" s="1"/>
  <c r="N31" i="2" s="1"/>
  <c r="AB55" i="2"/>
  <c r="G57" i="2" s="1"/>
  <c r="AB50" i="2"/>
  <c r="G52" i="2" s="1"/>
  <c r="AC48" i="2"/>
  <c r="L59" i="2" s="1"/>
  <c r="N38" i="2" s="1"/>
  <c r="AC43" i="2"/>
  <c r="L54" i="2" s="1"/>
  <c r="N33" i="2" s="1"/>
  <c r="AB54" i="2"/>
  <c r="G56" i="2" s="1"/>
  <c r="AC55" i="2"/>
  <c r="H57" i="2" s="1"/>
  <c r="J36" i="2" s="1"/>
  <c r="AD52" i="2"/>
  <c r="I54" i="2" s="1"/>
  <c r="K33" i="2" s="1"/>
  <c r="AB52" i="2"/>
  <c r="G54" i="2" s="1"/>
  <c r="AD53" i="2"/>
  <c r="I55" i="2" s="1"/>
  <c r="K34" i="2" s="1"/>
  <c r="AB44" i="2"/>
  <c r="K55" i="2" s="1"/>
  <c r="M34" i="2" s="1"/>
  <c r="AB53" i="2"/>
  <c r="G55" i="2" s="1"/>
  <c r="AD57" i="2"/>
  <c r="I59" i="2" s="1"/>
  <c r="K38" i="2" s="1"/>
  <c r="AB46" i="2"/>
  <c r="K57" i="2" s="1"/>
  <c r="M36" i="2" s="1"/>
  <c r="AB45" i="2"/>
  <c r="K56" i="2" s="1"/>
  <c r="M35" i="2" s="1"/>
  <c r="AD47" i="2"/>
  <c r="M58" i="2" s="1"/>
  <c r="AB51" i="2"/>
  <c r="G53" i="2" s="1"/>
  <c r="AC45" i="2"/>
  <c r="L56" i="2" s="1"/>
  <c r="N35" i="2" s="1"/>
  <c r="K27" i="2"/>
  <c r="I11" i="2" s="1"/>
  <c r="AD48" i="2"/>
  <c r="M59" i="2" s="1"/>
  <c r="X19" i="2"/>
  <c r="X29" i="2"/>
  <c r="X9" i="2"/>
  <c r="AB48" i="2"/>
  <c r="K59" i="2" s="1"/>
  <c r="AB43" i="2"/>
  <c r="K54" i="2" s="1"/>
  <c r="AD44" i="2"/>
  <c r="M55" i="2" s="1"/>
  <c r="AD51" i="2"/>
  <c r="I53" i="2" s="1"/>
  <c r="K32" i="2" s="1"/>
  <c r="AD56" i="2"/>
  <c r="I58" i="2" s="1"/>
  <c r="K37" i="2" s="1"/>
  <c r="AB42" i="2"/>
  <c r="K53" i="2" s="1"/>
  <c r="AD55" i="2"/>
  <c r="I57" i="2" s="1"/>
  <c r="K36" i="2" s="1"/>
  <c r="AD45" i="2"/>
  <c r="M56" i="2" s="1"/>
  <c r="AC44" i="2"/>
  <c r="L55" i="2" s="1"/>
  <c r="AC46" i="2"/>
  <c r="L57" i="2" s="1"/>
  <c r="AD43" i="2"/>
  <c r="M54" i="2" s="1"/>
  <c r="AB47" i="2"/>
  <c r="K58" i="2" s="1"/>
  <c r="AD41" i="2"/>
  <c r="M52" i="2" s="1"/>
  <c r="U12" i="10" l="1"/>
  <c r="T14" i="10"/>
  <c r="T12" i="10"/>
  <c r="W14" i="10"/>
  <c r="W12" i="10"/>
  <c r="V13" i="10"/>
  <c r="V11" i="10"/>
  <c r="U13" i="10"/>
  <c r="U11" i="10"/>
  <c r="T13" i="10"/>
  <c r="T11" i="10"/>
  <c r="W13" i="10"/>
  <c r="V14" i="10"/>
  <c r="V12" i="10"/>
  <c r="W11" i="10"/>
  <c r="W5" i="10"/>
  <c r="V7" i="10"/>
  <c r="V5" i="10"/>
  <c r="U7" i="10"/>
  <c r="U5" i="10"/>
  <c r="T7" i="10"/>
  <c r="T5" i="10"/>
  <c r="W6" i="10"/>
  <c r="W4" i="10"/>
  <c r="V6" i="10"/>
  <c r="V4" i="10"/>
  <c r="U6" i="10"/>
  <c r="U4" i="10"/>
  <c r="T6" i="10"/>
  <c r="T4" i="10"/>
  <c r="Z20" i="9"/>
  <c r="N30" i="9" s="1"/>
  <c r="Z19" i="9"/>
  <c r="N29" i="9" s="1"/>
  <c r="Z18" i="9"/>
  <c r="N28" i="9" s="1"/>
  <c r="Z22" i="9"/>
  <c r="N32" i="9" s="1"/>
  <c r="Z7" i="9"/>
  <c r="L31" i="9" s="1"/>
  <c r="Z5" i="9"/>
  <c r="L29" i="9" s="1"/>
  <c r="Z8" i="9"/>
  <c r="L32" i="9" s="1"/>
  <c r="Z6" i="9"/>
  <c r="L30" i="9" s="1"/>
  <c r="Z4" i="9"/>
  <c r="L28" i="9" s="1"/>
  <c r="Z14" i="9"/>
  <c r="M31" i="9" s="1"/>
  <c r="Z12" i="9"/>
  <c r="M29" i="9" s="1"/>
  <c r="Z15" i="9"/>
  <c r="M32" i="9" s="1"/>
  <c r="Z13" i="9"/>
  <c r="M30" i="9" s="1"/>
  <c r="Z11" i="9"/>
  <c r="M28" i="9" s="1"/>
  <c r="Z18" i="10" a="1"/>
  <c r="Z20" i="10" s="1"/>
  <c r="N30" i="10" s="1"/>
  <c r="J22" i="14"/>
  <c r="H6" i="14" s="1"/>
  <c r="I8" i="14"/>
  <c r="Z11" i="5" a="1"/>
  <c r="Z4" i="5" a="1"/>
  <c r="Z18" i="5" a="1"/>
  <c r="D5" i="3"/>
  <c r="F52" i="2"/>
  <c r="F56" i="2"/>
  <c r="F55" i="2"/>
  <c r="N52" i="2"/>
  <c r="N56" i="2"/>
  <c r="F54" i="2"/>
  <c r="J25" i="2"/>
  <c r="H9" i="2" s="1"/>
  <c r="W28" i="2" s="1"/>
  <c r="F58" i="2"/>
  <c r="F59" i="2"/>
  <c r="N34" i="2"/>
  <c r="N55" i="2"/>
  <c r="Y28" i="2"/>
  <c r="Y18" i="2"/>
  <c r="Y8" i="2"/>
  <c r="Y29" i="2"/>
  <c r="Y19" i="2"/>
  <c r="Y9" i="2"/>
  <c r="N53" i="2"/>
  <c r="M32" i="2"/>
  <c r="N59" i="2"/>
  <c r="M38" i="2"/>
  <c r="N58" i="2"/>
  <c r="M37" i="2"/>
  <c r="N36" i="2"/>
  <c r="N57" i="2"/>
  <c r="F57" i="2"/>
  <c r="N54" i="2"/>
  <c r="M33" i="2"/>
  <c r="F53" i="2"/>
  <c r="Z11" i="10" l="1" a="1"/>
  <c r="Z13" i="10" s="1"/>
  <c r="M30" i="10" s="1"/>
  <c r="Z4" i="10" a="1"/>
  <c r="Z7" i="10" s="1"/>
  <c r="L31" i="10" s="1"/>
  <c r="O28" i="9"/>
  <c r="O30" i="9"/>
  <c r="O29" i="9"/>
  <c r="O32" i="9"/>
  <c r="O31" i="9"/>
  <c r="Z19" i="10"/>
  <c r="N29" i="10" s="1"/>
  <c r="Z21" i="10"/>
  <c r="N31" i="10" s="1"/>
  <c r="Z18" i="10"/>
  <c r="N28" i="10" s="1"/>
  <c r="K23" i="14"/>
  <c r="J21" i="14" s="1"/>
  <c r="H5" i="14" s="1"/>
  <c r="V25" i="14"/>
  <c r="V15" i="14"/>
  <c r="V5" i="14"/>
  <c r="V6" i="14"/>
  <c r="V26" i="14"/>
  <c r="V16" i="14"/>
  <c r="T15" i="14"/>
  <c r="T25" i="14"/>
  <c r="T5" i="14"/>
  <c r="Z4" i="5"/>
  <c r="L28" i="5" s="1"/>
  <c r="Z7" i="5"/>
  <c r="L31" i="5" s="1"/>
  <c r="Z5" i="5"/>
  <c r="L29" i="5" s="1"/>
  <c r="Z6" i="5"/>
  <c r="L30" i="5" s="1"/>
  <c r="Z21" i="5"/>
  <c r="N31" i="5" s="1"/>
  <c r="Z19" i="5"/>
  <c r="N29" i="5" s="1"/>
  <c r="Z20" i="5"/>
  <c r="N30" i="5" s="1"/>
  <c r="Z18" i="5"/>
  <c r="N28" i="5" s="1"/>
  <c r="Z14" i="5"/>
  <c r="M31" i="5" s="1"/>
  <c r="Z12" i="5"/>
  <c r="M29" i="5" s="1"/>
  <c r="Z13" i="5"/>
  <c r="M30" i="5" s="1"/>
  <c r="Z11" i="5"/>
  <c r="M28" i="5" s="1"/>
  <c r="W18" i="2"/>
  <c r="W8" i="2"/>
  <c r="K26" i="2"/>
  <c r="I10" i="2" s="1"/>
  <c r="X27" i="2" s="1"/>
  <c r="Z11" i="10" l="1"/>
  <c r="M28" i="10" s="1"/>
  <c r="Z12" i="10"/>
  <c r="M29" i="10" s="1"/>
  <c r="Z14" i="10"/>
  <c r="M31" i="10" s="1"/>
  <c r="O31" i="10" s="1"/>
  <c r="Z5" i="10"/>
  <c r="L29" i="10" s="1"/>
  <c r="Z6" i="10"/>
  <c r="L30" i="10" s="1"/>
  <c r="O30" i="10" s="1"/>
  <c r="Z4" i="10"/>
  <c r="L28" i="10" s="1"/>
  <c r="I7" i="14"/>
  <c r="U4" i="14" s="1"/>
  <c r="K22" i="14"/>
  <c r="S24" i="14"/>
  <c r="S4" i="14"/>
  <c r="S14" i="14"/>
  <c r="O29" i="5"/>
  <c r="O28" i="5"/>
  <c r="O30" i="5"/>
  <c r="O31" i="5"/>
  <c r="M20" i="6"/>
  <c r="M13" i="6"/>
  <c r="X18" i="2"/>
  <c r="X7" i="2"/>
  <c r="X8" i="2"/>
  <c r="X28" i="2"/>
  <c r="X17" i="2"/>
  <c r="J24" i="2"/>
  <c r="O28" i="10" l="1"/>
  <c r="O29" i="10"/>
  <c r="U24" i="14"/>
  <c r="U25" i="14"/>
  <c r="U14" i="14"/>
  <c r="U15" i="14"/>
  <c r="U5" i="14"/>
  <c r="J20" i="14"/>
  <c r="H4" i="14" s="1"/>
  <c r="I6" i="14"/>
  <c r="N19" i="6"/>
  <c r="N12" i="6"/>
  <c r="N5" i="6"/>
  <c r="N20" i="6"/>
  <c r="N13" i="6"/>
  <c r="AB32" i="6"/>
  <c r="E9" i="6" s="1"/>
  <c r="E5" i="6"/>
  <c r="H8" i="2"/>
  <c r="K25" i="2"/>
  <c r="K21" i="14" l="1"/>
  <c r="I5" i="14" s="1"/>
  <c r="S22" i="14" s="1"/>
  <c r="T23" i="14"/>
  <c r="T13" i="14"/>
  <c r="T3" i="14"/>
  <c r="T4" i="14"/>
  <c r="T24" i="14"/>
  <c r="T14" i="14"/>
  <c r="R13" i="14"/>
  <c r="R12" i="14"/>
  <c r="R23" i="14"/>
  <c r="R22" i="14"/>
  <c r="R3" i="14"/>
  <c r="R2" i="14"/>
  <c r="L5" i="6"/>
  <c r="L4" i="6"/>
  <c r="L19" i="6"/>
  <c r="L12" i="6"/>
  <c r="L18" i="6"/>
  <c r="L11" i="6"/>
  <c r="M18" i="6"/>
  <c r="M11" i="6"/>
  <c r="M4" i="6"/>
  <c r="M19" i="6"/>
  <c r="M12" i="6"/>
  <c r="M5" i="6"/>
  <c r="J23" i="2"/>
  <c r="I9" i="2"/>
  <c r="V27" i="2"/>
  <c r="V17" i="2"/>
  <c r="V7" i="2"/>
  <c r="S23" i="14" l="1"/>
  <c r="AC22" i="14" s="1" a="1"/>
  <c r="AH29" i="14" s="1"/>
  <c r="S13" i="14"/>
  <c r="S2" i="14"/>
  <c r="S3" i="14"/>
  <c r="S12" i="14"/>
  <c r="T11" i="6" a="1"/>
  <c r="V13" i="6" s="1"/>
  <c r="T18" i="6" a="1"/>
  <c r="V20" i="6" s="1"/>
  <c r="T4" i="6" a="1"/>
  <c r="U4" i="6" s="1"/>
  <c r="W16" i="2"/>
  <c r="W27" i="2"/>
  <c r="W7" i="2"/>
  <c r="W26" i="2"/>
  <c r="W6" i="2"/>
  <c r="W17" i="2"/>
  <c r="H7" i="2"/>
  <c r="K24" i="2"/>
  <c r="AC12" i="14" l="1" a="1"/>
  <c r="AI19" i="14" s="1"/>
  <c r="AC2" i="14" a="1"/>
  <c r="AJ9" i="14" s="1"/>
  <c r="AI22" i="14"/>
  <c r="AI23" i="14"/>
  <c r="AI24" i="14"/>
  <c r="AI25" i="14"/>
  <c r="AI26" i="14"/>
  <c r="AC22" i="14"/>
  <c r="AC23" i="14"/>
  <c r="AC24" i="14"/>
  <c r="AC25" i="14"/>
  <c r="AC26" i="14"/>
  <c r="AC27" i="14"/>
  <c r="AI27" i="14"/>
  <c r="AE28" i="14"/>
  <c r="AC29" i="14"/>
  <c r="AD22" i="14"/>
  <c r="AH22" i="14"/>
  <c r="AD23" i="14"/>
  <c r="AH23" i="14"/>
  <c r="AD24" i="14"/>
  <c r="AH24" i="14"/>
  <c r="AD25" i="14"/>
  <c r="AH25" i="14"/>
  <c r="AD26" i="14"/>
  <c r="AH26" i="14"/>
  <c r="AD27" i="14"/>
  <c r="AH27" i="14"/>
  <c r="AD28" i="14"/>
  <c r="AI28" i="14"/>
  <c r="AI29" i="14"/>
  <c r="AJ28" i="14"/>
  <c r="AF29" i="14"/>
  <c r="AJ29" i="14"/>
  <c r="AE22" i="14"/>
  <c r="AE23" i="14"/>
  <c r="AE24" i="14"/>
  <c r="AE25" i="14"/>
  <c r="AE26" i="14"/>
  <c r="AE27" i="14"/>
  <c r="AG22" i="14"/>
  <c r="AG23" i="14"/>
  <c r="AG24" i="14"/>
  <c r="AG25" i="14"/>
  <c r="AG26" i="14"/>
  <c r="AG27" i="14"/>
  <c r="AC28" i="14"/>
  <c r="AG28" i="14"/>
  <c r="AG29" i="14"/>
  <c r="AF22" i="14"/>
  <c r="AJ22" i="14"/>
  <c r="AF23" i="14"/>
  <c r="AJ23" i="14"/>
  <c r="AF24" i="14"/>
  <c r="AJ24" i="14"/>
  <c r="AF25" i="14"/>
  <c r="AJ25" i="14"/>
  <c r="AF26" i="14"/>
  <c r="AJ26" i="14"/>
  <c r="AF27" i="14"/>
  <c r="AJ27" i="14"/>
  <c r="AF28" i="14"/>
  <c r="AE29" i="14"/>
  <c r="AH28" i="14"/>
  <c r="AD29" i="14"/>
  <c r="U11" i="6"/>
  <c r="T18" i="6"/>
  <c r="V18" i="6"/>
  <c r="U18" i="6"/>
  <c r="T19" i="6"/>
  <c r="U19" i="6"/>
  <c r="V19" i="6"/>
  <c r="T20" i="6"/>
  <c r="U20" i="6"/>
  <c r="T11" i="6"/>
  <c r="V11" i="6"/>
  <c r="U12" i="6"/>
  <c r="V12" i="6"/>
  <c r="T13" i="6"/>
  <c r="T12" i="6"/>
  <c r="T6" i="6"/>
  <c r="U6" i="6"/>
  <c r="V4" i="6"/>
  <c r="T5" i="6"/>
  <c r="V6" i="6"/>
  <c r="U5" i="6"/>
  <c r="T4" i="6"/>
  <c r="V5" i="6"/>
  <c r="U13" i="6"/>
  <c r="J22" i="2"/>
  <c r="K23" i="2" s="1"/>
  <c r="I8" i="2"/>
  <c r="U26" i="2"/>
  <c r="U6" i="2"/>
  <c r="U16" i="2"/>
  <c r="AI18" i="14" l="1"/>
  <c r="AI16" i="14"/>
  <c r="AI14" i="14"/>
  <c r="AE13" i="14"/>
  <c r="AE12" i="14"/>
  <c r="AJ15" i="14"/>
  <c r="AJ12" i="14"/>
  <c r="AH17" i="14"/>
  <c r="AH13" i="14"/>
  <c r="AG17" i="14"/>
  <c r="AG13" i="14"/>
  <c r="AF15" i="14"/>
  <c r="AD15" i="14"/>
  <c r="AC15" i="14"/>
  <c r="AF18" i="14"/>
  <c r="AD18" i="14"/>
  <c r="AI17" i="14"/>
  <c r="AI15" i="14"/>
  <c r="AI13" i="14"/>
  <c r="AI12" i="14"/>
  <c r="AJ17" i="14"/>
  <c r="AJ13" i="14"/>
  <c r="AH19" i="14"/>
  <c r="AH15" i="14"/>
  <c r="AG19" i="14"/>
  <c r="AG15" i="14"/>
  <c r="AF19" i="14"/>
  <c r="AD19" i="14"/>
  <c r="AC19" i="14"/>
  <c r="AC13" i="14"/>
  <c r="AF14" i="14"/>
  <c r="AD14" i="14"/>
  <c r="AJ6" i="14"/>
  <c r="AJ2" i="14"/>
  <c r="AI3" i="14"/>
  <c r="AG3" i="14"/>
  <c r="AH5" i="14"/>
  <c r="AJ8" i="14"/>
  <c r="AJ4" i="14"/>
  <c r="AI7" i="14"/>
  <c r="AG7" i="14"/>
  <c r="AD5" i="14"/>
  <c r="AH9" i="14"/>
  <c r="AE9" i="14"/>
  <c r="AC9" i="14"/>
  <c r="AD9" i="14"/>
  <c r="AE8" i="14"/>
  <c r="AC8" i="14"/>
  <c r="AJ7" i="14"/>
  <c r="AJ5" i="14"/>
  <c r="AJ3" i="14"/>
  <c r="AI9" i="14"/>
  <c r="AI5" i="14"/>
  <c r="AG9" i="14"/>
  <c r="AG5" i="14"/>
  <c r="AH7" i="14"/>
  <c r="AH3" i="14"/>
  <c r="AE5" i="14"/>
  <c r="AC5" i="14"/>
  <c r="AD7" i="14"/>
  <c r="AD3" i="14"/>
  <c r="AE4" i="14"/>
  <c r="AC4" i="14"/>
  <c r="AJ19" i="14"/>
  <c r="AC17" i="14"/>
  <c r="AE19" i="14"/>
  <c r="AE18" i="14"/>
  <c r="AE17" i="14"/>
  <c r="AE16" i="14"/>
  <c r="AE15" i="14"/>
  <c r="AE14" i="14"/>
  <c r="AJ18" i="14"/>
  <c r="AJ16" i="14"/>
  <c r="AJ14" i="14"/>
  <c r="AH18" i="14"/>
  <c r="AH16" i="14"/>
  <c r="AH14" i="14"/>
  <c r="AH12" i="14"/>
  <c r="AG18" i="14"/>
  <c r="AG16" i="14"/>
  <c r="AG14" i="14"/>
  <c r="AG12" i="14"/>
  <c r="AF17" i="14"/>
  <c r="AF13" i="14"/>
  <c r="AD17" i="14"/>
  <c r="AD13" i="14"/>
  <c r="AC18" i="14"/>
  <c r="AC16" i="14"/>
  <c r="AC14" i="14"/>
  <c r="AC12" i="14"/>
  <c r="AF16" i="14"/>
  <c r="AF12" i="14"/>
  <c r="AD16" i="14"/>
  <c r="AD12" i="14"/>
  <c r="AF9" i="14"/>
  <c r="AF8" i="14"/>
  <c r="AF7" i="14"/>
  <c r="AF6" i="14"/>
  <c r="AF5" i="14"/>
  <c r="AF4" i="14"/>
  <c r="AF3" i="14"/>
  <c r="AF2" i="14"/>
  <c r="AI8" i="14"/>
  <c r="AI6" i="14"/>
  <c r="AI4" i="14"/>
  <c r="AI2" i="14"/>
  <c r="AG8" i="14"/>
  <c r="AG6" i="14"/>
  <c r="AG4" i="14"/>
  <c r="AG2" i="14"/>
  <c r="AH8" i="14"/>
  <c r="AH6" i="14"/>
  <c r="AH4" i="14"/>
  <c r="AH2" i="14"/>
  <c r="AE7" i="14"/>
  <c r="AE3" i="14"/>
  <c r="AC7" i="14"/>
  <c r="AC3" i="14"/>
  <c r="AD8" i="14"/>
  <c r="AD6" i="14"/>
  <c r="AD4" i="14"/>
  <c r="AD2" i="14"/>
  <c r="AE6" i="14"/>
  <c r="AE2" i="14"/>
  <c r="AC6" i="14"/>
  <c r="AC2" i="14"/>
  <c r="D3" i="14" a="1"/>
  <c r="D7" i="14" s="1"/>
  <c r="Z18" i="6" a="1"/>
  <c r="Z20" i="6" s="1"/>
  <c r="N30" i="6" s="1"/>
  <c r="Z11" i="6" a="1"/>
  <c r="Z13" i="6" s="1"/>
  <c r="Z4" i="6" a="1"/>
  <c r="Z6" i="6" s="1"/>
  <c r="H6" i="2"/>
  <c r="V25" i="2"/>
  <c r="V16" i="2"/>
  <c r="V6" i="2"/>
  <c r="V15" i="2"/>
  <c r="V5" i="2"/>
  <c r="V26" i="2"/>
  <c r="C3" i="14" l="1" a="1"/>
  <c r="C8" i="14" s="1"/>
  <c r="B3" i="14" a="1"/>
  <c r="B7" i="14" s="1"/>
  <c r="D8" i="14"/>
  <c r="D10" i="14"/>
  <c r="D5" i="14"/>
  <c r="D9" i="14"/>
  <c r="D4" i="14"/>
  <c r="D6" i="14"/>
  <c r="D3" i="14"/>
  <c r="Z11" i="6"/>
  <c r="M28" i="6" s="1"/>
  <c r="Z12" i="6"/>
  <c r="M29" i="6" s="1"/>
  <c r="Z19" i="6"/>
  <c r="N29" i="6" s="1"/>
  <c r="Z18" i="6"/>
  <c r="N28" i="6" s="1"/>
  <c r="Z4" i="6"/>
  <c r="L28" i="6" s="1"/>
  <c r="Z5" i="6"/>
  <c r="L29" i="6" s="1"/>
  <c r="L30" i="6"/>
  <c r="M30" i="6"/>
  <c r="I7" i="2"/>
  <c r="J21" i="2"/>
  <c r="T25" i="2"/>
  <c r="T15" i="2"/>
  <c r="T5" i="2"/>
  <c r="C3" i="14" l="1"/>
  <c r="C10" i="14"/>
  <c r="C7" i="14"/>
  <c r="E7" i="14" s="1"/>
  <c r="C4" i="14"/>
  <c r="C5" i="14"/>
  <c r="C6" i="14"/>
  <c r="C9" i="14"/>
  <c r="B8" i="14"/>
  <c r="E8" i="14" s="1"/>
  <c r="B6" i="14"/>
  <c r="B4" i="14"/>
  <c r="E4" i="14" s="1"/>
  <c r="B5" i="14"/>
  <c r="B3" i="14"/>
  <c r="B9" i="14"/>
  <c r="B10" i="14"/>
  <c r="O30" i="6"/>
  <c r="O29" i="6"/>
  <c r="O28" i="6"/>
  <c r="H5" i="2"/>
  <c r="K22" i="2"/>
  <c r="U4" i="2"/>
  <c r="U25" i="2"/>
  <c r="U5" i="2"/>
  <c r="U24" i="2"/>
  <c r="U14" i="2"/>
  <c r="U15" i="2"/>
  <c r="E10" i="14" l="1"/>
  <c r="E3" i="14"/>
  <c r="E6" i="14"/>
  <c r="E5" i="14"/>
  <c r="E9" i="14"/>
  <c r="I6" i="2"/>
  <c r="J20" i="2"/>
  <c r="S4" i="2"/>
  <c r="S24" i="2"/>
  <c r="S14" i="2"/>
  <c r="H4" i="2" l="1"/>
  <c r="K21" i="2"/>
  <c r="I5" i="2" s="1"/>
  <c r="T23" i="2"/>
  <c r="T14" i="2"/>
  <c r="T24" i="2"/>
  <c r="T13" i="2"/>
  <c r="T3" i="2"/>
  <c r="T4" i="2"/>
  <c r="S2" i="2" l="1"/>
  <c r="S23" i="2"/>
  <c r="S13" i="2"/>
  <c r="S22" i="2"/>
  <c r="S12" i="2"/>
  <c r="S3" i="2"/>
  <c r="R13" i="2"/>
  <c r="R22" i="2"/>
  <c r="R2" i="2"/>
  <c r="R23" i="2"/>
  <c r="R12" i="2"/>
  <c r="R3" i="2"/>
  <c r="AC12" i="2" l="1" a="1"/>
  <c r="AI19" i="2" s="1"/>
  <c r="AC22" i="2" a="1"/>
  <c r="AC2" i="2" a="1"/>
  <c r="AE19" i="2" l="1"/>
  <c r="AJ13" i="2"/>
  <c r="AG19" i="2"/>
  <c r="AD13" i="2"/>
  <c r="AG14" i="2"/>
  <c r="AI12" i="2"/>
  <c r="AF14" i="2"/>
  <c r="AH12" i="2"/>
  <c r="AI13" i="2"/>
  <c r="AJ17" i="2"/>
  <c r="AJ18" i="2"/>
  <c r="AH14" i="2"/>
  <c r="AF17" i="2"/>
  <c r="AD14" i="2"/>
  <c r="AC15" i="2"/>
  <c r="AH15" i="2"/>
  <c r="AE13" i="2"/>
  <c r="AD17" i="2"/>
  <c r="AC19" i="2"/>
  <c r="AJ15" i="2"/>
  <c r="AG12" i="2"/>
  <c r="AG16" i="2"/>
  <c r="AE17" i="2"/>
  <c r="AE14" i="2"/>
  <c r="AD12" i="2"/>
  <c r="AF13" i="2"/>
  <c r="AC14" i="2"/>
  <c r="AI18" i="2"/>
  <c r="AI14" i="2"/>
  <c r="AF18" i="2"/>
  <c r="AF19" i="2"/>
  <c r="AH13" i="2"/>
  <c r="AH17" i="2"/>
  <c r="AH16" i="2"/>
  <c r="AC18" i="2"/>
  <c r="AD15" i="2"/>
  <c r="AH19" i="2"/>
  <c r="AI15" i="2"/>
  <c r="AJ12" i="2"/>
  <c r="AJ14" i="2"/>
  <c r="AJ16" i="2"/>
  <c r="AD19" i="2"/>
  <c r="AG13" i="2"/>
  <c r="AG15" i="2"/>
  <c r="AG18" i="2"/>
  <c r="AJ19" i="2"/>
  <c r="AE18" i="2"/>
  <c r="AE12" i="2"/>
  <c r="AE16" i="2"/>
  <c r="AH18" i="2"/>
  <c r="AD16" i="2"/>
  <c r="AC17" i="2"/>
  <c r="AF15" i="2"/>
  <c r="AC12" i="2"/>
  <c r="AC16" i="2"/>
  <c r="AI16" i="2"/>
  <c r="AE15" i="2"/>
  <c r="AD18" i="2"/>
  <c r="AF12" i="2"/>
  <c r="AF16" i="2"/>
  <c r="AC13" i="2"/>
  <c r="AG17" i="2"/>
  <c r="AI17" i="2"/>
  <c r="AJ29" i="2"/>
  <c r="AD28" i="2"/>
  <c r="AD24" i="2"/>
  <c r="AC26" i="2"/>
  <c r="AD29" i="2"/>
  <c r="AD27" i="2"/>
  <c r="AD25" i="2"/>
  <c r="AD23" i="2"/>
  <c r="AE28" i="2"/>
  <c r="AE24" i="2"/>
  <c r="AC28" i="2"/>
  <c r="AC24" i="2"/>
  <c r="AD26" i="2"/>
  <c r="AD22" i="2"/>
  <c r="AE26" i="2"/>
  <c r="AE22" i="2"/>
  <c r="AC22" i="2"/>
  <c r="AC25" i="2"/>
  <c r="AC29" i="2"/>
  <c r="AE25" i="2"/>
  <c r="AE29" i="2"/>
  <c r="AH23" i="2"/>
  <c r="AH25" i="2"/>
  <c r="AH27" i="2"/>
  <c r="AH29" i="2"/>
  <c r="AG23" i="2"/>
  <c r="AG25" i="2"/>
  <c r="AG27" i="2"/>
  <c r="AG29" i="2"/>
  <c r="AI23" i="2"/>
  <c r="AI25" i="2"/>
  <c r="AI27" i="2"/>
  <c r="AI29" i="2"/>
  <c r="AJ22" i="2"/>
  <c r="AJ23" i="2"/>
  <c r="AJ24" i="2"/>
  <c r="AJ25" i="2"/>
  <c r="AJ26" i="2"/>
  <c r="AJ27" i="2"/>
  <c r="AJ28" i="2"/>
  <c r="AC23" i="2"/>
  <c r="AC27" i="2"/>
  <c r="AE23" i="2"/>
  <c r="AE27" i="2"/>
  <c r="AH22" i="2"/>
  <c r="AH24" i="2"/>
  <c r="AH26" i="2"/>
  <c r="AH28" i="2"/>
  <c r="AG22" i="2"/>
  <c r="AG24" i="2"/>
  <c r="AG26" i="2"/>
  <c r="AG28" i="2"/>
  <c r="AI22" i="2"/>
  <c r="AI24" i="2"/>
  <c r="AI26" i="2"/>
  <c r="AI28" i="2"/>
  <c r="AF22" i="2"/>
  <c r="AF23" i="2"/>
  <c r="AF24" i="2"/>
  <c r="AF25" i="2"/>
  <c r="AF26" i="2"/>
  <c r="AF27" i="2"/>
  <c r="AF28" i="2"/>
  <c r="AF29" i="2"/>
  <c r="AH8" i="2"/>
  <c r="AE6" i="2"/>
  <c r="AE3" i="2"/>
  <c r="AJ7" i="2"/>
  <c r="AH5" i="2"/>
  <c r="AJ2" i="2"/>
  <c r="AJ9" i="2"/>
  <c r="AF9" i="2"/>
  <c r="AJ8" i="2"/>
  <c r="AF8" i="2"/>
  <c r="AH7" i="2"/>
  <c r="AD6" i="2"/>
  <c r="AJ4" i="2"/>
  <c r="AJ3" i="2"/>
  <c r="AF2" i="2"/>
  <c r="AG9" i="2"/>
  <c r="AC9" i="2"/>
  <c r="AG8" i="2"/>
  <c r="AC8" i="2"/>
  <c r="AG7" i="2"/>
  <c r="AC7" i="2"/>
  <c r="AG6" i="2"/>
  <c r="AC6" i="2"/>
  <c r="AG5" i="2"/>
  <c r="AC5" i="2"/>
  <c r="AG4" i="2"/>
  <c r="AC4" i="2"/>
  <c r="AG3" i="2"/>
  <c r="AC3" i="2"/>
  <c r="AG2" i="2"/>
  <c r="AC2" i="2"/>
  <c r="AF7" i="2"/>
  <c r="AH6" i="2"/>
  <c r="AJ5" i="2"/>
  <c r="AD5" i="2"/>
  <c r="AD4" i="2"/>
  <c r="AF3" i="2"/>
  <c r="AH2" i="2"/>
  <c r="AH9" i="2"/>
  <c r="AD9" i="2"/>
  <c r="AD8" i="2"/>
  <c r="AJ6" i="2"/>
  <c r="AF5" i="2"/>
  <c r="AF4" i="2"/>
  <c r="AD3" i="2"/>
  <c r="AI9" i="2"/>
  <c r="AE9" i="2"/>
  <c r="AI8" i="2"/>
  <c r="AE8" i="2"/>
  <c r="AI7" i="2"/>
  <c r="AE7" i="2"/>
  <c r="AI6" i="2"/>
  <c r="AI5" i="2"/>
  <c r="AE5" i="2"/>
  <c r="AI4" i="2"/>
  <c r="AE4" i="2"/>
  <c r="AI3" i="2"/>
  <c r="AI2" i="2"/>
  <c r="AE2" i="2"/>
  <c r="AD7" i="2"/>
  <c r="AF6" i="2"/>
  <c r="AH4" i="2"/>
  <c r="AH3" i="2"/>
  <c r="AD2" i="2"/>
  <c r="C3" i="2" l="1" a="1"/>
  <c r="C10" i="2" s="1"/>
  <c r="B3" i="2" a="1"/>
  <c r="D3" i="2" a="1"/>
  <c r="C6" i="2" l="1"/>
  <c r="C4" i="2"/>
  <c r="C9" i="2"/>
  <c r="C3" i="2"/>
  <c r="C5" i="2"/>
  <c r="C7" i="2"/>
  <c r="C8" i="2"/>
  <c r="D7" i="2"/>
  <c r="D6" i="2"/>
  <c r="D3" i="2"/>
  <c r="D8" i="2"/>
  <c r="D10" i="2"/>
  <c r="D4" i="2"/>
  <c r="D5" i="2"/>
  <c r="D9" i="2"/>
  <c r="B7" i="2"/>
  <c r="B3" i="2"/>
  <c r="B8" i="2"/>
  <c r="B4" i="2"/>
  <c r="B9" i="2"/>
  <c r="B5" i="2"/>
  <c r="B10" i="2"/>
  <c r="B6" i="2"/>
  <c r="E10" i="2" l="1"/>
  <c r="E7" i="2"/>
  <c r="E6" i="2"/>
  <c r="E4" i="2"/>
  <c r="E5" i="2"/>
  <c r="E3" i="2"/>
  <c r="E9" i="2"/>
  <c r="E8" i="2"/>
  <c r="X35" i="1" l="1"/>
  <c r="I42" i="1" l="1"/>
  <c r="I43" i="1"/>
  <c r="I44" i="1"/>
  <c r="I45" i="1"/>
  <c r="B15" i="1" l="1"/>
  <c r="C15" i="1"/>
  <c r="D15" i="1"/>
  <c r="AA30" i="1" l="1"/>
  <c r="E4" i="1" s="1"/>
  <c r="M48" i="1" l="1"/>
  <c r="L49" i="1"/>
  <c r="L50" i="1"/>
  <c r="L51" i="1"/>
  <c r="W32" i="1"/>
  <c r="B11" i="1" s="1"/>
  <c r="X32" i="1"/>
  <c r="C11" i="1" s="1"/>
  <c r="W33" i="1"/>
  <c r="B12" i="1" s="1"/>
  <c r="X33" i="1"/>
  <c r="C12" i="1" s="1"/>
  <c r="W34" i="1"/>
  <c r="B13" i="1" s="1"/>
  <c r="X34" i="1"/>
  <c r="C13" i="1" s="1"/>
  <c r="W35" i="1"/>
  <c r="B14" i="1" s="1"/>
  <c r="C14" i="1"/>
  <c r="X31" i="1"/>
  <c r="AG32" i="1" s="1"/>
  <c r="W31" i="1"/>
  <c r="T32" i="1"/>
  <c r="C6" i="1" s="1"/>
  <c r="U32" i="1"/>
  <c r="D6" i="1" s="1"/>
  <c r="T33" i="1"/>
  <c r="C7" i="1" s="1"/>
  <c r="U33" i="1"/>
  <c r="D7" i="1" s="1"/>
  <c r="T34" i="1"/>
  <c r="C8" i="1" s="1"/>
  <c r="U34" i="1"/>
  <c r="D8" i="1" s="1"/>
  <c r="T35" i="1"/>
  <c r="U35" i="1"/>
  <c r="D9" i="1" s="1"/>
  <c r="T31" i="1"/>
  <c r="C5" i="1" s="1"/>
  <c r="U31" i="1"/>
  <c r="D5" i="1" s="1"/>
  <c r="X36" i="1"/>
  <c r="Q48" i="1"/>
  <c r="Q49" i="1"/>
  <c r="Q50" i="1"/>
  <c r="Q51" i="1"/>
  <c r="O42" i="1"/>
  <c r="O43" i="1"/>
  <c r="O44" i="1"/>
  <c r="O45" i="1"/>
  <c r="C42" i="1"/>
  <c r="M42" i="1" s="1"/>
  <c r="C43" i="1"/>
  <c r="S33" i="1" s="1"/>
  <c r="B7" i="1" s="1"/>
  <c r="C44" i="1"/>
  <c r="L44" i="1" s="1"/>
  <c r="C45" i="1"/>
  <c r="S35" i="1" s="1"/>
  <c r="I41" i="1"/>
  <c r="Y31" i="1" s="1"/>
  <c r="C41" i="1"/>
  <c r="L41" i="1" s="1"/>
  <c r="AG36" i="1" l="1"/>
  <c r="AG34" i="1" s="1"/>
  <c r="B9" i="1"/>
  <c r="C9" i="1"/>
  <c r="Y32" i="1"/>
  <c r="D11" i="1" s="1"/>
  <c r="C10" i="1"/>
  <c r="D10" i="1"/>
  <c r="B10" i="1"/>
  <c r="Y34" i="1"/>
  <c r="D13" i="1" s="1"/>
  <c r="Y35" i="1"/>
  <c r="D14" i="1" s="1"/>
  <c r="Y33" i="1"/>
  <c r="D12" i="1" s="1"/>
  <c r="N50" i="1"/>
  <c r="M49" i="1"/>
  <c r="O51" i="1"/>
  <c r="O48" i="1"/>
  <c r="AD31" i="1"/>
  <c r="AD33" i="1"/>
  <c r="M51" i="1"/>
  <c r="O49" i="1"/>
  <c r="P50" i="1"/>
  <c r="P51" i="1"/>
  <c r="N51" i="1"/>
  <c r="P49" i="1"/>
  <c r="N49" i="1"/>
  <c r="AD34" i="1"/>
  <c r="AD32" i="1"/>
  <c r="Z31" i="1"/>
  <c r="AE31" i="1"/>
  <c r="Q45" i="1"/>
  <c r="AC33" i="1"/>
  <c r="V33" i="1"/>
  <c r="AC35" i="1"/>
  <c r="V35" i="1"/>
  <c r="M45" i="1"/>
  <c r="Q44" i="1"/>
  <c r="M44" i="1"/>
  <c r="P43" i="1"/>
  <c r="N43" i="1"/>
  <c r="L43" i="1"/>
  <c r="P42" i="1"/>
  <c r="N42" i="1"/>
  <c r="L42" i="1"/>
  <c r="S31" i="1"/>
  <c r="B5" i="1" s="1"/>
  <c r="AD35" i="1"/>
  <c r="S34" i="1"/>
  <c r="B8" i="1" s="1"/>
  <c r="S32" i="1"/>
  <c r="B6" i="1" s="1"/>
  <c r="P45" i="1"/>
  <c r="N45" i="1"/>
  <c r="L45" i="1"/>
  <c r="P44" i="1"/>
  <c r="N44" i="1"/>
  <c r="Q43" i="1"/>
  <c r="M43" i="1"/>
  <c r="Q42" i="1"/>
  <c r="O50" i="1"/>
  <c r="M50" i="1"/>
  <c r="P48" i="1"/>
  <c r="N48" i="1"/>
  <c r="L48" i="1"/>
  <c r="M47" i="1"/>
  <c r="P47" i="1"/>
  <c r="M41" i="1"/>
  <c r="P41" i="1"/>
  <c r="Z32" i="1" l="1"/>
  <c r="AE32" i="1"/>
  <c r="Z34" i="1"/>
  <c r="Z33" i="1"/>
  <c r="AE34" i="1"/>
  <c r="Z35" i="1"/>
  <c r="AE35" i="1"/>
  <c r="AE33" i="1"/>
  <c r="S49" i="1"/>
  <c r="V49" i="1" s="1"/>
  <c r="S51" i="1"/>
  <c r="V51" i="1" s="1"/>
  <c r="T42" i="1"/>
  <c r="W42" i="1" s="1"/>
  <c r="T51" i="1"/>
  <c r="W51" i="1" s="1"/>
  <c r="R51" i="1"/>
  <c r="U51" i="1" s="1"/>
  <c r="R49" i="1"/>
  <c r="U49" i="1" s="1"/>
  <c r="T49" i="1"/>
  <c r="W49" i="1" s="1"/>
  <c r="R48" i="1"/>
  <c r="U48" i="1" s="1"/>
  <c r="R50" i="1"/>
  <c r="U50" i="1" s="1"/>
  <c r="S50" i="1"/>
  <c r="V50" i="1" s="1"/>
  <c r="R43" i="1"/>
  <c r="U43" i="1" s="1"/>
  <c r="R45" i="1"/>
  <c r="U45" i="1" s="1"/>
  <c r="R42" i="1"/>
  <c r="U42" i="1" s="1"/>
  <c r="S44" i="1"/>
  <c r="V44" i="1" s="1"/>
  <c r="T45" i="1"/>
  <c r="W45" i="1" s="1"/>
  <c r="T43" i="1"/>
  <c r="W43" i="1" s="1"/>
  <c r="AC32" i="1"/>
  <c r="V32" i="1"/>
  <c r="AC31" i="1"/>
  <c r="V31" i="1"/>
  <c r="S43" i="1"/>
  <c r="V43" i="1" s="1"/>
  <c r="T44" i="1"/>
  <c r="W44" i="1" s="1"/>
  <c r="R44" i="1"/>
  <c r="U44" i="1" s="1"/>
  <c r="S45" i="1"/>
  <c r="V45" i="1" s="1"/>
  <c r="AC34" i="1"/>
  <c r="V34" i="1"/>
  <c r="S42" i="1"/>
  <c r="V42" i="1" s="1"/>
  <c r="S48" i="1"/>
  <c r="V48" i="1" s="1"/>
  <c r="T48" i="1"/>
  <c r="W48" i="1" s="1"/>
  <c r="T50" i="1"/>
  <c r="W50" i="1" s="1"/>
  <c r="L47" i="1"/>
  <c r="O41" i="1"/>
  <c r="N41" i="1"/>
  <c r="N47" i="1"/>
  <c r="Q41" i="1"/>
  <c r="O47" i="1"/>
  <c r="Q47" i="1"/>
  <c r="Y50" i="1" l="1"/>
  <c r="D53" i="1" s="1"/>
  <c r="D61" i="1" s="1"/>
  <c r="Z51" i="1"/>
  <c r="E54" i="1" s="1"/>
  <c r="E62" i="1" s="1"/>
  <c r="X51" i="1"/>
  <c r="C54" i="1" s="1"/>
  <c r="C62" i="1" s="1"/>
  <c r="X45" i="1"/>
  <c r="G54" i="1" s="1"/>
  <c r="G62" i="1" s="1"/>
  <c r="X42" i="1"/>
  <c r="G51" i="1" s="1"/>
  <c r="G59" i="1" s="1"/>
  <c r="Y44" i="1"/>
  <c r="H53" i="1" s="1"/>
  <c r="H61" i="1" s="1"/>
  <c r="X49" i="1"/>
  <c r="C52" i="1" s="1"/>
  <c r="C60" i="1" s="1"/>
  <c r="Z45" i="1"/>
  <c r="I54" i="1" s="1"/>
  <c r="I62" i="1" s="1"/>
  <c r="X48" i="1"/>
  <c r="C51" i="1" s="1"/>
  <c r="C59" i="1" s="1"/>
  <c r="X43" i="1"/>
  <c r="G52" i="1" s="1"/>
  <c r="G60" i="1" s="1"/>
  <c r="R41" i="1"/>
  <c r="U41" i="1" s="1"/>
  <c r="X50" i="1"/>
  <c r="C53" i="1" s="1"/>
  <c r="C61" i="1" s="1"/>
  <c r="X44" i="1"/>
  <c r="G53" i="1" s="1"/>
  <c r="G61" i="1" s="1"/>
  <c r="Y49" i="1"/>
  <c r="D52" i="1" s="1"/>
  <c r="Y43" i="1"/>
  <c r="H52" i="1" s="1"/>
  <c r="T41" i="1"/>
  <c r="W41" i="1" s="1"/>
  <c r="Y51" i="1"/>
  <c r="D54" i="1" s="1"/>
  <c r="Y45" i="1"/>
  <c r="H54" i="1" s="1"/>
  <c r="H62" i="1" s="1"/>
  <c r="S41" i="1"/>
  <c r="V41" i="1" s="1"/>
  <c r="Z49" i="1"/>
  <c r="E52" i="1" s="1"/>
  <c r="E60" i="1" s="1"/>
  <c r="Z43" i="1"/>
  <c r="I52" i="1" s="1"/>
  <c r="I60" i="1" s="1"/>
  <c r="Z42" i="1"/>
  <c r="I51" i="1" s="1"/>
  <c r="I59" i="1" s="1"/>
  <c r="Z48" i="1"/>
  <c r="E51" i="1" s="1"/>
  <c r="E59" i="1" s="1"/>
  <c r="Z50" i="1"/>
  <c r="E53" i="1" s="1"/>
  <c r="Z44" i="1"/>
  <c r="I53" i="1" s="1"/>
  <c r="I61" i="1" s="1"/>
  <c r="Y42" i="1"/>
  <c r="H51" i="1" s="1"/>
  <c r="H59" i="1" s="1"/>
  <c r="Y48" i="1"/>
  <c r="D51" i="1" s="1"/>
  <c r="D59" i="1" s="1"/>
  <c r="T47" i="1"/>
  <c r="W47" i="1" s="1"/>
  <c r="S47" i="1"/>
  <c r="V47" i="1" s="1"/>
  <c r="R47" i="1"/>
  <c r="U47" i="1" s="1"/>
  <c r="X47" i="1" l="1"/>
  <c r="C50" i="1" s="1"/>
  <c r="C58" i="1" s="1"/>
  <c r="Z47" i="1"/>
  <c r="E50" i="1" s="1"/>
  <c r="E58" i="1" s="1"/>
  <c r="J53" i="1"/>
  <c r="J51" i="1"/>
  <c r="J54" i="1"/>
  <c r="Z41" i="1"/>
  <c r="I50" i="1" s="1"/>
  <c r="I58" i="1" s="1"/>
  <c r="Y41" i="1"/>
  <c r="H50" i="1" s="1"/>
  <c r="H58" i="1" s="1"/>
  <c r="X41" i="1"/>
  <c r="G50" i="1" s="1"/>
  <c r="B54" i="1"/>
  <c r="D62" i="1"/>
  <c r="H60" i="1"/>
  <c r="J52" i="1"/>
  <c r="B51" i="1"/>
  <c r="D60" i="1"/>
  <c r="B52" i="1"/>
  <c r="E61" i="1"/>
  <c r="B53" i="1"/>
  <c r="Y47" i="1"/>
  <c r="D50" i="1" s="1"/>
  <c r="D58" i="1" s="1"/>
  <c r="B50" i="1" l="1"/>
  <c r="G58" i="1"/>
  <c r="J50" i="1"/>
  <c r="Q18" i="1" l="1"/>
  <c r="Q11" i="1"/>
  <c r="Q4" i="1" l="1"/>
  <c r="H5" i="1"/>
  <c r="I5" i="1"/>
  <c r="H6" i="1"/>
  <c r="I6" i="1"/>
  <c r="H7" i="1"/>
  <c r="I7" i="1"/>
  <c r="H8" i="1"/>
  <c r="I8" i="1"/>
  <c r="H9" i="1"/>
  <c r="I9" i="1"/>
  <c r="G6" i="1"/>
  <c r="G7" i="1"/>
  <c r="G8" i="1"/>
  <c r="G9" i="1"/>
  <c r="G5" i="1"/>
  <c r="AE26" i="1" l="1"/>
  <c r="AF26" i="1" s="1"/>
  <c r="B6" i="3"/>
  <c r="C6" i="3" s="1"/>
  <c r="AB36" i="1"/>
  <c r="AA35" i="1" s="1"/>
  <c r="AI26" i="1" s="1"/>
  <c r="E9" i="1" l="1"/>
  <c r="AB31" i="1"/>
  <c r="AA34" i="1"/>
  <c r="E8" i="1" s="1"/>
  <c r="F6" i="3"/>
  <c r="E15" i="1"/>
  <c r="AG26" i="1" l="1"/>
  <c r="G6" i="3" s="1"/>
  <c r="AG38" i="1"/>
  <c r="AB35" i="1"/>
  <c r="E14" i="1" s="1"/>
  <c r="E10" i="1"/>
  <c r="AH26" i="1"/>
  <c r="D6" i="3" s="1"/>
  <c r="Q15" i="1"/>
  <c r="Q22" i="1"/>
  <c r="Q8" i="1"/>
  <c r="O22" i="1"/>
  <c r="O15" i="1"/>
  <c r="O8" i="1"/>
  <c r="AI29" i="1" l="1"/>
  <c r="AA33" i="1"/>
  <c r="AB34" i="1" s="1"/>
  <c r="P7" i="1"/>
  <c r="P14" i="1"/>
  <c r="P21" i="1"/>
  <c r="P8" i="1"/>
  <c r="P22" i="1"/>
  <c r="P15" i="1"/>
  <c r="E7" i="1" l="1"/>
  <c r="N7" i="1" s="1"/>
  <c r="E13" i="1"/>
  <c r="AA32" i="1"/>
  <c r="N21" i="1" l="1"/>
  <c r="N14" i="1"/>
  <c r="E6" i="1"/>
  <c r="AB33" i="1"/>
  <c r="O20" i="1"/>
  <c r="O13" i="1"/>
  <c r="O6" i="1"/>
  <c r="O14" i="1"/>
  <c r="O7" i="1"/>
  <c r="O21" i="1"/>
  <c r="E12" i="1" l="1"/>
  <c r="AA31" i="1"/>
  <c r="M20" i="1"/>
  <c r="M13" i="1"/>
  <c r="M6" i="1"/>
  <c r="N19" i="1" l="1"/>
  <c r="N5" i="1"/>
  <c r="N12" i="1"/>
  <c r="N6" i="1"/>
  <c r="N20" i="1"/>
  <c r="N13" i="1"/>
  <c r="E5" i="1"/>
  <c r="AB32" i="1"/>
  <c r="E11" i="1" s="1"/>
  <c r="L12" i="1" l="1"/>
  <c r="L19" i="1"/>
  <c r="L5" i="1"/>
  <c r="L11" i="1"/>
  <c r="L18" i="1"/>
  <c r="L4" i="1"/>
  <c r="M18" i="1"/>
  <c r="M11" i="1"/>
  <c r="M4" i="1"/>
  <c r="M5" i="1"/>
  <c r="M12" i="1"/>
  <c r="M19" i="1"/>
  <c r="T4" i="1" l="1" a="1"/>
  <c r="T11" i="1" a="1"/>
  <c r="T18" i="1" a="1"/>
  <c r="T19" i="1" l="1"/>
  <c r="T20" i="1"/>
  <c r="U19" i="1"/>
  <c r="X19" i="1"/>
  <c r="V22" i="1"/>
  <c r="W20" i="1"/>
  <c r="X22" i="1"/>
  <c r="W22" i="1"/>
  <c r="V19" i="1"/>
  <c r="U21" i="1"/>
  <c r="U18" i="1"/>
  <c r="X21" i="1"/>
  <c r="W21" i="1"/>
  <c r="V21" i="1"/>
  <c r="U22" i="1"/>
  <c r="X18" i="1"/>
  <c r="T22" i="1"/>
  <c r="V18" i="1"/>
  <c r="X20" i="1"/>
  <c r="U20" i="1"/>
  <c r="W18" i="1"/>
  <c r="V20" i="1"/>
  <c r="W19" i="1"/>
  <c r="T21" i="1"/>
  <c r="T18" i="1"/>
  <c r="X11" i="1"/>
  <c r="V13" i="1"/>
  <c r="W11" i="1"/>
  <c r="T13" i="1"/>
  <c r="T15" i="1"/>
  <c r="W15" i="1"/>
  <c r="V15" i="1"/>
  <c r="X14" i="1"/>
  <c r="U15" i="1"/>
  <c r="U13" i="1"/>
  <c r="X15" i="1"/>
  <c r="X13" i="1"/>
  <c r="V12" i="1"/>
  <c r="T12" i="1"/>
  <c r="W13" i="1"/>
  <c r="V14" i="1"/>
  <c r="U12" i="1"/>
  <c r="T14" i="1"/>
  <c r="W14" i="1"/>
  <c r="X12" i="1"/>
  <c r="V11" i="1"/>
  <c r="U11" i="1"/>
  <c r="U14" i="1"/>
  <c r="W12" i="1"/>
  <c r="T11" i="1"/>
  <c r="W4" i="1"/>
  <c r="X8" i="1"/>
  <c r="V7" i="1"/>
  <c r="X6" i="1"/>
  <c r="V8" i="1"/>
  <c r="T7" i="1"/>
  <c r="W7" i="1"/>
  <c r="V4" i="1"/>
  <c r="U4" i="1"/>
  <c r="U6" i="1"/>
  <c r="V6" i="1"/>
  <c r="U7" i="1"/>
  <c r="U8" i="1"/>
  <c r="W5" i="1"/>
  <c r="U5" i="1"/>
  <c r="X5" i="1"/>
  <c r="X7" i="1"/>
  <c r="W6" i="1"/>
  <c r="V5" i="1"/>
  <c r="T4" i="1"/>
  <c r="X4" i="1"/>
  <c r="T8" i="1"/>
  <c r="T6" i="1"/>
  <c r="T5" i="1"/>
  <c r="W8" i="1"/>
  <c r="Z18" i="1" l="1" a="1"/>
  <c r="Z22" i="1" s="1"/>
  <c r="N32" i="1" s="1"/>
  <c r="Z4" i="1" a="1"/>
  <c r="Z11" i="1" a="1"/>
  <c r="Z21" i="1" l="1"/>
  <c r="N31" i="1" s="1"/>
  <c r="Z20" i="1"/>
  <c r="N30" i="1" s="1"/>
  <c r="Z18" i="1"/>
  <c r="N28" i="1" s="1"/>
  <c r="Z19" i="1"/>
  <c r="N29" i="1" s="1"/>
  <c r="Z15" i="1"/>
  <c r="M32" i="1" s="1"/>
  <c r="Z14" i="1"/>
  <c r="M31" i="1" s="1"/>
  <c r="Z12" i="1"/>
  <c r="M29" i="1" s="1"/>
  <c r="Z13" i="1"/>
  <c r="M30" i="1" s="1"/>
  <c r="Z11" i="1"/>
  <c r="M28" i="1" s="1"/>
  <c r="Z4" i="1"/>
  <c r="L28" i="1" s="1"/>
  <c r="Z6" i="1"/>
  <c r="L30" i="1" s="1"/>
  <c r="Z8" i="1"/>
  <c r="L32" i="1" s="1"/>
  <c r="Z5" i="1"/>
  <c r="L29" i="1" s="1"/>
  <c r="Z7" i="1"/>
  <c r="L31" i="1" s="1"/>
  <c r="O31" i="1" l="1"/>
  <c r="O32" i="1"/>
  <c r="O29" i="1"/>
  <c r="O28" i="1"/>
  <c r="O30" i="1"/>
  <c r="AB33" i="7" l="1"/>
  <c r="AE26" i="7"/>
  <c r="AF26" i="7" s="1"/>
  <c r="B3" i="3" l="1"/>
  <c r="C3" i="3" s="1"/>
  <c r="E9" i="7"/>
  <c r="N19" i="7" s="1"/>
  <c r="AA32" i="7"/>
  <c r="AB31" i="7" s="1"/>
  <c r="N5" i="7" l="1"/>
  <c r="N12" i="7"/>
  <c r="AC37" i="7"/>
  <c r="AJ26" i="7"/>
  <c r="F3" i="3" s="1"/>
  <c r="AA31" i="7"/>
  <c r="AB32" i="7" s="1"/>
  <c r="E8" i="7" s="1"/>
  <c r="M11" i="7" s="1"/>
  <c r="E6" i="7"/>
  <c r="AG26" i="7"/>
  <c r="G3" i="3" s="1"/>
  <c r="E7" i="7"/>
  <c r="AH26" i="7"/>
  <c r="AI30" i="7" s="1"/>
  <c r="M19" i="7" l="1"/>
  <c r="M12" i="7"/>
  <c r="E5" i="7"/>
  <c r="L18" i="7" s="1"/>
  <c r="M18" i="7"/>
  <c r="M5" i="7"/>
  <c r="M4" i="7"/>
  <c r="D3" i="3"/>
  <c r="L4" i="7" l="1"/>
  <c r="L12" i="7"/>
  <c r="L5" i="7"/>
  <c r="L11" i="7"/>
  <c r="L19" i="7"/>
  <c r="T18" i="7" s="1" a="1"/>
  <c r="U18" i="7" s="1"/>
  <c r="T11" i="7" l="1" a="1"/>
  <c r="U12" i="7" s="1"/>
  <c r="T4" i="7" a="1"/>
  <c r="U5" i="7" s="1"/>
  <c r="T19" i="7"/>
  <c r="T18" i="7"/>
  <c r="U19" i="7"/>
  <c r="T11" i="7" l="1"/>
  <c r="T12" i="7"/>
  <c r="U11" i="7"/>
  <c r="U4" i="7"/>
  <c r="T4" i="7"/>
  <c r="T5" i="7"/>
  <c r="Z18" i="7" a="1"/>
  <c r="Z18" i="7" s="1"/>
  <c r="N28" i="7" s="1"/>
  <c r="Z11" i="7" l="1" a="1"/>
  <c r="Z11" i="7" s="1"/>
  <c r="M28" i="7" s="1"/>
  <c r="Z4" i="7" a="1"/>
  <c r="Z4" i="7" s="1"/>
  <c r="L28" i="7" s="1"/>
  <c r="Z19" i="7"/>
  <c r="N29" i="7" s="1"/>
  <c r="E5" i="8"/>
  <c r="AJ26" i="8"/>
  <c r="F2" i="3" s="1"/>
  <c r="AB31" i="8"/>
  <c r="E6" i="8" s="1"/>
  <c r="Z12" i="7" l="1"/>
  <c r="M29" i="7" s="1"/>
  <c r="O28" i="7"/>
  <c r="Z5" i="7"/>
  <c r="L29" i="7" s="1"/>
  <c r="L18" i="8"/>
  <c r="T18" i="8" s="1"/>
  <c r="Z18" i="8" s="1"/>
  <c r="N28" i="8" s="1"/>
  <c r="L11" i="8"/>
  <c r="T11" i="8" s="1"/>
  <c r="Z11" i="8" s="1"/>
  <c r="M28" i="8" s="1"/>
  <c r="L4" i="8"/>
  <c r="T4" i="8" s="1"/>
  <c r="Z4" i="8" s="1"/>
  <c r="L28" i="8" s="1"/>
  <c r="AC37" i="8"/>
  <c r="AH26" i="8"/>
  <c r="AI30" i="8" s="1"/>
  <c r="AG26" i="8"/>
  <c r="G2" i="3" s="1"/>
  <c r="O29" i="7" l="1"/>
  <c r="O28" i="8"/>
  <c r="D2" i="3"/>
  <c r="AG34" i="5" l="1"/>
  <c r="C6" i="13"/>
  <c r="B6" i="13" l="1"/>
  <c r="F6" i="13" l="1"/>
  <c r="D6" i="13" l="1"/>
  <c r="E6" i="13" l="1"/>
</calcChain>
</file>

<file path=xl/sharedStrings.xml><?xml version="1.0" encoding="utf-8"?>
<sst xmlns="http://schemas.openxmlformats.org/spreadsheetml/2006/main" count="1633" uniqueCount="150">
  <si>
    <t>F</t>
  </si>
  <si>
    <t>xi</t>
  </si>
  <si>
    <t>n [kmol/h]</t>
  </si>
  <si>
    <t>A</t>
  </si>
  <si>
    <t>B</t>
  </si>
  <si>
    <t>C</t>
  </si>
  <si>
    <t>A+B+C</t>
  </si>
  <si>
    <t>R1</t>
  </si>
  <si>
    <t>R2</t>
  </si>
  <si>
    <t>R3</t>
  </si>
  <si>
    <t>R4</t>
  </si>
  <si>
    <t>R5</t>
  </si>
  <si>
    <t>E1</t>
  </si>
  <si>
    <t>E2</t>
  </si>
  <si>
    <t>E3</t>
  </si>
  <si>
    <t>E4</t>
  </si>
  <si>
    <t>E5</t>
  </si>
  <si>
    <t>S</t>
  </si>
  <si>
    <t>MTBE</t>
  </si>
  <si>
    <t>Methanol</t>
  </si>
  <si>
    <t>[BMIM][HSO4]</t>
  </si>
  <si>
    <t>'=xe/xr</t>
  </si>
  <si>
    <t>kA</t>
  </si>
  <si>
    <t>kB</t>
  </si>
  <si>
    <t>kC</t>
  </si>
  <si>
    <t>-</t>
  </si>
  <si>
    <t>psA</t>
  </si>
  <si>
    <t>inverz</t>
  </si>
  <si>
    <t>xA</t>
  </si>
  <si>
    <t>A(zlozka A)</t>
  </si>
  <si>
    <t>psB</t>
  </si>
  <si>
    <t>xB</t>
  </si>
  <si>
    <t>A(zlozka B)</t>
  </si>
  <si>
    <t>psC</t>
  </si>
  <si>
    <t>xC</t>
  </si>
  <si>
    <t>A(zlozka C)</t>
  </si>
  <si>
    <t>Raf</t>
  </si>
  <si>
    <t>∑xRi</t>
  </si>
  <si>
    <r>
      <t>τ</t>
    </r>
    <r>
      <rPr>
        <b/>
        <vertAlign val="subscript"/>
        <sz val="11"/>
        <color rgb="FF000000"/>
        <rFont val="Calibri"/>
        <family val="2"/>
      </rPr>
      <t>12</t>
    </r>
  </si>
  <si>
    <r>
      <t>τ</t>
    </r>
    <r>
      <rPr>
        <b/>
        <vertAlign val="subscript"/>
        <sz val="11"/>
        <color rgb="FF000000"/>
        <rFont val="Calibri"/>
        <family val="2"/>
      </rPr>
      <t>21</t>
    </r>
  </si>
  <si>
    <r>
      <t>τ</t>
    </r>
    <r>
      <rPr>
        <b/>
        <vertAlign val="subscript"/>
        <sz val="11"/>
        <color rgb="FF000000"/>
        <rFont val="Calibri"/>
        <family val="2"/>
      </rPr>
      <t>13</t>
    </r>
  </si>
  <si>
    <r>
      <t>τ</t>
    </r>
    <r>
      <rPr>
        <b/>
        <vertAlign val="subscript"/>
        <sz val="11"/>
        <color rgb="FF000000"/>
        <rFont val="Calibri"/>
        <family val="2"/>
      </rPr>
      <t>31</t>
    </r>
  </si>
  <si>
    <r>
      <t>τ</t>
    </r>
    <r>
      <rPr>
        <b/>
        <vertAlign val="subscript"/>
        <sz val="11"/>
        <color rgb="FF000000"/>
        <rFont val="Calibri"/>
        <family val="2"/>
      </rPr>
      <t>23</t>
    </r>
  </si>
  <si>
    <r>
      <t>τ</t>
    </r>
    <r>
      <rPr>
        <b/>
        <vertAlign val="subscript"/>
        <sz val="11"/>
        <color rgb="FF000000"/>
        <rFont val="Calibri"/>
        <family val="2"/>
      </rPr>
      <t>32</t>
    </r>
  </si>
  <si>
    <r>
      <t>G</t>
    </r>
    <r>
      <rPr>
        <b/>
        <vertAlign val="subscript"/>
        <sz val="11"/>
        <color rgb="FF000000"/>
        <rFont val="Calibri"/>
        <family val="2"/>
      </rPr>
      <t>12</t>
    </r>
  </si>
  <si>
    <r>
      <t>G</t>
    </r>
    <r>
      <rPr>
        <b/>
        <vertAlign val="subscript"/>
        <sz val="11"/>
        <color rgb="FF000000"/>
        <rFont val="Calibri"/>
        <family val="2"/>
      </rPr>
      <t>21</t>
    </r>
  </si>
  <si>
    <r>
      <t>G</t>
    </r>
    <r>
      <rPr>
        <b/>
        <vertAlign val="subscript"/>
        <sz val="11"/>
        <color rgb="FF000000"/>
        <rFont val="Calibri"/>
        <family val="2"/>
      </rPr>
      <t>13</t>
    </r>
  </si>
  <si>
    <r>
      <t>G</t>
    </r>
    <r>
      <rPr>
        <b/>
        <vertAlign val="subscript"/>
        <sz val="11"/>
        <color rgb="FF000000"/>
        <rFont val="Calibri"/>
        <family val="2"/>
      </rPr>
      <t>31</t>
    </r>
  </si>
  <si>
    <r>
      <t>G</t>
    </r>
    <r>
      <rPr>
        <b/>
        <vertAlign val="subscript"/>
        <sz val="11"/>
        <color rgb="FF000000"/>
        <rFont val="Calibri"/>
        <family val="2"/>
      </rPr>
      <t>23</t>
    </r>
  </si>
  <si>
    <r>
      <t>G</t>
    </r>
    <r>
      <rPr>
        <b/>
        <vertAlign val="subscript"/>
        <sz val="11"/>
        <color rgb="FF000000"/>
        <rFont val="Calibri"/>
        <family val="2"/>
      </rPr>
      <t>32</t>
    </r>
  </si>
  <si>
    <t>x1.1</t>
  </si>
  <si>
    <t>x2.1</t>
  </si>
  <si>
    <t>x3.1</t>
  </si>
  <si>
    <t>x1.2</t>
  </si>
  <si>
    <t>x2.2</t>
  </si>
  <si>
    <t>x3.2</t>
  </si>
  <si>
    <t>φ1.1</t>
  </si>
  <si>
    <t>φ2.1</t>
  </si>
  <si>
    <t>φ3.1</t>
  </si>
  <si>
    <t>θ1.1</t>
  </si>
  <si>
    <t>θ2.1</t>
  </si>
  <si>
    <t>θ3.1</t>
  </si>
  <si>
    <t>lnγ1.1</t>
  </si>
  <si>
    <t>lnγ2.1</t>
  </si>
  <si>
    <t>lnγ3.1</t>
  </si>
  <si>
    <t>γ1.1</t>
  </si>
  <si>
    <t>γ2.1</t>
  </si>
  <si>
    <t>γ3.1</t>
  </si>
  <si>
    <t>γ1.1/γ1.2</t>
  </si>
  <si>
    <t>γ2.1/γ2.2</t>
  </si>
  <si>
    <t>γ3.1/γ3.2</t>
  </si>
  <si>
    <t>φ1.2</t>
  </si>
  <si>
    <t>φ2.2</t>
  </si>
  <si>
    <t>φ3.2</t>
  </si>
  <si>
    <t>θ1.2</t>
  </si>
  <si>
    <t>θ2.2</t>
  </si>
  <si>
    <t>θ3.2</t>
  </si>
  <si>
    <t>lnγ1.2</t>
  </si>
  <si>
    <t>lnγ2.2</t>
  </si>
  <si>
    <t>lnγ3.2</t>
  </si>
  <si>
    <t>γ1.2</t>
  </si>
  <si>
    <t>γ2.2</t>
  </si>
  <si>
    <t>γ3.2</t>
  </si>
  <si>
    <t>γ1.2/γ1.1</t>
  </si>
  <si>
    <t>γ2.2/γ2.1</t>
  </si>
  <si>
    <t>γ3.2/γ3.1</t>
  </si>
  <si>
    <t>Nove</t>
  </si>
  <si>
    <t>Σxi</t>
  </si>
  <si>
    <t>x3.3</t>
  </si>
  <si>
    <t>Step</t>
  </si>
  <si>
    <t>x1</t>
  </si>
  <si>
    <t>x2</t>
  </si>
  <si>
    <t>x3</t>
  </si>
  <si>
    <t>n[kmol/h]</t>
  </si>
  <si>
    <t>ns</t>
  </si>
  <si>
    <t>ns/nf</t>
  </si>
  <si>
    <t>Ya(straty</t>
  </si>
  <si>
    <t>Yb</t>
  </si>
  <si>
    <t>Yc(straty)</t>
  </si>
  <si>
    <t>nR [kmol/h][mol.h-1]</t>
  </si>
  <si>
    <t>nE [kmol/h]</t>
  </si>
  <si>
    <t>Kontakt</t>
  </si>
  <si>
    <t>xRA</t>
  </si>
  <si>
    <t>xRB</t>
  </si>
  <si>
    <t>xRC</t>
  </si>
  <si>
    <t>xEA</t>
  </si>
  <si>
    <t>xEB</t>
  </si>
  <si>
    <t>xEC</t>
  </si>
  <si>
    <t>∑xEi</t>
  </si>
  <si>
    <t>Ybziad</t>
  </si>
  <si>
    <t>n</t>
  </si>
  <si>
    <t>sum x</t>
  </si>
  <si>
    <t>Ya</t>
  </si>
  <si>
    <t>Yc</t>
  </si>
  <si>
    <t>nR</t>
  </si>
  <si>
    <t>nE</t>
  </si>
  <si>
    <t>MTBE (1) + methanol (2) + [BMIM][HSO4] (3) at 318.15 K</t>
  </si>
  <si>
    <t>1–2</t>
  </si>
  <si>
    <t>1–3</t>
  </si>
  <si>
    <t>τ12</t>
  </si>
  <si>
    <t>τ21</t>
  </si>
  <si>
    <t>τ13</t>
  </si>
  <si>
    <t>τ31</t>
  </si>
  <si>
    <t>τ23</t>
  </si>
  <si>
    <t>τ32</t>
  </si>
  <si>
    <t>G12</t>
  </si>
  <si>
    <t>G21</t>
  </si>
  <si>
    <t>G13</t>
  </si>
  <si>
    <t>G31</t>
  </si>
  <si>
    <t>G23</t>
  </si>
  <si>
    <t>G32</t>
  </si>
  <si>
    <t>2–3</t>
  </si>
  <si>
    <t>i–j</t>
  </si>
  <si>
    <t>Δgij(kJ·mol−1)</t>
  </si>
  <si>
    <t>Δgji(kJ·mol−1)</t>
  </si>
  <si>
    <t>rmsd</t>
  </si>
  <si>
    <t>α</t>
  </si>
  <si>
    <t>NRTL parameters</t>
  </si>
  <si>
    <t>R</t>
  </si>
  <si>
    <t>kJ.mol^-1.K^-1</t>
  </si>
  <si>
    <t>T</t>
  </si>
  <si>
    <t>K</t>
  </si>
  <si>
    <t>PTK</t>
  </si>
  <si>
    <t>Yc(raf)</t>
  </si>
  <si>
    <t>Ya(ext)</t>
  </si>
  <si>
    <t>nf kmol/h</t>
  </si>
  <si>
    <t>ne(nove)</t>
  </si>
  <si>
    <t>nr(nove)</t>
  </si>
  <si>
    <t>ns(nove)</t>
  </si>
  <si>
    <t>Metanol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</si>
</sst>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0.0000"/>
    <numFmt numFmtId="165" formatCode="0.000000"/>
    <numFmt numFmtId="166" formatCode="_(* #,##0.0000_);_(* \(#,##0.0000\);_(* &quot;-&quot;??_);_(@_)"/>
    <numFmt numFmtId="167" formatCode="_(* #,##0.0000_);_(* \(#,##0.0000\);_(* &quot;-&quot;????_);_(@_)"/>
    <numFmt numFmtId="168" formatCode="0.000"/>
    <numFmt numFmtId="169" formatCode="_(* #,##0.000000_);_(* \(#,##0.000000\);_(* &quot;-&quot;??_);_(@_)"/>
    <numFmt numFmtId="170" formatCode="0.00000"/>
    <numFmt numFmtId="171" formatCode="_(* #,##0.000_);_(* \(#,##0.000\);_(* &quot;-&quot;??_);_(@_)"/>
    <numFmt numFmtId="172" formatCode="0.0000%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1F1F1F"/>
      <name val="Georgia"/>
      <family val="1"/>
    </font>
    <font>
      <sz val="11"/>
      <color rgb="FF1F1F1F"/>
      <name val="Georgia"/>
      <family val="1"/>
    </font>
    <font>
      <b/>
      <i/>
      <sz val="11"/>
      <color rgb="FF1F1F1F"/>
      <name val="Georgia"/>
      <family val="1"/>
    </font>
    <font>
      <sz val="10"/>
      <color rgb="FF1F1F1F"/>
      <name val="Georgia"/>
      <family val="1"/>
    </font>
    <font>
      <sz val="11"/>
      <color rgb="FF7030A0"/>
      <name val="Calibri"/>
      <family val="2"/>
      <scheme val="minor"/>
    </font>
    <font>
      <sz val="11"/>
      <color theme="1"/>
      <name val="Calibri"/>
      <family val="2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8E8E8E"/>
      </top>
      <bottom/>
      <diagonal/>
    </border>
    <border>
      <left/>
      <right/>
      <top/>
      <bottom style="medium">
        <color rgb="FF8E8E8E"/>
      </bottom>
      <diagonal/>
    </border>
    <border>
      <left/>
      <right/>
      <top style="medium">
        <color rgb="FF8E8E8E"/>
      </top>
      <bottom style="medium">
        <color rgb="FF8E8E8E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6" fillId="0" borderId="0"/>
    <xf numFmtId="9" fontId="3" fillId="0" borderId="0" applyFont="0" applyFill="0" applyBorder="0" applyAlignment="0" applyProtection="0"/>
  </cellStyleXfs>
  <cellXfs count="235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164" fontId="2" fillId="0" borderId="0" xfId="0" applyNumberFormat="1" applyFont="1"/>
    <xf numFmtId="2" fontId="0" fillId="0" borderId="8" xfId="0" applyNumberFormat="1" applyBorder="1"/>
    <xf numFmtId="2" fontId="0" fillId="0" borderId="0" xfId="0" applyNumberFormat="1" applyBorder="1"/>
    <xf numFmtId="2" fontId="0" fillId="0" borderId="11" xfId="0" applyNumberFormat="1" applyBorder="1"/>
    <xf numFmtId="0" fontId="5" fillId="0" borderId="7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5" fillId="0" borderId="1" xfId="0" applyFont="1" applyBorder="1"/>
    <xf numFmtId="0" fontId="1" fillId="0" borderId="2" xfId="0" applyFont="1" applyBorder="1" applyAlignment="1"/>
    <xf numFmtId="0" fontId="1" fillId="0" borderId="3" xfId="0" applyFont="1" applyBorder="1" applyAlignment="1"/>
    <xf numFmtId="0" fontId="1" fillId="0" borderId="4" xfId="0" applyFont="1" applyBorder="1" applyAlignment="1"/>
    <xf numFmtId="0" fontId="7" fillId="0" borderId="2" xfId="2" applyFont="1" applyBorder="1" applyAlignment="1">
      <alignment horizontal="center"/>
    </xf>
    <xf numFmtId="0" fontId="7" fillId="0" borderId="3" xfId="2" applyFont="1" applyBorder="1" applyAlignment="1">
      <alignment horizontal="center"/>
    </xf>
    <xf numFmtId="0" fontId="7" fillId="0" borderId="4" xfId="2" applyFont="1" applyBorder="1" applyAlignment="1">
      <alignment horizontal="center"/>
    </xf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164" fontId="0" fillId="0" borderId="0" xfId="0" applyNumberFormat="1"/>
    <xf numFmtId="0" fontId="4" fillId="0" borderId="0" xfId="0" applyFont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5" xfId="0" applyFont="1" applyBorder="1"/>
    <xf numFmtId="0" fontId="1" fillId="0" borderId="6" xfId="0" applyFont="1" applyBorder="1"/>
    <xf numFmtId="165" fontId="0" fillId="0" borderId="0" xfId="0" applyNumberFormat="1" applyBorder="1"/>
    <xf numFmtId="0" fontId="0" fillId="0" borderId="8" xfId="0" applyFill="1" applyBorder="1"/>
    <xf numFmtId="0" fontId="0" fillId="0" borderId="9" xfId="0" applyFill="1" applyBorder="1"/>
    <xf numFmtId="0" fontId="4" fillId="0" borderId="10" xfId="0" applyFont="1" applyBorder="1"/>
    <xf numFmtId="0" fontId="1" fillId="0" borderId="0" xfId="0" applyFont="1" applyFill="1" applyBorder="1"/>
    <xf numFmtId="0" fontId="5" fillId="0" borderId="6" xfId="0" applyFont="1" applyBorder="1"/>
    <xf numFmtId="165" fontId="2" fillId="0" borderId="0" xfId="0" applyNumberFormat="1" applyFont="1" applyBorder="1"/>
    <xf numFmtId="0" fontId="2" fillId="0" borderId="13" xfId="0" applyNumberFormat="1" applyFont="1" applyBorder="1"/>
    <xf numFmtId="0" fontId="2" fillId="0" borderId="14" xfId="0" applyNumberFormat="1" applyFont="1" applyBorder="1"/>
    <xf numFmtId="0" fontId="2" fillId="0" borderId="15" xfId="0" applyNumberFormat="1" applyFont="1" applyBorder="1"/>
    <xf numFmtId="0" fontId="0" fillId="0" borderId="13" xfId="0" applyNumberFormat="1" applyBorder="1"/>
    <xf numFmtId="0" fontId="0" fillId="0" borderId="14" xfId="0" applyNumberFormat="1" applyBorder="1"/>
    <xf numFmtId="0" fontId="0" fillId="0" borderId="15" xfId="0" applyNumberFormat="1" applyBorder="1"/>
    <xf numFmtId="166" fontId="0" fillId="0" borderId="5" xfId="1" applyNumberFormat="1" applyFont="1" applyBorder="1"/>
    <xf numFmtId="166" fontId="0" fillId="0" borderId="6" xfId="1" applyNumberFormat="1" applyFont="1" applyBorder="1"/>
    <xf numFmtId="166" fontId="0" fillId="0" borderId="8" xfId="1" applyNumberFormat="1" applyFont="1" applyBorder="1"/>
    <xf numFmtId="166" fontId="0" fillId="0" borderId="0" xfId="1" applyNumberFormat="1" applyFont="1" applyBorder="1"/>
    <xf numFmtId="166" fontId="0" fillId="0" borderId="10" xfId="1" applyNumberFormat="1" applyFont="1" applyBorder="1"/>
    <xf numFmtId="166" fontId="0" fillId="0" borderId="11" xfId="1" applyNumberFormat="1" applyFont="1" applyBorder="1"/>
    <xf numFmtId="0" fontId="1" fillId="0" borderId="7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66" fontId="0" fillId="0" borderId="0" xfId="0" applyNumberFormat="1" applyBorder="1"/>
    <xf numFmtId="0" fontId="1" fillId="0" borderId="8" xfId="0" applyFont="1" applyBorder="1"/>
    <xf numFmtId="0" fontId="1" fillId="0" borderId="10" xfId="0" applyFont="1" applyBorder="1"/>
    <xf numFmtId="2" fontId="1" fillId="0" borderId="5" xfId="0" applyNumberFormat="1" applyFont="1" applyBorder="1"/>
    <xf numFmtId="2" fontId="0" fillId="0" borderId="7" xfId="0" applyNumberFormat="1" applyBorder="1"/>
    <xf numFmtId="2" fontId="0" fillId="0" borderId="10" xfId="0" applyNumberFormat="1" applyBorder="1"/>
    <xf numFmtId="2" fontId="1" fillId="0" borderId="12" xfId="0" applyNumberFormat="1" applyFont="1" applyBorder="1"/>
    <xf numFmtId="167" fontId="0" fillId="0" borderId="15" xfId="0" applyNumberFormat="1" applyBorder="1"/>
    <xf numFmtId="166" fontId="0" fillId="0" borderId="8" xfId="0" applyNumberFormat="1" applyBorder="1"/>
    <xf numFmtId="166" fontId="0" fillId="0" borderId="9" xfId="0" applyNumberFormat="1" applyBorder="1"/>
    <xf numFmtId="166" fontId="0" fillId="0" borderId="10" xfId="0" applyNumberFormat="1" applyBorder="1"/>
    <xf numFmtId="166" fontId="0" fillId="0" borderId="11" xfId="0" applyNumberFormat="1" applyBorder="1"/>
    <xf numFmtId="166" fontId="0" fillId="0" borderId="12" xfId="0" applyNumberFormat="1" applyBorder="1"/>
    <xf numFmtId="166" fontId="0" fillId="0" borderId="5" xfId="0" applyNumberFormat="1" applyBorder="1"/>
    <xf numFmtId="166" fontId="0" fillId="0" borderId="6" xfId="0" applyNumberFormat="1" applyBorder="1"/>
    <xf numFmtId="166" fontId="0" fillId="0" borderId="7" xfId="0" applyNumberFormat="1" applyBorder="1"/>
    <xf numFmtId="0" fontId="10" fillId="0" borderId="0" xfId="0" applyFon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1" xfId="0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6" xfId="0" applyNumberFormat="1" applyFill="1" applyBorder="1"/>
    <xf numFmtId="2" fontId="0" fillId="0" borderId="7" xfId="0" applyNumberFormat="1" applyFill="1" applyBorder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0" xfId="0" applyNumberFormat="1" applyFill="1" applyBorder="1"/>
    <xf numFmtId="2" fontId="0" fillId="0" borderId="9" xfId="0" applyNumberFormat="1" applyBorder="1"/>
    <xf numFmtId="0" fontId="1" fillId="0" borderId="20" xfId="0" applyFont="1" applyBorder="1"/>
    <xf numFmtId="2" fontId="0" fillId="0" borderId="9" xfId="0" applyNumberFormat="1" applyFill="1" applyBorder="1"/>
    <xf numFmtId="0" fontId="0" fillId="0" borderId="14" xfId="0" applyFill="1" applyBorder="1"/>
    <xf numFmtId="2" fontId="0" fillId="0" borderId="12" xfId="0" applyNumberFormat="1" applyBorder="1"/>
    <xf numFmtId="2" fontId="0" fillId="0" borderId="15" xfId="0" applyNumberFormat="1" applyBorder="1"/>
    <xf numFmtId="0" fontId="0" fillId="0" borderId="0" xfId="0" applyNumberFormat="1"/>
    <xf numFmtId="0" fontId="5" fillId="0" borderId="13" xfId="0" applyFont="1" applyBorder="1"/>
    <xf numFmtId="0" fontId="5" fillId="0" borderId="3" xfId="0" applyFont="1" applyBorder="1"/>
    <xf numFmtId="0" fontId="4" fillId="0" borderId="6" xfId="0" applyFont="1" applyBorder="1"/>
    <xf numFmtId="0" fontId="0" fillId="0" borderId="8" xfId="0" applyNumberFormat="1" applyBorder="1"/>
    <xf numFmtId="0" fontId="4" fillId="0" borderId="0" xfId="0" applyFont="1" applyBorder="1"/>
    <xf numFmtId="0" fontId="1" fillId="0" borderId="8" xfId="0" applyFont="1" applyFill="1" applyBorder="1" applyAlignment="1">
      <alignment horizontal="left"/>
    </xf>
    <xf numFmtId="0" fontId="4" fillId="0" borderId="11" xfId="0" applyFont="1" applyBorder="1"/>
    <xf numFmtId="0" fontId="0" fillId="0" borderId="0" xfId="0" applyFill="1" applyBorder="1"/>
    <xf numFmtId="0" fontId="1" fillId="0" borderId="0" xfId="0" applyFont="1" applyBorder="1"/>
    <xf numFmtId="164" fontId="4" fillId="0" borderId="0" xfId="0" applyNumberFormat="1" applyFont="1"/>
    <xf numFmtId="0" fontId="12" fillId="0" borderId="24" xfId="0" applyFont="1" applyBorder="1" applyAlignment="1">
      <alignment horizontal="left" vertical="center" wrapText="1"/>
    </xf>
    <xf numFmtId="164" fontId="12" fillId="0" borderId="24" xfId="0" applyNumberFormat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164" fontId="12" fillId="0" borderId="0" xfId="0" applyNumberFormat="1" applyFont="1" applyAlignment="1">
      <alignment horizontal="left" vertical="center" wrapText="1"/>
    </xf>
    <xf numFmtId="0" fontId="12" fillId="0" borderId="25" xfId="0" applyFont="1" applyBorder="1" applyAlignment="1">
      <alignment horizontal="left" vertical="center" wrapText="1"/>
    </xf>
    <xf numFmtId="164" fontId="12" fillId="0" borderId="25" xfId="0" applyNumberFormat="1" applyFont="1" applyBorder="1" applyAlignment="1">
      <alignment horizontal="left" vertical="center" wrapText="1"/>
    </xf>
    <xf numFmtId="0" fontId="0" fillId="0" borderId="25" xfId="0" applyBorder="1"/>
    <xf numFmtId="0" fontId="13" fillId="0" borderId="24" xfId="0" applyFont="1" applyBorder="1" applyAlignment="1">
      <alignment horizontal="left" vertical="center" wrapText="1"/>
    </xf>
    <xf numFmtId="0" fontId="14" fillId="0" borderId="26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2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2" xfId="2" applyFont="1" applyFill="1" applyBorder="1" applyAlignment="1">
      <alignment horizontal="center" vertical="center"/>
    </xf>
    <xf numFmtId="0" fontId="7" fillId="0" borderId="3" xfId="2" applyFont="1" applyFill="1" applyBorder="1" applyAlignment="1">
      <alignment horizontal="center" vertical="center"/>
    </xf>
    <xf numFmtId="0" fontId="7" fillId="0" borderId="4" xfId="2" applyFont="1" applyFill="1" applyBorder="1" applyAlignment="1">
      <alignment horizontal="center" vertical="center"/>
    </xf>
    <xf numFmtId="0" fontId="13" fillId="0" borderId="25" xfId="0" applyFont="1" applyBorder="1" applyAlignment="1">
      <alignment horizontal="left" vertical="center" wrapText="1"/>
    </xf>
    <xf numFmtId="0" fontId="11" fillId="0" borderId="26" xfId="0" applyFont="1" applyBorder="1" applyAlignment="1">
      <alignment horizontal="left" vertical="center" wrapText="1"/>
    </xf>
    <xf numFmtId="0" fontId="1" fillId="0" borderId="0" xfId="0" applyFont="1"/>
    <xf numFmtId="0" fontId="16" fillId="0" borderId="1" xfId="0" applyFont="1" applyBorder="1"/>
    <xf numFmtId="168" fontId="0" fillId="0" borderId="0" xfId="0" applyNumberFormat="1"/>
    <xf numFmtId="166" fontId="0" fillId="0" borderId="0" xfId="1" applyNumberFormat="1" applyFont="1"/>
    <xf numFmtId="166" fontId="0" fillId="0" borderId="9" xfId="1" applyNumberFormat="1" applyFont="1" applyBorder="1"/>
    <xf numFmtId="166" fontId="15" fillId="0" borderId="0" xfId="1" applyNumberFormat="1" applyFont="1"/>
    <xf numFmtId="164" fontId="0" fillId="0" borderId="5" xfId="0" applyNumberFormat="1" applyBorder="1"/>
    <xf numFmtId="164" fontId="0" fillId="0" borderId="6" xfId="0" applyNumberFormat="1" applyBorder="1"/>
    <xf numFmtId="164" fontId="0" fillId="0" borderId="8" xfId="0" applyNumberFormat="1" applyBorder="1"/>
    <xf numFmtId="164" fontId="0" fillId="0" borderId="0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9" xfId="0" applyNumberFormat="1" applyBorder="1"/>
    <xf numFmtId="164" fontId="0" fillId="0" borderId="12" xfId="0" applyNumberFormat="1" applyBorder="1"/>
    <xf numFmtId="168" fontId="0" fillId="0" borderId="6" xfId="0" applyNumberFormat="1" applyBorder="1"/>
    <xf numFmtId="168" fontId="0" fillId="0" borderId="7" xfId="0" applyNumberFormat="1" applyBorder="1"/>
    <xf numFmtId="168" fontId="0" fillId="0" borderId="0" xfId="0" applyNumberFormat="1" applyBorder="1"/>
    <xf numFmtId="168" fontId="0" fillId="0" borderId="9" xfId="0" applyNumberFormat="1" applyBorder="1"/>
    <xf numFmtId="168" fontId="0" fillId="0" borderId="11" xfId="0" applyNumberFormat="1" applyBorder="1"/>
    <xf numFmtId="168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2" fontId="0" fillId="0" borderId="0" xfId="0" applyNumberFormat="1"/>
    <xf numFmtId="2" fontId="4" fillId="0" borderId="10" xfId="0" applyNumberFormat="1" applyFont="1" applyBorder="1"/>
    <xf numFmtId="167" fontId="0" fillId="0" borderId="12" xfId="0" applyNumberFormat="1" applyBorder="1"/>
    <xf numFmtId="169" fontId="0" fillId="0" borderId="0" xfId="1" applyNumberFormat="1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67" fontId="0" fillId="0" borderId="0" xfId="0" applyNumberFormat="1"/>
    <xf numFmtId="43" fontId="0" fillId="0" borderId="0" xfId="0" applyNumberFormat="1"/>
    <xf numFmtId="0" fontId="0" fillId="0" borderId="13" xfId="1" applyNumberFormat="1" applyFont="1" applyBorder="1"/>
    <xf numFmtId="0" fontId="0" fillId="0" borderId="14" xfId="1" applyNumberFormat="1" applyFont="1" applyBorder="1"/>
    <xf numFmtId="0" fontId="0" fillId="0" borderId="0" xfId="1" applyNumberFormat="1" applyFont="1" applyBorder="1"/>
    <xf numFmtId="0" fontId="0" fillId="0" borderId="15" xfId="1" applyNumberFormat="1" applyFont="1" applyBorder="1"/>
    <xf numFmtId="0" fontId="0" fillId="0" borderId="0" xfId="0" applyNumberFormat="1" applyBorder="1"/>
    <xf numFmtId="167" fontId="0" fillId="0" borderId="13" xfId="0" applyNumberFormat="1" applyBorder="1"/>
    <xf numFmtId="43" fontId="0" fillId="0" borderId="13" xfId="0" applyNumberFormat="1" applyBorder="1"/>
    <xf numFmtId="2" fontId="0" fillId="0" borderId="14" xfId="0" applyNumberForma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43" fontId="0" fillId="0" borderId="12" xfId="0" applyNumberFormat="1" applyBorder="1"/>
    <xf numFmtId="166" fontId="0" fillId="0" borderId="8" xfId="1" applyNumberFormat="1" applyFont="1" applyBorder="1" applyAlignment="1">
      <alignment vertical="center"/>
    </xf>
    <xf numFmtId="166" fontId="0" fillId="0" borderId="0" xfId="1" applyNumberFormat="1" applyFont="1" applyBorder="1" applyAlignment="1">
      <alignment vertical="center"/>
    </xf>
    <xf numFmtId="166" fontId="0" fillId="0" borderId="9" xfId="1" applyNumberFormat="1" applyFont="1" applyBorder="1" applyAlignment="1">
      <alignment vertical="center"/>
    </xf>
    <xf numFmtId="166" fontId="0" fillId="0" borderId="5" xfId="1" applyNumberFormat="1" applyFont="1" applyBorder="1" applyAlignment="1">
      <alignment vertical="center"/>
    </xf>
    <xf numFmtId="166" fontId="0" fillId="0" borderId="6" xfId="1" applyNumberFormat="1" applyFont="1" applyBorder="1" applyAlignment="1">
      <alignment vertical="center"/>
    </xf>
    <xf numFmtId="166" fontId="0" fillId="0" borderId="7" xfId="1" applyNumberFormat="1" applyFont="1" applyBorder="1" applyAlignment="1">
      <alignment vertical="center"/>
    </xf>
    <xf numFmtId="166" fontId="0" fillId="0" borderId="10" xfId="1" applyNumberFormat="1" applyFont="1" applyBorder="1" applyAlignment="1">
      <alignment vertical="center"/>
    </xf>
    <xf numFmtId="166" fontId="0" fillId="0" borderId="11" xfId="1" applyNumberFormat="1" applyFont="1" applyBorder="1" applyAlignment="1">
      <alignment vertical="center"/>
    </xf>
    <xf numFmtId="166" fontId="0" fillId="0" borderId="12" xfId="1" applyNumberFormat="1" applyFont="1" applyBorder="1" applyAlignment="1">
      <alignment vertical="center"/>
    </xf>
    <xf numFmtId="166" fontId="0" fillId="0" borderId="13" xfId="0" applyNumberFormat="1" applyBorder="1"/>
    <xf numFmtId="17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65" fontId="0" fillId="0" borderId="0" xfId="0" applyNumberFormat="1"/>
    <xf numFmtId="43" fontId="0" fillId="0" borderId="0" xfId="0" applyNumberFormat="1" applyBorder="1"/>
    <xf numFmtId="2" fontId="1" fillId="0" borderId="0" xfId="0" applyNumberFormat="1" applyFont="1" applyBorder="1"/>
    <xf numFmtId="0" fontId="1" fillId="0" borderId="0" xfId="0" applyFont="1" applyBorder="1" applyAlignment="1">
      <alignment horizontal="left"/>
    </xf>
    <xf numFmtId="0" fontId="2" fillId="0" borderId="0" xfId="0" applyNumberFormat="1" applyFont="1" applyBorder="1"/>
    <xf numFmtId="0" fontId="1" fillId="0" borderId="5" xfId="0" applyFont="1" applyBorder="1" applyAlignment="1"/>
    <xf numFmtId="0" fontId="1" fillId="0" borderId="6" xfId="0" applyFont="1" applyBorder="1" applyAlignment="1"/>
    <xf numFmtId="0" fontId="1" fillId="0" borderId="7" xfId="0" applyFont="1" applyBorder="1" applyAlignment="1"/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166" fontId="0" fillId="0" borderId="7" xfId="1" applyNumberFormat="1" applyFont="1" applyBorder="1"/>
    <xf numFmtId="166" fontId="0" fillId="0" borderId="12" xfId="1" applyNumberFormat="1" applyFont="1" applyBorder="1"/>
    <xf numFmtId="0" fontId="0" fillId="0" borderId="27" xfId="0" applyBorder="1"/>
    <xf numFmtId="0" fontId="0" fillId="0" borderId="11" xfId="0" applyNumberFormat="1" applyBorder="1"/>
    <xf numFmtId="0" fontId="0" fillId="0" borderId="11" xfId="0" applyFill="1" applyBorder="1"/>
    <xf numFmtId="0" fontId="2" fillId="0" borderId="11" xfId="0" applyNumberFormat="1" applyFont="1" applyBorder="1"/>
    <xf numFmtId="2" fontId="1" fillId="0" borderId="11" xfId="0" applyNumberFormat="1" applyFont="1" applyBorder="1"/>
    <xf numFmtId="171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72" fontId="0" fillId="0" borderId="0" xfId="3" applyNumberFormat="1" applyFon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64" fontId="17" fillId="0" borderId="0" xfId="0" applyNumberFormat="1" applyFont="1" applyBorder="1"/>
    <xf numFmtId="164" fontId="17" fillId="0" borderId="11" xfId="0" applyNumberFormat="1" applyFont="1" applyBorder="1"/>
    <xf numFmtId="0" fontId="11" fillId="0" borderId="2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4">
    <cellStyle name="Normal 2" xfId="2"/>
    <cellStyle name="Обычный" xfId="0" builtinId="0"/>
    <cellStyle name="Процентный" xfId="3" builtinId="5"/>
    <cellStyle name="Финансовый" xfId="1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ns/nf=f(PTK)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Vytazky!$A$2:$A$7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xVal>
          <c:yVal>
            <c:numRef>
              <c:f>Vytazky!$C$2:$C$7</c:f>
              <c:numCache>
                <c:formatCode>General</c:formatCode>
                <c:ptCount val="6"/>
                <c:pt idx="0">
                  <c:v>83.883590907786299</c:v>
                </c:pt>
                <c:pt idx="1">
                  <c:v>3.6256176389528112</c:v>
                </c:pt>
                <c:pt idx="2">
                  <c:v>0.94989722207904326</c:v>
                </c:pt>
                <c:pt idx="3">
                  <c:v>0.48839716127146349</c:v>
                </c:pt>
                <c:pt idx="4">
                  <c:v>0.34056673261141335</c:v>
                </c:pt>
                <c:pt idx="5">
                  <c:v>0.12433285505774888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70592"/>
        <c:axId val="152672128"/>
      </c:scatterChart>
      <c:valAx>
        <c:axId val="152670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672128"/>
        <c:crosses val="autoZero"/>
        <c:crossBetween val="midCat"/>
        <c:majorUnit val="1"/>
        <c:minorUnit val="0.4"/>
      </c:valAx>
      <c:valAx>
        <c:axId val="152672128"/>
        <c:scaling>
          <c:orientation val="minMax"/>
          <c:max val="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670592"/>
        <c:crosses val="autoZero"/>
        <c:crossBetween val="midCat"/>
        <c:min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xVal>
            <c:numRef>
              <c:f>'Vytazky 2 (bez RK)'!$A$2:$A$7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xVal>
          <c:yVal>
            <c:numRef>
              <c:f>'Vytazky 2 (bez RK)'!$C$2:$C$7</c:f>
              <c:numCache>
                <c:formatCode>General</c:formatCode>
                <c:ptCount val="6"/>
                <c:pt idx="0">
                  <c:v>96.499204335381648</c:v>
                </c:pt>
                <c:pt idx="1">
                  <c:v>3.6220049001805346</c:v>
                </c:pt>
                <c:pt idx="2">
                  <c:v>1.1179896168183994</c:v>
                </c:pt>
                <c:pt idx="3">
                  <c:v>0.50429726535770802</c:v>
                </c:pt>
                <c:pt idx="4">
                  <c:v>0.33801098859776252</c:v>
                </c:pt>
                <c:pt idx="5">
                  <c:v>0.18330397153156316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41632"/>
        <c:axId val="154067712"/>
      </c:scatterChart>
      <c:valAx>
        <c:axId val="15354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PTK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4067712"/>
        <c:crosses val="autoZero"/>
        <c:crossBetween val="midCat"/>
      </c:valAx>
      <c:valAx>
        <c:axId val="154067712"/>
        <c:scaling>
          <c:orientation val="minMax"/>
          <c:max val="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nS/nF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3541632"/>
        <c:crosses val="autoZero"/>
        <c:crossBetween val="midCat"/>
        <c:minorUnit val="1.0000000000000002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'Vytazky 2 (bez RK)'!$A$2:$A$7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xVal>
          <c:yVal>
            <c:numRef>
              <c:f>'Vytazky 2 (bez RK)'!$F$2:$F$7</c:f>
              <c:numCache>
                <c:formatCode>0.0000%</c:formatCode>
                <c:ptCount val="6"/>
                <c:pt idx="0">
                  <c:v>1.6126887416413227E-6</c:v>
                </c:pt>
                <c:pt idx="1">
                  <c:v>6.3674031344152684E-5</c:v>
                </c:pt>
                <c:pt idx="2">
                  <c:v>2.0313596754629234E-4</c:v>
                </c:pt>
                <c:pt idx="3">
                  <c:v>4.6199805363214482E-4</c:v>
                </c:pt>
                <c:pt idx="4">
                  <c:v>6.8925744932309195E-4</c:v>
                </c:pt>
                <c:pt idx="5">
                  <c:v>1.2844760786371162E-3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62592"/>
        <c:axId val="88061056"/>
      </c:scatterChart>
      <c:valAx>
        <c:axId val="8806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PTK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8061056"/>
        <c:crosses val="autoZero"/>
        <c:crossBetween val="midCat"/>
      </c:valAx>
      <c:valAx>
        <c:axId val="88061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Straty IL do Raf.</a:t>
                </a:r>
              </a:p>
            </c:rich>
          </c:tx>
          <c:layout/>
          <c:overlay val="0"/>
        </c:title>
        <c:numFmt formatCode="0.0000%" sourceLinked="1"/>
        <c:majorTickMark val="out"/>
        <c:minorTickMark val="none"/>
        <c:tickLblPos val="nextTo"/>
        <c:crossAx val="8806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5</xdr:row>
      <xdr:rowOff>185737</xdr:rowOff>
    </xdr:from>
    <xdr:to>
      <xdr:col>14</xdr:col>
      <xdr:colOff>161925</xdr:colOff>
      <xdr:row>20</xdr:row>
      <xdr:rowOff>71437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152400</xdr:rowOff>
        </xdr:from>
        <xdr:to>
          <xdr:col>6</xdr:col>
          <xdr:colOff>561975</xdr:colOff>
          <xdr:row>36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8</xdr:row>
      <xdr:rowOff>19050</xdr:rowOff>
    </xdr:from>
    <xdr:to>
      <xdr:col>9</xdr:col>
      <xdr:colOff>447676</xdr:colOff>
      <xdr:row>25</xdr:row>
      <xdr:rowOff>114300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561975</xdr:colOff>
      <xdr:row>8</xdr:row>
      <xdr:rowOff>23812</xdr:rowOff>
    </xdr:from>
    <xdr:to>
      <xdr:col>17</xdr:col>
      <xdr:colOff>257175</xdr:colOff>
      <xdr:row>25</xdr:row>
      <xdr:rowOff>114300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152400</xdr:rowOff>
        </xdr:from>
        <xdr:to>
          <xdr:col>6</xdr:col>
          <xdr:colOff>561975</xdr:colOff>
          <xdr:row>36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/>
  <dimension ref="A1:G17"/>
  <sheetViews>
    <sheetView workbookViewId="0">
      <selection activeCell="B18" sqref="B18"/>
    </sheetView>
  </sheetViews>
  <sheetFormatPr defaultRowHeight="15" x14ac:dyDescent="0.25"/>
  <sheetData>
    <row r="1" spans="1:7" x14ac:dyDescent="0.25">
      <c r="A1" t="s">
        <v>142</v>
      </c>
      <c r="B1" t="s">
        <v>94</v>
      </c>
      <c r="C1" t="s">
        <v>95</v>
      </c>
      <c r="D1" t="s">
        <v>97</v>
      </c>
      <c r="F1" t="s">
        <v>143</v>
      </c>
      <c r="G1" t="s">
        <v>144</v>
      </c>
    </row>
    <row r="2" spans="1:7" x14ac:dyDescent="0.25">
      <c r="A2">
        <v>1</v>
      </c>
      <c r="B2">
        <f>'1PTK'!AE26</f>
        <v>2097.0897726946573</v>
      </c>
      <c r="C2">
        <f t="shared" ref="C2:C7" si="0">B2/$B$9</f>
        <v>83.883590907786299</v>
      </c>
      <c r="D2" s="199">
        <f>'1PTK'!AH26</f>
        <v>1.307362780670462</v>
      </c>
      <c r="F2">
        <f>'1PTK'!AJ26</f>
        <v>2.0312020235647257E-6</v>
      </c>
      <c r="G2">
        <f>'1PTK'!AG26</f>
        <v>0.31617693326851681</v>
      </c>
    </row>
    <row r="3" spans="1:7" x14ac:dyDescent="0.25">
      <c r="A3">
        <v>2</v>
      </c>
      <c r="B3">
        <f>'2PTK'!AE26</f>
        <v>90.640440973820276</v>
      </c>
      <c r="C3">
        <f t="shared" si="0"/>
        <v>3.6256176389528112</v>
      </c>
      <c r="D3" s="199">
        <f>'2PTK'!AH26</f>
        <v>1.2783692321360913</v>
      </c>
      <c r="F3">
        <f>'2PTK'!AJ26</f>
        <v>6.5546995673062254E-5</v>
      </c>
      <c r="G3">
        <f>'2PTK'!AG26</f>
        <v>4.2874122576858735E-2</v>
      </c>
    </row>
    <row r="4" spans="1:7" x14ac:dyDescent="0.25">
      <c r="A4">
        <v>3</v>
      </c>
      <c r="B4">
        <f>'3PTK'!AE26</f>
        <v>23.74743055197608</v>
      </c>
      <c r="C4">
        <f t="shared" si="0"/>
        <v>0.94989722207904326</v>
      </c>
      <c r="D4" s="199">
        <f>'3PTK'!AH26</f>
        <v>1.2174342158692255</v>
      </c>
      <c r="F4">
        <f>'3PTK'!AI26</f>
        <v>2.4437177279879426E-4</v>
      </c>
      <c r="G4">
        <f>'3PTK'!AG26</f>
        <v>6.5006764250726684E-2</v>
      </c>
    </row>
    <row r="5" spans="1:7" x14ac:dyDescent="0.25">
      <c r="A5">
        <v>4</v>
      </c>
      <c r="B5">
        <f>'4PTK'!AE26</f>
        <v>12.209929031786587</v>
      </c>
      <c r="C5">
        <f t="shared" si="0"/>
        <v>0.48839716127146349</v>
      </c>
      <c r="D5" s="199">
        <f>'4PTK'!AH26</f>
        <v>1.1697679586051188</v>
      </c>
      <c r="F5">
        <f>'4PTK'!AI26</f>
        <v>4.8718848523527275E-4</v>
      </c>
      <c r="G5">
        <f>'4PTK'!AG26</f>
        <v>5.7787042373332161E-2</v>
      </c>
    </row>
    <row r="6" spans="1:7" x14ac:dyDescent="0.25">
      <c r="A6">
        <v>5</v>
      </c>
      <c r="B6">
        <f>'5PTK'!Z27</f>
        <v>8.5141683152853336</v>
      </c>
      <c r="C6">
        <f t="shared" si="0"/>
        <v>0.34056673261141335</v>
      </c>
      <c r="D6" s="199">
        <f>'5PTK'!AH26</f>
        <v>0.99977822870873923</v>
      </c>
      <c r="F6">
        <f>'5PTK'!AI26</f>
        <v>6.9417341846224551E-4</v>
      </c>
      <c r="G6">
        <f>'5PTK'!AG26</f>
        <v>4.6230866365654703E-2</v>
      </c>
    </row>
    <row r="7" spans="1:7" x14ac:dyDescent="0.25">
      <c r="A7">
        <v>8</v>
      </c>
      <c r="B7">
        <f>'8PTK'!I16</f>
        <v>3.1083213764437221</v>
      </c>
      <c r="C7">
        <f t="shared" si="0"/>
        <v>0.12433285505774888</v>
      </c>
      <c r="D7" s="199">
        <f>'8PTK'!E15</f>
        <v>0.99980000000000002</v>
      </c>
      <c r="F7">
        <f>'8PTK'!F15</f>
        <v>1.9508946444943178E-3</v>
      </c>
      <c r="G7">
        <f>'8PTK'!D15</f>
        <v>2.9781983232740627E-2</v>
      </c>
    </row>
    <row r="9" spans="1:7" x14ac:dyDescent="0.25">
      <c r="A9" t="s">
        <v>145</v>
      </c>
      <c r="B9">
        <v>25</v>
      </c>
    </row>
    <row r="10" spans="1:7" x14ac:dyDescent="0.25">
      <c r="A10" t="s">
        <v>28</v>
      </c>
      <c r="B10">
        <v>0.6</v>
      </c>
    </row>
    <row r="11" spans="1:7" x14ac:dyDescent="0.25">
      <c r="A11" t="s">
        <v>31</v>
      </c>
      <c r="B11">
        <v>0.4</v>
      </c>
    </row>
    <row r="12" spans="1:7" x14ac:dyDescent="0.25">
      <c r="A12" t="s">
        <v>34</v>
      </c>
      <c r="B12">
        <v>0</v>
      </c>
    </row>
    <row r="15" spans="1:7" x14ac:dyDescent="0.25">
      <c r="A15" t="s">
        <v>3</v>
      </c>
      <c r="B15" t="s">
        <v>18</v>
      </c>
    </row>
    <row r="16" spans="1:7" x14ac:dyDescent="0.25">
      <c r="A16" t="s">
        <v>4</v>
      </c>
      <c r="B16" t="s">
        <v>149</v>
      </c>
    </row>
    <row r="17" spans="1:2" x14ac:dyDescent="0.25">
      <c r="A17" t="s">
        <v>5</v>
      </c>
      <c r="B17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"/>
  <dimension ref="A1:AK59"/>
  <sheetViews>
    <sheetView zoomScale="70" zoomScaleNormal="70" workbookViewId="0">
      <selection activeCell="P33" sqref="P33"/>
    </sheetView>
  </sheetViews>
  <sheetFormatPr defaultRowHeight="15" x14ac:dyDescent="0.25"/>
  <cols>
    <col min="2" max="2" width="11.7109375" bestFit="1" customWidth="1"/>
    <col min="3" max="3" width="19" bestFit="1" customWidth="1"/>
    <col min="4" max="5" width="11.7109375" bestFit="1" customWidth="1"/>
    <col min="14" max="14" width="12.7109375" bestFit="1" customWidth="1"/>
  </cols>
  <sheetData>
    <row r="1" spans="1:36" ht="15.75" thickBot="1" x14ac:dyDescent="0.3">
      <c r="H1" s="31" t="s">
        <v>110</v>
      </c>
      <c r="K1" t="s">
        <v>21</v>
      </c>
      <c r="R1" s="29">
        <v>1</v>
      </c>
      <c r="S1" s="30">
        <v>2</v>
      </c>
      <c r="T1" s="30">
        <v>3</v>
      </c>
      <c r="U1" s="30">
        <v>4</v>
      </c>
      <c r="V1" s="30">
        <v>5</v>
      </c>
      <c r="W1" s="30">
        <v>6</v>
      </c>
      <c r="X1" s="30">
        <v>7</v>
      </c>
      <c r="Y1" s="31">
        <v>8</v>
      </c>
      <c r="Z1" s="69" t="s">
        <v>26</v>
      </c>
      <c r="AB1" s="98" t="s">
        <v>27</v>
      </c>
    </row>
    <row r="2" spans="1:36" ht="15.75" thickBot="1" x14ac:dyDescent="0.3">
      <c r="B2" s="16" t="s">
        <v>28</v>
      </c>
      <c r="C2" s="17" t="s">
        <v>31</v>
      </c>
      <c r="D2" s="18" t="s">
        <v>34</v>
      </c>
      <c r="E2" s="31" t="s">
        <v>111</v>
      </c>
      <c r="H2" s="9" t="s">
        <v>6</v>
      </c>
      <c r="J2" s="29" t="s">
        <v>22</v>
      </c>
      <c r="K2" s="30" t="s">
        <v>23</v>
      </c>
      <c r="L2" s="31" t="s">
        <v>24</v>
      </c>
      <c r="P2" s="10">
        <v>1</v>
      </c>
      <c r="Q2" s="17" t="s">
        <v>35</v>
      </c>
      <c r="R2" s="99">
        <f>$H$4+$I$4*$J$4</f>
        <v>17.462524786415109</v>
      </c>
      <c r="S2" s="100">
        <f>-$I$5*$J$5</f>
        <v>-0.28660971776460947</v>
      </c>
      <c r="T2" s="100">
        <v>0</v>
      </c>
      <c r="U2" s="100">
        <v>0</v>
      </c>
      <c r="V2" s="101">
        <v>0</v>
      </c>
      <c r="W2" s="101">
        <v>0</v>
      </c>
      <c r="X2" s="101">
        <v>0</v>
      </c>
      <c r="Y2" s="102">
        <v>0</v>
      </c>
      <c r="Z2" s="10">
        <f>$I$15*$J$15</f>
        <v>13.57421875</v>
      </c>
      <c r="AC2" s="1">
        <f t="array" ref="AC2:AJ9">MINVERSE(R2:Y9)</f>
        <v>5.835474972792698E-2</v>
      </c>
      <c r="AD2" s="2">
        <v>1.1220551941790165E-3</v>
      </c>
      <c r="AE2" s="2">
        <v>8.8611652667739602E-6</v>
      </c>
      <c r="AF2" s="2">
        <v>2.4286739050507315E-8</v>
      </c>
      <c r="AG2" s="2">
        <v>3.1527188907433946E-11</v>
      </c>
      <c r="AH2" s="2">
        <v>2.5320033547963182E-14</v>
      </c>
      <c r="AI2" s="2">
        <v>1.5126813108490195E-17</v>
      </c>
      <c r="AJ2" s="3">
        <v>7.5706352955230921E-21</v>
      </c>
    </row>
    <row r="3" spans="1:36" ht="33.75" x14ac:dyDescent="0.5">
      <c r="B3" s="153">
        <f t="array" ref="B3:B10">MMULT(AC2:AJ9,Z2:Z9)</f>
        <v>0.79212013790838376</v>
      </c>
      <c r="C3" s="229">
        <f t="array" ref="C3:C10">MMULT(AC12:AJ19,Z12:Z19)</f>
        <v>0.20550458958182033</v>
      </c>
      <c r="D3" s="157">
        <f t="array" ref="D3:D10">MMULT(AC22:AJ29,Z22:Z29)</f>
        <v>1.96542433694655E-3</v>
      </c>
      <c r="E3">
        <f>SUM(B3:D3)</f>
        <v>0.99959015182715072</v>
      </c>
      <c r="H3" s="82">
        <v>25</v>
      </c>
      <c r="J3" s="103" t="s">
        <v>25</v>
      </c>
      <c r="K3" s="104" t="s">
        <v>25</v>
      </c>
      <c r="L3" s="105" t="s">
        <v>25</v>
      </c>
      <c r="P3" s="11">
        <v>2</v>
      </c>
      <c r="R3" s="25">
        <f>-$H$4</f>
        <v>-16.952163875407933</v>
      </c>
      <c r="S3" s="26">
        <f>$H$5+$I$5*$J$5</f>
        <v>15.02208799126401</v>
      </c>
      <c r="T3" s="26">
        <f>-$I$6*$J$6</f>
        <v>-0.1099884109818505</v>
      </c>
      <c r="U3" s="26">
        <v>0</v>
      </c>
      <c r="V3" s="106">
        <v>0</v>
      </c>
      <c r="W3" s="106">
        <v>0</v>
      </c>
      <c r="X3" s="106">
        <v>0</v>
      </c>
      <c r="Y3" s="107">
        <v>0</v>
      </c>
      <c r="Z3" s="11">
        <v>0</v>
      </c>
      <c r="AC3" s="4">
        <v>6.6366429154357517E-2</v>
      </c>
      <c r="AD3" s="5">
        <v>6.8364453211489637E-2</v>
      </c>
      <c r="AE3" s="5">
        <v>5.398920850082495E-4</v>
      </c>
      <c r="AF3" s="5">
        <v>1.4797397169868345E-6</v>
      </c>
      <c r="AG3" s="5">
        <v>1.9208850350085298E-9</v>
      </c>
      <c r="AH3" s="5">
        <v>1.5426961684087253E-12</v>
      </c>
      <c r="AI3" s="5">
        <v>9.2164477501570785E-16</v>
      </c>
      <c r="AJ3" s="6">
        <v>4.6126281944688974E-19</v>
      </c>
    </row>
    <row r="4" spans="1:36" ht="33.75" x14ac:dyDescent="0.5">
      <c r="B4" s="153">
        <v>0.90087242699762649</v>
      </c>
      <c r="C4" s="229">
        <v>0.10619356721114558</v>
      </c>
      <c r="D4" s="157">
        <v>9.0915405607217535E-4</v>
      </c>
      <c r="E4">
        <f t="shared" ref="E4:E10" si="0">SUM(B4:D4)</f>
        <v>1.0079751482648442</v>
      </c>
      <c r="G4" s="108">
        <v>1</v>
      </c>
      <c r="H4" s="107">
        <f>J20</f>
        <v>16.952163875407933</v>
      </c>
      <c r="I4" s="107">
        <f t="shared" ref="I4:L11" si="1">K20</f>
        <v>11.129392701021175</v>
      </c>
      <c r="J4" s="107">
        <f t="shared" si="1"/>
        <v>4.5857031440749575E-2</v>
      </c>
      <c r="K4" s="107">
        <f t="shared" si="1"/>
        <v>3.3310212385171369</v>
      </c>
      <c r="L4" s="107">
        <f t="shared" si="1"/>
        <v>141.82411403461316</v>
      </c>
      <c r="P4" s="11">
        <v>3</v>
      </c>
      <c r="R4" s="25">
        <v>0</v>
      </c>
      <c r="S4" s="26">
        <f>-$H$5</f>
        <v>-14.735478273499401</v>
      </c>
      <c r="T4" s="26">
        <f>$H$6+$I$6*$J$6</f>
        <v>13.96538338675551</v>
      </c>
      <c r="U4" s="26">
        <f>-$I$7*$J$7</f>
        <v>-3.7056724393700925E-2</v>
      </c>
      <c r="V4" s="106">
        <v>0</v>
      </c>
      <c r="W4" s="106">
        <v>0</v>
      </c>
      <c r="X4" s="106">
        <v>0</v>
      </c>
      <c r="Y4" s="109">
        <v>0</v>
      </c>
      <c r="Z4" s="11">
        <v>0</v>
      </c>
      <c r="AC4" s="4">
        <v>7.0217017025433037E-2</v>
      </c>
      <c r="AD4" s="5">
        <v>7.2330966668716801E-2</v>
      </c>
      <c r="AE4" s="5">
        <v>7.2372083658568412E-2</v>
      </c>
      <c r="AF4" s="5">
        <v>1.9835787477610672E-4</v>
      </c>
      <c r="AG4" s="5">
        <v>2.5749303668714686E-7</v>
      </c>
      <c r="AH4" s="5">
        <v>2.0679713457574256E-10</v>
      </c>
      <c r="AI4" s="5">
        <v>1.2354571332509917E-13</v>
      </c>
      <c r="AJ4" s="6">
        <v>6.1831896196602611E-17</v>
      </c>
    </row>
    <row r="5" spans="1:36" ht="33.75" x14ac:dyDescent="0.5">
      <c r="B5" s="153">
        <v>0.95314114907570235</v>
      </c>
      <c r="C5" s="229">
        <v>5.4493091804238419E-2</v>
      </c>
      <c r="D5" s="157">
        <v>6.4881893830843877E-4</v>
      </c>
      <c r="E5">
        <f t="shared" si="0"/>
        <v>1.0082830598182493</v>
      </c>
      <c r="G5" s="108">
        <v>2</v>
      </c>
      <c r="H5" s="107">
        <f t="shared" ref="H5:H10" si="2">J21</f>
        <v>14.735478273499401</v>
      </c>
      <c r="I5" s="107">
        <f t="shared" si="1"/>
        <v>6.8718397795541062</v>
      </c>
      <c r="J5" s="107">
        <f t="shared" si="1"/>
        <v>4.1707858005852222E-2</v>
      </c>
      <c r="K5" s="107">
        <f t="shared" si="1"/>
        <v>4.7506522923046246</v>
      </c>
      <c r="L5" s="107">
        <f t="shared" si="1"/>
        <v>501.88800424382868</v>
      </c>
      <c r="P5" s="11">
        <v>4</v>
      </c>
      <c r="R5" s="25">
        <v>0</v>
      </c>
      <c r="S5" s="26">
        <v>0</v>
      </c>
      <c r="T5" s="26">
        <f>-$H$6</f>
        <v>-13.85539497577366</v>
      </c>
      <c r="U5" s="26">
        <f>$H$7+$I$7*$J$7</f>
        <v>13.537898274283256</v>
      </c>
      <c r="V5" s="26">
        <f>-$I$8*$J$8</f>
        <v>-1.732669080141638E-2</v>
      </c>
      <c r="W5" s="106">
        <v>0</v>
      </c>
      <c r="X5" s="106">
        <v>0</v>
      </c>
      <c r="Y5" s="107">
        <v>0</v>
      </c>
      <c r="Z5" s="11">
        <v>0</v>
      </c>
      <c r="AC5" s="4">
        <v>7.1956930472581837E-2</v>
      </c>
      <c r="AD5" s="5">
        <v>7.4123261854178571E-2</v>
      </c>
      <c r="AE5" s="5">
        <v>7.4165397685424767E-2</v>
      </c>
      <c r="AF5" s="5">
        <v>7.4165732172686377E-2</v>
      </c>
      <c r="AG5" s="5">
        <v>9.627628656954637E-5</v>
      </c>
      <c r="AH5" s="5">
        <v>7.7321159617863395E-8</v>
      </c>
      <c r="AI5" s="5">
        <v>4.6193569556516094E-11</v>
      </c>
      <c r="AJ5" s="6">
        <v>2.311885957753244E-14</v>
      </c>
    </row>
    <row r="6" spans="1:36" ht="33.75" x14ac:dyDescent="0.5">
      <c r="B6" s="153">
        <v>0.97675911481336675</v>
      </c>
      <c r="C6" s="229">
        <v>2.8543054395953352E-2</v>
      </c>
      <c r="D6" s="157">
        <v>5.5023566284961552E-4</v>
      </c>
      <c r="E6">
        <f t="shared" si="0"/>
        <v>1.0058524048721695</v>
      </c>
      <c r="G6" s="108">
        <v>3</v>
      </c>
      <c r="H6" s="107">
        <f>J22</f>
        <v>13.85539497577366</v>
      </c>
      <c r="I6" s="107">
        <f t="shared" si="1"/>
        <v>4.6551541776455743</v>
      </c>
      <c r="J6" s="107">
        <f t="shared" si="1"/>
        <v>2.3627232694037013E-2</v>
      </c>
      <c r="K6" s="107">
        <f t="shared" si="1"/>
        <v>6.101660772035614</v>
      </c>
      <c r="L6" s="107">
        <f t="shared" si="1"/>
        <v>1031.5533927793035</v>
      </c>
      <c r="P6" s="11">
        <v>5</v>
      </c>
      <c r="R6" s="25">
        <v>0</v>
      </c>
      <c r="S6" s="26">
        <v>0</v>
      </c>
      <c r="T6" s="106">
        <v>0</v>
      </c>
      <c r="U6" s="26">
        <f>-$H$7</f>
        <v>-13.500841549889556</v>
      </c>
      <c r="V6" s="26">
        <f>$H$8+$I$8*$J$8</f>
        <v>13.358203637856837</v>
      </c>
      <c r="W6" s="26">
        <f>-$I$9*$J$9</f>
        <v>-1.0652065831134145E-2</v>
      </c>
      <c r="X6" s="106">
        <v>0</v>
      </c>
      <c r="Y6" s="107">
        <v>0</v>
      </c>
      <c r="Z6" s="110">
        <v>0</v>
      </c>
      <c r="AC6" s="4">
        <v>7.2783659265398815E-2</v>
      </c>
      <c r="AD6" s="5">
        <v>7.4974880098451963E-2</v>
      </c>
      <c r="AE6" s="5">
        <v>7.5017500037409132E-2</v>
      </c>
      <c r="AF6" s="5">
        <v>7.5017838367667511E-2</v>
      </c>
      <c r="AG6" s="5">
        <v>7.5017839296306746E-2</v>
      </c>
      <c r="AH6" s="5">
        <v>6.024813101019346E-5</v>
      </c>
      <c r="AI6" s="5">
        <v>3.5993720790324205E-8</v>
      </c>
      <c r="AJ6" s="6">
        <v>1.801406093128029E-11</v>
      </c>
    </row>
    <row r="7" spans="1:36" ht="33.75" x14ac:dyDescent="0.5">
      <c r="B7" s="153">
        <v>0.98798131229398778</v>
      </c>
      <c r="C7" s="229">
        <v>1.4991973890587767E-2</v>
      </c>
      <c r="D7" s="157">
        <v>5.0438322991083089E-4</v>
      </c>
      <c r="E7">
        <f t="shared" si="0"/>
        <v>1.0034776694144862</v>
      </c>
      <c r="G7" s="108">
        <v>4</v>
      </c>
      <c r="H7" s="107">
        <f t="shared" si="2"/>
        <v>13.500841549889556</v>
      </c>
      <c r="I7" s="107">
        <f t="shared" si="1"/>
        <v>3.7750708799198325</v>
      </c>
      <c r="J7" s="107">
        <f t="shared" si="1"/>
        <v>9.8161665230740939E-3</v>
      </c>
      <c r="K7" s="107">
        <f t="shared" si="1"/>
        <v>6.8494419978677747</v>
      </c>
      <c r="L7" s="107">
        <f t="shared" si="1"/>
        <v>1497.8236975991065</v>
      </c>
      <c r="P7" s="11">
        <v>6</v>
      </c>
      <c r="R7" s="25">
        <v>0</v>
      </c>
      <c r="S7" s="26">
        <v>0</v>
      </c>
      <c r="T7" s="26">
        <v>0</v>
      </c>
      <c r="U7" s="106">
        <v>0</v>
      </c>
      <c r="V7" s="26">
        <f>-$H$8</f>
        <v>-13.34087694705542</v>
      </c>
      <c r="W7" s="26">
        <f>$H$9+$I$9*$J$9</f>
        <v>13.271320621712134</v>
      </c>
      <c r="X7" s="26">
        <f>-$I$10*$J$10</f>
        <v>-7.8975249627834913E-3</v>
      </c>
      <c r="Y7" s="107">
        <v>0</v>
      </c>
      <c r="Z7" s="110">
        <v>0</v>
      </c>
      <c r="AC7" s="4">
        <v>7.3208827395430137E-2</v>
      </c>
      <c r="AD7" s="5">
        <v>7.541284831676516E-2</v>
      </c>
      <c r="AE7" s="5">
        <v>7.5455717221491997E-2</v>
      </c>
      <c r="AF7" s="5">
        <v>7.5456057528117654E-2</v>
      </c>
      <c r="AG7" s="5">
        <v>7.5456058462181577E-2</v>
      </c>
      <c r="AH7" s="5">
        <v>7.5456058463394704E-2</v>
      </c>
      <c r="AI7" s="5">
        <v>4.5079312083727459E-5</v>
      </c>
      <c r="AJ7" s="6">
        <v>2.2561198364209231E-8</v>
      </c>
    </row>
    <row r="8" spans="1:36" ht="33.75" x14ac:dyDescent="0.5">
      <c r="B8" s="153">
        <v>0.9937526374965614</v>
      </c>
      <c r="C8" s="229">
        <v>7.6419617800056348E-3</v>
      </c>
      <c r="D8" s="157">
        <v>4.8021457602196517E-4</v>
      </c>
      <c r="E8">
        <f t="shared" si="0"/>
        <v>1.0018748138525888</v>
      </c>
      <c r="G8" s="108">
        <v>5</v>
      </c>
      <c r="H8" s="107">
        <f t="shared" si="2"/>
        <v>13.34087694705542</v>
      </c>
      <c r="I8" s="107">
        <f t="shared" si="1"/>
        <v>3.4205174540357284</v>
      </c>
      <c r="J8" s="107">
        <f t="shared" si="1"/>
        <v>5.0655174353732143E-3</v>
      </c>
      <c r="K8" s="107">
        <f t="shared" si="1"/>
        <v>7.1835251489510421</v>
      </c>
      <c r="L8" s="107">
        <f t="shared" si="1"/>
        <v>1802.4537987391113</v>
      </c>
      <c r="P8" s="11">
        <v>7</v>
      </c>
      <c r="R8" s="25">
        <v>0</v>
      </c>
      <c r="S8" s="26">
        <v>0</v>
      </c>
      <c r="T8" s="26">
        <v>0</v>
      </c>
      <c r="U8" s="106">
        <v>0</v>
      </c>
      <c r="V8" s="106">
        <v>0</v>
      </c>
      <c r="W8" s="26">
        <f>-$H$9</f>
        <v>-13.260668555880999</v>
      </c>
      <c r="X8" s="26">
        <f>$H$10+$I$10*$J$10</f>
        <v>13.225896573111914</v>
      </c>
      <c r="Y8" s="107">
        <f>-$I$11*$J$11</f>
        <v>-6.603930394643593E-3</v>
      </c>
      <c r="Z8" s="110">
        <v>0</v>
      </c>
      <c r="AC8" s="4">
        <v>7.3438031658471778E-2</v>
      </c>
      <c r="AD8" s="5">
        <v>7.564895299071317E-2</v>
      </c>
      <c r="AE8" s="5">
        <v>7.5691956110616868E-2</v>
      </c>
      <c r="AF8" s="5">
        <v>7.5692297482684107E-2</v>
      </c>
      <c r="AG8" s="5">
        <v>7.5692298419672399E-2</v>
      </c>
      <c r="AH8" s="5">
        <v>7.5692298420889328E-2</v>
      </c>
      <c r="AI8" s="5">
        <v>7.5692298420890328E-2</v>
      </c>
      <c r="AJ8" s="6">
        <v>3.7882320744931456E-5</v>
      </c>
    </row>
    <row r="9" spans="1:36" ht="34.5" thickBot="1" x14ac:dyDescent="0.55000000000000004">
      <c r="B9" s="153">
        <v>0.99686390630152122</v>
      </c>
      <c r="C9" s="229">
        <v>3.5698546416661698E-3</v>
      </c>
      <c r="D9" s="157">
        <v>4.6705144789055072E-4</v>
      </c>
      <c r="E9">
        <f t="shared" si="0"/>
        <v>1.0009008123910781</v>
      </c>
      <c r="G9" s="108">
        <v>6</v>
      </c>
      <c r="H9" s="107">
        <f t="shared" si="2"/>
        <v>13.260668555880999</v>
      </c>
      <c r="I9" s="107">
        <f t="shared" si="1"/>
        <v>3.2605528512015933</v>
      </c>
      <c r="J9" s="107">
        <f t="shared" si="1"/>
        <v>3.2669508262099167E-3</v>
      </c>
      <c r="K9" s="107">
        <f t="shared" si="1"/>
        <v>7.3453489584128508</v>
      </c>
      <c r="L9" s="107">
        <f t="shared" si="1"/>
        <v>1985.6023317581905</v>
      </c>
      <c r="P9" s="12">
        <v>8</v>
      </c>
      <c r="R9" s="83">
        <v>0</v>
      </c>
      <c r="S9" s="27">
        <v>0</v>
      </c>
      <c r="T9" s="27">
        <v>0</v>
      </c>
      <c r="U9" s="27">
        <v>0</v>
      </c>
      <c r="V9" s="27">
        <v>0</v>
      </c>
      <c r="W9" s="27">
        <v>0</v>
      </c>
      <c r="X9" s="27">
        <f>-$H$10</f>
        <v>-13.21799904814913</v>
      </c>
      <c r="Y9" s="111">
        <f>$H$11+$I$11*$J$11</f>
        <v>13.195249402692191</v>
      </c>
      <c r="Z9" s="12">
        <f>$I$16*$J$16</f>
        <v>0</v>
      </c>
      <c r="AC9" s="7">
        <v>7.3564644588042072E-2</v>
      </c>
      <c r="AD9" s="8">
        <v>7.5779377722160549E-2</v>
      </c>
      <c r="AE9" s="8">
        <v>7.5822454982817589E-2</v>
      </c>
      <c r="AF9" s="8">
        <v>7.5822796943437062E-2</v>
      </c>
      <c r="AG9" s="8">
        <v>7.5822797882040813E-2</v>
      </c>
      <c r="AH9" s="8">
        <v>7.5822797883259838E-2</v>
      </c>
      <c r="AI9" s="8">
        <v>7.5822797883260823E-2</v>
      </c>
      <c r="AJ9" s="9">
        <v>7.5822797883260823E-2</v>
      </c>
    </row>
    <row r="10" spans="1:36" ht="34.5" thickBot="1" x14ac:dyDescent="0.55000000000000004">
      <c r="B10" s="155">
        <v>0.99858257790408667</v>
      </c>
      <c r="C10" s="230">
        <v>1.2876128949162186E-3</v>
      </c>
      <c r="D10" s="158">
        <v>4.5976260974257577E-4</v>
      </c>
      <c r="E10">
        <f t="shared" si="0"/>
        <v>1.0003299534087455</v>
      </c>
      <c r="G10" s="108">
        <v>7</v>
      </c>
      <c r="H10" s="107">
        <f t="shared" si="2"/>
        <v>13.21799904814913</v>
      </c>
      <c r="I10" s="107">
        <f t="shared" si="1"/>
        <v>3.1803444600271735</v>
      </c>
      <c r="J10" s="107">
        <f t="shared" si="1"/>
        <v>2.4832294306623673E-3</v>
      </c>
      <c r="K10" s="107">
        <f t="shared" si="1"/>
        <v>7.4300116511341869</v>
      </c>
      <c r="L10" s="107">
        <f t="shared" si="1"/>
        <v>2092.8087834660737</v>
      </c>
      <c r="R10" s="25"/>
      <c r="S10" s="5"/>
      <c r="T10" s="5"/>
      <c r="U10" s="5"/>
    </row>
    <row r="11" spans="1:36" ht="15.75" thickBot="1" x14ac:dyDescent="0.3">
      <c r="G11" s="108">
        <v>8</v>
      </c>
      <c r="H11" s="107">
        <f>J27</f>
        <v>13.188645472297548</v>
      </c>
      <c r="I11" s="107">
        <f t="shared" si="1"/>
        <v>3.1376749522953027</v>
      </c>
      <c r="J11" s="107">
        <f t="shared" si="1"/>
        <v>2.1047210099990189E-3</v>
      </c>
      <c r="K11" s="107">
        <f t="shared" si="1"/>
        <v>7.4761478849862693</v>
      </c>
      <c r="L11" s="107">
        <f t="shared" si="1"/>
        <v>2154.7637540454002</v>
      </c>
      <c r="R11" s="29">
        <v>1</v>
      </c>
      <c r="S11" s="30">
        <v>2</v>
      </c>
      <c r="T11" s="30">
        <v>3</v>
      </c>
      <c r="U11" s="30">
        <v>4</v>
      </c>
      <c r="V11" s="30">
        <v>5</v>
      </c>
      <c r="W11" s="30">
        <v>6</v>
      </c>
      <c r="X11" s="30">
        <v>7</v>
      </c>
      <c r="Y11" s="31">
        <v>8</v>
      </c>
      <c r="Z11" s="18" t="s">
        <v>30</v>
      </c>
      <c r="AB11" s="98" t="s">
        <v>27</v>
      </c>
    </row>
    <row r="12" spans="1:36" ht="15.75" thickBot="1" x14ac:dyDescent="0.3">
      <c r="I12" s="112">
        <f>I16</f>
        <v>3.1083213764437221</v>
      </c>
      <c r="P12" s="10">
        <v>1</v>
      </c>
      <c r="Q12" s="17" t="s">
        <v>35</v>
      </c>
      <c r="R12" s="99">
        <f>$H$4+$I$4*$K$4</f>
        <v>54.024407334307071</v>
      </c>
      <c r="S12" s="100">
        <f>-$I$5*$K$5</f>
        <v>-32.645721401088821</v>
      </c>
      <c r="T12" s="100">
        <v>0</v>
      </c>
      <c r="U12" s="100">
        <v>0</v>
      </c>
      <c r="V12" s="101">
        <v>0</v>
      </c>
      <c r="W12" s="101">
        <v>0</v>
      </c>
      <c r="X12" s="101">
        <v>0</v>
      </c>
      <c r="Y12" s="102">
        <v>0</v>
      </c>
      <c r="Z12" s="10">
        <f>$I$15*$K$15</f>
        <v>7.635498046875</v>
      </c>
      <c r="AC12" s="1">
        <f t="array" ref="AC12:AJ19">MINVERSE(R12:Y19)</f>
        <v>2.6914366072810107E-2</v>
      </c>
      <c r="AD12" s="2">
        <v>2.678316934635119E-2</v>
      </c>
      <c r="AE12" s="2">
        <v>2.6492509504762257E-2</v>
      </c>
      <c r="AF12" s="2">
        <v>2.5896643992310325E-2</v>
      </c>
      <c r="AG12" s="2">
        <v>2.4755428358975699E-2</v>
      </c>
      <c r="AH12" s="2">
        <v>2.2653524916904564E-2</v>
      </c>
      <c r="AI12" s="2">
        <v>1.8857308017278616E-2</v>
      </c>
      <c r="AJ12" s="3">
        <v>1.207075951496709E-2</v>
      </c>
    </row>
    <row r="13" spans="1:36" ht="15.75" thickBot="1" x14ac:dyDescent="0.3">
      <c r="P13" s="11">
        <v>2</v>
      </c>
      <c r="R13" s="25">
        <f>-$H$4</f>
        <v>-16.952163875407933</v>
      </c>
      <c r="S13" s="26">
        <f>$H$5+$I$5*$K$5</f>
        <v>47.381199674588224</v>
      </c>
      <c r="T13" s="26">
        <f>-$I$6*$K$6</f>
        <v>-28.404171633517709</v>
      </c>
      <c r="U13" s="26">
        <v>0</v>
      </c>
      <c r="V13" s="106">
        <v>0</v>
      </c>
      <c r="W13" s="106">
        <v>0</v>
      </c>
      <c r="X13" s="106">
        <v>0</v>
      </c>
      <c r="Y13" s="107">
        <v>0</v>
      </c>
      <c r="Z13" s="11">
        <v>0</v>
      </c>
      <c r="AC13" s="4">
        <v>1.3907876939947316E-2</v>
      </c>
      <c r="AD13" s="5">
        <v>4.4322648983420664E-2</v>
      </c>
      <c r="AE13" s="5">
        <v>4.3841644888433742E-2</v>
      </c>
      <c r="AF13" s="5">
        <v>4.2855565249829246E-2</v>
      </c>
      <c r="AG13" s="5">
        <v>4.0967002351369526E-2</v>
      </c>
      <c r="AH13" s="5">
        <v>3.7488626537991239E-2</v>
      </c>
      <c r="AI13" s="5">
        <v>3.1206383128662498E-2</v>
      </c>
      <c r="AJ13" s="6">
        <v>1.997553127587786E-2</v>
      </c>
    </row>
    <row r="14" spans="1:36" ht="15.75" thickBot="1" x14ac:dyDescent="0.3">
      <c r="A14" s="5"/>
      <c r="B14" t="s">
        <v>94</v>
      </c>
      <c r="C14" t="s">
        <v>95</v>
      </c>
      <c r="D14" t="s">
        <v>112</v>
      </c>
      <c r="E14" t="s">
        <v>97</v>
      </c>
      <c r="F14" t="s">
        <v>113</v>
      </c>
      <c r="H14" s="13"/>
      <c r="I14" s="16" t="s">
        <v>110</v>
      </c>
      <c r="J14" s="17" t="s">
        <v>28</v>
      </c>
      <c r="K14" s="17" t="s">
        <v>31</v>
      </c>
      <c r="L14" s="18" t="s">
        <v>34</v>
      </c>
      <c r="N14" s="54"/>
      <c r="P14" s="11">
        <v>3</v>
      </c>
      <c r="R14" s="25">
        <v>0</v>
      </c>
      <c r="S14" s="26">
        <f>-$H$5</f>
        <v>-14.735478273499401</v>
      </c>
      <c r="T14" s="26">
        <f>$H$6+$I$6*$K$6</f>
        <v>42.259566609291369</v>
      </c>
      <c r="U14" s="26">
        <f>-$I$7*$K$7</f>
        <v>-25.857129029850555</v>
      </c>
      <c r="V14" s="106">
        <v>0</v>
      </c>
      <c r="W14" s="106">
        <v>0</v>
      </c>
      <c r="X14" s="106">
        <v>0</v>
      </c>
      <c r="Y14" s="109">
        <v>0</v>
      </c>
      <c r="Z14" s="11">
        <v>0</v>
      </c>
      <c r="AC14" s="4">
        <v>7.1368090816997781E-3</v>
      </c>
      <c r="AD14" s="5">
        <v>2.274411005761073E-2</v>
      </c>
      <c r="AE14" s="5">
        <v>5.7321311423300166E-2</v>
      </c>
      <c r="AF14" s="5">
        <v>5.6032049165999791E-2</v>
      </c>
      <c r="AG14" s="5">
        <v>5.3562823790889384E-2</v>
      </c>
      <c r="AH14" s="5">
        <v>4.9014977473687597E-2</v>
      </c>
      <c r="AI14" s="5">
        <v>4.0801179113259048E-2</v>
      </c>
      <c r="AJ14" s="6">
        <v>2.6117260244780328E-2</v>
      </c>
    </row>
    <row r="15" spans="1:36" x14ac:dyDescent="0.25">
      <c r="A15" s="5"/>
      <c r="B15">
        <f>I16</f>
        <v>3.1083213764437221</v>
      </c>
      <c r="C15">
        <f>I16/I15</f>
        <v>0.14655176239324877</v>
      </c>
      <c r="D15">
        <f>K20*F20/I15/J15</f>
        <v>2.9781983232740627E-2</v>
      </c>
      <c r="E15">
        <v>0.99980000000000002</v>
      </c>
      <c r="F15">
        <f>J27*D27/K28/L16</f>
        <v>1.9508946444943178E-3</v>
      </c>
      <c r="H15" s="14" t="s">
        <v>0</v>
      </c>
      <c r="I15" s="42">
        <v>21.209716796875</v>
      </c>
      <c r="J15" s="2">
        <v>0.64</v>
      </c>
      <c r="K15" s="2">
        <v>0.36</v>
      </c>
      <c r="L15" s="3">
        <v>0</v>
      </c>
      <c r="N15" s="113"/>
      <c r="P15" s="11">
        <v>4</v>
      </c>
      <c r="R15" s="25">
        <v>0</v>
      </c>
      <c r="S15" s="26">
        <v>0</v>
      </c>
      <c r="T15" s="26">
        <f>-$H$6</f>
        <v>-13.85539497577366</v>
      </c>
      <c r="U15" s="26">
        <f>$H$7+$I$7*$K$7</f>
        <v>39.357970579740112</v>
      </c>
      <c r="V15" s="26">
        <f>-$I$8*$K$8</f>
        <v>-24.571373153491646</v>
      </c>
      <c r="W15" s="106">
        <v>0</v>
      </c>
      <c r="X15" s="106">
        <v>0</v>
      </c>
      <c r="Y15" s="107">
        <v>0</v>
      </c>
      <c r="Z15" s="11">
        <v>0</v>
      </c>
      <c r="AC15" s="4">
        <v>3.7382046620567525E-3</v>
      </c>
      <c r="AD15" s="5">
        <v>1.1913186590587979E-2</v>
      </c>
      <c r="AE15" s="5">
        <v>3.0024453666168797E-2</v>
      </c>
      <c r="AF15" s="5">
        <v>6.7153351067850475E-2</v>
      </c>
      <c r="AG15" s="5">
        <v>6.419403116168057E-2</v>
      </c>
      <c r="AH15" s="5">
        <v>5.874352337395182E-2</v>
      </c>
      <c r="AI15" s="5">
        <v>4.8899441404643904E-2</v>
      </c>
      <c r="AJ15" s="6">
        <v>3.1301042390082523E-2</v>
      </c>
    </row>
    <row r="16" spans="1:36" ht="15.75" thickBot="1" x14ac:dyDescent="0.3">
      <c r="A16" s="5"/>
      <c r="B16" s="5"/>
      <c r="C16" s="5"/>
      <c r="D16" s="5"/>
      <c r="E16" s="5"/>
      <c r="H16" s="15" t="s">
        <v>17</v>
      </c>
      <c r="I16" s="53">
        <f>(K20*(F20-B27)+I15*(B27-J15))/(J16-B27)</f>
        <v>3.1083213764437221</v>
      </c>
      <c r="J16" s="8">
        <v>0</v>
      </c>
      <c r="K16" s="8">
        <v>0</v>
      </c>
      <c r="L16" s="9">
        <v>1</v>
      </c>
      <c r="N16" s="42"/>
      <c r="P16" s="11">
        <v>5</v>
      </c>
      <c r="R16" s="25">
        <v>0</v>
      </c>
      <c r="S16" s="26">
        <v>0</v>
      </c>
      <c r="T16" s="106">
        <v>0</v>
      </c>
      <c r="U16" s="26">
        <f>-$H$7</f>
        <v>-13.500841549889556</v>
      </c>
      <c r="V16" s="26">
        <f>$H$8+$I$8*$K$8</f>
        <v>37.91225010054707</v>
      </c>
      <c r="W16" s="26">
        <f>-$I$9*$K$9</f>
        <v>-23.949898489423674</v>
      </c>
      <c r="X16" s="106">
        <v>0</v>
      </c>
      <c r="Y16" s="107">
        <v>0</v>
      </c>
      <c r="Z16" s="110">
        <v>0</v>
      </c>
      <c r="AC16" s="4">
        <v>1.9634572359983212E-3</v>
      </c>
      <c r="AD16" s="5">
        <v>6.2572904722178685E-3</v>
      </c>
      <c r="AE16" s="5">
        <v>1.577006508126827E-2</v>
      </c>
      <c r="AF16" s="5">
        <v>3.5271673168146313E-2</v>
      </c>
      <c r="AG16" s="5">
        <v>7.2621611298196262E-2</v>
      </c>
      <c r="AH16" s="5">
        <v>6.6455544908919417E-2</v>
      </c>
      <c r="AI16" s="5">
        <v>5.531910307117105E-2</v>
      </c>
      <c r="AJ16" s="6">
        <v>3.5410334770156024E-2</v>
      </c>
    </row>
    <row r="17" spans="1:36" ht="15.75" thickBot="1" x14ac:dyDescent="0.3">
      <c r="A17" s="5"/>
      <c r="B17" s="5"/>
      <c r="C17" s="5"/>
      <c r="D17" s="5"/>
      <c r="E17" s="5"/>
      <c r="N17" s="42"/>
      <c r="P17" s="11">
        <v>6</v>
      </c>
      <c r="R17" s="25">
        <v>0</v>
      </c>
      <c r="S17" s="26">
        <v>0</v>
      </c>
      <c r="T17" s="26">
        <v>0</v>
      </c>
      <c r="U17" s="106">
        <v>0</v>
      </c>
      <c r="V17" s="26">
        <f>-$H$8</f>
        <v>-13.34087694705542</v>
      </c>
      <c r="W17" s="26">
        <f>$H$9+$I$9*$K$9</f>
        <v>37.210567045304671</v>
      </c>
      <c r="X17" s="26">
        <f>-$I$10*$K$10</f>
        <v>-23.629996392621965</v>
      </c>
      <c r="Y17" s="107">
        <v>0</v>
      </c>
      <c r="Z17" s="110">
        <v>0</v>
      </c>
      <c r="AC17" s="4">
        <v>1.0008465371991392E-3</v>
      </c>
      <c r="AD17" s="5">
        <v>3.1895716323988095E-3</v>
      </c>
      <c r="AE17" s="5">
        <v>8.038583544686841E-3</v>
      </c>
      <c r="AF17" s="5">
        <v>1.797927212487006E-2</v>
      </c>
      <c r="AG17" s="5">
        <v>3.7017912517287824E-2</v>
      </c>
      <c r="AH17" s="5">
        <v>7.2083488736435025E-2</v>
      </c>
      <c r="AI17" s="5">
        <v>6.0003931178438753E-2</v>
      </c>
      <c r="AJ17" s="6">
        <v>3.8409142097266105E-2</v>
      </c>
    </row>
    <row r="18" spans="1:36" ht="15.75" thickBot="1" x14ac:dyDescent="0.3">
      <c r="A18" s="5"/>
      <c r="B18" s="5"/>
      <c r="C18" s="5"/>
      <c r="D18" s="5"/>
      <c r="E18" s="5"/>
      <c r="J18" s="16" t="s">
        <v>114</v>
      </c>
      <c r="K18" s="18" t="s">
        <v>115</v>
      </c>
      <c r="P18" s="11">
        <v>7</v>
      </c>
      <c r="R18" s="25">
        <v>0</v>
      </c>
      <c r="S18" s="26">
        <v>0</v>
      </c>
      <c r="T18" s="26">
        <v>0</v>
      </c>
      <c r="U18" s="106">
        <v>0</v>
      </c>
      <c r="V18" s="106">
        <v>0</v>
      </c>
      <c r="W18" s="26">
        <f>-$H$9</f>
        <v>-13.260668555880999</v>
      </c>
      <c r="X18" s="26">
        <f>$H$10+$I$10*$K$10</f>
        <v>36.847995440771093</v>
      </c>
      <c r="Y18" s="107">
        <f>-$I$11*$K$11</f>
        <v>-23.457721958376922</v>
      </c>
      <c r="Z18" s="110">
        <v>0</v>
      </c>
      <c r="AC18" s="4">
        <v>4.6753396042412891E-4</v>
      </c>
      <c r="AD18" s="5">
        <v>1.4899717408475757E-3</v>
      </c>
      <c r="AE18" s="5">
        <v>3.7551319419711171E-3</v>
      </c>
      <c r="AF18" s="5">
        <v>8.3988103966543565E-3</v>
      </c>
      <c r="AG18" s="5">
        <v>1.7292492507667935E-2</v>
      </c>
      <c r="AH18" s="5">
        <v>3.3672973545421724E-2</v>
      </c>
      <c r="AI18" s="5">
        <v>6.3257519483578509E-2</v>
      </c>
      <c r="AJ18" s="6">
        <v>4.0491797901374832E-2</v>
      </c>
    </row>
    <row r="19" spans="1:36" ht="15.75" thickBot="1" x14ac:dyDescent="0.3">
      <c r="A19" s="19" t="s">
        <v>101</v>
      </c>
      <c r="B19" s="48" t="s">
        <v>102</v>
      </c>
      <c r="C19" s="49" t="s">
        <v>103</v>
      </c>
      <c r="D19" s="49" t="s">
        <v>104</v>
      </c>
      <c r="E19" s="114" t="s">
        <v>37</v>
      </c>
      <c r="F19" s="49" t="s">
        <v>105</v>
      </c>
      <c r="G19" s="49" t="s">
        <v>106</v>
      </c>
      <c r="H19" s="49" t="s">
        <v>107</v>
      </c>
      <c r="I19" s="115" t="s">
        <v>108</v>
      </c>
      <c r="J19" s="48">
        <f>I15</f>
        <v>21.209716796875</v>
      </c>
      <c r="K19" s="3"/>
      <c r="L19" s="17" t="s">
        <v>22</v>
      </c>
      <c r="M19" s="17" t="s">
        <v>23</v>
      </c>
      <c r="N19" s="18" t="s">
        <v>24</v>
      </c>
      <c r="P19" s="12">
        <v>8</v>
      </c>
      <c r="R19" s="83">
        <v>0</v>
      </c>
      <c r="S19" s="27">
        <v>0</v>
      </c>
      <c r="T19" s="27">
        <v>0</v>
      </c>
      <c r="U19" s="27">
        <v>0</v>
      </c>
      <c r="V19" s="27">
        <v>0</v>
      </c>
      <c r="W19" s="27">
        <v>0</v>
      </c>
      <c r="X19" s="27">
        <f>-$H$10</f>
        <v>-13.21799904814913</v>
      </c>
      <c r="Y19" s="111">
        <f>$H$11+$I$11*$K$11</f>
        <v>36.646367430674474</v>
      </c>
      <c r="Z19" s="12">
        <f>$I$16*$K$16</f>
        <v>0</v>
      </c>
      <c r="AC19" s="7">
        <v>1.6863508929102579E-4</v>
      </c>
      <c r="AD19" s="8">
        <v>5.3741875206455853E-4</v>
      </c>
      <c r="AE19" s="8">
        <v>1.3544406694209442E-3</v>
      </c>
      <c r="AF19" s="8">
        <v>3.0293716843442968E-3</v>
      </c>
      <c r="AG19" s="8">
        <v>6.2372389279477863E-3</v>
      </c>
      <c r="AH19" s="8">
        <v>1.2145523921674639E-2</v>
      </c>
      <c r="AI19" s="8">
        <v>2.2816390571424962E-2</v>
      </c>
      <c r="AJ19" s="9">
        <v>4.1892843786562557E-2</v>
      </c>
    </row>
    <row r="20" spans="1:36" ht="15.75" thickBot="1" x14ac:dyDescent="0.3">
      <c r="A20" s="45">
        <v>1</v>
      </c>
      <c r="B20" s="151">
        <f>I41</f>
        <v>0.79212013790838398</v>
      </c>
      <c r="C20" s="152">
        <f t="shared" ref="C20:H27" si="3">J41</f>
        <v>0.20592147210430292</v>
      </c>
      <c r="D20" s="152">
        <f t="shared" si="3"/>
        <v>1.9583899873130959E-3</v>
      </c>
      <c r="E20" s="165">
        <f>SUM(B20:D20)</f>
        <v>1</v>
      </c>
      <c r="F20" s="159">
        <f t="shared" si="3"/>
        <v>3.6324278068915652E-2</v>
      </c>
      <c r="G20" s="159">
        <f t="shared" si="3"/>
        <v>0.68592879704614718</v>
      </c>
      <c r="H20" s="160">
        <f t="shared" si="3"/>
        <v>0.27774692488493713</v>
      </c>
      <c r="I20" s="116">
        <v>1</v>
      </c>
      <c r="J20" s="117">
        <f>(K22*(F21-F22)+J21*(B21-F21))/(B20-F21)</f>
        <v>16.952163875407933</v>
      </c>
      <c r="K20" s="6">
        <f>E15*I15*K15/G20</f>
        <v>11.129392701021175</v>
      </c>
      <c r="L20" s="1">
        <f>F20/B20</f>
        <v>4.5857031440749575E-2</v>
      </c>
      <c r="M20" s="1">
        <f t="shared" ref="M20:N22" si="4">G20/C20</f>
        <v>3.3310212385171369</v>
      </c>
      <c r="N20" s="10">
        <f t="shared" si="4"/>
        <v>141.82411403461316</v>
      </c>
    </row>
    <row r="21" spans="1:36" ht="15.75" thickBot="1" x14ac:dyDescent="0.3">
      <c r="A21" s="46">
        <v>2</v>
      </c>
      <c r="B21" s="153">
        <f t="shared" ref="B21:B27" si="5">I42</f>
        <v>0.90087242699762649</v>
      </c>
      <c r="C21" s="154">
        <f t="shared" si="3"/>
        <v>9.8138900743309387E-2</v>
      </c>
      <c r="D21" s="154">
        <f t="shared" si="3"/>
        <v>9.8867225906413593E-4</v>
      </c>
      <c r="E21" s="166">
        <f t="shared" ref="E21:E27" si="6">SUM(B21:D21)</f>
        <v>1</v>
      </c>
      <c r="F21" s="161">
        <f t="shared" si="3"/>
        <v>3.7573459266604478E-2</v>
      </c>
      <c r="G21" s="161">
        <f t="shared" si="3"/>
        <v>0.46622379378045875</v>
      </c>
      <c r="H21" s="162">
        <f t="shared" si="3"/>
        <v>0.49620274695293676</v>
      </c>
      <c r="I21" s="118">
        <v>1</v>
      </c>
      <c r="J21" s="117">
        <f t="shared" ref="J21" si="7">(K23*(F22-F23)+J22*(B22-F22))/(B21-F22)</f>
        <v>14.735478273499401</v>
      </c>
      <c r="K21" s="6">
        <f>K22+J20-J21</f>
        <v>6.8718397795541062</v>
      </c>
      <c r="L21" s="1">
        <f t="shared" ref="L21:L22" si="8">F21/B21</f>
        <v>4.1707858005852222E-2</v>
      </c>
      <c r="M21" s="1">
        <f t="shared" si="4"/>
        <v>4.7506522923046246</v>
      </c>
      <c r="N21" s="10">
        <f t="shared" si="4"/>
        <v>501.88800424382868</v>
      </c>
      <c r="R21" s="29">
        <v>1</v>
      </c>
      <c r="S21" s="30">
        <v>2</v>
      </c>
      <c r="T21" s="30">
        <v>3</v>
      </c>
      <c r="U21" s="30">
        <v>4</v>
      </c>
      <c r="V21" s="30">
        <v>5</v>
      </c>
      <c r="W21" s="30">
        <v>6</v>
      </c>
      <c r="X21" s="30">
        <v>7</v>
      </c>
      <c r="Y21" s="31">
        <v>8</v>
      </c>
      <c r="Z21" s="18" t="s">
        <v>33</v>
      </c>
      <c r="AB21" s="98" t="s">
        <v>27</v>
      </c>
    </row>
    <row r="22" spans="1:36" ht="15.75" thickBot="1" x14ac:dyDescent="0.3">
      <c r="A22" s="46">
        <v>3</v>
      </c>
      <c r="B22" s="153">
        <f t="shared" si="5"/>
        <v>0.95314114907570258</v>
      </c>
      <c r="C22" s="154">
        <f t="shared" si="3"/>
        <v>4.6184452434161354E-2</v>
      </c>
      <c r="D22" s="154">
        <f t="shared" si="3"/>
        <v>6.7439849013602811E-4</v>
      </c>
      <c r="E22" s="166">
        <f t="shared" si="6"/>
        <v>1</v>
      </c>
      <c r="F22" s="161">
        <f t="shared" si="3"/>
        <v>2.2520087719473447E-2</v>
      </c>
      <c r="G22" s="161">
        <f t="shared" si="3"/>
        <v>0.28180186169546706</v>
      </c>
      <c r="H22" s="162">
        <f t="shared" si="3"/>
        <v>0.69567805058505949</v>
      </c>
      <c r="I22" s="118">
        <v>1</v>
      </c>
      <c r="J22" s="117">
        <f>(K24*(F23-F24)+J23*(B23-F23))/(B22-F23)</f>
        <v>13.85539497577366</v>
      </c>
      <c r="K22" s="6">
        <f t="shared" ref="K22:K27" si="9">K23+J21-J22</f>
        <v>4.6551541776455743</v>
      </c>
      <c r="L22" s="1">
        <f t="shared" si="8"/>
        <v>2.3627232694037013E-2</v>
      </c>
      <c r="M22" s="1">
        <f t="shared" si="4"/>
        <v>6.101660772035614</v>
      </c>
      <c r="N22" s="10">
        <f t="shared" si="4"/>
        <v>1031.5533927793035</v>
      </c>
      <c r="P22" s="10">
        <v>1</v>
      </c>
      <c r="Q22" s="17" t="s">
        <v>35</v>
      </c>
      <c r="R22" s="99">
        <f>$H$4+$I$4*$L$4</f>
        <v>1595.3684234410264</v>
      </c>
      <c r="S22" s="100">
        <f>-$I$5*$L$5</f>
        <v>-3448.8939524437619</v>
      </c>
      <c r="T22" s="100">
        <v>0</v>
      </c>
      <c r="U22" s="100">
        <v>0</v>
      </c>
      <c r="V22" s="101">
        <v>0</v>
      </c>
      <c r="W22" s="101">
        <v>0</v>
      </c>
      <c r="X22" s="101">
        <v>0</v>
      </c>
      <c r="Y22" s="102">
        <v>0</v>
      </c>
      <c r="Z22" s="10">
        <f>$I$15*$L$15</f>
        <v>0</v>
      </c>
      <c r="AC22" s="1">
        <f t="array" ref="AC22:AJ29">MINVERSE(R22:Y29)</f>
        <v>6.3354643867847681E-4</v>
      </c>
      <c r="AD22" s="2">
        <v>6.3354643867847703E-4</v>
      </c>
      <c r="AE22" s="2">
        <v>6.3354643867847681E-4</v>
      </c>
      <c r="AF22" s="2">
        <v>6.3354643867845101E-4</v>
      </c>
      <c r="AG22" s="2">
        <v>6.3354643866759413E-4</v>
      </c>
      <c r="AH22" s="2">
        <v>6.3354643365033062E-4</v>
      </c>
      <c r="AI22" s="2">
        <v>6.3354398410769949E-4</v>
      </c>
      <c r="AJ22" s="3">
        <v>6.3231052999906403E-4</v>
      </c>
    </row>
    <row r="23" spans="1:36" ht="15.75" thickBot="1" x14ac:dyDescent="0.3">
      <c r="A23" s="46">
        <v>4</v>
      </c>
      <c r="B23" s="153">
        <f t="shared" si="5"/>
        <v>0.97675911481336664</v>
      </c>
      <c r="C23" s="154">
        <f t="shared" si="3"/>
        <v>2.2683380674608195E-2</v>
      </c>
      <c r="D23" s="154">
        <f t="shared" si="3"/>
        <v>5.575045120252049E-4</v>
      </c>
      <c r="E23" s="166">
        <f t="shared" si="6"/>
        <v>1</v>
      </c>
      <c r="F23" s="161">
        <f t="shared" si="3"/>
        <v>9.5880301239384541E-3</v>
      </c>
      <c r="G23" s="161">
        <f t="shared" si="3"/>
        <v>0.15536850024628363</v>
      </c>
      <c r="H23" s="162">
        <f t="shared" si="3"/>
        <v>0.83504346962977793</v>
      </c>
      <c r="I23" s="118">
        <v>1</v>
      </c>
      <c r="J23" s="117">
        <f>(K25*(F24-F25)+J24*(B24-F24))/(B23-F24)</f>
        <v>13.500841549889556</v>
      </c>
      <c r="K23" s="6">
        <f>K24+J22-J23</f>
        <v>3.7750708799198325</v>
      </c>
      <c r="L23" s="1">
        <f>F23/B23</f>
        <v>9.8161665230740939E-3</v>
      </c>
      <c r="M23" s="1">
        <f>G23/C23</f>
        <v>6.8494419978677747</v>
      </c>
      <c r="N23" s="10">
        <f>H23/D23</f>
        <v>1497.8236975991065</v>
      </c>
      <c r="P23" s="11">
        <v>2</v>
      </c>
      <c r="R23" s="25">
        <f>-$H$4</f>
        <v>-16.952163875407933</v>
      </c>
      <c r="S23" s="26">
        <f>$H$5+$I$5*$L$5</f>
        <v>3463.6294307172611</v>
      </c>
      <c r="T23" s="26">
        <f>-$I$6*$L$6</f>
        <v>-4802.040085861041</v>
      </c>
      <c r="U23" s="26">
        <v>0</v>
      </c>
      <c r="V23" s="106">
        <v>0</v>
      </c>
      <c r="W23" s="106">
        <v>0</v>
      </c>
      <c r="X23" s="106">
        <v>0</v>
      </c>
      <c r="Y23" s="107">
        <v>0</v>
      </c>
      <c r="Z23" s="11">
        <v>0</v>
      </c>
      <c r="AC23" s="4">
        <v>3.1140369055269617E-6</v>
      </c>
      <c r="AD23" s="5">
        <v>2.9306206482080575E-4</v>
      </c>
      <c r="AE23" s="5">
        <v>2.930620648208057E-4</v>
      </c>
      <c r="AF23" s="5">
        <v>2.9306206482079372E-4</v>
      </c>
      <c r="AG23" s="5">
        <v>2.9306206481577164E-4</v>
      </c>
      <c r="AH23" s="5">
        <v>2.9306206249491638E-4</v>
      </c>
      <c r="AI23" s="5">
        <v>2.9306092940035918E-4</v>
      </c>
      <c r="AJ23" s="6">
        <v>2.9249036568810411E-4</v>
      </c>
    </row>
    <row r="24" spans="1:36" ht="15.75" thickBot="1" x14ac:dyDescent="0.3">
      <c r="A24" s="46">
        <v>5</v>
      </c>
      <c r="B24" s="153">
        <f t="shared" si="5"/>
        <v>0.98798131229398789</v>
      </c>
      <c r="C24" s="154">
        <f t="shared" si="3"/>
        <v>1.151254730397331E-2</v>
      </c>
      <c r="D24" s="154">
        <f t="shared" si="3"/>
        <v>5.0614040203879719E-4</v>
      </c>
      <c r="E24" s="166">
        <f t="shared" si="6"/>
        <v>1</v>
      </c>
      <c r="F24" s="161">
        <f t="shared" si="3"/>
        <v>5.0046365632481042E-3</v>
      </c>
      <c r="G24" s="161">
        <f t="shared" si="3"/>
        <v>8.2700673086580787E-2</v>
      </c>
      <c r="H24" s="162">
        <f t="shared" si="3"/>
        <v>0.91229469035017108</v>
      </c>
      <c r="I24" s="118">
        <v>1</v>
      </c>
      <c r="J24" s="117">
        <f t="shared" ref="J24" si="10">(K26*(F25-F26)+J25*(B25-F25))/(B24-F25)</f>
        <v>13.34087694705542</v>
      </c>
      <c r="K24" s="6">
        <f t="shared" si="9"/>
        <v>3.4205174540357284</v>
      </c>
      <c r="L24" s="1">
        <f t="shared" ref="L24:N27" si="11">F24/B24</f>
        <v>5.0655174353732143E-3</v>
      </c>
      <c r="M24" s="1">
        <f t="shared" si="11"/>
        <v>7.1835251489510421</v>
      </c>
      <c r="N24" s="10">
        <f t="shared" si="11"/>
        <v>1802.4537987391113</v>
      </c>
      <c r="P24" s="11">
        <v>3</v>
      </c>
      <c r="R24" s="25">
        <v>0</v>
      </c>
      <c r="S24" s="26">
        <f>-$H$5</f>
        <v>-14.735478273499401</v>
      </c>
      <c r="T24" s="26">
        <f>$H$6+$I$6*$L$6</f>
        <v>4815.8954808368144</v>
      </c>
      <c r="U24" s="26">
        <f>-$I$7*$L$7</f>
        <v>-5654.3906240602364</v>
      </c>
      <c r="V24" s="106">
        <v>0</v>
      </c>
      <c r="W24" s="106">
        <v>0</v>
      </c>
      <c r="X24" s="106">
        <v>0</v>
      </c>
      <c r="Y24" s="109">
        <v>0</v>
      </c>
      <c r="Z24" s="11">
        <v>0</v>
      </c>
      <c r="AC24" s="4">
        <v>9.5556934852283736E-9</v>
      </c>
      <c r="AD24" s="5">
        <v>8.9928647236178446E-7</v>
      </c>
      <c r="AE24" s="5">
        <v>2.0914411202980869E-4</v>
      </c>
      <c r="AF24" s="5">
        <v>2.0914411202980013E-4</v>
      </c>
      <c r="AG24" s="5">
        <v>2.0914411202621616E-4</v>
      </c>
      <c r="AH24" s="5">
        <v>2.0914411036993487E-4</v>
      </c>
      <c r="AI24" s="5">
        <v>2.0914330173557556E-4</v>
      </c>
      <c r="AJ24" s="6">
        <v>2.0873611822300127E-4</v>
      </c>
    </row>
    <row r="25" spans="1:36" ht="15.75" thickBot="1" x14ac:dyDescent="0.3">
      <c r="A25" s="119">
        <v>6</v>
      </c>
      <c r="B25" s="153">
        <f t="shared" si="5"/>
        <v>0.99375263749656151</v>
      </c>
      <c r="C25" s="154">
        <f t="shared" si="3"/>
        <v>5.7667048287228639E-3</v>
      </c>
      <c r="D25" s="154">
        <f t="shared" si="3"/>
        <v>4.8065767471559156E-4</v>
      </c>
      <c r="E25" s="166">
        <f t="shared" si="6"/>
        <v>1</v>
      </c>
      <c r="F25" s="161">
        <f t="shared" si="3"/>
        <v>3.2465410001176753E-3</v>
      </c>
      <c r="G25" s="161">
        <f t="shared" si="3"/>
        <v>4.2358459307133847E-2</v>
      </c>
      <c r="H25" s="162">
        <f t="shared" si="3"/>
        <v>0.95439499969274844</v>
      </c>
      <c r="I25" s="118">
        <v>0.99999999999999989</v>
      </c>
      <c r="J25" s="117">
        <f>(K27*(F26-F27)+J26*(B26-F26))/(B25-F26)</f>
        <v>13.260668555880999</v>
      </c>
      <c r="K25" s="6">
        <f t="shared" si="9"/>
        <v>3.2605528512015933</v>
      </c>
      <c r="L25" s="1">
        <f t="shared" si="11"/>
        <v>3.2669508262099167E-3</v>
      </c>
      <c r="M25" s="1">
        <f t="shared" si="11"/>
        <v>7.3453489584128508</v>
      </c>
      <c r="N25" s="10">
        <f t="shared" si="11"/>
        <v>1985.6023317581905</v>
      </c>
      <c r="P25" s="11">
        <v>4</v>
      </c>
      <c r="R25" s="25">
        <v>0</v>
      </c>
      <c r="S25" s="26">
        <v>0</v>
      </c>
      <c r="T25" s="26">
        <f>-$H$6</f>
        <v>-13.85539497577366</v>
      </c>
      <c r="U25" s="26">
        <f>$H$7+$I$7*$L$7</f>
        <v>5667.891465610126</v>
      </c>
      <c r="V25" s="26">
        <f>-$I$8*$L$8</f>
        <v>-6165.3246786801319</v>
      </c>
      <c r="W25" s="106">
        <v>0</v>
      </c>
      <c r="X25" s="106">
        <v>0</v>
      </c>
      <c r="Y25" s="107">
        <v>0</v>
      </c>
      <c r="Z25" s="11">
        <v>0</v>
      </c>
      <c r="AC25" s="4">
        <v>2.3415062083240052E-11</v>
      </c>
      <c r="AD25" s="5">
        <v>2.2035918809576468E-9</v>
      </c>
      <c r="AE25" s="5">
        <v>5.1248215266555774E-7</v>
      </c>
      <c r="AF25" s="5">
        <v>1.7736619928795098E-4</v>
      </c>
      <c r="AG25" s="5">
        <v>1.7736619928491155E-4</v>
      </c>
      <c r="AH25" s="5">
        <v>1.7736619788029007E-4</v>
      </c>
      <c r="AI25" s="5">
        <v>1.7736551211198638E-4</v>
      </c>
      <c r="AJ25" s="6">
        <v>1.7702019714549224E-4</v>
      </c>
    </row>
    <row r="26" spans="1:36" ht="15.75" thickBot="1" x14ac:dyDescent="0.3">
      <c r="A26" s="119">
        <v>7</v>
      </c>
      <c r="B26" s="153">
        <f t="shared" si="5"/>
        <v>0.99686390630152111</v>
      </c>
      <c r="C26" s="154">
        <f t="shared" si="3"/>
        <v>2.668925163602673E-3</v>
      </c>
      <c r="D26" s="154">
        <f t="shared" si="3"/>
        <v>4.6716853487622188E-4</v>
      </c>
      <c r="E26" s="166">
        <f t="shared" si="6"/>
        <v>1</v>
      </c>
      <c r="F26" s="161">
        <f t="shared" si="3"/>
        <v>2.4754417904929897E-3</v>
      </c>
      <c r="G26" s="161">
        <f t="shared" si="3"/>
        <v>1.9830145061573077E-2</v>
      </c>
      <c r="H26" s="162">
        <f t="shared" si="3"/>
        <v>0.97769441314793393</v>
      </c>
      <c r="I26" s="118">
        <v>1</v>
      </c>
      <c r="J26" s="117">
        <f>(K28*(F27-F28)+J27*(B27-F27))/(B26-F27)</f>
        <v>13.21799904814913</v>
      </c>
      <c r="K26" s="6">
        <f t="shared" si="9"/>
        <v>3.1803444600271735</v>
      </c>
      <c r="L26" s="1">
        <f t="shared" si="11"/>
        <v>2.4832294306623673E-3</v>
      </c>
      <c r="M26" s="1">
        <f t="shared" si="11"/>
        <v>7.4300116511341869</v>
      </c>
      <c r="N26" s="10">
        <f t="shared" si="11"/>
        <v>2092.8087834660737</v>
      </c>
      <c r="P26" s="11">
        <v>5</v>
      </c>
      <c r="R26" s="25">
        <v>0</v>
      </c>
      <c r="S26" s="26">
        <v>0</v>
      </c>
      <c r="T26" s="106">
        <v>0</v>
      </c>
      <c r="U26" s="26">
        <f>-$H$7</f>
        <v>-13.500841549889556</v>
      </c>
      <c r="V26" s="26">
        <f>$H$8+$I$8*$L$8</f>
        <v>6178.6655556271871</v>
      </c>
      <c r="W26" s="26">
        <f>-$I$9*$L$9</f>
        <v>-6474.1613441667005</v>
      </c>
      <c r="X26" s="106">
        <v>0</v>
      </c>
      <c r="Y26" s="107">
        <v>0</v>
      </c>
      <c r="Z26" s="110">
        <v>0</v>
      </c>
      <c r="AC26" s="4">
        <v>5.1274354480372472E-14</v>
      </c>
      <c r="AD26" s="5">
        <v>4.8254303504566439E-12</v>
      </c>
      <c r="AE26" s="5">
        <v>1.1222345457476607E-9</v>
      </c>
      <c r="AF26" s="5">
        <v>3.8839689353786927E-7</v>
      </c>
      <c r="AG26" s="5">
        <v>1.6258585641109596E-4</v>
      </c>
      <c r="AH26" s="5">
        <v>1.6258585512352489E-4</v>
      </c>
      <c r="AI26" s="5">
        <v>1.6258522650190813E-4</v>
      </c>
      <c r="AJ26" s="6">
        <v>1.6226868744437985E-4</v>
      </c>
    </row>
    <row r="27" spans="1:36" ht="15.75" thickBot="1" x14ac:dyDescent="0.3">
      <c r="A27" s="119">
        <v>8</v>
      </c>
      <c r="B27" s="155">
        <f t="shared" si="5"/>
        <v>0.99858257790408667</v>
      </c>
      <c r="C27" s="156">
        <f t="shared" si="3"/>
        <v>9.5763207885598536E-4</v>
      </c>
      <c r="D27" s="156">
        <f t="shared" si="3"/>
        <v>4.5979001705736763E-4</v>
      </c>
      <c r="E27" s="167">
        <f t="shared" si="6"/>
        <v>1</v>
      </c>
      <c r="F27" s="163">
        <f t="shared" si="3"/>
        <v>2.1017377319337131E-3</v>
      </c>
      <c r="G27" s="163">
        <f t="shared" si="3"/>
        <v>7.1593990409341791E-3</v>
      </c>
      <c r="H27" s="164">
        <f t="shared" si="3"/>
        <v>0.99073886322713212</v>
      </c>
      <c r="I27" s="120">
        <v>1</v>
      </c>
      <c r="J27" s="4">
        <f>I16+I15-K20</f>
        <v>13.188645472297548</v>
      </c>
      <c r="K27" s="6">
        <f t="shared" si="9"/>
        <v>3.1376749522953027</v>
      </c>
      <c r="L27" s="29">
        <f t="shared" si="11"/>
        <v>2.1047210099990189E-3</v>
      </c>
      <c r="M27" s="29">
        <f t="shared" si="11"/>
        <v>7.4761478849862693</v>
      </c>
      <c r="N27" s="98">
        <f t="shared" si="11"/>
        <v>2154.7637540454002</v>
      </c>
      <c r="P27" s="11">
        <v>6</v>
      </c>
      <c r="R27" s="25">
        <v>0</v>
      </c>
      <c r="S27" s="26">
        <v>0</v>
      </c>
      <c r="T27" s="26">
        <v>0</v>
      </c>
      <c r="U27" s="106">
        <v>0</v>
      </c>
      <c r="V27" s="26">
        <f>-$H$8</f>
        <v>-13.34087694705542</v>
      </c>
      <c r="W27" s="26">
        <f>$H$9+$I$9*$L$9</f>
        <v>6487.4220127225817</v>
      </c>
      <c r="X27" s="26">
        <f>-$I$10*$L$10</f>
        <v>-6655.8528203925362</v>
      </c>
      <c r="Y27" s="107">
        <v>0</v>
      </c>
      <c r="Z27" s="110">
        <v>0</v>
      </c>
      <c r="AC27" s="4">
        <v>1.0565767701503218E-16</v>
      </c>
      <c r="AD27" s="5">
        <v>9.9434457360598633E-15</v>
      </c>
      <c r="AE27" s="5">
        <v>2.31251463565683E-12</v>
      </c>
      <c r="AF27" s="5">
        <v>8.0034383556744339E-10</v>
      </c>
      <c r="AG27" s="5">
        <v>3.3502993997655862E-7</v>
      </c>
      <c r="AH27" s="5">
        <v>1.5479518916422958E-4</v>
      </c>
      <c r="AI27" s="5">
        <v>1.547945906644277E-4</v>
      </c>
      <c r="AJ27" s="6">
        <v>1.5449321928589829E-4</v>
      </c>
    </row>
    <row r="28" spans="1:36" ht="15.75" thickBot="1" x14ac:dyDescent="0.3">
      <c r="A28" s="98" t="s">
        <v>17</v>
      </c>
      <c r="B28" s="5"/>
      <c r="C28" s="5"/>
      <c r="D28" s="5"/>
      <c r="E28" s="5"/>
      <c r="F28" s="121">
        <v>0</v>
      </c>
      <c r="G28" s="5">
        <f>K16</f>
        <v>0</v>
      </c>
      <c r="H28" s="121">
        <v>1</v>
      </c>
      <c r="I28" s="5"/>
      <c r="J28" s="5"/>
      <c r="K28" s="122">
        <f>I16</f>
        <v>3.1083213764437221</v>
      </c>
      <c r="L28" s="5"/>
      <c r="M28" s="5"/>
      <c r="N28" s="5"/>
      <c r="P28" s="11">
        <v>7</v>
      </c>
      <c r="R28" s="25">
        <v>0</v>
      </c>
      <c r="S28" s="26">
        <v>0</v>
      </c>
      <c r="T28" s="26">
        <v>0</v>
      </c>
      <c r="U28" s="106">
        <v>0</v>
      </c>
      <c r="V28" s="106">
        <v>0</v>
      </c>
      <c r="W28" s="26">
        <f>-$H$9</f>
        <v>-13.260668555880999</v>
      </c>
      <c r="X28" s="26">
        <f>$H$10+$I$10*$L$10</f>
        <v>6669.0708194406852</v>
      </c>
      <c r="Y28" s="107">
        <f>-$I$11*$L$11</f>
        <v>-6760.9482591820488</v>
      </c>
      <c r="Z28" s="110">
        <v>0</v>
      </c>
      <c r="AC28" s="4">
        <v>2.1050435697900328E-19</v>
      </c>
      <c r="AD28" s="5">
        <v>1.9810568526195186E-17</v>
      </c>
      <c r="AE28" s="5">
        <v>4.6072790935410928E-15</v>
      </c>
      <c r="AF28" s="5">
        <v>1.594544468777828E-12</v>
      </c>
      <c r="AG28" s="5">
        <v>6.674882893123396E-10</v>
      </c>
      <c r="AH28" s="5">
        <v>3.0840221628025538E-7</v>
      </c>
      <c r="AI28" s="5">
        <v>1.5055152697434821E-4</v>
      </c>
      <c r="AJ28" s="6">
        <v>1.5025841646558162E-4</v>
      </c>
    </row>
    <row r="29" spans="1:36" ht="15.75" thickBot="1" x14ac:dyDescent="0.3">
      <c r="P29" s="12">
        <v>8</v>
      </c>
      <c r="R29" s="83">
        <v>0</v>
      </c>
      <c r="S29" s="27">
        <v>0</v>
      </c>
      <c r="T29" s="27">
        <v>0</v>
      </c>
      <c r="U29" s="27">
        <v>0</v>
      </c>
      <c r="V29" s="27">
        <v>0</v>
      </c>
      <c r="W29" s="27">
        <v>0</v>
      </c>
      <c r="X29" s="27">
        <f>-$H$10</f>
        <v>-13.21799904814913</v>
      </c>
      <c r="Y29" s="111">
        <f>$H$11+$I$11*$L$11</f>
        <v>6774.1369046543459</v>
      </c>
      <c r="Z29" s="12">
        <f>$I$16*$L$16</f>
        <v>3.1083213764437221</v>
      </c>
      <c r="AC29" s="7">
        <v>4.1074552069769336E-22</v>
      </c>
      <c r="AD29" s="8">
        <v>3.8655267764462528E-20</v>
      </c>
      <c r="AE29" s="8">
        <v>8.9899291275234374E-18</v>
      </c>
      <c r="AF29" s="8">
        <v>3.1113465179682905E-15</v>
      </c>
      <c r="AG29" s="8">
        <v>1.3024330179567561E-12</v>
      </c>
      <c r="AH29" s="8">
        <v>6.0176820436543889E-10</v>
      </c>
      <c r="AI29" s="8">
        <v>2.9376287610559786E-7</v>
      </c>
      <c r="AJ29" s="9">
        <v>1.479134729204215E-4</v>
      </c>
    </row>
    <row r="30" spans="1:36" x14ac:dyDescent="0.25">
      <c r="T30" s="123"/>
      <c r="U30" s="123"/>
      <c r="V30" s="123"/>
      <c r="W30" s="123"/>
      <c r="X30" s="123"/>
      <c r="Y30" s="123"/>
      <c r="Z30" s="123"/>
      <c r="AC30" s="42"/>
      <c r="AD30" s="50"/>
      <c r="AE30" s="50"/>
    </row>
    <row r="31" spans="1:36" x14ac:dyDescent="0.25">
      <c r="J31" s="42">
        <f>(J41+H52)/2</f>
        <v>0.20592648577762318</v>
      </c>
      <c r="K31" s="42">
        <f>(K41+I52)/2</f>
        <v>1.9584849045399858E-3</v>
      </c>
      <c r="L31" s="42"/>
      <c r="M31" s="42">
        <f t="shared" ref="M31:N38" si="12">(M41+K52)/2</f>
        <v>3.6323917480748411E-2</v>
      </c>
      <c r="N31" s="42">
        <f t="shared" si="12"/>
        <v>0.68591209720703317</v>
      </c>
      <c r="T31" s="123"/>
      <c r="U31" s="123"/>
      <c r="V31" s="123"/>
      <c r="W31" s="123"/>
      <c r="X31" s="123"/>
      <c r="Y31" s="123"/>
      <c r="Z31" s="123"/>
      <c r="AC31" s="42"/>
      <c r="AD31" s="50"/>
      <c r="AE31" s="50"/>
    </row>
    <row r="32" spans="1:36" x14ac:dyDescent="0.25">
      <c r="J32" s="42">
        <f t="shared" ref="J32:K32" si="13">(J42+H53)/2</f>
        <v>9.813641388131597E-2</v>
      </c>
      <c r="K32" s="42">
        <f t="shared" si="13"/>
        <v>9.8854732997133649E-4</v>
      </c>
      <c r="L32" s="42"/>
      <c r="M32" s="42">
        <f t="shared" si="12"/>
        <v>3.7546999998862733E-2</v>
      </c>
      <c r="N32" s="42">
        <f t="shared" si="12"/>
        <v>0.4662356085958686</v>
      </c>
      <c r="AC32" s="42"/>
      <c r="AD32" s="50"/>
      <c r="AE32" s="50"/>
    </row>
    <row r="33" spans="1:37" x14ac:dyDescent="0.25">
      <c r="J33" s="42">
        <f t="shared" ref="J33:K33" si="14">(J43+H54)/2</f>
        <v>4.6183887033395182E-2</v>
      </c>
      <c r="K33" s="42">
        <f t="shared" si="14"/>
        <v>6.7433157498213592E-4</v>
      </c>
      <c r="L33" s="42"/>
      <c r="M33" s="42">
        <f t="shared" si="12"/>
        <v>2.2701851331158523E-2</v>
      </c>
      <c r="N33" s="42">
        <f t="shared" si="12"/>
        <v>0.28180531166361311</v>
      </c>
      <c r="AC33" s="42"/>
      <c r="AD33" s="50"/>
      <c r="AE33" s="50"/>
    </row>
    <row r="34" spans="1:37" ht="15.75" thickBot="1" x14ac:dyDescent="0.3">
      <c r="J34" s="42">
        <f t="shared" ref="J34:K34" si="15">(J44+H55)/2</f>
        <v>2.2681951160067566E-2</v>
      </c>
      <c r="K34" s="42">
        <f t="shared" si="15"/>
        <v>5.5746059343850284E-4</v>
      </c>
      <c r="L34" s="42"/>
      <c r="M34" s="42">
        <f t="shared" si="12"/>
        <v>9.623438210990657E-3</v>
      </c>
      <c r="N34" s="42">
        <f t="shared" si="12"/>
        <v>0.15537829285748231</v>
      </c>
      <c r="T34" s="42"/>
      <c r="U34" s="42"/>
      <c r="V34" s="42"/>
      <c r="W34" s="42"/>
      <c r="X34" s="42"/>
      <c r="Y34" s="42"/>
      <c r="Z34" s="42"/>
    </row>
    <row r="35" spans="1:37" ht="15.75" thickBot="1" x14ac:dyDescent="0.3">
      <c r="A35" s="231" t="s">
        <v>116</v>
      </c>
      <c r="B35" s="231"/>
      <c r="C35" s="231"/>
      <c r="D35" s="231"/>
      <c r="E35" s="231"/>
      <c r="J35" s="42">
        <f t="shared" ref="J35:K35" si="16">(J45+H56)/2</f>
        <v>1.1512291760054061E-2</v>
      </c>
      <c r="K35" s="42">
        <f t="shared" si="16"/>
        <v>5.0612651598422938E-4</v>
      </c>
      <c r="L35" s="42"/>
      <c r="M35" s="42">
        <f t="shared" si="12"/>
        <v>5.0104333645237305E-3</v>
      </c>
      <c r="N35" s="42">
        <f t="shared" si="12"/>
        <v>8.2702508874249306E-2</v>
      </c>
    </row>
    <row r="36" spans="1:37" ht="15.75" customHeight="1" thickBot="1" x14ac:dyDescent="0.3">
      <c r="A36" s="124" t="s">
        <v>117</v>
      </c>
      <c r="B36" s="125">
        <v>5.5736999999999997</v>
      </c>
      <c r="C36" s="125">
        <v>7.4991000000000003</v>
      </c>
      <c r="D36" s="124">
        <v>6.4999999999999997E-3</v>
      </c>
      <c r="E36" s="124">
        <v>0.4</v>
      </c>
      <c r="J36" s="42">
        <f t="shared" ref="J36:K36" si="17">(J46+H57)/2</f>
        <v>5.7666631056678503E-3</v>
      </c>
      <c r="K36" s="42">
        <f t="shared" si="17"/>
        <v>4.806529811131531E-4</v>
      </c>
      <c r="L36" s="42"/>
      <c r="M36" s="42">
        <f t="shared" si="12"/>
        <v>3.2478382838461743E-3</v>
      </c>
      <c r="N36" s="42">
        <f t="shared" si="12"/>
        <v>4.2358765781967324E-2</v>
      </c>
    </row>
    <row r="37" spans="1:37" ht="15.75" thickBot="1" x14ac:dyDescent="0.3">
      <c r="A37" s="126" t="s">
        <v>118</v>
      </c>
      <c r="B37" s="127">
        <v>19.269400000000001</v>
      </c>
      <c r="C37" s="127">
        <v>16.212</v>
      </c>
      <c r="D37" s="126"/>
      <c r="E37" s="126"/>
      <c r="J37" s="42">
        <f t="shared" ref="J37:K37" si="18">(J47+H58)/2</f>
        <v>2.6689185058931799E-3</v>
      </c>
      <c r="K37" s="42">
        <f t="shared" si="18"/>
        <v>4.6716682513657352E-4</v>
      </c>
      <c r="L37" s="42"/>
      <c r="M37" s="42">
        <f t="shared" si="12"/>
        <v>2.4758073480344528E-3</v>
      </c>
      <c r="N37" s="42">
        <f t="shared" si="12"/>
        <v>1.9830194528678975E-2</v>
      </c>
      <c r="P37" s="36" t="s">
        <v>119</v>
      </c>
      <c r="Q37" s="37" t="s">
        <v>120</v>
      </c>
      <c r="R37" s="37" t="s">
        <v>121</v>
      </c>
      <c r="S37" s="37" t="s">
        <v>122</v>
      </c>
      <c r="T37" s="37" t="s">
        <v>123</v>
      </c>
      <c r="U37" s="37" t="s">
        <v>124</v>
      </c>
      <c r="V37" s="37" t="s">
        <v>125</v>
      </c>
      <c r="W37" s="37" t="s">
        <v>126</v>
      </c>
      <c r="X37" s="37" t="s">
        <v>127</v>
      </c>
      <c r="Y37" s="37" t="s">
        <v>128</v>
      </c>
      <c r="Z37" s="37" t="s">
        <v>129</v>
      </c>
      <c r="AA37" s="38" t="s">
        <v>130</v>
      </c>
    </row>
    <row r="38" spans="1:37" ht="15.75" thickBot="1" x14ac:dyDescent="0.3">
      <c r="A38" s="128" t="s">
        <v>131</v>
      </c>
      <c r="B38" s="129">
        <v>10.6456</v>
      </c>
      <c r="C38" s="129">
        <v>0.56320000000000003</v>
      </c>
      <c r="D38" s="130"/>
      <c r="E38" s="130"/>
      <c r="J38" s="42">
        <f t="shared" ref="J38:K38" si="19">(J48+H59)/2</f>
        <v>9.576313614155878E-4</v>
      </c>
      <c r="K38" s="42">
        <f t="shared" si="19"/>
        <v>4.5978948122808201E-4</v>
      </c>
      <c r="L38" s="42"/>
      <c r="M38" s="42">
        <f t="shared" si="12"/>
        <v>2.1018359236603546E-3</v>
      </c>
      <c r="N38" s="42">
        <f t="shared" si="12"/>
        <v>7.1594044046327278E-3</v>
      </c>
      <c r="P38">
        <f>B36/$B$44/$B$45</f>
        <v>2.1071800296631609</v>
      </c>
      <c r="Q38">
        <f>C36/$B$44/$B$45</f>
        <v>2.8350922655412045</v>
      </c>
      <c r="R38">
        <f>B37/$B$44/$B$45</f>
        <v>7.2849444468829168</v>
      </c>
      <c r="S38">
        <f>C37/$B$44/$B$45</f>
        <v>6.1290709297054313</v>
      </c>
      <c r="T38">
        <f>B38/$B$44/$B$45</f>
        <v>4.0246507210259157</v>
      </c>
      <c r="U38">
        <f>C38/$B$44/$B$45</f>
        <v>0.21292207917654202</v>
      </c>
      <c r="V38">
        <f t="shared" ref="V38:AA38" si="20">EXP(-$E$36*P38)</f>
        <v>0.43047242445194145</v>
      </c>
      <c r="W38">
        <f t="shared" si="20"/>
        <v>0.32173183009668638</v>
      </c>
      <c r="X38">
        <f t="shared" si="20"/>
        <v>5.425946787469077E-2</v>
      </c>
      <c r="Y38">
        <f t="shared" si="20"/>
        <v>8.6153182795249569E-2</v>
      </c>
      <c r="Z38">
        <f t="shared" si="20"/>
        <v>0.19991554264238187</v>
      </c>
      <c r="AA38">
        <f t="shared" si="20"/>
        <v>0.91835722352796123</v>
      </c>
    </row>
    <row r="39" spans="1:37" ht="15.75" thickBot="1" x14ac:dyDescent="0.3"/>
    <row r="40" spans="1:37" ht="26.25" thickBot="1" x14ac:dyDescent="0.3">
      <c r="A40" s="131" t="s">
        <v>132</v>
      </c>
      <c r="B40" s="132" t="s">
        <v>133</v>
      </c>
      <c r="C40" s="132" t="s">
        <v>134</v>
      </c>
      <c r="D40" s="131" t="s">
        <v>135</v>
      </c>
      <c r="E40" s="131" t="s">
        <v>136</v>
      </c>
      <c r="I40" s="133" t="s">
        <v>50</v>
      </c>
      <c r="J40" s="134" t="s">
        <v>51</v>
      </c>
      <c r="K40" s="135" t="s">
        <v>52</v>
      </c>
      <c r="L40" s="136"/>
      <c r="M40" s="133" t="s">
        <v>53</v>
      </c>
      <c r="N40" s="134" t="s">
        <v>54</v>
      </c>
      <c r="O40" s="134" t="s">
        <v>88</v>
      </c>
      <c r="P40" s="137" t="s">
        <v>56</v>
      </c>
      <c r="Q40" s="138" t="s">
        <v>57</v>
      </c>
      <c r="R40" s="139" t="s">
        <v>58</v>
      </c>
      <c r="S40" s="137" t="s">
        <v>59</v>
      </c>
      <c r="T40" s="138" t="s">
        <v>60</v>
      </c>
      <c r="U40" s="139" t="s">
        <v>61</v>
      </c>
      <c r="V40" s="140" t="s">
        <v>62</v>
      </c>
      <c r="W40" s="141" t="s">
        <v>63</v>
      </c>
      <c r="X40" s="142" t="s">
        <v>64</v>
      </c>
      <c r="Y40" s="137" t="s">
        <v>65</v>
      </c>
      <c r="Z40" s="138" t="s">
        <v>66</v>
      </c>
      <c r="AA40" s="138" t="s">
        <v>67</v>
      </c>
      <c r="AB40" s="16" t="s">
        <v>68</v>
      </c>
      <c r="AC40" s="17" t="s">
        <v>69</v>
      </c>
      <c r="AD40" s="18" t="s">
        <v>70</v>
      </c>
      <c r="AG40" s="42">
        <v>0.20851480859766269</v>
      </c>
      <c r="AH40" s="42">
        <v>1.9874897375483994E-3</v>
      </c>
      <c r="AI40" s="42"/>
      <c r="AJ40" s="42">
        <v>3.6387945071620451E-2</v>
      </c>
      <c r="AK40" s="42">
        <v>0.69248331316207734</v>
      </c>
    </row>
    <row r="41" spans="1:37" ht="43.5" thickBot="1" x14ac:dyDescent="0.3">
      <c r="A41" s="143"/>
      <c r="B41" s="144" t="s">
        <v>137</v>
      </c>
      <c r="C41" s="144"/>
      <c r="D41" s="143"/>
      <c r="E41" s="143"/>
      <c r="I41" s="148">
        <f t="shared" ref="I41:I47" si="21">1-J41-K41</f>
        <v>0.79212013790838398</v>
      </c>
      <c r="J41" s="148">
        <v>0.20592147210430292</v>
      </c>
      <c r="K41" s="149">
        <v>1.9583899873130959E-3</v>
      </c>
      <c r="L41" s="150"/>
      <c r="M41" s="150">
        <v>3.6324278068915652E-2</v>
      </c>
      <c r="N41" s="150">
        <v>0.68592879704614718</v>
      </c>
      <c r="O41" s="148">
        <f>1-M41-N41</f>
        <v>0.27774692488493713</v>
      </c>
      <c r="P41" s="4">
        <f t="shared" ref="P41:P48" si="22">I41+$W$38*J41+$Y$38*K41</f>
        <v>0.85854035151526642</v>
      </c>
      <c r="Q41" s="5">
        <f t="shared" ref="Q41:Q48" si="23">$V$38*I41+J41+$AA$38*K41</f>
        <v>0.54870584991826499</v>
      </c>
      <c r="R41" s="5">
        <f t="shared" ref="R41:R48" si="24">$X$38*I41+$Z$38*J41+K41</f>
        <v>8.6105310000498508E-2</v>
      </c>
      <c r="S41" s="5">
        <f t="shared" ref="S41:S48" si="25">J41*$Q$38*$W$38+K41*$S$38*$Y$38</f>
        <v>0.18886319899432155</v>
      </c>
      <c r="T41" s="5">
        <f t="shared" ref="T41:T48" si="26">I41*$P$38*$V$38+K41*$U$38*$AA$38</f>
        <v>0.71890156947174577</v>
      </c>
      <c r="U41" s="5">
        <f t="shared" ref="U41:U48" si="27">I41*$R$38*$X$38+J41*$T$38*$Z$38</f>
        <v>0.47878944263845358</v>
      </c>
      <c r="V41" s="5">
        <f t="shared" ref="V41:V48" si="28">S41/P41-I41*S41/P41^2+J41*$V$38/Q41*($P$38-T41/Q41)+K41*$X$38/R41*($R$38-U41/R41)</f>
        <v>0.14790281601257266</v>
      </c>
      <c r="W41" s="5">
        <f t="shared" ref="W41:W48" si="29">T41/Q41-J41*T41/Q41^2+(I41*$W$38/P41)*($Q$38-S41/P41)+(K41*$Z$38/R41)*($T$38-U41/R41)</f>
        <v>1.5877755186980991</v>
      </c>
      <c r="X41" s="5">
        <f t="shared" ref="X41:X48" si="30">U41/R41-K41*U41/R41^2+I41*$Y$38/P41*($S$38-S41/P41)+J41*$AA$38/Q41*($U$38-T41/Q41)</f>
        <v>5.5255781368464554</v>
      </c>
      <c r="Y41" s="5">
        <f>EXP(V41)</f>
        <v>1.1594002157516963</v>
      </c>
      <c r="Z41" s="5">
        <f t="shared" ref="Z41:AA48" si="31">EXP(W41)</f>
        <v>4.8928527541873041</v>
      </c>
      <c r="AA41" s="5">
        <f t="shared" si="31"/>
        <v>251.03142659361035</v>
      </c>
      <c r="AB41" s="5">
        <f t="shared" ref="AB41:AD48" si="32">Y41/Y50</f>
        <v>4.5856121002673375E-2</v>
      </c>
      <c r="AC41" s="5">
        <f t="shared" si="32"/>
        <v>3.3308590423270719</v>
      </c>
      <c r="AD41" s="6">
        <f t="shared" si="32"/>
        <v>141.81036779720105</v>
      </c>
      <c r="AG41" s="42">
        <v>0.10241532137948955</v>
      </c>
      <c r="AH41" s="42">
        <v>1.0184678260817582E-3</v>
      </c>
      <c r="AI41" s="42"/>
      <c r="AJ41" s="42">
        <v>3.699040716501456E-2</v>
      </c>
      <c r="AK41" s="42">
        <v>0.47817802280566912</v>
      </c>
    </row>
    <row r="42" spans="1:37" x14ac:dyDescent="0.25">
      <c r="I42" s="148">
        <f t="shared" si="21"/>
        <v>0.90087242699762649</v>
      </c>
      <c r="J42" s="148">
        <v>9.8138900743309387E-2</v>
      </c>
      <c r="K42" s="149">
        <v>9.8867225906413593E-4</v>
      </c>
      <c r="L42" s="148"/>
      <c r="M42" s="150">
        <v>3.7573459266604478E-2</v>
      </c>
      <c r="N42" s="148">
        <v>0.46622379378045875</v>
      </c>
      <c r="O42" s="148">
        <f t="shared" ref="O42:O48" si="33">1-M42-N42</f>
        <v>0.49620274695293676</v>
      </c>
      <c r="P42" s="4">
        <f t="shared" si="22"/>
        <v>0.93253201239930816</v>
      </c>
      <c r="Q42" s="5">
        <f t="shared" si="23"/>
        <v>0.48684759282569556</v>
      </c>
      <c r="R42" s="5">
        <f t="shared" si="24"/>
        <v>6.948902236736211E-2</v>
      </c>
      <c r="S42" s="5">
        <f t="shared" si="25"/>
        <v>9.0038417785787042E-2</v>
      </c>
      <c r="T42" s="5">
        <f t="shared" si="26"/>
        <v>0.81735929364055426</v>
      </c>
      <c r="U42" s="5">
        <f t="shared" si="27"/>
        <v>0.43505593977465051</v>
      </c>
      <c r="V42" s="5">
        <f t="shared" si="28"/>
        <v>4.1234144887745093E-2</v>
      </c>
      <c r="W42" s="5">
        <f t="shared" si="29"/>
        <v>2.1852541981601892</v>
      </c>
      <c r="X42" s="5">
        <f t="shared" si="30"/>
        <v>6.4024033699049827</v>
      </c>
      <c r="Y42" s="5">
        <f t="shared" ref="Y42:Y48" si="34">EXP(V42)</f>
        <v>1.0420960784511692</v>
      </c>
      <c r="Z42" s="5">
        <f t="shared" si="31"/>
        <v>8.8929088271430725</v>
      </c>
      <c r="AA42" s="5">
        <f t="shared" si="31"/>
        <v>603.29323370161615</v>
      </c>
      <c r="AB42" s="5">
        <f t="shared" si="32"/>
        <v>4.1649116574881968E-2</v>
      </c>
      <c r="AC42" s="5">
        <f t="shared" si="32"/>
        <v>4.7508930697195</v>
      </c>
      <c r="AD42" s="6">
        <f t="shared" si="32"/>
        <v>502.01487391614955</v>
      </c>
      <c r="AG42" s="42">
        <v>4.7833848129700561E-2</v>
      </c>
      <c r="AH42" s="42">
        <v>6.8247128565146562E-4</v>
      </c>
      <c r="AI42" s="42"/>
      <c r="AJ42" s="42">
        <v>2.7682896144542848E-2</v>
      </c>
      <c r="AK42" s="42">
        <v>0.28914625373824154</v>
      </c>
    </row>
    <row r="43" spans="1:37" x14ac:dyDescent="0.25">
      <c r="I43" s="148">
        <f t="shared" si="21"/>
        <v>0.95314114907570258</v>
      </c>
      <c r="J43" s="148">
        <v>4.6184452434161354E-2</v>
      </c>
      <c r="K43" s="149">
        <v>6.7439849013602811E-4</v>
      </c>
      <c r="L43" s="148"/>
      <c r="M43" s="150">
        <v>2.2520087719473447E-2</v>
      </c>
      <c r="N43" s="148">
        <v>0.28180186169546706</v>
      </c>
      <c r="O43" s="148">
        <f t="shared" si="33"/>
        <v>0.69567805058505949</v>
      </c>
      <c r="P43" s="4">
        <f t="shared" si="22"/>
        <v>0.96805825905575615</v>
      </c>
      <c r="Q43" s="5">
        <f t="shared" si="23"/>
        <v>0.45710477244664122</v>
      </c>
      <c r="R43" s="5">
        <f t="shared" si="24"/>
        <v>6.1624319918471594E-2</v>
      </c>
      <c r="S43" s="5">
        <f t="shared" si="25"/>
        <v>4.2482768481685307E-2</v>
      </c>
      <c r="T43" s="5">
        <f t="shared" si="26"/>
        <v>0.86470990480930665</v>
      </c>
      <c r="U43" s="5">
        <f t="shared" si="27"/>
        <v>0.41391453270318679</v>
      </c>
      <c r="V43" s="5">
        <f t="shared" si="28"/>
        <v>1.038517513922395E-2</v>
      </c>
      <c r="W43" s="5">
        <f t="shared" si="29"/>
        <v>2.5788706399701309</v>
      </c>
      <c r="X43" s="5">
        <f t="shared" si="30"/>
        <v>7.0036422803146774</v>
      </c>
      <c r="Y43" s="5">
        <f t="shared" si="34"/>
        <v>1.0104392882329833</v>
      </c>
      <c r="Z43" s="5">
        <f t="shared" si="31"/>
        <v>13.182242252316613</v>
      </c>
      <c r="AA43" s="5">
        <f t="shared" si="31"/>
        <v>1100.6346867139193</v>
      </c>
      <c r="AB43" s="5">
        <f t="shared" si="32"/>
        <v>2.4008631843284403E-2</v>
      </c>
      <c r="AC43" s="5">
        <f t="shared" si="32"/>
        <v>6.1018101715830468</v>
      </c>
      <c r="AD43" s="6">
        <f t="shared" si="32"/>
        <v>1031.7581389513587</v>
      </c>
      <c r="AG43" s="42">
        <v>2.2395325160822821E-2</v>
      </c>
      <c r="AH43" s="42">
        <v>5.5598133163383356E-4</v>
      </c>
      <c r="AI43" s="42"/>
      <c r="AJ43" s="42">
        <v>9.6377158116889711E-3</v>
      </c>
      <c r="AK43" s="42">
        <v>0.15369036868437516</v>
      </c>
    </row>
    <row r="44" spans="1:37" x14ac:dyDescent="0.25">
      <c r="A44" s="145" t="s">
        <v>138</v>
      </c>
      <c r="B44">
        <f>8.314/1000</f>
        <v>8.3140000000000002E-3</v>
      </c>
      <c r="C44" t="s">
        <v>139</v>
      </c>
      <c r="I44" s="148">
        <f t="shared" si="21"/>
        <v>0.97675911481336664</v>
      </c>
      <c r="J44" s="148">
        <v>2.2683380674608195E-2</v>
      </c>
      <c r="K44" s="149">
        <v>5.575045120252049E-4</v>
      </c>
      <c r="L44" s="148"/>
      <c r="M44" s="150">
        <v>9.5880301239384541E-3</v>
      </c>
      <c r="N44" s="148">
        <v>0.15536850024628363</v>
      </c>
      <c r="O44" s="148">
        <f t="shared" si="33"/>
        <v>0.83504346962977793</v>
      </c>
      <c r="P44" s="4">
        <f t="shared" si="22"/>
        <v>0.98410511117872179</v>
      </c>
      <c r="Q44" s="5">
        <f t="shared" si="23"/>
        <v>0.44366323322961809</v>
      </c>
      <c r="R44" s="5">
        <f t="shared" si="24"/>
        <v>5.8090694680080483E-2</v>
      </c>
      <c r="S44" s="5">
        <f t="shared" si="25"/>
        <v>2.0984789869447639E-2</v>
      </c>
      <c r="T44" s="5">
        <f t="shared" si="26"/>
        <v>0.88611050029464478</v>
      </c>
      <c r="U44" s="5">
        <f t="shared" si="27"/>
        <v>0.40434144348757978</v>
      </c>
      <c r="V44" s="5">
        <f t="shared" si="28"/>
        <v>2.7473561853368234E-3</v>
      </c>
      <c r="W44" s="5">
        <f t="shared" si="29"/>
        <v>2.7880329411993143</v>
      </c>
      <c r="X44" s="5">
        <f t="shared" si="30"/>
        <v>7.3322123975321407</v>
      </c>
      <c r="Y44" s="5">
        <f t="shared" si="34"/>
        <v>1.0027511336268751</v>
      </c>
      <c r="Z44" s="5">
        <f t="shared" si="31"/>
        <v>16.24902555610079</v>
      </c>
      <c r="AA44" s="5">
        <f t="shared" si="31"/>
        <v>1528.7602587583181</v>
      </c>
      <c r="AB44" s="5">
        <f t="shared" si="32"/>
        <v>9.8886676884386328E-3</v>
      </c>
      <c r="AC44" s="5">
        <f t="shared" si="32"/>
        <v>6.8503054151281164</v>
      </c>
      <c r="AD44" s="6">
        <f t="shared" si="32"/>
        <v>1498.0597231896393</v>
      </c>
      <c r="AG44" s="42">
        <v>1.0490450327356588E-2</v>
      </c>
      <c r="AH44" s="42">
        <v>5.015277957981485E-4</v>
      </c>
      <c r="AI44" s="42"/>
      <c r="AJ44" s="42">
        <v>4.6774595235827892E-3</v>
      </c>
      <c r="AK44" s="42">
        <v>7.5675558505505391E-2</v>
      </c>
    </row>
    <row r="45" spans="1:37" x14ac:dyDescent="0.25">
      <c r="A45" s="145" t="s">
        <v>140</v>
      </c>
      <c r="B45">
        <v>318.14999999999998</v>
      </c>
      <c r="C45" t="s">
        <v>141</v>
      </c>
      <c r="I45" s="148">
        <f t="shared" si="21"/>
        <v>0.98798131229398789</v>
      </c>
      <c r="J45" s="148">
        <v>1.151254730397331E-2</v>
      </c>
      <c r="K45" s="149">
        <v>5.0614040203879719E-4</v>
      </c>
      <c r="L45" s="148"/>
      <c r="M45" s="150">
        <v>5.0046365632481042E-3</v>
      </c>
      <c r="N45" s="148">
        <v>8.2700673086580787E-2</v>
      </c>
      <c r="O45" s="148">
        <f t="shared" si="33"/>
        <v>0.91229469035017108</v>
      </c>
      <c r="P45" s="4">
        <f t="shared" si="22"/>
        <v>0.99172887081374683</v>
      </c>
      <c r="Q45" s="5">
        <f t="shared" si="23"/>
        <v>0.43727607581470868</v>
      </c>
      <c r="R45" s="5">
        <f t="shared" si="24"/>
        <v>5.6415017818719174E-2</v>
      </c>
      <c r="S45" s="5">
        <f t="shared" si="25"/>
        <v>1.0768310111733825E-2</v>
      </c>
      <c r="T45" s="5">
        <f t="shared" si="26"/>
        <v>0.89627992002372869</v>
      </c>
      <c r="U45" s="5">
        <f t="shared" si="27"/>
        <v>0.39978937896594219</v>
      </c>
      <c r="V45" s="5">
        <f t="shared" si="28"/>
        <v>7.8916744211027636E-4</v>
      </c>
      <c r="W45" s="5">
        <f t="shared" si="29"/>
        <v>2.8954455417296763</v>
      </c>
      <c r="X45" s="5">
        <f t="shared" si="30"/>
        <v>7.5036999484595306</v>
      </c>
      <c r="Y45" s="5">
        <f t="shared" si="34"/>
        <v>1.000789478916666</v>
      </c>
      <c r="Z45" s="5">
        <f t="shared" si="31"/>
        <v>18.091560190889805</v>
      </c>
      <c r="AA45" s="5">
        <f t="shared" si="31"/>
        <v>1814.7444691850183</v>
      </c>
      <c r="AB45" s="5">
        <f t="shared" si="32"/>
        <v>5.0772520728678576E-3</v>
      </c>
      <c r="AC45" s="5">
        <f t="shared" si="32"/>
        <v>7.1838440684082299</v>
      </c>
      <c r="AD45" s="6">
        <f t="shared" si="32"/>
        <v>1802.5527054658955</v>
      </c>
      <c r="AG45" s="42">
        <v>4.7923050481173592E-3</v>
      </c>
      <c r="AH45" s="42">
        <v>4.7638663184398249E-4</v>
      </c>
      <c r="AI45" s="42"/>
      <c r="AJ45" s="42">
        <v>2.993543037999544E-3</v>
      </c>
      <c r="AK45" s="42">
        <v>3.5330780070608164E-2</v>
      </c>
    </row>
    <row r="46" spans="1:37" x14ac:dyDescent="0.25">
      <c r="I46" s="148">
        <f t="shared" si="21"/>
        <v>0.99375263749656151</v>
      </c>
      <c r="J46" s="148">
        <v>5.7667048287228639E-3</v>
      </c>
      <c r="K46" s="149">
        <v>4.8065767471559156E-4</v>
      </c>
      <c r="L46" s="148"/>
      <c r="M46" s="148">
        <v>3.2465410001176753E-3</v>
      </c>
      <c r="N46" s="148">
        <v>4.2358459307133847E-2</v>
      </c>
      <c r="O46" s="148">
        <f t="shared" si="33"/>
        <v>0.95439499969274844</v>
      </c>
      <c r="P46" s="4">
        <f t="shared" si="22"/>
        <v>0.99564938018324556</v>
      </c>
      <c r="Q46" s="5">
        <f t="shared" si="23"/>
        <v>0.43399122744499824</v>
      </c>
      <c r="R46" s="5">
        <f t="shared" si="24"/>
        <v>5.5554000909442069E-2</v>
      </c>
      <c r="S46" s="5">
        <f t="shared" si="25"/>
        <v>5.5138447981765834E-3</v>
      </c>
      <c r="T46" s="5">
        <f t="shared" si="26"/>
        <v>0.90151000754793564</v>
      </c>
      <c r="U46" s="5">
        <f t="shared" si="27"/>
        <v>0.39744760355028858</v>
      </c>
      <c r="V46" s="5">
        <f t="shared" si="28"/>
        <v>2.4307750226777513E-4</v>
      </c>
      <c r="W46" s="5">
        <f t="shared" si="29"/>
        <v>2.9528624511428467</v>
      </c>
      <c r="X46" s="5">
        <f t="shared" si="30"/>
        <v>7.5961646821787152</v>
      </c>
      <c r="Y46" s="5">
        <f t="shared" si="34"/>
        <v>1.0002431070479978</v>
      </c>
      <c r="Z46" s="5">
        <f t="shared" si="31"/>
        <v>19.160721935579211</v>
      </c>
      <c r="AA46" s="5">
        <f t="shared" si="31"/>
        <v>1990.546856400664</v>
      </c>
      <c r="AB46" s="5">
        <f t="shared" si="32"/>
        <v>3.2695617047717421E-3</v>
      </c>
      <c r="AC46" s="5">
        <f t="shared" si="32"/>
        <v>7.3454552495592091</v>
      </c>
      <c r="AD46" s="6">
        <f t="shared" si="32"/>
        <v>1985.6411111658713</v>
      </c>
      <c r="AG46" s="42">
        <v>2.0236059818325995E-3</v>
      </c>
      <c r="AH46" s="42">
        <v>4.6437695533789165E-4</v>
      </c>
      <c r="AI46" s="42"/>
      <c r="AJ46" s="42">
        <v>2.3309042601487866E-3</v>
      </c>
      <c r="AK46" s="42">
        <v>1.5070867492664411E-2</v>
      </c>
    </row>
    <row r="47" spans="1:37" x14ac:dyDescent="0.25">
      <c r="I47" s="148">
        <f t="shared" si="21"/>
        <v>0.99686390630152111</v>
      </c>
      <c r="J47" s="148">
        <v>2.668925163602673E-3</v>
      </c>
      <c r="K47" s="149">
        <v>4.6716853487622188E-4</v>
      </c>
      <c r="L47" s="148"/>
      <c r="M47" s="148">
        <v>2.4754417904929897E-3</v>
      </c>
      <c r="N47" s="148">
        <v>1.9830145061573077E-2</v>
      </c>
      <c r="O47" s="148">
        <f t="shared" si="33"/>
        <v>0.97769441314793393</v>
      </c>
      <c r="P47" s="4">
        <f t="shared" si="22"/>
        <v>0.99776283253497955</v>
      </c>
      <c r="Q47" s="5">
        <f t="shared" si="23"/>
        <v>0.43222037535646002</v>
      </c>
      <c r="R47" s="5">
        <f t="shared" si="24"/>
        <v>5.5090033256635897E-2</v>
      </c>
      <c r="S47" s="5">
        <f t="shared" si="25"/>
        <v>2.6811150501054501E-3</v>
      </c>
      <c r="T47" s="5">
        <f t="shared" si="26"/>
        <v>0.90432954861959658</v>
      </c>
      <c r="U47" s="5">
        <f t="shared" si="27"/>
        <v>0.39618497393849</v>
      </c>
      <c r="V47" s="5">
        <f t="shared" si="28"/>
        <v>8.4960042424477098E-5</v>
      </c>
      <c r="W47" s="5">
        <f t="shared" si="29"/>
        <v>2.9844533582322263</v>
      </c>
      <c r="X47" s="5">
        <f t="shared" si="30"/>
        <v>7.6472798756000335</v>
      </c>
      <c r="Y47" s="5">
        <f t="shared" si="34"/>
        <v>1.0000849636516311</v>
      </c>
      <c r="Z47" s="5">
        <f t="shared" si="31"/>
        <v>19.775689063545006</v>
      </c>
      <c r="AA47" s="5">
        <f t="shared" si="31"/>
        <v>2094.9393364740649</v>
      </c>
      <c r="AB47" s="5">
        <f t="shared" si="32"/>
        <v>2.4839628458038967E-3</v>
      </c>
      <c r="AC47" s="5">
        <f t="shared" si="32"/>
        <v>7.4300487200685827</v>
      </c>
      <c r="AD47" s="6">
        <f t="shared" si="32"/>
        <v>2092.8241020677228</v>
      </c>
      <c r="AG47" s="42">
        <v>6.6732476061815294E-4</v>
      </c>
      <c r="AH47" s="42">
        <v>4.5854253845126734E-4</v>
      </c>
      <c r="AI47" s="42"/>
      <c r="AJ47" s="42">
        <v>2.0421488776059377E-3</v>
      </c>
      <c r="AK47" s="42">
        <v>4.9942299857947785E-3</v>
      </c>
    </row>
    <row r="48" spans="1:37" ht="15.75" thickBot="1" x14ac:dyDescent="0.3">
      <c r="I48" s="148">
        <f>1-J48-K48</f>
        <v>0.99858257790408667</v>
      </c>
      <c r="J48" s="148">
        <v>9.5763207885598536E-4</v>
      </c>
      <c r="K48" s="149">
        <v>4.5979001705736763E-4</v>
      </c>
      <c r="L48" s="148"/>
      <c r="M48" s="148">
        <v>2.1017377319337131E-3</v>
      </c>
      <c r="N48" s="148">
        <v>7.1593990409341791E-3</v>
      </c>
      <c r="O48" s="148">
        <f t="shared" si="33"/>
        <v>0.99073886322713212</v>
      </c>
      <c r="P48" s="4">
        <f t="shared" si="22"/>
        <v>0.99893029099876329</v>
      </c>
      <c r="Q48" s="5">
        <f t="shared" si="23"/>
        <v>0.43124214688816853</v>
      </c>
      <c r="R48" s="5">
        <f t="shared" si="24"/>
        <v>5.4833794859766305E-2</v>
      </c>
      <c r="S48" s="5">
        <f t="shared" si="25"/>
        <v>1.116281018118639E-3</v>
      </c>
      <c r="T48" s="5">
        <f t="shared" si="26"/>
        <v>0.90588708344981694</v>
      </c>
      <c r="U48" s="5">
        <f t="shared" si="27"/>
        <v>0.39548743595154312</v>
      </c>
      <c r="V48" s="5">
        <f t="shared" si="28"/>
        <v>3.9606240755231879E-5</v>
      </c>
      <c r="W48" s="5">
        <f t="shared" si="29"/>
        <v>3.0020999033627751</v>
      </c>
      <c r="X48" s="5">
        <f t="shared" si="30"/>
        <v>7.6759075880249048</v>
      </c>
      <c r="Y48" s="5">
        <f t="shared" si="34"/>
        <v>1.0000396070250928</v>
      </c>
      <c r="Z48" s="5">
        <f t="shared" si="31"/>
        <v>20.127758925262725</v>
      </c>
      <c r="AA48" s="5">
        <f t="shared" si="31"/>
        <v>2155.7793576183176</v>
      </c>
      <c r="AB48" s="5">
        <f t="shared" si="32"/>
        <v>2.1049176722056587E-3</v>
      </c>
      <c r="AC48" s="5">
        <f t="shared" si="32"/>
        <v>7.4761590869889307</v>
      </c>
      <c r="AD48" s="6">
        <f t="shared" si="32"/>
        <v>2154.7687762867331</v>
      </c>
    </row>
    <row r="49" spans="6:30" ht="15.75" thickBot="1" x14ac:dyDescent="0.3">
      <c r="O49" s="42"/>
      <c r="P49" s="137" t="s">
        <v>71</v>
      </c>
      <c r="Q49" s="138" t="s">
        <v>72</v>
      </c>
      <c r="R49" s="139" t="s">
        <v>73</v>
      </c>
      <c r="S49" s="137" t="s">
        <v>74</v>
      </c>
      <c r="T49" s="138" t="s">
        <v>75</v>
      </c>
      <c r="U49" s="139" t="s">
        <v>76</v>
      </c>
      <c r="V49" s="140" t="s">
        <v>77</v>
      </c>
      <c r="W49" s="141" t="s">
        <v>78</v>
      </c>
      <c r="X49" s="142" t="s">
        <v>79</v>
      </c>
      <c r="Y49" s="137" t="s">
        <v>80</v>
      </c>
      <c r="Z49" s="138" t="s">
        <v>81</v>
      </c>
      <c r="AA49" s="138" t="s">
        <v>82</v>
      </c>
      <c r="AB49" s="16" t="s">
        <v>83</v>
      </c>
      <c r="AC49" s="17" t="s">
        <v>84</v>
      </c>
      <c r="AD49" s="18" t="s">
        <v>85</v>
      </c>
    </row>
    <row r="50" spans="6:30" ht="15.75" thickBot="1" x14ac:dyDescent="0.3">
      <c r="P50" s="4">
        <f t="shared" ref="P50:P57" si="35">M41+$W$38*N41+$Y$38*O41</f>
        <v>0.28093818684902161</v>
      </c>
      <c r="Q50" s="5">
        <f t="shared" ref="Q50:Q57" si="36">$V$38*M41+N41+$AA$38*O41</f>
        <v>0.95663629187369981</v>
      </c>
      <c r="R50" s="5">
        <f t="shared" ref="R50:R57" si="37">$X$38*M41+$Z$38*N41+O41</f>
        <v>0.41684568855940551</v>
      </c>
      <c r="S50" s="5">
        <f t="shared" ref="S50:S57" si="38">N41*$Q$38*$W$38+O41*$S$38*$Y$38</f>
        <v>0.77232389684460367</v>
      </c>
      <c r="T50" s="5">
        <f t="shared" ref="T50:T57" si="39">M41*$P$38*$V$38+O41*$U$38*$AA$38</f>
        <v>8.7259356604571847E-2</v>
      </c>
      <c r="U50" s="5">
        <f t="shared" ref="U50:U57" si="40">M41*$R$38*$X$38+N41*$T$38*$Z$38</f>
        <v>0.56624976978771058</v>
      </c>
      <c r="V50" s="5">
        <f t="shared" ref="V50:V57" si="41">S50/P50-M41*S50/P50^2+N41*$V$38/Q50*($P$38-T50/Q50)+O41*$X$38/R50*($R$38-U50/R50)</f>
        <v>3.2301494045990853</v>
      </c>
      <c r="W50" s="5">
        <f t="shared" ref="W50:W57" si="42">T50/Q50-N41*T50/Q50^2+(M41*$W$38/P50)*($Q$38-S50/P50)+(O41*$Z$38/R50)*($T$38-U50/R50)</f>
        <v>0.3845452773056679</v>
      </c>
      <c r="X50" s="5">
        <f t="shared" ref="X50:X57" si="43">U50/R50-O41*U50/R50^2+M41*$Y$38/P50*($S$38-S50/P50)+N41*$AA$38/Q50*($U$38-T50/Q50)</f>
        <v>0.57108740978513139</v>
      </c>
      <c r="Y50" s="5">
        <f>EXP(V50)</f>
        <v>25.283434150134596</v>
      </c>
      <c r="Z50" s="5">
        <f t="shared" ref="Z50:AA57" si="44">EXP(W50)</f>
        <v>1.468946206372324</v>
      </c>
      <c r="AA50" s="5">
        <f t="shared" si="44"/>
        <v>1.7701909281598027</v>
      </c>
      <c r="AB50" s="5">
        <f t="shared" ref="AB50:AD57" si="45">Y50/Y41</f>
        <v>21.807339524895724</v>
      </c>
      <c r="AC50" s="5">
        <f t="shared" si="45"/>
        <v>0.30022285161048423</v>
      </c>
      <c r="AD50" s="6">
        <f t="shared" si="45"/>
        <v>7.0516705903342081E-3</v>
      </c>
    </row>
    <row r="51" spans="6:30" ht="15.75" thickBot="1" x14ac:dyDescent="0.3">
      <c r="F51" s="146" t="s">
        <v>87</v>
      </c>
      <c r="G51" s="133" t="s">
        <v>50</v>
      </c>
      <c r="H51" s="134" t="s">
        <v>51</v>
      </c>
      <c r="I51" s="135" t="s">
        <v>52</v>
      </c>
      <c r="J51" s="136"/>
      <c r="K51" s="133" t="s">
        <v>53</v>
      </c>
      <c r="L51" s="134" t="s">
        <v>54</v>
      </c>
      <c r="M51" s="135" t="s">
        <v>88</v>
      </c>
      <c r="N51" s="146" t="s">
        <v>87</v>
      </c>
      <c r="P51" s="4">
        <f t="shared" si="35"/>
        <v>0.2303219396359529</v>
      </c>
      <c r="Q51" s="5">
        <f t="shared" si="36"/>
        <v>0.93808950888464682</v>
      </c>
      <c r="R51" s="5">
        <f t="shared" si="37"/>
        <v>0.59144684558536442</v>
      </c>
      <c r="S51" s="5">
        <f t="shared" si="38"/>
        <v>0.68727548879277789</v>
      </c>
      <c r="T51" s="5">
        <f t="shared" si="39"/>
        <v>0.13110899770239021</v>
      </c>
      <c r="U51" s="5">
        <f t="shared" si="40"/>
        <v>0.38997104291165668</v>
      </c>
      <c r="V51" s="5">
        <f t="shared" si="41"/>
        <v>3.219709266169088</v>
      </c>
      <c r="W51" s="5">
        <f t="shared" si="42"/>
        <v>0.6269215831083943</v>
      </c>
      <c r="X51" s="5">
        <f t="shared" si="43"/>
        <v>0.183773621337154</v>
      </c>
      <c r="Y51" s="5">
        <f t="shared" ref="Y51:Y57" si="46">EXP(V51)</f>
        <v>25.020844717739912</v>
      </c>
      <c r="Z51" s="5">
        <f t="shared" si="44"/>
        <v>1.8718393987486912</v>
      </c>
      <c r="AA51" s="5">
        <f t="shared" si="44"/>
        <v>1.2017437431592572</v>
      </c>
      <c r="AB51" s="5">
        <f t="shared" si="45"/>
        <v>24.010113112533265</v>
      </c>
      <c r="AC51" s="5">
        <f t="shared" si="45"/>
        <v>0.2104867411926494</v>
      </c>
      <c r="AD51" s="6">
        <f t="shared" si="45"/>
        <v>1.9919728517187874E-3</v>
      </c>
    </row>
    <row r="52" spans="6:30" x14ac:dyDescent="0.25">
      <c r="F52" s="147">
        <f t="shared" ref="F52:F59" si="47">SUM(G52:I52)</f>
        <v>1.0000259441182775</v>
      </c>
      <c r="G52" s="42">
        <f t="shared" ref="G52:I59" si="48">M41*AB50</f>
        <v>0.79213586484556719</v>
      </c>
      <c r="H52" s="42">
        <f t="shared" si="48"/>
        <v>0.20593149945094341</v>
      </c>
      <c r="I52" s="42">
        <f t="shared" si="48"/>
        <v>1.9585798217668757E-3</v>
      </c>
      <c r="J52" s="42"/>
      <c r="K52" s="42">
        <f t="shared" ref="K52:M59" si="49">I41*AB41</f>
        <v>3.6323556892581176E-2</v>
      </c>
      <c r="L52" s="42">
        <f t="shared" si="49"/>
        <v>0.68589539736791927</v>
      </c>
      <c r="M52" s="42">
        <f t="shared" si="49"/>
        <v>0.27772000439122602</v>
      </c>
      <c r="N52" s="147">
        <f t="shared" ref="N52:N59" si="50">SUM(K52:M52)</f>
        <v>0.99993895865172644</v>
      </c>
      <c r="P52" s="4">
        <f t="shared" si="35"/>
        <v>0.17311959466610688</v>
      </c>
      <c r="Q52" s="5">
        <f t="shared" si="36"/>
        <v>0.93037710145957897</v>
      </c>
      <c r="R52" s="5">
        <f t="shared" si="37"/>
        <v>0.75323655065969219</v>
      </c>
      <c r="S52" s="5">
        <f t="shared" si="38"/>
        <v>0.62438770756214934</v>
      </c>
      <c r="T52" s="5">
        <f t="shared" si="39"/>
        <v>0.1564594493788467</v>
      </c>
      <c r="U52" s="5">
        <f t="shared" si="40"/>
        <v>0.2356367029406318</v>
      </c>
      <c r="V52" s="5">
        <f t="shared" si="41"/>
        <v>3.7397270282987685</v>
      </c>
      <c r="W52" s="5">
        <f t="shared" si="42"/>
        <v>0.77028516337242792</v>
      </c>
      <c r="X52" s="5">
        <f t="shared" si="43"/>
        <v>6.4622723221354622E-2</v>
      </c>
      <c r="Y52" s="5">
        <f t="shared" si="46"/>
        <v>42.086500173295768</v>
      </c>
      <c r="Z52" s="5">
        <f t="shared" si="44"/>
        <v>2.160382227835945</v>
      </c>
      <c r="AA52" s="5">
        <f t="shared" si="44"/>
        <v>1.066756486004137</v>
      </c>
      <c r="AB52" s="5">
        <f t="shared" si="45"/>
        <v>41.651686215502359</v>
      </c>
      <c r="AC52" s="5">
        <f t="shared" si="45"/>
        <v>0.16388579321217414</v>
      </c>
      <c r="AD52" s="6">
        <f t="shared" si="45"/>
        <v>9.692193957552529E-4</v>
      </c>
    </row>
    <row r="53" spans="6:30" x14ac:dyDescent="0.25">
      <c r="F53" s="147">
        <f t="shared" si="47"/>
        <v>1.0012653564405358</v>
      </c>
      <c r="G53" s="42">
        <f t="shared" si="48"/>
        <v>0.90214300702033468</v>
      </c>
      <c r="H53" s="42">
        <f t="shared" si="48"/>
        <v>9.8133927019322567E-2</v>
      </c>
      <c r="I53" s="42">
        <f t="shared" si="48"/>
        <v>9.8842240087853727E-4</v>
      </c>
      <c r="J53" s="42"/>
      <c r="K53" s="42">
        <f t="shared" si="49"/>
        <v>3.7520540731120988E-2</v>
      </c>
      <c r="L53" s="42">
        <f t="shared" si="49"/>
        <v>0.46624742341127845</v>
      </c>
      <c r="M53" s="42">
        <f t="shared" si="49"/>
        <v>0.49632817947847696</v>
      </c>
      <c r="N53" s="147">
        <f t="shared" si="50"/>
        <v>1.0000961436208764</v>
      </c>
      <c r="P53" s="4">
        <f t="shared" si="35"/>
        <v>0.13151667472854645</v>
      </c>
      <c r="Q53" s="5">
        <f t="shared" si="36"/>
        <v>0.92636408511381196</v>
      </c>
      <c r="R53" s="5">
        <f t="shared" si="37"/>
        <v>0.86662428907853817</v>
      </c>
      <c r="S53" s="5">
        <f t="shared" si="38"/>
        <v>0.58265322626235283</v>
      </c>
      <c r="T53" s="5">
        <f t="shared" si="39"/>
        <v>0.17198031021985544</v>
      </c>
      <c r="U53" s="5">
        <f t="shared" si="40"/>
        <v>0.12879790757811888</v>
      </c>
      <c r="V53" s="5">
        <f t="shared" si="41"/>
        <v>4.6191132116065914</v>
      </c>
      <c r="W53" s="5">
        <f t="shared" si="42"/>
        <v>0.86373970376902343</v>
      </c>
      <c r="X53" s="5">
        <f t="shared" si="43"/>
        <v>2.02863656317913E-2</v>
      </c>
      <c r="Y53" s="5">
        <f t="shared" si="46"/>
        <v>101.40406829519054</v>
      </c>
      <c r="Z53" s="5">
        <f t="shared" si="44"/>
        <v>2.3720147601326906</v>
      </c>
      <c r="AA53" s="5">
        <f t="shared" si="44"/>
        <v>1.020493532462986</v>
      </c>
      <c r="AB53" s="5">
        <f t="shared" si="45"/>
        <v>101.12585754794381</v>
      </c>
      <c r="AC53" s="5">
        <f t="shared" si="45"/>
        <v>0.14597889282302864</v>
      </c>
      <c r="AD53" s="6">
        <f t="shared" si="45"/>
        <v>6.6753012881944367E-4</v>
      </c>
    </row>
    <row r="54" spans="6:30" x14ac:dyDescent="0.25">
      <c r="F54" s="147">
        <f t="shared" si="47"/>
        <v>0.98485721352955347</v>
      </c>
      <c r="G54" s="42">
        <f t="shared" si="48"/>
        <v>0.93799962723709618</v>
      </c>
      <c r="H54" s="42">
        <f t="shared" si="48"/>
        <v>4.6183321632629011E-2</v>
      </c>
      <c r="I54" s="42">
        <f t="shared" si="48"/>
        <v>6.7426465982824363E-4</v>
      </c>
      <c r="J54" s="42"/>
      <c r="K54" s="42">
        <f t="shared" si="49"/>
        <v>2.2883614942843598E-2</v>
      </c>
      <c r="L54" s="42">
        <f t="shared" si="49"/>
        <v>0.28180876163175916</v>
      </c>
      <c r="M54" s="42">
        <f t="shared" si="49"/>
        <v>0.69581613109435458</v>
      </c>
      <c r="N54" s="147">
        <f t="shared" si="50"/>
        <v>1.0005085076689573</v>
      </c>
      <c r="P54" s="4">
        <f t="shared" si="35"/>
        <v>0.11020916668649541</v>
      </c>
      <c r="Q54" s="5">
        <f t="shared" si="36"/>
        <v>0.92266744999074723</v>
      </c>
      <c r="R54" s="5">
        <f t="shared" si="37"/>
        <v>0.92909938920399315</v>
      </c>
      <c r="S54" s="5">
        <f t="shared" si="38"/>
        <v>0.55716169119924319</v>
      </c>
      <c r="T54" s="5">
        <f t="shared" si="39"/>
        <v>0.18292838241342416</v>
      </c>
      <c r="U54" s="5">
        <f t="shared" si="40"/>
        <v>6.851837258845625E-2</v>
      </c>
      <c r="V54" s="5">
        <f t="shared" si="41"/>
        <v>5.2837742617273848</v>
      </c>
      <c r="W54" s="5">
        <f t="shared" si="42"/>
        <v>0.92361091636508885</v>
      </c>
      <c r="X54" s="5">
        <f t="shared" si="43"/>
        <v>6.7408395249195542E-3</v>
      </c>
      <c r="Y54" s="5">
        <f t="shared" si="46"/>
        <v>197.11242706753688</v>
      </c>
      <c r="Z54" s="5">
        <f t="shared" si="44"/>
        <v>2.5183676063417768</v>
      </c>
      <c r="AA54" s="5">
        <f t="shared" si="44"/>
        <v>1.0067636101192234</v>
      </c>
      <c r="AB54" s="5">
        <f t="shared" si="45"/>
        <v>196.95693372087305</v>
      </c>
      <c r="AC54" s="5">
        <f t="shared" si="45"/>
        <v>0.13920123968135856</v>
      </c>
      <c r="AD54" s="6">
        <f t="shared" si="45"/>
        <v>5.5476879925213374E-4</v>
      </c>
    </row>
    <row r="55" spans="6:30" x14ac:dyDescent="0.25">
      <c r="F55" s="147">
        <f t="shared" si="47"/>
        <v>0.99283570679917277</v>
      </c>
      <c r="G55" s="42">
        <f t="shared" si="48"/>
        <v>0.96959776847879409</v>
      </c>
      <c r="H55" s="42">
        <f t="shared" si="48"/>
        <v>2.2680521645526936E-2</v>
      </c>
      <c r="I55" s="42">
        <f t="shared" si="48"/>
        <v>5.5741667485180088E-4</v>
      </c>
      <c r="J55" s="42"/>
      <c r="K55" s="42">
        <f t="shared" si="49"/>
        <v>9.6588462980428599E-3</v>
      </c>
      <c r="L55" s="42">
        <f t="shared" si="49"/>
        <v>0.15538808546868099</v>
      </c>
      <c r="M55" s="42">
        <f t="shared" si="49"/>
        <v>0.83517505496145339</v>
      </c>
      <c r="N55" s="147">
        <f t="shared" si="50"/>
        <v>1.0002219867281772</v>
      </c>
      <c r="P55" s="4">
        <f t="shared" si="35"/>
        <v>9.9098772500479382E-2</v>
      </c>
      <c r="Q55" s="5">
        <f t="shared" si="36"/>
        <v>0.92023154774933902</v>
      </c>
      <c r="R55" s="5">
        <f t="shared" si="37"/>
        <v>0.96303926965772912</v>
      </c>
      <c r="S55" s="5">
        <f t="shared" si="38"/>
        <v>0.54259457150144019</v>
      </c>
      <c r="T55" s="5">
        <f t="shared" si="39"/>
        <v>0.18956587657702811</v>
      </c>
      <c r="U55" s="5">
        <f t="shared" si="40"/>
        <v>3.5364486302698075E-2</v>
      </c>
      <c r="V55" s="5">
        <f t="shared" si="41"/>
        <v>5.7233424157967674</v>
      </c>
      <c r="W55" s="5">
        <f t="shared" si="42"/>
        <v>0.95878066255833938</v>
      </c>
      <c r="X55" s="5">
        <f t="shared" si="43"/>
        <v>2.4675632862487659E-3</v>
      </c>
      <c r="Y55" s="5">
        <f t="shared" si="46"/>
        <v>305.92574704682863</v>
      </c>
      <c r="Z55" s="5">
        <f t="shared" si="44"/>
        <v>2.6085138748519392</v>
      </c>
      <c r="AA55" s="5">
        <f t="shared" si="44"/>
        <v>1.0024706102261915</v>
      </c>
      <c r="AB55" s="5">
        <f t="shared" si="45"/>
        <v>305.85139241769195</v>
      </c>
      <c r="AC55" s="5">
        <f t="shared" si="45"/>
        <v>0.13613860081170717</v>
      </c>
      <c r="AD55" s="6">
        <f t="shared" si="45"/>
        <v>5.0361568078777794E-4</v>
      </c>
    </row>
    <row r="56" spans="6:30" x14ac:dyDescent="0.25">
      <c r="F56" s="147">
        <f t="shared" si="47"/>
        <v>0.99771602073077925</v>
      </c>
      <c r="G56" s="42">
        <f t="shared" si="48"/>
        <v>0.9856978718847148</v>
      </c>
      <c r="H56" s="42">
        <f t="shared" si="48"/>
        <v>1.1512036216134811E-2</v>
      </c>
      <c r="I56" s="42">
        <f t="shared" si="48"/>
        <v>5.0611262992966157E-4</v>
      </c>
      <c r="J56" s="42"/>
      <c r="K56" s="42">
        <f t="shared" si="49"/>
        <v>5.016230165799356E-3</v>
      </c>
      <c r="L56" s="42">
        <f t="shared" si="49"/>
        <v>8.2704344661917825E-2</v>
      </c>
      <c r="M56" s="42">
        <f t="shared" si="49"/>
        <v>0.91234475104062995</v>
      </c>
      <c r="N56" s="147">
        <f t="shared" si="50"/>
        <v>1.0000653258683472</v>
      </c>
      <c r="P56" s="4">
        <f t="shared" si="35"/>
        <v>9.3086916146063875E-2</v>
      </c>
      <c r="Q56" s="5">
        <f t="shared" si="36"/>
        <v>0.91876848120805232</v>
      </c>
      <c r="R56" s="5">
        <f t="shared" si="37"/>
        <v>0.9817930835129024</v>
      </c>
      <c r="S56" s="5">
        <f t="shared" si="38"/>
        <v>0.53434860618229285</v>
      </c>
      <c r="T56" s="5">
        <f t="shared" si="39"/>
        <v>0.19342235871707755</v>
      </c>
      <c r="U56" s="5">
        <f t="shared" si="40"/>
        <v>1.6933626754785932E-2</v>
      </c>
      <c r="V56" s="5">
        <f t="shared" si="41"/>
        <v>5.9979850324710311</v>
      </c>
      <c r="W56" s="5">
        <f t="shared" si="42"/>
        <v>0.97892094231428806</v>
      </c>
      <c r="X56" s="5">
        <f t="shared" si="43"/>
        <v>1.0101977426696814E-3</v>
      </c>
      <c r="Y56" s="5">
        <f t="shared" si="46"/>
        <v>402.61671600324155</v>
      </c>
      <c r="Z56" s="5">
        <f t="shared" si="44"/>
        <v>2.6615826905859734</v>
      </c>
      <c r="AA56" s="5">
        <f t="shared" si="44"/>
        <v>1.0010107081642705</v>
      </c>
      <c r="AB56" s="5">
        <f t="shared" si="45"/>
        <v>402.58251112301372</v>
      </c>
      <c r="AC56" s="5">
        <f t="shared" si="45"/>
        <v>0.13458861949303202</v>
      </c>
      <c r="AD56" s="6">
        <f t="shared" si="45"/>
        <v>4.7782324324915503E-4</v>
      </c>
    </row>
    <row r="57" spans="6:30" x14ac:dyDescent="0.25">
      <c r="F57" s="147">
        <f t="shared" si="47"/>
        <v>0.99920635509724076</v>
      </c>
      <c r="G57" s="42">
        <f t="shared" si="48"/>
        <v>0.99295908542711719</v>
      </c>
      <c r="H57" s="42">
        <f t="shared" si="48"/>
        <v>5.7666213826128368E-3</v>
      </c>
      <c r="I57" s="42">
        <f t="shared" si="48"/>
        <v>4.8064828751071464E-4</v>
      </c>
      <c r="J57" s="42"/>
      <c r="K57" s="42">
        <f t="shared" si="49"/>
        <v>3.2491355675746728E-3</v>
      </c>
      <c r="L57" s="42">
        <f t="shared" si="49"/>
        <v>4.23590722568008E-2</v>
      </c>
      <c r="M57" s="42">
        <f t="shared" si="49"/>
        <v>0.95441363931267109</v>
      </c>
      <c r="N57" s="147">
        <f t="shared" si="50"/>
        <v>1.0000218471370466</v>
      </c>
      <c r="P57" s="4">
        <f t="shared" si="35"/>
        <v>8.9760450673730799E-2</v>
      </c>
      <c r="Q57" s="5">
        <f t="shared" si="36"/>
        <v>0.91791633085247937</v>
      </c>
      <c r="R57" s="5">
        <f t="shared" si="37"/>
        <v>0.99228417754234066</v>
      </c>
      <c r="S57" s="5">
        <f t="shared" si="38"/>
        <v>0.52967909717715445</v>
      </c>
      <c r="T57" s="5">
        <f t="shared" si="39"/>
        <v>0.19563407074345127</v>
      </c>
      <c r="U57" s="5">
        <f t="shared" si="40"/>
        <v>6.5911515664559672E-3</v>
      </c>
      <c r="V57" s="5">
        <f t="shared" si="41"/>
        <v>6.1635185294445227</v>
      </c>
      <c r="W57" s="5">
        <f t="shared" si="42"/>
        <v>0.99038073430232465</v>
      </c>
      <c r="X57" s="5">
        <f t="shared" si="43"/>
        <v>4.6888763039234794E-4</v>
      </c>
      <c r="Y57" s="5">
        <f t="shared" si="46"/>
        <v>475.09677942757327</v>
      </c>
      <c r="Z57" s="5">
        <f t="shared" si="44"/>
        <v>2.6922593127120447</v>
      </c>
      <c r="AA57" s="5">
        <f t="shared" si="44"/>
        <v>1.0004689975753807</v>
      </c>
      <c r="AB57" s="5">
        <f t="shared" si="45"/>
        <v>475.07796300277158</v>
      </c>
      <c r="AC57" s="5">
        <f t="shared" si="45"/>
        <v>0.13375852337603963</v>
      </c>
      <c r="AD57" s="6">
        <f t="shared" si="45"/>
        <v>4.640869178192189E-4</v>
      </c>
    </row>
    <row r="58" spans="6:30" x14ac:dyDescent="0.25">
      <c r="F58" s="147">
        <f t="shared" si="47"/>
        <v>0.99970564911909765</v>
      </c>
      <c r="G58" s="42">
        <f t="shared" si="48"/>
        <v>0.996569572155517</v>
      </c>
      <c r="H58" s="42">
        <f t="shared" si="48"/>
        <v>2.6689118481836869E-3</v>
      </c>
      <c r="I58" s="42">
        <f t="shared" si="48"/>
        <v>4.6716511539692511E-4</v>
      </c>
      <c r="J58" s="42"/>
      <c r="K58" s="42">
        <f t="shared" si="49"/>
        <v>2.4761729055759155E-3</v>
      </c>
      <c r="L58" s="42">
        <f t="shared" si="49"/>
        <v>1.9830243995784872E-2</v>
      </c>
      <c r="M58" s="42">
        <f t="shared" si="49"/>
        <v>0.97770156951662268</v>
      </c>
      <c r="N58" s="147">
        <f t="shared" si="50"/>
        <v>1.0000079864179834</v>
      </c>
    </row>
    <row r="59" spans="6:30" x14ac:dyDescent="0.25">
      <c r="F59" s="147">
        <f t="shared" si="47"/>
        <v>0.99990670004250748</v>
      </c>
      <c r="G59" s="42">
        <f t="shared" si="48"/>
        <v>0.99848928045313357</v>
      </c>
      <c r="H59" s="42">
        <f t="shared" si="48"/>
        <v>9.5763064397519013E-4</v>
      </c>
      <c r="I59" s="42">
        <f t="shared" si="48"/>
        <v>4.5978894539879639E-4</v>
      </c>
      <c r="J59" s="42"/>
      <c r="K59" s="42">
        <f t="shared" si="49"/>
        <v>2.1019341153869961E-3</v>
      </c>
      <c r="L59" s="42">
        <f t="shared" si="49"/>
        <v>7.1594097683312756E-3</v>
      </c>
      <c r="M59" s="42">
        <f t="shared" si="49"/>
        <v>0.99074117240356019</v>
      </c>
      <c r="N59" s="147">
        <f t="shared" si="50"/>
        <v>1.0000025162872785</v>
      </c>
    </row>
  </sheetData>
  <mergeCells count="1">
    <mergeCell ref="A35:E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NRTL_8stup">
                <anchor moveWithCells="1" sizeWithCells="1">
                  <from>
                    <xdr:col>5</xdr:col>
                    <xdr:colOff>0</xdr:colOff>
                    <xdr:row>35</xdr:row>
                    <xdr:rowOff>152400</xdr:rowOff>
                  </from>
                  <to>
                    <xdr:col>6</xdr:col>
                    <xdr:colOff>561975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I62"/>
  <sheetViews>
    <sheetView topLeftCell="C1" zoomScale="55" zoomScaleNormal="55" workbookViewId="0">
      <selection activeCell="AC18" sqref="AC18"/>
    </sheetView>
  </sheetViews>
  <sheetFormatPr defaultRowHeight="15" x14ac:dyDescent="0.25"/>
  <cols>
    <col min="5" max="5" width="13.5703125" bestFit="1" customWidth="1"/>
    <col min="7" max="9" width="9.28515625" bestFit="1" customWidth="1"/>
    <col min="12" max="17" width="9.28515625" bestFit="1" customWidth="1"/>
    <col min="20" max="24" width="13.85546875" bestFit="1" customWidth="1"/>
    <col min="26" max="26" width="9.28515625" bestFit="1" customWidth="1"/>
    <col min="34" max="34" width="10.85546875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20" t="s">
        <v>1</v>
      </c>
      <c r="C2" s="21"/>
      <c r="D2" s="21"/>
      <c r="E2" s="18" t="s">
        <v>2</v>
      </c>
      <c r="G2" s="22" t="s">
        <v>21</v>
      </c>
      <c r="H2" s="22"/>
      <c r="I2" s="22"/>
    </row>
    <row r="3" spans="1:26" ht="15.75" thickBot="1" x14ac:dyDescent="0.3">
      <c r="B3" s="48" t="s">
        <v>3</v>
      </c>
      <c r="C3" s="49" t="s">
        <v>4</v>
      </c>
      <c r="D3" s="69" t="s">
        <v>5</v>
      </c>
      <c r="E3" s="13" t="s">
        <v>6</v>
      </c>
      <c r="G3" s="16" t="s">
        <v>22</v>
      </c>
      <c r="H3" s="17" t="s">
        <v>23</v>
      </c>
      <c r="I3" s="18" t="s">
        <v>24</v>
      </c>
      <c r="L3">
        <v>1</v>
      </c>
      <c r="M3">
        <v>2</v>
      </c>
      <c r="N3">
        <v>3</v>
      </c>
      <c r="O3">
        <v>4</v>
      </c>
      <c r="P3">
        <v>5</v>
      </c>
      <c r="Q3" s="13" t="s">
        <v>26</v>
      </c>
      <c r="S3" s="19" t="s">
        <v>27</v>
      </c>
      <c r="Z3" s="19" t="s">
        <v>28</v>
      </c>
    </row>
    <row r="4" spans="1:26" ht="15.75" thickBot="1" x14ac:dyDescent="0.3">
      <c r="A4" s="48" t="s">
        <v>0</v>
      </c>
      <c r="B4" s="1">
        <f>AA26</f>
        <v>0.64</v>
      </c>
      <c r="C4" s="1">
        <f t="shared" ref="C4:D4" si="0">AB26</f>
        <v>0.36</v>
      </c>
      <c r="D4" s="1">
        <f t="shared" si="0"/>
        <v>0</v>
      </c>
      <c r="E4" s="10">
        <f>AA30</f>
        <v>21.209716796875</v>
      </c>
      <c r="G4" s="4" t="s">
        <v>25</v>
      </c>
      <c r="H4" s="5" t="s">
        <v>25</v>
      </c>
      <c r="I4" s="6" t="s">
        <v>25</v>
      </c>
      <c r="K4" s="19" t="s">
        <v>29</v>
      </c>
      <c r="L4" s="1">
        <f>E$10*$G$5+E$5</f>
        <v>15.093530444663523</v>
      </c>
      <c r="M4" s="2">
        <f>-$E$11*$G$6</f>
        <v>-8.424698008983432E-2</v>
      </c>
      <c r="N4" s="2">
        <v>0</v>
      </c>
      <c r="O4" s="2">
        <v>0</v>
      </c>
      <c r="P4" s="2">
        <v>0</v>
      </c>
      <c r="Q4" s="10">
        <f>$B$4*$E$4</f>
        <v>13.57421875</v>
      </c>
      <c r="T4" s="1">
        <f t="array" ref="T4:X8">MINVERSE(L4:P8)</f>
        <v>6.6656471519324148E-2</v>
      </c>
      <c r="U4" s="2">
        <v>4.2232628607555473E-4</v>
      </c>
      <c r="V4" s="2">
        <v>7.9730861287504303E-7</v>
      </c>
      <c r="W4" s="2">
        <v>1.089646649444816E-9</v>
      </c>
      <c r="X4" s="3">
        <v>1.3883951412825758E-12</v>
      </c>
      <c r="Z4" s="23">
        <f t="array" ref="Z4:Z8">MMULT(T4:X8,Q4:Q8)</f>
        <v>0.90480952550645088</v>
      </c>
    </row>
    <row r="5" spans="1:26" x14ac:dyDescent="0.25">
      <c r="A5" s="79" t="s">
        <v>7</v>
      </c>
      <c r="B5" s="86">
        <f>S31</f>
        <v>0.90480952550645077</v>
      </c>
      <c r="C5" s="78">
        <f t="shared" ref="C5:D6" si="1">T31</f>
        <v>9.4228914500917027E-2</v>
      </c>
      <c r="D5" s="87">
        <f t="shared" si="1"/>
        <v>9.6155999263221553E-4</v>
      </c>
      <c r="E5" s="11">
        <f t="shared" ref="E5:E9" si="2">AA31</f>
        <v>14.399961383597155</v>
      </c>
      <c r="G5" s="4">
        <f>B10/B5</f>
        <v>4.1358692601618473E-2</v>
      </c>
      <c r="H5" s="5">
        <f t="shared" ref="H5:I9" si="3">C10/C5</f>
        <v>4.8309656274887507</v>
      </c>
      <c r="I5" s="6">
        <f t="shared" si="3"/>
        <v>527.64426326971284</v>
      </c>
      <c r="L5" s="25">
        <f>-$E$5</f>
        <v>-14.399961383597155</v>
      </c>
      <c r="M5" s="5">
        <f>$E$6+$E$11*$G$6</f>
        <v>13.321834460601108</v>
      </c>
      <c r="N5" s="5">
        <f>-$G$7*$E$12</f>
        <v>-2.4597215900679557E-2</v>
      </c>
      <c r="O5" s="5">
        <v>0</v>
      </c>
      <c r="P5" s="5">
        <v>0</v>
      </c>
      <c r="Q5" s="11">
        <v>0</v>
      </c>
      <c r="T5" s="4">
        <v>7.2186352606125256E-2</v>
      </c>
      <c r="U5" s="5">
        <v>7.566318281873026E-2</v>
      </c>
      <c r="V5" s="5">
        <v>1.4284431096983635E-4</v>
      </c>
      <c r="W5" s="5">
        <v>1.9521904357620371E-7</v>
      </c>
      <c r="X5" s="6">
        <v>2.4874226128729931E-10</v>
      </c>
      <c r="Z5" s="24">
        <v>0.97987334104017687</v>
      </c>
    </row>
    <row r="6" spans="1:26" x14ac:dyDescent="0.25">
      <c r="A6" s="79" t="s">
        <v>8</v>
      </c>
      <c r="B6" s="86">
        <f t="shared" ref="B6" si="4">S32</f>
        <v>0.97987334104017687</v>
      </c>
      <c r="C6" s="78">
        <f t="shared" si="1"/>
        <v>1.9583782743342944E-2</v>
      </c>
      <c r="D6" s="87">
        <f t="shared" si="1"/>
        <v>5.4287621648021946E-4</v>
      </c>
      <c r="E6" s="11">
        <f t="shared" si="2"/>
        <v>13.237587480511275</v>
      </c>
      <c r="G6" s="4">
        <f t="shared" ref="G6:G9" si="5">B11/B6</f>
        <v>8.4586573559206225E-3</v>
      </c>
      <c r="H6" s="5">
        <f t="shared" si="3"/>
        <v>6.9478917382715286</v>
      </c>
      <c r="I6" s="6">
        <f t="shared" si="3"/>
        <v>1576.1338567694277</v>
      </c>
      <c r="L6" s="4">
        <v>0</v>
      </c>
      <c r="M6" s="26">
        <f>-$E$6</f>
        <v>-13.237587480511275</v>
      </c>
      <c r="N6" s="5">
        <f>$E$7+$E$12*$G$7</f>
        <v>13.04669252743645</v>
      </c>
      <c r="O6" s="5">
        <f>-$E$13*$G$8</f>
        <v>-1.7739778516140295E-2</v>
      </c>
      <c r="P6" s="5">
        <v>0</v>
      </c>
      <c r="Q6" s="11">
        <v>0</v>
      </c>
      <c r="T6" s="4">
        <v>7.3342604933631692E-2</v>
      </c>
      <c r="U6" s="5">
        <v>7.6875125631772165E-2</v>
      </c>
      <c r="V6" s="5">
        <v>7.6897607386953115E-2</v>
      </c>
      <c r="W6" s="5">
        <v>1.05092581324778E-4</v>
      </c>
      <c r="X6" s="6">
        <v>1.3390582109393727E-7</v>
      </c>
      <c r="Z6" s="24">
        <v>0.99556856306394581</v>
      </c>
    </row>
    <row r="7" spans="1:26" x14ac:dyDescent="0.25">
      <c r="A7" s="79" t="s">
        <v>9</v>
      </c>
      <c r="B7" s="86">
        <f t="shared" ref="B7:B9" si="6">S33</f>
        <v>0.99556856306394614</v>
      </c>
      <c r="C7" s="78">
        <f t="shared" ref="C7:C9" si="7">T33</f>
        <v>3.9586803569112393E-3</v>
      </c>
      <c r="D7" s="87">
        <f t="shared" ref="D7:D9" si="8">U33</f>
        <v>4.7275657914261902E-4</v>
      </c>
      <c r="E7" s="11">
        <f t="shared" si="2"/>
        <v>13.02209531153577</v>
      </c>
      <c r="G7" s="4">
        <f t="shared" si="5"/>
        <v>2.7959392537421977E-3</v>
      </c>
      <c r="H7" s="5">
        <f t="shared" si="3"/>
        <v>7.3951391160496049</v>
      </c>
      <c r="I7" s="6">
        <f t="shared" si="3"/>
        <v>2047.4415407921845</v>
      </c>
      <c r="L7" s="4">
        <v>0</v>
      </c>
      <c r="M7" s="5">
        <v>0</v>
      </c>
      <c r="N7" s="26">
        <f>-$E$7</f>
        <v>-13.02209531153577</v>
      </c>
      <c r="O7" s="5">
        <f>$E$8+$E$13*$G$8</f>
        <v>12.996964200050067</v>
      </c>
      <c r="P7" s="5">
        <f>-$E$14*$G$9</f>
        <v>-1.6527010360239413E-2</v>
      </c>
      <c r="Q7" s="11">
        <v>0</v>
      </c>
      <c r="T7" s="4">
        <v>7.3578044197831857E-2</v>
      </c>
      <c r="U7" s="5">
        <v>7.7121904745091341E-2</v>
      </c>
      <c r="V7" s="5">
        <v>7.7144458669619193E-2</v>
      </c>
      <c r="W7" s="5">
        <v>7.7144501271346311E-2</v>
      </c>
      <c r="X7" s="6">
        <v>9.829521413788278E-5</v>
      </c>
      <c r="Z7" s="24">
        <v>0.99876446713853795</v>
      </c>
    </row>
    <row r="8" spans="1:26" ht="15.75" thickBot="1" x14ac:dyDescent="0.3">
      <c r="A8" s="79" t="s">
        <v>10</v>
      </c>
      <c r="B8" s="86">
        <f t="shared" si="6"/>
        <v>0.99876446713853828</v>
      </c>
      <c r="C8" s="78">
        <f t="shared" si="7"/>
        <v>7.7652176383318492E-4</v>
      </c>
      <c r="D8" s="87">
        <f t="shared" si="8"/>
        <v>4.5901109762854148E-4</v>
      </c>
      <c r="E8" s="11">
        <f t="shared" si="2"/>
        <v>12.979224421533926</v>
      </c>
      <c r="G8" s="4">
        <f t="shared" si="5"/>
        <v>2.067094669581842E-3</v>
      </c>
      <c r="H8" s="5">
        <f t="shared" si="3"/>
        <v>7.4810324735540359</v>
      </c>
      <c r="I8" s="6">
        <f t="shared" si="3"/>
        <v>2161.442892966913</v>
      </c>
      <c r="L8" s="7">
        <v>0</v>
      </c>
      <c r="M8" s="8">
        <v>0</v>
      </c>
      <c r="N8" s="8">
        <v>0</v>
      </c>
      <c r="O8" s="27">
        <f>-$E$8</f>
        <v>-12.979224421533926</v>
      </c>
      <c r="P8" s="8">
        <f>$E$9+$E$14*$G$9</f>
        <v>12.970804152871498</v>
      </c>
      <c r="Q8" s="12">
        <f>$E$15*$B$15</f>
        <v>0</v>
      </c>
      <c r="T8" s="7">
        <v>7.3625808923326111E-2</v>
      </c>
      <c r="U8" s="8">
        <v>7.7171970041742061E-2</v>
      </c>
      <c r="V8" s="8">
        <v>7.7194538607621474E-2</v>
      </c>
      <c r="W8" s="8">
        <v>7.7194581237004414E-2</v>
      </c>
      <c r="X8" s="9">
        <v>7.7194581295269515E-2</v>
      </c>
      <c r="Z8" s="24">
        <v>0.99941283597093056</v>
      </c>
    </row>
    <row r="9" spans="1:26" ht="15.75" thickBot="1" x14ac:dyDescent="0.3">
      <c r="A9" s="80" t="s">
        <v>11</v>
      </c>
      <c r="B9" s="88">
        <f t="shared" si="6"/>
        <v>0.999412835970931</v>
      </c>
      <c r="C9" s="89">
        <f t="shared" si="7"/>
        <v>1.3092017541631464E-4</v>
      </c>
      <c r="D9" s="90">
        <f t="shared" si="8"/>
        <v>4.5624385365271032E-4</v>
      </c>
      <c r="E9" s="12">
        <f t="shared" si="2"/>
        <v>12.954277142511259</v>
      </c>
      <c r="G9" s="7">
        <f t="shared" si="5"/>
        <v>1.9354475504765364E-3</v>
      </c>
      <c r="H9" s="8">
        <f t="shared" si="3"/>
        <v>7.4983058951972517</v>
      </c>
      <c r="I9" s="9">
        <f t="shared" si="3"/>
        <v>2185.4190502926849</v>
      </c>
    </row>
    <row r="10" spans="1:26" ht="15.75" thickBot="1" x14ac:dyDescent="0.3">
      <c r="A10" s="48" t="s">
        <v>12</v>
      </c>
      <c r="B10" s="91">
        <f t="shared" ref="B10:B13" si="9">W31</f>
        <v>3.7421739028437567E-2</v>
      </c>
      <c r="C10" s="92">
        <f t="shared" ref="C10:D13" si="10">X31</f>
        <v>0.45521664706950649</v>
      </c>
      <c r="D10" s="93">
        <f t="shared" si="10"/>
        <v>0.50736161390205592</v>
      </c>
      <c r="E10" s="10">
        <f t="shared" ref="E10:E15" si="11">AB31</f>
        <v>16.769607969649073</v>
      </c>
      <c r="L10">
        <v>1</v>
      </c>
      <c r="M10">
        <v>2</v>
      </c>
      <c r="N10">
        <v>3</v>
      </c>
      <c r="O10">
        <v>4</v>
      </c>
      <c r="P10">
        <v>5</v>
      </c>
      <c r="Q10" s="19" t="s">
        <v>30</v>
      </c>
      <c r="S10" s="19" t="s">
        <v>27</v>
      </c>
      <c r="Z10" s="19" t="s">
        <v>31</v>
      </c>
    </row>
    <row r="11" spans="1:26" ht="15.75" thickBot="1" x14ac:dyDescent="0.3">
      <c r="A11" s="79" t="s">
        <v>13</v>
      </c>
      <c r="B11" s="86">
        <f t="shared" si="9"/>
        <v>8.2884128440600096E-3</v>
      </c>
      <c r="C11" s="78">
        <f t="shared" si="10"/>
        <v>0.13606600232657698</v>
      </c>
      <c r="D11" s="87">
        <f t="shared" ref="D11:D13" si="12">Y32</f>
        <v>0.85564558482936304</v>
      </c>
      <c r="E11" s="11">
        <f t="shared" si="11"/>
        <v>9.9598525563712297</v>
      </c>
      <c r="K11" s="19" t="s">
        <v>32</v>
      </c>
      <c r="L11" s="1">
        <f>E$10*$H$5+E$5</f>
        <v>95.413361071433243</v>
      </c>
      <c r="M11" s="2">
        <f>-$E$11*$H$6</f>
        <v>-69.199977290814232</v>
      </c>
      <c r="N11" s="2">
        <v>0</v>
      </c>
      <c r="O11" s="2">
        <v>0</v>
      </c>
      <c r="P11" s="2">
        <v>0</v>
      </c>
      <c r="Q11" s="10">
        <f>$C$4*$E$4</f>
        <v>7.635498046875</v>
      </c>
      <c r="T11" s="1">
        <f t="array" ref="T11:X15">MINVERSE(L11:P15)</f>
        <v>1.2340895294031413E-2</v>
      </c>
      <c r="U11" s="2">
        <v>1.2325470458298819E-2</v>
      </c>
      <c r="V11" s="2">
        <v>1.2244836560016263E-2</v>
      </c>
      <c r="W11" s="2">
        <v>1.1841988425625886E-2</v>
      </c>
      <c r="X11" s="3">
        <v>9.8492881489837709E-3</v>
      </c>
      <c r="Z11">
        <f t="array" ref="Z11:Z15">MMULT(T11:X15,Q11:Q15)</f>
        <v>9.4228881914265733E-2</v>
      </c>
    </row>
    <row r="12" spans="1:26" x14ac:dyDescent="0.25">
      <c r="A12" s="79" t="s">
        <v>14</v>
      </c>
      <c r="B12" s="86">
        <f t="shared" si="9"/>
        <v>2.7835492252622019E-3</v>
      </c>
      <c r="C12" s="78">
        <f t="shared" si="10"/>
        <v>2.9274991955331515E-2</v>
      </c>
      <c r="D12" s="87">
        <f t="shared" si="12"/>
        <v>0.96794145881940619</v>
      </c>
      <c r="E12" s="11">
        <f t="shared" si="11"/>
        <v>8.7974786532853511</v>
      </c>
      <c r="L12" s="25">
        <f>-$E$5</f>
        <v>-14.399961383597155</v>
      </c>
      <c r="M12" s="5">
        <f>$E$6+$E$11*$H$6</f>
        <v>82.437564771325512</v>
      </c>
      <c r="N12" s="5">
        <f>-$H$7*$E$12</f>
        <v>-65.058578511521901</v>
      </c>
      <c r="O12" s="5">
        <v>0</v>
      </c>
      <c r="P12" s="5">
        <v>0</v>
      </c>
      <c r="Q12" s="11">
        <v>0</v>
      </c>
      <c r="T12" s="4">
        <v>2.5648317468122996E-3</v>
      </c>
      <c r="U12" s="5">
        <v>1.6994435681253556E-2</v>
      </c>
      <c r="V12" s="5">
        <v>1.688325715847603E-2</v>
      </c>
      <c r="W12" s="5">
        <v>1.6327807633658854E-2</v>
      </c>
      <c r="X12" s="6">
        <v>1.3580260041217125E-2</v>
      </c>
      <c r="Z12">
        <v>1.9583767793348309E-2</v>
      </c>
    </row>
    <row r="13" spans="1:26" x14ac:dyDescent="0.25">
      <c r="A13" s="79" t="s">
        <v>15</v>
      </c>
      <c r="B13" s="86">
        <f t="shared" si="9"/>
        <v>2.0645407061898212E-3</v>
      </c>
      <c r="C13" s="78">
        <f t="shared" si="10"/>
        <v>5.8091845316575142E-3</v>
      </c>
      <c r="D13" s="87">
        <f t="shared" si="12"/>
        <v>0.99212627476215276</v>
      </c>
      <c r="E13" s="11">
        <f t="shared" si="11"/>
        <v>8.5819864843098461</v>
      </c>
      <c r="L13" s="4">
        <v>0</v>
      </c>
      <c r="M13" s="26">
        <f>-$E$6</f>
        <v>-13.237587480511275</v>
      </c>
      <c r="N13" s="5">
        <f>$E$7+$E$12*$H$7</f>
        <v>78.080673823057666</v>
      </c>
      <c r="O13" s="5">
        <f>-$E$13*$H$8</f>
        <v>-64.202119576723788</v>
      </c>
      <c r="P13" s="5">
        <v>0</v>
      </c>
      <c r="Q13" s="11">
        <v>0</v>
      </c>
      <c r="T13" s="4">
        <v>5.1845687923152324E-4</v>
      </c>
      <c r="U13" s="5">
        <v>3.4352670885933029E-3</v>
      </c>
      <c r="V13" s="5">
        <v>1.868300014770314E-2</v>
      </c>
      <c r="W13" s="5">
        <v>1.8068340105698685E-2</v>
      </c>
      <c r="X13" s="6">
        <v>1.5027905929190306E-2</v>
      </c>
      <c r="Z13">
        <v>3.9586764887612038E-3</v>
      </c>
    </row>
    <row r="14" spans="1:26" x14ac:dyDescent="0.25">
      <c r="A14" s="79" t="s">
        <v>16</v>
      </c>
      <c r="B14" s="86">
        <f t="shared" ref="B14:C14" si="13">W35</f>
        <v>1.9343111252947468E-3</v>
      </c>
      <c r="C14" s="78">
        <f t="shared" si="13"/>
        <v>9.8167952312441038E-4</v>
      </c>
      <c r="D14" s="87">
        <f>Y35</f>
        <v>0.99708400935158081</v>
      </c>
      <c r="E14" s="11">
        <f>AB35</f>
        <v>8.5391155943080008</v>
      </c>
      <c r="L14" s="4">
        <v>0</v>
      </c>
      <c r="M14" s="5">
        <v>0</v>
      </c>
      <c r="N14" s="26">
        <f>-$E$7</f>
        <v>-13.02209531153577</v>
      </c>
      <c r="O14" s="5">
        <f>$E$8+$E$13*$H$8</f>
        <v>77.181343998257717</v>
      </c>
      <c r="P14" s="5">
        <f>-$E$14*$H$9</f>
        <v>-64.028900800570469</v>
      </c>
      <c r="Q14" s="11">
        <v>0</v>
      </c>
      <c r="T14" s="4">
        <v>1.0169878970388036E-4</v>
      </c>
      <c r="U14" s="5">
        <v>6.7385065029390719E-4</v>
      </c>
      <c r="V14" s="5">
        <v>3.6647956255786165E-3</v>
      </c>
      <c r="W14" s="5">
        <v>1.8607600438704613E-2</v>
      </c>
      <c r="X14" s="6">
        <v>1.5476422699870361E-2</v>
      </c>
      <c r="Z14">
        <v>7.7652091015352985E-4</v>
      </c>
    </row>
    <row r="15" spans="1:26" ht="15.75" thickBot="1" x14ac:dyDescent="0.3">
      <c r="A15" s="80" t="s">
        <v>17</v>
      </c>
      <c r="B15" s="88">
        <f t="shared" ref="B15:C15" si="14">W36</f>
        <v>0</v>
      </c>
      <c r="C15" s="89">
        <f t="shared" si="14"/>
        <v>0</v>
      </c>
      <c r="D15" s="90">
        <f>Y36</f>
        <v>1</v>
      </c>
      <c r="E15" s="12">
        <f t="shared" si="11"/>
        <v>8.5141683152853336</v>
      </c>
      <c r="L15" s="7">
        <v>0</v>
      </c>
      <c r="M15" s="8">
        <v>0</v>
      </c>
      <c r="N15" s="8">
        <v>0</v>
      </c>
      <c r="O15" s="27">
        <f>-$E$8</f>
        <v>-12.979224421533926</v>
      </c>
      <c r="P15" s="8">
        <f>$E$9+$E$14*$H$9</f>
        <v>76.983177943081728</v>
      </c>
      <c r="Q15" s="12">
        <f>$E$15*$C$15</f>
        <v>0</v>
      </c>
      <c r="T15" s="7">
        <v>1.7146231816267457E-5</v>
      </c>
      <c r="U15" s="8">
        <v>1.1360999961871777E-4</v>
      </c>
      <c r="V15" s="8">
        <v>6.1787790728266932E-4</v>
      </c>
      <c r="W15" s="8">
        <v>3.1372077445119867E-3</v>
      </c>
      <c r="X15" s="9">
        <v>1.5599147704086937E-2</v>
      </c>
      <c r="Z15">
        <v>1.3092001954437615E-4</v>
      </c>
    </row>
    <row r="16" spans="1:26" ht="15.75" thickBot="1" x14ac:dyDescent="0.3"/>
    <row r="17" spans="1:35" ht="15.75" thickBot="1" x14ac:dyDescent="0.3">
      <c r="L17">
        <v>1</v>
      </c>
      <c r="M17">
        <v>2</v>
      </c>
      <c r="N17">
        <v>3</v>
      </c>
      <c r="O17">
        <v>4</v>
      </c>
      <c r="P17">
        <v>5</v>
      </c>
      <c r="Q17" s="19" t="s">
        <v>33</v>
      </c>
      <c r="S17" s="19" t="s">
        <v>27</v>
      </c>
      <c r="Z17" s="19" t="s">
        <v>34</v>
      </c>
    </row>
    <row r="18" spans="1:35" ht="15.75" thickBot="1" x14ac:dyDescent="0.3">
      <c r="A18" t="s">
        <v>3</v>
      </c>
      <c r="B18" t="s">
        <v>18</v>
      </c>
      <c r="K18" s="19" t="s">
        <v>35</v>
      </c>
      <c r="L18" s="1">
        <f>E$10*$I$5+E$5</f>
        <v>8862.7874038509872</v>
      </c>
      <c r="M18" s="2">
        <f>-$E$11*$I$6</f>
        <v>-15698.06082252823</v>
      </c>
      <c r="N18" s="2">
        <v>0</v>
      </c>
      <c r="O18" s="2">
        <v>0</v>
      </c>
      <c r="P18" s="2">
        <v>0</v>
      </c>
      <c r="Q18" s="10">
        <f>$D$4*$E$4</f>
        <v>0</v>
      </c>
      <c r="T18" s="1">
        <f t="array" ref="T18:X22">MINVERSE(L18:P22)</f>
        <v>1.1301494272284574E-4</v>
      </c>
      <c r="U18" s="2">
        <v>1.1301494272281229E-4</v>
      </c>
      <c r="V18" s="2">
        <v>1.1301494268315452E-4</v>
      </c>
      <c r="W18" s="2">
        <v>1.130148878280552E-4</v>
      </c>
      <c r="X18" s="3">
        <v>1.1293649075371008E-4</v>
      </c>
      <c r="Z18">
        <f t="array" ref="Z18:Z22">MMULT(T18:X22,Q18:Q22)</f>
        <v>9.6156029121475346E-4</v>
      </c>
    </row>
    <row r="19" spans="1:35" x14ac:dyDescent="0.25">
      <c r="A19" t="s">
        <v>4</v>
      </c>
      <c r="B19" t="s">
        <v>19</v>
      </c>
      <c r="L19" s="25">
        <f>-$E$5</f>
        <v>-14.399961383597155</v>
      </c>
      <c r="M19" s="5">
        <f>$E$6+$E$11*$I$6</f>
        <v>15711.298410008741</v>
      </c>
      <c r="N19" s="5">
        <f>-$I$7*$E$12</f>
        <v>-18012.323248968911</v>
      </c>
      <c r="O19" s="5">
        <v>0</v>
      </c>
      <c r="P19" s="5">
        <v>0</v>
      </c>
      <c r="Q19" s="11">
        <v>0</v>
      </c>
      <c r="T19" s="4">
        <v>1.0366954424348071E-7</v>
      </c>
      <c r="U19" s="5">
        <v>6.3805805196859075E-5</v>
      </c>
      <c r="V19" s="5">
        <v>6.3805805174469148E-5</v>
      </c>
      <c r="W19" s="5">
        <v>6.3805774204460256E-5</v>
      </c>
      <c r="X19" s="6">
        <v>6.3761512902961939E-5</v>
      </c>
      <c r="Z19">
        <v>5.4287625289305553E-4</v>
      </c>
    </row>
    <row r="20" spans="1:35" x14ac:dyDescent="0.25">
      <c r="A20" t="s">
        <v>5</v>
      </c>
      <c r="B20" t="s">
        <v>20</v>
      </c>
      <c r="L20" s="4">
        <v>0</v>
      </c>
      <c r="M20" s="26">
        <f>-$E$6</f>
        <v>-13.237587480511275</v>
      </c>
      <c r="N20" s="5">
        <f>$E$7+$E$12*$I$7</f>
        <v>18025.345344280446</v>
      </c>
      <c r="O20" s="5">
        <f>-$E$13*$I$8</f>
        <v>-18549.473694049619</v>
      </c>
      <c r="P20" s="5">
        <v>0</v>
      </c>
      <c r="Q20" s="11">
        <v>0</v>
      </c>
      <c r="T20" s="4">
        <v>7.6188653819812232E-11</v>
      </c>
      <c r="U20" s="5">
        <v>4.6892059180086301E-8</v>
      </c>
      <c r="V20" s="5">
        <v>5.5564438897900064E-5</v>
      </c>
      <c r="W20" s="5">
        <v>5.5564411928078709E-5</v>
      </c>
      <c r="X20" s="6">
        <v>5.552586756090208E-5</v>
      </c>
      <c r="Z20">
        <v>4.727565822657622E-4</v>
      </c>
    </row>
    <row r="21" spans="1:35" x14ac:dyDescent="0.25">
      <c r="L21" s="4">
        <v>0</v>
      </c>
      <c r="M21" s="5">
        <v>0</v>
      </c>
      <c r="N21" s="26">
        <f>-$E$7</f>
        <v>-13.02209531153577</v>
      </c>
      <c r="O21" s="5">
        <f>$E$8+$E$13*$I$8</f>
        <v>18562.452918471154</v>
      </c>
      <c r="P21" s="5">
        <f>-$E$14*$I$9</f>
        <v>-18661.545892452046</v>
      </c>
      <c r="Q21" s="11">
        <v>0</v>
      </c>
      <c r="T21" s="4">
        <v>5.3485907282391119E-14</v>
      </c>
      <c r="U21" s="5">
        <v>3.2919131705858966E-11</v>
      </c>
      <c r="V21" s="5">
        <v>3.9007309856396859E-8</v>
      </c>
      <c r="W21" s="5">
        <v>5.3948866466151946E-5</v>
      </c>
      <c r="X21" s="6">
        <v>5.3911442783516279E-5</v>
      </c>
      <c r="Z21">
        <v>4.5901109797873244E-4</v>
      </c>
    </row>
    <row r="22" spans="1:35" ht="15.75" thickBot="1" x14ac:dyDescent="0.3">
      <c r="L22" s="7">
        <v>0</v>
      </c>
      <c r="M22" s="8">
        <v>0</v>
      </c>
      <c r="N22" s="8">
        <v>0</v>
      </c>
      <c r="O22" s="27">
        <f>-$E$8</f>
        <v>-12.979224421533926</v>
      </c>
      <c r="P22" s="8">
        <f>$E$9+$E$14*$I$9</f>
        <v>18674.500169594558</v>
      </c>
      <c r="Q22" s="85">
        <f>$E$15*$D$15</f>
        <v>8.5141683152853336</v>
      </c>
      <c r="T22" s="7">
        <v>3.7173985258132994E-17</v>
      </c>
      <c r="U22" s="8">
        <v>2.2879584154441808E-14</v>
      </c>
      <c r="V22" s="8">
        <v>2.7111013634025371E-11</v>
      </c>
      <c r="W22" s="8">
        <v>3.7495752967548074E-8</v>
      </c>
      <c r="X22" s="9">
        <v>5.358642639036171E-5</v>
      </c>
      <c r="Z22">
        <v>4.562438537021875E-4</v>
      </c>
    </row>
    <row r="24" spans="1:35" ht="15.75" thickBot="1" x14ac:dyDescent="0.3"/>
    <row r="25" spans="1:35" ht="15.75" thickBot="1" x14ac:dyDescent="0.3">
      <c r="R25" s="5"/>
      <c r="S25" s="5"/>
      <c r="T25" s="5"/>
      <c r="U25" s="5"/>
      <c r="V25" s="5"/>
      <c r="Y25" s="13"/>
      <c r="Z25" s="16" t="s">
        <v>93</v>
      </c>
      <c r="AA25" s="17" t="s">
        <v>28</v>
      </c>
      <c r="AB25" s="17" t="s">
        <v>31</v>
      </c>
      <c r="AC25" s="18" t="s">
        <v>34</v>
      </c>
      <c r="AE25" s="54" t="s">
        <v>94</v>
      </c>
      <c r="AF25" s="54" t="s">
        <v>95</v>
      </c>
      <c r="AG25" s="54" t="s">
        <v>96</v>
      </c>
      <c r="AH25" s="54" t="s">
        <v>97</v>
      </c>
      <c r="AI25" s="54" t="s">
        <v>98</v>
      </c>
    </row>
    <row r="26" spans="1:35" ht="15.75" thickBot="1" x14ac:dyDescent="0.3">
      <c r="F26">
        <v>4.5489512327135218E-2</v>
      </c>
      <c r="G26">
        <v>6.7015939493510939E-4</v>
      </c>
      <c r="L26" s="33" t="s">
        <v>36</v>
      </c>
      <c r="M26" s="34"/>
      <c r="N26" s="35"/>
      <c r="R26" s="5"/>
      <c r="S26" s="5"/>
      <c r="T26" s="5"/>
      <c r="U26" s="5"/>
      <c r="V26" s="5"/>
      <c r="Y26" s="14" t="s">
        <v>0</v>
      </c>
      <c r="Z26" s="42">
        <v>21.209716796875</v>
      </c>
      <c r="AA26" s="2">
        <v>0.64</v>
      </c>
      <c r="AB26" s="2">
        <v>0.36</v>
      </c>
      <c r="AC26" s="3">
        <v>0</v>
      </c>
      <c r="AE26">
        <f>Z27</f>
        <v>8.5141683152853336</v>
      </c>
      <c r="AF26">
        <f>AE26/Z26</f>
        <v>0.40142772281333788</v>
      </c>
      <c r="AG26">
        <f>AB31*W31/Z26/AA26</f>
        <v>4.6230866365654703E-2</v>
      </c>
      <c r="AH26" s="203">
        <f>X31*AB31/Z26/AB26</f>
        <v>0.99977822870873923</v>
      </c>
      <c r="AI26" s="175">
        <f>AA35*U35/AB36/AC27</f>
        <v>6.9417341846224551E-4</v>
      </c>
    </row>
    <row r="27" spans="1:35" ht="15.75" thickBot="1" x14ac:dyDescent="0.3">
      <c r="F27">
        <v>3.5419044279793193E-3</v>
      </c>
      <c r="G27">
        <v>4.7094627309765769E-4</v>
      </c>
      <c r="L27" s="29" t="s">
        <v>3</v>
      </c>
      <c r="M27" s="30" t="s">
        <v>4</v>
      </c>
      <c r="N27" s="31" t="s">
        <v>5</v>
      </c>
      <c r="O27" s="32" t="s">
        <v>37</v>
      </c>
      <c r="R27" s="5"/>
      <c r="S27" s="5"/>
      <c r="T27" s="5"/>
      <c r="U27" s="5"/>
      <c r="V27" s="5"/>
      <c r="W27" s="53"/>
      <c r="Y27" s="15" t="s">
        <v>17</v>
      </c>
      <c r="Z27" s="53">
        <v>8.5141683152853336</v>
      </c>
      <c r="AA27" s="8">
        <v>0</v>
      </c>
      <c r="AB27" s="8">
        <v>0</v>
      </c>
      <c r="AC27" s="9">
        <v>1</v>
      </c>
    </row>
    <row r="28" spans="1:35" ht="15.75" thickBot="1" x14ac:dyDescent="0.3">
      <c r="F28">
        <v>2.6727070600407357E-4</v>
      </c>
      <c r="G28">
        <v>4.5682769651041465E-4</v>
      </c>
      <c r="L28" s="1">
        <f>Z4</f>
        <v>0.90480952550645088</v>
      </c>
      <c r="M28" s="2">
        <f>Z11</f>
        <v>9.4228881914265733E-2</v>
      </c>
      <c r="N28" s="3">
        <f>Z18</f>
        <v>9.6156029121475346E-4</v>
      </c>
      <c r="O28" s="10">
        <f>SUM(L28:N28)</f>
        <v>0.99999996771193134</v>
      </c>
      <c r="R28" s="5"/>
      <c r="S28" s="5"/>
      <c r="T28" s="5"/>
      <c r="U28" s="5"/>
      <c r="V28" s="5"/>
      <c r="AG28" s="42"/>
    </row>
    <row r="29" spans="1:35" ht="21.75" thickBot="1" x14ac:dyDescent="0.4">
      <c r="F29">
        <v>2.0023386220714435E-5</v>
      </c>
      <c r="G29">
        <v>4.5576924644759884E-4</v>
      </c>
      <c r="L29" s="4">
        <f>Z5</f>
        <v>0.97987334104017687</v>
      </c>
      <c r="M29" s="5">
        <f>Z12</f>
        <v>1.9583767793348309E-2</v>
      </c>
      <c r="N29" s="6">
        <f>Z19</f>
        <v>5.4287625289305553E-4</v>
      </c>
      <c r="O29" s="11">
        <f t="shared" ref="O29:O32" si="15">SUM(L29:N29)</f>
        <v>0.9999999850864183</v>
      </c>
      <c r="R29" s="5"/>
      <c r="S29" s="5"/>
      <c r="T29" s="5"/>
      <c r="U29" s="5"/>
      <c r="V29" s="5"/>
      <c r="AA29" s="16" t="s">
        <v>99</v>
      </c>
      <c r="AB29" s="18" t="s">
        <v>100</v>
      </c>
      <c r="AG29" s="54" t="s">
        <v>109</v>
      </c>
      <c r="AI29" s="94">
        <f>ABS(AH26-AG30)</f>
        <v>2.1771291260797021E-5</v>
      </c>
    </row>
    <row r="30" spans="1:35" ht="15.75" thickBot="1" x14ac:dyDescent="0.3">
      <c r="F30">
        <v>1.4024829460287505E-6</v>
      </c>
      <c r="G30">
        <v>4.5568957470008755E-4</v>
      </c>
      <c r="L30" s="4">
        <f>Z6</f>
        <v>0.99556856306394581</v>
      </c>
      <c r="M30" s="5">
        <f>Z13</f>
        <v>3.9586764887612038E-3</v>
      </c>
      <c r="N30" s="6">
        <f>Z20</f>
        <v>4.727565822657622E-4</v>
      </c>
      <c r="O30" s="11">
        <f t="shared" si="15"/>
        <v>0.99999999613497281</v>
      </c>
      <c r="R30" s="19" t="s">
        <v>101</v>
      </c>
      <c r="S30" s="48" t="s">
        <v>102</v>
      </c>
      <c r="T30" s="49" t="s">
        <v>103</v>
      </c>
      <c r="U30" s="49" t="s">
        <v>104</v>
      </c>
      <c r="V30" s="28" t="s">
        <v>37</v>
      </c>
      <c r="W30" s="48" t="s">
        <v>105</v>
      </c>
      <c r="X30" s="49" t="s">
        <v>106</v>
      </c>
      <c r="Y30" s="49" t="s">
        <v>107</v>
      </c>
      <c r="Z30" s="55" t="s">
        <v>108</v>
      </c>
      <c r="AA30" s="81">
        <f>Z26</f>
        <v>21.209716796875</v>
      </c>
      <c r="AB30" s="82"/>
      <c r="AC30" s="49" t="s">
        <v>22</v>
      </c>
      <c r="AD30" s="49" t="s">
        <v>23</v>
      </c>
      <c r="AE30" s="69" t="s">
        <v>24</v>
      </c>
      <c r="AG30">
        <v>0.99980000000000002</v>
      </c>
    </row>
    <row r="31" spans="1:35" x14ac:dyDescent="0.25">
      <c r="L31" s="4">
        <f>Z7</f>
        <v>0.99876446713853795</v>
      </c>
      <c r="M31" s="5">
        <f>Z14</f>
        <v>7.7652091015352985E-4</v>
      </c>
      <c r="N31" s="6">
        <f>Z21</f>
        <v>4.5901109797873244E-4</v>
      </c>
      <c r="O31" s="11">
        <f t="shared" si="15"/>
        <v>0.99999999914667026</v>
      </c>
      <c r="R31" s="45">
        <v>1</v>
      </c>
      <c r="S31" s="63">
        <f>C41</f>
        <v>0.90480952550645077</v>
      </c>
      <c r="T31" s="64">
        <f t="shared" ref="T31:U31" si="16">D41</f>
        <v>9.4228914500917027E-2</v>
      </c>
      <c r="U31" s="64">
        <f t="shared" si="16"/>
        <v>9.6155999263221553E-4</v>
      </c>
      <c r="V31" s="60">
        <f>SUM(S31:U31)</f>
        <v>1</v>
      </c>
      <c r="W31" s="64">
        <f>G41</f>
        <v>3.7421739028437567E-2</v>
      </c>
      <c r="X31" s="64">
        <f t="shared" ref="X31:Y31" si="17">H41</f>
        <v>0.45521664706950649</v>
      </c>
      <c r="Y31" s="64">
        <f t="shared" si="17"/>
        <v>0.50736161390205592</v>
      </c>
      <c r="Z31" s="57">
        <f>SUM(W31:Y31)</f>
        <v>1</v>
      </c>
      <c r="AA31" s="26">
        <f t="shared" ref="AA31:AA33" si="18">(AB33*(W32-W33)+AA32*(S32-W32))/(S31-W32)</f>
        <v>14.399961383597155</v>
      </c>
      <c r="AB31" s="26">
        <f>AA30+AB36-AA35</f>
        <v>16.769607969649073</v>
      </c>
      <c r="AC31" s="70">
        <f>W31/S31</f>
        <v>4.1358692601618473E-2</v>
      </c>
      <c r="AD31" s="71">
        <f t="shared" ref="AD31:AE31" si="19">X31/T31</f>
        <v>4.8309656274887507</v>
      </c>
      <c r="AE31" s="72">
        <f t="shared" si="19"/>
        <v>527.64426326971284</v>
      </c>
      <c r="AG31" t="s">
        <v>146</v>
      </c>
    </row>
    <row r="32" spans="1:35" ht="15.75" thickBot="1" x14ac:dyDescent="0.3">
      <c r="L32" s="7">
        <f>Z8</f>
        <v>0.99941283597093056</v>
      </c>
      <c r="M32" s="8">
        <f>Z15</f>
        <v>1.3092001954437615E-4</v>
      </c>
      <c r="N32" s="9">
        <f>Z22</f>
        <v>4.562438537021875E-4</v>
      </c>
      <c r="O32" s="12">
        <f t="shared" si="15"/>
        <v>0.9999999998441772</v>
      </c>
      <c r="R32" s="46">
        <v>2</v>
      </c>
      <c r="S32" s="65">
        <f t="shared" ref="S32:S35" si="20">C42</f>
        <v>0.97987334104017687</v>
      </c>
      <c r="T32" s="66">
        <f t="shared" ref="T32:T35" si="21">D42</f>
        <v>1.9583782743342944E-2</v>
      </c>
      <c r="U32" s="66">
        <f t="shared" ref="U32:U35" si="22">E42</f>
        <v>5.4287621648021946E-4</v>
      </c>
      <c r="V32" s="61">
        <f t="shared" ref="V32:V35" si="23">SUM(S32:U32)</f>
        <v>1</v>
      </c>
      <c r="W32" s="66">
        <f t="shared" ref="W32:W35" si="24">G42</f>
        <v>8.2884128440600096E-3</v>
      </c>
      <c r="X32" s="66">
        <f t="shared" ref="X32:X34" si="25">H42</f>
        <v>0.13606600232657698</v>
      </c>
      <c r="Y32" s="66">
        <f t="shared" ref="Y32:Y35" si="26">I42</f>
        <v>0.85564558482936304</v>
      </c>
      <c r="Z32" s="58">
        <f t="shared" ref="Z32:Z35" si="27">SUM(W32:Y32)</f>
        <v>1</v>
      </c>
      <c r="AA32" s="26">
        <f t="shared" si="18"/>
        <v>13.237587480511275</v>
      </c>
      <c r="AB32" s="26">
        <f>AA31+AB33-AA32</f>
        <v>9.9598525563712297</v>
      </c>
      <c r="AC32" s="73">
        <f t="shared" ref="AC32:AC35" si="28">W32/S32</f>
        <v>8.4586573559206225E-3</v>
      </c>
      <c r="AD32" s="5">
        <f t="shared" ref="AD32:AD35" si="29">X32/T32</f>
        <v>6.9478917382715286</v>
      </c>
      <c r="AE32" s="74">
        <f t="shared" ref="AE32:AE35" si="30">Y32/U32</f>
        <v>1576.1338567694277</v>
      </c>
      <c r="AG32" s="176">
        <f>AG30*Z26*AB26/X31</f>
        <v>16.769973146654284</v>
      </c>
    </row>
    <row r="33" spans="3:33" x14ac:dyDescent="0.25">
      <c r="R33" s="46">
        <v>3</v>
      </c>
      <c r="S33" s="65">
        <f t="shared" si="20"/>
        <v>0.99556856306394614</v>
      </c>
      <c r="T33" s="66">
        <f t="shared" si="21"/>
        <v>3.9586803569112393E-3</v>
      </c>
      <c r="U33" s="66">
        <f t="shared" si="22"/>
        <v>4.7275657914261902E-4</v>
      </c>
      <c r="V33" s="61">
        <f t="shared" si="23"/>
        <v>1</v>
      </c>
      <c r="W33" s="66">
        <f t="shared" si="24"/>
        <v>2.7835492252622019E-3</v>
      </c>
      <c r="X33" s="66">
        <f t="shared" si="25"/>
        <v>2.9274991955331515E-2</v>
      </c>
      <c r="Y33" s="66">
        <f t="shared" si="26"/>
        <v>0.96794145881940619</v>
      </c>
      <c r="Z33" s="58">
        <f t="shared" si="27"/>
        <v>0.99999999999999989</v>
      </c>
      <c r="AA33" s="26">
        <f t="shared" si="18"/>
        <v>13.02209531153577</v>
      </c>
      <c r="AB33" s="26">
        <f>AA32+AB34-AA33</f>
        <v>8.7974786532853511</v>
      </c>
      <c r="AC33" s="73">
        <f t="shared" si="28"/>
        <v>2.7959392537421977E-3</v>
      </c>
      <c r="AD33" s="5">
        <f t="shared" si="29"/>
        <v>7.3951391160496049</v>
      </c>
      <c r="AE33" s="74">
        <f t="shared" si="30"/>
        <v>2047.4415407921845</v>
      </c>
      <c r="AG33" t="s">
        <v>147</v>
      </c>
    </row>
    <row r="34" spans="3:33" ht="15.75" thickBot="1" x14ac:dyDescent="0.3">
      <c r="R34" s="46">
        <v>4</v>
      </c>
      <c r="S34" s="65">
        <f t="shared" si="20"/>
        <v>0.99876446713853828</v>
      </c>
      <c r="T34" s="66">
        <f t="shared" si="21"/>
        <v>7.7652176383318492E-4</v>
      </c>
      <c r="U34" s="66">
        <f t="shared" si="22"/>
        <v>4.5901109762854148E-4</v>
      </c>
      <c r="V34" s="61">
        <f t="shared" si="23"/>
        <v>1</v>
      </c>
      <c r="W34" s="66">
        <f t="shared" si="24"/>
        <v>2.0645407061898212E-3</v>
      </c>
      <c r="X34" s="66">
        <f t="shared" si="25"/>
        <v>5.8091845316575142E-3</v>
      </c>
      <c r="Y34" s="66">
        <f t="shared" si="26"/>
        <v>0.99212627476215276</v>
      </c>
      <c r="Z34" s="58">
        <f t="shared" si="27"/>
        <v>1</v>
      </c>
      <c r="AA34" s="26">
        <f>(AB36*(W35-W36)+AA35*(S35-W35))/(S34-W35)</f>
        <v>12.979224421533926</v>
      </c>
      <c r="AB34" s="26">
        <f>AA33+AB35-AA34</f>
        <v>8.5819864843098461</v>
      </c>
      <c r="AC34" s="73">
        <f t="shared" si="28"/>
        <v>2.067094669581842E-3</v>
      </c>
      <c r="AD34" s="5">
        <f t="shared" si="29"/>
        <v>7.4810324735540359</v>
      </c>
      <c r="AE34" s="74">
        <f t="shared" si="30"/>
        <v>2161.442892966913</v>
      </c>
      <c r="AG34" s="176">
        <f>AG36+Z26-AG32</f>
        <v>12.954263468924033</v>
      </c>
    </row>
    <row r="35" spans="3:33" ht="18.75" thickBot="1" x14ac:dyDescent="0.4">
      <c r="C35" s="36" t="s">
        <v>38</v>
      </c>
      <c r="D35" s="37" t="s">
        <v>39</v>
      </c>
      <c r="E35" s="37" t="s">
        <v>40</v>
      </c>
      <c r="F35" s="37" t="s">
        <v>41</v>
      </c>
      <c r="G35" s="37" t="s">
        <v>42</v>
      </c>
      <c r="H35" s="38" t="s">
        <v>43</v>
      </c>
      <c r="R35" s="47">
        <v>5</v>
      </c>
      <c r="S35" s="67">
        <f t="shared" si="20"/>
        <v>0.999412835970931</v>
      </c>
      <c r="T35" s="68">
        <f t="shared" si="21"/>
        <v>1.3092017541631464E-4</v>
      </c>
      <c r="U35" s="68">
        <f t="shared" si="22"/>
        <v>4.5624385365271032E-4</v>
      </c>
      <c r="V35" s="62">
        <f t="shared" si="23"/>
        <v>1</v>
      </c>
      <c r="W35" s="68">
        <f t="shared" si="24"/>
        <v>1.9343111252947468E-3</v>
      </c>
      <c r="X35" s="68">
        <f>H45</f>
        <v>9.8167952312441038E-4</v>
      </c>
      <c r="Y35" s="68">
        <f t="shared" si="26"/>
        <v>0.99708400935158081</v>
      </c>
      <c r="Z35" s="59">
        <f t="shared" si="27"/>
        <v>1</v>
      </c>
      <c r="AA35" s="26">
        <f>(AA30*(AA26-W31)+AB36*(AA27-W31))/(S35-W31)</f>
        <v>12.954277142511259</v>
      </c>
      <c r="AB35" s="26">
        <f>AA34+AB36-AA35</f>
        <v>8.5391155943080008</v>
      </c>
      <c r="AC35" s="75">
        <f t="shared" si="28"/>
        <v>1.9354475504765364E-3</v>
      </c>
      <c r="AD35" s="76">
        <f t="shared" si="29"/>
        <v>7.4983058951972517</v>
      </c>
      <c r="AE35" s="77">
        <f t="shared" si="30"/>
        <v>2185.4190502926849</v>
      </c>
      <c r="AG35" t="s">
        <v>148</v>
      </c>
    </row>
    <row r="36" spans="3:33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50"/>
      <c r="W36" s="51">
        <v>0</v>
      </c>
      <c r="X36">
        <f>AB27</f>
        <v>0</v>
      </c>
      <c r="Y36" s="52">
        <v>1</v>
      </c>
      <c r="Z36" s="56"/>
      <c r="AA36" s="83"/>
      <c r="AB36" s="84">
        <f>Z27</f>
        <v>8.5141683152853336</v>
      </c>
      <c r="AG36" s="221">
        <f>(AG32*(W31-S35)+Z26*(S35-AA26))/(AA27-S35)</f>
        <v>8.5145198187033166</v>
      </c>
    </row>
    <row r="37" spans="3:33" ht="18.75" thickBot="1" x14ac:dyDescent="0.4">
      <c r="C37" s="36" t="s">
        <v>44</v>
      </c>
      <c r="D37" s="37" t="s">
        <v>45</v>
      </c>
      <c r="E37" s="37" t="s">
        <v>46</v>
      </c>
      <c r="F37" s="37" t="s">
        <v>47</v>
      </c>
      <c r="G37" s="37" t="s">
        <v>48</v>
      </c>
      <c r="H37" s="38" t="s">
        <v>49</v>
      </c>
    </row>
    <row r="38" spans="3:33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  <c r="AG38" s="113">
        <f>AG36-Z27</f>
        <v>3.5150341798306783E-4</v>
      </c>
    </row>
    <row r="39" spans="3:33" ht="15.75" thickBot="1" x14ac:dyDescent="0.3"/>
    <row r="40" spans="3:33" ht="16.5" thickBot="1" x14ac:dyDescent="0.3">
      <c r="C40" s="16" t="s">
        <v>50</v>
      </c>
      <c r="D40" s="17" t="s">
        <v>51</v>
      </c>
      <c r="E40" s="18" t="s">
        <v>52</v>
      </c>
      <c r="G40" s="16" t="s">
        <v>53</v>
      </c>
      <c r="H40" s="17" t="s">
        <v>54</v>
      </c>
      <c r="I40" s="18" t="s">
        <v>55</v>
      </c>
      <c r="L40" s="39" t="s">
        <v>56</v>
      </c>
      <c r="M40" s="40" t="s">
        <v>57</v>
      </c>
      <c r="N40" s="40" t="s">
        <v>58</v>
      </c>
      <c r="O40" s="40" t="s">
        <v>59</v>
      </c>
      <c r="P40" s="40" t="s">
        <v>60</v>
      </c>
      <c r="Q40" s="40" t="s">
        <v>61</v>
      </c>
      <c r="R40" s="40" t="s">
        <v>62</v>
      </c>
      <c r="S40" s="40" t="s">
        <v>63</v>
      </c>
      <c r="T40" s="40" t="s">
        <v>64</v>
      </c>
      <c r="U40" s="40" t="s">
        <v>65</v>
      </c>
      <c r="V40" s="40" t="s">
        <v>66</v>
      </c>
      <c r="W40" s="40" t="s">
        <v>67</v>
      </c>
      <c r="X40" s="40" t="s">
        <v>68</v>
      </c>
      <c r="Y40" s="40" t="s">
        <v>69</v>
      </c>
      <c r="Z40" s="41" t="s">
        <v>70</v>
      </c>
    </row>
    <row r="41" spans="3:33" x14ac:dyDescent="0.25">
      <c r="C41">
        <f>1-D41-E41</f>
        <v>0.90480952550645077</v>
      </c>
      <c r="D41" s="42">
        <v>9.4228914500917027E-2</v>
      </c>
      <c r="E41" s="42">
        <v>9.6155999263221553E-4</v>
      </c>
      <c r="F41" s="42"/>
      <c r="G41" s="42">
        <v>3.7421739028437567E-2</v>
      </c>
      <c r="H41" s="42">
        <v>0.45521664706950649</v>
      </c>
      <c r="I41">
        <f>1-G41-H41</f>
        <v>0.50736161390205592</v>
      </c>
      <c r="L41">
        <f>$C41+$D$38*$D41+$F$38*$E41</f>
        <v>0.93520880807066886</v>
      </c>
      <c r="M41">
        <f>$C$38*$C41+$D41+$H$38*$E41</f>
        <v>0.48460752017797892</v>
      </c>
      <c r="N41">
        <f>$E$38*$C41+$G$38*$D41+$E41</f>
        <v>6.8893867949617119E-2</v>
      </c>
      <c r="O41">
        <f>$D41*$D$36*$D$38+$E41*$F$36*$F$38</f>
        <v>8.6457648857187389E-2</v>
      </c>
      <c r="P41">
        <f>$C41*$C$36*$C$38+$E41*$H$36*$H$38</f>
        <v>0.82092526686556277</v>
      </c>
      <c r="Q41">
        <f>$C41*$E$36*$E$38+$D41*$G$36*$G$38</f>
        <v>0.43346624834433578</v>
      </c>
      <c r="R41">
        <f>(O41/L41)-(C41*O41/L41^2)+(D41*$C$38/M41)*($C$36-P41/M41)+(E41*$E$38/N41)*($E$36-Q41/N41)</f>
        <v>3.8341406234550214E-2</v>
      </c>
      <c r="S41">
        <f>(P41/M41)-(D41*P41/M41^2)+(C41*$D$38/L41)*($D$36-O41/L41)+(E41*$G$38/N41)*($G$36-Q41/N41)</f>
        <v>2.2120001206113011</v>
      </c>
      <c r="T41">
        <f>(Q41/N41)-(E41*Q41/N41^2)+(C41*$F$38/L41)*($F$36-O41/L41)+(D41*$H$38/M41)*($H$36-P41/M41)</f>
        <v>6.4426765875484229</v>
      </c>
      <c r="U41">
        <f>EXP(R41)</f>
        <v>1.0390859227406444</v>
      </c>
      <c r="V41">
        <f>EXP(S41)</f>
        <v>9.1339671710791404</v>
      </c>
      <c r="W41">
        <f>EXP(T41)</f>
        <v>628.08567828240984</v>
      </c>
      <c r="X41">
        <f>U41/U47</f>
        <v>4.1358693340814399E-2</v>
      </c>
      <c r="Y41">
        <f>V41/V47</f>
        <v>4.8309655903193995</v>
      </c>
      <c r="Z41">
        <f>W41/W47</f>
        <v>527.64426155669742</v>
      </c>
    </row>
    <row r="42" spans="3:33" x14ac:dyDescent="0.25">
      <c r="C42">
        <f t="shared" ref="C42:C45" si="31">1-D42-E42</f>
        <v>0.97987334104017687</v>
      </c>
      <c r="D42">
        <v>1.9583782743342944E-2</v>
      </c>
      <c r="E42" s="42">
        <v>5.4287621648021946E-4</v>
      </c>
      <c r="G42" s="42">
        <v>8.2884128440600096E-3</v>
      </c>
      <c r="H42">
        <v>0.13606600232657698</v>
      </c>
      <c r="I42">
        <f t="shared" ref="I42:I45" si="32">1-G42-H42</f>
        <v>0.85564558482936304</v>
      </c>
      <c r="L42">
        <f>$C42+$D$38*$D42+$F$38*$E42</f>
        <v>0.98622083781632219</v>
      </c>
      <c r="M42">
        <f t="shared" ref="M42:M45" si="33">$C$38*$C42+$D42+$H$38*$E42</f>
        <v>0.44189078981161811</v>
      </c>
      <c r="N42">
        <f t="shared" ref="N42:N45" si="34">$E$38*$C42+$G$38*$D42+$E42</f>
        <v>5.7625384840041524E-2</v>
      </c>
      <c r="O42">
        <f t="shared" ref="O42:O45" si="35">$D42*$D$36*$D$38+$E42*$F$36*$F$38</f>
        <v>1.8149800090540555E-2</v>
      </c>
      <c r="P42">
        <f t="shared" ref="P42:P45" si="36">$C42*$C$36*$C$38+$E42*$H$36*$H$38</f>
        <v>0.88893250124425149</v>
      </c>
      <c r="Q42">
        <f t="shared" ref="Q42:Q45" si="37">$C42*$E$36*$E$38+$D42*$G$36*$G$38</f>
        <v>0.40307851991805571</v>
      </c>
      <c r="R42">
        <f>(O42/L42)-(C42*O42/L42^2)+(D42*$C$38/M42)*($C$36-P42/M42)+(E42*$E$38/N42)*($E$36-Q42/N42)</f>
        <v>2.0891277575497578E-3</v>
      </c>
      <c r="S42">
        <f>(P42/M42)-(D42*P42/M42^2)+(C42*$D$38/L42)*($D$36-O42/L42)+(E42*$G$38/N42)*($G$36-Q42/N42)</f>
        <v>2.81729565372581</v>
      </c>
      <c r="T42">
        <f>(Q42/N42)-(E42*Q42/N42^2)+(C42*$F$38/L42)*($F$36-O42/L42)+(D42*$H$38/M42)*($H$36-P42/M42)</f>
        <v>7.3787685335672517</v>
      </c>
      <c r="U42">
        <f t="shared" ref="U42:U45" si="38">EXP(R42)</f>
        <v>1.002091311505388</v>
      </c>
      <c r="V42">
        <f t="shared" ref="V42:V45" si="39">EXP(S42)</f>
        <v>16.731541551921232</v>
      </c>
      <c r="W42">
        <f t="shared" ref="W42:W45" si="40">EXP(T42)</f>
        <v>1601.6162162921778</v>
      </c>
      <c r="X42">
        <f t="shared" ref="X42:Z42" si="41">U42/U48</f>
        <v>8.4586561781352567E-3</v>
      </c>
      <c r="Y42">
        <f t="shared" si="41"/>
        <v>6.9478917204277355</v>
      </c>
      <c r="Z42">
        <f t="shared" si="41"/>
        <v>1576.1338499921101</v>
      </c>
    </row>
    <row r="43" spans="3:33" x14ac:dyDescent="0.25">
      <c r="C43">
        <f t="shared" si="31"/>
        <v>0.99556856306394614</v>
      </c>
      <c r="D43">
        <v>3.9586803569112393E-3</v>
      </c>
      <c r="E43" s="42">
        <v>4.7275657914261902E-4</v>
      </c>
      <c r="G43" s="42">
        <v>2.7835492252622019E-3</v>
      </c>
      <c r="H43">
        <v>2.9274991955331515E-2</v>
      </c>
      <c r="I43">
        <f t="shared" si="32"/>
        <v>0.96794145881940619</v>
      </c>
      <c r="L43">
        <f t="shared" ref="L43:L45" si="42">$C43+$D$38*$D43+$F$38*$E43</f>
        <v>0.99688292602392348</v>
      </c>
      <c r="M43">
        <f t="shared" si="33"/>
        <v>0.43295765282660964</v>
      </c>
      <c r="N43">
        <f t="shared" si="34"/>
        <v>5.5283178775462509E-2</v>
      </c>
      <c r="O43">
        <f t="shared" si="35"/>
        <v>3.8605023131800223E-3</v>
      </c>
      <c r="P43">
        <f t="shared" si="36"/>
        <v>0.90315565760213845</v>
      </c>
      <c r="Q43">
        <f t="shared" si="37"/>
        <v>0.39671067870989601</v>
      </c>
      <c r="R43">
        <f>(O43/L43)-(C43*O43/L43^2)+(D43*$C$38/M43)*($C$36-P43/M43)+(E43*$E$38/N43)*($E$36-Q43/N43)</f>
        <v>1.3897740425617401E-4</v>
      </c>
      <c r="S43">
        <f>(P43/M43)-(D43*P43/M43^2)+(C43*$D$38/L43)*($D$36-O43/L43)+(E43*$G$38/N43)*($G$36-Q43/N43)</f>
        <v>2.971245747150733</v>
      </c>
      <c r="T43">
        <f>(Q43/N43)-(E43*Q43/N43^2)+(C43*$F$38/L43)*($F$36-O43/L43)+(D43*$H$38/M43)*($H$36-P43/M43)</f>
        <v>7.6258902768406749</v>
      </c>
      <c r="U43">
        <f t="shared" si="38"/>
        <v>1.0001389870620629</v>
      </c>
      <c r="V43">
        <f t="shared" si="39"/>
        <v>19.516216730230841</v>
      </c>
      <c r="W43">
        <f t="shared" si="40"/>
        <v>2050.6052589851088</v>
      </c>
      <c r="X43">
        <f t="shared" ref="X43:Z43" si="43">U43/U49</f>
        <v>2.7959391485245684E-3</v>
      </c>
      <c r="Y43">
        <f t="shared" si="43"/>
        <v>7.3951391111647675</v>
      </c>
      <c r="Z43">
        <f t="shared" si="43"/>
        <v>2047.441537839901</v>
      </c>
    </row>
    <row r="44" spans="3:33" x14ac:dyDescent="0.25">
      <c r="C44">
        <f t="shared" si="31"/>
        <v>0.99876446713853828</v>
      </c>
      <c r="D44">
        <v>7.7652176383318492E-4</v>
      </c>
      <c r="E44" s="42">
        <v>4.5901109762854148E-4</v>
      </c>
      <c r="G44" s="42">
        <v>2.0645407061898212E-3</v>
      </c>
      <c r="H44">
        <v>5.8091845316575142E-3</v>
      </c>
      <c r="I44">
        <f t="shared" si="32"/>
        <v>0.99212627476215276</v>
      </c>
      <c r="L44">
        <f t="shared" si="42"/>
        <v>0.99905384417372523</v>
      </c>
      <c r="M44">
        <f t="shared" si="33"/>
        <v>0.43113861954659782</v>
      </c>
      <c r="N44">
        <f t="shared" si="34"/>
        <v>5.4806678386505034E-2</v>
      </c>
      <c r="O44">
        <f t="shared" si="35"/>
        <v>9.5067186004741625E-4</v>
      </c>
      <c r="P44">
        <f t="shared" si="36"/>
        <v>0.90605191975461763</v>
      </c>
      <c r="Q44">
        <f t="shared" si="37"/>
        <v>0.39541361302998401</v>
      </c>
      <c r="R44">
        <f>(O44/L44)-(C44*O44/L44^2)+(D44*$C$38/M44)*($C$36-P44/M44)+(E44*$E$38/N44)*($E$36-Q44/N44)</f>
        <v>3.6576228194723924E-5</v>
      </c>
      <c r="S44">
        <f>(P44/M44)-(D44*P44/M44^2)+(C44*$D$38/L44)*($D$36-O44/L44)+(E44*$G$38/N44)*($G$36-Q44/N44)</f>
        <v>3.0039756945048715</v>
      </c>
      <c r="T44">
        <f>(Q44/N44)-(E44*Q44/N44^2)+(C44*$F$38/L44)*($F$36-O44/L44)+(D44*$H$38/M44)*($H$36-P44/M44)</f>
        <v>7.6789540733802717</v>
      </c>
      <c r="U44">
        <f t="shared" si="38"/>
        <v>1.0000365768971131</v>
      </c>
      <c r="V44">
        <f t="shared" si="39"/>
        <v>20.16554983000627</v>
      </c>
      <c r="W44">
        <f t="shared" si="40"/>
        <v>2162.3569220002487</v>
      </c>
      <c r="X44">
        <f t="shared" ref="X44:Z44" si="44">U44/U50</f>
        <v>2.0670946521399013E-3</v>
      </c>
      <c r="Y44">
        <f t="shared" si="44"/>
        <v>7.4810324725413277</v>
      </c>
      <c r="Z44">
        <f t="shared" si="44"/>
        <v>2161.442892217186</v>
      </c>
    </row>
    <row r="45" spans="3:33" ht="15.75" thickBot="1" x14ac:dyDescent="0.3">
      <c r="C45">
        <f t="shared" si="31"/>
        <v>0.999412835970931</v>
      </c>
      <c r="D45">
        <v>1.3092017541631464E-4</v>
      </c>
      <c r="E45" s="42">
        <v>4.5624385365271032E-4</v>
      </c>
      <c r="G45" s="42">
        <v>1.9343111252947468E-3</v>
      </c>
      <c r="H45">
        <v>9.8167952312441038E-4</v>
      </c>
      <c r="I45">
        <f t="shared" si="32"/>
        <v>0.99708400935158081</v>
      </c>
      <c r="L45">
        <f t="shared" si="42"/>
        <v>0.99949426401868724</v>
      </c>
      <c r="M45">
        <f t="shared" si="33"/>
        <v>0.43076958154290568</v>
      </c>
      <c r="N45">
        <f t="shared" si="34"/>
        <v>5.471002549848223E-2</v>
      </c>
      <c r="O45">
        <f t="shared" si="35"/>
        <v>3.6033198699207084E-4</v>
      </c>
      <c r="P45">
        <f t="shared" si="36"/>
        <v>0.90663950293004458</v>
      </c>
      <c r="Q45">
        <f t="shared" si="37"/>
        <v>0.39515045372022822</v>
      </c>
      <c r="R45">
        <f>(O45/L45)-(C45*O45/L45^2)+(D45*$C$38/M45)*($C$36-P45/M45)+(E45*$E$38/N45)*($E$36-Q45/N45)</f>
        <v>2.8549147446842686E-5</v>
      </c>
      <c r="S45">
        <f>(P45/M45)-(D45*P45/M45^2)+(C45*$D$38/L45)*($D$36-O45/L45)+(E45*$G$38/N45)*($G$36-Q45/N45)</f>
        <v>3.0106750604615033</v>
      </c>
      <c r="T45">
        <f>(Q45/N45)-(E45*Q45/N45^2)+(C45*$F$38/L45)*($F$36-O45/L45)+(D45*$H$38/M45)*($H$36-P45/M45)</f>
        <v>7.689838435756819</v>
      </c>
      <c r="U45">
        <f t="shared" si="38"/>
        <v>1.0000285495549777</v>
      </c>
      <c r="V45">
        <f t="shared" si="39"/>
        <v>20.301099770388802</v>
      </c>
      <c r="W45">
        <f t="shared" si="40"/>
        <v>2186.0213508107195</v>
      </c>
      <c r="X45">
        <f t="shared" ref="X45:Z45" si="45">U45/U51</f>
        <v>1.9354475474552613E-3</v>
      </c>
      <c r="Y45">
        <f t="shared" si="45"/>
        <v>7.4983058950136439</v>
      </c>
      <c r="Z45">
        <f t="shared" si="45"/>
        <v>2185.4190501493222</v>
      </c>
    </row>
    <row r="46" spans="3:33" ht="16.5" thickBot="1" x14ac:dyDescent="0.3">
      <c r="L46" s="39" t="s">
        <v>71</v>
      </c>
      <c r="M46" s="40" t="s">
        <v>72</v>
      </c>
      <c r="N46" s="40" t="s">
        <v>73</v>
      </c>
      <c r="O46" s="40" t="s">
        <v>74</v>
      </c>
      <c r="P46" s="40" t="s">
        <v>75</v>
      </c>
      <c r="Q46" s="40" t="s">
        <v>76</v>
      </c>
      <c r="R46" s="40" t="s">
        <v>77</v>
      </c>
      <c r="S46" s="40" t="s">
        <v>78</v>
      </c>
      <c r="T46" s="40" t="s">
        <v>79</v>
      </c>
      <c r="U46" s="40" t="s">
        <v>80</v>
      </c>
      <c r="V46" s="40" t="s">
        <v>81</v>
      </c>
      <c r="W46" s="40" t="s">
        <v>82</v>
      </c>
      <c r="X46" s="40" t="s">
        <v>83</v>
      </c>
      <c r="Y46" s="40" t="s">
        <v>84</v>
      </c>
      <c r="Z46" s="41" t="s">
        <v>85</v>
      </c>
    </row>
    <row r="47" spans="3:33" ht="15.75" thickBot="1" x14ac:dyDescent="0.3">
      <c r="L47">
        <f>$G41+$D$38*$H41+$F$38*$I41</f>
        <v>0.22759024184638393</v>
      </c>
      <c r="M47">
        <f>$C$38*$G41+$H41+$H$38*$I41</f>
        <v>0.93726487686404347</v>
      </c>
      <c r="N47">
        <f>$E$38*$G41+$G$38*$H41+$I41</f>
        <v>0.60039698056743052</v>
      </c>
      <c r="O47">
        <f>$H41*$D$36*$D$38+$I41*$F$36*$F$38</f>
        <v>0.68312775293181316</v>
      </c>
      <c r="P47">
        <f>$G41*$C$36*$C$38+$I41*$H$36*$H$38</f>
        <v>0.13315336330302752</v>
      </c>
      <c r="Q47">
        <f>$G41*$E$36*$E$38+$H41*$G$36*$G$38</f>
        <v>0.38105482862426865</v>
      </c>
      <c r="R47">
        <f>(O47/L47)-(G41*O47/L47^2)+(H41*$C$38/M47)*($C$36-P47/M47)+(I41*$E$38/N47)*($E$36-Q47/N47)</f>
        <v>3.2238140478556394</v>
      </c>
      <c r="S47">
        <f>(P47/M47)-(H41*P47/M47^2)+(G41*$D$38/L47)*($D$36-O47/L47)+(I41*$G$38/N47)*($G$36-Q47/N47)</f>
        <v>0.63695375774719665</v>
      </c>
      <c r="T47">
        <f>(Q47/N47)-(I41*Q47/N47^2)+(G41*$F$38/L47)*($F$36-O47/L47)+(H41*$H$38/M47)*($H$36-P47/M47)</f>
        <v>0.17425427796341297</v>
      </c>
      <c r="U47">
        <f>EXP(R47)</f>
        <v>25.123760902650016</v>
      </c>
      <c r="V47">
        <f>EXP(S47)</f>
        <v>1.8907125294749298</v>
      </c>
      <c r="W47">
        <f>EXP(T47)</f>
        <v>1.1903582092021285</v>
      </c>
      <c r="X47">
        <f>U47/U41</f>
        <v>24.178713572006405</v>
      </c>
      <c r="Y47">
        <f>V47/V41</f>
        <v>0.20699795544059854</v>
      </c>
      <c r="Z47">
        <f>W47/W41</f>
        <v>1.8952162903273537E-3</v>
      </c>
    </row>
    <row r="48" spans="3:33" ht="15.75" thickBot="1" x14ac:dyDescent="0.3">
      <c r="C48" s="232" t="s">
        <v>86</v>
      </c>
      <c r="D48" s="233"/>
      <c r="E48" s="233"/>
      <c r="F48" s="233"/>
      <c r="G48" s="233"/>
      <c r="H48" s="233"/>
      <c r="I48" s="234"/>
      <c r="L48">
        <f t="shared" ref="L48:L51" si="46">$G42+$D$38*$H42+$F$38*$I42</f>
        <v>0.12578176726428195</v>
      </c>
      <c r="M48">
        <f t="shared" ref="M48:M51" si="47">$C$38*$G42+$H42+$H$38*$I42</f>
        <v>0.92542223910627053</v>
      </c>
      <c r="N48">
        <f t="shared" ref="N48:N51" si="48">$E$38*$G42+$G$38*$H42+$I42</f>
        <v>0.88329701839010477</v>
      </c>
      <c r="O48">
        <f t="shared" ref="O48:O51" si="49">$H42*$D$36*$D$38+$I42*$F$36*$F$38</f>
        <v>0.57592537659791065</v>
      </c>
      <c r="P48">
        <f t="shared" ref="P48:P51" si="50">$G42*$C$36*$C$38+$I42*$H$36*$H$38</f>
        <v>0.17482995692366818</v>
      </c>
      <c r="Q48">
        <f t="shared" ref="Q48:Q51" si="51">$G42*$E$36*$E$38+$H42*$G$36*$G$38</f>
        <v>0.11275359719111111</v>
      </c>
      <c r="R48">
        <f>(O48/L48)-(G42*O48/L48^2)+(H42*$C$38/M48)*($C$36-P48/M48)+(I42*$E$38/N48)*($E$36-Q48/N48)</f>
        <v>4.7746540899306797</v>
      </c>
      <c r="S48">
        <f>(P48/M48)-(H42*P48/M48^2)+(G42*$D$38/L48)*($D$36-O48/L48)+(I42*$G$38/N48)*($G$36-Q48/N48)</f>
        <v>0.87885738974764283</v>
      </c>
      <c r="T48">
        <f>(Q48/N48)-(I42*Q48/N48^2)+(G42*$F$38/L48)*($F$36-O48/L48)+(H42*$H$38/M48)*($H$36-P48/M48)</f>
        <v>1.6038336557752886E-2</v>
      </c>
      <c r="U48">
        <f t="shared" ref="U48:U51" si="52">EXP(R48)</f>
        <v>118.46932779886355</v>
      </c>
      <c r="V48">
        <f t="shared" ref="V48:V51" si="53">EXP(S48)</f>
        <v>2.4081465608809434</v>
      </c>
      <c r="W48">
        <f t="shared" ref="W48:W51" si="54">EXP(T48)</f>
        <v>1.0161676410288347</v>
      </c>
      <c r="X48">
        <f t="shared" ref="X48:Z48" si="55">U48/U42</f>
        <v>118.22208858481513</v>
      </c>
      <c r="Y48">
        <f t="shared" si="55"/>
        <v>0.14392855275217742</v>
      </c>
      <c r="Z48">
        <f t="shared" si="55"/>
        <v>6.3446388135436963E-4</v>
      </c>
    </row>
    <row r="49" spans="2:26" ht="15.75" thickBot="1" x14ac:dyDescent="0.3">
      <c r="B49" s="19" t="s">
        <v>87</v>
      </c>
      <c r="C49" s="17" t="s">
        <v>50</v>
      </c>
      <c r="D49" s="17" t="s">
        <v>51</v>
      </c>
      <c r="E49" s="17" t="s">
        <v>52</v>
      </c>
      <c r="F49" s="17"/>
      <c r="G49" s="17" t="s">
        <v>53</v>
      </c>
      <c r="H49" s="17" t="s">
        <v>54</v>
      </c>
      <c r="I49" s="17" t="s">
        <v>88</v>
      </c>
      <c r="J49" s="19" t="s">
        <v>87</v>
      </c>
      <c r="L49">
        <f t="shared" si="46"/>
        <v>9.5593483399885618E-2</v>
      </c>
      <c r="M49">
        <f t="shared" si="47"/>
        <v>0.91938926379790575</v>
      </c>
      <c r="N49">
        <f t="shared" si="48"/>
        <v>0.97394501862177341</v>
      </c>
      <c r="O49">
        <f t="shared" si="49"/>
        <v>0.53781368343883285</v>
      </c>
      <c r="P49">
        <f t="shared" si="50"/>
        <v>0.19179475935403142</v>
      </c>
      <c r="Q49">
        <f t="shared" si="51"/>
        <v>2.4654646163117293E-2</v>
      </c>
      <c r="R49">
        <f>(O49/L49)-(G43*O49/L49^2)+(H43*$C$38/M49)*($C$36-P49/M49)+(I43*$E$38/N49)*($E$36-Q49/N49)</f>
        <v>5.8797261960125473</v>
      </c>
      <c r="S49">
        <f>(P49/M49)-(H43*P49/M49^2)+(G43*$D$38/L49)*($D$36-O49/L49)+(I43*$G$38/N49)*($G$36-Q49/N49)</f>
        <v>0.97042283964837039</v>
      </c>
      <c r="T49">
        <f>(Q49/N49)-(I43*Q49/N49^2)+(G43*$F$38/L49)*($F$36-O49/L49)+(H43*$H$38/M49)*($H$36-P49/M49)</f>
        <v>1.5440144686389677E-3</v>
      </c>
      <c r="U49">
        <f t="shared" si="52"/>
        <v>357.71128552273444</v>
      </c>
      <c r="V49">
        <f t="shared" si="53"/>
        <v>2.639060122718496</v>
      </c>
      <c r="W49">
        <f t="shared" si="54"/>
        <v>1.0015452070726989</v>
      </c>
      <c r="X49">
        <f t="shared" ref="X49:Z49" si="56">U49/U43</f>
        <v>357.66157519118582</v>
      </c>
      <c r="Y49">
        <f t="shared" si="56"/>
        <v>0.13522396062709027</v>
      </c>
      <c r="Z49">
        <f t="shared" si="56"/>
        <v>4.8841443407220478E-4</v>
      </c>
    </row>
    <row r="50" spans="2:26" x14ac:dyDescent="0.25">
      <c r="B50" s="43">
        <f>SUM(C50:E50)</f>
        <v>0.99999998455663153</v>
      </c>
      <c r="C50">
        <f>G41*X47</f>
        <v>0.90480950933496518</v>
      </c>
      <c r="D50">
        <f>H41*Y47</f>
        <v>9.4228915225912382E-2</v>
      </c>
      <c r="E50">
        <f>I41*Z47</f>
        <v>9.6155999575395354E-4</v>
      </c>
      <c r="G50">
        <f>C41*X41</f>
        <v>3.7421739697269085E-2</v>
      </c>
      <c r="H50">
        <f>D41*Y41</f>
        <v>0.45521664356707886</v>
      </c>
      <c r="I50">
        <f>E41*Z41</f>
        <v>0.50736161225488874</v>
      </c>
      <c r="J50" s="43">
        <f>SUM(G50:I50)</f>
        <v>0.99999999551923668</v>
      </c>
      <c r="L50">
        <f t="shared" si="46"/>
        <v>8.9408376582483101E-2</v>
      </c>
      <c r="M50">
        <f t="shared" si="47"/>
        <v>0.9178242434545405</v>
      </c>
      <c r="N50">
        <f t="shared" si="48"/>
        <v>0.99339964192023233</v>
      </c>
      <c r="O50">
        <f t="shared" si="49"/>
        <v>0.52918012064900333</v>
      </c>
      <c r="P50">
        <f t="shared" si="50"/>
        <v>0.19587162236892652</v>
      </c>
      <c r="Q50">
        <f t="shared" si="51"/>
        <v>5.4900790235271656E-3</v>
      </c>
      <c r="R50">
        <f>(O50/L50)-(G44*O50/L50^2)+(H44*$C$38/M50)*($C$36-P50/M50)+(I44*$E$38/N50)*($E$36-Q50/N50)</f>
        <v>6.1816477835224033</v>
      </c>
      <c r="S50">
        <f>(P50/M50)-(H44*P50/M50^2)+(G44*$D$38/L50)*($D$36-O50/L50)+(I44*$G$38/N50)*($G$36-Q50/N50)</f>
        <v>0.99160488095548693</v>
      </c>
      <c r="T50">
        <f>(Q50/N50)-(I44*Q50/N50^2)+(G44*$F$38/L50)*($F$36-O50/L50)+(H44*$H$38/M50)*($H$36-P50/M50)</f>
        <v>4.2279006242260537E-4</v>
      </c>
      <c r="U50">
        <f t="shared" si="52"/>
        <v>483.7884786078148</v>
      </c>
      <c r="V50">
        <f t="shared" si="53"/>
        <v>2.695557050984966</v>
      </c>
      <c r="W50">
        <f t="shared" si="54"/>
        <v>1.0004228794507382</v>
      </c>
      <c r="X50">
        <f t="shared" ref="X50:Z50" si="57">U50/U44</f>
        <v>483.7707837736304</v>
      </c>
      <c r="Y50">
        <f t="shared" si="57"/>
        <v>0.13367138876491164</v>
      </c>
      <c r="Z50">
        <f t="shared" si="57"/>
        <v>4.6265390753591007E-4</v>
      </c>
    </row>
    <row r="51" spans="2:26" x14ac:dyDescent="0.25">
      <c r="B51" s="43">
        <f t="shared" ref="B51:B54" si="58">SUM(C51:E51)</f>
        <v>1.0000001364904352</v>
      </c>
      <c r="C51">
        <f t="shared" ref="C51:E51" si="59">G42*X48</f>
        <v>0.97987347747798192</v>
      </c>
      <c r="D51">
        <f t="shared" si="59"/>
        <v>1.9583782793638631E-2</v>
      </c>
      <c r="E51">
        <f t="shared" si="59"/>
        <v>5.4287621881456724E-4</v>
      </c>
      <c r="G51">
        <f t="shared" ref="G51:I51" si="60">C42*X42</f>
        <v>8.2884116899795274E-3</v>
      </c>
      <c r="H51">
        <f t="shared" si="60"/>
        <v>0.13606600197712801</v>
      </c>
      <c r="I51">
        <f t="shared" si="60"/>
        <v>0.85564558115011846</v>
      </c>
      <c r="J51" s="43">
        <f t="shared" ref="J51:J54" si="61">SUM(G51:I51)</f>
        <v>0.99999999481722601</v>
      </c>
      <c r="L51">
        <f t="shared" si="46"/>
        <v>8.8152109594725081E-2</v>
      </c>
      <c r="M51">
        <f t="shared" si="47"/>
        <v>0.91749364957511992</v>
      </c>
      <c r="N51">
        <f t="shared" si="48"/>
        <v>0.99738521703850969</v>
      </c>
      <c r="O51">
        <f t="shared" si="49"/>
        <v>0.52739464007264947</v>
      </c>
      <c r="P51">
        <f t="shared" si="50"/>
        <v>0.19672292147459852</v>
      </c>
      <c r="Q51">
        <f t="shared" si="51"/>
        <v>1.5544388593860148E-3</v>
      </c>
      <c r="R51">
        <f>(O51/L51)-(G45*O51/L51^2)+(H45*$C$38/M51)*($C$36-P51/M51)+(I45*$E$38/N51)*($E$36-Q51/N51)</f>
        <v>6.2474452377168497</v>
      </c>
      <c r="S51">
        <f>(P51/M51)-(H45*P51/M51^2)+(G45*$D$38/L51)*($D$36-O51/L51)+(I45*$G$38/N51)*($G$36-Q51/N51)</f>
        <v>0.99599794609896575</v>
      </c>
      <c r="T51">
        <f>(Q51/N51)-(I45*Q51/N51^2)+(G45*$F$38/L51)*($F$36-O51/L51)+(H45*$H$38/M51)*($H$36-P51/M51)</f>
        <v>2.7556165014922858E-4</v>
      </c>
      <c r="U51">
        <f t="shared" si="52"/>
        <v>516.6911140887396</v>
      </c>
      <c r="V51">
        <f t="shared" si="53"/>
        <v>2.7074248576453765</v>
      </c>
      <c r="W51">
        <f t="shared" si="54"/>
        <v>1.0002755996207484</v>
      </c>
      <c r="X51">
        <f t="shared" ref="X51:Z51" si="62">U51/U45</f>
        <v>516.67636320850249</v>
      </c>
      <c r="Y51">
        <f t="shared" si="62"/>
        <v>0.13336345755979331</v>
      </c>
      <c r="Z51">
        <f t="shared" si="62"/>
        <v>4.5757814728103225E-4</v>
      </c>
    </row>
    <row r="52" spans="2:26" x14ac:dyDescent="0.25">
      <c r="B52" s="43">
        <f t="shared" si="58"/>
        <v>1.0000000374688345</v>
      </c>
      <c r="C52">
        <f t="shared" ref="C52:E52" si="63">G43*X49</f>
        <v>0.99556860052948404</v>
      </c>
      <c r="D52">
        <f t="shared" si="63"/>
        <v>3.9586803595261337E-3</v>
      </c>
      <c r="E52">
        <f t="shared" si="63"/>
        <v>4.7275657982430458E-4</v>
      </c>
      <c r="G52">
        <f t="shared" ref="G52:I52" si="64">C43*X43</f>
        <v>2.7835491205108376E-3</v>
      </c>
      <c r="H52">
        <f t="shared" si="64"/>
        <v>2.9274991935994008E-2</v>
      </c>
      <c r="I52">
        <f t="shared" si="64"/>
        <v>0.96794145742369475</v>
      </c>
      <c r="J52" s="43">
        <f t="shared" si="61"/>
        <v>0.9999999984801996</v>
      </c>
    </row>
    <row r="53" spans="2:26" x14ac:dyDescent="0.25">
      <c r="B53" s="43">
        <f t="shared" si="58"/>
        <v>1.0000000084277403</v>
      </c>
      <c r="C53">
        <f t="shared" ref="C53:E53" si="65">G44*X50</f>
        <v>0.99876447556601422</v>
      </c>
      <c r="D53">
        <f t="shared" si="65"/>
        <v>7.7652176393830277E-4</v>
      </c>
      <c r="E53">
        <f t="shared" si="65"/>
        <v>4.5901109778775592E-4</v>
      </c>
      <c r="G53">
        <f t="shared" ref="G53:I53" si="66">C44*X44</f>
        <v>2.0645406887694305E-3</v>
      </c>
      <c r="H53">
        <f t="shared" si="66"/>
        <v>5.8091845308711242E-3</v>
      </c>
      <c r="I53">
        <f t="shared" si="66"/>
        <v>0.99212627441801982</v>
      </c>
      <c r="J53" s="43">
        <f t="shared" si="61"/>
        <v>0.9999999996376604</v>
      </c>
    </row>
    <row r="54" spans="2:26" x14ac:dyDescent="0.25">
      <c r="B54" s="43">
        <f t="shared" si="58"/>
        <v>1.0000000015601378</v>
      </c>
      <c r="C54">
        <f t="shared" ref="C54:E54" si="67">G45*X51</f>
        <v>0.99941283753103571</v>
      </c>
      <c r="D54">
        <f t="shared" si="67"/>
        <v>1.3092017541952044E-4</v>
      </c>
      <c r="E54">
        <f t="shared" si="67"/>
        <v>4.5624385368263977E-4</v>
      </c>
      <c r="G54">
        <f t="shared" ref="G54:I54" si="68">C45*X45</f>
        <v>1.9343111222752457E-3</v>
      </c>
      <c r="H54">
        <f t="shared" si="68"/>
        <v>9.8167952310037232E-4</v>
      </c>
      <c r="I54">
        <f t="shared" si="68"/>
        <v>0.99708400928617258</v>
      </c>
      <c r="J54" s="43">
        <f t="shared" si="61"/>
        <v>0.9999999999315482</v>
      </c>
    </row>
    <row r="55" spans="2:26" ht="15.75" thickBot="1" x14ac:dyDescent="0.3"/>
    <row r="56" spans="2:26" ht="15.75" thickBot="1" x14ac:dyDescent="0.3">
      <c r="C56" s="20" t="s">
        <v>89</v>
      </c>
      <c r="D56" s="21"/>
      <c r="E56" s="21"/>
      <c r="F56" s="21"/>
      <c r="G56" s="21"/>
      <c r="H56" s="21"/>
      <c r="I56" s="44"/>
    </row>
    <row r="57" spans="2:26" ht="15.75" thickBot="1" x14ac:dyDescent="0.3">
      <c r="C57" s="16" t="s">
        <v>90</v>
      </c>
      <c r="D57" s="17" t="s">
        <v>91</v>
      </c>
      <c r="E57" s="18" t="s">
        <v>92</v>
      </c>
      <c r="G57" s="16" t="s">
        <v>90</v>
      </c>
      <c r="H57" s="17" t="s">
        <v>91</v>
      </c>
      <c r="I57" s="18" t="s">
        <v>92</v>
      </c>
    </row>
    <row r="58" spans="2:26" x14ac:dyDescent="0.25">
      <c r="C58">
        <f>(C41+C50)/2</f>
        <v>0.90480951742070803</v>
      </c>
      <c r="D58">
        <f>(D41+D50)/2</f>
        <v>9.4228914863414698E-2</v>
      </c>
      <c r="E58">
        <f>(E41+E50)/2</f>
        <v>9.6155999419308448E-4</v>
      </c>
      <c r="G58">
        <f>(G41+G50)/2</f>
        <v>3.7421739362853326E-2</v>
      </c>
      <c r="H58">
        <f>(H41+H50)/2</f>
        <v>0.45521664531829265</v>
      </c>
      <c r="I58">
        <f>(I41+I50)/2</f>
        <v>0.50736161307847238</v>
      </c>
    </row>
    <row r="59" spans="2:26" x14ac:dyDescent="0.25">
      <c r="C59">
        <f t="shared" ref="C59:D62" si="69">(C42+C51)/2</f>
        <v>0.9798734092590794</v>
      </c>
      <c r="D59">
        <f t="shared" si="69"/>
        <v>1.9583782768490786E-2</v>
      </c>
      <c r="E59">
        <f t="shared" ref="E59:E62" si="70">(E42+E51)/2</f>
        <v>5.4287621764739335E-4</v>
      </c>
      <c r="G59">
        <f t="shared" ref="G59:I59" si="71">(G42+G51)/2</f>
        <v>8.2884122670197694E-3</v>
      </c>
      <c r="H59">
        <f t="shared" si="71"/>
        <v>0.13606600215185249</v>
      </c>
      <c r="I59">
        <f t="shared" si="71"/>
        <v>0.85564558298974069</v>
      </c>
    </row>
    <row r="60" spans="2:26" x14ac:dyDescent="0.25">
      <c r="C60">
        <f t="shared" si="69"/>
        <v>0.99556858179671504</v>
      </c>
      <c r="D60">
        <f t="shared" si="69"/>
        <v>3.9586803582186865E-3</v>
      </c>
      <c r="E60">
        <f t="shared" si="70"/>
        <v>4.7275657948346182E-4</v>
      </c>
      <c r="G60">
        <f t="shared" ref="G60:I60" si="72">(G43+G52)/2</f>
        <v>2.7835491728865199E-3</v>
      </c>
      <c r="H60">
        <f t="shared" si="72"/>
        <v>2.9274991945662764E-2</v>
      </c>
      <c r="I60">
        <f t="shared" si="72"/>
        <v>0.96794145812155041</v>
      </c>
    </row>
    <row r="61" spans="2:26" x14ac:dyDescent="0.25">
      <c r="C61">
        <f t="shared" si="69"/>
        <v>0.99876447135227631</v>
      </c>
      <c r="D61">
        <f t="shared" si="69"/>
        <v>7.7652176388574379E-4</v>
      </c>
      <c r="E61">
        <f t="shared" si="70"/>
        <v>4.590110977081487E-4</v>
      </c>
      <c r="G61">
        <f t="shared" ref="G61:I61" si="73">(G44+G53)/2</f>
        <v>2.0645406974796258E-3</v>
      </c>
      <c r="H61">
        <f t="shared" si="73"/>
        <v>5.8091845312643192E-3</v>
      </c>
      <c r="I61">
        <f t="shared" si="73"/>
        <v>0.99212627459008629</v>
      </c>
    </row>
    <row r="62" spans="2:26" x14ac:dyDescent="0.25">
      <c r="C62">
        <f t="shared" si="69"/>
        <v>0.99941283675098336</v>
      </c>
      <c r="D62">
        <f t="shared" si="69"/>
        <v>1.3092017541791752E-4</v>
      </c>
      <c r="E62">
        <f t="shared" si="70"/>
        <v>4.5624385366767502E-4</v>
      </c>
      <c r="G62">
        <f t="shared" ref="G62:I62" si="74">(G45+G54)/2</f>
        <v>1.9343111237849963E-3</v>
      </c>
      <c r="H62">
        <f t="shared" si="74"/>
        <v>9.8167952311239135E-4</v>
      </c>
      <c r="I62">
        <f t="shared" si="74"/>
        <v>0.99708400931887664</v>
      </c>
    </row>
  </sheetData>
  <mergeCells count="1">
    <mergeCell ref="C48:I48"/>
  </mergeCells>
  <pageMargins left="0.7" right="0.7" top="0.75" bottom="0.75" header="0.3" footer="0.3"/>
  <ignoredErrors>
    <ignoredError sqref="V31:V3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1"/>
  <dimension ref="A1:AI61"/>
  <sheetViews>
    <sheetView topLeftCell="A6" zoomScale="55" zoomScaleNormal="55" workbookViewId="0">
      <selection activeCell="AG30" sqref="AG30"/>
    </sheetView>
  </sheetViews>
  <sheetFormatPr defaultRowHeight="15" x14ac:dyDescent="0.25"/>
  <cols>
    <col min="2" max="2" width="16.5703125" bestFit="1" customWidth="1"/>
    <col min="3" max="4" width="16" bestFit="1" customWidth="1"/>
    <col min="5" max="5" width="13.5703125" bestFit="1" customWidth="1"/>
    <col min="15" max="15" width="14.28515625" customWidth="1"/>
    <col min="16" max="16" width="11" customWidth="1"/>
    <col min="19" max="19" width="16" bestFit="1" customWidth="1"/>
    <col min="20" max="21" width="12" bestFit="1" customWidth="1"/>
    <col min="22" max="22" width="12.140625" bestFit="1" customWidth="1"/>
    <col min="23" max="23" width="16" bestFit="1" customWidth="1"/>
    <col min="24" max="24" width="16" customWidth="1"/>
    <col min="25" max="25" width="16" bestFit="1" customWidth="1"/>
    <col min="28" max="28" width="10.28515625" bestFit="1" customWidth="1"/>
    <col min="33" max="33" width="10.42578125" customWidth="1"/>
    <col min="34" max="34" width="11.28515625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185" t="s">
        <v>1</v>
      </c>
      <c r="C2" s="186"/>
      <c r="D2" s="186"/>
      <c r="E2" s="18" t="s">
        <v>2</v>
      </c>
      <c r="G2" s="22" t="s">
        <v>21</v>
      </c>
      <c r="H2" s="22"/>
      <c r="I2" s="22"/>
    </row>
    <row r="3" spans="1:26" ht="15.75" thickBot="1" x14ac:dyDescent="0.3">
      <c r="B3" s="48" t="s">
        <v>3</v>
      </c>
      <c r="C3" s="49" t="s">
        <v>4</v>
      </c>
      <c r="D3" s="69" t="s">
        <v>5</v>
      </c>
      <c r="E3" s="13" t="s">
        <v>6</v>
      </c>
      <c r="G3" s="48" t="s">
        <v>22</v>
      </c>
      <c r="H3" s="49" t="s">
        <v>23</v>
      </c>
      <c r="I3" s="69" t="s">
        <v>24</v>
      </c>
      <c r="L3">
        <v>1</v>
      </c>
      <c r="M3">
        <v>2</v>
      </c>
      <c r="N3">
        <v>3</v>
      </c>
      <c r="O3">
        <v>4</v>
      </c>
      <c r="P3" s="69" t="s">
        <v>26</v>
      </c>
      <c r="S3" s="19" t="s">
        <v>27</v>
      </c>
      <c r="Z3" s="19" t="s">
        <v>28</v>
      </c>
    </row>
    <row r="4" spans="1:26" ht="15.75" thickBot="1" x14ac:dyDescent="0.3">
      <c r="A4" s="48" t="s">
        <v>0</v>
      </c>
      <c r="B4" s="1">
        <f>AA26</f>
        <v>0.64</v>
      </c>
      <c r="C4" s="1">
        <f t="shared" ref="C4:D4" si="0">AB26</f>
        <v>0.36</v>
      </c>
      <c r="D4" s="1">
        <f t="shared" si="0"/>
        <v>0</v>
      </c>
      <c r="E4" s="10">
        <f>AA30</f>
        <v>21.209716796875</v>
      </c>
      <c r="G4" s="5" t="s">
        <v>25</v>
      </c>
      <c r="H4" s="5" t="s">
        <v>25</v>
      </c>
      <c r="I4" s="5" t="s">
        <v>25</v>
      </c>
      <c r="K4" s="19" t="s">
        <v>29</v>
      </c>
      <c r="L4" s="1">
        <f>E$9*$G$5+E$5</f>
        <v>14.968545201979559</v>
      </c>
      <c r="M4" s="2">
        <f>-$E$10*$G$6</f>
        <v>-8.0852753907884461E-2</v>
      </c>
      <c r="N4" s="2">
        <v>0</v>
      </c>
      <c r="O4" s="3">
        <v>0</v>
      </c>
      <c r="P4" s="3">
        <f>$B$4*$E$4</f>
        <v>13.57421875</v>
      </c>
      <c r="T4" s="1">
        <f t="array" ref="T4:W7">MINVERSE(L4:O7)</f>
        <v>6.7198949658758916E-2</v>
      </c>
      <c r="U4" s="2">
        <v>4.1609466491988336E-4</v>
      </c>
      <c r="V4" s="2">
        <v>9.4733110489179714E-7</v>
      </c>
      <c r="W4" s="3">
        <v>1.7801713057357134E-9</v>
      </c>
      <c r="X4" s="5"/>
      <c r="Z4" s="23">
        <f t="array" ref="Z4:Z7">MMULT(T4:W7,P4:P7)</f>
        <v>0.91217324243823139</v>
      </c>
    </row>
    <row r="5" spans="1:26" x14ac:dyDescent="0.25">
      <c r="A5" s="79" t="s">
        <v>7</v>
      </c>
      <c r="B5" s="189">
        <f>S31</f>
        <v>0.91217324243823139</v>
      </c>
      <c r="C5" s="190">
        <f t="shared" ref="C5:D8" si="1">T31</f>
        <v>8.6914014810304807E-2</v>
      </c>
      <c r="D5" s="191">
        <f t="shared" si="1"/>
        <v>9.1274275146378814E-4</v>
      </c>
      <c r="E5" s="11">
        <f t="shared" ref="E5:E8" si="2">AA31</f>
        <v>14.108605535261866</v>
      </c>
      <c r="G5" s="5">
        <f>B9/B5</f>
        <v>4.170339082020353E-2</v>
      </c>
      <c r="H5" s="5">
        <f t="shared" ref="H5:I8" si="3">C9/C5</f>
        <v>4.9836859340866617</v>
      </c>
      <c r="I5" s="5">
        <f t="shared" si="3"/>
        <v>579.36053596885779</v>
      </c>
      <c r="L5" s="25">
        <f>-$E$5</f>
        <v>-14.108605535261866</v>
      </c>
      <c r="M5" s="5">
        <f>$E$6+$E$10*$G$6</f>
        <v>13.087265899967244</v>
      </c>
      <c r="N5" s="5">
        <f>-$G$7*$E$11</f>
        <v>-2.9260634739400299E-2</v>
      </c>
      <c r="O5" s="6">
        <v>0</v>
      </c>
      <c r="P5" s="6">
        <v>0</v>
      </c>
      <c r="T5" s="4">
        <v>7.2607489651742421E-2</v>
      </c>
      <c r="U5" s="5">
        <v>7.7033019892578436E-2</v>
      </c>
      <c r="V5" s="5">
        <v>1.753826280422009E-4</v>
      </c>
      <c r="W5" s="6">
        <v>3.2956916578908916E-7</v>
      </c>
      <c r="X5" s="5"/>
      <c r="Z5" s="24">
        <v>0.98558994742111294</v>
      </c>
    </row>
    <row r="6" spans="1:26" x14ac:dyDescent="0.25">
      <c r="A6" s="79" t="s">
        <v>8</v>
      </c>
      <c r="B6" s="189">
        <f t="shared" ref="B6:B8" si="4">S32</f>
        <v>0.98558994742111294</v>
      </c>
      <c r="C6" s="190">
        <f t="shared" si="1"/>
        <v>1.389323269313289E-2</v>
      </c>
      <c r="D6" s="191">
        <f t="shared" si="1"/>
        <v>5.1681988575410522E-4</v>
      </c>
      <c r="E6" s="11">
        <f t="shared" si="2"/>
        <v>13.00641314605936</v>
      </c>
      <c r="G6" s="5">
        <f t="shared" ref="G6:G9" si="5">B10/B6</f>
        <v>5.9805578031188536E-3</v>
      </c>
      <c r="H6" s="5">
        <f t="shared" si="3"/>
        <v>7.1161206112076592</v>
      </c>
      <c r="I6" s="5">
        <f t="shared" si="3"/>
        <v>1732.2083137708617</v>
      </c>
      <c r="L6" s="4">
        <v>0</v>
      </c>
      <c r="M6" s="26">
        <f>-$E$6</f>
        <v>-13.00641314605936</v>
      </c>
      <c r="N6" s="5">
        <f>$E$7+$E$11*$G$7</f>
        <v>12.876241232311539</v>
      </c>
      <c r="O6" s="6">
        <f>-$E$12*$G$8</f>
        <v>-2.4096946226169147E-2</v>
      </c>
      <c r="P6" s="6">
        <v>0</v>
      </c>
      <c r="T6" s="4">
        <v>7.3479276894449275E-2</v>
      </c>
      <c r="U6" s="5">
        <v>7.7957943813397684E-2</v>
      </c>
      <c r="V6" s="5">
        <v>7.7985784890731352E-2</v>
      </c>
      <c r="W6" s="6">
        <v>1.4654649868549861E-4</v>
      </c>
      <c r="X6" s="5"/>
      <c r="Z6" s="24">
        <v>0.99742377815707517</v>
      </c>
    </row>
    <row r="7" spans="1:26" ht="15.75" thickBot="1" x14ac:dyDescent="0.3">
      <c r="A7" s="79" t="s">
        <v>9</v>
      </c>
      <c r="B7" s="189">
        <f t="shared" si="4"/>
        <v>0.99742377815707495</v>
      </c>
      <c r="C7" s="190">
        <f t="shared" si="1"/>
        <v>2.111465832462342E-3</v>
      </c>
      <c r="D7" s="191">
        <f t="shared" si="1"/>
        <v>4.6475601046267064E-4</v>
      </c>
      <c r="E7" s="11">
        <f t="shared" si="2"/>
        <v>12.84698059757214</v>
      </c>
      <c r="G7" s="5">
        <f t="shared" si="5"/>
        <v>2.3564838877238744E-3</v>
      </c>
      <c r="H7" s="5">
        <f t="shared" si="3"/>
        <v>7.445163032852494</v>
      </c>
      <c r="I7" s="5">
        <f t="shared" si="3"/>
        <v>2112.7846815774087</v>
      </c>
      <c r="L7" s="7">
        <v>0</v>
      </c>
      <c r="M7" s="8">
        <v>0</v>
      </c>
      <c r="N7" s="27">
        <f>-$E$7</f>
        <v>-12.84698059757214</v>
      </c>
      <c r="O7" s="9">
        <f>$E$8+$E$12*$G$8</f>
        <v>12.823365155591427</v>
      </c>
      <c r="P7" s="170">
        <f>$E$13*$B$13</f>
        <v>0</v>
      </c>
      <c r="T7" s="7">
        <v>7.3614595945200076E-2</v>
      </c>
      <c r="U7" s="8">
        <v>7.8101510753644895E-2</v>
      </c>
      <c r="V7" s="8">
        <v>7.8129403102960487E-2</v>
      </c>
      <c r="W7" s="9">
        <v>7.8129466631338934E-2</v>
      </c>
      <c r="X7" s="5"/>
      <c r="Z7" s="24">
        <v>0.99926062855300879</v>
      </c>
    </row>
    <row r="8" spans="1:26" ht="15.75" thickBot="1" x14ac:dyDescent="0.3">
      <c r="A8" s="79" t="s">
        <v>10</v>
      </c>
      <c r="B8" s="189">
        <f t="shared" si="4"/>
        <v>0.9992606285530089</v>
      </c>
      <c r="C8" s="190">
        <f t="shared" si="1"/>
        <v>2.8247861704451386E-4</v>
      </c>
      <c r="D8" s="191">
        <f t="shared" si="1"/>
        <v>4.5689282994650099E-4</v>
      </c>
      <c r="E8" s="11">
        <f t="shared" si="2"/>
        <v>12.799268209365257</v>
      </c>
      <c r="G8" s="5">
        <f t="shared" si="5"/>
        <v>1.9658713614239486E-3</v>
      </c>
      <c r="H8" s="5">
        <f t="shared" si="3"/>
        <v>7.4942548298300959</v>
      </c>
      <c r="I8" s="5">
        <f t="shared" si="3"/>
        <v>2179.7641594074366</v>
      </c>
      <c r="L8" s="5"/>
      <c r="M8" s="5"/>
      <c r="N8" s="5"/>
      <c r="O8" s="26"/>
      <c r="T8" s="5"/>
      <c r="U8" s="5"/>
      <c r="V8" s="5"/>
      <c r="W8" s="5"/>
      <c r="X8" s="5"/>
      <c r="Z8" s="24"/>
    </row>
    <row r="9" spans="1:26" ht="15.75" thickBot="1" x14ac:dyDescent="0.3">
      <c r="A9" s="48" t="s">
        <v>12</v>
      </c>
      <c r="B9" s="192">
        <f t="shared" ref="B9:D13" si="6">W31</f>
        <v>3.804071722513383E-2</v>
      </c>
      <c r="C9" s="193">
        <f t="shared" si="6"/>
        <v>0.43315215308511584</v>
      </c>
      <c r="D9" s="194">
        <f t="shared" si="6"/>
        <v>0.5288071296897503</v>
      </c>
      <c r="E9" s="10">
        <f>AB31</f>
        <v>20.620377619296328</v>
      </c>
      <c r="G9" s="5">
        <f t="shared" si="5"/>
        <v>0</v>
      </c>
      <c r="H9" s="5"/>
      <c r="I9" s="5"/>
    </row>
    <row r="10" spans="1:26" ht="15.75" thickBot="1" x14ac:dyDescent="0.3">
      <c r="A10" s="79" t="s">
        <v>13</v>
      </c>
      <c r="B10" s="189">
        <f t="shared" si="6"/>
        <v>5.8943776507248379E-3</v>
      </c>
      <c r="C10" s="190">
        <f t="shared" si="6"/>
        <v>9.8865919523907053E-2</v>
      </c>
      <c r="D10" s="191">
        <f t="shared" si="6"/>
        <v>0.89523970282536802</v>
      </c>
      <c r="E10" s="11">
        <f>AB32</f>
        <v>13.519266357683199</v>
      </c>
      <c r="L10">
        <v>1</v>
      </c>
      <c r="M10">
        <v>2</v>
      </c>
      <c r="N10">
        <v>3</v>
      </c>
      <c r="O10">
        <v>4</v>
      </c>
      <c r="P10" s="18" t="s">
        <v>30</v>
      </c>
      <c r="S10" s="19" t="s">
        <v>27</v>
      </c>
      <c r="Z10" s="19" t="s">
        <v>31</v>
      </c>
    </row>
    <row r="11" spans="1:26" ht="15.75" thickBot="1" x14ac:dyDescent="0.3">
      <c r="A11" s="79" t="s">
        <v>14</v>
      </c>
      <c r="B11" s="189">
        <f t="shared" si="6"/>
        <v>2.350413062459819E-3</v>
      </c>
      <c r="C11" s="190">
        <f t="shared" si="6"/>
        <v>1.5720207360979746E-2</v>
      </c>
      <c r="D11" s="191">
        <f t="shared" si="6"/>
        <v>0.98192937957656035</v>
      </c>
      <c r="E11" s="11">
        <f>AB33</f>
        <v>12.417073968480691</v>
      </c>
      <c r="K11" s="16" t="s">
        <v>32</v>
      </c>
      <c r="L11" s="1">
        <f>E$9*$H$5+E$5</f>
        <v>116.87409143210436</v>
      </c>
      <c r="M11" s="2">
        <f>-$E$10*$H$6</f>
        <v>-96.204729976315704</v>
      </c>
      <c r="N11" s="2">
        <v>0</v>
      </c>
      <c r="O11" s="3">
        <v>0</v>
      </c>
      <c r="P11" s="3">
        <f>$C$4*$E$4</f>
        <v>7.635498046875</v>
      </c>
      <c r="T11" s="1">
        <f t="array" ref="T11:W14">MINVERSE(L11:O14)</f>
        <v>9.7278831078276388E-3</v>
      </c>
      <c r="U11" s="2">
        <v>9.7059556625083091E-3</v>
      </c>
      <c r="V11" s="2">
        <v>9.5437646008891854E-3</v>
      </c>
      <c r="W11" s="3">
        <v>8.3766343417303081E-3</v>
      </c>
      <c r="X11" s="5"/>
      <c r="Z11" s="23">
        <f t="array" ref="Z11:Z14">MMULT(T11:W14,P11:P14)</f>
        <v>7.4277232470046237E-2</v>
      </c>
    </row>
    <row r="12" spans="1:26" x14ac:dyDescent="0.25">
      <c r="A12" s="79" t="s">
        <v>15</v>
      </c>
      <c r="B12" s="189">
        <f t="shared" si="6"/>
        <v>1.9644178522708541E-3</v>
      </c>
      <c r="C12" s="190">
        <f t="shared" si="6"/>
        <v>2.116966740109574E-3</v>
      </c>
      <c r="D12" s="191">
        <f t="shared" si="6"/>
        <v>0.99591861540761961</v>
      </c>
      <c r="E12" s="11">
        <f>AB34</f>
        <v>12.257641419993471</v>
      </c>
      <c r="L12" s="25">
        <f>-$E$5</f>
        <v>-14.108605535261866</v>
      </c>
      <c r="M12" s="5">
        <f>$E$6+$E$10*$H$6</f>
        <v>109.21114312237506</v>
      </c>
      <c r="N12" s="5">
        <f>-$H$7*$E$11</f>
        <v>-92.447140086327465</v>
      </c>
      <c r="O12" s="6">
        <v>0</v>
      </c>
      <c r="P12" s="6">
        <v>0</v>
      </c>
      <c r="T12" s="4">
        <v>1.4233967479435072E-3</v>
      </c>
      <c r="U12" s="5">
        <v>1.1791257558908122E-2</v>
      </c>
      <c r="V12" s="5">
        <v>1.1594220126654942E-2</v>
      </c>
      <c r="W12" s="6">
        <v>1.0176334658282526E-2</v>
      </c>
      <c r="X12" s="5"/>
      <c r="Z12" s="24">
        <v>1.0868343088850875E-2</v>
      </c>
    </row>
    <row r="13" spans="1:26" ht="15.75" thickBot="1" x14ac:dyDescent="0.3">
      <c r="A13" s="80" t="s">
        <v>17</v>
      </c>
      <c r="B13" s="195">
        <f t="shared" si="6"/>
        <v>0</v>
      </c>
      <c r="C13" s="196">
        <f t="shared" si="6"/>
        <v>0</v>
      </c>
      <c r="D13" s="197">
        <f t="shared" si="6"/>
        <v>1</v>
      </c>
      <c r="E13" s="12">
        <f>AB35</f>
        <v>12.209929031786587</v>
      </c>
      <c r="L13" s="4">
        <v>0</v>
      </c>
      <c r="M13" s="26">
        <f>-$E$6</f>
        <v>-13.00641314605936</v>
      </c>
      <c r="N13" s="5">
        <f>$E$7+$E$11*$H$7</f>
        <v>105.29412068389961</v>
      </c>
      <c r="O13" s="6">
        <f>-$E$12*$H$8</f>
        <v>-91.861888414111505</v>
      </c>
      <c r="P13" s="6">
        <v>0</v>
      </c>
      <c r="T13" s="4">
        <v>1.9691166737127047E-4</v>
      </c>
      <c r="U13" s="5">
        <v>1.631193965901098E-3</v>
      </c>
      <c r="V13" s="5">
        <v>1.2240171221223612E-2</v>
      </c>
      <c r="W13" s="6">
        <v>1.0743290817421033E-2</v>
      </c>
      <c r="X13" s="5"/>
      <c r="Z13" s="24">
        <v>1.5035186516202353E-3</v>
      </c>
    </row>
    <row r="14" spans="1:26" ht="15.75" thickBot="1" x14ac:dyDescent="0.3">
      <c r="L14" s="7">
        <v>0</v>
      </c>
      <c r="M14" s="8">
        <v>0</v>
      </c>
      <c r="N14" s="27">
        <f>-$E$7</f>
        <v>-12.84698059757214</v>
      </c>
      <c r="O14" s="9">
        <f>$E$8+$E$12*$H$8</f>
        <v>104.66115662347676</v>
      </c>
      <c r="P14" s="9">
        <f>$E$13*$C$13</f>
        <v>0</v>
      </c>
      <c r="T14" s="7">
        <v>2.4170575328677803E-5</v>
      </c>
      <c r="U14" s="8">
        <v>2.0022631037986725E-4</v>
      </c>
      <c r="V14" s="8">
        <v>1.5024603899203206E-3</v>
      </c>
      <c r="W14" s="9">
        <v>1.0873363962329952E-2</v>
      </c>
      <c r="X14" s="5"/>
      <c r="Z14" s="24">
        <v>1.8455438071396442E-4</v>
      </c>
    </row>
    <row r="15" spans="1:26" x14ac:dyDescent="0.25">
      <c r="L15" s="5"/>
      <c r="M15" s="5"/>
      <c r="N15" s="5"/>
      <c r="O15" s="26"/>
      <c r="T15" s="5"/>
      <c r="U15" s="5"/>
      <c r="V15" s="5"/>
      <c r="W15" s="5"/>
      <c r="X15" s="5"/>
    </row>
    <row r="16" spans="1:26" ht="15.75" thickBot="1" x14ac:dyDescent="0.3"/>
    <row r="17" spans="1:35" ht="15.75" thickBot="1" x14ac:dyDescent="0.3">
      <c r="L17">
        <v>1</v>
      </c>
      <c r="M17">
        <v>2</v>
      </c>
      <c r="N17">
        <v>3</v>
      </c>
      <c r="O17">
        <v>4</v>
      </c>
      <c r="P17" s="18" t="s">
        <v>33</v>
      </c>
      <c r="S17" s="19" t="s">
        <v>27</v>
      </c>
      <c r="Z17" s="19" t="s">
        <v>34</v>
      </c>
    </row>
    <row r="18" spans="1:35" ht="15.75" thickBot="1" x14ac:dyDescent="0.3">
      <c r="A18" t="s">
        <v>3</v>
      </c>
      <c r="B18" t="s">
        <v>18</v>
      </c>
      <c r="K18" s="16" t="s">
        <v>35</v>
      </c>
      <c r="L18" s="1">
        <f>E$9*$I$5+E$5</f>
        <v>11960.741634931022</v>
      </c>
      <c r="M18" s="2">
        <f>-$E$10*$I$6</f>
        <v>-23418.185580861551</v>
      </c>
      <c r="N18" s="2">
        <v>0</v>
      </c>
      <c r="O18" s="3">
        <v>0</v>
      </c>
      <c r="P18" s="3">
        <f>$D$4*$E$4</f>
        <v>0</v>
      </c>
      <c r="T18" s="1">
        <f t="array" ref="T18:W21">MINVERSE(L18:O21)</f>
        <v>8.370559282596666E-5</v>
      </c>
      <c r="U18" s="2">
        <v>8.3705592815066173E-5</v>
      </c>
      <c r="V18" s="2">
        <v>8.3705573188620237E-5</v>
      </c>
      <c r="W18" s="3">
        <v>8.3665494352489641E-5</v>
      </c>
      <c r="X18" s="5"/>
      <c r="Z18" s="23">
        <f t="array" ref="Z18:Z21">MMULT(T18:W21,P18:P21)</f>
        <v>1.02154974845324E-3</v>
      </c>
    </row>
    <row r="19" spans="1:35" x14ac:dyDescent="0.25">
      <c r="A19" t="s">
        <v>4</v>
      </c>
      <c r="B19" t="s">
        <v>19</v>
      </c>
      <c r="L19" s="25">
        <f>-$E$5</f>
        <v>-14.108605535261866</v>
      </c>
      <c r="M19" s="5">
        <f>$E$6+$E$10*$I$6</f>
        <v>23431.191994007611</v>
      </c>
      <c r="N19" s="5">
        <f>-$I$7*$E$11</f>
        <v>-26234.60367061961</v>
      </c>
      <c r="O19" s="6">
        <v>0</v>
      </c>
      <c r="P19" s="6">
        <v>0</v>
      </c>
      <c r="T19" s="4">
        <v>5.0429576879267824E-8</v>
      </c>
      <c r="U19" s="5">
        <v>4.2752286064295156E-5</v>
      </c>
      <c r="V19" s="5">
        <v>4.2752276040168899E-5</v>
      </c>
      <c r="W19" s="6">
        <v>4.273180594002678E-5</v>
      </c>
      <c r="X19" s="5"/>
      <c r="Z19" s="24">
        <v>5.2175231792780344E-4</v>
      </c>
    </row>
    <row r="20" spans="1:35" x14ac:dyDescent="0.25">
      <c r="A20" t="s">
        <v>5</v>
      </c>
      <c r="B20" t="s">
        <v>20</v>
      </c>
      <c r="L20" s="4">
        <v>0</v>
      </c>
      <c r="M20" s="26">
        <f>-$E$6</f>
        <v>-13.00641314605936</v>
      </c>
      <c r="N20" s="5">
        <f>$E$7+$E$11*$I$7</f>
        <v>26247.450651217183</v>
      </c>
      <c r="O20" s="6">
        <f>-$E$12*$I$8</f>
        <v>-26718.767446169844</v>
      </c>
      <c r="P20" s="6">
        <v>0</v>
      </c>
      <c r="T20" s="4">
        <v>2.5001626329754093E-11</v>
      </c>
      <c r="U20" s="5">
        <v>2.1195432265498316E-8</v>
      </c>
      <c r="V20" s="5">
        <v>3.8138781577452226E-5</v>
      </c>
      <c r="W20" s="6">
        <v>3.8120520451952024E-5</v>
      </c>
      <c r="X20" s="5"/>
      <c r="Z20" s="24">
        <v>4.6544884937310335E-4</v>
      </c>
    </row>
    <row r="21" spans="1:35" ht="15.75" thickBot="1" x14ac:dyDescent="0.3">
      <c r="L21" s="7">
        <v>0</v>
      </c>
      <c r="M21" s="8">
        <v>0</v>
      </c>
      <c r="N21" s="27">
        <f>-$E$7</f>
        <v>-12.84698059757214</v>
      </c>
      <c r="O21" s="9">
        <f>$E$8+$E$12*$I$8</f>
        <v>26731.566714379209</v>
      </c>
      <c r="P21" s="188">
        <f>$E$13*$D$13</f>
        <v>12.209929031786587</v>
      </c>
      <c r="T21" s="7">
        <v>1.2015584862570925E-14</v>
      </c>
      <c r="U21" s="8">
        <v>1.0186357948318066E-11</v>
      </c>
      <c r="V21" s="8">
        <v>1.8329198291135367E-8</v>
      </c>
      <c r="W21" s="9">
        <v>3.742727630881586E-5</v>
      </c>
      <c r="X21" s="5"/>
      <c r="Z21" s="24">
        <v>4.5698438758370907E-4</v>
      </c>
    </row>
    <row r="22" spans="1:35" x14ac:dyDescent="0.25">
      <c r="L22" s="5"/>
      <c r="M22" s="5"/>
      <c r="N22" s="5"/>
      <c r="O22" s="26"/>
      <c r="P22" s="5"/>
      <c r="T22" s="5"/>
      <c r="U22" s="5"/>
      <c r="V22" s="5"/>
      <c r="W22" s="5"/>
      <c r="X22" s="5"/>
    </row>
    <row r="24" spans="1:35" ht="15.75" thickBot="1" x14ac:dyDescent="0.3"/>
    <row r="25" spans="1:35" ht="15.75" thickBot="1" x14ac:dyDescent="0.3">
      <c r="R25" s="5"/>
      <c r="S25" s="5"/>
      <c r="T25" s="5"/>
      <c r="U25" s="5"/>
      <c r="V25" s="5"/>
      <c r="Y25" s="13"/>
      <c r="Z25" s="16" t="s">
        <v>93</v>
      </c>
      <c r="AA25" s="17" t="s">
        <v>28</v>
      </c>
      <c r="AB25" s="17" t="s">
        <v>31</v>
      </c>
      <c r="AC25" s="18" t="s">
        <v>34</v>
      </c>
      <c r="AE25" s="54" t="s">
        <v>94</v>
      </c>
      <c r="AF25" s="54" t="s">
        <v>95</v>
      </c>
      <c r="AG25" s="54" t="s">
        <v>96</v>
      </c>
      <c r="AH25" s="54" t="s">
        <v>97</v>
      </c>
      <c r="AI25" s="54" t="s">
        <v>98</v>
      </c>
    </row>
    <row r="26" spans="1:35" ht="15.75" thickBot="1" x14ac:dyDescent="0.3">
      <c r="L26" s="33" t="s">
        <v>36</v>
      </c>
      <c r="M26" s="34"/>
      <c r="N26" s="35"/>
      <c r="R26" s="5"/>
      <c r="S26" s="5"/>
      <c r="T26" s="5"/>
      <c r="U26" s="5"/>
      <c r="V26" s="5"/>
      <c r="Y26" s="14" t="s">
        <v>0</v>
      </c>
      <c r="Z26" s="42">
        <v>21.209716796875</v>
      </c>
      <c r="AA26" s="2">
        <v>0.64</v>
      </c>
      <c r="AB26" s="2">
        <v>0.36</v>
      </c>
      <c r="AC26" s="3">
        <v>0</v>
      </c>
      <c r="AE26">
        <f>Z27</f>
        <v>12.209929031786587</v>
      </c>
      <c r="AF26">
        <f>AE26/Z26</f>
        <v>0.57567619354472355</v>
      </c>
      <c r="AG26">
        <f>AB31*W31/Z26/AA26</f>
        <v>5.7787042373332161E-2</v>
      </c>
      <c r="AH26" s="203">
        <f>X31*AB31/Z26/AB26</f>
        <v>1.1697679586051188</v>
      </c>
      <c r="AI26" s="176">
        <f>AA34*U33/AB35/AC27</f>
        <v>4.8718848523527275E-4</v>
      </c>
    </row>
    <row r="27" spans="1:35" ht="21.75" thickBot="1" x14ac:dyDescent="0.4">
      <c r="D27" s="42">
        <v>7.9456081449663041E-2</v>
      </c>
      <c r="E27" s="42">
        <v>8.6489515299703135E-4</v>
      </c>
      <c r="F27" s="42"/>
      <c r="G27" s="42">
        <v>3.9447119444380369E-2</v>
      </c>
      <c r="H27" s="42">
        <v>0.40879441379318648</v>
      </c>
      <c r="L27" s="29" t="s">
        <v>3</v>
      </c>
      <c r="M27" s="30" t="s">
        <v>4</v>
      </c>
      <c r="N27" s="31" t="s">
        <v>5</v>
      </c>
      <c r="O27" s="32" t="s">
        <v>37</v>
      </c>
      <c r="R27" s="5"/>
      <c r="S27" s="5"/>
      <c r="T27" s="5"/>
      <c r="U27" s="5"/>
      <c r="V27" s="5"/>
      <c r="Y27" s="15" t="s">
        <v>17</v>
      </c>
      <c r="Z27" s="169">
        <v>12.209929031786587</v>
      </c>
      <c r="AA27" s="8">
        <v>0</v>
      </c>
      <c r="AB27" s="8">
        <v>0</v>
      </c>
      <c r="AC27" s="9">
        <v>1</v>
      </c>
      <c r="AI27" s="94"/>
    </row>
    <row r="28" spans="1:35" ht="15.75" thickBot="1" x14ac:dyDescent="0.3">
      <c r="D28">
        <v>1.1437324358764425E-2</v>
      </c>
      <c r="E28" s="42">
        <v>5.0576182900048086E-4</v>
      </c>
      <c r="G28" s="42">
        <v>5.000043332967375E-3</v>
      </c>
      <c r="H28">
        <v>8.2197906001059667E-2</v>
      </c>
      <c r="L28" s="1">
        <f>Z4</f>
        <v>0.91217324243823139</v>
      </c>
      <c r="M28" s="2">
        <f>Z11</f>
        <v>7.4277232470046237E-2</v>
      </c>
      <c r="N28" s="3">
        <f>Z18</f>
        <v>1.02154974845324E-3</v>
      </c>
      <c r="O28" s="177">
        <f>SUM(L28:N28)</f>
        <v>0.9874720246567309</v>
      </c>
      <c r="R28" s="5"/>
      <c r="S28" s="5"/>
      <c r="T28" s="5"/>
      <c r="U28" s="5"/>
      <c r="V28" s="5"/>
      <c r="AG28" s="42"/>
    </row>
    <row r="29" spans="1:35" ht="15.75" thickBot="1" x14ac:dyDescent="0.3">
      <c r="D29">
        <v>1.5678775964239364E-3</v>
      </c>
      <c r="E29" s="42">
        <v>4.6241295193522432E-4</v>
      </c>
      <c r="G29" s="42">
        <v>2.2312871729255777E-3</v>
      </c>
      <c r="H29">
        <v>1.1696045976290027E-2</v>
      </c>
      <c r="L29" s="4">
        <f>Z5</f>
        <v>0.98558994742111294</v>
      </c>
      <c r="M29" s="5">
        <f>Z12</f>
        <v>1.0868343088850875E-2</v>
      </c>
      <c r="N29" s="6">
        <f>Z19</f>
        <v>5.2175231792780344E-4</v>
      </c>
      <c r="O29" s="178">
        <f t="shared" ref="O29:O31" si="7">SUM(L29:N29)</f>
        <v>0.99698004282789165</v>
      </c>
      <c r="R29" s="5"/>
      <c r="S29" s="5"/>
      <c r="T29" s="5"/>
      <c r="U29" s="5"/>
      <c r="V29" s="5"/>
      <c r="AA29" s="16" t="s">
        <v>99</v>
      </c>
      <c r="AB29" s="18" t="s">
        <v>100</v>
      </c>
      <c r="AG29" s="54" t="s">
        <v>109</v>
      </c>
    </row>
    <row r="30" spans="1:35" ht="15.75" thickBot="1" x14ac:dyDescent="0.3">
      <c r="D30">
        <v>1.9111604972204621E-4</v>
      </c>
      <c r="E30" s="42">
        <v>4.5650156594373307E-4</v>
      </c>
      <c r="G30" s="42">
        <v>1.9462348202803968E-3</v>
      </c>
      <c r="H30">
        <v>1.4327391506525741E-3</v>
      </c>
      <c r="L30" s="4">
        <f>Z6</f>
        <v>0.99742377815707517</v>
      </c>
      <c r="M30" s="5">
        <f>Z13</f>
        <v>1.5035186516202353E-3</v>
      </c>
      <c r="N30" s="6">
        <f>Z20</f>
        <v>4.6544884937310335E-4</v>
      </c>
      <c r="O30" s="178">
        <f t="shared" si="7"/>
        <v>0.99939274565806846</v>
      </c>
      <c r="R30" s="19" t="s">
        <v>101</v>
      </c>
      <c r="S30" s="48" t="s">
        <v>102</v>
      </c>
      <c r="T30" s="49" t="s">
        <v>103</v>
      </c>
      <c r="U30" s="49" t="s">
        <v>104</v>
      </c>
      <c r="V30" s="28" t="s">
        <v>37</v>
      </c>
      <c r="W30" s="48" t="s">
        <v>105</v>
      </c>
      <c r="X30" s="49" t="s">
        <v>106</v>
      </c>
      <c r="Y30" s="49" t="s">
        <v>107</v>
      </c>
      <c r="Z30" s="55" t="s">
        <v>108</v>
      </c>
      <c r="AA30" s="81">
        <f>Z26</f>
        <v>21.209716796875</v>
      </c>
      <c r="AB30" s="82"/>
      <c r="AC30" s="49" t="s">
        <v>22</v>
      </c>
      <c r="AD30" s="49" t="s">
        <v>23</v>
      </c>
      <c r="AE30" s="69" t="s">
        <v>24</v>
      </c>
      <c r="AG30">
        <v>0.99980000000000002</v>
      </c>
      <c r="AI30">
        <f>ABS(AH26-AG30)</f>
        <v>0.16996795860511882</v>
      </c>
    </row>
    <row r="31" spans="1:35" x14ac:dyDescent="0.25">
      <c r="L31" s="4">
        <f>Z7</f>
        <v>0.99926062855300879</v>
      </c>
      <c r="M31" s="5">
        <f>Z14</f>
        <v>1.8455438071396442E-4</v>
      </c>
      <c r="N31" s="6">
        <f>Z21</f>
        <v>4.5698438758370907E-4</v>
      </c>
      <c r="O31" s="178">
        <f t="shared" si="7"/>
        <v>0.99990216732130643</v>
      </c>
      <c r="R31" s="45">
        <v>1</v>
      </c>
      <c r="S31" s="63">
        <f>C41</f>
        <v>0.91217324243823139</v>
      </c>
      <c r="T31" s="64">
        <f t="shared" ref="T31:U34" si="8">D41</f>
        <v>8.6914014810304807E-2</v>
      </c>
      <c r="U31" s="64">
        <f t="shared" si="8"/>
        <v>9.1274275146378814E-4</v>
      </c>
      <c r="V31" s="198">
        <f>SUM(S31:U31)</f>
        <v>1</v>
      </c>
      <c r="W31" s="64">
        <f>G41</f>
        <v>3.804071722513383E-2</v>
      </c>
      <c r="X31" s="64">
        <f t="shared" ref="X31:Y34" si="9">H41</f>
        <v>0.43315215308511584</v>
      </c>
      <c r="Y31" s="64">
        <f t="shared" si="9"/>
        <v>0.5288071296897503</v>
      </c>
      <c r="Z31" s="57">
        <f>SUM(W31:Y31)</f>
        <v>1</v>
      </c>
      <c r="AA31" s="26">
        <f>(AB33*(W32-W33)+AA32*(S32-W32))/(S31-W32)</f>
        <v>14.108605535261866</v>
      </c>
      <c r="AB31" s="26">
        <f>Z27+Z26-AA34</f>
        <v>20.620377619296328</v>
      </c>
      <c r="AC31" s="70">
        <f>W31/S31</f>
        <v>4.170339082020353E-2</v>
      </c>
      <c r="AD31" s="71">
        <f t="shared" ref="AD31:AE34" si="10">X31/T31</f>
        <v>4.9836859340866617</v>
      </c>
      <c r="AE31" s="72">
        <f t="shared" si="10"/>
        <v>579.36053596885779</v>
      </c>
      <c r="AG31" t="s">
        <v>146</v>
      </c>
    </row>
    <row r="32" spans="1:35" x14ac:dyDescent="0.25">
      <c r="L32" s="5"/>
      <c r="M32" s="5"/>
      <c r="N32" s="5"/>
      <c r="O32" s="179"/>
      <c r="R32" s="46">
        <v>2</v>
      </c>
      <c r="S32" s="65">
        <f t="shared" ref="S32:S34" si="11">C42</f>
        <v>0.98558994742111294</v>
      </c>
      <c r="T32" s="66">
        <f t="shared" si="8"/>
        <v>1.389323269313289E-2</v>
      </c>
      <c r="U32" s="66">
        <f t="shared" si="8"/>
        <v>5.1681988575410522E-4</v>
      </c>
      <c r="V32" s="61">
        <f t="shared" ref="V32:V34" si="12">SUM(S32:U32)</f>
        <v>1</v>
      </c>
      <c r="W32" s="66">
        <f t="shared" ref="W32:W34" si="13">G42</f>
        <v>5.8943776507248379E-3</v>
      </c>
      <c r="X32" s="66">
        <f t="shared" si="9"/>
        <v>9.8865919523907053E-2</v>
      </c>
      <c r="Y32" s="66">
        <f t="shared" si="9"/>
        <v>0.89523970282536802</v>
      </c>
      <c r="Z32" s="58">
        <f t="shared" ref="Z32:Z34" si="14">SUM(W32:Y32)</f>
        <v>0.99999999999999989</v>
      </c>
      <c r="AA32" s="26">
        <f>(AB34*(W33-W34)+AA33*(S33-W33))/(S32-W33)</f>
        <v>13.00641314605936</v>
      </c>
      <c r="AB32" s="26">
        <f>AA31+AB33-AA32</f>
        <v>13.519266357683199</v>
      </c>
      <c r="AC32" s="73">
        <f t="shared" ref="AC32:AC34" si="15">W32/S32</f>
        <v>5.9805578031188536E-3</v>
      </c>
      <c r="AD32" s="5">
        <f t="shared" si="10"/>
        <v>7.1161206112076592</v>
      </c>
      <c r="AE32" s="74">
        <f t="shared" si="10"/>
        <v>1732.2083137708617</v>
      </c>
      <c r="AG32" s="176">
        <f>AG30*Z26*AB26/X31</f>
        <v>17.6242248662343</v>
      </c>
    </row>
    <row r="33" spans="3:34" x14ac:dyDescent="0.25">
      <c r="R33" s="46">
        <v>3</v>
      </c>
      <c r="S33" s="65">
        <f t="shared" si="11"/>
        <v>0.99742377815707495</v>
      </c>
      <c r="T33" s="66">
        <f t="shared" si="8"/>
        <v>2.111465832462342E-3</v>
      </c>
      <c r="U33" s="66">
        <f t="shared" si="8"/>
        <v>4.6475601046267064E-4</v>
      </c>
      <c r="V33" s="61">
        <f t="shared" si="12"/>
        <v>1</v>
      </c>
      <c r="W33" s="66">
        <f t="shared" si="13"/>
        <v>2.350413062459819E-3</v>
      </c>
      <c r="X33" s="66">
        <f t="shared" si="9"/>
        <v>1.5720207360979746E-2</v>
      </c>
      <c r="Y33" s="66">
        <f t="shared" si="9"/>
        <v>0.98192937957656035</v>
      </c>
      <c r="Z33" s="58">
        <f t="shared" si="14"/>
        <v>0.99999999999999989</v>
      </c>
      <c r="AA33" s="26">
        <f>(AB35*(W34-W35)+AA34*(S34-W34))/(S33-W34)</f>
        <v>12.84698059757214</v>
      </c>
      <c r="AB33" s="26">
        <f>AA32+AB34-AA33</f>
        <v>12.417073968480691</v>
      </c>
      <c r="AC33" s="73">
        <f t="shared" si="15"/>
        <v>2.3564838877238744E-3</v>
      </c>
      <c r="AD33" s="5">
        <f t="shared" si="10"/>
        <v>7.445163032852494</v>
      </c>
      <c r="AE33" s="74">
        <f t="shared" si="10"/>
        <v>2112.7846815774087</v>
      </c>
      <c r="AG33" t="s">
        <v>147</v>
      </c>
    </row>
    <row r="34" spans="3:34" ht="15.75" thickBot="1" x14ac:dyDescent="0.3">
      <c r="R34" s="46">
        <v>4</v>
      </c>
      <c r="S34" s="65">
        <f t="shared" si="11"/>
        <v>0.9992606285530089</v>
      </c>
      <c r="T34" s="66">
        <f t="shared" si="8"/>
        <v>2.8247861704451386E-4</v>
      </c>
      <c r="U34" s="66">
        <f t="shared" si="8"/>
        <v>4.5689282994650099E-4</v>
      </c>
      <c r="V34" s="61">
        <f t="shared" si="12"/>
        <v>1</v>
      </c>
      <c r="W34" s="66">
        <f t="shared" si="13"/>
        <v>1.9644178522708541E-3</v>
      </c>
      <c r="X34" s="66">
        <f t="shared" si="9"/>
        <v>2.116966740109574E-3</v>
      </c>
      <c r="Y34" s="66">
        <f t="shared" si="9"/>
        <v>0.99591861540761961</v>
      </c>
      <c r="Z34" s="58">
        <f t="shared" si="14"/>
        <v>1</v>
      </c>
      <c r="AA34" s="26">
        <f>(AA30*(AA26-W31)+AB35*(AA27-W31))/(S34-W31)</f>
        <v>12.799268209365257</v>
      </c>
      <c r="AB34" s="26">
        <f>AA33+AB35-AA34</f>
        <v>12.257641419993471</v>
      </c>
      <c r="AC34" s="73">
        <f t="shared" si="15"/>
        <v>1.9658713614239486E-3</v>
      </c>
      <c r="AD34" s="5">
        <f t="shared" si="10"/>
        <v>7.4942548298300959</v>
      </c>
      <c r="AE34" s="74">
        <f t="shared" si="10"/>
        <v>2179.7641594074366</v>
      </c>
      <c r="AG34" s="176">
        <f>AG36+Z26-AG32</f>
        <v>12.913328341812967</v>
      </c>
    </row>
    <row r="35" spans="3:34" ht="18.75" thickBot="1" x14ac:dyDescent="0.4">
      <c r="C35" s="36" t="s">
        <v>38</v>
      </c>
      <c r="D35" s="37" t="s">
        <v>39</v>
      </c>
      <c r="E35" s="37" t="s">
        <v>40</v>
      </c>
      <c r="F35" s="37" t="s">
        <v>41</v>
      </c>
      <c r="G35" s="37" t="s">
        <v>42</v>
      </c>
      <c r="H35" s="38" t="s">
        <v>43</v>
      </c>
      <c r="R35" s="47" t="s">
        <v>17</v>
      </c>
      <c r="S35" s="67"/>
      <c r="T35" s="68"/>
      <c r="U35" s="68"/>
      <c r="V35" s="62"/>
      <c r="W35" s="51">
        <v>0</v>
      </c>
      <c r="X35">
        <f>AB27</f>
        <v>0</v>
      </c>
      <c r="Y35" s="52">
        <v>1</v>
      </c>
      <c r="Z35" s="59"/>
      <c r="AB35" s="84">
        <f>Z27</f>
        <v>12.209929031786587</v>
      </c>
      <c r="AC35" s="75"/>
      <c r="AD35" s="76"/>
      <c r="AE35" s="77"/>
      <c r="AG35" t="s">
        <v>148</v>
      </c>
    </row>
    <row r="36" spans="3:34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50"/>
      <c r="Z36" s="56"/>
      <c r="AA36" s="83"/>
      <c r="AG36" s="221">
        <f>(AG32*(W31-S34)+Z26*(S34-AA26))/(AA27-S34)</f>
        <v>9.3278364111722674</v>
      </c>
      <c r="AH36" s="176"/>
    </row>
    <row r="37" spans="3:34" ht="18.75" thickBot="1" x14ac:dyDescent="0.4">
      <c r="C37" s="36" t="s">
        <v>44</v>
      </c>
      <c r="D37" s="37" t="s">
        <v>45</v>
      </c>
      <c r="E37" s="37" t="s">
        <v>46</v>
      </c>
      <c r="F37" s="37" t="s">
        <v>47</v>
      </c>
      <c r="G37" s="37" t="s">
        <v>48</v>
      </c>
      <c r="H37" s="38" t="s">
        <v>49</v>
      </c>
      <c r="AC37" s="168"/>
    </row>
    <row r="38" spans="3:34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</row>
    <row r="39" spans="3:34" ht="15.75" thickBot="1" x14ac:dyDescent="0.3"/>
    <row r="40" spans="3:34" ht="16.5" thickBot="1" x14ac:dyDescent="0.3">
      <c r="C40" s="16" t="s">
        <v>50</v>
      </c>
      <c r="D40" s="17" t="s">
        <v>51</v>
      </c>
      <c r="E40" s="18" t="s">
        <v>52</v>
      </c>
      <c r="G40" s="16" t="s">
        <v>53</v>
      </c>
      <c r="H40" s="17" t="s">
        <v>54</v>
      </c>
      <c r="I40" s="18" t="s">
        <v>55</v>
      </c>
      <c r="L40" s="39" t="s">
        <v>56</v>
      </c>
      <c r="M40" s="40" t="s">
        <v>57</v>
      </c>
      <c r="N40" s="40" t="s">
        <v>58</v>
      </c>
      <c r="O40" s="40" t="s">
        <v>59</v>
      </c>
      <c r="P40" s="40" t="s">
        <v>60</v>
      </c>
      <c r="Q40" s="40" t="s">
        <v>61</v>
      </c>
      <c r="R40" s="40" t="s">
        <v>62</v>
      </c>
      <c r="S40" s="40" t="s">
        <v>63</v>
      </c>
      <c r="T40" s="40" t="s">
        <v>64</v>
      </c>
      <c r="U40" s="40" t="s">
        <v>65</v>
      </c>
      <c r="V40" s="40" t="s">
        <v>66</v>
      </c>
      <c r="W40" s="40" t="s">
        <v>67</v>
      </c>
      <c r="X40" s="40" t="s">
        <v>68</v>
      </c>
      <c r="Y40" s="40" t="s">
        <v>69</v>
      </c>
      <c r="Z40" s="41" t="s">
        <v>70</v>
      </c>
    </row>
    <row r="41" spans="3:34" x14ac:dyDescent="0.25">
      <c r="C41">
        <f>1-D41-E41</f>
        <v>0.91217324243823139</v>
      </c>
      <c r="D41" s="42">
        <v>8.6914014810304807E-2</v>
      </c>
      <c r="E41" s="42">
        <v>9.1274275146378814E-4</v>
      </c>
      <c r="F41" s="42"/>
      <c r="G41" s="42">
        <v>3.804071722513383E-2</v>
      </c>
      <c r="H41" s="42">
        <v>0.43315215308511584</v>
      </c>
      <c r="I41">
        <f>1-G41-H41</f>
        <v>0.5288071296897503</v>
      </c>
      <c r="L41">
        <f>$C41+$D$38*$D41+$F$38*$E41</f>
        <v>0.94021488317731317</v>
      </c>
      <c r="M41">
        <f>$C$38*$C41+$D41+$H$38*$E41</f>
        <v>0.48041766590190838</v>
      </c>
      <c r="N41">
        <f>$E$38*$C41+$G$38*$D41+$E41</f>
        <v>6.7782239929723626E-2</v>
      </c>
      <c r="O41">
        <f>$D41*$D$36*$D$38+$E41*$F$36*$F$38</f>
        <v>7.9759663067808226E-2</v>
      </c>
      <c r="P41">
        <f>$C41*$C$36*$C$38+$E41*$H$36*$H$38</f>
        <v>0.82759522289474263</v>
      </c>
      <c r="Q41">
        <f>$C41*$E$36*$E$38+$D41*$G$36*$G$38</f>
        <v>0.43049146097708446</v>
      </c>
      <c r="R41">
        <f>(O41/L41)-(C41*O41/L41^2)+(D41*$C$38/M41)*($C$36-P41/M41)+(E41*$E$38/N41)*($E$36-Q41/N41)</f>
        <v>3.315830515219817E-2</v>
      </c>
      <c r="S41">
        <f>(P41/M41)-(D41*P41/M41^2)+(C41*$D$38/L41)*($D$36-O41/L41)+(E41*$G$38/N41)*($G$36-Q41/N41)</f>
        <v>2.2631991645347038</v>
      </c>
      <c r="T41">
        <f>(Q41/N41)-(E41*Q41/N41^2)+(C41*$F$38/L41)*($F$36-O41/L41)+(D41*$H$38/M41)*($H$36-P41/M41)</f>
        <v>6.5199401652248063</v>
      </c>
      <c r="U41">
        <f>EXP(R41)</f>
        <v>1.0337141685680655</v>
      </c>
      <c r="V41">
        <f>EXP(S41)</f>
        <v>9.6137961378965056</v>
      </c>
      <c r="W41">
        <f>EXP(T41)</f>
        <v>678.53778396900361</v>
      </c>
      <c r="X41">
        <f>U41/U47</f>
        <v>4.1703390815743757E-2</v>
      </c>
      <c r="Y41">
        <f>V41/V47</f>
        <v>4.9836859340993351</v>
      </c>
      <c r="Z41">
        <f>W41/W47</f>
        <v>579.36053597176385</v>
      </c>
    </row>
    <row r="42" spans="3:34" x14ac:dyDescent="0.25">
      <c r="C42">
        <f t="shared" ref="C42:C44" si="16">1-D42-E42</f>
        <v>0.98558994742111294</v>
      </c>
      <c r="D42">
        <v>1.389323269313289E-2</v>
      </c>
      <c r="E42" s="42">
        <v>5.1681988575410522E-4</v>
      </c>
      <c r="G42" s="42">
        <v>5.8943776507248379E-3</v>
      </c>
      <c r="H42">
        <v>9.8865919523907053E-2</v>
      </c>
      <c r="I42">
        <f t="shared" ref="I42:I44" si="17">1-G42-H42</f>
        <v>0.89523970282536802</v>
      </c>
      <c r="L42">
        <f>$C42+$D$38*$D42+$F$38*$E42</f>
        <v>0.99010436827952331</v>
      </c>
      <c r="M42">
        <f t="shared" ref="M42:M44" si="18">$C$38*$C42+$D42+$H$38*$E42</f>
        <v>0.43863715215030602</v>
      </c>
      <c r="N42">
        <f t="shared" ref="N42:N44" si="19">$E$38*$C42+$G$38*$D42+$E42</f>
        <v>5.6771879128372692E-2</v>
      </c>
      <c r="O42">
        <f t="shared" ref="O42:O44" si="20">$D42*$D$36*$D$38+$E42*$F$36*$F$38</f>
        <v>1.2945466292711641E-2</v>
      </c>
      <c r="P42">
        <f t="shared" ref="P42:P44" si="21">$C42*$C$36*$C$38+$E42*$H$36*$H$38</f>
        <v>0.894112842099689</v>
      </c>
      <c r="Q42">
        <f t="shared" ref="Q42:Q44" si="22">$C42*$E$36*$E$38+$D42*$G$36*$G$38</f>
        <v>0.40075960314443287</v>
      </c>
      <c r="R42">
        <f>(O42/L42)-(C42*O42/L42^2)+(D42*$C$38/M42)*($C$36-P42/M42)+(E42*$E$38/N42)*($E$36-Q42/N42)</f>
        <v>1.1091094839158471E-3</v>
      </c>
      <c r="S42">
        <f>(P42/M42)-(D42*P42/M42^2)+(C42*$D$38/L42)*($D$36-O42/L42)+(E42*$G$38/N42)*($G$36-Q42/N42)</f>
        <v>2.8720957159175518</v>
      </c>
      <c r="T42">
        <f>(Q42/N42)-(E42*Q42/N42^2)+(C42*$F$38/L42)*($F$36-O42/L42)+(D42*$H$38/M42)*($H$36-P42/M42)</f>
        <v>7.4662707505456263</v>
      </c>
      <c r="U42">
        <f t="shared" ref="U42:W44" si="23">EXP(R42)</f>
        <v>1.001109724773293</v>
      </c>
      <c r="V42">
        <f t="shared" si="23"/>
        <v>17.674019137801778</v>
      </c>
      <c r="W42">
        <f t="shared" si="23"/>
        <v>1748.0755053197834</v>
      </c>
      <c r="X42">
        <f t="shared" ref="X42:Z44" si="24">U42/U48</f>
        <v>5.9805578037362183E-3</v>
      </c>
      <c r="Y42">
        <f t="shared" si="24"/>
        <v>7.116120611221727</v>
      </c>
      <c r="Z42">
        <f t="shared" si="24"/>
        <v>1732.2083137741081</v>
      </c>
    </row>
    <row r="43" spans="3:34" x14ac:dyDescent="0.25">
      <c r="C43">
        <f t="shared" si="16"/>
        <v>0.99742377815707495</v>
      </c>
      <c r="D43">
        <v>2.111465832462342E-3</v>
      </c>
      <c r="E43" s="42">
        <v>4.6475601046267064E-4</v>
      </c>
      <c r="G43" s="42">
        <v>2.350413062459819E-3</v>
      </c>
      <c r="H43">
        <v>1.5720207360979746E-2</v>
      </c>
      <c r="I43">
        <f t="shared" si="17"/>
        <v>0.98192937957656035</v>
      </c>
      <c r="L43">
        <f t="shared" ref="L43:L44" si="25">$C43+$D$38*$D43+$F$38*$E43</f>
        <v>0.99814314413306415</v>
      </c>
      <c r="M43">
        <f t="shared" si="18"/>
        <v>0.43190170986114024</v>
      </c>
      <c r="N43">
        <f t="shared" si="19"/>
        <v>5.5006554296496722E-2</v>
      </c>
      <c r="O43">
        <f t="shared" si="20"/>
        <v>2.1713605105034405E-3</v>
      </c>
      <c r="P43">
        <f t="shared" si="21"/>
        <v>0.90483692706231544</v>
      </c>
      <c r="Q43">
        <f t="shared" si="22"/>
        <v>0.39595775219001333</v>
      </c>
      <c r="R43">
        <f>(O43/L43)-(C43*O43/L43^2)+(D43*$C$38/M43)*($C$36-P43/M43)+(E43*$E$38/N43)*($E$36-Q43/N43)</f>
        <v>6.6874235870833604E-5</v>
      </c>
      <c r="S43">
        <f>(P43/M43)-(D43*P43/M43^2)+(C43*$D$38/L43)*($D$36-O43/L43)+(E43*$G$38/N43)*($G$36-Q43/N43)</f>
        <v>2.9901864841272308</v>
      </c>
      <c r="T43">
        <f>(Q43/N43)-(E43*Q43/N43^2)+(C43*$F$38/L43)*($F$36-O43/L43)+(D43*$H$38/M43)*($H$36-P43/M43)</f>
        <v>7.6565754935318129</v>
      </c>
      <c r="U43">
        <f t="shared" si="23"/>
        <v>1.0000668764720024</v>
      </c>
      <c r="V43">
        <f t="shared" si="23"/>
        <v>19.889391201505575</v>
      </c>
      <c r="W43">
        <f t="shared" si="23"/>
        <v>2114.5038835350119</v>
      </c>
      <c r="X43">
        <f t="shared" si="24"/>
        <v>2.3564838877357364E-3</v>
      </c>
      <c r="Y43">
        <f t="shared" si="24"/>
        <v>7.4451630328531149</v>
      </c>
      <c r="Z43">
        <f t="shared" si="24"/>
        <v>2112.7846815776138</v>
      </c>
    </row>
    <row r="44" spans="3:34" x14ac:dyDescent="0.25">
      <c r="C44">
        <f t="shared" si="16"/>
        <v>0.9992606285530089</v>
      </c>
      <c r="D44">
        <v>2.8247861704451386E-4</v>
      </c>
      <c r="E44" s="42">
        <v>4.5689282994650099E-4</v>
      </c>
      <c r="G44" s="42">
        <v>1.9644178522708541E-3</v>
      </c>
      <c r="H44">
        <v>2.116966740109574E-3</v>
      </c>
      <c r="I44">
        <f t="shared" si="17"/>
        <v>0.99591861540761961</v>
      </c>
      <c r="L44">
        <f t="shared" si="25"/>
        <v>0.99939087368693003</v>
      </c>
      <c r="M44">
        <f t="shared" si="18"/>
        <v>0.43085621488038861</v>
      </c>
      <c r="N44">
        <f t="shared" si="19"/>
        <v>5.4732714669373114E-2</v>
      </c>
      <c r="O44">
        <f t="shared" si="20"/>
        <v>4.9891710127510005E-4</v>
      </c>
      <c r="P44">
        <f t="shared" si="21"/>
        <v>0.90650156508445401</v>
      </c>
      <c r="Q44">
        <f t="shared" si="22"/>
        <v>0.39521223203869332</v>
      </c>
      <c r="R44">
        <f>(O44/L44)-(C44*O44/L44^2)+(D44*$C$38/M44)*($C$36-P44/M44)+(E44*$E$38/N44)*($E$36-Q44/N44)</f>
        <v>3.0043842601735086E-5</v>
      </c>
      <c r="S44">
        <f>(P44/M44)-(D44*P44/M44^2)+(C44*$D$38/L44)*($D$36-O44/L44)+(E44*$G$38/N44)*($G$36-Q44/N44)</f>
        <v>3.0091005458052114</v>
      </c>
      <c r="T44">
        <f>(Q44/N44)-(E44*Q44/N44^2)+(C44*$F$38/L44)*($F$36-O44/L44)+(D44*$H$38/M44)*($H$36-P44/M44)</f>
        <v>7.6872796431556578</v>
      </c>
      <c r="U44">
        <f t="shared" si="23"/>
        <v>1.0000300442939225</v>
      </c>
      <c r="V44">
        <f t="shared" si="23"/>
        <v>20.269160542251253</v>
      </c>
      <c r="W44">
        <f t="shared" si="23"/>
        <v>2180.4349258517659</v>
      </c>
      <c r="X44">
        <f t="shared" si="24"/>
        <v>1.9658713614251091E-3</v>
      </c>
      <c r="Y44">
        <f t="shared" si="24"/>
        <v>7.4942548298301617</v>
      </c>
      <c r="Z44">
        <f t="shared" si="24"/>
        <v>2179.7641594074648</v>
      </c>
    </row>
    <row r="45" spans="3:34" ht="15.75" thickBot="1" x14ac:dyDescent="0.3">
      <c r="E45" s="42"/>
      <c r="G45" s="42"/>
    </row>
    <row r="46" spans="3:34" ht="16.5" thickBot="1" x14ac:dyDescent="0.3">
      <c r="L46" s="39" t="s">
        <v>71</v>
      </c>
      <c r="M46" s="40" t="s">
        <v>72</v>
      </c>
      <c r="N46" s="40" t="s">
        <v>73</v>
      </c>
      <c r="O46" s="40" t="s">
        <v>74</v>
      </c>
      <c r="P46" s="40" t="s">
        <v>75</v>
      </c>
      <c r="Q46" s="40" t="s">
        <v>76</v>
      </c>
      <c r="R46" s="40" t="s">
        <v>77</v>
      </c>
      <c r="S46" s="40" t="s">
        <v>78</v>
      </c>
      <c r="T46" s="40" t="s">
        <v>79</v>
      </c>
      <c r="U46" s="40" t="s">
        <v>80</v>
      </c>
      <c r="V46" s="40" t="s">
        <v>81</v>
      </c>
      <c r="W46" s="40" t="s">
        <v>82</v>
      </c>
      <c r="X46" s="40" t="s">
        <v>83</v>
      </c>
      <c r="Y46" s="40" t="s">
        <v>84</v>
      </c>
      <c r="Z46" s="41" t="s">
        <v>85</v>
      </c>
    </row>
    <row r="47" spans="3:34" ht="15.75" thickBot="1" x14ac:dyDescent="0.3">
      <c r="L47">
        <f>$G41+$D$38*$H41+$F$38*$I41</f>
        <v>0.2229579694551205</v>
      </c>
      <c r="M47">
        <f>$C$38*$G41+$H41+$H$38*$I41</f>
        <v>0.93516148026057955</v>
      </c>
      <c r="N47">
        <f>$E$38*$G41+$G$38*$H41+$I41</f>
        <v>0.6174650464946847</v>
      </c>
      <c r="O47">
        <f>$H41*$D$36*$D$38+$I41*$F$36*$F$38</f>
        <v>0.67432592614666653</v>
      </c>
      <c r="P47">
        <f>$G41*$C$36*$C$38+$I41*$H$36*$H$38</f>
        <v>0.13790825245897043</v>
      </c>
      <c r="Q47">
        <f>$G41*$E$36*$E$38+$H41*$G$36*$G$38</f>
        <v>0.36354662024600831</v>
      </c>
      <c r="R47">
        <f>(O47/L47)-(G41*O47/L47^2)+(H41*$C$38/M47)*($C$36-P47/M47)+(I41*$E$38/N47)*($E$36-Q47/N47)</f>
        <v>3.2103311441091971</v>
      </c>
      <c r="S47">
        <f>(P47/M47)-(H41*P47/M47^2)+(G41*$D$38/L47)*($D$36-O47/L47)+(I41*$G$38/N47)*($G$36-Q47/N47)</f>
        <v>0.65702939986265074</v>
      </c>
      <c r="T47">
        <f>(Q47/N47)-(I41*Q47/N47^2)+(G41*$F$38/L47)*($F$36-O47/L47)+(H41*$H$38/M47)*($H$36-P47/M47)</f>
        <v>0.15801519409784406</v>
      </c>
      <c r="U47">
        <f>EXP(R47)</f>
        <v>24.787293031765188</v>
      </c>
      <c r="V47">
        <f>EXP(S47)</f>
        <v>1.9290533683346833</v>
      </c>
      <c r="W47">
        <f>EXP(T47)</f>
        <v>1.1711839896566123</v>
      </c>
      <c r="X47">
        <f>U47/U41</f>
        <v>23.978865517632745</v>
      </c>
      <c r="Y47">
        <f>V47/V41</f>
        <v>0.20065469879588682</v>
      </c>
      <c r="Z47">
        <f>W47/W41</f>
        <v>1.7260409329101021E-3</v>
      </c>
    </row>
    <row r="48" spans="3:34" ht="15.75" thickBot="1" x14ac:dyDescent="0.3">
      <c r="C48" s="232" t="s">
        <v>86</v>
      </c>
      <c r="D48" s="233"/>
      <c r="E48" s="233"/>
      <c r="F48" s="233"/>
      <c r="G48" s="233"/>
      <c r="H48" s="233"/>
      <c r="I48" s="234"/>
      <c r="L48">
        <f t="shared" ref="L48:L50" si="26">$G42+$D$38*$H42+$F$38*$I42</f>
        <v>0.114830440636422</v>
      </c>
      <c r="M48">
        <f t="shared" ref="M48:M50" si="27">$C$38*$G42+$H42+$H$38*$I42</f>
        <v>0.92355313444055198</v>
      </c>
      <c r="N48">
        <f t="shared" ref="N48:N50" si="28">$E$38*$G42+$G$38*$H42+$I42</f>
        <v>0.91532436257060878</v>
      </c>
      <c r="O48">
        <f t="shared" ref="O48:O50" si="29">$H42*$D$36*$D$38+$I42*$F$36*$F$38</f>
        <v>0.5629009517438387</v>
      </c>
      <c r="P48">
        <f t="shared" ref="P48:P50" si="30">$G42*$C$36*$C$38+$I42*$H$36*$H$38</f>
        <v>0.18040054415528972</v>
      </c>
      <c r="Q48">
        <f t="shared" ref="Q48:Q50" si="31">$G42*$E$36*$E$38+$H42*$G$36*$G$38</f>
        <v>8.1876466357334379E-2</v>
      </c>
      <c r="R48">
        <f>(O48/L48)-(G42*O48/L48^2)+(H42*$C$38/M48)*($C$36-P48/M48)+(I42*$E$38/N48)*($E$36-Q48/N48)</f>
        <v>5.1203505466368959</v>
      </c>
      <c r="S48">
        <f>(P48/M48)-(H42*P48/M48^2)+(G42*$D$38/L48)*($D$36-O48/L48)+(I42*$G$38/N48)*($G$36-Q48/N48)</f>
        <v>0.90973299695718945</v>
      </c>
      <c r="T48">
        <f>(Q48/N48)-(I42*Q48/N48^2)+(G42*$F$38/L48)*($F$36-O48/L48)+(H42*$H$38/M48)*($H$36-P48/M48)</f>
        <v>9.1183951138954326E-3</v>
      </c>
      <c r="U48">
        <f t="shared" ref="U48:W50" si="32">EXP(R48)</f>
        <v>167.39403875469145</v>
      </c>
      <c r="V48">
        <f t="shared" si="32"/>
        <v>2.4836593002556522</v>
      </c>
      <c r="W48">
        <f t="shared" si="32"/>
        <v>1.0091600943255514</v>
      </c>
      <c r="X48">
        <f t="shared" ref="X48:Z50" si="33">U48/U42</f>
        <v>167.2084833584039</v>
      </c>
      <c r="Y48">
        <f t="shared" si="33"/>
        <v>0.14052600491664735</v>
      </c>
      <c r="Z48">
        <f t="shared" si="33"/>
        <v>5.7729777189512253E-4</v>
      </c>
    </row>
    <row r="49" spans="2:26" ht="15.75" thickBot="1" x14ac:dyDescent="0.3">
      <c r="B49" s="19" t="s">
        <v>87</v>
      </c>
      <c r="C49" s="17" t="s">
        <v>50</v>
      </c>
      <c r="D49" s="17" t="s">
        <v>51</v>
      </c>
      <c r="E49" s="17" t="s">
        <v>52</v>
      </c>
      <c r="F49" s="17"/>
      <c r="G49" s="17" t="s">
        <v>53</v>
      </c>
      <c r="H49" s="17" t="s">
        <v>54</v>
      </c>
      <c r="I49" s="17" t="s">
        <v>88</v>
      </c>
      <c r="J49" s="19" t="s">
        <v>87</v>
      </c>
      <c r="L49">
        <f t="shared" si="26"/>
        <v>9.2004445476892627E-2</v>
      </c>
      <c r="M49">
        <f t="shared" si="27"/>
        <v>0.9184939340989039</v>
      </c>
      <c r="N49">
        <f t="shared" si="28"/>
        <v>0.98519962552363616</v>
      </c>
      <c r="O49">
        <f t="shared" si="29"/>
        <v>0.53283599728237097</v>
      </c>
      <c r="P49">
        <f t="shared" si="30"/>
        <v>0.19413704640412194</v>
      </c>
      <c r="Q49">
        <f t="shared" si="31"/>
        <v>1.357739001662301E-2</v>
      </c>
      <c r="R49">
        <f>(O49/L49)-(G43*O49/L49^2)+(H43*$C$38/M49)*($C$36-P49/M49)+(I43*$E$38/N49)*($E$36-Q49/N49)</f>
        <v>6.0506515232305231</v>
      </c>
      <c r="S49">
        <f>(P49/M49)-(H43*P49/M49^2)+(G43*$D$38/L49)*($D$36-O49/L49)+(I43*$G$38/N49)*($G$36-Q49/N49)</f>
        <v>0.98262191992973125</v>
      </c>
      <c r="T49">
        <f>(Q49/N49)-(I43*Q49/N49^2)+(G43*$F$38/L49)*($F$36-O49/L49)+(H43*$H$38/M49)*($H$36-P49/M49)</f>
        <v>8.1338286975275969E-4</v>
      </c>
      <c r="U49">
        <f t="shared" si="32"/>
        <v>424.38943957004182</v>
      </c>
      <c r="V49">
        <f t="shared" si="32"/>
        <v>2.67145139921585</v>
      </c>
      <c r="W49">
        <f t="shared" si="32"/>
        <v>1.0008137137553053</v>
      </c>
      <c r="X49">
        <f t="shared" si="33"/>
        <v>424.36105979950719</v>
      </c>
      <c r="Y49">
        <f t="shared" si="33"/>
        <v>0.134315393173705</v>
      </c>
      <c r="Z49">
        <f t="shared" si="33"/>
        <v>4.7330899770311715E-4</v>
      </c>
    </row>
    <row r="50" spans="2:26" x14ac:dyDescent="0.25">
      <c r="B50" s="43">
        <f>SUM(C50:E50)</f>
        <v>1.0000000000973226</v>
      </c>
      <c r="C50">
        <f>G41*X47</f>
        <v>0.91217324253577958</v>
      </c>
      <c r="D50">
        <f>H41*Y47</f>
        <v>8.6914014810083776E-2</v>
      </c>
      <c r="E50">
        <f>I41*Z47</f>
        <v>9.1274275145920999E-4</v>
      </c>
      <c r="G50">
        <f>C41*X41</f>
        <v>3.8040717221065744E-2</v>
      </c>
      <c r="H50">
        <f>D41*Y41</f>
        <v>0.43315215308621735</v>
      </c>
      <c r="I50">
        <f>E41*Z41</f>
        <v>0.52880712969240273</v>
      </c>
      <c r="J50" s="43">
        <f>SUM(G50:I50)</f>
        <v>0.99999999999968581</v>
      </c>
      <c r="L50">
        <f t="shared" si="26"/>
        <v>8.8447071958224627E-2</v>
      </c>
      <c r="M50">
        <f t="shared" si="27"/>
        <v>0.91757164896116628</v>
      </c>
      <c r="N50">
        <f t="shared" si="28"/>
        <v>0.9964484182295722</v>
      </c>
      <c r="O50">
        <f t="shared" si="29"/>
        <v>0.52781480688410365</v>
      </c>
      <c r="P50">
        <f t="shared" si="30"/>
        <v>0.19652235135365267</v>
      </c>
      <c r="Q50">
        <f t="shared" si="31"/>
        <v>2.4797803686571226E-3</v>
      </c>
      <c r="R50">
        <f>(O50/L50)-(G44*O50/L50^2)+(H44*$C$38/M50)*($C$36-P50/M50)+(I44*$E$38/N50)*($E$36-Q50/N50)</f>
        <v>6.2318497348655777</v>
      </c>
      <c r="S50">
        <f>(P50/M50)-(H44*P50/M50^2)+(G44*$D$38/L50)*($D$36-O50/L50)+(I44*$G$38/N50)*($G$36-Q50/N50)</f>
        <v>0.99496384149755634</v>
      </c>
      <c r="T50">
        <f>(Q50/N50)-(I44*Q50/N50^2)+(G44*$F$38/L50)*($F$36-O50/L50)+(H44*$H$38/M50)*($H$36-P50/M50)</f>
        <v>3.0767698285182499E-4</v>
      </c>
      <c r="U50">
        <f t="shared" si="32"/>
        <v>508.6955657001767</v>
      </c>
      <c r="V50">
        <f t="shared" si="32"/>
        <v>2.7046265442658561</v>
      </c>
      <c r="W50">
        <f t="shared" si="32"/>
        <v>1.0003077243202694</v>
      </c>
      <c r="X50">
        <f t="shared" si="33"/>
        <v>508.68028276024887</v>
      </c>
      <c r="Y50">
        <f t="shared" si="33"/>
        <v>0.13343554799065491</v>
      </c>
      <c r="Z50">
        <f t="shared" si="33"/>
        <v>4.5876522727662181E-4</v>
      </c>
    </row>
    <row r="51" spans="2:26" x14ac:dyDescent="0.25">
      <c r="B51" s="43">
        <f t="shared" ref="B51:B53" si="34">SUM(C51:E51)</f>
        <v>0.99999999989823041</v>
      </c>
      <c r="C51">
        <f t="shared" ref="C51:E53" si="35">G42*X48</f>
        <v>0.98558994731937188</v>
      </c>
      <c r="D51">
        <f t="shared" si="35"/>
        <v>1.3893232693105424E-2</v>
      </c>
      <c r="E51">
        <f t="shared" si="35"/>
        <v>5.1681988575313659E-4</v>
      </c>
      <c r="G51">
        <f t="shared" ref="G51:I53" si="36">C42*X42</f>
        <v>5.894377651333306E-3</v>
      </c>
      <c r="H51">
        <f t="shared" si="36"/>
        <v>9.8865919524102494E-2</v>
      </c>
      <c r="I51">
        <f t="shared" si="36"/>
        <v>0.89523970282704579</v>
      </c>
      <c r="J51" s="43">
        <f t="shared" ref="J51:J53" si="37">SUM(G51:I51)</f>
        <v>1.0000000000024816</v>
      </c>
    </row>
    <row r="52" spans="2:26" x14ac:dyDescent="0.25">
      <c r="B52" s="43">
        <f t="shared" si="34"/>
        <v>0.99999999999497879</v>
      </c>
      <c r="C52">
        <f t="shared" si="35"/>
        <v>0.99742377815205407</v>
      </c>
      <c r="D52">
        <f t="shared" si="35"/>
        <v>2.1114658324621659E-3</v>
      </c>
      <c r="E52">
        <f t="shared" si="35"/>
        <v>4.6475601046262543E-4</v>
      </c>
      <c r="G52">
        <f t="shared" si="36"/>
        <v>2.3504130624716507E-3</v>
      </c>
      <c r="H52">
        <f t="shared" si="36"/>
        <v>1.5720207360981057E-2</v>
      </c>
      <c r="I52">
        <f t="shared" si="36"/>
        <v>0.98192937957665571</v>
      </c>
      <c r="J52" s="43">
        <f t="shared" si="37"/>
        <v>1.0000000000001084</v>
      </c>
    </row>
    <row r="53" spans="2:26" x14ac:dyDescent="0.25">
      <c r="B53" s="43">
        <f t="shared" si="34"/>
        <v>0.99999999999941003</v>
      </c>
      <c r="C53">
        <f t="shared" si="35"/>
        <v>0.99926062855241893</v>
      </c>
      <c r="D53">
        <f t="shared" si="35"/>
        <v>2.8247861704451131E-4</v>
      </c>
      <c r="E53">
        <f t="shared" si="35"/>
        <v>4.5689282994649513E-4</v>
      </c>
      <c r="G53">
        <f t="shared" si="36"/>
        <v>1.9644178522720138E-3</v>
      </c>
      <c r="H53">
        <f t="shared" si="36"/>
        <v>2.1169667401095926E-3</v>
      </c>
      <c r="I53">
        <f t="shared" si="36"/>
        <v>0.99591861540763249</v>
      </c>
      <c r="J53" s="43">
        <f t="shared" si="37"/>
        <v>1.000000000000014</v>
      </c>
    </row>
    <row r="54" spans="2:26" x14ac:dyDescent="0.25">
      <c r="B54" s="43"/>
      <c r="J54" s="43"/>
    </row>
    <row r="55" spans="2:26" ht="15.75" thickBot="1" x14ac:dyDescent="0.3"/>
    <row r="56" spans="2:26" ht="15.75" thickBot="1" x14ac:dyDescent="0.3">
      <c r="C56" s="185" t="s">
        <v>89</v>
      </c>
      <c r="D56" s="186"/>
      <c r="E56" s="186"/>
      <c r="F56" s="186"/>
      <c r="G56" s="186"/>
      <c r="H56" s="186"/>
      <c r="I56" s="187"/>
    </row>
    <row r="57" spans="2:26" ht="15.75" thickBot="1" x14ac:dyDescent="0.3">
      <c r="C57" s="16" t="s">
        <v>90</v>
      </c>
      <c r="D57" s="17" t="s">
        <v>91</v>
      </c>
      <c r="E57" s="18" t="s">
        <v>92</v>
      </c>
      <c r="G57" s="16" t="s">
        <v>90</v>
      </c>
      <c r="H57" s="17" t="s">
        <v>91</v>
      </c>
      <c r="I57" s="18" t="s">
        <v>92</v>
      </c>
    </row>
    <row r="58" spans="2:26" x14ac:dyDescent="0.25">
      <c r="C58">
        <f>(C50+C41)/2</f>
        <v>0.91217324248700549</v>
      </c>
      <c r="D58">
        <f t="shared" ref="D58:I58" si="38">(D50+D41)/2</f>
        <v>8.6914014810194284E-2</v>
      </c>
      <c r="E58">
        <f t="shared" si="38"/>
        <v>9.1274275146149906E-4</v>
      </c>
      <c r="G58">
        <f t="shared" si="38"/>
        <v>3.804071722309979E-2</v>
      </c>
      <c r="H58">
        <f t="shared" si="38"/>
        <v>0.43315215308566657</v>
      </c>
      <c r="I58">
        <f t="shared" si="38"/>
        <v>0.52880712969107657</v>
      </c>
    </row>
    <row r="59" spans="2:26" x14ac:dyDescent="0.25">
      <c r="C59">
        <f t="shared" ref="C59:I61" si="39">(C51+C42)/2</f>
        <v>0.98558994737024241</v>
      </c>
      <c r="D59">
        <f t="shared" si="39"/>
        <v>1.3893232693119158E-2</v>
      </c>
      <c r="E59">
        <f t="shared" si="39"/>
        <v>5.1681988575362091E-4</v>
      </c>
      <c r="G59">
        <f t="shared" si="39"/>
        <v>5.8943776510290719E-3</v>
      </c>
      <c r="H59">
        <f t="shared" si="39"/>
        <v>9.8865919524004781E-2</v>
      </c>
      <c r="I59">
        <f t="shared" si="39"/>
        <v>0.89523970282620691</v>
      </c>
    </row>
    <row r="60" spans="2:26" x14ac:dyDescent="0.25">
      <c r="C60">
        <f t="shared" si="39"/>
        <v>0.99742377815456451</v>
      </c>
      <c r="D60">
        <f t="shared" si="39"/>
        <v>2.1114658324622539E-3</v>
      </c>
      <c r="E60">
        <f t="shared" si="39"/>
        <v>4.6475601046264803E-4</v>
      </c>
      <c r="G60">
        <f t="shared" si="39"/>
        <v>2.3504130624657348E-3</v>
      </c>
      <c r="H60">
        <f t="shared" si="39"/>
        <v>1.5720207360980402E-2</v>
      </c>
      <c r="I60">
        <f t="shared" si="39"/>
        <v>0.98192937957660797</v>
      </c>
    </row>
    <row r="61" spans="2:26" x14ac:dyDescent="0.25">
      <c r="C61">
        <f t="shared" si="39"/>
        <v>0.99926062855271391</v>
      </c>
      <c r="D61">
        <f t="shared" si="39"/>
        <v>2.8247861704451256E-4</v>
      </c>
      <c r="E61">
        <f t="shared" si="39"/>
        <v>4.5689282994649806E-4</v>
      </c>
      <c r="G61">
        <f t="shared" si="39"/>
        <v>1.964417852271434E-3</v>
      </c>
      <c r="H61">
        <f t="shared" si="39"/>
        <v>2.1169667401095835E-3</v>
      </c>
      <c r="I61">
        <f t="shared" si="39"/>
        <v>0.99591861540762605</v>
      </c>
    </row>
  </sheetData>
  <mergeCells count="1">
    <mergeCell ref="C48:I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2"/>
  <dimension ref="A1:AI60"/>
  <sheetViews>
    <sheetView zoomScale="55" zoomScaleNormal="55" workbookViewId="0">
      <selection sqref="A1:XFD1048576"/>
    </sheetView>
  </sheetViews>
  <sheetFormatPr defaultRowHeight="15" x14ac:dyDescent="0.25"/>
  <cols>
    <col min="5" max="5" width="13.5703125" bestFit="1" customWidth="1"/>
    <col min="15" max="15" width="14.28515625" customWidth="1"/>
    <col min="20" max="21" width="12" bestFit="1" customWidth="1"/>
    <col min="22" max="23" width="12.140625" bestFit="1" customWidth="1"/>
    <col min="28" max="28" width="10.28515625" bestFit="1" customWidth="1"/>
    <col min="33" max="33" width="16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95" t="s">
        <v>1</v>
      </c>
      <c r="C2" s="96"/>
      <c r="D2" s="96"/>
      <c r="E2" s="18" t="s">
        <v>2</v>
      </c>
      <c r="G2" s="22" t="s">
        <v>21</v>
      </c>
      <c r="H2" s="22"/>
      <c r="I2" s="22"/>
    </row>
    <row r="3" spans="1:26" ht="15.75" thickBot="1" x14ac:dyDescent="0.3">
      <c r="B3" s="48" t="s">
        <v>3</v>
      </c>
      <c r="C3" s="49" t="s">
        <v>4</v>
      </c>
      <c r="D3" s="69" t="s">
        <v>5</v>
      </c>
      <c r="E3" s="13" t="s">
        <v>6</v>
      </c>
      <c r="G3" s="48" t="s">
        <v>22</v>
      </c>
      <c r="H3" s="49" t="s">
        <v>23</v>
      </c>
      <c r="I3" s="69" t="s">
        <v>24</v>
      </c>
      <c r="L3">
        <v>1</v>
      </c>
      <c r="M3">
        <v>2</v>
      </c>
      <c r="N3">
        <v>3</v>
      </c>
      <c r="O3" s="19" t="s">
        <v>26</v>
      </c>
      <c r="S3" s="19" t="s">
        <v>27</v>
      </c>
      <c r="Z3" s="19" t="s">
        <v>28</v>
      </c>
    </row>
    <row r="4" spans="1:26" ht="15.75" thickBot="1" x14ac:dyDescent="0.3">
      <c r="A4" s="48" t="s">
        <v>0</v>
      </c>
      <c r="B4" s="1">
        <f>AA26</f>
        <v>0.64</v>
      </c>
      <c r="C4" s="1">
        <f t="shared" ref="C4:D4" si="0">AB26</f>
        <v>0.36</v>
      </c>
      <c r="D4" s="1">
        <f t="shared" si="0"/>
        <v>0</v>
      </c>
      <c r="E4" s="10">
        <f>AA30</f>
        <v>21.209716796875</v>
      </c>
      <c r="G4" s="5" t="s">
        <v>25</v>
      </c>
      <c r="H4" s="5" t="s">
        <v>25</v>
      </c>
      <c r="I4" s="5" t="s">
        <v>25</v>
      </c>
      <c r="K4" s="16" t="s">
        <v>29</v>
      </c>
      <c r="L4" s="1">
        <f>E$8*$G$5+E$5</f>
        <v>14.334048954895309</v>
      </c>
      <c r="M4" s="2">
        <f>-$E$9*$G$6</f>
        <v>-6.7840645026426824E-2</v>
      </c>
      <c r="N4" s="3">
        <v>0</v>
      </c>
      <c r="O4" s="3">
        <f>$B$4*$E$4</f>
        <v>13.57421875</v>
      </c>
      <c r="T4" s="1">
        <f t="array" ref="T4:V6">MINVERSE(L4:N6)</f>
        <v>7.0111107282305143E-2</v>
      </c>
      <c r="U4" s="2">
        <v>3.7115676743688198E-4</v>
      </c>
      <c r="V4" s="3">
        <v>1.3647978480496957E-6</v>
      </c>
      <c r="W4" s="5"/>
      <c r="X4" s="5"/>
      <c r="Z4" s="23">
        <f t="array" ref="Z4:Z6">MMULT(T4:V6,O4:O6)</f>
        <v>0.95170350705472806</v>
      </c>
    </row>
    <row r="5" spans="1:26" x14ac:dyDescent="0.25">
      <c r="A5" s="79" t="s">
        <v>7</v>
      </c>
      <c r="B5" s="86">
        <f>S31</f>
        <v>0.95170350705472817</v>
      </c>
      <c r="C5" s="78">
        <f t="shared" ref="C5:D7" si="1">T31</f>
        <v>4.7615171622542488E-2</v>
      </c>
      <c r="D5" s="87">
        <f t="shared" si="1"/>
        <v>6.8132132272931607E-4</v>
      </c>
      <c r="E5" s="11">
        <f t="shared" ref="E5:E7" si="2">AA31</f>
        <v>13.406852583727266</v>
      </c>
      <c r="G5" s="5">
        <f t="shared" ref="G5:I7" si="3">B8/B5</f>
        <v>2.8744990581815118E-2</v>
      </c>
      <c r="H5" s="5">
        <f t="shared" si="3"/>
        <v>6.052404802716798</v>
      </c>
      <c r="I5" s="5">
        <f t="shared" si="3"/>
        <v>1004.6023446040017</v>
      </c>
      <c r="L5" s="25">
        <f>-$E$5</f>
        <v>-13.406852583727266</v>
      </c>
      <c r="M5" s="5">
        <f>$E$6+$E$9*$G$6</f>
        <v>12.862069876938428</v>
      </c>
      <c r="N5" s="6">
        <f>-$G$7*$E$10</f>
        <v>-4.6876614671166418E-2</v>
      </c>
      <c r="O5" s="6">
        <v>0</v>
      </c>
      <c r="T5" s="4">
        <v>7.3349008762234491E-2</v>
      </c>
      <c r="U5" s="5">
        <v>7.8421708288718694E-2</v>
      </c>
      <c r="V5" s="6">
        <v>2.8836811854986714E-4</v>
      </c>
      <c r="W5" s="5"/>
      <c r="X5" s="5"/>
      <c r="Z5" s="24">
        <v>0.9956554900342377</v>
      </c>
    </row>
    <row r="6" spans="1:26" ht="15.75" thickBot="1" x14ac:dyDescent="0.3">
      <c r="A6" s="79" t="s">
        <v>8</v>
      </c>
      <c r="B6" s="86">
        <f t="shared" ref="B6:B7" si="4">S32</f>
        <v>0.9956554900342377</v>
      </c>
      <c r="C6" s="78">
        <f t="shared" si="1"/>
        <v>3.8721295786350472E-3</v>
      </c>
      <c r="D6" s="87">
        <f t="shared" si="1"/>
        <v>4.723803871272936E-4</v>
      </c>
      <c r="E6" s="11">
        <f t="shared" si="2"/>
        <v>12.794229231912</v>
      </c>
      <c r="G6" s="5">
        <f t="shared" si="3"/>
        <v>2.7743207658339772E-3</v>
      </c>
      <c r="H6" s="5">
        <f t="shared" si="3"/>
        <v>7.3974940291142577</v>
      </c>
      <c r="I6" s="5">
        <f t="shared" si="3"/>
        <v>2050.4527775821107</v>
      </c>
      <c r="L6" s="7">
        <v>0</v>
      </c>
      <c r="M6" s="27">
        <f>-$E$6</f>
        <v>-12.794229231912</v>
      </c>
      <c r="N6" s="9">
        <f>$E$7+$E$10*$G$7</f>
        <v>12.748095107709256</v>
      </c>
      <c r="O6" s="9">
        <f>$E$11*$B$11</f>
        <v>0</v>
      </c>
      <c r="T6" s="7">
        <v>7.3614451736403907E-2</v>
      </c>
      <c r="U6" s="8">
        <v>7.8705508872242355E-2</v>
      </c>
      <c r="V6" s="9">
        <v>7.8732503902087553E-2</v>
      </c>
      <c r="W6" s="5"/>
      <c r="X6" s="5"/>
      <c r="Z6" s="24">
        <v>0.99925867103126398</v>
      </c>
    </row>
    <row r="7" spans="1:26" ht="15.75" thickBot="1" x14ac:dyDescent="0.3">
      <c r="A7" s="79" t="s">
        <v>9</v>
      </c>
      <c r="B7" s="86">
        <f t="shared" si="4"/>
        <v>0.99925867103126409</v>
      </c>
      <c r="C7" s="78">
        <f t="shared" si="1"/>
        <v>2.844277897991122E-4</v>
      </c>
      <c r="D7" s="87">
        <f t="shared" si="1"/>
        <v>4.5690117893677285E-4</v>
      </c>
      <c r="E7" s="11">
        <f t="shared" si="2"/>
        <v>12.701218493038089</v>
      </c>
      <c r="G7" s="5">
        <f t="shared" si="3"/>
        <v>1.9662645543879996E-3</v>
      </c>
      <c r="H7" s="5">
        <f t="shared" si="3"/>
        <v>7.494202714181923</v>
      </c>
      <c r="I7" s="5">
        <f t="shared" si="3"/>
        <v>2179.6915383271553</v>
      </c>
      <c r="L7" s="5"/>
      <c r="M7" s="5"/>
      <c r="N7" s="26"/>
      <c r="T7" s="5"/>
      <c r="U7" s="5"/>
      <c r="V7" s="5"/>
      <c r="W7" s="5"/>
      <c r="X7" s="5"/>
      <c r="Z7" s="24"/>
    </row>
    <row r="8" spans="1:26" x14ac:dyDescent="0.25">
      <c r="A8" s="48" t="s">
        <v>12</v>
      </c>
      <c r="B8" s="91">
        <f t="shared" ref="B8:D11" si="5">W31</f>
        <v>2.7356708346968579E-2</v>
      </c>
      <c r="C8" s="92">
        <f t="shared" si="5"/>
        <v>0.28818629341046076</v>
      </c>
      <c r="D8" s="93">
        <f t="shared" si="5"/>
        <v>0.68445699824257067</v>
      </c>
      <c r="E8" s="10">
        <f>AB31</f>
        <v>32.255928855812989</v>
      </c>
      <c r="G8" s="5"/>
      <c r="H8" s="5"/>
      <c r="I8" s="5"/>
      <c r="L8" s="5"/>
      <c r="M8" s="5"/>
      <c r="N8" s="5"/>
      <c r="T8" s="5"/>
      <c r="U8" s="5"/>
      <c r="V8" s="5"/>
      <c r="W8" s="5"/>
      <c r="X8" s="5"/>
      <c r="Z8" s="24"/>
    </row>
    <row r="9" spans="1:26" ht="15.75" thickBot="1" x14ac:dyDescent="0.3">
      <c r="A9" s="79" t="s">
        <v>13</v>
      </c>
      <c r="B9" s="86">
        <f t="shared" si="5"/>
        <v>2.7622677016185902E-3</v>
      </c>
      <c r="C9" s="78">
        <f t="shared" si="5"/>
        <v>2.8644055437909467E-2</v>
      </c>
      <c r="D9" s="87">
        <f t="shared" si="5"/>
        <v>0.96859367686047193</v>
      </c>
      <c r="E9" s="11">
        <f>AB32</f>
        <v>24.453064642665254</v>
      </c>
      <c r="G9" s="5"/>
      <c r="H9" s="5"/>
      <c r="I9" s="5"/>
    </row>
    <row r="10" spans="1:26" ht="15.75" thickBot="1" x14ac:dyDescent="0.3">
      <c r="A10" s="79" t="s">
        <v>14</v>
      </c>
      <c r="B10" s="86">
        <f t="shared" si="5"/>
        <v>1.9648069055136332E-3</v>
      </c>
      <c r="C10" s="78">
        <f t="shared" si="5"/>
        <v>2.131559514301272E-3</v>
      </c>
      <c r="D10" s="87">
        <f t="shared" si="5"/>
        <v>0.99590363358018519</v>
      </c>
      <c r="E10" s="11">
        <f>AB33</f>
        <v>23.840441290849988</v>
      </c>
      <c r="L10">
        <v>1</v>
      </c>
      <c r="M10">
        <v>2</v>
      </c>
      <c r="N10">
        <v>3</v>
      </c>
      <c r="O10" s="19" t="s">
        <v>30</v>
      </c>
      <c r="S10" s="19" t="s">
        <v>27</v>
      </c>
      <c r="Z10" s="19" t="s">
        <v>31</v>
      </c>
    </row>
    <row r="11" spans="1:26" ht="15.75" thickBot="1" x14ac:dyDescent="0.3">
      <c r="A11" s="80" t="s">
        <v>17</v>
      </c>
      <c r="B11" s="88">
        <f t="shared" si="5"/>
        <v>0</v>
      </c>
      <c r="C11" s="89">
        <f t="shared" si="5"/>
        <v>0</v>
      </c>
      <c r="D11" s="90">
        <f t="shared" si="5"/>
        <v>1</v>
      </c>
      <c r="E11" s="12">
        <f>AB34</f>
        <v>23.74743055197608</v>
      </c>
      <c r="K11" s="16" t="s">
        <v>32</v>
      </c>
      <c r="L11" s="1">
        <f>E$8*$H$5+E$5</f>
        <v>208.63279130674115</v>
      </c>
      <c r="M11" s="2">
        <f>-$E$9*$H$6</f>
        <v>-180.89139968766119</v>
      </c>
      <c r="N11" s="3">
        <v>0</v>
      </c>
      <c r="O11" s="3">
        <f>$C$4*$E$4</f>
        <v>7.635498046875</v>
      </c>
      <c r="T11" s="1">
        <f t="array" ref="T11:V13">MINVERSE(L11:N13)</f>
        <v>5.1206270936249281E-3</v>
      </c>
      <c r="U11" s="2">
        <v>5.0967013590371996E-3</v>
      </c>
      <c r="V11" s="3">
        <v>4.7584270058362533E-3</v>
      </c>
      <c r="W11" s="5"/>
      <c r="X11" s="5"/>
      <c r="Z11" s="23">
        <f t="array" ref="Z11:Z13">MMULT(T11:V13,O11:O13)</f>
        <v>3.9098538172148346E-2</v>
      </c>
    </row>
    <row r="12" spans="1:26" x14ac:dyDescent="0.25">
      <c r="L12" s="25">
        <f>-$E$5</f>
        <v>-13.406852583727266</v>
      </c>
      <c r="M12" s="5">
        <f>$E$6+$E$9*$H$6</f>
        <v>193.68562891957319</v>
      </c>
      <c r="N12" s="6">
        <f>-$H$7*$E$10</f>
        <v>-178.66509982918276</v>
      </c>
      <c r="O12" s="6">
        <v>0</v>
      </c>
      <c r="T12" s="4">
        <v>3.7774445828756036E-4</v>
      </c>
      <c r="U12" s="5">
        <v>5.8783282833170742E-3</v>
      </c>
      <c r="V12" s="6">
        <v>5.48817638744112E-3</v>
      </c>
      <c r="W12" s="5"/>
      <c r="X12" s="5"/>
      <c r="Z12" s="24">
        <v>2.8842670734725222E-3</v>
      </c>
    </row>
    <row r="13" spans="1:26" ht="15.75" thickBot="1" x14ac:dyDescent="0.3">
      <c r="L13" s="7">
        <v>0</v>
      </c>
      <c r="M13" s="27">
        <f>-$E$6</f>
        <v>-12.794229231912</v>
      </c>
      <c r="N13" s="9">
        <f>$E$7+$E$10*$H$7</f>
        <v>191.36631832222085</v>
      </c>
      <c r="O13" s="9">
        <f>$E$11*$C$11</f>
        <v>0</v>
      </c>
      <c r="T13" s="7">
        <v>2.5254962486542654E-5</v>
      </c>
      <c r="U13" s="8">
        <v>3.9300896948100711E-4</v>
      </c>
      <c r="V13" s="9">
        <v>5.5925044498377546E-3</v>
      </c>
      <c r="W13" s="5"/>
      <c r="X13" s="5"/>
      <c r="Z13" s="24">
        <v>1.9283421673989783E-4</v>
      </c>
    </row>
    <row r="14" spans="1:26" x14ac:dyDescent="0.25">
      <c r="L14" s="5"/>
      <c r="M14" s="5"/>
      <c r="N14" s="26"/>
      <c r="T14" s="5"/>
      <c r="U14" s="5"/>
      <c r="V14" s="5"/>
      <c r="W14" s="5"/>
      <c r="X14" s="5"/>
      <c r="Z14" s="24"/>
    </row>
    <row r="15" spans="1:26" x14ac:dyDescent="0.25">
      <c r="L15" s="5"/>
      <c r="M15" s="5"/>
      <c r="N15" s="5"/>
      <c r="T15" s="5"/>
      <c r="U15" s="5"/>
      <c r="V15" s="5"/>
      <c r="W15" s="5"/>
      <c r="X15" s="5"/>
    </row>
    <row r="16" spans="1:26" ht="15.75" thickBot="1" x14ac:dyDescent="0.3"/>
    <row r="17" spans="1:35" ht="15.75" thickBot="1" x14ac:dyDescent="0.3">
      <c r="L17">
        <v>1</v>
      </c>
      <c r="M17">
        <v>2</v>
      </c>
      <c r="N17">
        <v>3</v>
      </c>
      <c r="O17" s="19" t="s">
        <v>33</v>
      </c>
      <c r="S17" s="19" t="s">
        <v>27</v>
      </c>
      <c r="Z17" s="19" t="s">
        <v>34</v>
      </c>
    </row>
    <row r="18" spans="1:35" ht="15.75" thickBot="1" x14ac:dyDescent="0.3">
      <c r="A18" t="s">
        <v>3</v>
      </c>
      <c r="B18" t="s">
        <v>18</v>
      </c>
      <c r="K18" s="16" t="s">
        <v>35</v>
      </c>
      <c r="L18" s="1">
        <f>E$8*$I$5+E$5</f>
        <v>32417.788608513332</v>
      </c>
      <c r="M18" s="2">
        <f>-$E$9*$I$6</f>
        <v>-50139.854316947873</v>
      </c>
      <c r="N18" s="3">
        <v>0</v>
      </c>
      <c r="O18" s="3">
        <f>$D$4*$E$4</f>
        <v>0</v>
      </c>
      <c r="T18" s="1">
        <f t="array" ref="T18:V20">MINVERSE(L18:N20)</f>
        <v>3.086002403953331E-5</v>
      </c>
      <c r="U18" s="2">
        <v>3.0860022115302278E-5</v>
      </c>
      <c r="V18" s="3">
        <v>3.085248116368038E-5</v>
      </c>
      <c r="W18" s="5"/>
      <c r="X18" s="5"/>
      <c r="Z18" s="23">
        <f t="array" ref="Z18:Z20">MMULT(T18:V20,O18:O20)</f>
        <v>7.3266715379065003E-4</v>
      </c>
    </row>
    <row r="19" spans="1:35" x14ac:dyDescent="0.25">
      <c r="A19" t="s">
        <v>4</v>
      </c>
      <c r="B19" t="s">
        <v>19</v>
      </c>
      <c r="L19" s="25">
        <f>-$E$5</f>
        <v>-13.406852583727266</v>
      </c>
      <c r="M19" s="5">
        <f>$E$6+$E$9*$I$6</f>
        <v>50152.648546179786</v>
      </c>
      <c r="N19" s="6">
        <f>-$I$7*$E$10</f>
        <v>-51964.808151651043</v>
      </c>
      <c r="O19" s="6">
        <v>0</v>
      </c>
      <c r="T19" s="4">
        <v>8.2516348096083954E-9</v>
      </c>
      <c r="U19" s="5">
        <v>1.9952464701313736E-5</v>
      </c>
      <c r="V19" s="6">
        <v>1.9947589119226079E-5</v>
      </c>
      <c r="W19" s="5"/>
      <c r="X19" s="5"/>
      <c r="Z19" s="24">
        <v>4.73703987288175E-4</v>
      </c>
    </row>
    <row r="20" spans="1:35" ht="15.75" thickBot="1" x14ac:dyDescent="0.3">
      <c r="A20" t="s">
        <v>5</v>
      </c>
      <c r="B20" t="s">
        <v>20</v>
      </c>
      <c r="L20" s="7">
        <v>0</v>
      </c>
      <c r="M20" s="27">
        <f>-$E$6</f>
        <v>-12.794229231912</v>
      </c>
      <c r="N20" s="9">
        <f>$E$7+$E$10*$I$7</f>
        <v>51977.509370144078</v>
      </c>
      <c r="O20" s="170">
        <f>$E$11*$D$11</f>
        <v>23.74743055197608</v>
      </c>
      <c r="T20" s="7">
        <v>2.0311343996947216E-12</v>
      </c>
      <c r="U20" s="8">
        <v>4.9112858662071932E-9</v>
      </c>
      <c r="V20" s="9">
        <v>1.9244000456135029E-5</v>
      </c>
      <c r="W20" s="5"/>
      <c r="X20" s="5"/>
      <c r="Z20" s="24">
        <v>4.5699556437426263E-4</v>
      </c>
    </row>
    <row r="21" spans="1:35" x14ac:dyDescent="0.25">
      <c r="L21" s="5"/>
      <c r="M21" s="5"/>
      <c r="N21" s="26"/>
      <c r="O21" s="5"/>
      <c r="T21" s="5"/>
      <c r="U21" s="5"/>
      <c r="V21" s="5"/>
      <c r="W21" s="5"/>
      <c r="X21" s="5"/>
      <c r="Z21" s="24"/>
    </row>
    <row r="22" spans="1:35" x14ac:dyDescent="0.25">
      <c r="L22" s="5"/>
      <c r="M22" s="5"/>
      <c r="N22" s="5"/>
      <c r="O22" s="26"/>
      <c r="P22" s="5"/>
      <c r="T22" s="5"/>
      <c r="U22" s="5"/>
      <c r="V22" s="5"/>
      <c r="W22" s="5"/>
      <c r="X22" s="5"/>
    </row>
    <row r="24" spans="1:35" ht="15.75" thickBot="1" x14ac:dyDescent="0.3"/>
    <row r="25" spans="1:35" ht="15.75" thickBot="1" x14ac:dyDescent="0.3">
      <c r="R25" s="5"/>
      <c r="S25" s="5"/>
      <c r="T25" s="5"/>
      <c r="U25" s="5"/>
      <c r="V25" s="5"/>
      <c r="Y25" s="13"/>
      <c r="Z25" s="16" t="s">
        <v>93</v>
      </c>
      <c r="AA25" s="17" t="s">
        <v>28</v>
      </c>
      <c r="AB25" s="17" t="s">
        <v>31</v>
      </c>
      <c r="AC25" s="18" t="s">
        <v>34</v>
      </c>
      <c r="AE25" s="54" t="s">
        <v>94</v>
      </c>
      <c r="AF25" s="54" t="s">
        <v>95</v>
      </c>
      <c r="AG25" s="54" t="s">
        <v>96</v>
      </c>
      <c r="AH25" s="54" t="s">
        <v>97</v>
      </c>
      <c r="AI25" s="54" t="s">
        <v>98</v>
      </c>
    </row>
    <row r="26" spans="1:35" ht="15.75" thickBot="1" x14ac:dyDescent="0.3">
      <c r="E26">
        <v>4.7069919482838597E-2</v>
      </c>
      <c r="F26" s="42">
        <v>6.6797046833785379E-4</v>
      </c>
      <c r="H26" s="42">
        <v>2.4838037726523283E-2</v>
      </c>
      <c r="I26">
        <v>0.27661551279050595</v>
      </c>
      <c r="L26" s="208" t="s">
        <v>36</v>
      </c>
      <c r="M26" s="209"/>
      <c r="N26" s="210"/>
      <c r="R26" s="5"/>
      <c r="S26" s="5"/>
      <c r="T26" s="5"/>
      <c r="U26" s="5"/>
      <c r="V26" s="5"/>
      <c r="Y26" s="14" t="s">
        <v>0</v>
      </c>
      <c r="Z26" s="42">
        <v>21.209716796875</v>
      </c>
      <c r="AA26" s="2">
        <v>0.64</v>
      </c>
      <c r="AB26" s="2">
        <v>0.36</v>
      </c>
      <c r="AC26" s="3">
        <v>0</v>
      </c>
      <c r="AE26">
        <f>Z27</f>
        <v>23.74743055197608</v>
      </c>
      <c r="AF26">
        <f>AE26/Z26</f>
        <v>1.1196486393196434</v>
      </c>
      <c r="AG26">
        <f>AB31*W31/Z26/AA26</f>
        <v>6.5006764250726684E-2</v>
      </c>
      <c r="AH26">
        <f>X31*AB31/Z26/AB26</f>
        <v>1.2174342158692255</v>
      </c>
      <c r="AI26" s="176">
        <f>AA33*U33/AB34/AC27</f>
        <v>2.4437177279879426E-4</v>
      </c>
    </row>
    <row r="27" spans="1:35" ht="21.75" thickBot="1" x14ac:dyDescent="0.4">
      <c r="E27">
        <v>3.4584493550627962E-3</v>
      </c>
      <c r="F27" s="42">
        <v>4.7058414069724738E-4</v>
      </c>
      <c r="H27" s="42">
        <v>2.6618949388031938E-3</v>
      </c>
      <c r="I27">
        <v>2.5622730787817072E-2</v>
      </c>
      <c r="L27" s="1" t="s">
        <v>3</v>
      </c>
      <c r="M27" s="2" t="s">
        <v>4</v>
      </c>
      <c r="N27" s="3" t="s">
        <v>5</v>
      </c>
      <c r="O27" s="28" t="s">
        <v>37</v>
      </c>
      <c r="R27" s="5"/>
      <c r="S27" s="5"/>
      <c r="T27" s="5"/>
      <c r="U27" s="5"/>
      <c r="V27" s="5"/>
      <c r="Y27" s="15" t="s">
        <v>17</v>
      </c>
      <c r="Z27" s="169">
        <v>23.74743055197608</v>
      </c>
      <c r="AA27" s="8">
        <v>0</v>
      </c>
      <c r="AB27" s="8">
        <v>0</v>
      </c>
      <c r="AC27" s="9">
        <v>1</v>
      </c>
      <c r="AI27" s="94"/>
    </row>
    <row r="28" spans="1:35" ht="15.75" thickBot="1" x14ac:dyDescent="0.3">
      <c r="E28">
        <v>2.4075729426634201E-4</v>
      </c>
      <c r="F28" s="42">
        <v>4.5671413964950414E-4</v>
      </c>
      <c r="H28" s="42">
        <v>1.9561014122508515E-3</v>
      </c>
      <c r="I28">
        <v>1.8045650555220838E-3</v>
      </c>
      <c r="L28" s="29">
        <f>Z4</f>
        <v>0.95170350705472806</v>
      </c>
      <c r="M28" s="30">
        <f>Z11</f>
        <v>3.9098538172148346E-2</v>
      </c>
      <c r="N28" s="31">
        <f>Z18</f>
        <v>7.3266715379065003E-4</v>
      </c>
      <c r="O28" s="177">
        <f>SUM(L28:N28)</f>
        <v>0.99153471238066704</v>
      </c>
      <c r="R28" s="5"/>
      <c r="S28" s="5"/>
      <c r="T28" s="5"/>
      <c r="U28" s="5"/>
      <c r="V28" s="5"/>
      <c r="AG28" s="42"/>
    </row>
    <row r="29" spans="1:35" ht="21.75" thickBot="1" x14ac:dyDescent="0.4">
      <c r="L29" s="4">
        <f>Z5</f>
        <v>0.9956554900342377</v>
      </c>
      <c r="M29" s="5">
        <f>Z12</f>
        <v>2.8842670734725222E-3</v>
      </c>
      <c r="N29" s="6">
        <f t="shared" ref="N29:N30" si="6">Z19</f>
        <v>4.73703987288175E-4</v>
      </c>
      <c r="O29" s="178">
        <f t="shared" ref="O29:O30" si="7">SUM(L29:N29)</f>
        <v>0.99901346109499845</v>
      </c>
      <c r="R29" s="5"/>
      <c r="S29" s="5"/>
      <c r="T29" s="5"/>
      <c r="U29" s="5"/>
      <c r="V29" s="5"/>
      <c r="AA29" s="48" t="s">
        <v>99</v>
      </c>
      <c r="AB29" s="69" t="s">
        <v>100</v>
      </c>
      <c r="AG29" s="54" t="s">
        <v>109</v>
      </c>
      <c r="AI29" s="94"/>
    </row>
    <row r="30" spans="1:35" ht="15.75" thickBot="1" x14ac:dyDescent="0.3">
      <c r="L30" s="7">
        <f>Z6</f>
        <v>0.99925867103126398</v>
      </c>
      <c r="M30" s="8">
        <f>Z13</f>
        <v>1.9283421673989783E-4</v>
      </c>
      <c r="N30" s="9">
        <f t="shared" si="6"/>
        <v>4.5699556437426263E-4</v>
      </c>
      <c r="O30" s="180">
        <f t="shared" si="7"/>
        <v>0.99990850081237814</v>
      </c>
      <c r="R30" s="13" t="s">
        <v>101</v>
      </c>
      <c r="S30" s="48" t="s">
        <v>102</v>
      </c>
      <c r="T30" s="49" t="s">
        <v>103</v>
      </c>
      <c r="U30" s="49" t="s">
        <v>104</v>
      </c>
      <c r="V30" s="28" t="s">
        <v>37</v>
      </c>
      <c r="W30" s="48" t="s">
        <v>105</v>
      </c>
      <c r="X30" s="49" t="s">
        <v>106</v>
      </c>
      <c r="Y30" s="49" t="s">
        <v>107</v>
      </c>
      <c r="Z30" s="55" t="s">
        <v>108</v>
      </c>
      <c r="AA30" s="81">
        <f>Z26</f>
        <v>21.209716796875</v>
      </c>
      <c r="AB30" s="82"/>
      <c r="AC30" s="49" t="s">
        <v>22</v>
      </c>
      <c r="AD30" s="49" t="s">
        <v>23</v>
      </c>
      <c r="AE30" s="69" t="s">
        <v>24</v>
      </c>
      <c r="AG30">
        <v>0.99980000000000002</v>
      </c>
      <c r="AI30" s="113">
        <f>ABS(AH26-AG30)</f>
        <v>0.21763421586922549</v>
      </c>
    </row>
    <row r="31" spans="1:35" x14ac:dyDescent="0.25">
      <c r="L31" s="4"/>
      <c r="M31" s="5"/>
      <c r="N31" s="6"/>
      <c r="O31" s="178"/>
      <c r="R31" s="211">
        <v>1</v>
      </c>
      <c r="S31" s="63">
        <f>C41</f>
        <v>0.95170350705472817</v>
      </c>
      <c r="T31" s="64">
        <f t="shared" ref="T31:U33" si="8">D41</f>
        <v>4.7615171622542488E-2</v>
      </c>
      <c r="U31" s="214">
        <f t="shared" si="8"/>
        <v>6.8132132272931607E-4</v>
      </c>
      <c r="V31" s="60">
        <f>SUM(S31:U31)</f>
        <v>1</v>
      </c>
      <c r="W31" s="63">
        <f>G41</f>
        <v>2.7356708346968579E-2</v>
      </c>
      <c r="X31" s="64">
        <f t="shared" ref="X31:Y33" si="9">H41</f>
        <v>0.28818629341046076</v>
      </c>
      <c r="Y31" s="214">
        <f t="shared" si="9"/>
        <v>0.68445699824257067</v>
      </c>
      <c r="Z31" s="57">
        <f>SUM(W31:Y31)</f>
        <v>1</v>
      </c>
      <c r="AA31" s="25">
        <f>(AB33*(W32-W33)+AA32*(S32-W32))/(S31-W32)</f>
        <v>13.406852583727266</v>
      </c>
      <c r="AB31" s="107">
        <f>AA30+AB34-AA33</f>
        <v>32.255928855812989</v>
      </c>
      <c r="AC31" s="1">
        <f>W31/S31</f>
        <v>2.8744990581815118E-2</v>
      </c>
      <c r="AD31" s="2">
        <f t="shared" ref="AD31:AE33" si="10">X31/T31</f>
        <v>6.052404802716798</v>
      </c>
      <c r="AE31" s="3">
        <f t="shared" si="10"/>
        <v>1004.6023446040017</v>
      </c>
      <c r="AG31" t="s">
        <v>146</v>
      </c>
    </row>
    <row r="32" spans="1:35" x14ac:dyDescent="0.25">
      <c r="L32" s="5"/>
      <c r="M32" s="5"/>
      <c r="N32" s="5"/>
      <c r="O32" s="171"/>
      <c r="R32" s="212">
        <v>2</v>
      </c>
      <c r="S32" s="65">
        <f t="shared" ref="S32:S33" si="11">C42</f>
        <v>0.9956554900342377</v>
      </c>
      <c r="T32" s="66">
        <f t="shared" si="8"/>
        <v>3.8721295786350472E-3</v>
      </c>
      <c r="U32" s="149">
        <f t="shared" si="8"/>
        <v>4.723803871272936E-4</v>
      </c>
      <c r="V32" s="61">
        <f t="shared" ref="V32:V33" si="12">SUM(S32:U32)</f>
        <v>1</v>
      </c>
      <c r="W32" s="65">
        <f t="shared" ref="W32:W33" si="13">G42</f>
        <v>2.7622677016185902E-3</v>
      </c>
      <c r="X32" s="66">
        <f t="shared" si="9"/>
        <v>2.8644055437909467E-2</v>
      </c>
      <c r="Y32" s="149">
        <f t="shared" si="9"/>
        <v>0.96859367686047193</v>
      </c>
      <c r="Z32" s="58">
        <f t="shared" ref="Z32:Z33" si="14">SUM(W32:Y32)</f>
        <v>1</v>
      </c>
      <c r="AA32" s="25">
        <f>(AB34*(W33-W34)+AA33*(S33-W33))/(S32-W33)</f>
        <v>12.794229231912</v>
      </c>
      <c r="AB32" s="107">
        <f t="shared" ref="AB32:AB33" si="15">AA31+AB33-AA32</f>
        <v>24.453064642665254</v>
      </c>
      <c r="AC32" s="4">
        <f t="shared" ref="AC32:AC33" si="16">W32/S32</f>
        <v>2.7743207658339772E-3</v>
      </c>
      <c r="AD32" s="5">
        <f t="shared" si="10"/>
        <v>7.3974940291142577</v>
      </c>
      <c r="AE32" s="6">
        <f t="shared" si="10"/>
        <v>2050.4527775821107</v>
      </c>
      <c r="AG32" s="176">
        <f>AG30*Z26*AB26/X31</f>
        <v>26.489708642709939</v>
      </c>
    </row>
    <row r="33" spans="3:33" ht="15.75" thickBot="1" x14ac:dyDescent="0.3">
      <c r="R33" s="213">
        <v>3</v>
      </c>
      <c r="S33" s="67">
        <f t="shared" si="11"/>
        <v>0.99925867103126409</v>
      </c>
      <c r="T33" s="68">
        <f t="shared" si="8"/>
        <v>2.844277897991122E-4</v>
      </c>
      <c r="U33" s="215">
        <f t="shared" si="8"/>
        <v>4.5690117893677285E-4</v>
      </c>
      <c r="V33" s="62">
        <f t="shared" si="12"/>
        <v>1</v>
      </c>
      <c r="W33" s="67">
        <f t="shared" si="13"/>
        <v>1.9648069055136332E-3</v>
      </c>
      <c r="X33" s="68">
        <f t="shared" si="9"/>
        <v>2.131559514301272E-3</v>
      </c>
      <c r="Y33" s="215">
        <f t="shared" si="9"/>
        <v>0.99590363358018519</v>
      </c>
      <c r="Z33" s="59">
        <f t="shared" si="14"/>
        <v>1</v>
      </c>
      <c r="AA33" s="25">
        <f>(AA30*(AA26-W31)+AB34*(AA27-W31))/(S33-W31)</f>
        <v>12.701218493038089</v>
      </c>
      <c r="AB33" s="107">
        <f t="shared" si="15"/>
        <v>23.840441290849988</v>
      </c>
      <c r="AC33" s="7">
        <f t="shared" si="16"/>
        <v>1.9662645543879996E-3</v>
      </c>
      <c r="AD33" s="8">
        <f t="shared" si="10"/>
        <v>7.494202714181923</v>
      </c>
      <c r="AE33" s="9">
        <f t="shared" si="10"/>
        <v>2179.6915383271553</v>
      </c>
      <c r="AG33" t="s">
        <v>147</v>
      </c>
    </row>
    <row r="34" spans="3:33" ht="15.75" thickBot="1" x14ac:dyDescent="0.3">
      <c r="R34" s="206"/>
      <c r="S34" s="66"/>
      <c r="T34" s="66"/>
      <c r="U34" s="66"/>
      <c r="V34" s="181"/>
      <c r="W34" s="121">
        <v>0</v>
      </c>
      <c r="X34" s="5">
        <f>AB27</f>
        <v>0</v>
      </c>
      <c r="Y34" s="121">
        <v>1</v>
      </c>
      <c r="Z34" s="207"/>
      <c r="AA34" s="7"/>
      <c r="AB34" s="84">
        <f>Z27</f>
        <v>23.74743055197608</v>
      </c>
      <c r="AC34" s="5"/>
      <c r="AD34" s="5"/>
      <c r="AE34" s="5"/>
      <c r="AG34" s="176">
        <f>AG36+Z26-AG32</f>
        <v>12.859080325221601</v>
      </c>
    </row>
    <row r="35" spans="3:33" ht="18.75" thickBot="1" x14ac:dyDescent="0.4">
      <c r="C35" s="36" t="s">
        <v>38</v>
      </c>
      <c r="D35" s="37" t="s">
        <v>39</v>
      </c>
      <c r="E35" s="37" t="s">
        <v>40</v>
      </c>
      <c r="F35" s="37" t="s">
        <v>41</v>
      </c>
      <c r="G35" s="37" t="s">
        <v>42</v>
      </c>
      <c r="H35" s="38" t="s">
        <v>43</v>
      </c>
      <c r="R35" s="206"/>
      <c r="S35" s="66"/>
      <c r="T35" s="66"/>
      <c r="U35" s="66"/>
      <c r="V35" s="181"/>
      <c r="W35" s="5"/>
      <c r="X35" s="5"/>
      <c r="Y35" s="5"/>
      <c r="Z35" s="207"/>
      <c r="AA35" s="5"/>
      <c r="AC35" s="5"/>
      <c r="AD35" s="5"/>
      <c r="AE35" s="5"/>
      <c r="AG35" t="s">
        <v>148</v>
      </c>
    </row>
    <row r="36" spans="3:33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R36" s="5"/>
      <c r="S36" s="5"/>
      <c r="T36" s="5"/>
      <c r="U36" s="5"/>
      <c r="V36" s="50"/>
      <c r="W36" s="5"/>
      <c r="X36" s="5"/>
      <c r="Y36" s="5"/>
      <c r="Z36" s="56"/>
      <c r="AA36" s="26"/>
      <c r="AC36" s="5"/>
      <c r="AD36" s="5"/>
      <c r="AE36" s="5"/>
      <c r="AG36" s="221">
        <f>(AG32*(W31-S33)+Z26*(S33-AA26))/(AA27-S33)</f>
        <v>18.13907217105654</v>
      </c>
    </row>
    <row r="37" spans="3:33" ht="18.75" thickBot="1" x14ac:dyDescent="0.4">
      <c r="C37" s="36" t="s">
        <v>44</v>
      </c>
      <c r="D37" s="37" t="s">
        <v>45</v>
      </c>
      <c r="E37" s="37" t="s">
        <v>46</v>
      </c>
      <c r="F37" s="37" t="s">
        <v>47</v>
      </c>
      <c r="G37" s="37" t="s">
        <v>48</v>
      </c>
      <c r="H37" s="38" t="s">
        <v>49</v>
      </c>
      <c r="AC37" s="168">
        <f>AB34+Z26-AA33-AB31</f>
        <v>0</v>
      </c>
    </row>
    <row r="38" spans="3:33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</row>
    <row r="39" spans="3:33" ht="15.75" thickBot="1" x14ac:dyDescent="0.3"/>
    <row r="40" spans="3:33" ht="16.5" thickBot="1" x14ac:dyDescent="0.3">
      <c r="C40" s="16" t="s">
        <v>50</v>
      </c>
      <c r="D40" s="17" t="s">
        <v>51</v>
      </c>
      <c r="E40" s="18" t="s">
        <v>52</v>
      </c>
      <c r="G40" s="16" t="s">
        <v>53</v>
      </c>
      <c r="H40" s="17" t="s">
        <v>54</v>
      </c>
      <c r="I40" s="18" t="s">
        <v>55</v>
      </c>
      <c r="L40" s="39" t="s">
        <v>56</v>
      </c>
      <c r="M40" s="40" t="s">
        <v>57</v>
      </c>
      <c r="N40" s="40" t="s">
        <v>58</v>
      </c>
      <c r="O40" s="40" t="s">
        <v>59</v>
      </c>
      <c r="P40" s="40" t="s">
        <v>60</v>
      </c>
      <c r="Q40" s="40" t="s">
        <v>61</v>
      </c>
      <c r="R40" s="40" t="s">
        <v>62</v>
      </c>
      <c r="S40" s="40" t="s">
        <v>63</v>
      </c>
      <c r="T40" s="40" t="s">
        <v>64</v>
      </c>
      <c r="U40" s="40" t="s">
        <v>65</v>
      </c>
      <c r="V40" s="40" t="s">
        <v>66</v>
      </c>
      <c r="W40" s="40" t="s">
        <v>67</v>
      </c>
      <c r="X40" s="40" t="s">
        <v>68</v>
      </c>
      <c r="Y40" s="40" t="s">
        <v>69</v>
      </c>
      <c r="Z40" s="41" t="s">
        <v>70</v>
      </c>
    </row>
    <row r="41" spans="3:33" x14ac:dyDescent="0.25">
      <c r="C41">
        <f>1-D41-E41</f>
        <v>0.95170350705472817</v>
      </c>
      <c r="D41">
        <v>4.7615171622542488E-2</v>
      </c>
      <c r="E41" s="42">
        <v>6.8132132272931607E-4</v>
      </c>
      <c r="G41" s="42">
        <v>2.7356708346968579E-2</v>
      </c>
      <c r="H41">
        <v>0.28818629341046076</v>
      </c>
      <c r="I41">
        <f>1-G41-H41</f>
        <v>0.68445699824257067</v>
      </c>
      <c r="L41">
        <f>$C41+$D$38*$D41+$F$38*$E41</f>
        <v>0.96708152136167602</v>
      </c>
      <c r="M41">
        <f>$C$38*$C41+$D41+$H$38*$E41</f>
        <v>0.45792298402207876</v>
      </c>
      <c r="N41">
        <f>$E$38*$C41+$G$38*$D41+$E41</f>
        <v>6.1839260062926601E-2</v>
      </c>
      <c r="O41">
        <f>$D41*$D$36*$D$38+$E41*$F$36*$F$38</f>
        <v>4.3791439382152068E-2</v>
      </c>
      <c r="P41">
        <f>$C41*$C$36*$C$38+$E41*$H$36*$H$38</f>
        <v>0.86340719800183419</v>
      </c>
      <c r="Q41">
        <f>$C41*$E$36*$E$38+$D41*$G$36*$G$38</f>
        <v>0.41449740826223774</v>
      </c>
      <c r="R41">
        <f>(O41/L41)-(C41*O41/L41^2)+(D41*$C$38/M41)*($C$36-P41/M41)+(E41*$E$38/N41)*($E$36-Q41/N41)</f>
        <v>1.0991279941661781E-2</v>
      </c>
      <c r="S41">
        <f>(P41/M41)-(D41*P41/M41^2)+(C41*$D$38/L41)*($D$36-O41/L41)+(E41*$G$38/N41)*($G$36-Q41/N41)</f>
        <v>2.5668305568158951</v>
      </c>
      <c r="T41">
        <f>(Q41/N41)-(E41*Q41/N41^2)+(C41*$F$38/L41)*($F$36-O41/L41)+(D41*$H$38/M41)*($H$36-P41/M41)</f>
        <v>6.985058231166164</v>
      </c>
      <c r="U41">
        <f>EXP(R41)</f>
        <v>1.0110519059746765</v>
      </c>
      <c r="V41">
        <f>EXP(S41)</f>
        <v>13.024478608959376</v>
      </c>
      <c r="W41">
        <f>EXP(T41)</f>
        <v>1080.3693270666347</v>
      </c>
      <c r="X41">
        <f>U41/U47</f>
        <v>2.8744990676896676E-2</v>
      </c>
      <c r="Y41">
        <f>V41/V47</f>
        <v>6.0524048026059543</v>
      </c>
      <c r="Z41">
        <f>W41/W47</f>
        <v>1004.6023446062637</v>
      </c>
    </row>
    <row r="42" spans="3:33" x14ac:dyDescent="0.25">
      <c r="C42">
        <f t="shared" ref="C42:C43" si="17">1-D42-E42</f>
        <v>0.9956554900342377</v>
      </c>
      <c r="D42">
        <v>3.8721295786350472E-3</v>
      </c>
      <c r="E42" s="42">
        <v>4.723803871272936E-4</v>
      </c>
      <c r="G42" s="42">
        <v>2.7622677016185902E-3</v>
      </c>
      <c r="H42">
        <v>2.8644055437909467E-2</v>
      </c>
      <c r="I42">
        <f t="shared" ref="I42:I43" si="18">1-G42-H42</f>
        <v>0.96859367686047193</v>
      </c>
      <c r="L42">
        <f>$C42+$D$38*$D42+$F$38*$E42</f>
        <v>0.99694197444378452</v>
      </c>
      <c r="M42">
        <f t="shared" ref="M42:M43" si="19">$C$38*$C42+$D42+$H$38*$E42</f>
        <v>0.43290817623333044</v>
      </c>
      <c r="N42">
        <f t="shared" ref="N42:N43" si="20">$E$38*$C42+$G$38*$D42+$E42</f>
        <v>5.5270216348793956E-2</v>
      </c>
      <c r="O42">
        <f t="shared" ref="O42:O43" si="21">$D42*$D$36*$D$38+$E42*$F$36*$F$38</f>
        <v>3.7813572921719658E-3</v>
      </c>
      <c r="P42">
        <f t="shared" ref="P42:P43" si="22">$C42*$C$36*$C$38+$E42*$H$36*$H$38</f>
        <v>0.90323443401006842</v>
      </c>
      <c r="Q42">
        <f t="shared" ref="Q42:Q43" si="23">$C42*$E$36*$E$38+$D42*$G$36*$G$38</f>
        <v>0.39667540104927002</v>
      </c>
      <c r="R42">
        <f>(O42/L42)-(C42*O42/L42^2)+(D42*$C$38/M42)*($C$36-P42/M42)+(E42*$E$38/N42)*($E$36-Q42/N42)</f>
        <v>1.3482249292311502E-4</v>
      </c>
      <c r="S42">
        <f>(P42/M42)-(D42*P42/M42^2)+(C42*$D$38/L42)*($D$36-O42/L42)+(E42*$G$38/N42)*($G$36-Q42/N42)</f>
        <v>2.9721296050416619</v>
      </c>
      <c r="T42">
        <f>(Q42/N42)-(E42*Q42/N42^2)+(C42*$F$38/L42)*($F$36-O42/L42)+(D42*$H$38/M42)*($H$36-P42/M42)</f>
        <v>7.6273207999806756</v>
      </c>
      <c r="U42">
        <f t="shared" ref="U42:W43" si="24">EXP(R42)</f>
        <v>1.0001348315818839</v>
      </c>
      <c r="V42">
        <f t="shared" si="24"/>
        <v>19.533473917716151</v>
      </c>
      <c r="W42">
        <f t="shared" si="24"/>
        <v>2053.5407964356136</v>
      </c>
      <c r="X42">
        <f t="shared" ref="X42:Z43" si="25">U42/U48</f>
        <v>2.774320765855885E-3</v>
      </c>
      <c r="Y42">
        <f t="shared" si="25"/>
        <v>7.3974940291152764</v>
      </c>
      <c r="Z42">
        <f t="shared" si="25"/>
        <v>2050.4527775823703</v>
      </c>
    </row>
    <row r="43" spans="3:33" x14ac:dyDescent="0.25">
      <c r="C43">
        <f t="shared" si="17"/>
        <v>0.99925867103126409</v>
      </c>
      <c r="D43">
        <v>2.844277897991122E-4</v>
      </c>
      <c r="E43" s="42">
        <v>4.5690117893677285E-4</v>
      </c>
      <c r="G43" s="42">
        <v>1.9648069055136332E-3</v>
      </c>
      <c r="H43">
        <v>2.131559514301272E-3</v>
      </c>
      <c r="I43">
        <f t="shared" si="18"/>
        <v>0.99590363358018519</v>
      </c>
      <c r="L43">
        <f t="shared" ref="L43" si="26">$C43+$D$38*$D43+$F$38*$E43</f>
        <v>0.99938954399539481</v>
      </c>
      <c r="M43">
        <f t="shared" si="19"/>
        <v>0.43085732906136737</v>
      </c>
      <c r="N43">
        <f t="shared" si="20"/>
        <v>5.47330064742041E-2</v>
      </c>
      <c r="O43">
        <f t="shared" si="21"/>
        <v>5.0069942717918196E-4</v>
      </c>
      <c r="P43">
        <f t="shared" si="22"/>
        <v>0.90649979108250989</v>
      </c>
      <c r="Q43">
        <f t="shared" si="23"/>
        <v>0.39521302656032159</v>
      </c>
      <c r="R43">
        <f>(O43/L43)-(C43*O43/L43^2)+(D43*$C$38/M43)*($C$36-P43/M43)+(E43*$E$38/N43)*($E$36-Q43/N43)</f>
        <v>3.006462482629122E-5</v>
      </c>
      <c r="S43">
        <f>(P43/M43)-(D43*P43/M43^2)+(C43*$D$38/L43)*($D$36-O43/L43)+(E43*$G$38/N43)*($G$36-Q43/N43)</f>
        <v>3.0090803033937306</v>
      </c>
      <c r="T43">
        <f>(Q43/N43)-(E43*Q43/N43^2)+(C43*$F$38/L43)*($F$36-O43/L43)+(D43*$H$38/M43)*($H$36-P43/M43)</f>
        <v>7.6872467493920071</v>
      </c>
      <c r="U43">
        <f t="shared" si="24"/>
        <v>1.0000300650767717</v>
      </c>
      <c r="V43">
        <f t="shared" si="24"/>
        <v>20.268750249715858</v>
      </c>
      <c r="W43">
        <f t="shared" si="24"/>
        <v>2180.363204320261</v>
      </c>
      <c r="X43">
        <f t="shared" si="25"/>
        <v>1.9662645543888501E-3</v>
      </c>
      <c r="Y43">
        <f t="shared" si="25"/>
        <v>7.4942027141819745</v>
      </c>
      <c r="Z43">
        <f t="shared" si="25"/>
        <v>2179.6915383271748</v>
      </c>
    </row>
    <row r="44" spans="3:33" x14ac:dyDescent="0.25">
      <c r="E44" s="42"/>
      <c r="G44" s="42"/>
    </row>
    <row r="45" spans="3:33" ht="15.75" thickBot="1" x14ac:dyDescent="0.3">
      <c r="E45" s="42"/>
      <c r="G45" s="42"/>
    </row>
    <row r="46" spans="3:33" ht="16.5" thickBot="1" x14ac:dyDescent="0.3">
      <c r="L46" s="39" t="s">
        <v>71</v>
      </c>
      <c r="M46" s="40" t="s">
        <v>72</v>
      </c>
      <c r="N46" s="40" t="s">
        <v>73</v>
      </c>
      <c r="O46" s="40" t="s">
        <v>74</v>
      </c>
      <c r="P46" s="40" t="s">
        <v>75</v>
      </c>
      <c r="Q46" s="40" t="s">
        <v>76</v>
      </c>
      <c r="R46" s="40" t="s">
        <v>77</v>
      </c>
      <c r="S46" s="40" t="s">
        <v>78</v>
      </c>
      <c r="T46" s="40" t="s">
        <v>79</v>
      </c>
      <c r="U46" s="40" t="s">
        <v>80</v>
      </c>
      <c r="V46" s="40" t="s">
        <v>81</v>
      </c>
      <c r="W46" s="40" t="s">
        <v>82</v>
      </c>
      <c r="X46" s="40" t="s">
        <v>83</v>
      </c>
      <c r="Y46" s="40" t="s">
        <v>84</v>
      </c>
      <c r="Z46" s="41" t="s">
        <v>85</v>
      </c>
    </row>
    <row r="47" spans="3:33" ht="15.75" thickBot="1" x14ac:dyDescent="0.3">
      <c r="L47">
        <f>$G41+$D$38*$H41+$F$38*$I41</f>
        <v>0.17904356081977676</v>
      </c>
      <c r="M47">
        <f>$C$38*$G41+$H41+$H$38*$I41</f>
        <v>0.92853863050793484</v>
      </c>
      <c r="N47">
        <f>$E$38*$G41+$G$38*$H41+$I41</f>
        <v>0.74355427790952922</v>
      </c>
      <c r="O47">
        <f>$H41*$D$36*$D$38+$I41*$F$36*$F$38</f>
        <v>0.62428604652266118</v>
      </c>
      <c r="P47">
        <f>$G41*$C$36*$C$38+$I41*$H$36*$H$38</f>
        <v>0.15865251715104872</v>
      </c>
      <c r="Q47">
        <f>$G41*$E$36*$E$38+$H41*$G$36*$G$38</f>
        <v>0.24268536024427004</v>
      </c>
      <c r="R47">
        <f>(O47/L47)-(G41*O47/L47^2)+(H41*$C$38/M47)*($C$36-P47/M47)+(I41*$E$38/N47)*($E$36-Q47/N47)</f>
        <v>3.5602830441868587</v>
      </c>
      <c r="S47">
        <f>(P47/M47)-(H41*P47/M47^2)+(G41*$D$38/L47)*($D$36-O47/L47)+(I41*$G$38/N47)*($G$36-Q47/N47)</f>
        <v>0.76637487571654384</v>
      </c>
      <c r="T47">
        <f>(Q47/N47)-(I41*Q47/N47^2)+(G41*$F$38/L47)*($F$36-O47/L47)+(H41*$H$38/M47)*($H$36-P47/M47)</f>
        <v>7.2711165982483478E-2</v>
      </c>
      <c r="U47">
        <f>EXP(R47)</f>
        <v>35.173151292315197</v>
      </c>
      <c r="V47">
        <f>EXP(S47)</f>
        <v>2.1519510068711019</v>
      </c>
      <c r="W47">
        <f>EXP(T47)</f>
        <v>1.0754198742090997</v>
      </c>
      <c r="X47">
        <f>U47/U41</f>
        <v>34.788670180496318</v>
      </c>
      <c r="Y47">
        <f>V47/V41</f>
        <v>0.1652235818016394</v>
      </c>
      <c r="Z47">
        <f>W47/W41</f>
        <v>9.9541873993130338E-4</v>
      </c>
    </row>
    <row r="48" spans="3:33" ht="15.75" thickBot="1" x14ac:dyDescent="0.3">
      <c r="C48" s="232" t="s">
        <v>86</v>
      </c>
      <c r="D48" s="233"/>
      <c r="E48" s="233"/>
      <c r="F48" s="233"/>
      <c r="G48" s="233"/>
      <c r="H48" s="233"/>
      <c r="I48" s="234"/>
      <c r="L48">
        <f t="shared" ref="L48:L49" si="27">$G42+$D$38*$H42+$F$38*$I42</f>
        <v>9.5425400175931277E-2</v>
      </c>
      <c r="M48">
        <f t="shared" ref="M48:M49" si="28">$C$38*$G42+$H42+$H$38*$I42</f>
        <v>0.91934813532073278</v>
      </c>
      <c r="N48">
        <f t="shared" ref="N48:N49" si="29">$E$38*$G42+$G$38*$H42+$I42</f>
        <v>0.97446994792243735</v>
      </c>
      <c r="O48">
        <f t="shared" ref="O48:O49" si="30">$H42*$D$36*$D$38+$I42*$F$36*$F$38</f>
        <v>0.53758257790925534</v>
      </c>
      <c r="P48">
        <f t="shared" ref="P48:P49" si="31">$G42*$C$36*$C$38+$I42*$H$36*$H$38</f>
        <v>0.19190298900456834</v>
      </c>
      <c r="Q48">
        <f t="shared" ref="Q48:Q49" si="32">$G42*$E$36*$E$38+$H42*$G$36*$G$38</f>
        <v>2.4138588702384417E-2</v>
      </c>
      <c r="R48">
        <f>(O48/L48)-(G42*O48/L48^2)+(H42*$C$38/M48)*($C$36-P48/M48)+(I42*$E$38/N48)*($E$36-Q48/N48)</f>
        <v>5.8874841532984403</v>
      </c>
      <c r="S48">
        <f>(P48/M48)-(H42*P48/M48^2)+(G42*$D$38/L48)*($D$36-O48/L48)+(I42*$G$38/N48)*($G$36-Q48/N48)</f>
        <v>0.97098830689875937</v>
      </c>
      <c r="T48">
        <f>(Q48/N48)-(I42*Q48/N48^2)+(G42*$F$38/L48)*($F$36-O48/L48)+(H42*$H$38/M48)*($H$36-P48/M48)</f>
        <v>1.5048851224205094E-3</v>
      </c>
      <c r="U48">
        <f t="shared" ref="U48:W49" si="33">EXP(R48)</f>
        <v>360.49718687569992</v>
      </c>
      <c r="V48">
        <f t="shared" si="33"/>
        <v>2.6405528467932147</v>
      </c>
      <c r="W48">
        <f t="shared" si="33"/>
        <v>1.0015060180302637</v>
      </c>
      <c r="X48">
        <f t="shared" ref="X48:Z49" si="34">U48/U42</f>
        <v>360.4485870225239</v>
      </c>
      <c r="Y48">
        <f t="shared" si="34"/>
        <v>0.13518091343692476</v>
      </c>
      <c r="Z48">
        <f t="shared" si="34"/>
        <v>4.8769716178446754E-4</v>
      </c>
    </row>
    <row r="49" spans="2:26" ht="15.75" thickBot="1" x14ac:dyDescent="0.3">
      <c r="B49" s="19" t="s">
        <v>87</v>
      </c>
      <c r="C49" s="17" t="s">
        <v>50</v>
      </c>
      <c r="D49" s="17" t="s">
        <v>51</v>
      </c>
      <c r="E49" s="17" t="s">
        <v>52</v>
      </c>
      <c r="F49" s="17"/>
      <c r="G49" s="17" t="s">
        <v>53</v>
      </c>
      <c r="H49" s="17" t="s">
        <v>54</v>
      </c>
      <c r="I49" s="17" t="s">
        <v>88</v>
      </c>
      <c r="J49" s="19" t="s">
        <v>87</v>
      </c>
      <c r="L49">
        <f t="shared" si="27"/>
        <v>8.8450865239296739E-2</v>
      </c>
      <c r="M49">
        <f t="shared" si="28"/>
        <v>0.91757265054260451</v>
      </c>
      <c r="N49">
        <f t="shared" si="29"/>
        <v>0.9964363748343309</v>
      </c>
      <c r="O49">
        <f t="shared" si="30"/>
        <v>0.52782020654003625</v>
      </c>
      <c r="P49">
        <f t="shared" si="31"/>
        <v>0.19651977473268972</v>
      </c>
      <c r="Q49">
        <f t="shared" si="32"/>
        <v>2.4916753561218313E-3</v>
      </c>
      <c r="R49">
        <f>(O49/L49)-(G43*O49/L49^2)+(H43*$C$38/M49)*($C$36-P49/M49)+(I43*$E$38/N49)*($E$36-Q49/N49)</f>
        <v>6.2316497661390624</v>
      </c>
      <c r="S49">
        <f>(P49/M49)-(H43*P49/M49^2)+(G43*$D$38/L49)*($D$36-O49/L49)+(I43*$G$38/N49)*($G$36-Q49/N49)</f>
        <v>0.99495055319033021</v>
      </c>
      <c r="T49">
        <f>(Q49/N49)-(I43*Q49/N49^2)+(G43*$F$38/L49)*($F$36-O49/L49)+(H43*$H$38/M49)*($H$36-P49/M49)</f>
        <v>3.080998005964272E-4</v>
      </c>
      <c r="U49">
        <f t="shared" si="33"/>
        <v>508.59385266577158</v>
      </c>
      <c r="V49">
        <f t="shared" si="33"/>
        <v>2.7045906045961932</v>
      </c>
      <c r="W49">
        <f t="shared" si="33"/>
        <v>1.0003081472682147</v>
      </c>
      <c r="X49">
        <f t="shared" si="34"/>
        <v>508.57856221225421</v>
      </c>
      <c r="Y49">
        <f t="shared" si="34"/>
        <v>0.13343647591859337</v>
      </c>
      <c r="Z49">
        <f t="shared" si="34"/>
        <v>4.5878051202027405E-4</v>
      </c>
    </row>
    <row r="50" spans="2:26" x14ac:dyDescent="0.25">
      <c r="B50" s="43">
        <f>SUM(C50:E50)</f>
        <v>0.99999999685286289</v>
      </c>
      <c r="C50">
        <f>G41*X47</f>
        <v>0.95170350390672054</v>
      </c>
      <c r="D50">
        <f>H41*Y47</f>
        <v>4.7615171623414519E-2</v>
      </c>
      <c r="E50">
        <f>I41*Z47</f>
        <v>6.8132132272778203E-4</v>
      </c>
      <c r="G50">
        <f>C41*X41</f>
        <v>2.7356708437458032E-2</v>
      </c>
      <c r="H50">
        <f>D41*Y41</f>
        <v>0.28818629340518293</v>
      </c>
      <c r="I50">
        <f>E41*Z41</f>
        <v>0.68445699824411177</v>
      </c>
      <c r="J50" s="43">
        <f>SUM(G50:I50)</f>
        <v>1.0000000000867528</v>
      </c>
    </row>
    <row r="51" spans="2:26" x14ac:dyDescent="0.25">
      <c r="B51" s="43">
        <f t="shared" ref="B51:B52" si="35">SUM(C51:E51)</f>
        <v>0.99999999999213718</v>
      </c>
      <c r="C51">
        <f t="shared" ref="C51:E52" si="36">G42*X48</f>
        <v>0.99565549002637543</v>
      </c>
      <c r="D51">
        <f t="shared" si="36"/>
        <v>3.8721295786345138E-3</v>
      </c>
      <c r="E51">
        <f t="shared" si="36"/>
        <v>4.7238038712723386E-4</v>
      </c>
      <c r="G51">
        <f t="shared" ref="G51:I52" si="37">C42*X42</f>
        <v>2.762267701640403E-3</v>
      </c>
      <c r="H51">
        <f t="shared" si="37"/>
        <v>2.8644055437913412E-2</v>
      </c>
      <c r="I51">
        <f t="shared" si="37"/>
        <v>0.9685936768605945</v>
      </c>
      <c r="J51" s="43">
        <f t="shared" ref="J51:J52" si="38">SUM(G51:I51)</f>
        <v>1.0000000000001483</v>
      </c>
    </row>
    <row r="52" spans="2:26" x14ac:dyDescent="0.25">
      <c r="B52" s="43">
        <f t="shared" si="35"/>
        <v>0.9999999999995679</v>
      </c>
      <c r="C52">
        <f t="shared" si="36"/>
        <v>0.99925867103083199</v>
      </c>
      <c r="D52">
        <f t="shared" si="36"/>
        <v>2.8442778979911025E-4</v>
      </c>
      <c r="E52">
        <f t="shared" si="36"/>
        <v>4.5690117893676873E-4</v>
      </c>
      <c r="G52">
        <f t="shared" si="37"/>
        <v>1.9648069055144832E-3</v>
      </c>
      <c r="H52">
        <f t="shared" si="37"/>
        <v>2.1315595143012868E-3</v>
      </c>
      <c r="I52">
        <f t="shared" si="37"/>
        <v>0.99590363358019418</v>
      </c>
      <c r="J52" s="43">
        <f t="shared" si="38"/>
        <v>1.00000000000001</v>
      </c>
    </row>
    <row r="53" spans="2:26" x14ac:dyDescent="0.25">
      <c r="B53" s="43"/>
      <c r="J53" s="43"/>
    </row>
    <row r="54" spans="2:26" x14ac:dyDescent="0.25">
      <c r="B54" s="43"/>
      <c r="J54" s="43"/>
    </row>
    <row r="55" spans="2:26" ht="15.75" thickBot="1" x14ac:dyDescent="0.3"/>
    <row r="56" spans="2:26" ht="15.75" thickBot="1" x14ac:dyDescent="0.3">
      <c r="C56" s="95" t="s">
        <v>89</v>
      </c>
      <c r="D56" s="96"/>
      <c r="E56" s="96"/>
      <c r="F56" s="96"/>
      <c r="G56" s="96"/>
      <c r="H56" s="96"/>
      <c r="I56" s="97"/>
    </row>
    <row r="57" spans="2:26" ht="15.75" thickBot="1" x14ac:dyDescent="0.3">
      <c r="C57" s="16" t="s">
        <v>90</v>
      </c>
      <c r="D57" s="17" t="s">
        <v>91</v>
      </c>
      <c r="E57" s="18" t="s">
        <v>92</v>
      </c>
      <c r="G57" s="16" t="s">
        <v>90</v>
      </c>
      <c r="H57" s="17" t="s">
        <v>91</v>
      </c>
      <c r="I57" s="18" t="s">
        <v>92</v>
      </c>
    </row>
    <row r="58" spans="2:26" x14ac:dyDescent="0.25">
      <c r="C58">
        <f>(C50+C41)/2</f>
        <v>0.95170350548072435</v>
      </c>
      <c r="D58">
        <f t="shared" ref="D58:I58" si="39">(D50+D41)/2</f>
        <v>4.76151716229785E-2</v>
      </c>
      <c r="E58">
        <f t="shared" si="39"/>
        <v>6.813213227285491E-4</v>
      </c>
      <c r="G58">
        <f t="shared" si="39"/>
        <v>2.7356708392213304E-2</v>
      </c>
      <c r="H58">
        <f t="shared" si="39"/>
        <v>0.28818629340782187</v>
      </c>
      <c r="I58">
        <f t="shared" si="39"/>
        <v>0.68445699824334127</v>
      </c>
    </row>
    <row r="59" spans="2:26" x14ac:dyDescent="0.25">
      <c r="C59">
        <f t="shared" ref="C59:I60" si="40">(C51+C42)/2</f>
        <v>0.99565549003030651</v>
      </c>
      <c r="D59">
        <f t="shared" si="40"/>
        <v>3.8721295786347805E-3</v>
      </c>
      <c r="E59">
        <f t="shared" si="40"/>
        <v>4.7238038712726373E-4</v>
      </c>
      <c r="G59">
        <f t="shared" si="40"/>
        <v>2.7622677016294964E-3</v>
      </c>
      <c r="H59">
        <f t="shared" si="40"/>
        <v>2.8644055437911438E-2</v>
      </c>
      <c r="I59">
        <f t="shared" si="40"/>
        <v>0.96859367686053321</v>
      </c>
    </row>
    <row r="60" spans="2:26" x14ac:dyDescent="0.25">
      <c r="C60">
        <f t="shared" si="40"/>
        <v>0.99925867103104804</v>
      </c>
      <c r="D60">
        <f t="shared" si="40"/>
        <v>2.8442778979911122E-4</v>
      </c>
      <c r="E60">
        <f t="shared" si="40"/>
        <v>4.5690117893677079E-4</v>
      </c>
      <c r="G60">
        <f t="shared" si="40"/>
        <v>1.9648069055140582E-3</v>
      </c>
      <c r="H60">
        <f t="shared" si="40"/>
        <v>2.1315595143012794E-3</v>
      </c>
      <c r="I60">
        <f t="shared" si="40"/>
        <v>0.99590363358018963</v>
      </c>
    </row>
  </sheetData>
  <mergeCells count="1">
    <mergeCell ref="C48:I48"/>
  </mergeCells>
  <pageMargins left="0.7" right="0.7" top="0.75" bottom="0.75" header="0.3" footer="0.3"/>
  <ignoredErrors>
    <ignoredError sqref="Z18 N28:O28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3"/>
  <dimension ref="A1:AJ59"/>
  <sheetViews>
    <sheetView topLeftCell="B1" zoomScale="55" zoomScaleNormal="55" workbookViewId="0">
      <selection activeCell="AG30" sqref="AG30"/>
    </sheetView>
  </sheetViews>
  <sheetFormatPr defaultRowHeight="15" x14ac:dyDescent="0.25"/>
  <cols>
    <col min="5" max="5" width="13.5703125" bestFit="1" customWidth="1"/>
    <col min="15" max="15" width="12.140625" customWidth="1"/>
    <col min="34" max="34" width="9.7109375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172" t="s">
        <v>1</v>
      </c>
      <c r="C2" s="173"/>
      <c r="D2" s="173"/>
      <c r="E2" s="18" t="s">
        <v>2</v>
      </c>
      <c r="G2" s="22" t="s">
        <v>21</v>
      </c>
      <c r="H2" s="22"/>
      <c r="I2" s="22"/>
    </row>
    <row r="3" spans="1:26" ht="15.75" thickBot="1" x14ac:dyDescent="0.3">
      <c r="B3" s="48" t="s">
        <v>3</v>
      </c>
      <c r="C3" s="49" t="s">
        <v>4</v>
      </c>
      <c r="D3" s="69" t="s">
        <v>5</v>
      </c>
      <c r="E3" s="13" t="s">
        <v>6</v>
      </c>
      <c r="G3" s="48" t="s">
        <v>22</v>
      </c>
      <c r="H3" s="49" t="s">
        <v>23</v>
      </c>
      <c r="I3" s="69" t="s">
        <v>24</v>
      </c>
      <c r="L3">
        <v>1</v>
      </c>
      <c r="M3">
        <v>2</v>
      </c>
      <c r="N3" s="13" t="s">
        <v>26</v>
      </c>
      <c r="S3" s="19" t="s">
        <v>27</v>
      </c>
      <c r="Z3" s="19" t="s">
        <v>28</v>
      </c>
    </row>
    <row r="4" spans="1:26" ht="15.75" thickBot="1" x14ac:dyDescent="0.3">
      <c r="A4" s="48" t="s">
        <v>0</v>
      </c>
      <c r="B4" s="1">
        <f>AA26</f>
        <v>0.64</v>
      </c>
      <c r="C4" s="1">
        <f t="shared" ref="C4:D4" si="0">AB26</f>
        <v>0.36</v>
      </c>
      <c r="D4" s="1">
        <f t="shared" si="0"/>
        <v>0</v>
      </c>
      <c r="E4" s="10">
        <f>AA30</f>
        <v>21.209716796875</v>
      </c>
      <c r="G4" s="5" t="s">
        <v>25</v>
      </c>
      <c r="H4" s="5" t="s">
        <v>25</v>
      </c>
      <c r="I4" s="5" t="s">
        <v>25</v>
      </c>
      <c r="K4" s="16" t="s">
        <v>29</v>
      </c>
      <c r="L4" s="1">
        <f>E$7*$G$5+E$5</f>
        <v>13.954038426639459</v>
      </c>
      <c r="M4" s="2">
        <f>-$E$8*$G$6</f>
        <v>-0.17912360654674381</v>
      </c>
      <c r="N4" s="10">
        <f>$B$4*$E$4</f>
        <v>13.57421875</v>
      </c>
      <c r="O4" s="5"/>
      <c r="P4" s="5"/>
      <c r="T4" s="1">
        <f t="array" ref="T4:U5">MINVERSE(L4:M5)</f>
        <v>7.2608797415711038E-2</v>
      </c>
      <c r="U4" s="3">
        <v>9.8670952118046218E-4</v>
      </c>
      <c r="V4" s="5"/>
      <c r="W4" s="5"/>
      <c r="X4" s="5"/>
      <c r="Z4" s="23">
        <f t="array" ref="Z4:Z5">MMULT(T4:U5,N4:N5)</f>
        <v>0.98560769929529635</v>
      </c>
    </row>
    <row r="5" spans="1:26" ht="15.75" thickBot="1" x14ac:dyDescent="0.3">
      <c r="A5" s="79" t="s">
        <v>7</v>
      </c>
      <c r="B5" s="86">
        <f>S31</f>
        <v>0.98560769929529646</v>
      </c>
      <c r="C5" s="78">
        <f t="shared" ref="C5:D6" si="1">T31</f>
        <v>1.3875560785710931E-2</v>
      </c>
      <c r="D5" s="87">
        <f t="shared" si="1"/>
        <v>5.1673991899255729E-4</v>
      </c>
      <c r="E5" s="11">
        <f t="shared" ref="E5:E6" si="2">AA31</f>
        <v>13.363557326513407</v>
      </c>
      <c r="G5" s="5">
        <f t="shared" ref="G5:I6" si="3">B7/B5</f>
        <v>5.973618233691233E-3</v>
      </c>
      <c r="H5" s="5">
        <f t="shared" si="3"/>
        <v>7.116633457521087</v>
      </c>
      <c r="I5" s="5">
        <f t="shared" si="3"/>
        <v>1732.7190000965675</v>
      </c>
      <c r="L5" s="83">
        <f>-$E$5</f>
        <v>-13.363557326513407</v>
      </c>
      <c r="M5" s="8">
        <f>$E$6+$E$8*$G$6</f>
        <v>13.181133232163631</v>
      </c>
      <c r="N5" s="12">
        <f>$E$9*$B$9</f>
        <v>0</v>
      </c>
      <c r="O5" s="5"/>
      <c r="P5" s="5"/>
      <c r="T5" s="7">
        <v>7.3613687805413386E-2</v>
      </c>
      <c r="U5" s="9">
        <v>7.6866376464400643E-2</v>
      </c>
      <c r="V5" s="5"/>
      <c r="W5" s="5"/>
      <c r="X5" s="5"/>
      <c r="Z5" s="24">
        <v>0.99924830126488873</v>
      </c>
    </row>
    <row r="6" spans="1:26" ht="15.75" thickBot="1" x14ac:dyDescent="0.3">
      <c r="A6" s="79" t="s">
        <v>8</v>
      </c>
      <c r="B6" s="86">
        <f t="shared" ref="B6" si="4">S32</f>
        <v>0.99924830126488873</v>
      </c>
      <c r="C6" s="78">
        <f t="shared" si="1"/>
        <v>2.9475332717905016E-4</v>
      </c>
      <c r="D6" s="87">
        <f t="shared" si="1"/>
        <v>4.5694540793216558E-4</v>
      </c>
      <c r="E6" s="11">
        <f t="shared" si="2"/>
        <v>13.002009625616887</v>
      </c>
      <c r="G6" s="5">
        <f t="shared" si="3"/>
        <v>1.9683482653001625E-3</v>
      </c>
      <c r="H6" s="5">
        <f t="shared" si="3"/>
        <v>7.4939266304251575</v>
      </c>
      <c r="I6" s="5">
        <f t="shared" si="3"/>
        <v>2179.3068805266989</v>
      </c>
      <c r="L6" s="5"/>
      <c r="M6" s="26"/>
      <c r="N6" s="5"/>
      <c r="O6" s="5"/>
      <c r="P6" s="5"/>
      <c r="T6" s="5"/>
      <c r="U6" s="5"/>
      <c r="V6" s="5"/>
      <c r="W6" s="5"/>
      <c r="X6" s="5"/>
      <c r="Z6" s="24"/>
    </row>
    <row r="7" spans="1:26" x14ac:dyDescent="0.25">
      <c r="A7" s="48" t="s">
        <v>12</v>
      </c>
      <c r="B7" s="91">
        <f t="shared" ref="B7:D9" si="5">W31</f>
        <v>5.8876441237768491E-3</v>
      </c>
      <c r="C7" s="92">
        <f t="shared" si="5"/>
        <v>9.8747280129457993E-2</v>
      </c>
      <c r="D7" s="93">
        <f t="shared" si="5"/>
        <v>0.89536507574676516</v>
      </c>
      <c r="E7" s="10">
        <f>AB31</f>
        <v>98.848148145078383</v>
      </c>
      <c r="G7" s="5"/>
      <c r="H7" s="5"/>
      <c r="I7" s="5"/>
      <c r="L7" s="5"/>
      <c r="M7" s="5"/>
      <c r="N7" s="5"/>
      <c r="O7" s="5"/>
      <c r="P7" s="5"/>
      <c r="T7" s="5"/>
      <c r="U7" s="5"/>
      <c r="V7" s="5"/>
      <c r="W7" s="5"/>
      <c r="X7" s="5"/>
      <c r="Z7" s="24"/>
    </row>
    <row r="8" spans="1:26" x14ac:dyDescent="0.25">
      <c r="A8" s="79" t="s">
        <v>13</v>
      </c>
      <c r="B8" s="86">
        <f t="shared" si="5"/>
        <v>1.966868660398878E-3</v>
      </c>
      <c r="C8" s="78">
        <f t="shared" si="5"/>
        <v>2.2088598079535032E-3</v>
      </c>
      <c r="D8" s="87">
        <f t="shared" si="5"/>
        <v>0.99582427153164765</v>
      </c>
      <c r="E8" s="11">
        <f>AB32</f>
        <v>91.001988674716785</v>
      </c>
      <c r="G8" s="5"/>
      <c r="H8" s="5"/>
      <c r="I8" s="5"/>
      <c r="L8" s="5"/>
      <c r="M8" s="5"/>
      <c r="N8" s="5"/>
      <c r="O8" s="26"/>
      <c r="P8" s="5"/>
      <c r="T8" s="5"/>
      <c r="U8" s="5"/>
      <c r="V8" s="5"/>
      <c r="W8" s="5"/>
      <c r="X8" s="5"/>
      <c r="Z8" s="24"/>
    </row>
    <row r="9" spans="1:26" ht="15.75" thickBot="1" x14ac:dyDescent="0.3">
      <c r="A9" s="80" t="s">
        <v>17</v>
      </c>
      <c r="B9" s="88">
        <f t="shared" si="5"/>
        <v>0</v>
      </c>
      <c r="C9" s="89">
        <f t="shared" si="5"/>
        <v>0</v>
      </c>
      <c r="D9" s="90">
        <f t="shared" si="5"/>
        <v>1</v>
      </c>
      <c r="E9" s="12">
        <f>AB33</f>
        <v>90.640440973820276</v>
      </c>
      <c r="G9" s="5"/>
      <c r="H9" s="5"/>
      <c r="I9" s="5"/>
    </row>
    <row r="10" spans="1:26" ht="15.75" thickBot="1" x14ac:dyDescent="0.3">
      <c r="L10">
        <v>1</v>
      </c>
      <c r="M10">
        <v>2</v>
      </c>
      <c r="N10" s="13" t="s">
        <v>30</v>
      </c>
      <c r="S10" s="19" t="s">
        <v>27</v>
      </c>
      <c r="Z10" s="19" t="s">
        <v>31</v>
      </c>
    </row>
    <row r="11" spans="1:26" ht="15.75" thickBot="1" x14ac:dyDescent="0.3">
      <c r="K11" s="16" t="s">
        <v>32</v>
      </c>
      <c r="L11" s="1">
        <f>E$7*$H$5+E$5</f>
        <v>716.82959562977919</v>
      </c>
      <c r="M11" s="2">
        <f>-$E$8*$H$6</f>
        <v>-681.96222635110871</v>
      </c>
      <c r="N11" s="10">
        <f>$C$4*$E$4</f>
        <v>7.635498046875</v>
      </c>
      <c r="O11" s="5"/>
      <c r="P11" s="5"/>
      <c r="T11" s="1">
        <f t="array" ref="T11:U12">MINVERSE(L11:M12)</f>
        <v>1.4210276886515748E-3</v>
      </c>
      <c r="U11" s="3">
        <v>1.3944418375679592E-3</v>
      </c>
      <c r="V11" s="5"/>
      <c r="W11" s="5"/>
      <c r="X11" s="5"/>
      <c r="Z11" s="23">
        <f t="array" ref="Z11:Z12">MMULT(T11:U12,N11:N12)</f>
        <v>1.0850254141254395E-2</v>
      </c>
    </row>
    <row r="12" spans="1:26" ht="15.75" thickBot="1" x14ac:dyDescent="0.3">
      <c r="L12" s="83">
        <f>-$E$5</f>
        <v>-13.363557326513407</v>
      </c>
      <c r="M12" s="8">
        <f>$E$6+$E$8*$H$6</f>
        <v>694.9642359767256</v>
      </c>
      <c r="N12" s="12">
        <f>$E$9*$C$9</f>
        <v>0</v>
      </c>
      <c r="O12" s="5"/>
      <c r="P12" s="5"/>
      <c r="T12" s="7">
        <v>2.7325125519831986E-5</v>
      </c>
      <c r="U12" s="9">
        <v>1.4657368691832111E-3</v>
      </c>
      <c r="V12" s="5"/>
      <c r="W12" s="5"/>
      <c r="X12" s="5"/>
      <c r="Z12" s="24">
        <v>2.0864094253729133E-4</v>
      </c>
    </row>
    <row r="13" spans="1:26" x14ac:dyDescent="0.25">
      <c r="A13" s="79"/>
      <c r="B13" s="86"/>
      <c r="C13" s="78"/>
      <c r="D13" s="78"/>
      <c r="E13" s="5"/>
      <c r="F13" s="5"/>
      <c r="L13" s="5"/>
      <c r="M13" s="26"/>
      <c r="N13" s="5"/>
      <c r="O13" s="5"/>
      <c r="P13" s="5"/>
      <c r="T13" s="5"/>
      <c r="U13" s="5"/>
      <c r="V13" s="5"/>
      <c r="W13" s="5"/>
      <c r="X13" s="5"/>
    </row>
    <row r="14" spans="1:26" x14ac:dyDescent="0.25">
      <c r="A14" s="79"/>
      <c r="B14" s="86"/>
      <c r="C14" s="78"/>
      <c r="D14" s="78"/>
      <c r="E14" s="5"/>
      <c r="F14" s="5"/>
      <c r="L14" s="5"/>
      <c r="M14" s="5"/>
      <c r="N14" s="5"/>
      <c r="O14" s="5"/>
      <c r="P14" s="5"/>
      <c r="T14" s="5"/>
      <c r="U14" s="5"/>
      <c r="V14" s="5"/>
      <c r="W14" s="5"/>
      <c r="X14" s="5"/>
    </row>
    <row r="15" spans="1:26" x14ac:dyDescent="0.25">
      <c r="L15" s="5"/>
      <c r="M15" s="5"/>
      <c r="N15" s="5"/>
      <c r="O15" s="26"/>
      <c r="P15" s="5"/>
      <c r="T15" s="5"/>
      <c r="U15" s="5"/>
      <c r="V15" s="5"/>
      <c r="W15" s="5"/>
      <c r="X15" s="5"/>
    </row>
    <row r="16" spans="1:26" ht="15.75" thickBot="1" x14ac:dyDescent="0.3"/>
    <row r="17" spans="1:36" ht="15.75" thickBot="1" x14ac:dyDescent="0.3">
      <c r="L17">
        <v>1</v>
      </c>
      <c r="M17">
        <v>2</v>
      </c>
      <c r="N17" s="13" t="s">
        <v>33</v>
      </c>
      <c r="S17" s="19" t="s">
        <v>27</v>
      </c>
      <c r="Z17" s="19" t="s">
        <v>34</v>
      </c>
    </row>
    <row r="18" spans="1:36" ht="15.75" thickBot="1" x14ac:dyDescent="0.3">
      <c r="A18" t="s">
        <v>3</v>
      </c>
      <c r="B18" t="s">
        <v>18</v>
      </c>
      <c r="K18" s="16" t="s">
        <v>35</v>
      </c>
      <c r="L18" s="1">
        <f>E$7*$I$5+E$5</f>
        <v>171289.4279726641</v>
      </c>
      <c r="M18" s="3">
        <f>-$E$8*$I$6</f>
        <v>-198321.26006042302</v>
      </c>
      <c r="N18" s="10">
        <f>$D$4*$E$4</f>
        <v>0</v>
      </c>
      <c r="O18" s="5"/>
      <c r="P18" s="2"/>
      <c r="T18" s="1">
        <f t="array" ref="T18:U19">MINVERSE(L18:M19)</f>
        <v>5.8385273990189804E-6</v>
      </c>
      <c r="U18" s="3">
        <v>5.8381446482594837E-6</v>
      </c>
      <c r="V18" s="5"/>
      <c r="W18" s="5"/>
      <c r="X18" s="5"/>
      <c r="Z18" s="23">
        <f t="array" ref="Z18:Z19">MMULT(T18:U19,N18:N19)</f>
        <v>5.2917200538718848E-4</v>
      </c>
    </row>
    <row r="19" spans="1:36" ht="15.75" thickBot="1" x14ac:dyDescent="0.3">
      <c r="A19" t="s">
        <v>4</v>
      </c>
      <c r="B19" t="s">
        <v>19</v>
      </c>
      <c r="L19" s="83">
        <f>-$E$5</f>
        <v>-13.363557326513407</v>
      </c>
      <c r="M19" s="9">
        <f>$E$6+$E$8*$I$6</f>
        <v>198334.26207004863</v>
      </c>
      <c r="N19" s="85">
        <f>$E$9*$D$9</f>
        <v>90.640440973820276</v>
      </c>
      <c r="O19" s="5"/>
      <c r="P19" s="5"/>
      <c r="T19" s="7">
        <v>3.9339393398228213E-10</v>
      </c>
      <c r="U19" s="9">
        <v>5.0423865646948848E-6</v>
      </c>
      <c r="V19" s="5"/>
      <c r="W19" s="5"/>
      <c r="X19" s="5"/>
      <c r="Z19" s="24">
        <v>4.5704414178441113E-4</v>
      </c>
    </row>
    <row r="20" spans="1:36" x14ac:dyDescent="0.25">
      <c r="A20" t="s">
        <v>5</v>
      </c>
      <c r="B20" t="s">
        <v>20</v>
      </c>
      <c r="L20" s="5"/>
      <c r="M20" s="26"/>
      <c r="N20" s="5"/>
      <c r="O20" s="5"/>
      <c r="P20" s="5"/>
      <c r="T20" s="5"/>
      <c r="U20" s="5"/>
      <c r="V20" s="5"/>
      <c r="W20" s="5"/>
      <c r="X20" s="5"/>
    </row>
    <row r="21" spans="1:36" x14ac:dyDescent="0.25">
      <c r="L21" s="5"/>
      <c r="M21" s="5"/>
      <c r="N21" s="5"/>
      <c r="O21" s="5"/>
      <c r="P21" s="5"/>
      <c r="T21" s="5"/>
      <c r="U21" s="5"/>
      <c r="V21" s="5"/>
      <c r="W21" s="5"/>
      <c r="X21" s="5"/>
    </row>
    <row r="22" spans="1:36" ht="15.75" thickBot="1" x14ac:dyDescent="0.3">
      <c r="L22" s="5"/>
      <c r="M22" s="5"/>
      <c r="N22" s="5"/>
      <c r="O22" s="26"/>
      <c r="P22" s="8"/>
      <c r="T22" s="5"/>
      <c r="U22" s="5"/>
      <c r="V22" s="5"/>
      <c r="W22" s="5"/>
      <c r="X22" s="5"/>
    </row>
    <row r="24" spans="1:36" ht="15.75" thickBot="1" x14ac:dyDescent="0.3"/>
    <row r="25" spans="1:36" ht="15.75" thickBot="1" x14ac:dyDescent="0.3">
      <c r="R25" s="5"/>
      <c r="S25" s="5"/>
      <c r="T25" s="5"/>
      <c r="U25" s="5"/>
      <c r="V25" s="5"/>
      <c r="Y25" s="13"/>
      <c r="Z25" s="16" t="s">
        <v>93</v>
      </c>
      <c r="AA25" s="17" t="s">
        <v>28</v>
      </c>
      <c r="AB25" s="17" t="s">
        <v>31</v>
      </c>
      <c r="AC25" s="18" t="s">
        <v>34</v>
      </c>
      <c r="AE25" s="54" t="s">
        <v>94</v>
      </c>
      <c r="AF25" s="54" t="s">
        <v>95</v>
      </c>
      <c r="AG25" s="54" t="s">
        <v>96</v>
      </c>
      <c r="AH25" s="54" t="s">
        <v>97</v>
      </c>
      <c r="AI25" s="54"/>
      <c r="AJ25" s="54" t="s">
        <v>98</v>
      </c>
    </row>
    <row r="26" spans="1:36" ht="15.75" thickBot="1" x14ac:dyDescent="0.3">
      <c r="L26" s="33" t="s">
        <v>36</v>
      </c>
      <c r="M26" s="34"/>
      <c r="N26" s="35"/>
      <c r="R26" s="5"/>
      <c r="S26" s="5"/>
      <c r="T26" s="5"/>
      <c r="U26" s="5"/>
      <c r="V26" s="5"/>
      <c r="Y26" s="14" t="s">
        <v>0</v>
      </c>
      <c r="Z26" s="42">
        <v>21.209716796875</v>
      </c>
      <c r="AA26" s="2">
        <v>0.64</v>
      </c>
      <c r="AB26" s="2">
        <v>0.36</v>
      </c>
      <c r="AC26" s="3">
        <v>0</v>
      </c>
      <c r="AE26">
        <f>Z27</f>
        <v>90.640440973820276</v>
      </c>
      <c r="AF26">
        <f>AE26/Z26</f>
        <v>4.2735337695397737</v>
      </c>
      <c r="AG26">
        <f>AB31*W31/Z26/AA26</f>
        <v>4.2874122576858735E-2</v>
      </c>
      <c r="AH26" s="199">
        <f>X31*AB31/Z26/AB26</f>
        <v>1.2783692321360913</v>
      </c>
      <c r="AJ26" s="176">
        <f>AA32*U32/AB33/AC27</f>
        <v>6.5546995673062254E-5</v>
      </c>
    </row>
    <row r="27" spans="1:36" ht="15.75" thickBot="1" x14ac:dyDescent="0.3">
      <c r="L27" s="1" t="s">
        <v>3</v>
      </c>
      <c r="M27" s="2" t="s">
        <v>4</v>
      </c>
      <c r="N27" s="3" t="s">
        <v>5</v>
      </c>
      <c r="O27" s="114" t="s">
        <v>37</v>
      </c>
      <c r="R27" s="5"/>
      <c r="S27" s="5"/>
      <c r="T27" s="5"/>
      <c r="U27" s="5"/>
      <c r="V27" s="5"/>
      <c r="Y27" s="15" t="s">
        <v>17</v>
      </c>
      <c r="Z27" s="169">
        <v>90.640440973820276</v>
      </c>
      <c r="AA27" s="8">
        <v>0</v>
      </c>
      <c r="AB27" s="8">
        <v>0</v>
      </c>
      <c r="AC27" s="9">
        <v>1</v>
      </c>
    </row>
    <row r="28" spans="1:36" ht="15.75" thickBot="1" x14ac:dyDescent="0.3">
      <c r="L28" s="1">
        <f>Z4</f>
        <v>0.98560769929529635</v>
      </c>
      <c r="M28" s="2">
        <f>Z11</f>
        <v>1.0850254141254395E-2</v>
      </c>
      <c r="N28" s="3">
        <f>Z18</f>
        <v>5.2917200538718848E-4</v>
      </c>
      <c r="O28" s="177">
        <f>SUM(L28:N28)</f>
        <v>0.9969871254419379</v>
      </c>
      <c r="R28" s="5"/>
      <c r="S28" s="5"/>
      <c r="T28" s="5"/>
      <c r="U28" s="5"/>
      <c r="V28" s="5"/>
      <c r="AG28" s="42"/>
    </row>
    <row r="29" spans="1:36" ht="15.75" thickBot="1" x14ac:dyDescent="0.3">
      <c r="L29" s="7">
        <f>Z5</f>
        <v>0.99924830126488873</v>
      </c>
      <c r="M29" s="8">
        <f>Z12</f>
        <v>2.0864094253729133E-4</v>
      </c>
      <c r="N29" s="9">
        <f>Z19</f>
        <v>4.5704414178441113E-4</v>
      </c>
      <c r="O29" s="180">
        <f t="shared" ref="O29" si="6">SUM(L29:N29)</f>
        <v>0.99991398634921036</v>
      </c>
      <c r="R29" s="5"/>
      <c r="S29" s="5"/>
      <c r="T29" s="5"/>
      <c r="U29" s="5"/>
      <c r="V29" s="5"/>
      <c r="AA29" s="16" t="s">
        <v>99</v>
      </c>
      <c r="AB29" s="18" t="s">
        <v>100</v>
      </c>
      <c r="AG29" s="54" t="s">
        <v>109</v>
      </c>
    </row>
    <row r="30" spans="1:36" ht="21.75" thickBot="1" x14ac:dyDescent="0.4">
      <c r="L30" s="5"/>
      <c r="M30" s="5"/>
      <c r="N30" s="5"/>
      <c r="O30" s="179"/>
      <c r="R30" s="13" t="s">
        <v>101</v>
      </c>
      <c r="S30" s="48" t="s">
        <v>102</v>
      </c>
      <c r="T30" s="49" t="s">
        <v>103</v>
      </c>
      <c r="U30" s="49" t="s">
        <v>104</v>
      </c>
      <c r="V30" s="28" t="s">
        <v>37</v>
      </c>
      <c r="W30" s="48" t="s">
        <v>105</v>
      </c>
      <c r="X30" s="49" t="s">
        <v>106</v>
      </c>
      <c r="Y30" s="49" t="s">
        <v>107</v>
      </c>
      <c r="Z30" s="55" t="s">
        <v>108</v>
      </c>
      <c r="AA30" s="81">
        <f>Z26</f>
        <v>21.209716796875</v>
      </c>
      <c r="AB30" s="82"/>
      <c r="AC30" s="49" t="s">
        <v>22</v>
      </c>
      <c r="AD30" s="49" t="s">
        <v>23</v>
      </c>
      <c r="AE30" s="69" t="s">
        <v>24</v>
      </c>
      <c r="AG30">
        <v>0.99980000000000002</v>
      </c>
      <c r="AI30" s="94">
        <f>ABS(AH26-AG30)</f>
        <v>0.2785692321360913</v>
      </c>
    </row>
    <row r="31" spans="1:36" x14ac:dyDescent="0.25">
      <c r="L31" s="5"/>
      <c r="M31" s="5"/>
      <c r="N31" s="5"/>
      <c r="O31" s="179"/>
      <c r="R31" s="45">
        <v>1</v>
      </c>
      <c r="S31" s="63">
        <f>C41</f>
        <v>0.98560769929529646</v>
      </c>
      <c r="T31" s="64">
        <f t="shared" ref="T31:U32" si="7">D41</f>
        <v>1.3875560785710931E-2</v>
      </c>
      <c r="U31" s="64">
        <f t="shared" si="7"/>
        <v>5.1673991899255729E-4</v>
      </c>
      <c r="V31" s="60">
        <f>SUM(S31:U31)</f>
        <v>1</v>
      </c>
      <c r="W31" s="64">
        <f>G41</f>
        <v>5.8876441237768491E-3</v>
      </c>
      <c r="X31" s="64">
        <f t="shared" ref="X31:Y32" si="8">H41</f>
        <v>9.8747280129457993E-2</v>
      </c>
      <c r="Y31" s="64">
        <f t="shared" si="8"/>
        <v>0.89536507574676516</v>
      </c>
      <c r="Z31" s="57">
        <f>SUM(W31:Y31)</f>
        <v>1</v>
      </c>
      <c r="AA31" s="100">
        <f>(AB33*(W32-W33)+AA32*(S32-W32))/(S31-W32)</f>
        <v>13.363557326513407</v>
      </c>
      <c r="AB31" s="100">
        <f>AA30+AB33-AA32</f>
        <v>98.848148145078383</v>
      </c>
      <c r="AC31" s="216">
        <f>W31/S31</f>
        <v>5.973618233691233E-3</v>
      </c>
      <c r="AD31" s="2">
        <f t="shared" ref="AD31:AE32" si="9">X31/T31</f>
        <v>7.116633457521087</v>
      </c>
      <c r="AE31" s="3">
        <f t="shared" si="9"/>
        <v>1732.7190000965675</v>
      </c>
      <c r="AG31" t="s">
        <v>146</v>
      </c>
    </row>
    <row r="32" spans="1:36" x14ac:dyDescent="0.25">
      <c r="L32" s="5"/>
      <c r="M32" s="5"/>
      <c r="N32" s="5"/>
      <c r="O32" s="179"/>
      <c r="R32" s="46">
        <v>2</v>
      </c>
      <c r="S32" s="65">
        <f t="shared" ref="S32" si="10">C42</f>
        <v>0.99924830126488873</v>
      </c>
      <c r="T32" s="66">
        <f t="shared" si="7"/>
        <v>2.9475332717905016E-4</v>
      </c>
      <c r="U32" s="66">
        <f t="shared" si="7"/>
        <v>4.5694540793216558E-4</v>
      </c>
      <c r="V32" s="61">
        <f t="shared" ref="V32" si="11">SUM(S32:U32)</f>
        <v>1</v>
      </c>
      <c r="W32" s="66">
        <f t="shared" ref="W32" si="12">G42</f>
        <v>1.966868660398878E-3</v>
      </c>
      <c r="X32" s="66">
        <f t="shared" si="8"/>
        <v>2.2088598079535032E-3</v>
      </c>
      <c r="Y32" s="66">
        <f t="shared" si="8"/>
        <v>0.99582427153164765</v>
      </c>
      <c r="Z32" s="58">
        <f t="shared" ref="Z32" si="13">SUM(W32:Y32)</f>
        <v>1</v>
      </c>
      <c r="AA32" s="26">
        <f>(AA30*(AA26-W31)+AB33*(AA27-W31))/(S32-W31)</f>
        <v>13.002009625616887</v>
      </c>
      <c r="AB32" s="26">
        <f>AA31+AB33-AA32</f>
        <v>91.001988674716785</v>
      </c>
      <c r="AC32" s="73">
        <f t="shared" ref="AC32" si="14">W32/S32</f>
        <v>1.9683482653001625E-3</v>
      </c>
      <c r="AD32" s="5">
        <f t="shared" si="9"/>
        <v>7.4939266304251575</v>
      </c>
      <c r="AE32" s="6">
        <f t="shared" si="9"/>
        <v>2179.3068805266989</v>
      </c>
      <c r="AG32" s="176">
        <f>AG30*Z26*AB26/X31</f>
        <v>77.308164207231485</v>
      </c>
    </row>
    <row r="33" spans="3:33" ht="15.75" thickBot="1" x14ac:dyDescent="0.3">
      <c r="R33" s="47"/>
      <c r="S33" s="68"/>
      <c r="T33" s="68"/>
      <c r="U33" s="68"/>
      <c r="V33" s="217"/>
      <c r="W33" s="218">
        <v>0</v>
      </c>
      <c r="X33" s="8">
        <f>AB27</f>
        <v>0</v>
      </c>
      <c r="Y33" s="218">
        <v>1</v>
      </c>
      <c r="Z33" s="219"/>
      <c r="AA33" s="217"/>
      <c r="AB33" s="220">
        <f>Z27</f>
        <v>90.640440973820276</v>
      </c>
      <c r="AC33" s="8"/>
      <c r="AD33" s="8"/>
      <c r="AE33" s="9"/>
      <c r="AG33" t="s">
        <v>147</v>
      </c>
    </row>
    <row r="34" spans="3:33" ht="15.75" thickBot="1" x14ac:dyDescent="0.3">
      <c r="R34" s="206"/>
      <c r="S34" s="66"/>
      <c r="T34" s="66"/>
      <c r="U34" s="66"/>
      <c r="V34" s="181"/>
      <c r="W34" s="66"/>
      <c r="X34" s="66"/>
      <c r="Y34" s="66"/>
      <c r="Z34" s="207"/>
      <c r="AA34" s="26"/>
      <c r="AB34" s="26"/>
      <c r="AC34" s="5"/>
      <c r="AD34" s="5"/>
      <c r="AE34" s="5"/>
      <c r="AG34" s="176">
        <f>AG36+Z26-AG32</f>
        <v>13.128924787441406</v>
      </c>
    </row>
    <row r="35" spans="3:33" ht="18.75" thickBot="1" x14ac:dyDescent="0.4">
      <c r="C35" s="36" t="s">
        <v>38</v>
      </c>
      <c r="D35" s="37" t="s">
        <v>39</v>
      </c>
      <c r="E35" s="37" t="s">
        <v>40</v>
      </c>
      <c r="F35" s="37" t="s">
        <v>41</v>
      </c>
      <c r="G35" s="37" t="s">
        <v>42</v>
      </c>
      <c r="H35" s="38" t="s">
        <v>43</v>
      </c>
      <c r="R35" s="206"/>
      <c r="S35" s="66"/>
      <c r="T35" s="66"/>
      <c r="U35" s="66"/>
      <c r="V35" s="181"/>
      <c r="W35" s="66"/>
      <c r="X35" s="66"/>
      <c r="Y35" s="66"/>
      <c r="Z35" s="207"/>
      <c r="AA35" s="5"/>
      <c r="AB35" s="26"/>
      <c r="AC35" s="5"/>
      <c r="AD35" s="5"/>
      <c r="AE35" s="5"/>
      <c r="AG35" t="s">
        <v>148</v>
      </c>
    </row>
    <row r="36" spans="3:33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R36" s="5"/>
      <c r="S36" s="5"/>
      <c r="T36" s="5"/>
      <c r="U36" s="5"/>
      <c r="V36" s="50"/>
      <c r="W36" s="5"/>
      <c r="X36" s="5"/>
      <c r="Y36" s="5"/>
      <c r="Z36" s="56"/>
      <c r="AA36" s="26"/>
      <c r="AB36" s="5"/>
      <c r="AC36" s="5"/>
      <c r="AD36" s="5"/>
      <c r="AE36" s="5"/>
      <c r="AG36" s="221">
        <f>(AG32*(W31-S32)+Z26*(S32-AA26))/(AA27-S32)</f>
        <v>69.227372197797891</v>
      </c>
    </row>
    <row r="37" spans="3:33" ht="18.75" thickBot="1" x14ac:dyDescent="0.4">
      <c r="C37" s="36" t="s">
        <v>44</v>
      </c>
      <c r="D37" s="37" t="s">
        <v>45</v>
      </c>
      <c r="E37" s="37" t="s">
        <v>46</v>
      </c>
      <c r="F37" s="37" t="s">
        <v>47</v>
      </c>
      <c r="G37" s="37" t="s">
        <v>48</v>
      </c>
      <c r="H37" s="38" t="s">
        <v>49</v>
      </c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26">
        <f>AB33+Z26-AA32-AB31</f>
        <v>0</v>
      </c>
      <c r="AD37" s="5"/>
      <c r="AE37" s="5"/>
    </row>
    <row r="38" spans="3:33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</row>
    <row r="39" spans="3:33" ht="15.75" thickBot="1" x14ac:dyDescent="0.3"/>
    <row r="40" spans="3:33" ht="16.5" thickBot="1" x14ac:dyDescent="0.3">
      <c r="C40" s="16" t="s">
        <v>50</v>
      </c>
      <c r="D40" s="17" t="s">
        <v>51</v>
      </c>
      <c r="E40" s="18" t="s">
        <v>52</v>
      </c>
      <c r="G40" s="16" t="s">
        <v>53</v>
      </c>
      <c r="H40" s="17" t="s">
        <v>54</v>
      </c>
      <c r="I40" s="18" t="s">
        <v>55</v>
      </c>
      <c r="L40" s="39" t="s">
        <v>56</v>
      </c>
      <c r="M40" s="40" t="s">
        <v>57</v>
      </c>
      <c r="N40" s="40" t="s">
        <v>58</v>
      </c>
      <c r="O40" s="40" t="s">
        <v>59</v>
      </c>
      <c r="P40" s="40" t="s">
        <v>60</v>
      </c>
      <c r="Q40" s="40" t="s">
        <v>61</v>
      </c>
      <c r="R40" s="40" t="s">
        <v>62</v>
      </c>
      <c r="S40" s="40" t="s">
        <v>63</v>
      </c>
      <c r="T40" s="40" t="s">
        <v>64</v>
      </c>
      <c r="U40" s="40" t="s">
        <v>65</v>
      </c>
      <c r="V40" s="40" t="s">
        <v>66</v>
      </c>
      <c r="W40" s="40" t="s">
        <v>67</v>
      </c>
      <c r="X40" s="40" t="s">
        <v>68</v>
      </c>
      <c r="Y40" s="40" t="s">
        <v>69</v>
      </c>
      <c r="Z40" s="41" t="s">
        <v>70</v>
      </c>
    </row>
    <row r="41" spans="3:33" x14ac:dyDescent="0.25">
      <c r="C41">
        <f>1-D41-E41</f>
        <v>0.98560769929529646</v>
      </c>
      <c r="D41" s="42">
        <v>1.3875560785710931E-2</v>
      </c>
      <c r="E41" s="42">
        <v>5.1673991899255729E-4</v>
      </c>
      <c r="F41" s="42"/>
      <c r="G41" s="42">
        <v>5.8876441237768491E-3</v>
      </c>
      <c r="H41" s="42">
        <v>9.8747280129457993E-2</v>
      </c>
      <c r="I41">
        <f>1-G41-H41</f>
        <v>0.89536507574676516</v>
      </c>
      <c r="L41">
        <f>$C41+$D$38*$D41+$F$38*$E41</f>
        <v>0.9901164276491996</v>
      </c>
      <c r="M41">
        <f>$C$38*$C41+$D41+$H$38*$E41</f>
        <v>0.43862704849714934</v>
      </c>
      <c r="N41">
        <f>$E$38*$C41+$G$38*$D41+$E41</f>
        <v>5.6769229479896328E-2</v>
      </c>
      <c r="O41">
        <f>$D41*$D$36*$D$38+$E41*$F$36*$F$38</f>
        <v>1.2929304823704699E-2</v>
      </c>
      <c r="P41">
        <f>$C41*$C$36*$C$38+$E41*$H$36*$H$38</f>
        <v>0.89412892888455187</v>
      </c>
      <c r="Q41">
        <f>$C41*$E$36*$E$38+$D41*$G$36*$G$38</f>
        <v>0.4007524014116105</v>
      </c>
      <c r="R41">
        <f>(O41/L41)-(C41*O41/L41^2)+(D41*$C$38/M41)*($C$36-P41/M41)+(E41*$E$38/N41)*($E$36-Q41/N41)</f>
        <v>1.1065361048166896E-3</v>
      </c>
      <c r="S41">
        <f>(P41/M41)-(D41*P41/M41^2)+(C41*$D$38/L41)*($D$36-O41/L41)+(E41*$G$38/N41)*($G$36-Q41/N41)</f>
        <v>2.8722681142768178</v>
      </c>
      <c r="T41">
        <f>(Q41/N41)-(E41*Q41/N41^2)+(C41*$F$38/L41)*($F$36-O41/L41)+(D41*$H$38/M41)*($H$36-P41/M41)</f>
        <v>7.4665468298022946</v>
      </c>
      <c r="U41">
        <f>EXP(R41)</f>
        <v>1.001107148541766</v>
      </c>
      <c r="V41">
        <f>EXP(S41)</f>
        <v>17.677066372364344</v>
      </c>
      <c r="W41">
        <f>EXP(T41)</f>
        <v>1748.5581793309675</v>
      </c>
      <c r="X41">
        <f>U41/U47</f>
        <v>5.9736182331695375E-3</v>
      </c>
      <c r="Y41">
        <f>V41/V47</f>
        <v>7.1166334575091907</v>
      </c>
      <c r="Z41">
        <f>W41/W47</f>
        <v>1732.719000094175</v>
      </c>
    </row>
    <row r="42" spans="3:33" x14ac:dyDescent="0.25">
      <c r="C42">
        <f t="shared" ref="C42" si="15">1-D42-E42</f>
        <v>0.99924830126488873</v>
      </c>
      <c r="D42">
        <v>2.9475332717905016E-4</v>
      </c>
      <c r="E42" s="42">
        <v>4.5694540793216558E-4</v>
      </c>
      <c r="G42" s="42">
        <v>1.966868660398878E-3</v>
      </c>
      <c r="H42">
        <v>2.2088598079535032E-3</v>
      </c>
      <c r="I42">
        <f t="shared" ref="I42" si="16">1-G42-H42</f>
        <v>0.99582427153164765</v>
      </c>
      <c r="L42">
        <f>$C42+$D$38*$D42+$F$38*$E42</f>
        <v>0.99938250009352614</v>
      </c>
      <c r="M42">
        <f t="shared" ref="M42" si="17">$C$38*$C42+$D42+$H$38*$E42</f>
        <v>0.43086323131829207</v>
      </c>
      <c r="N42">
        <f t="shared" ref="N42" si="18">$E$38*$C42+$G$38*$D42+$E42</f>
        <v>5.4734552280602367E-2</v>
      </c>
      <c r="O42">
        <f t="shared" ref="O42" si="19">$D42*$D$36*$D$38+$E42*$F$36*$F$38</f>
        <v>5.1014111152105713E-4</v>
      </c>
      <c r="P42">
        <f t="shared" ref="P42" si="20">$C42*$C$36*$C$38+$E42*$H$36*$H$38</f>
        <v>0.90649039349326666</v>
      </c>
      <c r="Q42">
        <f t="shared" ref="Q42" si="21">$C42*$E$36*$E$38+$D42*$G$36*$G$38</f>
        <v>0.39521723545453358</v>
      </c>
      <c r="R42">
        <f>(O42/L42)-(C42*O42/L42^2)+(D42*$C$38/M42)*($C$36-P42/M42)+(E42*$E$38/N42)*($E$36-Q42/N42)</f>
        <v>3.0175376648031247E-5</v>
      </c>
      <c r="S42">
        <f>(P42/M42)-(D42*P42/M42^2)+(C42*$D$38/L42)*($D$36-O42/L42)+(E42*$G$38/N42)*($G$36-Q42/N42)</f>
        <v>3.0089730744039134</v>
      </c>
      <c r="T42">
        <f>(Q42/N42)-(E42*Q42/N42^2)+(C42*$F$38/L42)*($F$36-O42/L42)+(D42*$H$38/M42)*($H$36-P42/M42)</f>
        <v>7.6870725042931198</v>
      </c>
      <c r="U42">
        <f t="shared" ref="U42:W42" si="22">EXP(R42)</f>
        <v>1.0000301758319292</v>
      </c>
      <c r="V42">
        <f t="shared" si="22"/>
        <v>20.266576968623173</v>
      </c>
      <c r="W42">
        <f t="shared" si="22"/>
        <v>2179.983319815582</v>
      </c>
      <c r="X42">
        <f t="shared" ref="X42:Z42" si="23">U42/U48</f>
        <v>1.9683482652985097E-3</v>
      </c>
      <c r="Y42">
        <f t="shared" si="23"/>
        <v>7.4939266304250589</v>
      </c>
      <c r="Z42">
        <f t="shared" si="23"/>
        <v>2179.3068805266735</v>
      </c>
    </row>
    <row r="43" spans="3:33" x14ac:dyDescent="0.25">
      <c r="E43" s="42"/>
      <c r="G43" s="42"/>
    </row>
    <row r="44" spans="3:33" x14ac:dyDescent="0.25">
      <c r="E44" s="42"/>
      <c r="G44" s="42"/>
    </row>
    <row r="45" spans="3:33" ht="15.75" thickBot="1" x14ac:dyDescent="0.3">
      <c r="E45" s="42"/>
      <c r="G45" s="42"/>
    </row>
    <row r="46" spans="3:33" ht="16.5" thickBot="1" x14ac:dyDescent="0.3">
      <c r="L46" s="39" t="s">
        <v>71</v>
      </c>
      <c r="M46" s="40" t="s">
        <v>72</v>
      </c>
      <c r="N46" s="40" t="s">
        <v>73</v>
      </c>
      <c r="O46" s="40" t="s">
        <v>74</v>
      </c>
      <c r="P46" s="40" t="s">
        <v>75</v>
      </c>
      <c r="Q46" s="40" t="s">
        <v>76</v>
      </c>
      <c r="R46" s="40" t="s">
        <v>77</v>
      </c>
      <c r="S46" s="40" t="s">
        <v>78</v>
      </c>
      <c r="T46" s="40" t="s">
        <v>79</v>
      </c>
      <c r="U46" s="40" t="s">
        <v>80</v>
      </c>
      <c r="V46" s="40" t="s">
        <v>81</v>
      </c>
      <c r="W46" s="40" t="s">
        <v>82</v>
      </c>
      <c r="X46" s="40" t="s">
        <v>83</v>
      </c>
      <c r="Y46" s="40" t="s">
        <v>84</v>
      </c>
      <c r="Z46" s="41" t="s">
        <v>85</v>
      </c>
    </row>
    <row r="47" spans="3:33" ht="15.75" thickBot="1" x14ac:dyDescent="0.3">
      <c r="L47">
        <f>$G41+$D$38*$H41+$F$38*$I41</f>
        <v>0.11479633831619107</v>
      </c>
      <c r="M47">
        <f>$C$38*$G41+$H41+$H$38*$I41</f>
        <v>0.92354673357643247</v>
      </c>
      <c r="N47">
        <f>$E$38*$G41+$G$38*$H41+$I41</f>
        <v>0.91542565227549677</v>
      </c>
      <c r="O47">
        <f>$H41*$D$36*$D$38+$I41*$F$36*$F$38</f>
        <v>0.56285893786308194</v>
      </c>
      <c r="P47">
        <f>$G41*$C$36*$C$38+$I41*$H$36*$H$38</f>
        <v>0.1804189515248488</v>
      </c>
      <c r="Q47">
        <f>$G41*$E$36*$E$38+$H41*$G$36*$G$38</f>
        <v>8.177834864959066E-2</v>
      </c>
      <c r="R47">
        <f>(O47/L47)-(G41*O47/L47^2)+(H41*$C$38/M47)*($C$36-P47/M47)+(I41*$E$38/N47)*($E$36-Q47/N47)</f>
        <v>5.1215090020605842</v>
      </c>
      <c r="S47">
        <f>(P47/M47)-(H41*P47/M47^2)+(G41*$D$38/L47)*($D$36-O47/L47)+(I41*$G$38/N47)*($G$36-Q47/N47)</f>
        <v>0.90983332967333275</v>
      </c>
      <c r="T47">
        <f>(Q47/N47)-(I41*Q47/N47^2)+(G41*$F$38/L47)*($F$36-O47/L47)+(H41*$H$38/M47)*($H$36-P47/M47)</f>
        <v>9.0996997461606222E-3</v>
      </c>
      <c r="U47">
        <f>EXP(R47)</f>
        <v>167.58806965315381</v>
      </c>
      <c r="V47">
        <f>EXP(S47)</f>
        <v>2.4839085050407088</v>
      </c>
      <c r="W47">
        <f>EXP(T47)</f>
        <v>1.0091412278828429</v>
      </c>
      <c r="X47">
        <f>U47/U41</f>
        <v>167.40272996478566</v>
      </c>
      <c r="Y47">
        <f>V47/V41</f>
        <v>0.14051587818462669</v>
      </c>
      <c r="Z47">
        <f>W47/W41</f>
        <v>5.7712762424008105E-4</v>
      </c>
    </row>
    <row r="48" spans="3:33" ht="15.75" thickBot="1" x14ac:dyDescent="0.3">
      <c r="C48" s="232" t="s">
        <v>86</v>
      </c>
      <c r="D48" s="233"/>
      <c r="E48" s="233"/>
      <c r="F48" s="233"/>
      <c r="G48" s="233"/>
      <c r="H48" s="233"/>
      <c r="I48" s="234"/>
      <c r="L48">
        <f t="shared" ref="L48" si="24">$G42+$D$38*$H42+$F$38*$I42</f>
        <v>8.8470959666051049E-2</v>
      </c>
      <c r="M48">
        <f t="shared" ref="M48" si="25">$C$38*$G42+$H42+$H$38*$I42</f>
        <v>0.91757795565433242</v>
      </c>
      <c r="N48">
        <f t="shared" ref="N48" si="26">$E$38*$G42+$G$38*$H42+$I42</f>
        <v>0.99637257818566827</v>
      </c>
      <c r="O48">
        <f t="shared" ref="O48" si="27">$H42*$D$36*$D$38+$I42*$F$36*$F$38</f>
        <v>0.52784880893107067</v>
      </c>
      <c r="P48">
        <f t="shared" ref="P48" si="28">$G42*$C$36*$C$38+$I42*$H$36*$H$38</f>
        <v>0.19650612657701613</v>
      </c>
      <c r="Q48">
        <f t="shared" ref="Q48" si="29">$G42*$E$36*$E$38+$H42*$G$36*$G$38</f>
        <v>2.554685382107139E-3</v>
      </c>
      <c r="R48">
        <f>(O48/L48)-(G42*O48/L48^2)+(H42*$C$38/M48)*($C$36-P48/M48)+(I42*$E$38/N48)*($E$36-Q48/N48)</f>
        <v>6.2305907073105722</v>
      </c>
      <c r="S48">
        <f>(P48/M48)-(H42*P48/M48^2)+(G42*$D$38/L48)*($D$36-O48/L48)+(I42*$G$38/N48)*($G$36-Q48/N48)</f>
        <v>0.99488016452269057</v>
      </c>
      <c r="T48">
        <f>(Q48/N48)-(I42*Q48/N48^2)+(G42*$F$38/L48)*($F$36-O48/L48)+(H42*$H$38/M48)*($H$36-P48/M48)</f>
        <v>3.1034377765670344E-4</v>
      </c>
      <c r="U48">
        <f t="shared" ref="U48:W48" si="30">EXP(R48)</f>
        <v>508.05550697618531</v>
      </c>
      <c r="V48">
        <f t="shared" si="30"/>
        <v>2.7044002387669019</v>
      </c>
      <c r="W48">
        <f t="shared" si="30"/>
        <v>1.0003103919392689</v>
      </c>
      <c r="X48">
        <f t="shared" ref="X48:Z48" si="31">U48/U42</f>
        <v>508.04017644120773</v>
      </c>
      <c r="Y48">
        <f t="shared" si="31"/>
        <v>0.13344139185190818</v>
      </c>
      <c r="Z48">
        <f t="shared" si="31"/>
        <v>4.5886148891446157E-4</v>
      </c>
    </row>
    <row r="49" spans="2:10" ht="15.75" thickBot="1" x14ac:dyDescent="0.3">
      <c r="B49" s="19" t="s">
        <v>87</v>
      </c>
      <c r="C49" s="17" t="s">
        <v>50</v>
      </c>
      <c r="D49" s="17" t="s">
        <v>51</v>
      </c>
      <c r="E49" s="17" t="s">
        <v>52</v>
      </c>
      <c r="F49" s="17"/>
      <c r="G49" s="17" t="s">
        <v>53</v>
      </c>
      <c r="H49" s="17" t="s">
        <v>54</v>
      </c>
      <c r="I49" s="17" t="s">
        <v>88</v>
      </c>
      <c r="J49" s="19" t="s">
        <v>87</v>
      </c>
    </row>
    <row r="50" spans="2:10" x14ac:dyDescent="0.25">
      <c r="B50" s="43">
        <f>SUM(C50:E50)</f>
        <v>1.0000000000861005</v>
      </c>
      <c r="C50">
        <f>G41*X47</f>
        <v>0.98560769938137294</v>
      </c>
      <c r="D50">
        <f>H41*Y47</f>
        <v>1.3875560785734127E-2</v>
      </c>
      <c r="E50">
        <f>I41*Z47</f>
        <v>5.1673991899327081E-4</v>
      </c>
      <c r="G50">
        <f>C41*X41</f>
        <v>5.8876441232626614E-3</v>
      </c>
      <c r="H50">
        <f>D41*Y41</f>
        <v>9.874728012929293E-2</v>
      </c>
      <c r="I50">
        <f>E41*Z41</f>
        <v>0.89536507574552893</v>
      </c>
      <c r="J50" s="43">
        <f>SUM(G50:I50)</f>
        <v>0.99999999999808453</v>
      </c>
    </row>
    <row r="51" spans="2:10" x14ac:dyDescent="0.25">
      <c r="B51" s="43">
        <f t="shared" ref="B51" si="32">SUM(C51:E51)</f>
        <v>1.0000000000008391</v>
      </c>
      <c r="C51">
        <f t="shared" ref="C51:E51" si="33">G42*X48</f>
        <v>0.99924830126572795</v>
      </c>
      <c r="D51">
        <f t="shared" si="33"/>
        <v>2.9475332717905406E-4</v>
      </c>
      <c r="E51">
        <f t="shared" si="33"/>
        <v>4.569454079321709E-4</v>
      </c>
      <c r="G51">
        <f t="shared" ref="G51:I51" si="34">C42*X42</f>
        <v>1.9668686603972261E-3</v>
      </c>
      <c r="H51">
        <f t="shared" si="34"/>
        <v>2.2088598079534742E-3</v>
      </c>
      <c r="I51">
        <f t="shared" si="34"/>
        <v>0.995824271531636</v>
      </c>
      <c r="J51" s="43">
        <f t="shared" ref="J51" si="35">SUM(G51:I51)</f>
        <v>0.99999999999998668</v>
      </c>
    </row>
    <row r="52" spans="2:10" x14ac:dyDescent="0.25">
      <c r="B52" s="43"/>
      <c r="J52" s="43"/>
    </row>
    <row r="53" spans="2:10" x14ac:dyDescent="0.25">
      <c r="B53" s="43"/>
      <c r="J53" s="43"/>
    </row>
    <row r="54" spans="2:10" x14ac:dyDescent="0.25">
      <c r="B54" s="43"/>
      <c r="J54" s="43"/>
    </row>
    <row r="55" spans="2:10" ht="15.75" thickBot="1" x14ac:dyDescent="0.3"/>
    <row r="56" spans="2:10" ht="15.75" thickBot="1" x14ac:dyDescent="0.3">
      <c r="C56" s="172" t="s">
        <v>89</v>
      </c>
      <c r="D56" s="173"/>
      <c r="E56" s="173"/>
      <c r="F56" s="173"/>
      <c r="G56" s="173"/>
      <c r="H56" s="173"/>
      <c r="I56" s="174"/>
    </row>
    <row r="57" spans="2:10" ht="15.75" thickBot="1" x14ac:dyDescent="0.3">
      <c r="C57" s="16" t="s">
        <v>90</v>
      </c>
      <c r="D57" s="17" t="s">
        <v>91</v>
      </c>
      <c r="E57" s="18" t="s">
        <v>92</v>
      </c>
      <c r="G57" s="16" t="s">
        <v>90</v>
      </c>
      <c r="H57" s="17" t="s">
        <v>91</v>
      </c>
      <c r="I57" s="18" t="s">
        <v>92</v>
      </c>
    </row>
    <row r="58" spans="2:10" x14ac:dyDescent="0.25">
      <c r="C58">
        <f>(C50+C41)/2</f>
        <v>0.9856076993383347</v>
      </c>
      <c r="D58">
        <f t="shared" ref="D58:I58" si="36">(D50+D41)/2</f>
        <v>1.3875560785722529E-2</v>
      </c>
      <c r="E58">
        <f t="shared" si="36"/>
        <v>5.167399189929141E-4</v>
      </c>
      <c r="G58">
        <f t="shared" si="36"/>
        <v>5.8876441235197552E-3</v>
      </c>
      <c r="H58">
        <f t="shared" si="36"/>
        <v>9.8747280129375462E-2</v>
      </c>
      <c r="I58">
        <f t="shared" si="36"/>
        <v>0.8953650757461471</v>
      </c>
    </row>
    <row r="59" spans="2:10" x14ac:dyDescent="0.25">
      <c r="C59">
        <f t="shared" ref="C59:I59" si="37">(C51+C42)/2</f>
        <v>0.99924830126530839</v>
      </c>
      <c r="D59">
        <f t="shared" si="37"/>
        <v>2.9475332717905211E-4</v>
      </c>
      <c r="E59">
        <f t="shared" si="37"/>
        <v>4.5694540793216824E-4</v>
      </c>
      <c r="G59">
        <f t="shared" si="37"/>
        <v>1.9668686603980523E-3</v>
      </c>
      <c r="H59">
        <f t="shared" si="37"/>
        <v>2.2088598079534885E-3</v>
      </c>
      <c r="I59">
        <f t="shared" si="37"/>
        <v>0.99582427153164188</v>
      </c>
    </row>
  </sheetData>
  <mergeCells count="1">
    <mergeCell ref="C48:I48"/>
  </mergeCells>
  <pageMargins left="0.7" right="0.7" top="0.75" bottom="0.75" header="0.3" footer="0.3"/>
  <ignoredErrors>
    <ignoredError sqref="Z18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2"/>
  <dimension ref="A1:AJ58"/>
  <sheetViews>
    <sheetView topLeftCell="I1" zoomScale="55" zoomScaleNormal="55" workbookViewId="0">
      <selection activeCell="AG30" sqref="AG30"/>
    </sheetView>
  </sheetViews>
  <sheetFormatPr defaultRowHeight="15" x14ac:dyDescent="0.25"/>
  <cols>
    <col min="5" max="5" width="13.5703125" bestFit="1" customWidth="1"/>
    <col min="15" max="15" width="12.140625" customWidth="1"/>
    <col min="19" max="21" width="16" bestFit="1" customWidth="1"/>
    <col min="23" max="26" width="16" bestFit="1" customWidth="1"/>
    <col min="27" max="27" width="26.85546875" bestFit="1" customWidth="1"/>
    <col min="28" max="28" width="15.7109375" bestFit="1" customWidth="1"/>
    <col min="31" max="31" width="9.7109375" bestFit="1" customWidth="1"/>
    <col min="33" max="33" width="16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172" t="s">
        <v>1</v>
      </c>
      <c r="C2" s="173"/>
      <c r="D2" s="173"/>
      <c r="E2" s="18" t="s">
        <v>2</v>
      </c>
      <c r="G2" s="22" t="s">
        <v>21</v>
      </c>
      <c r="H2" s="22"/>
      <c r="I2" s="22"/>
    </row>
    <row r="3" spans="1:26" ht="15.75" thickBot="1" x14ac:dyDescent="0.3">
      <c r="B3" s="48" t="s">
        <v>3</v>
      </c>
      <c r="C3" s="49" t="s">
        <v>4</v>
      </c>
      <c r="D3" s="69" t="s">
        <v>5</v>
      </c>
      <c r="E3" s="13" t="s">
        <v>6</v>
      </c>
      <c r="G3" s="16" t="s">
        <v>22</v>
      </c>
      <c r="H3" s="17" t="s">
        <v>23</v>
      </c>
      <c r="I3" s="18" t="s">
        <v>24</v>
      </c>
      <c r="L3">
        <v>1</v>
      </c>
      <c r="M3" s="13" t="s">
        <v>26</v>
      </c>
      <c r="S3" s="19" t="s">
        <v>27</v>
      </c>
      <c r="Z3" s="19" t="s">
        <v>28</v>
      </c>
    </row>
    <row r="4" spans="1:26" ht="15.75" thickBot="1" x14ac:dyDescent="0.3">
      <c r="A4" s="48" t="s">
        <v>0</v>
      </c>
      <c r="B4" s="1">
        <f>AA26</f>
        <v>0.64</v>
      </c>
      <c r="C4" s="1">
        <f t="shared" ref="C4:D4" si="0">AB26</f>
        <v>0.36</v>
      </c>
      <c r="D4" s="1">
        <f t="shared" si="0"/>
        <v>0</v>
      </c>
      <c r="E4" s="10">
        <f>AA30</f>
        <v>21.209716796875</v>
      </c>
      <c r="G4" s="4" t="s">
        <v>25</v>
      </c>
      <c r="H4" s="5" t="s">
        <v>25</v>
      </c>
      <c r="I4" s="6" t="s">
        <v>25</v>
      </c>
      <c r="K4" s="19" t="s">
        <v>29</v>
      </c>
      <c r="L4" s="1">
        <f>E$6*$G$5+E$5</f>
        <v>13.589041139868961</v>
      </c>
      <c r="M4" s="182">
        <f>$B$4*$E$4+$E$7*$B$7</f>
        <v>13.57421875</v>
      </c>
      <c r="O4" s="2"/>
      <c r="P4" s="2"/>
      <c r="T4" s="1">
        <f>MINVERSE(L4)</f>
        <v>7.3588709439262392E-2</v>
      </c>
      <c r="U4" s="2"/>
      <c r="V4" s="2"/>
      <c r="W4" s="2"/>
      <c r="X4" s="3"/>
      <c r="Z4" s="23">
        <f>MMULT(T4,M4)</f>
        <v>0.99890923945873755</v>
      </c>
    </row>
    <row r="5" spans="1:26" ht="15.75" thickBot="1" x14ac:dyDescent="0.3">
      <c r="A5" s="79" t="s">
        <v>7</v>
      </c>
      <c r="B5" s="86">
        <f>S31</f>
        <v>0.99890923945873766</v>
      </c>
      <c r="C5" s="78">
        <f t="shared" ref="C5:D5" si="1">T31</f>
        <v>6.3236795714647471E-4</v>
      </c>
      <c r="D5" s="87">
        <f t="shared" si="1"/>
        <v>4.583925841158031E-4</v>
      </c>
      <c r="E5" s="184">
        <f>AA31</f>
        <v>9.2924997862054823</v>
      </c>
      <c r="G5" s="4">
        <f>B6/B5</f>
        <v>2.0372342882864491E-3</v>
      </c>
      <c r="H5" s="5">
        <f>C6/C5</f>
        <v>7.4848932810728597</v>
      </c>
      <c r="I5" s="6">
        <f>D6/D5</f>
        <v>2166.7710508203995</v>
      </c>
      <c r="L5" s="25"/>
      <c r="M5" s="12"/>
      <c r="O5" s="5"/>
      <c r="P5" s="5"/>
      <c r="T5" s="4"/>
      <c r="U5" s="5"/>
      <c r="V5" s="5"/>
      <c r="W5" s="5"/>
      <c r="X5" s="6"/>
      <c r="Z5" s="24"/>
    </row>
    <row r="6" spans="1:26" x14ac:dyDescent="0.25">
      <c r="A6" s="48" t="s">
        <v>12</v>
      </c>
      <c r="B6" s="91">
        <f t="shared" ref="B6:D7" si="2">W31</f>
        <v>2.0350121535114797E-3</v>
      </c>
      <c r="C6" s="92">
        <f t="shared" si="2"/>
        <v>4.7332066736114186E-3</v>
      </c>
      <c r="D6" s="93">
        <f t="shared" si="2"/>
        <v>0.99323178117287714</v>
      </c>
      <c r="E6" s="10">
        <f>AB31</f>
        <v>2109.0069897053268</v>
      </c>
      <c r="G6" s="4"/>
      <c r="H6" s="5"/>
      <c r="I6" s="6"/>
      <c r="L6" s="4"/>
      <c r="O6" s="5"/>
      <c r="P6" s="5"/>
      <c r="T6" s="4"/>
      <c r="U6" s="5"/>
      <c r="V6" s="5"/>
      <c r="W6" s="5"/>
      <c r="X6" s="6"/>
      <c r="Z6" s="24"/>
    </row>
    <row r="7" spans="1:26" ht="15.75" thickBot="1" x14ac:dyDescent="0.3">
      <c r="A7" s="80" t="s">
        <v>17</v>
      </c>
      <c r="B7" s="88">
        <f t="shared" si="2"/>
        <v>0</v>
      </c>
      <c r="C7" s="89">
        <f t="shared" si="2"/>
        <v>0</v>
      </c>
      <c r="D7" s="90">
        <f t="shared" si="2"/>
        <v>1</v>
      </c>
      <c r="E7" s="12">
        <f>AB32</f>
        <v>2097.0897726946573</v>
      </c>
      <c r="G7" s="4"/>
      <c r="H7" s="5"/>
      <c r="I7" s="6"/>
      <c r="L7" s="4"/>
      <c r="M7" s="11"/>
      <c r="O7" s="5"/>
      <c r="P7" s="5"/>
      <c r="T7" s="4"/>
      <c r="U7" s="5"/>
      <c r="V7" s="5"/>
      <c r="W7" s="5"/>
      <c r="X7" s="6"/>
      <c r="Z7" s="24"/>
    </row>
    <row r="8" spans="1:26" ht="15.75" thickBot="1" x14ac:dyDescent="0.3">
      <c r="A8" s="79"/>
      <c r="B8" s="86"/>
      <c r="C8" s="78"/>
      <c r="D8" s="87"/>
      <c r="E8" s="11"/>
      <c r="G8" s="4"/>
      <c r="H8" s="5"/>
      <c r="I8" s="6"/>
      <c r="L8" s="7"/>
      <c r="O8" s="27"/>
      <c r="P8" s="8"/>
      <c r="T8" s="7"/>
      <c r="U8" s="8"/>
      <c r="V8" s="8"/>
      <c r="W8" s="8"/>
      <c r="X8" s="9"/>
      <c r="Z8" s="24"/>
    </row>
    <row r="9" spans="1:26" ht="15.75" thickBot="1" x14ac:dyDescent="0.3">
      <c r="G9" s="7"/>
      <c r="H9" s="8"/>
      <c r="I9" s="9"/>
    </row>
    <row r="10" spans="1:26" ht="15.75" thickBot="1" x14ac:dyDescent="0.3">
      <c r="L10">
        <v>1</v>
      </c>
      <c r="M10" s="19" t="s">
        <v>30</v>
      </c>
      <c r="S10" s="19" t="s">
        <v>27</v>
      </c>
      <c r="Z10" s="19" t="s">
        <v>31</v>
      </c>
    </row>
    <row r="11" spans="1:26" ht="15.75" thickBot="1" x14ac:dyDescent="0.3">
      <c r="K11" s="19" t="s">
        <v>32</v>
      </c>
      <c r="L11" s="1">
        <f>E$6*$H$5+E$5</f>
        <v>15794.984746767303</v>
      </c>
      <c r="M11" s="182">
        <f>$C$4*$E$4+$E$7*$C$7</f>
        <v>7.635498046875</v>
      </c>
      <c r="O11" s="2"/>
      <c r="P11" s="2"/>
      <c r="T11" s="1">
        <f>MINVERSE(L11)</f>
        <v>6.3311235561950511E-5</v>
      </c>
      <c r="U11" s="2"/>
      <c r="V11" s="2"/>
      <c r="W11" s="2"/>
      <c r="X11" s="3"/>
      <c r="Z11" s="23">
        <f>MMULT(T11,M11)</f>
        <v>4.8341281547851616E-4</v>
      </c>
    </row>
    <row r="12" spans="1:26" ht="15.75" thickBot="1" x14ac:dyDescent="0.3">
      <c r="L12" s="25"/>
      <c r="M12" s="12"/>
      <c r="O12" s="5"/>
      <c r="P12" s="5"/>
      <c r="T12" s="4"/>
      <c r="U12" s="5"/>
      <c r="V12" s="5"/>
      <c r="W12" s="5"/>
      <c r="X12" s="6"/>
      <c r="Z12" s="24"/>
    </row>
    <row r="13" spans="1:26" x14ac:dyDescent="0.25">
      <c r="A13" s="79"/>
      <c r="B13" s="86"/>
      <c r="C13" s="78"/>
      <c r="D13" s="87"/>
      <c r="E13" s="11"/>
      <c r="L13" s="4"/>
      <c r="O13" s="5"/>
      <c r="P13" s="5"/>
      <c r="T13" s="4"/>
      <c r="U13" s="5"/>
      <c r="V13" s="5"/>
      <c r="W13" s="5"/>
      <c r="X13" s="6"/>
    </row>
    <row r="14" spans="1:26" x14ac:dyDescent="0.25">
      <c r="A14" s="79"/>
      <c r="B14" s="86"/>
      <c r="C14" s="78"/>
      <c r="D14" s="87"/>
      <c r="E14" s="11"/>
      <c r="L14" s="4"/>
      <c r="M14" s="11"/>
      <c r="O14" s="5"/>
      <c r="P14" s="5"/>
      <c r="T14" s="4"/>
      <c r="U14" s="5"/>
      <c r="V14" s="5"/>
      <c r="W14" s="5"/>
      <c r="X14" s="6"/>
    </row>
    <row r="15" spans="1:26" ht="15.75" thickBot="1" x14ac:dyDescent="0.3">
      <c r="L15" s="7"/>
      <c r="O15" s="27"/>
      <c r="P15" s="8"/>
      <c r="T15" s="7"/>
      <c r="U15" s="8"/>
      <c r="V15" s="8"/>
      <c r="W15" s="8"/>
      <c r="X15" s="9"/>
    </row>
    <row r="16" spans="1:26" ht="15.75" thickBot="1" x14ac:dyDescent="0.3"/>
    <row r="17" spans="1:36" ht="15.75" thickBot="1" x14ac:dyDescent="0.3">
      <c r="L17">
        <v>1</v>
      </c>
      <c r="M17" s="19" t="s">
        <v>33</v>
      </c>
      <c r="S17" s="19" t="s">
        <v>27</v>
      </c>
      <c r="Z17" s="19" t="s">
        <v>34</v>
      </c>
    </row>
    <row r="18" spans="1:36" ht="15.75" thickBot="1" x14ac:dyDescent="0.3">
      <c r="A18" t="s">
        <v>3</v>
      </c>
      <c r="B18" t="s">
        <v>18</v>
      </c>
      <c r="K18" s="19" t="s">
        <v>35</v>
      </c>
      <c r="L18" s="1">
        <f>E$6*$I$5+E$5</f>
        <v>4569744.5837711645</v>
      </c>
      <c r="M18" s="183">
        <f>$D$4*$E$4+$E$7*$D$7</f>
        <v>2097.0897726946573</v>
      </c>
      <c r="O18" s="2"/>
      <c r="P18" s="2"/>
      <c r="T18" s="1">
        <f>MINVERSE(L18)</f>
        <v>2.1883061113554706E-7</v>
      </c>
      <c r="U18" s="2"/>
      <c r="V18" s="2"/>
      <c r="W18" s="2"/>
      <c r="X18" s="3"/>
      <c r="Z18" s="23">
        <f>MMULT(T18,M18)</f>
        <v>4.5890743656487734E-4</v>
      </c>
    </row>
    <row r="19" spans="1:36" ht="15.75" thickBot="1" x14ac:dyDescent="0.3">
      <c r="A19" t="s">
        <v>4</v>
      </c>
      <c r="B19" t="s">
        <v>19</v>
      </c>
      <c r="L19" s="25"/>
      <c r="M19" s="85"/>
      <c r="O19" s="5"/>
      <c r="P19" s="5"/>
      <c r="T19" s="4"/>
      <c r="U19" s="5"/>
      <c r="V19" s="5"/>
      <c r="W19" s="5"/>
      <c r="X19" s="6"/>
      <c r="Z19" s="24"/>
    </row>
    <row r="20" spans="1:36" x14ac:dyDescent="0.25">
      <c r="A20" t="s">
        <v>5</v>
      </c>
      <c r="B20" t="s">
        <v>20</v>
      </c>
      <c r="L20" s="4"/>
      <c r="O20" s="5"/>
      <c r="P20" s="5"/>
      <c r="T20" s="4"/>
      <c r="U20" s="5"/>
      <c r="V20" s="5"/>
      <c r="W20" s="5"/>
      <c r="X20" s="6"/>
    </row>
    <row r="21" spans="1:36" x14ac:dyDescent="0.25">
      <c r="L21" s="4"/>
      <c r="M21" s="11"/>
      <c r="O21" s="5"/>
      <c r="P21" s="5"/>
      <c r="T21" s="4"/>
      <c r="U21" s="5"/>
      <c r="V21" s="5"/>
      <c r="W21" s="5"/>
      <c r="X21" s="6"/>
    </row>
    <row r="22" spans="1:36" ht="15.75" thickBot="1" x14ac:dyDescent="0.3">
      <c r="L22" s="7"/>
      <c r="M22" s="8"/>
      <c r="O22" s="27"/>
      <c r="P22" s="8"/>
      <c r="T22" s="7"/>
      <c r="U22" s="8"/>
      <c r="V22" s="8"/>
      <c r="W22" s="8"/>
      <c r="X22" s="9"/>
    </row>
    <row r="24" spans="1:36" ht="15.75" thickBot="1" x14ac:dyDescent="0.3"/>
    <row r="25" spans="1:36" ht="15.75" thickBot="1" x14ac:dyDescent="0.3">
      <c r="R25" s="5"/>
      <c r="S25" s="5"/>
      <c r="T25" s="5"/>
      <c r="U25" s="5"/>
      <c r="V25" s="5"/>
      <c r="Y25" s="13"/>
      <c r="Z25" s="16" t="s">
        <v>93</v>
      </c>
      <c r="AA25" s="17" t="s">
        <v>28</v>
      </c>
      <c r="AB25" s="17" t="s">
        <v>31</v>
      </c>
      <c r="AC25" s="18" t="s">
        <v>34</v>
      </c>
      <c r="AE25" s="54" t="s">
        <v>94</v>
      </c>
      <c r="AF25" s="54" t="s">
        <v>95</v>
      </c>
      <c r="AG25" s="54" t="s">
        <v>96</v>
      </c>
      <c r="AH25" s="54" t="s">
        <v>97</v>
      </c>
      <c r="AI25" s="54"/>
      <c r="AJ25" s="54" t="s">
        <v>98</v>
      </c>
    </row>
    <row r="26" spans="1:36" ht="15.75" thickBot="1" x14ac:dyDescent="0.3">
      <c r="L26" s="33" t="s">
        <v>36</v>
      </c>
      <c r="M26" s="34"/>
      <c r="N26" s="35"/>
      <c r="R26" s="5"/>
      <c r="S26" s="5"/>
      <c r="T26" s="5"/>
      <c r="U26" s="5"/>
      <c r="V26" s="5"/>
      <c r="Y26" s="14" t="s">
        <v>0</v>
      </c>
      <c r="Z26" s="42">
        <v>21.209716796875</v>
      </c>
      <c r="AA26" s="2">
        <v>0.64</v>
      </c>
      <c r="AB26" s="2">
        <v>0.36</v>
      </c>
      <c r="AC26" s="3">
        <v>0</v>
      </c>
      <c r="AE26">
        <f>Z27</f>
        <v>2097.0897726946573</v>
      </c>
      <c r="AF26">
        <f>AE26/Z26</f>
        <v>98.874011038357594</v>
      </c>
      <c r="AG26">
        <f>AB31*W31/Z26/AA26</f>
        <v>0.31617693326851681</v>
      </c>
      <c r="AH26">
        <f>X31*AB31/Z26/AB26</f>
        <v>1.307362780670462</v>
      </c>
      <c r="AJ26" s="175">
        <f>AA31*U31/AB32/AC27</f>
        <v>2.0312020235647257E-6</v>
      </c>
    </row>
    <row r="27" spans="1:36" ht="15.75" thickBot="1" x14ac:dyDescent="0.3">
      <c r="L27" s="29" t="s">
        <v>3</v>
      </c>
      <c r="M27" s="30" t="s">
        <v>4</v>
      </c>
      <c r="N27" s="31" t="s">
        <v>5</v>
      </c>
      <c r="O27" s="32" t="s">
        <v>37</v>
      </c>
      <c r="R27" s="5"/>
      <c r="S27" s="5"/>
      <c r="T27" s="5"/>
      <c r="U27" s="5"/>
      <c r="V27" s="5"/>
      <c r="Y27" s="15" t="s">
        <v>17</v>
      </c>
      <c r="Z27" s="169">
        <v>2097.0897726946573</v>
      </c>
      <c r="AA27" s="8">
        <v>0</v>
      </c>
      <c r="AB27" s="8">
        <v>0</v>
      </c>
      <c r="AC27" s="9">
        <v>1</v>
      </c>
    </row>
    <row r="28" spans="1:36" ht="15.75" thickBot="1" x14ac:dyDescent="0.3">
      <c r="L28" s="1">
        <f>Z4</f>
        <v>0.99890923945873755</v>
      </c>
      <c r="M28" s="2">
        <f>Z11</f>
        <v>4.8341281547851616E-4</v>
      </c>
      <c r="N28" s="3">
        <f>Z18</f>
        <v>4.5890743656487734E-4</v>
      </c>
      <c r="O28" s="177">
        <f>SUM(L28:N28)</f>
        <v>0.99985155971078088</v>
      </c>
      <c r="R28" s="5"/>
      <c r="S28" s="5"/>
      <c r="T28" s="5"/>
      <c r="U28" s="5"/>
      <c r="V28" s="5"/>
      <c r="AG28" s="42"/>
    </row>
    <row r="29" spans="1:36" ht="15.75" thickBot="1" x14ac:dyDescent="0.3">
      <c r="L29" s="4"/>
      <c r="M29" s="5"/>
      <c r="N29" s="6"/>
      <c r="O29" s="178"/>
      <c r="R29" s="5"/>
      <c r="S29" s="5"/>
      <c r="T29" s="5"/>
      <c r="U29" s="5"/>
      <c r="V29" s="5"/>
      <c r="AA29" s="16" t="s">
        <v>99</v>
      </c>
      <c r="AB29" s="18" t="s">
        <v>100</v>
      </c>
      <c r="AG29" s="54" t="s">
        <v>109</v>
      </c>
    </row>
    <row r="30" spans="1:36" ht="21.75" thickBot="1" x14ac:dyDescent="0.4">
      <c r="L30" s="4"/>
      <c r="M30" s="5"/>
      <c r="N30" s="6"/>
      <c r="O30" s="178"/>
      <c r="R30" s="19" t="s">
        <v>101</v>
      </c>
      <c r="S30" s="48" t="s">
        <v>102</v>
      </c>
      <c r="T30" s="49" t="s">
        <v>103</v>
      </c>
      <c r="U30" s="49" t="s">
        <v>104</v>
      </c>
      <c r="V30" s="28" t="s">
        <v>37</v>
      </c>
      <c r="W30" s="48" t="s">
        <v>105</v>
      </c>
      <c r="X30" s="49" t="s">
        <v>106</v>
      </c>
      <c r="Y30" s="49" t="s">
        <v>107</v>
      </c>
      <c r="Z30" s="55" t="s">
        <v>108</v>
      </c>
      <c r="AA30" s="81">
        <f>Z26</f>
        <v>21.209716796875</v>
      </c>
      <c r="AB30" s="82"/>
      <c r="AC30" s="49" t="s">
        <v>22</v>
      </c>
      <c r="AD30" s="49" t="s">
        <v>23</v>
      </c>
      <c r="AE30" s="69" t="s">
        <v>24</v>
      </c>
      <c r="AG30">
        <v>0.99980000000000002</v>
      </c>
      <c r="AI30" s="94">
        <f>ABS(AH26-AG30)</f>
        <v>0.30756278067046194</v>
      </c>
    </row>
    <row r="31" spans="1:36" x14ac:dyDescent="0.25">
      <c r="L31" s="4"/>
      <c r="M31" s="5"/>
      <c r="N31" s="6"/>
      <c r="O31" s="178"/>
      <c r="R31" s="45">
        <v>1</v>
      </c>
      <c r="S31" s="63">
        <f>C41</f>
        <v>0.99890923945873766</v>
      </c>
      <c r="T31" s="64">
        <f t="shared" ref="T31:U31" si="3">D41</f>
        <v>6.3236795714647471E-4</v>
      </c>
      <c r="U31" s="64">
        <f t="shared" si="3"/>
        <v>4.583925841158031E-4</v>
      </c>
      <c r="V31" s="60">
        <f>SUM(S31:U31)</f>
        <v>1</v>
      </c>
      <c r="W31" s="64">
        <f>G41</f>
        <v>2.0350121535114797E-3</v>
      </c>
      <c r="X31" s="64">
        <f t="shared" ref="X31:Y31" si="4">H41</f>
        <v>4.7332066736114186E-3</v>
      </c>
      <c r="Y31" s="64">
        <f t="shared" si="4"/>
        <v>0.99323178117287714</v>
      </c>
      <c r="Z31" s="57">
        <f>SUM(W31:Y31)</f>
        <v>1</v>
      </c>
      <c r="AA31" s="204">
        <f>(AA30*(AA26-W31)+AB32*(AA27-W31))/(S31-W31)</f>
        <v>9.2924997862054823</v>
      </c>
      <c r="AB31" s="26">
        <f>Z26+Z27-AA31</f>
        <v>2109.0069897053268</v>
      </c>
      <c r="AC31" s="70">
        <f>W31/S31</f>
        <v>2.0372342882864491E-3</v>
      </c>
      <c r="AD31" s="71">
        <f t="shared" ref="AD31:AE31" si="5">X31/T31</f>
        <v>7.4848932810728597</v>
      </c>
      <c r="AE31" s="72">
        <f t="shared" si="5"/>
        <v>2166.7710508203995</v>
      </c>
      <c r="AG31" t="s">
        <v>146</v>
      </c>
    </row>
    <row r="32" spans="1:36" ht="15.75" thickBot="1" x14ac:dyDescent="0.3">
      <c r="L32" s="7"/>
      <c r="M32" s="8"/>
      <c r="N32" s="9"/>
      <c r="O32" s="180"/>
      <c r="R32" s="46">
        <v>2</v>
      </c>
      <c r="S32" s="65"/>
      <c r="T32" s="66"/>
      <c r="U32" s="66"/>
      <c r="V32" s="61"/>
      <c r="W32" s="51">
        <v>0</v>
      </c>
      <c r="X32">
        <f>AB27</f>
        <v>0</v>
      </c>
      <c r="Y32" s="52">
        <v>1</v>
      </c>
      <c r="Z32" s="58"/>
      <c r="AB32" s="84">
        <f>Z27</f>
        <v>2097.0897726946573</v>
      </c>
      <c r="AC32" s="73"/>
      <c r="AD32" s="5"/>
      <c r="AE32" s="74"/>
      <c r="AG32" s="176">
        <f>AG30*Z26*AB26/X31</f>
        <v>1612.8539220200444</v>
      </c>
    </row>
    <row r="33" spans="3:33" x14ac:dyDescent="0.25">
      <c r="R33" s="46">
        <v>3</v>
      </c>
      <c r="S33" s="65"/>
      <c r="T33" s="66"/>
      <c r="U33" s="66"/>
      <c r="V33" s="61"/>
      <c r="Z33" s="58"/>
      <c r="AA33" s="181"/>
      <c r="AC33" s="73"/>
      <c r="AD33" s="5"/>
      <c r="AE33" s="74"/>
      <c r="AG33" t="s">
        <v>147</v>
      </c>
    </row>
    <row r="34" spans="3:33" ht="15.75" thickBot="1" x14ac:dyDescent="0.3">
      <c r="R34" s="46">
        <v>4</v>
      </c>
      <c r="S34" s="65"/>
      <c r="T34" s="66"/>
      <c r="U34" s="66"/>
      <c r="V34" s="61"/>
      <c r="W34" s="66"/>
      <c r="X34" s="66"/>
      <c r="Y34" s="66"/>
      <c r="Z34" s="58"/>
      <c r="AA34" s="26"/>
      <c r="AB34" s="26"/>
      <c r="AC34" s="73"/>
      <c r="AD34" s="5"/>
      <c r="AE34" s="74"/>
      <c r="AG34" s="176">
        <f>AG36+Z26-AG32</f>
        <v>10.303279827932556</v>
      </c>
    </row>
    <row r="35" spans="3:33" ht="18.75" thickBot="1" x14ac:dyDescent="0.4">
      <c r="C35" s="36" t="s">
        <v>38</v>
      </c>
      <c r="D35" s="37" t="s">
        <v>39</v>
      </c>
      <c r="E35" s="37" t="s">
        <v>40</v>
      </c>
      <c r="F35" s="37" t="s">
        <v>41</v>
      </c>
      <c r="G35" s="37" t="s">
        <v>42</v>
      </c>
      <c r="H35" s="38" t="s">
        <v>43</v>
      </c>
      <c r="R35" s="47">
        <v>5</v>
      </c>
      <c r="S35" s="67"/>
      <c r="T35" s="68"/>
      <c r="U35" s="68"/>
      <c r="V35" s="62"/>
      <c r="W35" s="68"/>
      <c r="X35" s="68"/>
      <c r="Y35" s="68"/>
      <c r="Z35" s="59"/>
      <c r="AB35" s="26"/>
      <c r="AC35" s="75"/>
      <c r="AD35" s="76"/>
      <c r="AE35" s="77"/>
      <c r="AG35" t="s">
        <v>148</v>
      </c>
    </row>
    <row r="36" spans="3:33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50"/>
      <c r="Z36" s="56"/>
      <c r="AA36" s="83"/>
      <c r="AG36" s="221">
        <f>(AG32*(W31-S31)+Z26*(S31-AA26))/(AA27-S31)</f>
        <v>1601.9474850511019</v>
      </c>
    </row>
    <row r="37" spans="3:33" ht="18.75" thickBot="1" x14ac:dyDescent="0.4">
      <c r="C37" s="36" t="s">
        <v>44</v>
      </c>
      <c r="D37" s="37" t="s">
        <v>45</v>
      </c>
      <c r="E37" s="37" t="s">
        <v>46</v>
      </c>
      <c r="F37" s="37" t="s">
        <v>47</v>
      </c>
      <c r="G37" s="37" t="s">
        <v>48</v>
      </c>
      <c r="H37" s="38" t="s">
        <v>49</v>
      </c>
      <c r="AC37" s="168">
        <f>AB32+Z26-AA31-AB31</f>
        <v>0</v>
      </c>
    </row>
    <row r="38" spans="3:33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</row>
    <row r="39" spans="3:33" ht="15.75" thickBot="1" x14ac:dyDescent="0.3"/>
    <row r="40" spans="3:33" ht="16.5" thickBot="1" x14ac:dyDescent="0.3">
      <c r="C40" s="16" t="s">
        <v>50</v>
      </c>
      <c r="D40" s="17" t="s">
        <v>51</v>
      </c>
      <c r="E40" s="18" t="s">
        <v>52</v>
      </c>
      <c r="G40" s="16" t="s">
        <v>53</v>
      </c>
      <c r="H40" s="17" t="s">
        <v>54</v>
      </c>
      <c r="I40" s="18" t="s">
        <v>55</v>
      </c>
      <c r="L40" s="39" t="s">
        <v>56</v>
      </c>
      <c r="M40" s="40" t="s">
        <v>57</v>
      </c>
      <c r="N40" s="40" t="s">
        <v>58</v>
      </c>
      <c r="O40" s="40" t="s">
        <v>59</v>
      </c>
      <c r="P40" s="40" t="s">
        <v>60</v>
      </c>
      <c r="Q40" s="40" t="s">
        <v>61</v>
      </c>
      <c r="R40" s="40" t="s">
        <v>62</v>
      </c>
      <c r="S40" s="40" t="s">
        <v>63</v>
      </c>
      <c r="T40" s="40" t="s">
        <v>64</v>
      </c>
      <c r="U40" s="40" t="s">
        <v>65</v>
      </c>
      <c r="V40" s="40" t="s">
        <v>66</v>
      </c>
      <c r="W40" s="40" t="s">
        <v>67</v>
      </c>
      <c r="X40" s="40" t="s">
        <v>68</v>
      </c>
      <c r="Y40" s="40" t="s">
        <v>69</v>
      </c>
      <c r="Z40" s="41" t="s">
        <v>70</v>
      </c>
    </row>
    <row r="41" spans="3:33" x14ac:dyDescent="0.25">
      <c r="C41">
        <f>1-D41-E41</f>
        <v>0.99890923945873766</v>
      </c>
      <c r="D41" s="42">
        <v>6.3236795714647471E-4</v>
      </c>
      <c r="E41" s="42">
        <v>4.583925841158031E-4</v>
      </c>
      <c r="F41" s="42"/>
      <c r="G41" s="42">
        <v>2.0350121535114797E-3</v>
      </c>
      <c r="H41" s="42">
        <v>4.7332066736114186E-3</v>
      </c>
      <c r="I41">
        <f>1-G41-H41</f>
        <v>0.99323178117287714</v>
      </c>
      <c r="L41">
        <f>$C41+$D$38*$D41+$F$38*$E41</f>
        <v>0.99915218433897623</v>
      </c>
      <c r="M41">
        <f>$C$38*$C41+$D41+$H$38*$E41</f>
        <v>0.43105621821522866</v>
      </c>
      <c r="N41">
        <f>$E$38*$C41+$G$38*$D41+$E41</f>
        <v>5.478509655556156E-2</v>
      </c>
      <c r="O41">
        <f>$D41*$D$36*$D$38+$E41*$F$36*$F$38</f>
        <v>8.1885689074355028E-4</v>
      </c>
      <c r="P41">
        <f>$C41*$C$36*$C$38+$E41*$H$36*$H$38</f>
        <v>0.90618311930688022</v>
      </c>
      <c r="Q41">
        <f>$C41*$E$36*$E$38+$D41*$G$36*$G$38</f>
        <v>0.39535485348379273</v>
      </c>
      <c r="R41">
        <f>(O41/L41)-(C41*O41/L41^2)+(D41*$C$38/M41)*($C$36-P41/M41)+(E41*$E$38/N41)*($E$36-Q41/N41)</f>
        <v>3.4407990607127974E-5</v>
      </c>
      <c r="S41">
        <f>(P41/M41)-(D41*P41/M41^2)+(C41*$D$38/L41)*($D$36-O41/L41)+(E41*$G$38/N41)*($G$36-Q41/N41)</f>
        <v>3.0054698303056937</v>
      </c>
      <c r="T41">
        <f>(Q41/N41)-(E41*Q41/N41^2)+(C41*$F$38/L41)*($F$36-O41/L41)+(D41*$H$38/M41)*($H$36-P41/M41)</f>
        <v>7.6813808979399969</v>
      </c>
      <c r="U41">
        <f>EXP(R41)</f>
        <v>1.0000344085825688</v>
      </c>
      <c r="V41">
        <f>EXP(S41)</f>
        <v>20.195702420373436</v>
      </c>
      <c r="W41">
        <f>EXP(T41)</f>
        <v>2167.610955615733</v>
      </c>
      <c r="X41">
        <f>U41/U47</f>
        <v>2.0372342743774177E-3</v>
      </c>
      <c r="Y41">
        <f>V41/V47</f>
        <v>7.4848932802696932</v>
      </c>
      <c r="Z41">
        <f>W41/W47</f>
        <v>2166.7710507800848</v>
      </c>
    </row>
    <row r="42" spans="3:33" x14ac:dyDescent="0.25">
      <c r="E42" s="42"/>
      <c r="G42" s="42"/>
    </row>
    <row r="43" spans="3:33" x14ac:dyDescent="0.25">
      <c r="E43" s="42"/>
      <c r="G43" s="42"/>
    </row>
    <row r="44" spans="3:33" x14ac:dyDescent="0.25">
      <c r="E44" s="42"/>
      <c r="G44" s="42"/>
    </row>
    <row r="45" spans="3:33" ht="15.75" thickBot="1" x14ac:dyDescent="0.3">
      <c r="E45" s="42"/>
      <c r="G45" s="42"/>
    </row>
    <row r="46" spans="3:33" ht="16.5" thickBot="1" x14ac:dyDescent="0.3">
      <c r="L46" s="39" t="s">
        <v>71</v>
      </c>
      <c r="M46" s="40" t="s">
        <v>72</v>
      </c>
      <c r="N46" s="40" t="s">
        <v>73</v>
      </c>
      <c r="O46" s="40" t="s">
        <v>74</v>
      </c>
      <c r="P46" s="40" t="s">
        <v>75</v>
      </c>
      <c r="Q46" s="40" t="s">
        <v>76</v>
      </c>
      <c r="R46" s="40" t="s">
        <v>77</v>
      </c>
      <c r="S46" s="40" t="s">
        <v>78</v>
      </c>
      <c r="T46" s="40" t="s">
        <v>79</v>
      </c>
      <c r="U46" s="40" t="s">
        <v>80</v>
      </c>
      <c r="V46" s="40" t="s">
        <v>81</v>
      </c>
      <c r="W46" s="40" t="s">
        <v>82</v>
      </c>
      <c r="X46" s="40" t="s">
        <v>83</v>
      </c>
      <c r="Y46" s="40" t="s">
        <v>84</v>
      </c>
      <c r="Z46" s="41" t="s">
        <v>85</v>
      </c>
    </row>
    <row r="47" spans="3:33" ht="15.75" thickBot="1" x14ac:dyDescent="0.3">
      <c r="L47">
        <f>$G41+$D$38*$H41+$F$38*$I41</f>
        <v>8.9127914600276539E-2</v>
      </c>
      <c r="M47">
        <f>$C$38*$G41+$H41+$H$38*$I41</f>
        <v>0.91775080416677768</v>
      </c>
      <c r="N47">
        <f>$E$38*$G41+$G$38*$H41+$I41</f>
        <v>0.99428844143003881</v>
      </c>
      <c r="O47">
        <f>$H41*$D$36*$D$38+$I41*$F$36*$F$38</f>
        <v>0.52878242929073871</v>
      </c>
      <c r="P47">
        <f>$G41*$C$36*$C$38+$I41*$H$36*$H$38</f>
        <v>0.19606100662170667</v>
      </c>
      <c r="Q47">
        <f>$G41*$E$36*$E$38+$H41*$G$36*$G$38</f>
        <v>4.612685784297273E-3</v>
      </c>
      <c r="R47">
        <f>(O47/L47)-(G41*O47/L47^2)+(H41*$C$38/M47)*($C$36-P47/M47)+(I41*$E$38/N47)*($E$36-Q47/N47)</f>
        <v>6.196196546828439</v>
      </c>
      <c r="S47">
        <f>(P47/M47)-(H41*P47/M47^2)+(G41*$D$38/L47)*($D$36-O47/L47)+(I41*$G$38/N47)*($G$36-Q47/N47)</f>
        <v>0.99258307034874582</v>
      </c>
      <c r="T47">
        <f>(Q47/N47)-(I41*Q47/N47^2)+(G41*$F$38/L47)*($F$36-O47/L47)+(H41*$H$38/M47)*($H$36-P47/M47)</f>
        <v>3.8755460175014702E-4</v>
      </c>
      <c r="U47">
        <f>EXP(R47)</f>
        <v>490.8784527926623</v>
      </c>
      <c r="V47">
        <f>EXP(S47)</f>
        <v>2.6981951063496994</v>
      </c>
      <c r="W47">
        <f>EXP(T47)</f>
        <v>1.0003876297107375</v>
      </c>
      <c r="X47">
        <f>U47/U41</f>
        <v>490.86156294204397</v>
      </c>
      <c r="Y47">
        <f>V47/V41</f>
        <v>0.13360243928073323</v>
      </c>
      <c r="Z47">
        <f>W47/W41</f>
        <v>4.6151622694053356E-4</v>
      </c>
    </row>
    <row r="48" spans="3:33" ht="15.75" thickBot="1" x14ac:dyDescent="0.3">
      <c r="C48" s="232" t="s">
        <v>86</v>
      </c>
      <c r="D48" s="233"/>
      <c r="E48" s="233"/>
      <c r="F48" s="233"/>
      <c r="G48" s="233"/>
      <c r="H48" s="233"/>
      <c r="I48" s="234"/>
    </row>
    <row r="49" spans="2:10" ht="15.75" thickBot="1" x14ac:dyDescent="0.3">
      <c r="B49" s="19" t="s">
        <v>87</v>
      </c>
      <c r="C49" s="17" t="s">
        <v>50</v>
      </c>
      <c r="D49" s="17" t="s">
        <v>51</v>
      </c>
      <c r="E49" s="17" t="s">
        <v>52</v>
      </c>
      <c r="F49" s="17"/>
      <c r="G49" s="17" t="s">
        <v>53</v>
      </c>
      <c r="H49" s="17" t="s">
        <v>54</v>
      </c>
      <c r="I49" s="17" t="s">
        <v>88</v>
      </c>
      <c r="J49" s="19" t="s">
        <v>87</v>
      </c>
    </row>
    <row r="50" spans="2:10" x14ac:dyDescent="0.25">
      <c r="B50" s="43">
        <f>SUM(C50:E50)</f>
        <v>1.0000000068200383</v>
      </c>
      <c r="C50">
        <f>G41*X47</f>
        <v>0.99890924627869959</v>
      </c>
      <c r="D50">
        <f>H41*Y47</f>
        <v>6.3236795721433091E-4</v>
      </c>
      <c r="E50">
        <f>I41*Z47</f>
        <v>4.5839258412433192E-4</v>
      </c>
      <c r="G50">
        <f>C41*X41</f>
        <v>2.0350121396176197E-3</v>
      </c>
      <c r="H50">
        <f>D41*Y41</f>
        <v>4.7332066731035219E-3</v>
      </c>
      <c r="I50">
        <f>E41*Z41</f>
        <v>0.99323178115439714</v>
      </c>
      <c r="J50" s="43">
        <f>SUM(G50:I50)</f>
        <v>0.9999999999671183</v>
      </c>
    </row>
    <row r="51" spans="2:10" x14ac:dyDescent="0.25">
      <c r="B51" s="43"/>
      <c r="J51" s="43"/>
    </row>
    <row r="52" spans="2:10" x14ac:dyDescent="0.25">
      <c r="B52" s="43"/>
      <c r="J52" s="43"/>
    </row>
    <row r="53" spans="2:10" x14ac:dyDescent="0.25">
      <c r="B53" s="43"/>
      <c r="J53" s="43"/>
    </row>
    <row r="54" spans="2:10" x14ac:dyDescent="0.25">
      <c r="B54" s="43"/>
      <c r="J54" s="43"/>
    </row>
    <row r="55" spans="2:10" ht="15.75" thickBot="1" x14ac:dyDescent="0.3"/>
    <row r="56" spans="2:10" ht="15.75" thickBot="1" x14ac:dyDescent="0.3">
      <c r="C56" s="172" t="s">
        <v>89</v>
      </c>
      <c r="D56" s="173"/>
      <c r="E56" s="173"/>
      <c r="F56" s="173"/>
      <c r="G56" s="173"/>
      <c r="H56" s="173"/>
      <c r="I56" s="174"/>
    </row>
    <row r="57" spans="2:10" ht="15.75" thickBot="1" x14ac:dyDescent="0.3">
      <c r="C57" s="16" t="s">
        <v>90</v>
      </c>
      <c r="D57" s="17" t="s">
        <v>91</v>
      </c>
      <c r="E57" s="18" t="s">
        <v>92</v>
      </c>
      <c r="G57" s="16" t="s">
        <v>90</v>
      </c>
      <c r="H57" s="17" t="s">
        <v>91</v>
      </c>
      <c r="I57" s="18" t="s">
        <v>92</v>
      </c>
    </row>
    <row r="58" spans="2:10" x14ac:dyDescent="0.25">
      <c r="C58">
        <f>(C50+C41)/2</f>
        <v>0.99890924286871863</v>
      </c>
      <c r="D58">
        <f t="shared" ref="D58:I58" si="6">(D50+D41)/2</f>
        <v>6.3236795718040286E-4</v>
      </c>
      <c r="E58">
        <f t="shared" si="6"/>
        <v>4.5839258412006749E-4</v>
      </c>
      <c r="G58">
        <f t="shared" si="6"/>
        <v>2.0350121465645497E-3</v>
      </c>
      <c r="H58">
        <f t="shared" si="6"/>
        <v>4.7332066733574707E-3</v>
      </c>
      <c r="I58">
        <f t="shared" si="6"/>
        <v>0.99323178116363708</v>
      </c>
    </row>
  </sheetData>
  <mergeCells count="1">
    <mergeCell ref="C48:I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"/>
  <dimension ref="A1:F12"/>
  <sheetViews>
    <sheetView workbookViewId="0">
      <selection activeCell="G8" sqref="G8"/>
    </sheetView>
  </sheetViews>
  <sheetFormatPr defaultRowHeight="15" x14ac:dyDescent="0.25"/>
  <cols>
    <col min="5" max="5" width="9.5703125" bestFit="1" customWidth="1"/>
    <col min="6" max="6" width="10.140625" bestFit="1" customWidth="1"/>
  </cols>
  <sheetData>
    <row r="1" spans="1:6" x14ac:dyDescent="0.25">
      <c r="A1" t="s">
        <v>142</v>
      </c>
      <c r="B1" t="s">
        <v>94</v>
      </c>
      <c r="C1" t="s">
        <v>95</v>
      </c>
      <c r="D1" t="s">
        <v>144</v>
      </c>
      <c r="E1" t="s">
        <v>97</v>
      </c>
      <c r="F1" t="s">
        <v>143</v>
      </c>
    </row>
    <row r="2" spans="1:6" x14ac:dyDescent="0.25">
      <c r="A2">
        <v>1</v>
      </c>
      <c r="B2">
        <f>'1.2'!AE26</f>
        <v>2412.4801083845414</v>
      </c>
      <c r="C2">
        <f>'1.2'!AF26</f>
        <v>96.499204335381648</v>
      </c>
      <c r="D2">
        <f>'1.2'!AG26</f>
        <v>0.37323316012072966</v>
      </c>
      <c r="E2" s="199">
        <f>'1.2'!AH26</f>
        <v>1.3021216474122614</v>
      </c>
      <c r="F2" s="225">
        <f>'1.2'!AI26</f>
        <v>1.6126887416413227E-6</v>
      </c>
    </row>
    <row r="3" spans="1:6" x14ac:dyDescent="0.25">
      <c r="A3">
        <v>2</v>
      </c>
      <c r="B3">
        <f>'2.2'!AE26</f>
        <v>90.550122504513368</v>
      </c>
      <c r="C3">
        <f>'2.2'!AF26</f>
        <v>3.6220049001805346</v>
      </c>
      <c r="D3">
        <f>'2.2'!AG26</f>
        <v>6.5886613603260313E-2</v>
      </c>
      <c r="E3" s="199">
        <f>'2.2'!AH26</f>
        <v>1.2608484964912801</v>
      </c>
      <c r="F3" s="225">
        <f>'2.2'!AI26</f>
        <v>6.3674031344152684E-5</v>
      </c>
    </row>
    <row r="4" spans="1:6" x14ac:dyDescent="0.25">
      <c r="A4">
        <v>3</v>
      </c>
      <c r="B4">
        <f>'3.2'!AE26</f>
        <v>23.712243154565048</v>
      </c>
      <c r="C4">
        <f>'3.2'!AF26</f>
        <v>1.1179896168183994</v>
      </c>
      <c r="D4">
        <f>'3.2'!AG26</f>
        <v>7.904014427812088E-2</v>
      </c>
      <c r="E4" s="199">
        <f>'3.2'!AH26</f>
        <v>0.99982528378162527</v>
      </c>
      <c r="F4" s="225">
        <f>'3.2'!AI26</f>
        <v>2.0313596754629234E-4</v>
      </c>
    </row>
    <row r="5" spans="1:6" x14ac:dyDescent="0.25">
      <c r="A5">
        <v>4</v>
      </c>
      <c r="B5">
        <f>'4.2'!AE26</f>
        <v>12.607431633942701</v>
      </c>
      <c r="C5">
        <f>'4.2'!AF26</f>
        <v>0.50429726535770802</v>
      </c>
      <c r="D5">
        <f>'4.2'!AG26</f>
        <v>6.9230348259241709E-2</v>
      </c>
      <c r="E5" s="199">
        <f>'4.2'!AH26</f>
        <v>0.99977524974360288</v>
      </c>
      <c r="F5" s="225">
        <f>'4.2'!AI26</f>
        <v>4.6199805363214482E-4</v>
      </c>
    </row>
    <row r="6" spans="1:6" x14ac:dyDescent="0.25">
      <c r="A6">
        <v>5</v>
      </c>
      <c r="B6">
        <f>'5.2'!AE26</f>
        <v>8.4502747149440633</v>
      </c>
      <c r="C6">
        <f>'5.2'!AF26</f>
        <v>0.33801098859776252</v>
      </c>
      <c r="D6">
        <f>'5.2'!AG26</f>
        <v>5.5472172915814001E-2</v>
      </c>
      <c r="E6" s="199">
        <f>'5.2'!AH26</f>
        <v>0.99979292119818719</v>
      </c>
      <c r="F6" s="225">
        <f>'5.2'!AI26</f>
        <v>6.8925744932309195E-4</v>
      </c>
    </row>
    <row r="7" spans="1:6" x14ac:dyDescent="0.25">
      <c r="A7">
        <v>8</v>
      </c>
      <c r="B7">
        <f>'8.2'!B15</f>
        <v>4.5825992882890789</v>
      </c>
      <c r="C7">
        <f>'8.2'!C15</f>
        <v>0.18330397153156316</v>
      </c>
      <c r="D7">
        <f>'8.2'!D15</f>
        <v>4.4920515046198956E-2</v>
      </c>
      <c r="E7" s="199">
        <f>'8.2'!E15</f>
        <v>0.99980000000000002</v>
      </c>
      <c r="F7" s="225">
        <f>'8.2'!F15</f>
        <v>1.2844760786371162E-3</v>
      </c>
    </row>
    <row r="9" spans="1:6" x14ac:dyDescent="0.25">
      <c r="A9" t="s">
        <v>145</v>
      </c>
      <c r="B9">
        <v>25</v>
      </c>
    </row>
    <row r="10" spans="1:6" x14ac:dyDescent="0.25">
      <c r="A10" t="s">
        <v>28</v>
      </c>
      <c r="B10">
        <v>0.54</v>
      </c>
    </row>
    <row r="11" spans="1:6" x14ac:dyDescent="0.25">
      <c r="A11" t="s">
        <v>31</v>
      </c>
      <c r="B11">
        <v>0.46</v>
      </c>
    </row>
    <row r="12" spans="1:6" x14ac:dyDescent="0.25">
      <c r="A12" t="s">
        <v>34</v>
      </c>
      <c r="B12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5"/>
  <dimension ref="A1:AK59"/>
  <sheetViews>
    <sheetView tabSelected="1" topLeftCell="A25" zoomScale="70" zoomScaleNormal="70" workbookViewId="0">
      <selection activeCell="J41" sqref="J41:N48"/>
    </sheetView>
  </sheetViews>
  <sheetFormatPr defaultRowHeight="15" x14ac:dyDescent="0.25"/>
  <cols>
    <col min="2" max="2" width="11.7109375" bestFit="1" customWidth="1"/>
    <col min="3" max="3" width="14.140625" bestFit="1" customWidth="1"/>
    <col min="4" max="5" width="11.7109375" bestFit="1" customWidth="1"/>
    <col min="9" max="11" width="10.28515625" bestFit="1" customWidth="1"/>
    <col min="13" max="13" width="16" bestFit="1" customWidth="1"/>
    <col min="14" max="14" width="12.7109375" bestFit="1" customWidth="1"/>
    <col min="15" max="15" width="10.28515625" bestFit="1" customWidth="1"/>
  </cols>
  <sheetData>
    <row r="1" spans="1:36" ht="15.75" thickBot="1" x14ac:dyDescent="0.3">
      <c r="H1" s="31" t="s">
        <v>110</v>
      </c>
      <c r="K1" t="s">
        <v>21</v>
      </c>
      <c r="R1" s="29">
        <v>1</v>
      </c>
      <c r="S1" s="30">
        <v>2</v>
      </c>
      <c r="T1" s="30">
        <v>3</v>
      </c>
      <c r="U1" s="30">
        <v>4</v>
      </c>
      <c r="V1" s="30">
        <v>5</v>
      </c>
      <c r="W1" s="30">
        <v>6</v>
      </c>
      <c r="X1" s="30">
        <v>7</v>
      </c>
      <c r="Y1" s="31">
        <v>8</v>
      </c>
      <c r="Z1" s="69" t="s">
        <v>26</v>
      </c>
      <c r="AB1" s="98" t="s">
        <v>27</v>
      </c>
    </row>
    <row r="2" spans="1:36" ht="15.75" thickBot="1" x14ac:dyDescent="0.3">
      <c r="B2" s="16" t="s">
        <v>28</v>
      </c>
      <c r="C2" s="17" t="s">
        <v>31</v>
      </c>
      <c r="D2" s="18" t="s">
        <v>34</v>
      </c>
      <c r="E2" s="31" t="s">
        <v>111</v>
      </c>
      <c r="H2" s="9" t="s">
        <v>6</v>
      </c>
      <c r="J2" s="29" t="s">
        <v>22</v>
      </c>
      <c r="K2" s="30" t="s">
        <v>23</v>
      </c>
      <c r="L2" s="31" t="s">
        <v>24</v>
      </c>
      <c r="P2" s="10">
        <v>1</v>
      </c>
      <c r="Q2" s="17" t="s">
        <v>35</v>
      </c>
      <c r="R2" s="99">
        <f>$H$4+$I$4*$J$4</f>
        <v>17.490757198179054</v>
      </c>
      <c r="S2" s="100">
        <f>-$I$5*$J$5</f>
        <v>-0.35803890119706222</v>
      </c>
      <c r="T2" s="100">
        <v>0</v>
      </c>
      <c r="U2" s="100">
        <v>0</v>
      </c>
      <c r="V2" s="101">
        <v>0</v>
      </c>
      <c r="W2" s="101">
        <v>0</v>
      </c>
      <c r="X2" s="101">
        <v>0</v>
      </c>
      <c r="Y2" s="102">
        <v>0</v>
      </c>
      <c r="Z2" s="10">
        <f>$I$15*$J$15</f>
        <v>13.5</v>
      </c>
      <c r="AC2" s="1">
        <f t="array" ref="AC2:AJ9">MINVERSE(R2:Y9)</f>
        <v>5.8565967630911216E-2</v>
      </c>
      <c r="AD2" s="2">
        <v>1.456797657030858E-3</v>
      </c>
      <c r="AE2" s="2">
        <v>8.7986298502225414E-6</v>
      </c>
      <c r="AF2" s="2">
        <v>1.6326297518627794E-8</v>
      </c>
      <c r="AG2" s="2">
        <v>1.6723981143849774E-11</v>
      </c>
      <c r="AH2" s="2">
        <v>1.3265377227498084E-14</v>
      </c>
      <c r="AI2" s="2">
        <v>9.5059951373174024E-18</v>
      </c>
      <c r="AJ2" s="3">
        <v>6.5518851023425913E-21</v>
      </c>
    </row>
    <row r="3" spans="1:36" x14ac:dyDescent="0.25">
      <c r="B3" s="153">
        <f t="array" ref="B3:B10">MMULT(AC2:AJ9,Z2:Z9)</f>
        <v>0.79064056301730146</v>
      </c>
      <c r="C3" s="154">
        <f t="array" ref="C3:C10">MMULT(AC12:AJ19,Z12:Z19)</f>
        <v>0.20739468329159211</v>
      </c>
      <c r="D3" s="157">
        <f t="array" ref="D3:D10">MMULT(AC22:AJ29,Z22:Z29)</f>
        <v>1.9748528371596134E-3</v>
      </c>
      <c r="E3">
        <f>SUM(B3:D3)</f>
        <v>1.0000100991460532</v>
      </c>
      <c r="H3" s="82">
        <v>25</v>
      </c>
      <c r="J3" s="103" t="s">
        <v>25</v>
      </c>
      <c r="K3" s="104" t="s">
        <v>25</v>
      </c>
      <c r="L3" s="105" t="s">
        <v>25</v>
      </c>
      <c r="P3" s="11">
        <v>2</v>
      </c>
      <c r="R3" s="25">
        <f>-$H$4</f>
        <v>-16.723750063091785</v>
      </c>
      <c r="S3" s="26">
        <f>$H$5+$I$5*$J$5</f>
        <v>14.479115008227913</v>
      </c>
      <c r="T3" s="26">
        <f>-$I$6*$J$6</f>
        <v>-8.0772422977282057E-2</v>
      </c>
      <c r="U3" s="26">
        <v>0</v>
      </c>
      <c r="V3" s="106">
        <v>0</v>
      </c>
      <c r="W3" s="106">
        <v>0</v>
      </c>
      <c r="X3" s="106">
        <v>0</v>
      </c>
      <c r="Y3" s="107">
        <v>0</v>
      </c>
      <c r="Z3" s="11">
        <v>0</v>
      </c>
      <c r="AC3" s="4">
        <v>6.8046013512013517E-2</v>
      </c>
      <c r="AD3" s="5">
        <v>7.1166831371707748E-2</v>
      </c>
      <c r="AE3" s="5">
        <v>4.2982675310521742E-4</v>
      </c>
      <c r="AF3" s="5">
        <v>7.9756502684154414E-7</v>
      </c>
      <c r="AG3" s="5">
        <v>8.1699249046963998E-10</v>
      </c>
      <c r="AH3" s="5">
        <v>6.4803430982690777E-13</v>
      </c>
      <c r="AI3" s="5">
        <v>4.6438264757822264E-16</v>
      </c>
      <c r="AJ3" s="6">
        <v>3.2006977770375607E-19</v>
      </c>
    </row>
    <row r="4" spans="1:36" x14ac:dyDescent="0.25">
      <c r="B4" s="153">
        <v>0.91862118241218249</v>
      </c>
      <c r="C4" s="154">
        <v>8.0521378920009684E-2</v>
      </c>
      <c r="D4" s="157">
        <v>8.7144067129887859E-4</v>
      </c>
      <c r="E4">
        <f t="shared" ref="E4:E10" si="0">SUM(B4:D4)</f>
        <v>1.0000140020034911</v>
      </c>
      <c r="G4" s="108">
        <v>1</v>
      </c>
      <c r="H4" s="107">
        <f>J20</f>
        <v>16.723750063091785</v>
      </c>
      <c r="I4" s="107">
        <f t="shared" ref="I4:L11" si="1">K20</f>
        <v>16.681415186240468</v>
      </c>
      <c r="J4" s="107">
        <f t="shared" si="1"/>
        <v>4.5979740119407184E-2</v>
      </c>
      <c r="K4" s="107">
        <f t="shared" si="1"/>
        <v>3.3235493412187225</v>
      </c>
      <c r="L4" s="107">
        <f t="shared" si="1"/>
        <v>138.9268069012877</v>
      </c>
      <c r="P4" s="11">
        <v>3</v>
      </c>
      <c r="R4" s="25">
        <v>0</v>
      </c>
      <c r="S4" s="26">
        <f>-$H$5</f>
        <v>-14.12107610703085</v>
      </c>
      <c r="T4" s="26">
        <f>$H$6+$I$6*$J$6</f>
        <v>13.398279520317118</v>
      </c>
      <c r="U4" s="26">
        <f>-$I$7*$J$7</f>
        <v>-2.424413190260721E-2</v>
      </c>
      <c r="V4" s="106">
        <v>0</v>
      </c>
      <c r="W4" s="106">
        <v>0</v>
      </c>
      <c r="X4" s="106">
        <v>0</v>
      </c>
      <c r="Y4" s="109">
        <v>0</v>
      </c>
      <c r="Z4" s="11">
        <v>0</v>
      </c>
      <c r="AC4" s="4">
        <v>7.1849406214095302E-2</v>
      </c>
      <c r="AD4" s="5">
        <v>7.5144660389151199E-2</v>
      </c>
      <c r="AE4" s="5">
        <v>7.5228211329253752E-2</v>
      </c>
      <c r="AF4" s="5">
        <v>1.3958970667740254E-4</v>
      </c>
      <c r="AG4" s="5">
        <v>1.4298989833333707E-7</v>
      </c>
      <c r="AH4" s="5">
        <v>1.1341886389359315E-10</v>
      </c>
      <c r="AI4" s="5">
        <v>8.1276178593520986E-14</v>
      </c>
      <c r="AJ4" s="6">
        <v>5.601856260285247E-17</v>
      </c>
    </row>
    <row r="5" spans="1:36" x14ac:dyDescent="0.25">
      <c r="B5" s="153">
        <v>0.96996698389028657</v>
      </c>
      <c r="C5" s="154">
        <v>2.9452252003519523E-2</v>
      </c>
      <c r="D5" s="157">
        <v>5.8952784697505786E-4</v>
      </c>
      <c r="E5">
        <f t="shared" si="0"/>
        <v>1.0000087637407811</v>
      </c>
      <c r="G5" s="108">
        <v>2</v>
      </c>
      <c r="H5" s="107">
        <f t="shared" ref="H5:H10" si="2">J21</f>
        <v>14.12107610703085</v>
      </c>
      <c r="I5" s="107">
        <f t="shared" si="1"/>
        <v>8.4051652493322582</v>
      </c>
      <c r="J5" s="107">
        <f t="shared" si="1"/>
        <v>4.2597485067352642E-2</v>
      </c>
      <c r="K5" s="107">
        <f t="shared" si="1"/>
        <v>5.1222127520633158</v>
      </c>
      <c r="L5" s="107">
        <f t="shared" si="1"/>
        <v>629.35016291127454</v>
      </c>
      <c r="P5" s="11">
        <v>4</v>
      </c>
      <c r="R5" s="25">
        <v>0</v>
      </c>
      <c r="S5" s="26">
        <v>0</v>
      </c>
      <c r="T5" s="26">
        <f>-$H$6</f>
        <v>-13.317507097339837</v>
      </c>
      <c r="U5" s="26">
        <f>$H$7+$I$7*$J$7</f>
        <v>13.079111891083533</v>
      </c>
      <c r="V5" s="26">
        <f>-$I$8*$J$8</f>
        <v>-1.3280463834538401E-2</v>
      </c>
      <c r="W5" s="106">
        <v>0</v>
      </c>
      <c r="X5" s="106">
        <v>0</v>
      </c>
      <c r="Y5" s="107">
        <v>0</v>
      </c>
      <c r="Z5" s="11">
        <v>0</v>
      </c>
      <c r="AC5" s="4">
        <v>7.3233896317605837E-2</v>
      </c>
      <c r="AD5" s="5">
        <v>7.6592647841273398E-2</v>
      </c>
      <c r="AE5" s="5">
        <v>7.6677808752227544E-2</v>
      </c>
      <c r="AF5" s="5">
        <v>7.6678325264294744E-2</v>
      </c>
      <c r="AG5" s="5">
        <v>7.8546091935351831E-5</v>
      </c>
      <c r="AH5" s="5">
        <v>6.2302362715313197E-8</v>
      </c>
      <c r="AI5" s="5">
        <v>4.4645994370026125E-11</v>
      </c>
      <c r="AJ5" s="6">
        <v>3.0771678416279248E-14</v>
      </c>
    </row>
    <row r="6" spans="1:36" x14ac:dyDescent="0.25">
      <c r="B6" s="153">
        <v>0.98865760028767879</v>
      </c>
      <c r="C6" s="154">
        <v>1.0843882824299562E-2</v>
      </c>
      <c r="D6" s="157">
        <v>5.0308049589939689E-4</v>
      </c>
      <c r="E6">
        <f t="shared" si="0"/>
        <v>1.0000045636078778</v>
      </c>
      <c r="G6" s="108">
        <v>3</v>
      </c>
      <c r="H6" s="107">
        <f>J22</f>
        <v>13.317507097339837</v>
      </c>
      <c r="I6" s="107">
        <f t="shared" si="1"/>
        <v>5.8024912932713217</v>
      </c>
      <c r="J6" s="107">
        <f t="shared" si="1"/>
        <v>1.3920300590704425E-2</v>
      </c>
      <c r="K6" s="107">
        <f t="shared" si="1"/>
        <v>6.6433345232337784</v>
      </c>
      <c r="L6" s="107">
        <f t="shared" si="1"/>
        <v>1341.5319135715263</v>
      </c>
      <c r="P6" s="11">
        <v>5</v>
      </c>
      <c r="R6" s="25">
        <v>0</v>
      </c>
      <c r="S6" s="26">
        <v>0</v>
      </c>
      <c r="T6" s="106">
        <v>0</v>
      </c>
      <c r="U6" s="26">
        <f>-$H$7</f>
        <v>-13.054867759180926</v>
      </c>
      <c r="V6" s="26">
        <f>$H$8+$I$8*$J$8</f>
        <v>12.974945574190311</v>
      </c>
      <c r="W6" s="26">
        <f>-$I$9*$J$9</f>
        <v>-1.0254767411484135E-2</v>
      </c>
      <c r="X6" s="106">
        <v>0</v>
      </c>
      <c r="Y6" s="107">
        <v>0</v>
      </c>
      <c r="Z6" s="110">
        <v>0</v>
      </c>
      <c r="AC6" s="4">
        <v>7.3743430524094725E-2</v>
      </c>
      <c r="AD6" s="5">
        <v>7.7125550991358885E-2</v>
      </c>
      <c r="AE6" s="5">
        <v>7.7211304420250357E-2</v>
      </c>
      <c r="AF6" s="5">
        <v>7.7211824526016354E-2</v>
      </c>
      <c r="AG6" s="5">
        <v>7.7211825491902281E-2</v>
      </c>
      <c r="AH6" s="5">
        <v>6.1244029323155583E-5</v>
      </c>
      <c r="AI6" s="5">
        <v>4.3887590601556113E-8</v>
      </c>
      <c r="AJ6" s="6">
        <v>3.0248958355894134E-11</v>
      </c>
    </row>
    <row r="7" spans="1:36" x14ac:dyDescent="0.25">
      <c r="B7" s="153">
        <v>0.99553631207527882</v>
      </c>
      <c r="C7" s="154">
        <v>3.9929701678683314E-3</v>
      </c>
      <c r="D7" s="157">
        <v>4.7289430905366744E-4</v>
      </c>
      <c r="E7">
        <f t="shared" si="0"/>
        <v>1.0000021765522009</v>
      </c>
      <c r="G7" s="108">
        <v>4</v>
      </c>
      <c r="H7" s="107">
        <f t="shared" si="2"/>
        <v>13.054867759180926</v>
      </c>
      <c r="I7" s="107">
        <f t="shared" si="1"/>
        <v>4.9989222835803062</v>
      </c>
      <c r="J7" s="107">
        <f t="shared" si="1"/>
        <v>4.8498717378024896E-3</v>
      </c>
      <c r="K7" s="107">
        <f t="shared" si="1"/>
        <v>7.2038483285873713</v>
      </c>
      <c r="L7" s="107">
        <f t="shared" si="1"/>
        <v>1822.9895667287155</v>
      </c>
      <c r="P7" s="11">
        <v>6</v>
      </c>
      <c r="R7" s="25">
        <v>0</v>
      </c>
      <c r="S7" s="26">
        <v>0</v>
      </c>
      <c r="T7" s="26">
        <v>0</v>
      </c>
      <c r="U7" s="106">
        <v>0</v>
      </c>
      <c r="V7" s="26">
        <f>-$H$8</f>
        <v>-12.961665110355773</v>
      </c>
      <c r="W7" s="26">
        <f>$H$9+$I$9*$J$9</f>
        <v>12.937696537348886</v>
      </c>
      <c r="X7" s="26">
        <f>-$I$10*$J$10</f>
        <v>-9.254960448336005E-3</v>
      </c>
      <c r="Y7" s="107">
        <v>0</v>
      </c>
      <c r="Z7" s="110">
        <v>0</v>
      </c>
      <c r="AC7" s="4">
        <v>7.3932987251707591E-2</v>
      </c>
      <c r="AD7" s="5">
        <v>7.7323801424751509E-2</v>
      </c>
      <c r="AE7" s="5">
        <v>7.7409775281947549E-2</v>
      </c>
      <c r="AF7" s="5">
        <v>7.7410296724640046E-2</v>
      </c>
      <c r="AG7" s="5">
        <v>7.7410297693008764E-2</v>
      </c>
      <c r="AH7" s="5">
        <v>7.7410297694000943E-2</v>
      </c>
      <c r="AI7" s="5">
        <v>5.5472369977695141E-5</v>
      </c>
      <c r="AJ7" s="6">
        <v>3.8233618805643808E-8</v>
      </c>
    </row>
    <row r="8" spans="1:36" x14ac:dyDescent="0.25">
      <c r="B8" s="153">
        <v>0.99809532789805244</v>
      </c>
      <c r="C8" s="154">
        <v>1.4437596964845863E-3</v>
      </c>
      <c r="D8" s="157">
        <v>4.6187387089104723E-4</v>
      </c>
      <c r="E8">
        <f t="shared" si="0"/>
        <v>1.0000009614654282</v>
      </c>
      <c r="G8" s="108">
        <v>5</v>
      </c>
      <c r="H8" s="107">
        <f t="shared" si="2"/>
        <v>12.961665110355773</v>
      </c>
      <c r="I8" s="107">
        <f t="shared" si="1"/>
        <v>4.7362829454213955</v>
      </c>
      <c r="J8" s="107">
        <f t="shared" si="1"/>
        <v>2.8039844721221177E-3</v>
      </c>
      <c r="K8" s="107">
        <f t="shared" si="1"/>
        <v>7.3942648670431907</v>
      </c>
      <c r="L8" s="107">
        <f t="shared" si="1"/>
        <v>2046.3255613996155</v>
      </c>
      <c r="P8" s="11">
        <v>7</v>
      </c>
      <c r="R8" s="25">
        <v>0</v>
      </c>
      <c r="S8" s="26">
        <v>0</v>
      </c>
      <c r="T8" s="26">
        <v>0</v>
      </c>
      <c r="U8" s="106">
        <v>0</v>
      </c>
      <c r="V8" s="106">
        <v>0</v>
      </c>
      <c r="W8" s="26">
        <f>-$H$9</f>
        <v>-12.927441769937403</v>
      </c>
      <c r="X8" s="26">
        <f>$H$10+$I$10*$J$10</f>
        <v>12.923965928917685</v>
      </c>
      <c r="Y8" s="107">
        <f>-$I$11*$J$11</f>
        <v>-8.8981084129410998E-3</v>
      </c>
      <c r="Z8" s="110">
        <v>0</v>
      </c>
      <c r="AC8" s="4">
        <v>7.4003840858805875E-2</v>
      </c>
      <c r="AD8" s="5">
        <v>7.7397904615345486E-2</v>
      </c>
      <c r="AE8" s="5">
        <v>7.7483960865504714E-2</v>
      </c>
      <c r="AF8" s="5">
        <v>7.7484482807921334E-2</v>
      </c>
      <c r="AG8" s="5">
        <v>7.7484483777218074E-2</v>
      </c>
      <c r="AH8" s="5">
        <v>7.7484483778211224E-2</v>
      </c>
      <c r="AI8" s="5">
        <v>7.7484483778212015E-2</v>
      </c>
      <c r="AJ8" s="6">
        <v>5.3405185632404828E-5</v>
      </c>
    </row>
    <row r="9" spans="1:36" ht="15.75" thickBot="1" x14ac:dyDescent="0.3">
      <c r="B9" s="153">
        <v>0.99905185159387933</v>
      </c>
      <c r="C9" s="154">
        <v>4.9074677382099363E-4</v>
      </c>
      <c r="D9" s="157">
        <v>4.5778342425655254E-4</v>
      </c>
      <c r="E9">
        <f t="shared" si="0"/>
        <v>1.0000003817919569</v>
      </c>
      <c r="G9" s="108">
        <v>6</v>
      </c>
      <c r="H9" s="107">
        <f t="shared" si="2"/>
        <v>12.927441769937403</v>
      </c>
      <c r="I9" s="107">
        <f t="shared" si="1"/>
        <v>4.6430802965962421</v>
      </c>
      <c r="J9" s="107">
        <f t="shared" si="1"/>
        <v>2.2086129802669401E-3</v>
      </c>
      <c r="K9" s="107">
        <f t="shared" si="1"/>
        <v>7.4631569058575904</v>
      </c>
      <c r="L9" s="107">
        <f t="shared" si="1"/>
        <v>2137.0040640282514</v>
      </c>
      <c r="P9" s="12">
        <v>8</v>
      </c>
      <c r="R9" s="83">
        <v>0</v>
      </c>
      <c r="S9" s="27">
        <v>0</v>
      </c>
      <c r="T9" s="27">
        <v>0</v>
      </c>
      <c r="U9" s="27">
        <v>0</v>
      </c>
      <c r="V9" s="27">
        <v>0</v>
      </c>
      <c r="W9" s="27">
        <v>0</v>
      </c>
      <c r="X9" s="27">
        <f>-$H$10</f>
        <v>-12.914710968469349</v>
      </c>
      <c r="Y9" s="111">
        <f>$H$11+$I$11*$J$11</f>
        <v>12.910082210461551</v>
      </c>
      <c r="Z9" s="12">
        <f>$I$16*$J$16</f>
        <v>0</v>
      </c>
      <c r="AC9" s="7">
        <v>7.4030374064822602E-2</v>
      </c>
      <c r="AD9" s="8">
        <v>7.7425654722969486E-2</v>
      </c>
      <c r="AE9" s="8">
        <v>7.7511741827584218E-2</v>
      </c>
      <c r="AF9" s="8">
        <v>7.7512263957137131E-2</v>
      </c>
      <c r="AG9" s="8">
        <v>7.7512264926781413E-2</v>
      </c>
      <c r="AH9" s="8">
        <v>7.751226492777491E-2</v>
      </c>
      <c r="AI9" s="8">
        <v>7.7512264927775701E-2</v>
      </c>
      <c r="AJ9" s="9">
        <v>7.7512264927775701E-2</v>
      </c>
    </row>
    <row r="10" spans="1:36" ht="15.75" thickBot="1" x14ac:dyDescent="0.3">
      <c r="B10" s="155">
        <v>0.99941004987510507</v>
      </c>
      <c r="C10" s="156">
        <v>1.3381159386912774E-4</v>
      </c>
      <c r="D10" s="158">
        <v>4.5625566781696376E-4</v>
      </c>
      <c r="E10">
        <f t="shared" si="0"/>
        <v>1.0000001171367912</v>
      </c>
      <c r="G10" s="108">
        <v>7</v>
      </c>
      <c r="H10" s="107">
        <f t="shared" si="2"/>
        <v>12.914710968469349</v>
      </c>
      <c r="I10" s="107">
        <f t="shared" si="1"/>
        <v>4.6088569561778723</v>
      </c>
      <c r="J10" s="107">
        <f t="shared" si="1"/>
        <v>2.0080815126905455E-3</v>
      </c>
      <c r="K10" s="107">
        <f t="shared" si="1"/>
        <v>7.4886942146280422</v>
      </c>
      <c r="L10" s="107">
        <f t="shared" si="1"/>
        <v>2172.0339491779641</v>
      </c>
      <c r="R10" s="25"/>
      <c r="S10" s="5"/>
      <c r="T10" s="5"/>
      <c r="U10" s="5"/>
    </row>
    <row r="11" spans="1:36" ht="15.75" thickBot="1" x14ac:dyDescent="0.3">
      <c r="G11" s="108">
        <v>8</v>
      </c>
      <c r="H11" s="107">
        <f>J27</f>
        <v>12.90118410204861</v>
      </c>
      <c r="I11" s="107">
        <f t="shared" si="1"/>
        <v>4.5961261547098182</v>
      </c>
      <c r="J11" s="107">
        <f t="shared" si="1"/>
        <v>1.9360017791989637E-3</v>
      </c>
      <c r="K11" s="107">
        <f t="shared" si="1"/>
        <v>7.4982317295732983</v>
      </c>
      <c r="L11" s="107">
        <f t="shared" si="1"/>
        <v>2185.3153930109097</v>
      </c>
      <c r="R11" s="29">
        <v>1</v>
      </c>
      <c r="S11" s="30">
        <v>2</v>
      </c>
      <c r="T11" s="30">
        <v>3</v>
      </c>
      <c r="U11" s="30">
        <v>4</v>
      </c>
      <c r="V11" s="30">
        <v>5</v>
      </c>
      <c r="W11" s="30">
        <v>6</v>
      </c>
      <c r="X11" s="30">
        <v>7</v>
      </c>
      <c r="Y11" s="31">
        <v>8</v>
      </c>
      <c r="Z11" s="18" t="s">
        <v>30</v>
      </c>
      <c r="AB11" s="98" t="s">
        <v>27</v>
      </c>
    </row>
    <row r="12" spans="1:36" ht="15.75" thickBot="1" x14ac:dyDescent="0.3">
      <c r="I12" s="112">
        <f>I16</f>
        <v>4.5825992882890789</v>
      </c>
      <c r="P12" s="10">
        <v>1</v>
      </c>
      <c r="Q12" s="17" t="s">
        <v>35</v>
      </c>
      <c r="R12" s="99">
        <f>$H$4+$I$4*$K$4</f>
        <v>72.165256515917292</v>
      </c>
      <c r="S12" s="100">
        <f>-$I$5*$K$5</f>
        <v>-43.053044623329136</v>
      </c>
      <c r="T12" s="100">
        <v>0</v>
      </c>
      <c r="U12" s="100">
        <v>0</v>
      </c>
      <c r="V12" s="101">
        <v>0</v>
      </c>
      <c r="W12" s="101">
        <v>0</v>
      </c>
      <c r="X12" s="101">
        <v>0</v>
      </c>
      <c r="Y12" s="102">
        <v>0</v>
      </c>
      <c r="Z12" s="10">
        <f>$I$15*$K$15</f>
        <v>11.5</v>
      </c>
      <c r="AC12" s="1">
        <f t="array" ref="AC12:AJ19">MINVERSE(R12:Y19)</f>
        <v>1.8034320286225401E-2</v>
      </c>
      <c r="AD12" s="2">
        <v>1.8025344100959167E-2</v>
      </c>
      <c r="AE12" s="2">
        <v>1.7997977057407716E-2</v>
      </c>
      <c r="AF12" s="2">
        <v>1.7918762396833765E-2</v>
      </c>
      <c r="AG12" s="2">
        <v>1.7700251029718308E-2</v>
      </c>
      <c r="AH12" s="2">
        <v>1.7109851666758859E-2</v>
      </c>
      <c r="AI12" s="2">
        <v>1.5527284844626133E-2</v>
      </c>
      <c r="AJ12" s="3">
        <v>1.1297904990560256E-2</v>
      </c>
    </row>
    <row r="13" spans="1:36" ht="15.75" thickBot="1" x14ac:dyDescent="0.3">
      <c r="P13" s="11">
        <v>2</v>
      </c>
      <c r="R13" s="25">
        <f>-$H$4</f>
        <v>-16.723750063091785</v>
      </c>
      <c r="S13" s="26">
        <f>$H$5+$I$5*$K$5</f>
        <v>57.174120730359988</v>
      </c>
      <c r="T13" s="26">
        <f>-$I$6*$K$6</f>
        <v>-38.547890729352787</v>
      </c>
      <c r="U13" s="26">
        <v>0</v>
      </c>
      <c r="V13" s="106">
        <v>0</v>
      </c>
      <c r="W13" s="106">
        <v>0</v>
      </c>
      <c r="X13" s="106">
        <v>0</v>
      </c>
      <c r="Y13" s="107">
        <v>0</v>
      </c>
      <c r="Z13" s="11">
        <v>0</v>
      </c>
      <c r="AC13" s="4">
        <v>7.001859036522581E-3</v>
      </c>
      <c r="AD13" s="5">
        <v>3.0213974231418906E-2</v>
      </c>
      <c r="AE13" s="5">
        <v>3.0168101756307061E-2</v>
      </c>
      <c r="AF13" s="5">
        <v>3.0035322614897799E-2</v>
      </c>
      <c r="AG13" s="5">
        <v>2.9669055165115952E-2</v>
      </c>
      <c r="AH13" s="5">
        <v>2.8679431275619512E-2</v>
      </c>
      <c r="AI13" s="5">
        <v>2.6026742210955706E-2</v>
      </c>
      <c r="AJ13" s="6">
        <v>1.8937480934726924E-2</v>
      </c>
    </row>
    <row r="14" spans="1:36" ht="15.75" thickBot="1" x14ac:dyDescent="0.3">
      <c r="A14" s="5"/>
      <c r="B14" t="s">
        <v>94</v>
      </c>
      <c r="C14" t="s">
        <v>95</v>
      </c>
      <c r="D14" t="s">
        <v>112</v>
      </c>
      <c r="E14" t="s">
        <v>97</v>
      </c>
      <c r="F14" t="s">
        <v>113</v>
      </c>
      <c r="H14" s="13"/>
      <c r="I14" s="16" t="s">
        <v>110</v>
      </c>
      <c r="J14" s="17" t="s">
        <v>28</v>
      </c>
      <c r="K14" s="17" t="s">
        <v>31</v>
      </c>
      <c r="L14" s="18" t="s">
        <v>34</v>
      </c>
      <c r="N14" s="54"/>
      <c r="P14" s="11">
        <v>3</v>
      </c>
      <c r="R14" s="25">
        <v>0</v>
      </c>
      <c r="S14" s="26">
        <f>-$H$5</f>
        <v>-14.12107610703085</v>
      </c>
      <c r="T14" s="26">
        <f>$H$6+$I$6*$K$6</f>
        <v>51.865397826692622</v>
      </c>
      <c r="U14" s="26">
        <f>-$I$7*$K$7</f>
        <v>-36.011477937308157</v>
      </c>
      <c r="V14" s="106">
        <v>0</v>
      </c>
      <c r="W14" s="106">
        <v>0</v>
      </c>
      <c r="X14" s="106">
        <v>0</v>
      </c>
      <c r="Y14" s="109">
        <v>0</v>
      </c>
      <c r="Z14" s="11">
        <v>0</v>
      </c>
      <c r="AC14" s="4">
        <v>2.5610653916103934E-3</v>
      </c>
      <c r="AD14" s="5">
        <v>1.1051345556011843E-2</v>
      </c>
      <c r="AE14" s="5">
        <v>3.6936937278058024E-2</v>
      </c>
      <c r="AF14" s="5">
        <v>3.6774366399131474E-2</v>
      </c>
      <c r="AG14" s="5">
        <v>3.6325919296663123E-2</v>
      </c>
      <c r="AH14" s="5">
        <v>3.5114252887206127E-2</v>
      </c>
      <c r="AI14" s="5">
        <v>3.1866378347695443E-2</v>
      </c>
      <c r="AJ14" s="6">
        <v>2.3186495164356485E-2</v>
      </c>
    </row>
    <row r="15" spans="1:36" x14ac:dyDescent="0.25">
      <c r="A15" s="5"/>
      <c r="B15">
        <f>I16</f>
        <v>4.5825992882890789</v>
      </c>
      <c r="C15">
        <f>I16/I15</f>
        <v>0.18330397153156316</v>
      </c>
      <c r="D15">
        <f>K20*F20/I15/J15</f>
        <v>4.4920515046198956E-2</v>
      </c>
      <c r="E15">
        <v>0.99980000000000002</v>
      </c>
      <c r="F15">
        <f>J27*D27/K28/L16</f>
        <v>1.2844760786371162E-3</v>
      </c>
      <c r="H15" s="14" t="s">
        <v>0</v>
      </c>
      <c r="I15" s="1">
        <v>25</v>
      </c>
      <c r="J15" s="2">
        <v>0.54</v>
      </c>
      <c r="K15" s="2">
        <v>0.46</v>
      </c>
      <c r="L15" s="3">
        <v>0</v>
      </c>
      <c r="N15" s="113"/>
      <c r="P15" s="11">
        <v>4</v>
      </c>
      <c r="R15" s="25">
        <v>0</v>
      </c>
      <c r="S15" s="26">
        <v>0</v>
      </c>
      <c r="T15" s="26">
        <f>-$H$6</f>
        <v>-13.317507097339837</v>
      </c>
      <c r="U15" s="26">
        <f>$H$7+$I$7*$K$7</f>
        <v>49.06634569648908</v>
      </c>
      <c r="V15" s="26">
        <f>-$I$8*$K$8</f>
        <v>-35.021330583705264</v>
      </c>
      <c r="W15" s="106">
        <v>0</v>
      </c>
      <c r="X15" s="106">
        <v>0</v>
      </c>
      <c r="Y15" s="107">
        <v>0</v>
      </c>
      <c r="Z15" s="11">
        <v>0</v>
      </c>
      <c r="AC15" s="4">
        <v>9.4294633254778798E-4</v>
      </c>
      <c r="AD15" s="5">
        <v>4.0689416974265804E-3</v>
      </c>
      <c r="AE15" s="5">
        <v>1.3599633049584779E-2</v>
      </c>
      <c r="AF15" s="5">
        <v>4.1186481408882231E-2</v>
      </c>
      <c r="AG15" s="5">
        <v>4.0684230519003786E-2</v>
      </c>
      <c r="AH15" s="5">
        <v>3.932719079450573E-2</v>
      </c>
      <c r="AI15" s="5">
        <v>3.568964275661219E-2</v>
      </c>
      <c r="AJ15" s="6">
        <v>2.5968364530312076E-2</v>
      </c>
    </row>
    <row r="16" spans="1:36" ht="15.75" thickBot="1" x14ac:dyDescent="0.3">
      <c r="A16" s="5"/>
      <c r="B16" s="5"/>
      <c r="C16" s="5"/>
      <c r="D16" s="5"/>
      <c r="E16" s="5"/>
      <c r="H16" s="15" t="s">
        <v>17</v>
      </c>
      <c r="I16" s="53">
        <f>(K20*(F20-B27)+I15*(B27-J15))/(J16-B27)</f>
        <v>4.5825992882890789</v>
      </c>
      <c r="J16" s="8">
        <v>0</v>
      </c>
      <c r="K16" s="8">
        <v>0</v>
      </c>
      <c r="L16" s="9">
        <v>1</v>
      </c>
      <c r="N16" s="42"/>
      <c r="P16" s="11">
        <v>5</v>
      </c>
      <c r="R16" s="25">
        <v>0</v>
      </c>
      <c r="S16" s="26">
        <v>0</v>
      </c>
      <c r="T16" s="106">
        <v>0</v>
      </c>
      <c r="U16" s="26">
        <f>-$H$7</f>
        <v>-13.054867759180926</v>
      </c>
      <c r="V16" s="26">
        <f>$H$8+$I$8*$K$8</f>
        <v>47.982995694061039</v>
      </c>
      <c r="W16" s="26">
        <f>-$I$9*$K$9</f>
        <v>-34.652036779993551</v>
      </c>
      <c r="X16" s="106">
        <v>0</v>
      </c>
      <c r="Y16" s="107">
        <v>0</v>
      </c>
      <c r="Z16" s="110">
        <v>0</v>
      </c>
      <c r="AC16" s="4">
        <v>3.4721479720594187E-4</v>
      </c>
      <c r="AD16" s="5">
        <v>1.4982790828588024E-3</v>
      </c>
      <c r="AE16" s="5">
        <v>5.0077015715499331E-3</v>
      </c>
      <c r="AF16" s="5">
        <v>1.5165821528116071E-2</v>
      </c>
      <c r="AG16" s="5">
        <v>4.3186703811136797E-2</v>
      </c>
      <c r="AH16" s="5">
        <v>4.1746193031057789E-2</v>
      </c>
      <c r="AI16" s="5">
        <v>3.7884900640682825E-2</v>
      </c>
      <c r="AJ16" s="6">
        <v>2.7565669870697591E-2</v>
      </c>
    </row>
    <row r="17" spans="1:36" ht="15.75" thickBot="1" x14ac:dyDescent="0.3">
      <c r="A17" s="5"/>
      <c r="B17" s="5"/>
      <c r="C17" s="5"/>
      <c r="D17" s="5"/>
      <c r="E17" s="5"/>
      <c r="N17" s="42"/>
      <c r="P17" s="11">
        <v>6</v>
      </c>
      <c r="R17" s="25">
        <v>0</v>
      </c>
      <c r="S17" s="26">
        <v>0</v>
      </c>
      <c r="T17" s="26">
        <v>0</v>
      </c>
      <c r="U17" s="106">
        <v>0</v>
      </c>
      <c r="V17" s="26">
        <f>-$H$8</f>
        <v>-12.961665110355773</v>
      </c>
      <c r="W17" s="26">
        <f>$H$9+$I$9*$K$9</f>
        <v>47.579478549930954</v>
      </c>
      <c r="X17" s="26">
        <f>-$I$10*$K$10</f>
        <v>-34.514320423777441</v>
      </c>
      <c r="Y17" s="107">
        <v>0</v>
      </c>
      <c r="Z17" s="110">
        <v>0</v>
      </c>
      <c r="AC17" s="4">
        <v>1.2554432143344228E-4</v>
      </c>
      <c r="AD17" s="5">
        <v>5.417408252444422E-4</v>
      </c>
      <c r="AE17" s="5">
        <v>1.8106615870075598E-3</v>
      </c>
      <c r="AF17" s="5">
        <v>5.4835876467520545E-3</v>
      </c>
      <c r="AG17" s="5">
        <v>1.5615248740969962E-2</v>
      </c>
      <c r="AH17" s="5">
        <v>4.2990146142013137E-2</v>
      </c>
      <c r="AI17" s="5">
        <v>3.9013794956271095E-2</v>
      </c>
      <c r="AJ17" s="6">
        <v>2.8387071735191234E-2</v>
      </c>
    </row>
    <row r="18" spans="1:36" ht="15.75" thickBot="1" x14ac:dyDescent="0.3">
      <c r="A18" s="5"/>
      <c r="B18" s="5"/>
      <c r="C18" s="5"/>
      <c r="D18" s="5"/>
      <c r="E18" s="5"/>
      <c r="J18" s="16" t="s">
        <v>114</v>
      </c>
      <c r="K18" s="18" t="s">
        <v>115</v>
      </c>
      <c r="P18" s="11">
        <v>7</v>
      </c>
      <c r="R18" s="25">
        <v>0</v>
      </c>
      <c r="S18" s="26">
        <v>0</v>
      </c>
      <c r="T18" s="26">
        <v>0</v>
      </c>
      <c r="U18" s="106">
        <v>0</v>
      </c>
      <c r="V18" s="106">
        <v>0</v>
      </c>
      <c r="W18" s="26">
        <f>-$H$9</f>
        <v>-12.927441769937403</v>
      </c>
      <c r="X18" s="26">
        <f>$H$10+$I$10*$K$10</f>
        <v>47.429031392246792</v>
      </c>
      <c r="Y18" s="107">
        <f>-$I$11*$K$11</f>
        <v>-34.462818966366875</v>
      </c>
      <c r="Z18" s="110">
        <v>0</v>
      </c>
      <c r="AC18" s="4">
        <v>4.2673632506173355E-5</v>
      </c>
      <c r="AD18" s="5">
        <v>1.8414252931645751E-4</v>
      </c>
      <c r="AE18" s="5">
        <v>6.1545999273227871E-4</v>
      </c>
      <c r="AF18" s="5">
        <v>1.8639202584479096E-3</v>
      </c>
      <c r="AG18" s="5">
        <v>5.3077620608902726E-3</v>
      </c>
      <c r="AH18" s="5">
        <v>1.4612733390920793E-2</v>
      </c>
      <c r="AI18" s="5">
        <v>3.9554729998078166E-2</v>
      </c>
      <c r="AJ18" s="6">
        <v>2.8780664869442012E-2</v>
      </c>
    </row>
    <row r="19" spans="1:36" ht="15.75" thickBot="1" x14ac:dyDescent="0.3">
      <c r="A19" s="19" t="s">
        <v>101</v>
      </c>
      <c r="B19" s="48" t="s">
        <v>102</v>
      </c>
      <c r="C19" s="49" t="s">
        <v>103</v>
      </c>
      <c r="D19" s="49" t="s">
        <v>104</v>
      </c>
      <c r="E19" s="114" t="s">
        <v>37</v>
      </c>
      <c r="F19" s="49" t="s">
        <v>105</v>
      </c>
      <c r="G19" s="49" t="s">
        <v>106</v>
      </c>
      <c r="H19" s="49" t="s">
        <v>107</v>
      </c>
      <c r="I19" s="115" t="s">
        <v>108</v>
      </c>
      <c r="J19" s="48">
        <f>I15</f>
        <v>25</v>
      </c>
      <c r="K19" s="3"/>
      <c r="L19" s="17" t="s">
        <v>22</v>
      </c>
      <c r="M19" s="17" t="s">
        <v>23</v>
      </c>
      <c r="N19" s="18" t="s">
        <v>24</v>
      </c>
      <c r="P19" s="12">
        <v>8</v>
      </c>
      <c r="R19" s="83">
        <v>0</v>
      </c>
      <c r="S19" s="27">
        <v>0</v>
      </c>
      <c r="T19" s="27">
        <v>0</v>
      </c>
      <c r="U19" s="27">
        <v>0</v>
      </c>
      <c r="V19" s="27">
        <v>0</v>
      </c>
      <c r="W19" s="27">
        <v>0</v>
      </c>
      <c r="X19" s="27">
        <f>-$H$10</f>
        <v>-12.914710968469349</v>
      </c>
      <c r="Y19" s="111">
        <f>$H$11+$I$11*$K$11</f>
        <v>47.364003068415485</v>
      </c>
      <c r="Z19" s="12">
        <f>$I$16*$K$16</f>
        <v>0</v>
      </c>
      <c r="AC19" s="7">
        <v>1.1635790771228498E-5</v>
      </c>
      <c r="AD19" s="8">
        <v>5.0210020037575781E-5</v>
      </c>
      <c r="AE19" s="8">
        <v>1.6781706367412273E-4</v>
      </c>
      <c r="AF19" s="8">
        <v>5.0823388748113987E-4</v>
      </c>
      <c r="AG19" s="8">
        <v>1.447263923338359E-3</v>
      </c>
      <c r="AH19" s="8">
        <v>3.9844442187550195E-3</v>
      </c>
      <c r="AI19" s="8">
        <v>1.0785361714953399E-2</v>
      </c>
      <c r="AJ19" s="9">
        <v>2.8960684895824026E-2</v>
      </c>
    </row>
    <row r="20" spans="1:36" ht="15.75" thickBot="1" x14ac:dyDescent="0.3">
      <c r="A20" s="45">
        <v>1</v>
      </c>
      <c r="B20" s="151">
        <f>I41</f>
        <v>0.79064056301730157</v>
      </c>
      <c r="C20" s="152">
        <f t="shared" ref="C20:H27" si="3">J41</f>
        <v>0.20738433595384451</v>
      </c>
      <c r="D20" s="152">
        <f t="shared" si="3"/>
        <v>1.975101028853901E-3</v>
      </c>
      <c r="E20" s="165">
        <f>SUM(B20:D20)</f>
        <v>1</v>
      </c>
      <c r="F20" s="159">
        <f t="shared" si="3"/>
        <v>3.6353447615397307E-2</v>
      </c>
      <c r="G20" s="159">
        <f t="shared" si="3"/>
        <v>0.68925207313848214</v>
      </c>
      <c r="H20" s="160">
        <f t="shared" si="3"/>
        <v>0.27439447924612059</v>
      </c>
      <c r="I20" s="116">
        <v>1</v>
      </c>
      <c r="J20" s="25">
        <f>(K22*(F21-F22)+J21*(B21-F21))/(B20-F21)</f>
        <v>16.723750063091785</v>
      </c>
      <c r="K20" s="107">
        <f>E15*I15*K15/G20</f>
        <v>16.681415186240468</v>
      </c>
      <c r="L20" s="1">
        <f>F20/B20</f>
        <v>4.5979740119407184E-2</v>
      </c>
      <c r="M20" s="1">
        <f t="shared" ref="M20:N22" si="4">G20/C20</f>
        <v>3.3235493412187225</v>
      </c>
      <c r="N20" s="10">
        <f t="shared" si="4"/>
        <v>138.9268069012877</v>
      </c>
    </row>
    <row r="21" spans="1:36" ht="15.75" thickBot="1" x14ac:dyDescent="0.3">
      <c r="A21" s="46">
        <v>2</v>
      </c>
      <c r="B21" s="153">
        <f t="shared" ref="B21:B27" si="5">I42</f>
        <v>0.9186211824121826</v>
      </c>
      <c r="C21" s="154">
        <f t="shared" si="3"/>
        <v>8.0507293923161388E-2</v>
      </c>
      <c r="D21" s="154">
        <f t="shared" si="3"/>
        <v>8.715236646560506E-4</v>
      </c>
      <c r="E21" s="166">
        <f t="shared" ref="E21:E27" si="6">SUM(B21:D21)</f>
        <v>1</v>
      </c>
      <c r="F21" s="161">
        <f t="shared" si="3"/>
        <v>3.9130952100356775E-2</v>
      </c>
      <c r="G21" s="161">
        <f t="shared" si="3"/>
        <v>0.41237548756732678</v>
      </c>
      <c r="H21" s="162">
        <f t="shared" si="3"/>
        <v>0.54849356033231644</v>
      </c>
      <c r="I21" s="118">
        <v>1</v>
      </c>
      <c r="J21" s="25">
        <f t="shared" ref="J21" si="7">(K23*(F22-F23)+J22*(B22-F22))/(B21-F22)</f>
        <v>14.12107610703085</v>
      </c>
      <c r="K21" s="107">
        <f>K22+J20-J21</f>
        <v>8.4051652493322582</v>
      </c>
      <c r="L21" s="1">
        <f t="shared" ref="L21:L22" si="8">F21/B21</f>
        <v>4.2597485067352642E-2</v>
      </c>
      <c r="M21" s="1">
        <f t="shared" si="4"/>
        <v>5.1222127520633158</v>
      </c>
      <c r="N21" s="10">
        <f t="shared" si="4"/>
        <v>629.35016291127454</v>
      </c>
      <c r="R21" s="29">
        <v>1</v>
      </c>
      <c r="S21" s="30">
        <v>2</v>
      </c>
      <c r="T21" s="30">
        <v>3</v>
      </c>
      <c r="U21" s="30">
        <v>4</v>
      </c>
      <c r="V21" s="30">
        <v>5</v>
      </c>
      <c r="W21" s="30">
        <v>6</v>
      </c>
      <c r="X21" s="30">
        <v>7</v>
      </c>
      <c r="Y21" s="31">
        <v>8</v>
      </c>
      <c r="Z21" s="18" t="s">
        <v>33</v>
      </c>
      <c r="AB21" s="98" t="s">
        <v>27</v>
      </c>
    </row>
    <row r="22" spans="1:36" ht="15.75" thickBot="1" x14ac:dyDescent="0.3">
      <c r="A22" s="46">
        <v>3</v>
      </c>
      <c r="B22" s="153">
        <f t="shared" si="5"/>
        <v>0.96996698389028646</v>
      </c>
      <c r="C22" s="154">
        <f t="shared" si="3"/>
        <v>2.9443469980085409E-2</v>
      </c>
      <c r="D22" s="154">
        <f t="shared" si="3"/>
        <v>5.8954612962811297E-4</v>
      </c>
      <c r="E22" s="166">
        <f t="shared" si="6"/>
        <v>1</v>
      </c>
      <c r="F22" s="161">
        <f t="shared" si="3"/>
        <v>1.3502231978811743E-2</v>
      </c>
      <c r="G22" s="161">
        <f t="shared" si="3"/>
        <v>0.19560282060249876</v>
      </c>
      <c r="H22" s="162">
        <f t="shared" si="3"/>
        <v>0.79089494741868949</v>
      </c>
      <c r="I22" s="118">
        <v>1</v>
      </c>
      <c r="J22" s="25">
        <f>(K24*(F23-F24)+J23*(B23-F23))/(B22-F23)</f>
        <v>13.317507097339837</v>
      </c>
      <c r="K22" s="107">
        <f t="shared" ref="K22" si="9">K23+J21-J22</f>
        <v>5.8024912932713217</v>
      </c>
      <c r="L22" s="1">
        <f t="shared" si="8"/>
        <v>1.3920300590704425E-2</v>
      </c>
      <c r="M22" s="1">
        <f t="shared" si="4"/>
        <v>6.6433345232337784</v>
      </c>
      <c r="N22" s="10">
        <f t="shared" si="4"/>
        <v>1341.5319135715263</v>
      </c>
      <c r="P22" s="10">
        <v>1</v>
      </c>
      <c r="Q22" s="17" t="s">
        <v>35</v>
      </c>
      <c r="R22" s="99">
        <f>$H$4+$I$4*$L$4</f>
        <v>2334.2194964821297</v>
      </c>
      <c r="S22" s="100">
        <f>-$I$5*$L$5</f>
        <v>-5289.7921189634399</v>
      </c>
      <c r="T22" s="100">
        <v>0</v>
      </c>
      <c r="U22" s="100">
        <v>0</v>
      </c>
      <c r="V22" s="101">
        <v>0</v>
      </c>
      <c r="W22" s="101">
        <v>0</v>
      </c>
      <c r="X22" s="101">
        <v>0</v>
      </c>
      <c r="Y22" s="102">
        <v>0</v>
      </c>
      <c r="Z22" s="10">
        <f>$I$15*$L$15</f>
        <v>0</v>
      </c>
      <c r="AC22" s="1">
        <f t="array" ref="AC22:AJ29">MINVERSE(R22:Y29)</f>
        <v>4.3150025260895781E-4</v>
      </c>
      <c r="AD22" s="2">
        <v>4.3150025260895781E-4</v>
      </c>
      <c r="AE22" s="2">
        <v>4.3150025260895781E-4</v>
      </c>
      <c r="AF22" s="2">
        <v>4.3150025260895608E-4</v>
      </c>
      <c r="AG22" s="2">
        <v>4.3150025260771174E-4</v>
      </c>
      <c r="AH22" s="2">
        <v>4.315002516773063E-4</v>
      </c>
      <c r="AI22" s="2">
        <v>4.3149953755727578E-4</v>
      </c>
      <c r="AJ22" s="3">
        <v>4.3094600093147742E-4</v>
      </c>
    </row>
    <row r="23" spans="1:36" ht="15.75" thickBot="1" x14ac:dyDescent="0.3">
      <c r="A23" s="46">
        <v>4</v>
      </c>
      <c r="B23" s="153">
        <f t="shared" si="5"/>
        <v>0.98865760028767879</v>
      </c>
      <c r="C23" s="154">
        <f t="shared" si="3"/>
        <v>1.0839313802469948E-2</v>
      </c>
      <c r="D23" s="154">
        <f t="shared" si="3"/>
        <v>5.0308590985124568E-4</v>
      </c>
      <c r="E23" s="166">
        <f t="shared" si="6"/>
        <v>1</v>
      </c>
      <c r="F23" s="161">
        <f t="shared" si="3"/>
        <v>4.7948625539988438E-3</v>
      </c>
      <c r="G23" s="161">
        <f t="shared" si="3"/>
        <v>7.808477261895716E-2</v>
      </c>
      <c r="H23" s="162">
        <f t="shared" si="3"/>
        <v>0.91712036482704395</v>
      </c>
      <c r="I23" s="118">
        <v>1</v>
      </c>
      <c r="J23" s="25">
        <f>(K25*(F24-F25)+J24*(B24-F24))/(B23-F24)</f>
        <v>13.054867759180926</v>
      </c>
      <c r="K23" s="107">
        <f>K24+J22-J23</f>
        <v>4.9989222835803062</v>
      </c>
      <c r="L23" s="1">
        <f>F23/B23</f>
        <v>4.8498717378024896E-3</v>
      </c>
      <c r="M23" s="1">
        <f>G23/C23</f>
        <v>7.2038483285873713</v>
      </c>
      <c r="N23" s="10">
        <f>H23/D23</f>
        <v>1822.9895667287155</v>
      </c>
      <c r="P23" s="11">
        <v>2</v>
      </c>
      <c r="R23" s="25">
        <f>-$H$4</f>
        <v>-16.723750063091785</v>
      </c>
      <c r="S23" s="26">
        <f>$H$5+$I$5*$L$5</f>
        <v>5303.9131950704705</v>
      </c>
      <c r="T23" s="26">
        <f>-$I$6*$L$6</f>
        <v>-7784.2272481443961</v>
      </c>
      <c r="U23" s="26">
        <v>0</v>
      </c>
      <c r="V23" s="106">
        <v>0</v>
      </c>
      <c r="W23" s="106">
        <v>0</v>
      </c>
      <c r="X23" s="106">
        <v>0</v>
      </c>
      <c r="Y23" s="107">
        <v>0</v>
      </c>
      <c r="Z23" s="11">
        <v>0</v>
      </c>
      <c r="AC23" s="4">
        <v>1.3641939445830715E-6</v>
      </c>
      <c r="AD23" s="5">
        <v>1.904075396017948E-4</v>
      </c>
      <c r="AE23" s="5">
        <v>1.904075396017948E-4</v>
      </c>
      <c r="AF23" s="5">
        <v>1.9040753960179404E-4</v>
      </c>
      <c r="AG23" s="5">
        <v>1.9040753960124495E-4</v>
      </c>
      <c r="AH23" s="5">
        <v>1.9040753919068621E-4</v>
      </c>
      <c r="AI23" s="5">
        <v>1.9040722407189501E-4</v>
      </c>
      <c r="AJ23" s="6">
        <v>1.9016296570504475E-4</v>
      </c>
    </row>
    <row r="24" spans="1:36" ht="15.75" thickBot="1" x14ac:dyDescent="0.3">
      <c r="A24" s="46">
        <v>5</v>
      </c>
      <c r="B24" s="153">
        <f t="shared" si="5"/>
        <v>0.99553631207527893</v>
      </c>
      <c r="C24" s="154">
        <f t="shared" si="3"/>
        <v>3.9907917351927804E-3</v>
      </c>
      <c r="D24" s="154">
        <f t="shared" si="3"/>
        <v>4.7289618952832315E-4</v>
      </c>
      <c r="E24" s="166">
        <f t="shared" si="6"/>
        <v>1</v>
      </c>
      <c r="F24" s="161">
        <f t="shared" si="3"/>
        <v>2.7914683604928006E-3</v>
      </c>
      <c r="G24" s="161">
        <f t="shared" si="3"/>
        <v>2.9508971119222308E-2</v>
      </c>
      <c r="H24" s="162">
        <f t="shared" si="3"/>
        <v>0.96769956052028483</v>
      </c>
      <c r="I24" s="118">
        <v>1</v>
      </c>
      <c r="J24" s="25">
        <f t="shared" ref="J24" si="10">(K26*(F25-F26)+J25*(B25-F25))/(B24-F25)</f>
        <v>12.961665110355773</v>
      </c>
      <c r="K24" s="107">
        <f t="shared" ref="K24:K27" si="11">K25+J23-J24</f>
        <v>4.7362829454213955</v>
      </c>
      <c r="L24" s="1">
        <f t="shared" ref="L24:N27" si="12">F24/B24</f>
        <v>2.8039844721221177E-3</v>
      </c>
      <c r="M24" s="1">
        <f t="shared" si="12"/>
        <v>7.3942648670431907</v>
      </c>
      <c r="N24" s="10">
        <f t="shared" si="12"/>
        <v>2046.3255613996155</v>
      </c>
      <c r="P24" s="11">
        <v>3</v>
      </c>
      <c r="R24" s="25">
        <v>0</v>
      </c>
      <c r="S24" s="26">
        <f>-$H$5</f>
        <v>-14.12107610703085</v>
      </c>
      <c r="T24" s="26">
        <f>$H$6+$I$6*$L$6</f>
        <v>7797.5447552417363</v>
      </c>
      <c r="U24" s="26">
        <f>-$I$7*$L$7</f>
        <v>-9112.9831678545834</v>
      </c>
      <c r="V24" s="106">
        <v>0</v>
      </c>
      <c r="W24" s="106">
        <v>0</v>
      </c>
      <c r="X24" s="106">
        <v>0</v>
      </c>
      <c r="Y24" s="109">
        <v>0</v>
      </c>
      <c r="Z24" s="11">
        <v>0</v>
      </c>
      <c r="AC24" s="4">
        <v>2.4747333167592587E-9</v>
      </c>
      <c r="AD24" s="5">
        <v>3.4541121069023022E-7</v>
      </c>
      <c r="AE24" s="5">
        <v>1.2881031442100953E-4</v>
      </c>
      <c r="AF24" s="5">
        <v>1.2881031442100901E-4</v>
      </c>
      <c r="AG24" s="5">
        <v>1.2881031442063757E-4</v>
      </c>
      <c r="AH24" s="5">
        <v>1.2881031414289538E-4</v>
      </c>
      <c r="AI24" s="5">
        <v>1.2881010096567216E-4</v>
      </c>
      <c r="AJ24" s="6">
        <v>1.2864486067581943E-4</v>
      </c>
    </row>
    <row r="25" spans="1:36" ht="15.75" thickBot="1" x14ac:dyDescent="0.3">
      <c r="A25" s="119">
        <v>6</v>
      </c>
      <c r="B25" s="153">
        <f t="shared" si="5"/>
        <v>0.99809532789805255</v>
      </c>
      <c r="C25" s="154">
        <f t="shared" si="3"/>
        <v>1.4427975619174208E-3</v>
      </c>
      <c r="D25" s="154">
        <f t="shared" si="3"/>
        <v>4.6187454002999655E-4</v>
      </c>
      <c r="E25" s="166">
        <f t="shared" si="6"/>
        <v>1</v>
      </c>
      <c r="F25" s="161">
        <f t="shared" si="3"/>
        <v>2.2044062967394268E-3</v>
      </c>
      <c r="G25" s="161">
        <f t="shared" si="3"/>
        <v>1.0767824587978493E-2</v>
      </c>
      <c r="H25" s="162">
        <f t="shared" si="3"/>
        <v>0.98702776911528201</v>
      </c>
      <c r="I25" s="118">
        <v>0.99999999999999989</v>
      </c>
      <c r="J25" s="25">
        <f>(K27*(F26-F27)+J26*(B26-F26))/(B25-F26)</f>
        <v>12.927441769937403</v>
      </c>
      <c r="K25" s="107">
        <f t="shared" si="11"/>
        <v>4.6430802965962421</v>
      </c>
      <c r="L25" s="1">
        <f t="shared" si="12"/>
        <v>2.2086129802669401E-3</v>
      </c>
      <c r="M25" s="1">
        <f t="shared" si="12"/>
        <v>7.4631569058575904</v>
      </c>
      <c r="N25" s="10">
        <f t="shared" si="12"/>
        <v>2137.0040640282514</v>
      </c>
      <c r="P25" s="11">
        <v>4</v>
      </c>
      <c r="R25" s="25">
        <v>0</v>
      </c>
      <c r="S25" s="26">
        <v>0</v>
      </c>
      <c r="T25" s="26">
        <f>-$H$6</f>
        <v>-13.317507097339837</v>
      </c>
      <c r="U25" s="26">
        <f>$H$7+$I$7*$L$7</f>
        <v>9126.0380356137648</v>
      </c>
      <c r="V25" s="26">
        <f>-$I$8*$L$8</f>
        <v>-9691.9768572368612</v>
      </c>
      <c r="W25" s="106">
        <v>0</v>
      </c>
      <c r="X25" s="106">
        <v>0</v>
      </c>
      <c r="Y25" s="107">
        <v>0</v>
      </c>
      <c r="Z25" s="11">
        <v>0</v>
      </c>
      <c r="AC25" s="4">
        <v>3.6165191905784665E-12</v>
      </c>
      <c r="AD25" s="5">
        <v>5.0477611613440764E-10</v>
      </c>
      <c r="AE25" s="5">
        <v>1.8824047459710359E-7</v>
      </c>
      <c r="AF25" s="5">
        <v>1.0992179112214209E-4</v>
      </c>
      <c r="AG25" s="5">
        <v>1.0992179112182512E-4</v>
      </c>
      <c r="AH25" s="5">
        <v>1.0992179088481057E-4</v>
      </c>
      <c r="AI25" s="5">
        <v>1.0992160896752928E-4</v>
      </c>
      <c r="AJ25" s="6">
        <v>1.0978059923001098E-4</v>
      </c>
    </row>
    <row r="26" spans="1:36" ht="15.75" thickBot="1" x14ac:dyDescent="0.3">
      <c r="A26" s="119">
        <v>7</v>
      </c>
      <c r="B26" s="153">
        <f t="shared" si="5"/>
        <v>0.99905185159387933</v>
      </c>
      <c r="C26" s="154">
        <f t="shared" si="3"/>
        <v>4.9036475540188544E-4</v>
      </c>
      <c r="D26" s="154">
        <f t="shared" si="3"/>
        <v>4.5778365071875331E-4</v>
      </c>
      <c r="E26" s="166">
        <f t="shared" si="6"/>
        <v>1</v>
      </c>
      <c r="F26" s="161">
        <f t="shared" si="3"/>
        <v>2.0061775534049274E-3</v>
      </c>
      <c r="G26" s="161">
        <f t="shared" si="3"/>
        <v>3.6721917068355944E-3</v>
      </c>
      <c r="H26" s="162">
        <f t="shared" si="3"/>
        <v>0.99432163073975943</v>
      </c>
      <c r="I26" s="118">
        <v>1</v>
      </c>
      <c r="J26" s="25">
        <f>(K28*(F27-F28)+J27*(B27-F27))/(B26-F27)</f>
        <v>12.914710968469349</v>
      </c>
      <c r="K26" s="107">
        <f t="shared" si="11"/>
        <v>4.6088569561778723</v>
      </c>
      <c r="L26" s="1">
        <f t="shared" si="12"/>
        <v>2.0080815126905455E-3</v>
      </c>
      <c r="M26" s="1">
        <f t="shared" si="12"/>
        <v>7.4886942146280422</v>
      </c>
      <c r="N26" s="10">
        <f t="shared" si="12"/>
        <v>2172.0339491779641</v>
      </c>
      <c r="P26" s="11">
        <v>5</v>
      </c>
      <c r="R26" s="25">
        <v>0</v>
      </c>
      <c r="S26" s="26">
        <v>0</v>
      </c>
      <c r="T26" s="106">
        <v>0</v>
      </c>
      <c r="U26" s="26">
        <f>-$H$7</f>
        <v>-13.054867759180926</v>
      </c>
      <c r="V26" s="26">
        <f>$H$8+$I$8*$L$8</f>
        <v>9704.9385223472163</v>
      </c>
      <c r="W26" s="26">
        <f>-$I$9*$L$9</f>
        <v>-9922.2814634356673</v>
      </c>
      <c r="X26" s="106">
        <v>0</v>
      </c>
      <c r="Y26" s="107">
        <v>0</v>
      </c>
      <c r="Z26" s="110">
        <v>0</v>
      </c>
      <c r="AC26" s="4">
        <v>4.8713673667258468E-15</v>
      </c>
      <c r="AD26" s="5">
        <v>6.7992170649769401E-13</v>
      </c>
      <c r="AE26" s="5">
        <v>2.535555479529041E-10</v>
      </c>
      <c r="AF26" s="5">
        <v>1.4806210003238198E-7</v>
      </c>
      <c r="AG26" s="5">
        <v>1.0332618713346418E-4</v>
      </c>
      <c r="AH26" s="5">
        <v>1.0332618691067115E-4</v>
      </c>
      <c r="AI26" s="5">
        <v>1.0332601590891746E-4</v>
      </c>
      <c r="AJ26" s="6">
        <v>1.0319346713603303E-4</v>
      </c>
    </row>
    <row r="27" spans="1:36" ht="15.75" thickBot="1" x14ac:dyDescent="0.3">
      <c r="A27" s="119">
        <v>8</v>
      </c>
      <c r="B27" s="155">
        <f t="shared" si="5"/>
        <v>0.99941004987510507</v>
      </c>
      <c r="C27" s="156">
        <f t="shared" si="3"/>
        <v>1.3369439540320016E-4</v>
      </c>
      <c r="D27" s="156">
        <f t="shared" si="3"/>
        <v>4.5625572949169104E-4</v>
      </c>
      <c r="E27" s="167">
        <f t="shared" si="6"/>
        <v>1</v>
      </c>
      <c r="F27" s="163">
        <f t="shared" si="3"/>
        <v>1.9348596347075284E-3</v>
      </c>
      <c r="G27" s="163">
        <f t="shared" si="3"/>
        <v>1.0024715576783939E-3</v>
      </c>
      <c r="H27" s="164">
        <f t="shared" si="3"/>
        <v>0.99706266880761407</v>
      </c>
      <c r="I27" s="120">
        <v>1</v>
      </c>
      <c r="J27" s="25">
        <f>I16+I15-K20</f>
        <v>12.90118410204861</v>
      </c>
      <c r="K27" s="107">
        <f t="shared" si="11"/>
        <v>4.5961261547098182</v>
      </c>
      <c r="L27" s="29">
        <f t="shared" si="12"/>
        <v>1.9360017791989637E-3</v>
      </c>
      <c r="M27" s="29">
        <f t="shared" si="12"/>
        <v>7.4982317295732983</v>
      </c>
      <c r="N27" s="98">
        <f t="shared" si="12"/>
        <v>2185.3153930109097</v>
      </c>
      <c r="P27" s="11">
        <v>6</v>
      </c>
      <c r="R27" s="25">
        <v>0</v>
      </c>
      <c r="S27" s="26">
        <v>0</v>
      </c>
      <c r="T27" s="26">
        <v>0</v>
      </c>
      <c r="U27" s="106">
        <v>0</v>
      </c>
      <c r="V27" s="26">
        <f>-$H$8</f>
        <v>-12.961665110355773</v>
      </c>
      <c r="W27" s="26">
        <f>$H$9+$I$9*$L$9</f>
        <v>9935.2089052056053</v>
      </c>
      <c r="X27" s="26">
        <f>-$I$10*$L$10</f>
        <v>-10010.593775723355</v>
      </c>
      <c r="Y27" s="107">
        <v>0</v>
      </c>
      <c r="Z27" s="110">
        <v>0</v>
      </c>
      <c r="AC27" s="4">
        <v>6.3635598862570096E-18</v>
      </c>
      <c r="AD27" s="5">
        <v>8.8819466312848064E-16</v>
      </c>
      <c r="AE27" s="5">
        <v>3.3122443708767042E-13</v>
      </c>
      <c r="AF27" s="5">
        <v>1.9341633868075797E-10</v>
      </c>
      <c r="AG27" s="5">
        <v>1.3497696440092818E-7</v>
      </c>
      <c r="AH27" s="5">
        <v>1.0091824959438775E-4</v>
      </c>
      <c r="AI27" s="5">
        <v>1.0091808257769841E-4</v>
      </c>
      <c r="AJ27" s="6">
        <v>1.0078862275202085E-4</v>
      </c>
    </row>
    <row r="28" spans="1:36" ht="15.75" thickBot="1" x14ac:dyDescent="0.3">
      <c r="A28" s="98" t="s">
        <v>17</v>
      </c>
      <c r="B28" s="5"/>
      <c r="C28" s="5"/>
      <c r="D28" s="5"/>
      <c r="E28" s="5"/>
      <c r="F28" s="121">
        <v>0</v>
      </c>
      <c r="G28" s="5">
        <f>K16</f>
        <v>0</v>
      </c>
      <c r="H28" s="121">
        <v>1</v>
      </c>
      <c r="I28" s="5"/>
      <c r="J28" s="5"/>
      <c r="K28" s="205">
        <f>I16</f>
        <v>4.5825992882890789</v>
      </c>
      <c r="L28" s="5"/>
      <c r="M28" s="5"/>
      <c r="N28" s="5"/>
      <c r="P28" s="11">
        <v>7</v>
      </c>
      <c r="R28" s="25">
        <v>0</v>
      </c>
      <c r="S28" s="26">
        <v>0</v>
      </c>
      <c r="T28" s="26">
        <v>0</v>
      </c>
      <c r="U28" s="106">
        <v>0</v>
      </c>
      <c r="V28" s="106">
        <v>0</v>
      </c>
      <c r="W28" s="26">
        <f>-$H$9</f>
        <v>-12.927441769937403</v>
      </c>
      <c r="X28" s="26">
        <f>$H$10+$I$10*$L$10</f>
        <v>10023.508486691824</v>
      </c>
      <c r="Y28" s="107">
        <f>-$I$11*$L$11</f>
        <v>-10043.985234107407</v>
      </c>
      <c r="Z28" s="110">
        <v>0</v>
      </c>
      <c r="AC28" s="4">
        <v>8.2177356884885973E-21</v>
      </c>
      <c r="AD28" s="5">
        <v>1.1469914814943621E-18</v>
      </c>
      <c r="AE28" s="5">
        <v>4.2773462121936622E-16</v>
      </c>
      <c r="AF28" s="5">
        <v>2.497728280276403E-13</v>
      </c>
      <c r="AG28" s="5">
        <v>1.7430574038862185E-10</v>
      </c>
      <c r="AH28" s="5">
        <v>1.3032320212820351E-7</v>
      </c>
      <c r="AI28" s="5">
        <v>1.0002433201665624E-4</v>
      </c>
      <c r="AJ28" s="6">
        <v>9.9896018712879154E-5</v>
      </c>
    </row>
    <row r="29" spans="1:36" ht="15.75" thickBot="1" x14ac:dyDescent="0.3">
      <c r="P29" s="12">
        <v>8</v>
      </c>
      <c r="R29" s="83">
        <v>0</v>
      </c>
      <c r="S29" s="27">
        <v>0</v>
      </c>
      <c r="T29" s="27">
        <v>0</v>
      </c>
      <c r="U29" s="27">
        <v>0</v>
      </c>
      <c r="V29" s="27">
        <v>0</v>
      </c>
      <c r="W29" s="27">
        <v>0</v>
      </c>
      <c r="X29" s="27">
        <f>-$H$10</f>
        <v>-12.914710968469349</v>
      </c>
      <c r="Y29" s="111">
        <f>$H$11+$I$11*$L$11</f>
        <v>10056.886418209457</v>
      </c>
      <c r="Z29" s="12">
        <f>$I$16*$L$16</f>
        <v>4.5825992882890789</v>
      </c>
      <c r="AC29" s="7">
        <v>1.0552936248732258E-23</v>
      </c>
      <c r="AD29" s="8">
        <v>1.4729273903277796E-21</v>
      </c>
      <c r="AE29" s="8">
        <v>5.4928223055733241E-19</v>
      </c>
      <c r="AF29" s="8">
        <v>3.2074975768976525E-16</v>
      </c>
      <c r="AG29" s="8">
        <v>2.2383749439470113E-13</v>
      </c>
      <c r="AH29" s="8">
        <v>1.6735661694693942E-10</v>
      </c>
      <c r="AI29" s="8">
        <v>1.2844784002634901E-7</v>
      </c>
      <c r="AJ29" s="9">
        <v>9.9562636642251036E-5</v>
      </c>
    </row>
    <row r="30" spans="1:36" x14ac:dyDescent="0.25">
      <c r="T30" s="123"/>
      <c r="U30" s="123"/>
      <c r="V30" s="123"/>
      <c r="W30" s="123"/>
      <c r="X30" s="123"/>
      <c r="Y30" s="123"/>
      <c r="Z30" s="123"/>
      <c r="AC30" s="42"/>
      <c r="AD30" s="50"/>
      <c r="AE30" s="50"/>
    </row>
    <row r="31" spans="1:36" x14ac:dyDescent="0.25">
      <c r="J31" s="42">
        <f>(J41)</f>
        <v>0.20738433595384451</v>
      </c>
      <c r="K31" s="42">
        <f>(K41+I52)/2</f>
        <v>1.9751002500377444E-3</v>
      </c>
      <c r="L31" s="42"/>
      <c r="M31" s="42">
        <f t="shared" ref="M31:N38" si="13">(M41+K52)/2</f>
        <v>3.635346250493672E-2</v>
      </c>
      <c r="N31" s="42">
        <f t="shared" si="13"/>
        <v>0.68925294941505411</v>
      </c>
      <c r="T31" s="123"/>
      <c r="U31" s="123"/>
      <c r="V31" s="123"/>
      <c r="W31" s="123"/>
      <c r="X31" s="123"/>
      <c r="Y31" s="123"/>
      <c r="Z31" s="123"/>
      <c r="AC31" s="42"/>
      <c r="AD31" s="50"/>
      <c r="AE31" s="50"/>
    </row>
    <row r="32" spans="1:36" x14ac:dyDescent="0.25">
      <c r="J32" s="42">
        <f t="shared" ref="J32:J38" si="14">(J42)</f>
        <v>8.0507293923161388E-2</v>
      </c>
      <c r="K32" s="42">
        <f t="shared" ref="K32:K38" si="15">(K42+I53)/2</f>
        <v>8.7152360985481565E-4</v>
      </c>
      <c r="L32" s="42"/>
      <c r="M32" s="42">
        <f t="shared" si="13"/>
        <v>3.9130800379214417E-2</v>
      </c>
      <c r="N32" s="42">
        <f t="shared" si="13"/>
        <v>0.41237556626730798</v>
      </c>
      <c r="AC32" s="42"/>
      <c r="AD32" s="50"/>
      <c r="AE32" s="50"/>
    </row>
    <row r="33" spans="1:37" x14ac:dyDescent="0.25">
      <c r="J33" s="42">
        <f t="shared" si="14"/>
        <v>2.9443469980085409E-2</v>
      </c>
      <c r="K33" s="42">
        <f t="shared" si="15"/>
        <v>5.8954608404700171E-4</v>
      </c>
      <c r="L33" s="42"/>
      <c r="M33" s="42">
        <f t="shared" si="13"/>
        <v>1.3502315668070326E-2</v>
      </c>
      <c r="N33" s="42">
        <f t="shared" si="13"/>
        <v>0.1956028562084583</v>
      </c>
      <c r="AC33" s="42"/>
      <c r="AD33" s="50"/>
      <c r="AE33" s="50"/>
    </row>
    <row r="34" spans="1:37" ht="15.75" thickBot="1" x14ac:dyDescent="0.3">
      <c r="J34" s="42">
        <f t="shared" si="14"/>
        <v>1.0839313802469948E-2</v>
      </c>
      <c r="K34" s="42">
        <f t="shared" si="15"/>
        <v>5.0308590269147085E-4</v>
      </c>
      <c r="L34" s="42"/>
      <c r="M34" s="42">
        <f t="shared" si="13"/>
        <v>4.7948660252723607E-3</v>
      </c>
      <c r="N34" s="42">
        <f t="shared" si="13"/>
        <v>7.8084776071266293E-2</v>
      </c>
      <c r="T34" s="42"/>
      <c r="U34" s="42"/>
      <c r="V34" s="42"/>
      <c r="W34" s="42"/>
      <c r="X34" s="42"/>
      <c r="Y34" s="42"/>
      <c r="Z34" s="42"/>
    </row>
    <row r="35" spans="1:37" ht="15.75" thickBot="1" x14ac:dyDescent="0.3">
      <c r="A35" s="231" t="s">
        <v>116</v>
      </c>
      <c r="B35" s="231"/>
      <c r="C35" s="231"/>
      <c r="D35" s="231"/>
      <c r="E35" s="231"/>
      <c r="J35" s="42">
        <f t="shared" si="14"/>
        <v>3.9907917351927804E-3</v>
      </c>
      <c r="K35" s="42">
        <f t="shared" si="15"/>
        <v>4.7289618803949407E-4</v>
      </c>
      <c r="L35" s="42"/>
      <c r="M35" s="42">
        <f t="shared" si="13"/>
        <v>2.791468761419065E-3</v>
      </c>
      <c r="N35" s="42">
        <f t="shared" si="13"/>
        <v>2.9508971444857056E-2</v>
      </c>
    </row>
    <row r="36" spans="1:37" ht="15.75" customHeight="1" thickBot="1" x14ac:dyDescent="0.3">
      <c r="A36" s="124" t="s">
        <v>117</v>
      </c>
      <c r="B36" s="125">
        <v>5.5736999999999997</v>
      </c>
      <c r="C36" s="125">
        <v>7.4991000000000003</v>
      </c>
      <c r="D36" s="124">
        <v>6.4999999999999997E-3</v>
      </c>
      <c r="E36" s="124">
        <v>0.4</v>
      </c>
      <c r="J36" s="42">
        <f t="shared" si="14"/>
        <v>1.4427975619174208E-3</v>
      </c>
      <c r="K36" s="42">
        <f t="shared" si="15"/>
        <v>4.6187453957027158E-4</v>
      </c>
      <c r="L36" s="42"/>
      <c r="M36" s="42">
        <f t="shared" si="13"/>
        <v>2.2044063924312662E-3</v>
      </c>
      <c r="N36" s="42">
        <f t="shared" si="13"/>
        <v>1.0767824636370153E-2</v>
      </c>
    </row>
    <row r="37" spans="1:37" ht="15.75" thickBot="1" x14ac:dyDescent="0.3">
      <c r="A37" s="126" t="s">
        <v>118</v>
      </c>
      <c r="B37" s="127">
        <v>19.269400000000001</v>
      </c>
      <c r="C37" s="127">
        <v>16.212</v>
      </c>
      <c r="D37" s="126"/>
      <c r="E37" s="126"/>
      <c r="J37" s="42">
        <f t="shared" si="14"/>
        <v>4.9036475540188544E-4</v>
      </c>
      <c r="K37" s="42">
        <f t="shared" si="15"/>
        <v>4.5778365055958951E-4</v>
      </c>
      <c r="L37" s="42"/>
      <c r="M37" s="42">
        <f t="shared" si="13"/>
        <v>2.006177583204127E-3</v>
      </c>
      <c r="N37" s="42">
        <f t="shared" si="13"/>
        <v>3.6721917166336916E-3</v>
      </c>
      <c r="P37" s="36" t="s">
        <v>119</v>
      </c>
      <c r="Q37" s="37" t="s">
        <v>120</v>
      </c>
      <c r="R37" s="37" t="s">
        <v>121</v>
      </c>
      <c r="S37" s="37" t="s">
        <v>122</v>
      </c>
      <c r="T37" s="37" t="s">
        <v>123</v>
      </c>
      <c r="U37" s="37" t="s">
        <v>124</v>
      </c>
      <c r="V37" s="37" t="s">
        <v>125</v>
      </c>
      <c r="W37" s="37" t="s">
        <v>126</v>
      </c>
      <c r="X37" s="37" t="s">
        <v>127</v>
      </c>
      <c r="Y37" s="37" t="s">
        <v>128</v>
      </c>
      <c r="Z37" s="37" t="s">
        <v>129</v>
      </c>
      <c r="AA37" s="38" t="s">
        <v>130</v>
      </c>
    </row>
    <row r="38" spans="1:37" ht="15.75" thickBot="1" x14ac:dyDescent="0.3">
      <c r="A38" s="128" t="s">
        <v>131</v>
      </c>
      <c r="B38" s="129">
        <v>10.6456</v>
      </c>
      <c r="C38" s="129">
        <v>0.56320000000000003</v>
      </c>
      <c r="D38" s="130"/>
      <c r="E38" s="130"/>
      <c r="J38" s="42">
        <f t="shared" si="14"/>
        <v>1.3369439540320016E-4</v>
      </c>
      <c r="K38" s="42">
        <f t="shared" si="15"/>
        <v>4.5625572944525889E-4</v>
      </c>
      <c r="L38" s="42"/>
      <c r="M38" s="42">
        <f t="shared" si="13"/>
        <v>1.934859643041812E-3</v>
      </c>
      <c r="N38" s="42">
        <f t="shared" si="13"/>
        <v>1.002471559772708E-3</v>
      </c>
      <c r="P38">
        <f>B36/$B$44/$B$45</f>
        <v>2.1071800296631609</v>
      </c>
      <c r="Q38">
        <f>C36/$B$44/$B$45</f>
        <v>2.8350922655412045</v>
      </c>
      <c r="R38">
        <f>B37/$B$44/$B$45</f>
        <v>7.2849444468829168</v>
      </c>
      <c r="S38">
        <f>C37/$B$44/$B$45</f>
        <v>6.1290709297054313</v>
      </c>
      <c r="T38">
        <f>B38/$B$44/$B$45</f>
        <v>4.0246507210259157</v>
      </c>
      <c r="U38">
        <f>C38/$B$44/$B$45</f>
        <v>0.21292207917654202</v>
      </c>
      <c r="V38">
        <f t="shared" ref="V38:AA38" si="16">EXP(-$E$36*P38)</f>
        <v>0.43047242445194145</v>
      </c>
      <c r="W38">
        <f t="shared" si="16"/>
        <v>0.32173183009668638</v>
      </c>
      <c r="X38">
        <f t="shared" si="16"/>
        <v>5.425946787469077E-2</v>
      </c>
      <c r="Y38">
        <f t="shared" si="16"/>
        <v>8.6153182795249569E-2</v>
      </c>
      <c r="Z38">
        <f t="shared" si="16"/>
        <v>0.19991554264238187</v>
      </c>
      <c r="AA38">
        <f t="shared" si="16"/>
        <v>0.91835722352796123</v>
      </c>
    </row>
    <row r="39" spans="1:37" ht="15.75" thickBot="1" x14ac:dyDescent="0.3"/>
    <row r="40" spans="1:37" ht="26.25" thickBot="1" x14ac:dyDescent="0.3">
      <c r="A40" s="131" t="s">
        <v>132</v>
      </c>
      <c r="B40" s="132" t="s">
        <v>133</v>
      </c>
      <c r="C40" s="132" t="s">
        <v>134</v>
      </c>
      <c r="D40" s="131" t="s">
        <v>135</v>
      </c>
      <c r="E40" s="131" t="s">
        <v>136</v>
      </c>
      <c r="I40" s="133" t="s">
        <v>50</v>
      </c>
      <c r="J40" s="134" t="s">
        <v>51</v>
      </c>
      <c r="K40" s="135" t="s">
        <v>52</v>
      </c>
      <c r="L40" s="136"/>
      <c r="M40" s="133" t="s">
        <v>53</v>
      </c>
      <c r="N40" s="134" t="s">
        <v>54</v>
      </c>
      <c r="O40" s="134" t="s">
        <v>88</v>
      </c>
      <c r="P40" s="137" t="s">
        <v>56</v>
      </c>
      <c r="Q40" s="138" t="s">
        <v>57</v>
      </c>
      <c r="R40" s="139" t="s">
        <v>58</v>
      </c>
      <c r="S40" s="137" t="s">
        <v>59</v>
      </c>
      <c r="T40" s="138" t="s">
        <v>60</v>
      </c>
      <c r="U40" s="139" t="s">
        <v>61</v>
      </c>
      <c r="V40" s="140" t="s">
        <v>62</v>
      </c>
      <c r="W40" s="141" t="s">
        <v>63</v>
      </c>
      <c r="X40" s="142" t="s">
        <v>64</v>
      </c>
      <c r="Y40" s="137" t="s">
        <v>65</v>
      </c>
      <c r="Z40" s="138" t="s">
        <v>66</v>
      </c>
      <c r="AA40" s="138" t="s">
        <v>67</v>
      </c>
      <c r="AB40" s="16" t="s">
        <v>68</v>
      </c>
      <c r="AC40" s="17" t="s">
        <v>69</v>
      </c>
      <c r="AD40" s="18" t="s">
        <v>70</v>
      </c>
      <c r="AG40" s="148">
        <v>0.211790585405154</v>
      </c>
      <c r="AH40" s="149">
        <v>2.0269325281357261E-3</v>
      </c>
      <c r="AI40" s="150"/>
      <c r="AJ40" s="150">
        <v>3.6461868314349062E-2</v>
      </c>
      <c r="AK40" s="150">
        <v>0.70071766333177166</v>
      </c>
    </row>
    <row r="41" spans="1:37" ht="43.5" thickBot="1" x14ac:dyDescent="0.3">
      <c r="A41" s="143"/>
      <c r="B41" s="144" t="s">
        <v>137</v>
      </c>
      <c r="C41" s="144"/>
      <c r="D41" s="143"/>
      <c r="E41" s="143"/>
      <c r="I41" s="148">
        <f t="shared" ref="I41:I47" si="17">1-J41-K41</f>
        <v>0.79064056301730157</v>
      </c>
      <c r="J41" s="148">
        <v>0.20738433595384451</v>
      </c>
      <c r="K41" s="149">
        <v>1.975101028853901E-3</v>
      </c>
      <c r="L41" s="150"/>
      <c r="M41" s="150">
        <v>3.6353447615397307E-2</v>
      </c>
      <c r="N41" s="150">
        <v>0.68925207313848214</v>
      </c>
      <c r="O41" s="148">
        <f>1-M41-N41</f>
        <v>0.27439447924612059</v>
      </c>
      <c r="P41" s="4">
        <f t="shared" ref="P41:P48" si="18">I41+$W$38*J41+$Y$38*K41</f>
        <v>0.8575328661970959</v>
      </c>
      <c r="Q41" s="5">
        <f t="shared" ref="Q41:Q48" si="19">$V$38*I41+J41+$AA$38*K41</f>
        <v>0.54954714428299578</v>
      </c>
      <c r="R41" s="5">
        <f t="shared" ref="R41:R48" si="20">$X$38*I41+$Z$38*J41+K41</f>
        <v>8.6334189316061447E-2</v>
      </c>
      <c r="S41" s="5">
        <f t="shared" ref="S41:S48" si="21">J41*$Q$38*$W$38+K41*$S$38*$Y$38</f>
        <v>0.1902063588632274</v>
      </c>
      <c r="T41" s="5">
        <f t="shared" ref="T41:T48" si="22">I41*$P$38*$V$38+K41*$U$38*$AA$38</f>
        <v>0.71756274004699638</v>
      </c>
      <c r="U41" s="5">
        <f t="shared" ref="U41:U48" si="23">I41*$R$38*$X$38+J41*$T$38*$Z$38</f>
        <v>0.47938160637004279</v>
      </c>
      <c r="V41" s="5">
        <f t="shared" ref="V41:V48" si="24">S41/P41-I41*S41/P41^2+J41*$V$38/Q41*($P$38-T41/Q41)+K41*$X$38/R41*($R$38-U41/R41)</f>
        <v>0.14964627317620757</v>
      </c>
      <c r="W41" s="5">
        <f t="shared" ref="W41:W48" si="25">T41/Q41-J41*T41/Q41^2+(I41*$W$38/P41)*($Q$38-S41/P41)+(K41*$Z$38/R41)*($T$38-U41/R41)</f>
        <v>1.5811891163740486</v>
      </c>
      <c r="X41" s="5">
        <f t="shared" ref="X41:X48" si="26">U41/R41-K41*U41/R41^2+I41*$Y$38/P41*($S$38-S41/P41)+J41*$AA$38/Q41*($U$38-T41/Q41)</f>
        <v>5.5160995313479351</v>
      </c>
      <c r="Y41" s="5">
        <f>EXP(V41)</f>
        <v>1.161423343469159</v>
      </c>
      <c r="Z41" s="5">
        <f t="shared" ref="Z41:AA48" si="27">EXP(W41)</f>
        <v>4.8607323524970889</v>
      </c>
      <c r="AA41" s="5">
        <f t="shared" si="27"/>
        <v>248.66324001693127</v>
      </c>
      <c r="AB41" s="5">
        <f t="shared" ref="AB41:AD48" si="28">Y41/Y50</f>
        <v>4.5979777783903837E-2</v>
      </c>
      <c r="AC41" s="5">
        <f t="shared" si="28"/>
        <v>3.3235577919685628</v>
      </c>
      <c r="AD41" s="6">
        <f t="shared" si="28"/>
        <v>138.92691646381192</v>
      </c>
      <c r="AG41" s="148">
        <v>8.184297406796201E-2</v>
      </c>
      <c r="AH41" s="149">
        <v>8.8004495349264255E-4</v>
      </c>
      <c r="AI41" s="148"/>
      <c r="AJ41" s="150">
        <v>3.7836923232173782E-2</v>
      </c>
      <c r="AK41" s="148">
        <v>0.41723015798625318</v>
      </c>
    </row>
    <row r="42" spans="1:37" x14ac:dyDescent="0.25">
      <c r="I42" s="148">
        <f t="shared" si="17"/>
        <v>0.9186211824121826</v>
      </c>
      <c r="J42" s="148">
        <v>8.0507293923161388E-2</v>
      </c>
      <c r="K42" s="149">
        <v>8.715236646560506E-4</v>
      </c>
      <c r="L42" s="148"/>
      <c r="M42" s="150">
        <v>3.9130952100356775E-2</v>
      </c>
      <c r="N42" s="148">
        <v>0.41237548756732678</v>
      </c>
      <c r="O42" s="148">
        <f t="shared" ref="O42:O48" si="29">1-M42-N42</f>
        <v>0.54849356033231644</v>
      </c>
      <c r="P42" s="4">
        <f t="shared" si="18"/>
        <v>0.94459802595980469</v>
      </c>
      <c r="Q42" s="5">
        <f t="shared" si="19"/>
        <v>0.47674875152195528</v>
      </c>
      <c r="R42" s="5">
        <f t="shared" si="20"/>
        <v>6.6810079552078863E-2</v>
      </c>
      <c r="S42" s="5">
        <f t="shared" si="21"/>
        <v>7.3894075089872252E-2</v>
      </c>
      <c r="T42" s="5">
        <f t="shared" si="22"/>
        <v>0.83343597904073974</v>
      </c>
      <c r="U42" s="5">
        <f t="shared" si="23"/>
        <v>0.42788539964465011</v>
      </c>
      <c r="V42" s="5">
        <f t="shared" si="24"/>
        <v>2.8872191817899389E-2</v>
      </c>
      <c r="W42" s="5">
        <f t="shared" si="25"/>
        <v>2.3093304667730723</v>
      </c>
      <c r="X42" s="5">
        <f t="shared" si="26"/>
        <v>6.5898351966771251</v>
      </c>
      <c r="Y42" s="5">
        <f t="shared" ref="Y42:Y48" si="30">EXP(V42)</f>
        <v>1.0292930339965332</v>
      </c>
      <c r="Z42" s="5">
        <f t="shared" si="27"/>
        <v>10.067681750516067</v>
      </c>
      <c r="AA42" s="5">
        <f t="shared" si="27"/>
        <v>727.66093907591494</v>
      </c>
      <c r="AB42" s="5">
        <f t="shared" si="28"/>
        <v>4.2597154743721395E-2</v>
      </c>
      <c r="AC42" s="5">
        <f t="shared" si="28"/>
        <v>5.1222147071652042</v>
      </c>
      <c r="AD42" s="6">
        <f t="shared" si="28"/>
        <v>629.35024205811101</v>
      </c>
      <c r="AG42" s="148">
        <v>2.0840244298420255E-2</v>
      </c>
      <c r="AH42" s="149">
        <v>5.4855612354649851E-4</v>
      </c>
      <c r="AI42" s="148"/>
      <c r="AJ42" s="150">
        <v>9.0710845700753238E-3</v>
      </c>
      <c r="AK42" s="148">
        <v>0.14410735530846319</v>
      </c>
    </row>
    <row r="43" spans="1:37" x14ac:dyDescent="0.25">
      <c r="I43" s="148">
        <f t="shared" si="17"/>
        <v>0.96996698389028646</v>
      </c>
      <c r="J43" s="148">
        <v>2.9443469980085409E-2</v>
      </c>
      <c r="K43" s="149">
        <v>5.8954612962811297E-4</v>
      </c>
      <c r="L43" s="148"/>
      <c r="M43" s="150">
        <v>1.3502231978811743E-2</v>
      </c>
      <c r="N43" s="148">
        <v>0.19560282060249876</v>
      </c>
      <c r="O43" s="148">
        <f t="shared" si="29"/>
        <v>0.79089494741868949</v>
      </c>
      <c r="P43" s="4">
        <f t="shared" si="18"/>
        <v>0.97949067664684819</v>
      </c>
      <c r="Q43" s="5">
        <f t="shared" si="19"/>
        <v>0.4475289231204212</v>
      </c>
      <c r="R43" s="5">
        <f t="shared" si="20"/>
        <v>5.9105645809877268E-2</v>
      </c>
      <c r="S43" s="5">
        <f t="shared" si="21"/>
        <v>2.7167853051249899E-2</v>
      </c>
      <c r="T43" s="5">
        <f t="shared" si="22"/>
        <v>0.87995573987685916</v>
      </c>
      <c r="U43" s="5">
        <f t="shared" si="23"/>
        <v>0.40709577076020131</v>
      </c>
      <c r="V43" s="5">
        <f t="shared" si="24"/>
        <v>4.4759313629089068E-3</v>
      </c>
      <c r="W43" s="5">
        <f t="shared" si="25"/>
        <v>2.7256169254810585</v>
      </c>
      <c r="X43" s="5">
        <f t="shared" si="26"/>
        <v>7.2334977527229016</v>
      </c>
      <c r="Y43" s="5">
        <f t="shared" si="30"/>
        <v>1.0044859633055361</v>
      </c>
      <c r="Z43" s="5">
        <f t="shared" si="27"/>
        <v>15.2658289012304</v>
      </c>
      <c r="AA43" s="5">
        <f t="shared" si="27"/>
        <v>1385.0586339716253</v>
      </c>
      <c r="AB43" s="5">
        <f t="shared" si="28"/>
        <v>1.3920473151750257E-2</v>
      </c>
      <c r="AC43" s="5">
        <f t="shared" si="28"/>
        <v>6.6433369418318273</v>
      </c>
      <c r="AD43" s="6">
        <f t="shared" si="28"/>
        <v>1341.5321210142413</v>
      </c>
      <c r="AG43" s="148">
        <v>4.8517218416403093E-3</v>
      </c>
      <c r="AH43" s="149">
        <v>4.7664277745538002E-4</v>
      </c>
      <c r="AI43" s="148"/>
      <c r="AJ43" s="150">
        <v>3.0100228275144851E-3</v>
      </c>
      <c r="AK43" s="148">
        <v>3.5761423199023964E-2</v>
      </c>
    </row>
    <row r="44" spans="1:37" x14ac:dyDescent="0.25">
      <c r="A44" s="145" t="s">
        <v>138</v>
      </c>
      <c r="B44">
        <f>8.314/1000</f>
        <v>8.3140000000000002E-3</v>
      </c>
      <c r="C44" t="s">
        <v>139</v>
      </c>
      <c r="I44" s="148">
        <f t="shared" si="17"/>
        <v>0.98865760028767879</v>
      </c>
      <c r="J44" s="148">
        <v>1.0839313802469948E-2</v>
      </c>
      <c r="K44" s="149">
        <v>5.0308590985124568E-4</v>
      </c>
      <c r="L44" s="148"/>
      <c r="M44" s="150">
        <v>4.7948625539988438E-3</v>
      </c>
      <c r="N44" s="148">
        <v>7.808477261895716E-2</v>
      </c>
      <c r="O44" s="148">
        <f t="shared" si="29"/>
        <v>0.91712036482704395</v>
      </c>
      <c r="P44" s="4">
        <f t="shared" si="18"/>
        <v>0.99218829500669292</v>
      </c>
      <c r="Q44" s="5">
        <f t="shared" si="19"/>
        <v>0.43689116053051247</v>
      </c>
      <c r="R44" s="5">
        <f t="shared" si="20"/>
        <v>5.631406851242126E-2</v>
      </c>
      <c r="S44" s="5">
        <f t="shared" si="21"/>
        <v>1.0152614403167693E-2</v>
      </c>
      <c r="T44" s="5">
        <f t="shared" si="22"/>
        <v>0.89689277202475048</v>
      </c>
      <c r="U44" s="5">
        <f t="shared" si="23"/>
        <v>0.39951502309696313</v>
      </c>
      <c r="V44" s="5">
        <f t="shared" si="24"/>
        <v>7.0851186732157545E-4</v>
      </c>
      <c r="W44" s="5">
        <f t="shared" si="25"/>
        <v>2.9020956016989561</v>
      </c>
      <c r="X44" s="5">
        <f t="shared" si="26"/>
        <v>7.514388901059152</v>
      </c>
      <c r="Y44" s="5">
        <f t="shared" si="30"/>
        <v>1.0007087629211426</v>
      </c>
      <c r="Z44" s="5">
        <f t="shared" si="27"/>
        <v>18.212271073548923</v>
      </c>
      <c r="AA44" s="5">
        <f t="shared" si="27"/>
        <v>1834.2462278046439</v>
      </c>
      <c r="AB44" s="5">
        <f t="shared" si="28"/>
        <v>4.8498787599980733E-3</v>
      </c>
      <c r="AC44" s="5">
        <f t="shared" si="28"/>
        <v>7.2038489655850979</v>
      </c>
      <c r="AD44" s="6">
        <f t="shared" si="28"/>
        <v>1822.9896186172496</v>
      </c>
      <c r="AG44" s="148">
        <v>1.060741602140348E-3</v>
      </c>
      <c r="AH44" s="149">
        <v>4.6023127990169987E-4</v>
      </c>
      <c r="AI44" s="148"/>
      <c r="AJ44" s="150">
        <v>2.1236118782060995E-3</v>
      </c>
      <c r="AK44" s="148">
        <v>7.9273712880518314E-3</v>
      </c>
    </row>
    <row r="45" spans="1:37" x14ac:dyDescent="0.25">
      <c r="A45" s="145" t="s">
        <v>140</v>
      </c>
      <c r="B45">
        <v>318.14999999999998</v>
      </c>
      <c r="C45" t="s">
        <v>141</v>
      </c>
      <c r="I45" s="148">
        <f t="shared" si="17"/>
        <v>0.99553631207527893</v>
      </c>
      <c r="J45" s="148">
        <v>3.9907917351927804E-3</v>
      </c>
      <c r="K45" s="149">
        <v>4.7289618952832315E-4</v>
      </c>
      <c r="L45" s="148"/>
      <c r="M45" s="150">
        <v>2.7914683604928006E-3</v>
      </c>
      <c r="N45" s="148">
        <v>2.9508971119222308E-2</v>
      </c>
      <c r="O45" s="148">
        <f t="shared" si="29"/>
        <v>0.96769956052028483</v>
      </c>
      <c r="P45" s="4">
        <f t="shared" si="18"/>
        <v>0.99686101831563689</v>
      </c>
      <c r="Q45" s="5">
        <f t="shared" si="19"/>
        <v>0.43297600925581486</v>
      </c>
      <c r="R45" s="5">
        <f t="shared" si="20"/>
        <v>5.5287988027978845E-2</v>
      </c>
      <c r="S45" s="5">
        <f t="shared" si="21"/>
        <v>3.8898660869642419E-3</v>
      </c>
      <c r="T45" s="5">
        <f t="shared" si="22"/>
        <v>0.90312643058114483</v>
      </c>
      <c r="U45" s="5">
        <f t="shared" si="23"/>
        <v>0.39672376713043056</v>
      </c>
      <c r="V45" s="5">
        <f t="shared" si="24"/>
        <v>1.4053825652422154E-4</v>
      </c>
      <c r="W45" s="5">
        <f t="shared" si="25"/>
        <v>2.9709179149999931</v>
      </c>
      <c r="X45" s="5">
        <f t="shared" si="26"/>
        <v>7.6253597139834834</v>
      </c>
      <c r="Y45" s="5">
        <f t="shared" si="30"/>
        <v>1.0001405481324877</v>
      </c>
      <c r="Z45" s="5">
        <f t="shared" si="27"/>
        <v>19.509819735553418</v>
      </c>
      <c r="AA45" s="5">
        <f t="shared" si="27"/>
        <v>2049.5175725684512</v>
      </c>
      <c r="AB45" s="5">
        <f t="shared" si="28"/>
        <v>2.8039852775699138E-3</v>
      </c>
      <c r="AC45" s="5">
        <f t="shared" si="28"/>
        <v>7.3942650302362463</v>
      </c>
      <c r="AD45" s="6">
        <f t="shared" si="28"/>
        <v>2046.3255742845956</v>
      </c>
      <c r="AG45" s="148">
        <v>2.2584194528790994E-4</v>
      </c>
      <c r="AH45" s="149">
        <v>4.5665019578683045E-4</v>
      </c>
      <c r="AI45" s="148"/>
      <c r="AJ45" s="148">
        <v>1.9531485359711161E-3</v>
      </c>
      <c r="AK45" s="148">
        <v>1.6928594438963061E-3</v>
      </c>
    </row>
    <row r="46" spans="1:37" x14ac:dyDescent="0.25">
      <c r="I46" s="148">
        <f t="shared" si="17"/>
        <v>0.99809532789805255</v>
      </c>
      <c r="J46" s="148">
        <v>1.4427975619174208E-3</v>
      </c>
      <c r="K46" s="149">
        <v>4.6187454002999655E-4</v>
      </c>
      <c r="L46" s="148"/>
      <c r="M46" s="148">
        <v>2.2044062967394268E-3</v>
      </c>
      <c r="N46" s="148">
        <v>1.0767824587978493E-2</v>
      </c>
      <c r="O46" s="148">
        <f t="shared" si="29"/>
        <v>0.98702776911528201</v>
      </c>
      <c r="P46" s="4">
        <f t="shared" si="18"/>
        <v>0.99859931375978295</v>
      </c>
      <c r="Q46" s="5">
        <f t="shared" si="19"/>
        <v>0.43151947901654775</v>
      </c>
      <c r="R46" s="5">
        <f t="shared" si="20"/>
        <v>5.4906433577507151E-2</v>
      </c>
      <c r="S46" s="5">
        <f t="shared" si="21"/>
        <v>1.5599202912989082E-3</v>
      </c>
      <c r="T46" s="5">
        <f t="shared" si="22"/>
        <v>0.90544551490776282</v>
      </c>
      <c r="U46" s="5">
        <f t="shared" si="23"/>
        <v>0.39568519653796513</v>
      </c>
      <c r="V46" s="5">
        <f t="shared" si="24"/>
        <v>4.9396857367675674E-5</v>
      </c>
      <c r="W46" s="5">
        <f t="shared" si="25"/>
        <v>2.9970827870383885</v>
      </c>
      <c r="X46" s="5">
        <f t="shared" si="26"/>
        <v>7.6677634094069198</v>
      </c>
      <c r="Y46" s="5">
        <f t="shared" si="30"/>
        <v>1.0000493980774126</v>
      </c>
      <c r="Z46" s="5">
        <f t="shared" si="27"/>
        <v>20.027028516768048</v>
      </c>
      <c r="AA46" s="5">
        <f t="shared" si="27"/>
        <v>2138.2936056614685</v>
      </c>
      <c r="AB46" s="5">
        <f t="shared" si="28"/>
        <v>2.2086131720158377E-3</v>
      </c>
      <c r="AC46" s="5">
        <f t="shared" si="28"/>
        <v>7.4631569729379077</v>
      </c>
      <c r="AD46" s="6">
        <f t="shared" si="28"/>
        <v>2137.0040682823683</v>
      </c>
      <c r="AG46" s="148">
        <v>4.6470014276128071E-5</v>
      </c>
      <c r="AH46" s="149">
        <v>4.5588239571698491E-4</v>
      </c>
      <c r="AI46" s="148"/>
      <c r="AJ46" s="148">
        <v>1.9176614862792835E-3</v>
      </c>
      <c r="AK46" s="148">
        <v>3.4855124745700335E-4</v>
      </c>
    </row>
    <row r="47" spans="1:37" x14ac:dyDescent="0.25">
      <c r="I47" s="148">
        <f t="shared" si="17"/>
        <v>0.99905185159387933</v>
      </c>
      <c r="J47" s="148">
        <v>4.9036475540188544E-4</v>
      </c>
      <c r="K47" s="149">
        <v>4.5778365071875331E-4</v>
      </c>
      <c r="L47" s="148"/>
      <c r="M47" s="148">
        <v>2.0061775534049274E-3</v>
      </c>
      <c r="N47" s="148">
        <v>3.6721917068355944E-3</v>
      </c>
      <c r="O47" s="148">
        <f t="shared" si="29"/>
        <v>0.99432163073975943</v>
      </c>
      <c r="P47" s="4">
        <f t="shared" si="18"/>
        <v>0.99924905706259071</v>
      </c>
      <c r="Q47" s="5">
        <f t="shared" si="19"/>
        <v>0.43097504638667083</v>
      </c>
      <c r="R47" s="5">
        <f t="shared" si="20"/>
        <v>5.4763837033596045E-2</v>
      </c>
      <c r="S47" s="5">
        <f t="shared" si="21"/>
        <v>6.8900863166527853E-4</v>
      </c>
      <c r="T47" s="5">
        <f t="shared" si="22"/>
        <v>0.90631236126550641</v>
      </c>
      <c r="U47" s="5">
        <f t="shared" si="23"/>
        <v>0.39529697042141171</v>
      </c>
      <c r="V47" s="5">
        <f t="shared" si="24"/>
        <v>3.2483229865657244E-5</v>
      </c>
      <c r="W47" s="5">
        <f t="shared" si="25"/>
        <v>3.0069426522006877</v>
      </c>
      <c r="X47" s="5">
        <f t="shared" si="26"/>
        <v>7.683773483532355</v>
      </c>
      <c r="Y47" s="5">
        <f t="shared" si="30"/>
        <v>1.0000324837574515</v>
      </c>
      <c r="Z47" s="5">
        <f t="shared" si="27"/>
        <v>20.225469008143229</v>
      </c>
      <c r="AA47" s="5">
        <f t="shared" si="27"/>
        <v>2172.8033595163797</v>
      </c>
      <c r="AB47" s="5">
        <f t="shared" si="28"/>
        <v>2.0080815723455062E-3</v>
      </c>
      <c r="AC47" s="5">
        <f t="shared" si="28"/>
        <v>7.4886942545905288</v>
      </c>
      <c r="AD47" s="6">
        <f t="shared" si="28"/>
        <v>2172.0339506883242</v>
      </c>
      <c r="AG47" s="148">
        <v>8.1709549973998973E-6</v>
      </c>
      <c r="AH47" s="149">
        <v>4.557185286456884E-4</v>
      </c>
      <c r="AI47" s="148"/>
      <c r="AJ47" s="148">
        <v>1.9101361386859726E-3</v>
      </c>
      <c r="AK47" s="148">
        <v>6.1295115504181498E-5</v>
      </c>
    </row>
    <row r="48" spans="1:37" ht="15.75" thickBot="1" x14ac:dyDescent="0.3">
      <c r="I48" s="148">
        <f>1-J48-K48</f>
        <v>0.99941004987510507</v>
      </c>
      <c r="J48" s="148">
        <v>1.3369439540320016E-4</v>
      </c>
      <c r="K48" s="149">
        <v>4.5625572949169104E-4</v>
      </c>
      <c r="L48" s="148"/>
      <c r="M48" s="148">
        <v>1.9348596347075284E-3</v>
      </c>
      <c r="N48" s="148">
        <v>1.0024715576783939E-3</v>
      </c>
      <c r="O48" s="148">
        <f t="shared" si="29"/>
        <v>0.99706266880761407</v>
      </c>
      <c r="P48" s="4">
        <f t="shared" si="18"/>
        <v>0.999492371500876</v>
      </c>
      <c r="Q48" s="5">
        <f t="shared" si="19"/>
        <v>0.43077116733173015</v>
      </c>
      <c r="R48" s="5">
        <f t="shared" si="20"/>
        <v>5.4710440811938328E-2</v>
      </c>
      <c r="S48" s="5">
        <f t="shared" si="21"/>
        <v>3.6286873331618254E-4</v>
      </c>
      <c r="T48" s="5">
        <f t="shared" si="22"/>
        <v>0.90663697803235799</v>
      </c>
      <c r="U48" s="5">
        <f t="shared" si="23"/>
        <v>0.39515158455035088</v>
      </c>
      <c r="V48" s="5">
        <f t="shared" si="24"/>
        <v>2.857435568243643E-5</v>
      </c>
      <c r="W48" s="5">
        <f t="shared" si="25"/>
        <v>3.0106462296144985</v>
      </c>
      <c r="X48" s="5">
        <f t="shared" si="26"/>
        <v>7.6897915779423753</v>
      </c>
      <c r="Y48" s="5">
        <f t="shared" si="30"/>
        <v>1.0000285747639333</v>
      </c>
      <c r="Z48" s="5">
        <f t="shared" si="27"/>
        <v>20.300514480924527</v>
      </c>
      <c r="AA48" s="5">
        <f t="shared" si="27"/>
        <v>2185.91892102773</v>
      </c>
      <c r="AB48" s="5">
        <f t="shared" si="28"/>
        <v>1.9360017958773702E-3</v>
      </c>
      <c r="AC48" s="5">
        <f t="shared" si="28"/>
        <v>7.4982317609031686</v>
      </c>
      <c r="AD48" s="6">
        <f t="shared" si="28"/>
        <v>2185.315393455699</v>
      </c>
    </row>
    <row r="49" spans="6:30" ht="15.75" thickBot="1" x14ac:dyDescent="0.3">
      <c r="O49" s="42"/>
      <c r="P49" s="137" t="s">
        <v>71</v>
      </c>
      <c r="Q49" s="138" t="s">
        <v>72</v>
      </c>
      <c r="R49" s="139" t="s">
        <v>73</v>
      </c>
      <c r="S49" s="137" t="s">
        <v>74</v>
      </c>
      <c r="T49" s="138" t="s">
        <v>75</v>
      </c>
      <c r="U49" s="139" t="s">
        <v>76</v>
      </c>
      <c r="V49" s="140" t="s">
        <v>77</v>
      </c>
      <c r="W49" s="141" t="s">
        <v>78</v>
      </c>
      <c r="X49" s="142" t="s">
        <v>79</v>
      </c>
      <c r="Y49" s="137" t="s">
        <v>80</v>
      </c>
      <c r="Z49" s="138" t="s">
        <v>81</v>
      </c>
      <c r="AA49" s="138" t="s">
        <v>82</v>
      </c>
      <c r="AB49" s="16" t="s">
        <v>83</v>
      </c>
      <c r="AC49" s="17" t="s">
        <v>84</v>
      </c>
      <c r="AD49" s="18" t="s">
        <v>85</v>
      </c>
    </row>
    <row r="50" spans="6:30" ht="15.75" thickBot="1" x14ac:dyDescent="0.3">
      <c r="P50" s="4">
        <f t="shared" ref="P50:P57" si="31">M41+$W$38*N41+$Y$38*O41</f>
        <v>0.28174773623267468</v>
      </c>
      <c r="Q50" s="5">
        <f t="shared" ref="Q50:Q57" si="32">$V$38*M41+N41+$AA$38*O41</f>
        <v>0.95689338198253693</v>
      </c>
      <c r="R50" s="5">
        <f t="shared" ref="R50:R57" si="33">$X$38*M41+$Z$38*N41+O41</f>
        <v>0.41415920018800884</v>
      </c>
      <c r="S50" s="5">
        <f t="shared" ref="S50:S57" si="34">N41*$Q$38*$W$38+O41*$S$38*$Y$38</f>
        <v>0.77358496604624682</v>
      </c>
      <c r="T50" s="5">
        <f t="shared" ref="T50:T57" si="35">M41*$P$38*$V$38+O41*$U$38*$AA$38</f>
        <v>8.663028351096308E-2</v>
      </c>
      <c r="U50" s="5">
        <f t="shared" ref="U50:U57" si="36">M41*$R$38*$X$38+N41*$T$38*$Z$38</f>
        <v>0.56893517532956017</v>
      </c>
      <c r="V50" s="5">
        <f t="shared" ref="V50:V57" si="37">S50/P50-M41*S50/P50^2+N41*$V$38/Q50*($P$38-T50/Q50)+O41*$X$38/R50*($R$38-U50/R50)</f>
        <v>3.2291998657209415</v>
      </c>
      <c r="W50" s="5">
        <f t="shared" ref="W50:W57" si="38">T50/Q50-N41*T50/Q50^2+(M41*$W$38/P50)*($Q$38-S50/P50)+(O41*$Z$38/R50)*($T$38-U50/R50)</f>
        <v>0.38015328313794622</v>
      </c>
      <c r="X50" s="5">
        <f t="shared" ref="X50:X57" si="39">U50/R50-O41*U50/R50^2+M41*$Y$38/P50*($S$38-S50/P50)+N41*$AA$38/Q50*($U$38-T50/Q50)</f>
        <v>0.58215151732434156</v>
      </c>
      <c r="Y50" s="5">
        <f>EXP(V50)</f>
        <v>25.259437940905816</v>
      </c>
      <c r="Z50" s="5">
        <f t="shared" ref="Z50:AA57" si="40">EXP(W50)</f>
        <v>1.4625087501842562</v>
      </c>
      <c r="AA50" s="5">
        <f t="shared" si="40"/>
        <v>1.7898852601519</v>
      </c>
      <c r="AB50" s="5">
        <f t="shared" ref="AB50:AD57" si="41">Y50/Y41</f>
        <v>21.748691450833206</v>
      </c>
      <c r="AC50" s="5">
        <f t="shared" si="41"/>
        <v>0.30088238646444421</v>
      </c>
      <c r="AD50" s="6">
        <f t="shared" si="41"/>
        <v>7.1980291901208564E-3</v>
      </c>
    </row>
    <row r="51" spans="6:30" ht="15.75" thickBot="1" x14ac:dyDescent="0.3">
      <c r="F51" s="146" t="s">
        <v>87</v>
      </c>
      <c r="G51" s="133" t="s">
        <v>50</v>
      </c>
      <c r="H51" s="134" t="s">
        <v>51</v>
      </c>
      <c r="I51" s="135" t="s">
        <v>52</v>
      </c>
      <c r="J51" s="136"/>
      <c r="K51" s="133" t="s">
        <v>53</v>
      </c>
      <c r="L51" s="134" t="s">
        <v>54</v>
      </c>
      <c r="M51" s="135" t="s">
        <v>88</v>
      </c>
      <c r="N51" s="146" t="s">
        <v>87</v>
      </c>
      <c r="P51" s="4">
        <f t="shared" si="31"/>
        <v>0.21905973836773349</v>
      </c>
      <c r="Q51" s="5">
        <f t="shared" si="32"/>
        <v>0.93293330657883256</v>
      </c>
      <c r="R51" s="5">
        <f t="shared" si="33"/>
        <v>0.6330570543401508</v>
      </c>
      <c r="S51" s="5">
        <f t="shared" si="34"/>
        <v>0.66576991297111898</v>
      </c>
      <c r="T51" s="5">
        <f t="shared" si="35"/>
        <v>0.14274664156521596</v>
      </c>
      <c r="U51" s="5">
        <f t="shared" si="36"/>
        <v>0.34726086309824644</v>
      </c>
      <c r="V51" s="5">
        <f t="shared" si="37"/>
        <v>3.184840009808755</v>
      </c>
      <c r="W51" s="5">
        <f t="shared" si="38"/>
        <v>0.67574356125555601</v>
      </c>
      <c r="X51" s="5">
        <f t="shared" si="39"/>
        <v>0.14514727132363536</v>
      </c>
      <c r="Y51" s="5">
        <f t="shared" ref="Y51:Y57" si="42">EXP(V51)</f>
        <v>24.163422186038041</v>
      </c>
      <c r="Z51" s="5">
        <f t="shared" si="40"/>
        <v>1.9654938978705643</v>
      </c>
      <c r="AA51" s="5">
        <f t="shared" si="40"/>
        <v>1.1562098342829055</v>
      </c>
      <c r="AB51" s="5">
        <f t="shared" si="41"/>
        <v>23.475746350110271</v>
      </c>
      <c r="AC51" s="5">
        <f t="shared" si="41"/>
        <v>0.1952280521550866</v>
      </c>
      <c r="AD51" s="6">
        <f t="shared" si="41"/>
        <v>1.5889403597109685E-3</v>
      </c>
    </row>
    <row r="52" spans="6:30" x14ac:dyDescent="0.25">
      <c r="F52" s="147">
        <f t="shared" ref="F52:F59" si="43">SUM(G52:I52)</f>
        <v>0.99999882347399782</v>
      </c>
      <c r="G52" s="42">
        <f t="shared" ref="G52:I59" si="44">M41*AB50</f>
        <v>0.79063991536130418</v>
      </c>
      <c r="H52" s="42">
        <f t="shared" si="44"/>
        <v>0.20738380864147216</v>
      </c>
      <c r="I52" s="42">
        <f t="shared" si="44"/>
        <v>1.9750994712215875E-3</v>
      </c>
      <c r="J52" s="42"/>
      <c r="K52" s="42">
        <f t="shared" ref="K52:M59" si="45">I41*AB41</f>
        <v>3.6353477394476141E-2</v>
      </c>
      <c r="L52" s="42">
        <f t="shared" si="45"/>
        <v>0.68925382569162608</v>
      </c>
      <c r="M52" s="42">
        <f t="shared" si="45"/>
        <v>0.27439469564317487</v>
      </c>
      <c r="N52" s="147">
        <f t="shared" ref="N52:N59" si="46">SUM(K52:M52)</f>
        <v>1.0000019987292772</v>
      </c>
      <c r="P52" s="4">
        <f t="shared" si="31"/>
        <v>0.14457200240012916</v>
      </c>
      <c r="Q52" s="5">
        <f t="shared" si="32"/>
        <v>0.92773924715165101</v>
      </c>
      <c r="R52" s="5">
        <f t="shared" si="33"/>
        <v>0.83073161536410944</v>
      </c>
      <c r="S52" s="5">
        <f t="shared" si="34"/>
        <v>0.59604039590564928</v>
      </c>
      <c r="T52" s="5">
        <f t="shared" si="35"/>
        <v>0.16689807866339024</v>
      </c>
      <c r="U52" s="5">
        <f t="shared" si="36"/>
        <v>0.16271724354706241</v>
      </c>
      <c r="V52" s="5">
        <f t="shared" si="37"/>
        <v>4.2788705652297896</v>
      </c>
      <c r="W52" s="5">
        <f t="shared" si="38"/>
        <v>0.8320025367487226</v>
      </c>
      <c r="X52" s="5">
        <f t="shared" si="39"/>
        <v>3.1930139040828379E-2</v>
      </c>
      <c r="Y52" s="5">
        <f t="shared" si="42"/>
        <v>72.158895201003958</v>
      </c>
      <c r="Z52" s="5">
        <f t="shared" si="40"/>
        <v>2.2979157966690478</v>
      </c>
      <c r="AA52" s="5">
        <f t="shared" si="40"/>
        <v>1.0324453751614062</v>
      </c>
      <c r="AB52" s="5">
        <f t="shared" si="41"/>
        <v>71.836638675910763</v>
      </c>
      <c r="AC52" s="5">
        <f t="shared" si="41"/>
        <v>0.15052676219133046</v>
      </c>
      <c r="AD52" s="6">
        <f t="shared" si="41"/>
        <v>7.4541636710417935E-4</v>
      </c>
    </row>
    <row r="53" spans="6:30" x14ac:dyDescent="0.25">
      <c r="F53" s="147">
        <f t="shared" si="43"/>
        <v>1.0000070926956173</v>
      </c>
      <c r="G53" s="42">
        <f t="shared" si="44"/>
        <v>0.91862830594629041</v>
      </c>
      <c r="H53" s="42">
        <f t="shared" si="44"/>
        <v>8.0507263194273343E-2</v>
      </c>
      <c r="I53" s="42">
        <f t="shared" si="44"/>
        <v>8.715235550535807E-4</v>
      </c>
      <c r="J53" s="42"/>
      <c r="K53" s="42">
        <f t="shared" si="45"/>
        <v>3.9130648658072059E-2</v>
      </c>
      <c r="L53" s="42">
        <f t="shared" si="45"/>
        <v>0.41237564496728912</v>
      </c>
      <c r="M53" s="42">
        <f t="shared" si="45"/>
        <v>0.54849362931065737</v>
      </c>
      <c r="N53" s="147">
        <f t="shared" si="46"/>
        <v>0.99999992293601858</v>
      </c>
      <c r="P53" s="4">
        <f t="shared" si="31"/>
        <v>0.10893005778756985</v>
      </c>
      <c r="Q53" s="5">
        <f t="shared" si="32"/>
        <v>0.92239294061100585</v>
      </c>
      <c r="R53" s="5">
        <f t="shared" si="33"/>
        <v>0.93299089120798206</v>
      </c>
      <c r="S53" s="5">
        <f t="shared" si="34"/>
        <v>0.55549949058118642</v>
      </c>
      <c r="T53" s="5">
        <f t="shared" si="35"/>
        <v>0.18368170528844457</v>
      </c>
      <c r="U53" s="5">
        <f t="shared" si="36"/>
        <v>6.4721545271509417E-2</v>
      </c>
      <c r="V53" s="5">
        <f t="shared" si="37"/>
        <v>5.3295100841510621</v>
      </c>
      <c r="W53" s="5">
        <f t="shared" si="38"/>
        <v>0.92748013995967304</v>
      </c>
      <c r="X53" s="5">
        <f t="shared" si="39"/>
        <v>6.1558210663420678E-3</v>
      </c>
      <c r="Y53" s="5">
        <f t="shared" si="42"/>
        <v>206.33686169126838</v>
      </c>
      <c r="Z53" s="5">
        <f t="shared" si="40"/>
        <v>2.528130609144402</v>
      </c>
      <c r="AA53" s="5">
        <f t="shared" si="40"/>
        <v>1.0061748070709984</v>
      </c>
      <c r="AB53" s="5">
        <f t="shared" si="41"/>
        <v>206.19072135328952</v>
      </c>
      <c r="AC53" s="5">
        <f t="shared" si="41"/>
        <v>0.13881468153723012</v>
      </c>
      <c r="AD53" s="6">
        <f t="shared" si="41"/>
        <v>5.4854947597480401E-4</v>
      </c>
    </row>
    <row r="54" spans="6:30" x14ac:dyDescent="0.25">
      <c r="F54" s="147">
        <f t="shared" si="43"/>
        <v>0.99998796527947853</v>
      </c>
      <c r="G54" s="42">
        <f t="shared" si="44"/>
        <v>0.96995495998022685</v>
      </c>
      <c r="H54" s="42">
        <f t="shared" si="44"/>
        <v>2.9443459260785804E-2</v>
      </c>
      <c r="I54" s="42">
        <f t="shared" si="44"/>
        <v>5.8954603846589045E-4</v>
      </c>
      <c r="J54" s="42"/>
      <c r="K54" s="42">
        <f t="shared" si="45"/>
        <v>1.3502399357328908E-2</v>
      </c>
      <c r="L54" s="42">
        <f t="shared" si="45"/>
        <v>0.19560289181441781</v>
      </c>
      <c r="M54" s="42">
        <f t="shared" si="45"/>
        <v>0.7908950697157392</v>
      </c>
      <c r="N54" s="147">
        <f t="shared" si="46"/>
        <v>1.0000003608874859</v>
      </c>
      <c r="P54" s="4">
        <f t="shared" si="31"/>
        <v>9.5655840771337236E-2</v>
      </c>
      <c r="Q54" s="5">
        <f t="shared" si="32"/>
        <v>0.91940450288078157</v>
      </c>
      <c r="R54" s="5">
        <f t="shared" si="33"/>
        <v>0.97375032608223189</v>
      </c>
      <c r="S54" s="5">
        <f t="shared" si="34"/>
        <v>0.53789937333012761</v>
      </c>
      <c r="T54" s="5">
        <f t="shared" si="35"/>
        <v>0.19175464222846206</v>
      </c>
      <c r="U54" s="5">
        <f t="shared" si="36"/>
        <v>2.4846033766744983E-2</v>
      </c>
      <c r="V54" s="5">
        <f t="shared" si="37"/>
        <v>5.8768540985901181</v>
      </c>
      <c r="W54" s="5">
        <f t="shared" si="38"/>
        <v>0.97021321116847248</v>
      </c>
      <c r="X54" s="5">
        <f t="shared" si="39"/>
        <v>1.558652914981782E-3</v>
      </c>
      <c r="Y54" s="5">
        <f t="shared" si="42"/>
        <v>356.68537782026584</v>
      </c>
      <c r="Z54" s="5">
        <f t="shared" si="40"/>
        <v>2.63850695853812</v>
      </c>
      <c r="AA54" s="5">
        <f t="shared" si="40"/>
        <v>1.0015598682457807</v>
      </c>
      <c r="AB54" s="5">
        <f t="shared" si="41"/>
        <v>356.63525340142104</v>
      </c>
      <c r="AC54" s="5">
        <f t="shared" si="41"/>
        <v>0.1352399455403413</v>
      </c>
      <c r="AD54" s="6">
        <f t="shared" si="41"/>
        <v>4.8868079086076242E-4</v>
      </c>
    </row>
    <row r="55" spans="6:30" x14ac:dyDescent="0.25">
      <c r="F55" s="147">
        <f t="shared" si="43"/>
        <v>0.99999856753843697</v>
      </c>
      <c r="G55" s="42">
        <f t="shared" si="44"/>
        <v>0.98865616879889773</v>
      </c>
      <c r="H55" s="42">
        <f t="shared" si="44"/>
        <v>1.0839312844007564E-2</v>
      </c>
      <c r="I55" s="42">
        <f t="shared" si="44"/>
        <v>5.0308589553169601E-4</v>
      </c>
      <c r="J55" s="42"/>
      <c r="K55" s="42">
        <f t="shared" si="45"/>
        <v>4.7948694965458784E-3</v>
      </c>
      <c r="L55" s="42">
        <f t="shared" si="45"/>
        <v>7.8084779523575412E-2</v>
      </c>
      <c r="M55" s="42">
        <f t="shared" si="45"/>
        <v>0.91712039093143438</v>
      </c>
      <c r="N55" s="147">
        <f t="shared" si="46"/>
        <v>1.0000000399515556</v>
      </c>
      <c r="P55" s="4">
        <f t="shared" si="31"/>
        <v>9.0704342024166121E-2</v>
      </c>
      <c r="Q55" s="5">
        <f t="shared" si="32"/>
        <v>0.91816084230072093</v>
      </c>
      <c r="R55" s="5">
        <f t="shared" si="33"/>
        <v>0.98930003452350646</v>
      </c>
      <c r="S55" s="5">
        <f t="shared" si="34"/>
        <v>0.53101088206827229</v>
      </c>
      <c r="T55" s="5">
        <f t="shared" si="35"/>
        <v>0.19500153775723608</v>
      </c>
      <c r="U55" s="5">
        <f t="shared" si="36"/>
        <v>9.5350380613053592E-3</v>
      </c>
      <c r="V55" s="5">
        <f t="shared" si="37"/>
        <v>6.1154398812601558</v>
      </c>
      <c r="W55" s="5">
        <f t="shared" si="38"/>
        <v>0.98710427562006575</v>
      </c>
      <c r="X55" s="5">
        <f t="shared" si="39"/>
        <v>6.032503542691734E-4</v>
      </c>
      <c r="Y55" s="5">
        <f t="shared" si="42"/>
        <v>452.79517968492917</v>
      </c>
      <c r="Z55" s="5">
        <f t="shared" si="40"/>
        <v>2.6834526714884723</v>
      </c>
      <c r="AA55" s="5">
        <f t="shared" si="40"/>
        <v>1.000603432346358</v>
      </c>
      <c r="AB55" s="5">
        <f t="shared" si="41"/>
        <v>452.77281357843373</v>
      </c>
      <c r="AC55" s="5">
        <f t="shared" si="41"/>
        <v>0.1339915539263199</v>
      </c>
      <c r="AD55" s="6">
        <f t="shared" si="41"/>
        <v>4.6794482745358404E-4</v>
      </c>
    </row>
    <row r="56" spans="6:30" x14ac:dyDescent="0.25">
      <c r="F56" s="147">
        <f t="shared" si="43"/>
        <v>0.99999971394006504</v>
      </c>
      <c r="G56" s="42">
        <f t="shared" si="44"/>
        <v>0.99553602610639924</v>
      </c>
      <c r="H56" s="42">
        <f t="shared" si="44"/>
        <v>3.9907916471151293E-3</v>
      </c>
      <c r="I56" s="42">
        <f t="shared" si="44"/>
        <v>4.7289618655066499E-4</v>
      </c>
      <c r="J56" s="42"/>
      <c r="K56" s="42">
        <f t="shared" si="45"/>
        <v>2.7914691623453294E-3</v>
      </c>
      <c r="L56" s="42">
        <f t="shared" si="45"/>
        <v>2.9508971770491808E-2</v>
      </c>
      <c r="M56" s="42">
        <f t="shared" si="45"/>
        <v>0.96769956661354284</v>
      </c>
      <c r="N56" s="147">
        <f t="shared" si="46"/>
        <v>1.00000000754638</v>
      </c>
      <c r="P56" s="4">
        <f t="shared" si="31"/>
        <v>8.8851611722104151E-2</v>
      </c>
      <c r="Q56" s="5">
        <f t="shared" si="32"/>
        <v>0.91767824792209107</v>
      </c>
      <c r="R56" s="5">
        <f t="shared" si="33"/>
        <v>0.99516461306402826</v>
      </c>
      <c r="S56" s="5">
        <f t="shared" si="34"/>
        <v>0.52839011875181796</v>
      </c>
      <c r="T56" s="5">
        <f t="shared" si="35"/>
        <v>0.19624795883077459</v>
      </c>
      <c r="U56" s="5">
        <f t="shared" si="36"/>
        <v>3.7476058448743716E-3</v>
      </c>
      <c r="V56" s="5">
        <f t="shared" si="37"/>
        <v>6.2106079375295984</v>
      </c>
      <c r="W56" s="5">
        <f t="shared" si="38"/>
        <v>0.99354820169948943</v>
      </c>
      <c r="X56" s="5">
        <f t="shared" si="39"/>
        <v>3.5417152872033387E-4</v>
      </c>
      <c r="Y56" s="5">
        <f t="shared" si="42"/>
        <v>498.00391454684797</v>
      </c>
      <c r="Z56" s="5">
        <f t="shared" si="40"/>
        <v>2.7008004760970348</v>
      </c>
      <c r="AA56" s="5">
        <f t="shared" si="40"/>
        <v>1.0003542342548613</v>
      </c>
      <c r="AB56" s="5">
        <f t="shared" si="41"/>
        <v>497.98773803395187</v>
      </c>
      <c r="AC56" s="5">
        <f t="shared" si="41"/>
        <v>0.13353462780070177</v>
      </c>
      <c r="AD56" s="6">
        <f t="shared" si="41"/>
        <v>4.6039796002410408E-4</v>
      </c>
    </row>
    <row r="57" spans="6:30" x14ac:dyDescent="0.25">
      <c r="F57" s="147">
        <f t="shared" si="43"/>
        <v>0.99999991333278571</v>
      </c>
      <c r="G57" s="42">
        <f t="shared" si="44"/>
        <v>0.99809524124472593</v>
      </c>
      <c r="H57" s="42">
        <f t="shared" si="44"/>
        <v>1.4427975489492736E-3</v>
      </c>
      <c r="I57" s="42">
        <f t="shared" si="44"/>
        <v>4.618745391105466E-4</v>
      </c>
      <c r="J57" s="42"/>
      <c r="K57" s="42">
        <f t="shared" si="45"/>
        <v>2.2044064881231056E-3</v>
      </c>
      <c r="L57" s="42">
        <f t="shared" si="45"/>
        <v>1.0767824684761812E-2</v>
      </c>
      <c r="M57" s="42">
        <f t="shared" si="45"/>
        <v>0.98702777108015016</v>
      </c>
      <c r="N57" s="147">
        <f t="shared" si="46"/>
        <v>1.0000000022530351</v>
      </c>
      <c r="P57" s="4">
        <f t="shared" si="31"/>
        <v>8.8157509007681031E-2</v>
      </c>
      <c r="Q57" s="5">
        <f t="shared" si="32"/>
        <v>0.91749507948514475</v>
      </c>
      <c r="R57" s="5">
        <f t="shared" si="33"/>
        <v>0.99736806290724234</v>
      </c>
      <c r="S57" s="5">
        <f t="shared" si="34"/>
        <v>0.52740233666823588</v>
      </c>
      <c r="T57" s="5">
        <f t="shared" si="35"/>
        <v>0.1967192461195201</v>
      </c>
      <c r="U57" s="5">
        <f t="shared" si="36"/>
        <v>1.5713847405789164E-3</v>
      </c>
      <c r="V57" s="5">
        <f t="shared" si="37"/>
        <v>6.2471589368612559</v>
      </c>
      <c r="W57" s="5">
        <f t="shared" si="38"/>
        <v>0.99597900208213153</v>
      </c>
      <c r="X57" s="5">
        <f t="shared" si="39"/>
        <v>2.7613599841397031E-4</v>
      </c>
      <c r="Y57" s="5">
        <f t="shared" si="42"/>
        <v>516.54320615479264</v>
      </c>
      <c r="Z57" s="5">
        <f t="shared" si="40"/>
        <v>2.7073735686291074</v>
      </c>
      <c r="AA57" s="5">
        <f t="shared" si="40"/>
        <v>1.0002761741274684</v>
      </c>
      <c r="AB57" s="5">
        <f t="shared" si="41"/>
        <v>516.52844647636982</v>
      </c>
      <c r="AC57" s="5">
        <f t="shared" si="41"/>
        <v>0.1333647761081673</v>
      </c>
      <c r="AD57" s="6">
        <f t="shared" si="41"/>
        <v>4.5759985171690598E-4</v>
      </c>
    </row>
    <row r="58" spans="6:30" x14ac:dyDescent="0.25">
      <c r="F58" s="147">
        <f t="shared" si="43"/>
        <v>0.99999997031779297</v>
      </c>
      <c r="G58" s="42">
        <f t="shared" si="44"/>
        <v>0.99905182191460751</v>
      </c>
      <c r="H58" s="42">
        <f t="shared" si="44"/>
        <v>4.9036475278511481E-4</v>
      </c>
      <c r="I58" s="42">
        <f t="shared" si="44"/>
        <v>4.5778365040042575E-4</v>
      </c>
      <c r="J58" s="42"/>
      <c r="K58" s="42">
        <f t="shared" si="45"/>
        <v>2.0061776130033265E-3</v>
      </c>
      <c r="L58" s="42">
        <f t="shared" si="45"/>
        <v>3.6721917264317893E-3</v>
      </c>
      <c r="M58" s="42">
        <f t="shared" si="45"/>
        <v>0.99432163143117769</v>
      </c>
      <c r="N58" s="147">
        <f t="shared" si="46"/>
        <v>1.0000000007706129</v>
      </c>
    </row>
    <row r="59" spans="6:30" x14ac:dyDescent="0.25">
      <c r="F59" s="147">
        <f t="shared" si="43"/>
        <v>0.99999999138955942</v>
      </c>
      <c r="G59" s="42">
        <f t="shared" si="44"/>
        <v>0.99941004126531607</v>
      </c>
      <c r="H59" s="42">
        <f t="shared" si="44"/>
        <v>1.3369439484458472E-4</v>
      </c>
      <c r="I59" s="42">
        <f t="shared" si="44"/>
        <v>4.5625572939882674E-4</v>
      </c>
      <c r="J59" s="42"/>
      <c r="K59" s="42">
        <f t="shared" si="45"/>
        <v>1.9348596513760956E-3</v>
      </c>
      <c r="L59" s="42">
        <f t="shared" si="45"/>
        <v>1.0024715618670221E-3</v>
      </c>
      <c r="M59" s="42">
        <f t="shared" si="45"/>
        <v>0.99706266901055174</v>
      </c>
      <c r="N59" s="147">
        <f t="shared" si="46"/>
        <v>1.0000000002237948</v>
      </c>
    </row>
  </sheetData>
  <mergeCells count="1">
    <mergeCell ref="A35:E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NRTL_8stup">
                <anchor moveWithCells="1" sizeWithCells="1">
                  <from>
                    <xdr:col>5</xdr:col>
                    <xdr:colOff>0</xdr:colOff>
                    <xdr:row>35</xdr:row>
                    <xdr:rowOff>152400</xdr:rowOff>
                  </from>
                  <to>
                    <xdr:col>6</xdr:col>
                    <xdr:colOff>561975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1"/>
  <dimension ref="A1:AI62"/>
  <sheetViews>
    <sheetView topLeftCell="C21" zoomScale="55" zoomScaleNormal="55" workbookViewId="0">
      <selection activeCell="D41" sqref="D41:H45"/>
    </sheetView>
  </sheetViews>
  <sheetFormatPr defaultRowHeight="15" x14ac:dyDescent="0.25"/>
  <cols>
    <col min="5" max="5" width="13.5703125" bestFit="1" customWidth="1"/>
    <col min="7" max="9" width="9.28515625" bestFit="1" customWidth="1"/>
    <col min="12" max="17" width="9.28515625" bestFit="1" customWidth="1"/>
    <col min="20" max="24" width="13.85546875" bestFit="1" customWidth="1"/>
    <col min="26" max="26" width="9.28515625" bestFit="1" customWidth="1"/>
    <col min="34" max="34" width="10.85546875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222" t="s">
        <v>1</v>
      </c>
      <c r="C2" s="223"/>
      <c r="D2" s="223"/>
      <c r="E2" s="18" t="s">
        <v>2</v>
      </c>
      <c r="G2" s="22" t="s">
        <v>21</v>
      </c>
      <c r="H2" s="22"/>
      <c r="I2" s="22"/>
    </row>
    <row r="3" spans="1:26" ht="15.75" thickBot="1" x14ac:dyDescent="0.3">
      <c r="B3" s="48" t="s">
        <v>3</v>
      </c>
      <c r="C3" s="49" t="s">
        <v>4</v>
      </c>
      <c r="D3" s="69" t="s">
        <v>5</v>
      </c>
      <c r="E3" s="13" t="s">
        <v>6</v>
      </c>
      <c r="G3" s="16" t="s">
        <v>22</v>
      </c>
      <c r="H3" s="17" t="s">
        <v>23</v>
      </c>
      <c r="I3" s="18" t="s">
        <v>24</v>
      </c>
      <c r="L3">
        <v>1</v>
      </c>
      <c r="M3">
        <v>2</v>
      </c>
      <c r="N3">
        <v>3</v>
      </c>
      <c r="O3">
        <v>4</v>
      </c>
      <c r="P3">
        <v>5</v>
      </c>
      <c r="Q3" s="13" t="s">
        <v>26</v>
      </c>
      <c r="S3" s="19" t="s">
        <v>27</v>
      </c>
      <c r="Z3" s="19" t="s">
        <v>28</v>
      </c>
    </row>
    <row r="4" spans="1:26" ht="15.75" thickBot="1" x14ac:dyDescent="0.3">
      <c r="A4" s="48" t="s">
        <v>0</v>
      </c>
      <c r="B4" s="1">
        <f>AA26</f>
        <v>0.54</v>
      </c>
      <c r="C4" s="1">
        <f t="shared" ref="C4:D4" si="0">AB26</f>
        <v>0.46</v>
      </c>
      <c r="D4" s="1">
        <f t="shared" si="0"/>
        <v>0</v>
      </c>
      <c r="E4" s="10">
        <f>AA30</f>
        <v>25</v>
      </c>
      <c r="G4" s="4" t="s">
        <v>25</v>
      </c>
      <c r="H4" s="5" t="s">
        <v>25</v>
      </c>
      <c r="I4" s="6" t="s">
        <v>25</v>
      </c>
      <c r="K4" s="19" t="s">
        <v>29</v>
      </c>
      <c r="L4" s="1">
        <f>E$10*$G$5+E$5</f>
        <v>15.792504574050756</v>
      </c>
      <c r="M4" s="2">
        <f>-$E$11*$G$6</f>
        <v>-0.14119101619672719</v>
      </c>
      <c r="N4" s="2">
        <v>0</v>
      </c>
      <c r="O4" s="2">
        <v>0</v>
      </c>
      <c r="P4" s="2">
        <v>0</v>
      </c>
      <c r="Q4" s="10">
        <f>$B$4*$E$4</f>
        <v>13.5</v>
      </c>
      <c r="T4" s="1">
        <f t="array" ref="T4:X8">MINVERSE(L4:P8)</f>
        <v>6.3964203573292244E-2</v>
      </c>
      <c r="U4" s="2">
        <v>6.8038833987495075E-4</v>
      </c>
      <c r="V4" s="2">
        <v>1.5260862284791232E-6</v>
      </c>
      <c r="W4" s="2">
        <v>2.1787985588284341E-9</v>
      </c>
      <c r="X4" s="3">
        <v>2.8147302085617287E-12</v>
      </c>
      <c r="Z4" s="23">
        <f t="array" ref="Z4:Z8">MMULT(T4:X8,Q4:Q8)</f>
        <v>0.86351674823944524</v>
      </c>
    </row>
    <row r="5" spans="1:26" x14ac:dyDescent="0.25">
      <c r="A5" s="79" t="s">
        <v>7</v>
      </c>
      <c r="B5" s="86">
        <f>S31</f>
        <v>0.86351674823944546</v>
      </c>
      <c r="C5" s="78">
        <f t="shared" ref="C5:D9" si="1">T31</f>
        <v>0.13521164519111264</v>
      </c>
      <c r="D5" s="87">
        <f t="shared" si="1"/>
        <v>1.2716065694419049E-3</v>
      </c>
      <c r="E5" s="11">
        <f t="shared" ref="E5:E9" si="2">AA31</f>
        <v>14.925266809536856</v>
      </c>
      <c r="G5" s="4">
        <f>B10/B5</f>
        <v>4.1913884486630588E-2</v>
      </c>
      <c r="H5" s="5">
        <f t="shared" ref="H5:I9" si="3">C10/C5</f>
        <v>4.1097322803701672</v>
      </c>
      <c r="I5" s="6">
        <f t="shared" si="3"/>
        <v>320.95068211016616</v>
      </c>
      <c r="L5" s="25">
        <f>-$E$5</f>
        <v>-14.925266809536856</v>
      </c>
      <c r="M5" s="5">
        <f>$E$6+$E$11*$G$6</f>
        <v>13.3030749383292</v>
      </c>
      <c r="N5" s="5">
        <f>-$G$7*$E$12</f>
        <v>-2.884343569417298E-2</v>
      </c>
      <c r="O5" s="5">
        <v>0</v>
      </c>
      <c r="P5" s="5">
        <v>0</v>
      </c>
      <c r="Q5" s="11">
        <v>0</v>
      </c>
      <c r="T5" s="4">
        <v>7.1923680275678026E-2</v>
      </c>
      <c r="U5" s="5">
        <v>7.6102830470704055E-2</v>
      </c>
      <c r="V5" s="5">
        <v>1.7069587281723294E-4</v>
      </c>
      <c r="W5" s="5">
        <v>2.4370308489238591E-7</v>
      </c>
      <c r="X5" s="6">
        <v>3.1483334344370512E-10</v>
      </c>
      <c r="Z5" s="24">
        <v>0.97096968372165338</v>
      </c>
    </row>
    <row r="6" spans="1:26" x14ac:dyDescent="0.25">
      <c r="A6" s="79" t="s">
        <v>8</v>
      </c>
      <c r="B6" s="86">
        <f t="shared" ref="B6:B9" si="4">S32</f>
        <v>0.97096968372165349</v>
      </c>
      <c r="C6" s="78">
        <f t="shared" si="1"/>
        <v>2.8445586424948918E-2</v>
      </c>
      <c r="D6" s="87">
        <f t="shared" si="1"/>
        <v>5.8472985339759064E-4</v>
      </c>
      <c r="E6" s="11">
        <f t="shared" si="2"/>
        <v>13.161883922132473</v>
      </c>
      <c r="G6" s="4">
        <f t="shared" ref="G6:G9" si="5">B11/B6</f>
        <v>1.3299570029851151E-2</v>
      </c>
      <c r="H6" s="5">
        <f t="shared" si="3"/>
        <v>6.6748098211616478</v>
      </c>
      <c r="I6" s="6">
        <f t="shared" si="3"/>
        <v>1363.3947991953421</v>
      </c>
      <c r="L6" s="4">
        <v>0</v>
      </c>
      <c r="M6" s="26">
        <f>-$E$6</f>
        <v>-13.161883922132473</v>
      </c>
      <c r="N6" s="5">
        <f>$E$7+$E$12*$G$7</f>
        <v>12.877865216024679</v>
      </c>
      <c r="O6" s="5">
        <f>-$E$13*$G$8</f>
        <v>-1.8259610442861566E-2</v>
      </c>
      <c r="P6" s="5">
        <v>0</v>
      </c>
      <c r="Q6" s="11">
        <v>0</v>
      </c>
      <c r="T6" s="4">
        <v>7.3614807173823016E-2</v>
      </c>
      <c r="U6" s="5">
        <v>7.7892220879268795E-2</v>
      </c>
      <c r="V6" s="5">
        <v>7.7938105829427812E-2</v>
      </c>
      <c r="W6" s="5">
        <v>1.1127250183510735E-4</v>
      </c>
      <c r="X6" s="6">
        <v>1.4374989878179905E-7</v>
      </c>
      <c r="Z6" s="24">
        <v>0.99379989684661074</v>
      </c>
    </row>
    <row r="7" spans="1:26" x14ac:dyDescent="0.25">
      <c r="A7" s="79" t="s">
        <v>9</v>
      </c>
      <c r="B7" s="86">
        <f t="shared" si="4"/>
        <v>0.99379989684661085</v>
      </c>
      <c r="C7" s="78">
        <f t="shared" si="1"/>
        <v>5.7196639962113667E-3</v>
      </c>
      <c r="D7" s="87">
        <f t="shared" si="1"/>
        <v>4.8043915717777724E-4</v>
      </c>
      <c r="E7" s="11">
        <f t="shared" si="2"/>
        <v>12.849021780330506</v>
      </c>
      <c r="G7" s="4">
        <f t="shared" si="5"/>
        <v>3.2581048182439586E-3</v>
      </c>
      <c r="H7" s="5">
        <f t="shared" si="3"/>
        <v>7.3469687174268552</v>
      </c>
      <c r="I7" s="6">
        <f t="shared" si="3"/>
        <v>1987.2233331723896</v>
      </c>
      <c r="L7" s="4">
        <v>0</v>
      </c>
      <c r="M7" s="5">
        <v>0</v>
      </c>
      <c r="N7" s="26">
        <f>-$E$7</f>
        <v>-12.849021780330506</v>
      </c>
      <c r="O7" s="5">
        <f>$E$8+$E$13*$G$8</f>
        <v>12.806018257976413</v>
      </c>
      <c r="P7" s="5">
        <f>-$E$14*$G$9</f>
        <v>-1.6504754301045456E-2</v>
      </c>
      <c r="Q7" s="11">
        <v>0</v>
      </c>
      <c r="T7" s="4">
        <v>7.3957418276917125E-2</v>
      </c>
      <c r="U7" s="5">
        <v>7.8254739518418159E-2</v>
      </c>
      <c r="V7" s="5">
        <v>7.8300838021991115E-2</v>
      </c>
      <c r="W7" s="5">
        <v>7.8300941503738286E-2</v>
      </c>
      <c r="X7" s="6">
        <v>1.0115484266150172E-4</v>
      </c>
      <c r="Z7" s="24">
        <v>0.99842514673838123</v>
      </c>
    </row>
    <row r="8" spans="1:26" ht="15.75" thickBot="1" x14ac:dyDescent="0.3">
      <c r="A8" s="79" t="s">
        <v>10</v>
      </c>
      <c r="B8" s="86">
        <f t="shared" si="4"/>
        <v>0.99842514673838112</v>
      </c>
      <c r="C8" s="78">
        <f t="shared" si="1"/>
        <v>1.1143910719765176E-3</v>
      </c>
      <c r="D8" s="87">
        <f t="shared" si="1"/>
        <v>4.6046218964237019E-4</v>
      </c>
      <c r="E8" s="11">
        <f t="shared" si="2"/>
        <v>12.787758647533552</v>
      </c>
      <c r="G8" s="4">
        <f t="shared" si="5"/>
        <v>2.138136685409439E-3</v>
      </c>
      <c r="H8" s="5">
        <f t="shared" si="3"/>
        <v>7.4719742780239597</v>
      </c>
      <c r="I8" s="6">
        <f t="shared" si="3"/>
        <v>2149.0114745560454</v>
      </c>
      <c r="L8" s="7">
        <v>0</v>
      </c>
      <c r="M8" s="8">
        <v>0</v>
      </c>
      <c r="N8" s="8">
        <v>0</v>
      </c>
      <c r="O8" s="27">
        <f>-$E$8</f>
        <v>-12.787758647533552</v>
      </c>
      <c r="P8" s="8">
        <f>$E$9+$E$14*$G$9</f>
        <v>12.77583719233623</v>
      </c>
      <c r="Q8" s="12">
        <f>$E$15*$B$15</f>
        <v>0</v>
      </c>
      <c r="T8" s="7">
        <v>7.4026429805103058E-2</v>
      </c>
      <c r="U8" s="8">
        <v>7.8327760985199724E-2</v>
      </c>
      <c r="V8" s="8">
        <v>7.8373902504446466E-2</v>
      </c>
      <c r="W8" s="8">
        <v>7.8374006082755077E-2</v>
      </c>
      <c r="X8" s="9">
        <v>7.8374006230654297E-2</v>
      </c>
      <c r="Z8" s="24">
        <v>0.99935680236889124</v>
      </c>
    </row>
    <row r="9" spans="1:26" ht="15.75" thickBot="1" x14ac:dyDescent="0.3">
      <c r="A9" s="80" t="s">
        <v>11</v>
      </c>
      <c r="B9" s="88">
        <f t="shared" si="4"/>
        <v>0.99935680236889135</v>
      </c>
      <c r="C9" s="89">
        <f t="shared" si="1"/>
        <v>1.8671490958804501E-4</v>
      </c>
      <c r="D9" s="90">
        <f t="shared" si="1"/>
        <v>4.5648272152070887E-4</v>
      </c>
      <c r="E9" s="12">
        <f t="shared" si="2"/>
        <v>12.759332438035184</v>
      </c>
      <c r="G9" s="7">
        <f t="shared" si="5"/>
        <v>1.9466135730139373E-3</v>
      </c>
      <c r="H9" s="8">
        <f t="shared" si="3"/>
        <v>7.4968148099885887</v>
      </c>
      <c r="I9" s="9">
        <f t="shared" si="3"/>
        <v>2183.3353693313124</v>
      </c>
    </row>
    <row r="10" spans="1:26" ht="15.75" thickBot="1" x14ac:dyDescent="0.3">
      <c r="A10" s="48" t="s">
        <v>12</v>
      </c>
      <c r="B10" s="91">
        <f t="shared" ref="B10:D15" si="6">W31</f>
        <v>3.6193341237978988E-2</v>
      </c>
      <c r="C10" s="92">
        <f t="shared" si="6"/>
        <v>0.55568366292387328</v>
      </c>
      <c r="D10" s="93">
        <f t="shared" si="6"/>
        <v>0.40812299583814771</v>
      </c>
      <c r="E10" s="10">
        <f t="shared" ref="E10:E15" si="7">AB31</f>
        <v>20.690942276908881</v>
      </c>
      <c r="L10">
        <v>1</v>
      </c>
      <c r="M10">
        <v>2</v>
      </c>
      <c r="N10">
        <v>3</v>
      </c>
      <c r="O10">
        <v>4</v>
      </c>
      <c r="P10">
        <v>5</v>
      </c>
      <c r="Q10" s="19" t="s">
        <v>30</v>
      </c>
      <c r="S10" s="19" t="s">
        <v>27</v>
      </c>
      <c r="Z10" s="19" t="s">
        <v>31</v>
      </c>
    </row>
    <row r="11" spans="1:26" ht="15.75" thickBot="1" x14ac:dyDescent="0.3">
      <c r="A11" s="79" t="s">
        <v>13</v>
      </c>
      <c r="B11" s="86">
        <f t="shared" si="6"/>
        <v>1.2913479305518553E-2</v>
      </c>
      <c r="C11" s="78">
        <f t="shared" si="6"/>
        <v>0.18986887963795149</v>
      </c>
      <c r="D11" s="87">
        <f t="shared" si="6"/>
        <v>0.79721764105652992</v>
      </c>
      <c r="E11" s="11">
        <f t="shared" si="7"/>
        <v>10.616209086445737</v>
      </c>
      <c r="K11" s="19" t="s">
        <v>32</v>
      </c>
      <c r="L11" s="1">
        <f>E$10*$H$5+E$5</f>
        <v>99.959500196225093</v>
      </c>
      <c r="M11" s="2">
        <f>-$E$11*$H$6</f>
        <v>-70.86117667371353</v>
      </c>
      <c r="N11" s="2">
        <v>0</v>
      </c>
      <c r="O11" s="2">
        <v>0</v>
      </c>
      <c r="P11" s="2">
        <v>0</v>
      </c>
      <c r="Q11" s="10">
        <f>$C$4*$E$4</f>
        <v>11.5</v>
      </c>
      <c r="T11" s="1">
        <f t="array" ref="T11:X15">MINVERSE(L11:P15)</f>
        <v>1.1757533392176838E-2</v>
      </c>
      <c r="U11" s="2">
        <v>1.1743653474283374E-2</v>
      </c>
      <c r="V11" s="2">
        <v>1.1668926533984849E-2</v>
      </c>
      <c r="W11" s="2">
        <v>1.1290660571519288E-2</v>
      </c>
      <c r="X11" s="3">
        <v>9.4031289153603415E-3</v>
      </c>
      <c r="Z11">
        <f t="array" ref="Z11:Z15">MMULT(T11:X15,Q11:Q15)</f>
        <v>0.13521163401003364</v>
      </c>
    </row>
    <row r="12" spans="1:26" x14ac:dyDescent="0.25">
      <c r="A12" s="79" t="s">
        <v>14</v>
      </c>
      <c r="B12" s="86">
        <f t="shared" si="6"/>
        <v>3.237904232286292E-3</v>
      </c>
      <c r="C12" s="78">
        <f t="shared" si="6"/>
        <v>4.2022192454357586E-2</v>
      </c>
      <c r="D12" s="87">
        <f t="shared" si="6"/>
        <v>0.95473990331335612</v>
      </c>
      <c r="E12" s="11">
        <f t="shared" si="7"/>
        <v>8.8528261990413526</v>
      </c>
      <c r="L12" s="25">
        <f>-$E$5</f>
        <v>-14.925266809536856</v>
      </c>
      <c r="M12" s="5">
        <f>$E$6+$E$11*$H$6</f>
        <v>84.023060595846005</v>
      </c>
      <c r="N12" s="5">
        <f>-$H$7*$E$12</f>
        <v>-65.041437145173703</v>
      </c>
      <c r="O12" s="5">
        <v>0</v>
      </c>
      <c r="P12" s="5">
        <v>0</v>
      </c>
      <c r="Q12" s="11">
        <v>0</v>
      </c>
      <c r="T12" s="4">
        <v>2.4735288016667126E-3</v>
      </c>
      <c r="U12" s="5">
        <v>1.6566049095858317E-2</v>
      </c>
      <c r="V12" s="5">
        <v>1.6460636400866976E-2</v>
      </c>
      <c r="W12" s="5">
        <v>1.5927039891125021E-2</v>
      </c>
      <c r="X12" s="6">
        <v>1.3264415167533714E-2</v>
      </c>
      <c r="Z12">
        <v>2.8445581219167196E-2</v>
      </c>
    </row>
    <row r="13" spans="1:26" x14ac:dyDescent="0.25">
      <c r="A13" s="79" t="s">
        <v>15</v>
      </c>
      <c r="B13" s="86">
        <f t="shared" si="6"/>
        <v>2.134769433876635E-3</v>
      </c>
      <c r="C13" s="78">
        <f t="shared" si="6"/>
        <v>8.3267014254680867E-3</v>
      </c>
      <c r="D13" s="87">
        <f t="shared" si="6"/>
        <v>0.98953852914065532</v>
      </c>
      <c r="E13" s="11">
        <f t="shared" si="7"/>
        <v>8.539964057239386</v>
      </c>
      <c r="L13" s="4">
        <v>0</v>
      </c>
      <c r="M13" s="26">
        <f>-$E$6</f>
        <v>-13.161883922132473</v>
      </c>
      <c r="N13" s="5">
        <f>$E$7+$E$12*$H$7</f>
        <v>77.890458925504205</v>
      </c>
      <c r="O13" s="5">
        <f>-$E$13*$H$8</f>
        <v>-63.810391770941827</v>
      </c>
      <c r="P13" s="5">
        <v>0</v>
      </c>
      <c r="Q13" s="11">
        <v>0</v>
      </c>
      <c r="T13" s="4">
        <v>4.9736197273025245E-4</v>
      </c>
      <c r="U13" s="5">
        <v>3.3309993613619897E-3</v>
      </c>
      <c r="V13" s="5">
        <v>1.8586784993039347E-2</v>
      </c>
      <c r="W13" s="5">
        <v>1.7984266150020158E-2</v>
      </c>
      <c r="X13" s="6">
        <v>1.4977721806938996E-2</v>
      </c>
      <c r="Z13">
        <v>5.7196626863979033E-3</v>
      </c>
    </row>
    <row r="14" spans="1:26" x14ac:dyDescent="0.25">
      <c r="A14" s="79" t="s">
        <v>16</v>
      </c>
      <c r="B14" s="86">
        <f t="shared" si="6"/>
        <v>1.9453615157750909E-3</v>
      </c>
      <c r="C14" s="78">
        <f t="shared" si="6"/>
        <v>1.3997670994453362E-3</v>
      </c>
      <c r="D14" s="87">
        <f>Y35</f>
        <v>0.99665487138477959</v>
      </c>
      <c r="E14" s="11">
        <f>AB35</f>
        <v>8.4787009244424318</v>
      </c>
      <c r="L14" s="4">
        <v>0</v>
      </c>
      <c r="M14" s="5">
        <v>0</v>
      </c>
      <c r="N14" s="26">
        <f>-$E$7</f>
        <v>-12.849021780330506</v>
      </c>
      <c r="O14" s="5">
        <f>$E$8+$E$13*$H$8</f>
        <v>76.598150418475385</v>
      </c>
      <c r="P14" s="5">
        <f>-$E$14*$H$9</f>
        <v>-63.563250659823964</v>
      </c>
      <c r="Q14" s="11">
        <v>0</v>
      </c>
      <c r="T14" s="4">
        <v>9.6903547695825328E-5</v>
      </c>
      <c r="U14" s="5">
        <v>6.4899544634782575E-4</v>
      </c>
      <c r="V14" s="5">
        <v>3.6213572907430364E-3</v>
      </c>
      <c r="W14" s="5">
        <v>1.8667380978779066E-2</v>
      </c>
      <c r="X14" s="6">
        <v>1.5546635977914731E-2</v>
      </c>
      <c r="Z14">
        <v>1.1143907985019913E-3</v>
      </c>
    </row>
    <row r="15" spans="1:26" ht="15.75" thickBot="1" x14ac:dyDescent="0.3">
      <c r="A15" s="80" t="s">
        <v>17</v>
      </c>
      <c r="B15" s="88">
        <f t="shared" si="6"/>
        <v>0</v>
      </c>
      <c r="C15" s="89">
        <f t="shared" si="6"/>
        <v>0</v>
      </c>
      <c r="D15" s="90">
        <f>Y36</f>
        <v>1</v>
      </c>
      <c r="E15" s="12">
        <f t="shared" si="7"/>
        <v>8.4502747149440633</v>
      </c>
      <c r="L15" s="7">
        <v>0</v>
      </c>
      <c r="M15" s="8">
        <v>0</v>
      </c>
      <c r="N15" s="8">
        <v>0</v>
      </c>
      <c r="O15" s="27">
        <f>-$E$8</f>
        <v>-12.787758647533552</v>
      </c>
      <c r="P15" s="8">
        <f>$E$9+$E$14*$H$9</f>
        <v>76.322583097859152</v>
      </c>
      <c r="Q15" s="12">
        <f>$E$15*$C$15</f>
        <v>0</v>
      </c>
      <c r="T15" s="7">
        <v>1.6236074956151862E-5</v>
      </c>
      <c r="U15" s="8">
        <v>1.0873842045680315E-4</v>
      </c>
      <c r="V15" s="8">
        <v>6.0675413659848885E-4</v>
      </c>
      <c r="W15" s="8">
        <v>3.1276976335052956E-3</v>
      </c>
      <c r="X15" s="9">
        <v>1.5707102406761465E-2</v>
      </c>
      <c r="Z15">
        <v>1.8671486199574642E-4</v>
      </c>
    </row>
    <row r="16" spans="1:26" ht="15.75" thickBot="1" x14ac:dyDescent="0.3"/>
    <row r="17" spans="1:35" ht="15.75" thickBot="1" x14ac:dyDescent="0.3">
      <c r="L17">
        <v>1</v>
      </c>
      <c r="M17">
        <v>2</v>
      </c>
      <c r="N17">
        <v>3</v>
      </c>
      <c r="O17">
        <v>4</v>
      </c>
      <c r="P17">
        <v>5</v>
      </c>
      <c r="Q17" s="19" t="s">
        <v>33</v>
      </c>
      <c r="S17" s="19" t="s">
        <v>27</v>
      </c>
      <c r="Z17" s="19" t="s">
        <v>34</v>
      </c>
    </row>
    <row r="18" spans="1:35" ht="15.75" thickBot="1" x14ac:dyDescent="0.3">
      <c r="A18" t="s">
        <v>3</v>
      </c>
      <c r="B18" t="s">
        <v>18</v>
      </c>
      <c r="K18" s="19" t="s">
        <v>35</v>
      </c>
      <c r="L18" s="1">
        <f>E$10*$I$5+E$5</f>
        <v>6655.6973040855164</v>
      </c>
      <c r="M18" s="2">
        <f>-$E$11*$I$6</f>
        <v>-14474.084255630452</v>
      </c>
      <c r="N18" s="2">
        <v>0</v>
      </c>
      <c r="O18" s="2">
        <v>0</v>
      </c>
      <c r="P18" s="2">
        <v>0</v>
      </c>
      <c r="Q18" s="10">
        <f>$D$4*$E$4</f>
        <v>0</v>
      </c>
      <c r="T18" s="1">
        <f t="array" ref="T18:X22">MINVERSE(L18:P22)</f>
        <v>1.5058490103060299E-4</v>
      </c>
      <c r="U18" s="2">
        <v>1.5058490103055498E-4</v>
      </c>
      <c r="V18" s="2">
        <v>1.5058490097777112E-4</v>
      </c>
      <c r="W18" s="2">
        <v>1.5058482870747677E-4</v>
      </c>
      <c r="X18" s="3">
        <v>1.5048110926581054E-4</v>
      </c>
      <c r="Z18">
        <f t="array" ref="Z18:Z22">MMULT(T18:X22,Q18:Q22)</f>
        <v>1.2716067127056135E-3</v>
      </c>
    </row>
    <row r="19" spans="1:35" x14ac:dyDescent="0.25">
      <c r="A19" t="s">
        <v>4</v>
      </c>
      <c r="B19" t="s">
        <v>19</v>
      </c>
      <c r="L19" s="25">
        <f>-$E$5</f>
        <v>-14.925266809536856</v>
      </c>
      <c r="M19" s="5">
        <f>$E$6+$E$11*$I$6</f>
        <v>14487.246139552584</v>
      </c>
      <c r="N19" s="5">
        <f>-$I$7*$E$12</f>
        <v>-17592.542787254813</v>
      </c>
      <c r="O19" s="5">
        <v>0</v>
      </c>
      <c r="P19" s="5">
        <v>0</v>
      </c>
      <c r="Q19" s="11">
        <v>0</v>
      </c>
      <c r="T19" s="4">
        <v>1.5527889610663585E-7</v>
      </c>
      <c r="U19" s="5">
        <v>6.9244278402978937E-5</v>
      </c>
      <c r="V19" s="5">
        <v>6.9244278378707038E-5</v>
      </c>
      <c r="W19" s="5">
        <v>6.9244245146262424E-5</v>
      </c>
      <c r="X19" s="6">
        <v>6.9196551268288037E-5</v>
      </c>
      <c r="Z19">
        <v>5.8472986754374494E-4</v>
      </c>
    </row>
    <row r="20" spans="1:35" x14ac:dyDescent="0.25">
      <c r="A20" t="s">
        <v>5</v>
      </c>
      <c r="B20" t="s">
        <v>20</v>
      </c>
      <c r="L20" s="4">
        <v>0</v>
      </c>
      <c r="M20" s="26">
        <f>-$E$6</f>
        <v>-13.161883922132473</v>
      </c>
      <c r="N20" s="5">
        <f>$E$7+$E$12*$I$7</f>
        <v>17605.391809035144</v>
      </c>
      <c r="O20" s="5">
        <f>-$E$13*$I$8</f>
        <v>-18352.480751303639</v>
      </c>
      <c r="P20" s="5">
        <v>0</v>
      </c>
      <c r="Q20" s="11">
        <v>0</v>
      </c>
      <c r="T20" s="4">
        <v>1.1617210940516531E-10</v>
      </c>
      <c r="U20" s="5">
        <v>5.1805197538165791E-8</v>
      </c>
      <c r="V20" s="5">
        <v>5.6894071363496859E-5</v>
      </c>
      <c r="W20" s="5">
        <v>5.689404405829388E-5</v>
      </c>
      <c r="X20" s="6">
        <v>5.6854856720933868E-5</v>
      </c>
      <c r="Z20">
        <v>4.80439158170675E-4</v>
      </c>
    </row>
    <row r="21" spans="1:35" x14ac:dyDescent="0.25">
      <c r="L21" s="4">
        <v>0</v>
      </c>
      <c r="M21" s="5">
        <v>0</v>
      </c>
      <c r="N21" s="26">
        <f>-$E$7</f>
        <v>-12.849021780330506</v>
      </c>
      <c r="O21" s="5">
        <f>$E$8+$E$13*$I$8</f>
        <v>18365.268509951173</v>
      </c>
      <c r="P21" s="5">
        <f>-$E$14*$I$9</f>
        <v>-18511.847614317256</v>
      </c>
      <c r="Q21" s="11">
        <v>0</v>
      </c>
      <c r="T21" s="4">
        <v>8.1334903321804106E-14</v>
      </c>
      <c r="U21" s="5">
        <v>3.6270071662711261E-11</v>
      </c>
      <c r="V21" s="5">
        <v>3.9832915298068008E-8</v>
      </c>
      <c r="W21" s="5">
        <v>5.4528353201449103E-5</v>
      </c>
      <c r="X21" s="6">
        <v>5.449079529872028E-5</v>
      </c>
      <c r="Z21">
        <v>4.6046218970996884E-4</v>
      </c>
    </row>
    <row r="22" spans="1:35" ht="15.75" thickBot="1" x14ac:dyDescent="0.3">
      <c r="L22" s="7">
        <v>0</v>
      </c>
      <c r="M22" s="8">
        <v>0</v>
      </c>
      <c r="N22" s="8">
        <v>0</v>
      </c>
      <c r="O22" s="27">
        <f>-$E$8</f>
        <v>-12.787758647533552</v>
      </c>
      <c r="P22" s="8">
        <f>$E$9+$E$14*$I$9</f>
        <v>18524.606946755292</v>
      </c>
      <c r="Q22" s="85">
        <f>$E$15*$D$15</f>
        <v>8.4502747149440633</v>
      </c>
      <c r="T22" s="7">
        <v>5.6146460558607673E-17</v>
      </c>
      <c r="U22" s="8">
        <v>2.5037666055998961E-14</v>
      </c>
      <c r="V22" s="8">
        <v>2.7497139805633548E-11</v>
      </c>
      <c r="W22" s="8">
        <v>3.7641577075929835E-8</v>
      </c>
      <c r="X22" s="9">
        <v>5.4019867628774218E-5</v>
      </c>
      <c r="Z22">
        <v>4.5648272152805608E-4</v>
      </c>
    </row>
    <row r="24" spans="1:35" ht="15.75" thickBot="1" x14ac:dyDescent="0.3"/>
    <row r="25" spans="1:35" ht="15.75" thickBot="1" x14ac:dyDescent="0.3">
      <c r="R25" s="5"/>
      <c r="S25" s="5"/>
      <c r="T25" s="5"/>
      <c r="U25" s="5"/>
      <c r="V25" s="5"/>
      <c r="Y25" s="13"/>
      <c r="Z25" s="16" t="s">
        <v>93</v>
      </c>
      <c r="AA25" s="17" t="s">
        <v>28</v>
      </c>
      <c r="AB25" s="17" t="s">
        <v>31</v>
      </c>
      <c r="AC25" s="18" t="s">
        <v>34</v>
      </c>
      <c r="AE25" s="54" t="s">
        <v>94</v>
      </c>
      <c r="AF25" s="54" t="s">
        <v>95</v>
      </c>
      <c r="AG25" s="54" t="s">
        <v>96</v>
      </c>
      <c r="AH25" s="54" t="s">
        <v>97</v>
      </c>
      <c r="AI25" s="54" t="s">
        <v>98</v>
      </c>
    </row>
    <row r="26" spans="1:35" ht="15.75" thickBot="1" x14ac:dyDescent="0.3">
      <c r="F26">
        <v>4.5489512327135218E-2</v>
      </c>
      <c r="G26">
        <v>6.7015939493510939E-4</v>
      </c>
      <c r="L26" s="33" t="s">
        <v>36</v>
      </c>
      <c r="M26" s="34"/>
      <c r="N26" s="35"/>
      <c r="R26" s="5"/>
      <c r="S26" s="5"/>
      <c r="T26" s="5"/>
      <c r="U26" s="5"/>
      <c r="V26" s="5"/>
      <c r="Y26" s="14" t="s">
        <v>0</v>
      </c>
      <c r="Z26" s="42">
        <v>25</v>
      </c>
      <c r="AA26" s="2">
        <v>0.54</v>
      </c>
      <c r="AB26" s="2">
        <v>0.46</v>
      </c>
      <c r="AC26" s="3">
        <v>0</v>
      </c>
      <c r="AE26">
        <f>Z27</f>
        <v>8.4502747149440633</v>
      </c>
      <c r="AF26">
        <f>AE26/Z26</f>
        <v>0.33801098859776252</v>
      </c>
      <c r="AG26">
        <f>AB31*W31/Z26/AA26</f>
        <v>5.5472172915814001E-2</v>
      </c>
      <c r="AH26" s="203">
        <f>X31*AB31/Z26/AB26</f>
        <v>0.99979292119818719</v>
      </c>
      <c r="AI26" s="175">
        <f>AA35*U35/AB36/AC27</f>
        <v>6.8925744932309195E-4</v>
      </c>
    </row>
    <row r="27" spans="1:35" ht="15.75" thickBot="1" x14ac:dyDescent="0.3">
      <c r="F27">
        <v>3.5419044279793193E-3</v>
      </c>
      <c r="G27">
        <v>4.7094627309765769E-4</v>
      </c>
      <c r="L27" s="29" t="s">
        <v>3</v>
      </c>
      <c r="M27" s="30" t="s">
        <v>4</v>
      </c>
      <c r="N27" s="31" t="s">
        <v>5</v>
      </c>
      <c r="O27" s="32" t="s">
        <v>37</v>
      </c>
      <c r="R27" s="5"/>
      <c r="S27" s="5"/>
      <c r="T27" s="5"/>
      <c r="U27" s="5"/>
      <c r="V27" s="5"/>
      <c r="W27" s="53"/>
      <c r="Y27" s="15" t="s">
        <v>17</v>
      </c>
      <c r="Z27" s="53">
        <v>8.4502747149440633</v>
      </c>
      <c r="AA27" s="8">
        <v>0</v>
      </c>
      <c r="AB27" s="8">
        <v>0</v>
      </c>
      <c r="AC27" s="9">
        <v>1</v>
      </c>
    </row>
    <row r="28" spans="1:35" ht="15.75" thickBot="1" x14ac:dyDescent="0.3">
      <c r="F28">
        <v>2.6727070600407357E-4</v>
      </c>
      <c r="G28">
        <v>4.5682769651041465E-4</v>
      </c>
      <c r="L28" s="1">
        <f>Z4</f>
        <v>0.86351674823944524</v>
      </c>
      <c r="M28" s="2">
        <f>Z11</f>
        <v>0.13521163401003364</v>
      </c>
      <c r="N28" s="3">
        <f>Z18</f>
        <v>1.2716067127056135E-3</v>
      </c>
      <c r="O28" s="10">
        <f>SUM(L28:N28)</f>
        <v>0.99999998896218456</v>
      </c>
      <c r="R28" s="5"/>
      <c r="S28" s="5"/>
      <c r="T28" s="5"/>
      <c r="U28" s="5"/>
      <c r="V28" s="5"/>
      <c r="AG28" s="42"/>
    </row>
    <row r="29" spans="1:35" ht="21.75" thickBot="1" x14ac:dyDescent="0.4">
      <c r="F29">
        <v>2.0023386220714435E-5</v>
      </c>
      <c r="G29">
        <v>4.5576924644759884E-4</v>
      </c>
      <c r="L29" s="4">
        <f>Z5</f>
        <v>0.97096968372165338</v>
      </c>
      <c r="M29" s="5">
        <f>Z12</f>
        <v>2.8445581219167196E-2</v>
      </c>
      <c r="N29" s="6">
        <f>Z19</f>
        <v>5.8472986754374494E-4</v>
      </c>
      <c r="O29" s="11">
        <f t="shared" ref="O29:O32" si="8">SUM(L29:N29)</f>
        <v>0.99999999480836432</v>
      </c>
      <c r="R29" s="5"/>
      <c r="S29" s="5"/>
      <c r="T29" s="5"/>
      <c r="U29" s="5"/>
      <c r="V29" s="5"/>
      <c r="AA29" s="16" t="s">
        <v>99</v>
      </c>
      <c r="AB29" s="18" t="s">
        <v>100</v>
      </c>
      <c r="AG29" s="54" t="s">
        <v>109</v>
      </c>
      <c r="AI29" s="94">
        <f>ABS(AH26-AG30)</f>
        <v>7.0788018128320473E-6</v>
      </c>
    </row>
    <row r="30" spans="1:35" ht="15.75" thickBot="1" x14ac:dyDescent="0.3">
      <c r="F30">
        <v>1.4024829460287505E-6</v>
      </c>
      <c r="G30">
        <v>4.5568957470008755E-4</v>
      </c>
      <c r="L30" s="4">
        <f>Z6</f>
        <v>0.99379989684661074</v>
      </c>
      <c r="M30" s="5">
        <f>Z13</f>
        <v>5.7196626863979033E-3</v>
      </c>
      <c r="N30" s="6">
        <f>Z20</f>
        <v>4.80439158170675E-4</v>
      </c>
      <c r="O30" s="11">
        <f t="shared" si="8"/>
        <v>0.99999999869117928</v>
      </c>
      <c r="R30" s="19" t="s">
        <v>101</v>
      </c>
      <c r="S30" s="48" t="s">
        <v>102</v>
      </c>
      <c r="T30" s="49" t="s">
        <v>103</v>
      </c>
      <c r="U30" s="49" t="s">
        <v>104</v>
      </c>
      <c r="V30" s="28" t="s">
        <v>37</v>
      </c>
      <c r="W30" s="48" t="s">
        <v>105</v>
      </c>
      <c r="X30" s="49" t="s">
        <v>106</v>
      </c>
      <c r="Y30" s="49" t="s">
        <v>107</v>
      </c>
      <c r="Z30" s="55" t="s">
        <v>108</v>
      </c>
      <c r="AA30" s="81">
        <f>Z26</f>
        <v>25</v>
      </c>
      <c r="AB30" s="82"/>
      <c r="AC30" s="49" t="s">
        <v>22</v>
      </c>
      <c r="AD30" s="49" t="s">
        <v>23</v>
      </c>
      <c r="AE30" s="69" t="s">
        <v>24</v>
      </c>
      <c r="AG30">
        <v>0.99980000000000002</v>
      </c>
    </row>
    <row r="31" spans="1:35" x14ac:dyDescent="0.25">
      <c r="L31" s="4">
        <f>Z7</f>
        <v>0.99842514673838123</v>
      </c>
      <c r="M31" s="5">
        <f>Z14</f>
        <v>1.1143907985019913E-3</v>
      </c>
      <c r="N31" s="6">
        <f>Z21</f>
        <v>4.6046218970996884E-4</v>
      </c>
      <c r="O31" s="11">
        <f t="shared" si="8"/>
        <v>0.99999999972659315</v>
      </c>
      <c r="R31" s="45">
        <v>1</v>
      </c>
      <c r="S31" s="63">
        <f>C41</f>
        <v>0.86351674823944546</v>
      </c>
      <c r="T31" s="64">
        <f t="shared" ref="T31:U35" si="9">D41</f>
        <v>0.13521164519111264</v>
      </c>
      <c r="U31" s="64">
        <f t="shared" si="9"/>
        <v>1.2716065694419049E-3</v>
      </c>
      <c r="V31" s="60">
        <f>SUM(S31:U31)</f>
        <v>1</v>
      </c>
      <c r="W31" s="64">
        <f>G41</f>
        <v>3.6193341237978988E-2</v>
      </c>
      <c r="X31" s="64">
        <f t="shared" ref="X31:Y35" si="10">H41</f>
        <v>0.55568366292387328</v>
      </c>
      <c r="Y31" s="64">
        <f t="shared" si="10"/>
        <v>0.40812299583814771</v>
      </c>
      <c r="Z31" s="57">
        <f>SUM(W31:Y31)</f>
        <v>1</v>
      </c>
      <c r="AA31" s="26">
        <f t="shared" ref="AA31:AA33" si="11">(AB33*(W32-W33)+AA32*(S32-W32))/(S31-W32)</f>
        <v>14.925266809536856</v>
      </c>
      <c r="AB31" s="26">
        <f>AA30+AB36-AA35</f>
        <v>20.690942276908881</v>
      </c>
      <c r="AC31" s="70">
        <f>W31/S31</f>
        <v>4.1913884486630588E-2</v>
      </c>
      <c r="AD31" s="71">
        <f t="shared" ref="AD31:AE35" si="12">X31/T31</f>
        <v>4.1097322803701672</v>
      </c>
      <c r="AE31" s="72">
        <f t="shared" si="12"/>
        <v>320.95068211016616</v>
      </c>
      <c r="AG31" t="s">
        <v>146</v>
      </c>
    </row>
    <row r="32" spans="1:35" ht="15.75" thickBot="1" x14ac:dyDescent="0.3">
      <c r="L32" s="7">
        <f>Z8</f>
        <v>0.99935680236889124</v>
      </c>
      <c r="M32" s="8">
        <f>Z15</f>
        <v>1.8671486199574642E-4</v>
      </c>
      <c r="N32" s="9">
        <f>Z22</f>
        <v>4.5648272152805608E-4</v>
      </c>
      <c r="O32" s="12">
        <f t="shared" si="8"/>
        <v>0.99999999995241506</v>
      </c>
      <c r="R32" s="46">
        <v>2</v>
      </c>
      <c r="S32" s="65">
        <f t="shared" ref="S32:S35" si="13">C42</f>
        <v>0.97096968372165349</v>
      </c>
      <c r="T32" s="66">
        <f t="shared" si="9"/>
        <v>2.8445586424948918E-2</v>
      </c>
      <c r="U32" s="66">
        <f t="shared" si="9"/>
        <v>5.8472985339759064E-4</v>
      </c>
      <c r="V32" s="61">
        <f t="shared" ref="V32:V35" si="14">SUM(S32:U32)</f>
        <v>1</v>
      </c>
      <c r="W32" s="66">
        <f t="shared" ref="W32:W35" si="15">G42</f>
        <v>1.2913479305518553E-2</v>
      </c>
      <c r="X32" s="66">
        <f t="shared" si="10"/>
        <v>0.18986887963795149</v>
      </c>
      <c r="Y32" s="66">
        <f t="shared" si="10"/>
        <v>0.79721764105652992</v>
      </c>
      <c r="Z32" s="58">
        <f t="shared" ref="Z32:Z35" si="16">SUM(W32:Y32)</f>
        <v>1</v>
      </c>
      <c r="AA32" s="26">
        <f t="shared" si="11"/>
        <v>13.161883922132473</v>
      </c>
      <c r="AB32" s="26">
        <f>AA31+AB33-AA32</f>
        <v>10.616209086445737</v>
      </c>
      <c r="AC32" s="73">
        <f t="shared" ref="AC32:AC35" si="17">W32/S32</f>
        <v>1.3299570029851151E-2</v>
      </c>
      <c r="AD32" s="5">
        <f t="shared" si="12"/>
        <v>6.6748098211616478</v>
      </c>
      <c r="AE32" s="74">
        <f t="shared" si="12"/>
        <v>1363.3947991953421</v>
      </c>
      <c r="AG32" s="176">
        <f>AG30*Z26*AB26/X31</f>
        <v>20.691088774325092</v>
      </c>
    </row>
    <row r="33" spans="3:33" x14ac:dyDescent="0.25">
      <c r="R33" s="46">
        <v>3</v>
      </c>
      <c r="S33" s="65">
        <f t="shared" si="13"/>
        <v>0.99379989684661085</v>
      </c>
      <c r="T33" s="66">
        <f t="shared" si="9"/>
        <v>5.7196639962113667E-3</v>
      </c>
      <c r="U33" s="66">
        <f t="shared" si="9"/>
        <v>4.8043915717777724E-4</v>
      </c>
      <c r="V33" s="61">
        <f t="shared" si="14"/>
        <v>1</v>
      </c>
      <c r="W33" s="66">
        <f t="shared" si="15"/>
        <v>3.237904232286292E-3</v>
      </c>
      <c r="X33" s="66">
        <f t="shared" si="10"/>
        <v>4.2022192454357586E-2</v>
      </c>
      <c r="Y33" s="66">
        <f t="shared" si="10"/>
        <v>0.95473990331335612</v>
      </c>
      <c r="Z33" s="58">
        <f t="shared" si="16"/>
        <v>1</v>
      </c>
      <c r="AA33" s="26">
        <f t="shared" si="11"/>
        <v>12.849021780330506</v>
      </c>
      <c r="AB33" s="26">
        <f>AA32+AB34-AA33</f>
        <v>8.8528261990413526</v>
      </c>
      <c r="AC33" s="73">
        <f t="shared" si="17"/>
        <v>3.2581048182439586E-3</v>
      </c>
      <c r="AD33" s="5">
        <f t="shared" si="12"/>
        <v>7.3469687174268552</v>
      </c>
      <c r="AE33" s="74">
        <f t="shared" si="12"/>
        <v>1987.2233331723896</v>
      </c>
      <c r="AG33" t="s">
        <v>147</v>
      </c>
    </row>
    <row r="34" spans="3:33" ht="15.75" thickBot="1" x14ac:dyDescent="0.3">
      <c r="R34" s="46">
        <v>4</v>
      </c>
      <c r="S34" s="65">
        <f t="shared" si="13"/>
        <v>0.99842514673838112</v>
      </c>
      <c r="T34" s="66">
        <f t="shared" si="9"/>
        <v>1.1143910719765176E-3</v>
      </c>
      <c r="U34" s="66">
        <f t="shared" si="9"/>
        <v>4.6046218964237019E-4</v>
      </c>
      <c r="V34" s="61">
        <f t="shared" si="14"/>
        <v>1</v>
      </c>
      <c r="W34" s="66">
        <f t="shared" si="15"/>
        <v>2.134769433876635E-3</v>
      </c>
      <c r="X34" s="66">
        <f t="shared" si="10"/>
        <v>8.3267014254680867E-3</v>
      </c>
      <c r="Y34" s="66">
        <f t="shared" si="10"/>
        <v>0.98953852914065532</v>
      </c>
      <c r="Z34" s="58">
        <f t="shared" si="16"/>
        <v>1</v>
      </c>
      <c r="AA34" s="26">
        <f>(AB36*(W35-W36)+AA35*(S35-W35))/(S34-W35)</f>
        <v>12.787758647533552</v>
      </c>
      <c r="AB34" s="26">
        <f>AA33+AB35-AA34</f>
        <v>8.539964057239386</v>
      </c>
      <c r="AC34" s="73">
        <f t="shared" si="17"/>
        <v>2.138136685409439E-3</v>
      </c>
      <c r="AD34" s="5">
        <f t="shared" si="12"/>
        <v>7.4719742780239597</v>
      </c>
      <c r="AE34" s="74">
        <f t="shared" si="12"/>
        <v>2149.0114745560454</v>
      </c>
      <c r="AG34" s="176">
        <f>AG36+Z26-AG32</f>
        <v>12.759327132391629</v>
      </c>
    </row>
    <row r="35" spans="3:33" ht="18.75" thickBot="1" x14ac:dyDescent="0.4">
      <c r="C35" s="36" t="s">
        <v>38</v>
      </c>
      <c r="D35" s="37" t="s">
        <v>39</v>
      </c>
      <c r="E35" s="37" t="s">
        <v>40</v>
      </c>
      <c r="F35" s="37" t="s">
        <v>41</v>
      </c>
      <c r="G35" s="37" t="s">
        <v>42</v>
      </c>
      <c r="H35" s="38" t="s">
        <v>43</v>
      </c>
      <c r="R35" s="47">
        <v>5</v>
      </c>
      <c r="S35" s="67">
        <f t="shared" si="13"/>
        <v>0.99935680236889135</v>
      </c>
      <c r="T35" s="68">
        <f t="shared" si="9"/>
        <v>1.8671490958804501E-4</v>
      </c>
      <c r="U35" s="68">
        <f t="shared" si="9"/>
        <v>4.5648272152070887E-4</v>
      </c>
      <c r="V35" s="62">
        <f t="shared" si="14"/>
        <v>1</v>
      </c>
      <c r="W35" s="68">
        <f t="shared" si="15"/>
        <v>1.9453615157750909E-3</v>
      </c>
      <c r="X35" s="68">
        <f>H45</f>
        <v>1.3997670994453362E-3</v>
      </c>
      <c r="Y35" s="68">
        <f t="shared" si="10"/>
        <v>0.99665487138477959</v>
      </c>
      <c r="Z35" s="59">
        <f t="shared" si="16"/>
        <v>1</v>
      </c>
      <c r="AA35" s="26">
        <f>(AA30*(AA26-W31)+AB36*(AA27-W31))/(S35-W31)</f>
        <v>12.759332438035184</v>
      </c>
      <c r="AB35" s="26">
        <f>AA34+AB36-AA35</f>
        <v>8.4787009244424318</v>
      </c>
      <c r="AC35" s="75">
        <f t="shared" si="17"/>
        <v>1.9466135730139373E-3</v>
      </c>
      <c r="AD35" s="76">
        <f t="shared" si="12"/>
        <v>7.4968148099885887</v>
      </c>
      <c r="AE35" s="77">
        <f t="shared" si="12"/>
        <v>2183.3353693313124</v>
      </c>
      <c r="AG35" t="s">
        <v>148</v>
      </c>
    </row>
    <row r="36" spans="3:33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50"/>
      <c r="W36" s="51">
        <v>0</v>
      </c>
      <c r="X36">
        <f>AB27</f>
        <v>0</v>
      </c>
      <c r="Y36" s="52">
        <v>1</v>
      </c>
      <c r="Z36" s="56"/>
      <c r="AA36" s="83"/>
      <c r="AB36" s="84">
        <f>Z27</f>
        <v>8.4502747149440633</v>
      </c>
      <c r="AG36" s="221">
        <f>(AG32*(W31-S35)+Z26*(S35-AA26))/(AA27-S35)</f>
        <v>8.4504159067167208</v>
      </c>
    </row>
    <row r="37" spans="3:33" ht="18.75" thickBot="1" x14ac:dyDescent="0.4">
      <c r="C37" s="36" t="s">
        <v>44</v>
      </c>
      <c r="D37" s="37" t="s">
        <v>45</v>
      </c>
      <c r="E37" s="37" t="s">
        <v>46</v>
      </c>
      <c r="F37" s="37" t="s">
        <v>47</v>
      </c>
      <c r="G37" s="37" t="s">
        <v>48</v>
      </c>
      <c r="H37" s="38" t="s">
        <v>49</v>
      </c>
    </row>
    <row r="38" spans="3:33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  <c r="AG38" s="113">
        <f>AG36-Z27</f>
        <v>1.4119177265747851E-4</v>
      </c>
    </row>
    <row r="39" spans="3:33" ht="15.75" thickBot="1" x14ac:dyDescent="0.3"/>
    <row r="40" spans="3:33" ht="16.5" thickBot="1" x14ac:dyDescent="0.3">
      <c r="C40" s="16" t="s">
        <v>50</v>
      </c>
      <c r="D40" s="17" t="s">
        <v>51</v>
      </c>
      <c r="E40" s="18" t="s">
        <v>52</v>
      </c>
      <c r="G40" s="16" t="s">
        <v>53</v>
      </c>
      <c r="H40" s="17" t="s">
        <v>54</v>
      </c>
      <c r="I40" s="18" t="s">
        <v>55</v>
      </c>
      <c r="L40" s="39" t="s">
        <v>56</v>
      </c>
      <c r="M40" s="40" t="s">
        <v>57</v>
      </c>
      <c r="N40" s="40" t="s">
        <v>58</v>
      </c>
      <c r="O40" s="40" t="s">
        <v>59</v>
      </c>
      <c r="P40" s="40" t="s">
        <v>60</v>
      </c>
      <c r="Q40" s="40" t="s">
        <v>61</v>
      </c>
      <c r="R40" s="40" t="s">
        <v>62</v>
      </c>
      <c r="S40" s="40" t="s">
        <v>63</v>
      </c>
      <c r="T40" s="40" t="s">
        <v>64</v>
      </c>
      <c r="U40" s="40" t="s">
        <v>65</v>
      </c>
      <c r="V40" s="40" t="s">
        <v>66</v>
      </c>
      <c r="W40" s="40" t="s">
        <v>67</v>
      </c>
      <c r="X40" s="40" t="s">
        <v>68</v>
      </c>
      <c r="Y40" s="40" t="s">
        <v>69</v>
      </c>
      <c r="Z40" s="41" t="s">
        <v>70</v>
      </c>
    </row>
    <row r="41" spans="3:33" x14ac:dyDescent="0.25">
      <c r="C41">
        <f>1-D41-E41</f>
        <v>0.86351674823944546</v>
      </c>
      <c r="D41" s="42">
        <v>0.13521164519111264</v>
      </c>
      <c r="E41" s="42">
        <v>1.2716065694419049E-3</v>
      </c>
      <c r="F41" s="42"/>
      <c r="G41" s="42">
        <v>3.6193341237978988E-2</v>
      </c>
      <c r="H41" s="42">
        <v>0.55568366292387328</v>
      </c>
      <c r="I41">
        <f>1-G41-H41</f>
        <v>0.40812299583814771</v>
      </c>
      <c r="L41">
        <f>$C41+$D$38*$D41+$F$38*$E41</f>
        <v>0.9071281912503868</v>
      </c>
      <c r="M41">
        <f>$C$38*$C41+$D41+$H$38*$E41</f>
        <v>0.508099582439136</v>
      </c>
      <c r="N41">
        <f>$E$38*$C41+$G$38*$D41+$E41</f>
        <v>7.5156475249748014E-2</v>
      </c>
      <c r="O41">
        <f>$D41*$D$36*$D$38+$E41*$F$36*$F$38</f>
        <v>0.12400332985991599</v>
      </c>
      <c r="P41">
        <f>$C41*$C$36*$C$38+$E41*$H$36*$H$38</f>
        <v>0.78352992092482299</v>
      </c>
      <c r="Q41">
        <f>$C41*$E$36*$E$38+$D41*$G$36*$G$38</f>
        <v>0.45011845941519607</v>
      </c>
      <c r="R41">
        <f>(O41/L41)-(C41*O41/L41^2)+(D41*$C$38/M41)*($C$36-P41/M41)+(E41*$E$38/N41)*($E$36-Q41/N41)</f>
        <v>7.2496218847870331E-2</v>
      </c>
      <c r="S41">
        <f>(P41/M41)-(D41*P41/M41^2)+(C41*$D$38/L41)*($D$36-O41/L41)+(E41*$G$38/N41)*($G$36-Q41/N41)</f>
        <v>1.9514893417752073</v>
      </c>
      <c r="T41">
        <f>(Q41/N41)-(E41*Q41/N41^2)+(C41*$F$38/L41)*($F$36-O41/L41)+(D41*$H$38/M41)*($H$36-P41/M41)</f>
        <v>6.0543662127761797</v>
      </c>
      <c r="U41">
        <f>EXP(R41)</f>
        <v>1.0751887406302725</v>
      </c>
      <c r="V41">
        <f>EXP(S41)</f>
        <v>7.0391634978020949</v>
      </c>
      <c r="W41">
        <f>EXP(T41)</f>
        <v>425.96884627110512</v>
      </c>
      <c r="X41">
        <f>U41/U47</f>
        <v>4.1913884482460875E-2</v>
      </c>
      <c r="Y41">
        <f>V41/V47</f>
        <v>4.1097322658512674</v>
      </c>
      <c r="Z41">
        <f>W41/W47</f>
        <v>320.95068277294428</v>
      </c>
    </row>
    <row r="42" spans="3:33" x14ac:dyDescent="0.25">
      <c r="C42">
        <f t="shared" ref="C42:C45" si="18">1-D42-E42</f>
        <v>0.97096968372165349</v>
      </c>
      <c r="D42">
        <v>2.8445586424948918E-2</v>
      </c>
      <c r="E42" s="42">
        <v>5.8472985339759064E-4</v>
      </c>
      <c r="G42" s="42">
        <v>1.2913479305518553E-2</v>
      </c>
      <c r="H42">
        <v>0.18986887963795149</v>
      </c>
      <c r="I42">
        <f t="shared" ref="I42:I45" si="19">1-G42-H42</f>
        <v>0.79721764105652992</v>
      </c>
      <c r="L42">
        <f>$C42+$D$38*$D42+$F$38*$E42</f>
        <v>0.98017191063827136</v>
      </c>
      <c r="M42">
        <f t="shared" ref="M42:M45" si="20">$C$38*$C42+$D42+$H$38*$E42</f>
        <v>0.44695825113062404</v>
      </c>
      <c r="N42">
        <f t="shared" ref="N42:N45" si="21">$E$38*$C42+$G$38*$D42+$E42</f>
        <v>5.8955743060515743E-2</v>
      </c>
      <c r="O42">
        <f t="shared" ref="O42:O45" si="22">$D42*$D$36*$D$38+$E42*$F$36*$F$38</f>
        <v>2.6255100939429964E-2</v>
      </c>
      <c r="P42">
        <f t="shared" ref="P42:P45" si="23">$C42*$C$36*$C$38+$E42*$H$36*$H$38</f>
        <v>0.88086432997626873</v>
      </c>
      <c r="Q42">
        <f t="shared" ref="Q42:Q45" si="24">$C42*$E$36*$E$38+$D42*$G$36*$G$38</f>
        <v>0.40668922778921951</v>
      </c>
      <c r="R42">
        <f>(O42/L42)-(C42*O42/L42^2)+(D42*$C$38/M42)*($C$36-P42/M42)+(E42*$E$38/N42)*($E$36-Q42/N42)</f>
        <v>4.1959804479404055E-3</v>
      </c>
      <c r="S42">
        <f>(P42/M42)-(D42*P42/M42^2)+(C42*$D$38/L42)*($D$36-O42/L42)+(E42*$G$38/N42)*($G$36-Q42/N42)</f>
        <v>2.7347122660573859</v>
      </c>
      <c r="T42">
        <f>(Q42/N42)-(E42*Q42/N42^2)+(C42*$F$38/L42)*($F$36-O42/L42)+(D42*$H$38/M42)*($H$36-P42/M42)</f>
        <v>7.2478485154959742</v>
      </c>
      <c r="U42">
        <f t="shared" ref="U42:W45" si="25">EXP(R42)</f>
        <v>1.0042047958994083</v>
      </c>
      <c r="V42">
        <f t="shared" si="25"/>
        <v>15.405310167527313</v>
      </c>
      <c r="W42">
        <f t="shared" si="25"/>
        <v>1405.0785890858897</v>
      </c>
      <c r="X42">
        <f t="shared" ref="X42:Z45" si="26">U42/U48</f>
        <v>1.3299569450614154E-2</v>
      </c>
      <c r="Y42">
        <f t="shared" si="26"/>
        <v>6.6748098168226084</v>
      </c>
      <c r="Z42">
        <f t="shared" si="26"/>
        <v>1363.3947970748675</v>
      </c>
    </row>
    <row r="43" spans="3:33" x14ac:dyDescent="0.25">
      <c r="C43">
        <f t="shared" si="18"/>
        <v>0.99379989684661085</v>
      </c>
      <c r="D43">
        <v>5.7196639962113667E-3</v>
      </c>
      <c r="E43" s="42">
        <v>4.8043915717777724E-4</v>
      </c>
      <c r="G43" s="42">
        <v>3.237904232286292E-3</v>
      </c>
      <c r="H43">
        <v>4.2022192454357586E-2</v>
      </c>
      <c r="I43">
        <f t="shared" si="19"/>
        <v>0.95473990331335612</v>
      </c>
      <c r="L43">
        <f t="shared" ref="L43:L45" si="27">$C43+$D$38*$D43+$F$38*$E43</f>
        <v>0.9956814861741804</v>
      </c>
      <c r="M43">
        <f t="shared" si="20"/>
        <v>0.43396432978232113</v>
      </c>
      <c r="N43">
        <f t="shared" si="21"/>
        <v>5.5546942465532149E-2</v>
      </c>
      <c r="O43">
        <f t="shared" si="22"/>
        <v>5.4708216145728881E-3</v>
      </c>
      <c r="P43">
        <f t="shared" si="23"/>
        <v>0.90155283296744948</v>
      </c>
      <c r="Q43">
        <f t="shared" si="24"/>
        <v>0.39742843549990053</v>
      </c>
      <c r="R43">
        <f>(O43/L43)-(C43*O43/L43^2)+(D43*$C$38/M43)*($C$36-P43/M43)+(E43*$E$38/N43)*($E$36-Q43/N43)</f>
        <v>2.3994989465245936E-4</v>
      </c>
      <c r="S43">
        <f>(P43/M43)-(D43*P43/M43^2)+(C43*$D$38/L43)*($D$36-O43/L43)+(E43*$G$38/N43)*($G$36-Q43/N43)</f>
        <v>2.9533389897347417</v>
      </c>
      <c r="T43">
        <f>(Q43/N43)-(E43*Q43/N43^2)+(C43*$F$38/L43)*($F$36-O43/L43)+(D43*$H$38/M43)*($H$36-P43/M43)</f>
        <v>7.5969373275978516</v>
      </c>
      <c r="U43">
        <f t="shared" si="25"/>
        <v>1.0002399786849312</v>
      </c>
      <c r="V43">
        <f t="shared" si="25"/>
        <v>19.169854934970584</v>
      </c>
      <c r="W43">
        <f t="shared" si="25"/>
        <v>1992.085437623163</v>
      </c>
      <c r="X43">
        <f t="shared" si="26"/>
        <v>3.2581047803646726E-3</v>
      </c>
      <c r="Y43">
        <f t="shared" si="26"/>
        <v>7.3469687158701866</v>
      </c>
      <c r="Z43">
        <f t="shared" si="26"/>
        <v>1987.2233322171874</v>
      </c>
    </row>
    <row r="44" spans="3:33" x14ac:dyDescent="0.25">
      <c r="C44">
        <f t="shared" si="18"/>
        <v>0.99842514673838112</v>
      </c>
      <c r="D44">
        <v>1.1143910719765176E-3</v>
      </c>
      <c r="E44" s="42">
        <v>4.6046218964237019E-4</v>
      </c>
      <c r="G44" s="42">
        <v>2.134769433876635E-3</v>
      </c>
      <c r="H44">
        <v>8.3267014254680867E-3</v>
      </c>
      <c r="I44">
        <f t="shared" si="19"/>
        <v>0.98953852914065532</v>
      </c>
      <c r="L44">
        <f t="shared" si="27"/>
        <v>0.99882335210060602</v>
      </c>
      <c r="M44">
        <f t="shared" si="20"/>
        <v>0.43133175340025243</v>
      </c>
      <c r="N44">
        <f t="shared" si="21"/>
        <v>5.485726346024699E-2</v>
      </c>
      <c r="O44">
        <f t="shared" si="22"/>
        <v>1.2596220089852884E-3</v>
      </c>
      <c r="P44">
        <f t="shared" si="23"/>
        <v>0.90574441176772702</v>
      </c>
      <c r="Q44">
        <f t="shared" si="24"/>
        <v>0.39555133375449902</v>
      </c>
      <c r="R44">
        <f>(O44/L44)-(C44*O44/L44^2)+(D44*$C$38/M44)*($C$36-P44/M44)+(E44*$E$38/N44)*($E$36-Q44/N44)</f>
        <v>4.2503071727518147E-5</v>
      </c>
      <c r="S44">
        <f>(P44/M44)-(D44*P44/M44^2)+(C44*$D$38/L44)*($D$36-O44/L44)+(E44*$G$38/N44)*($G$36-Q44/N44)</f>
        <v>3.0004776325051412</v>
      </c>
      <c r="T44">
        <f>(Q44/N44)-(E44*Q44/N44^2)+(C44*$F$38/L44)*($F$36-O44/L44)+(D44*$H$38/M44)*($H$36-P44/M44)</f>
        <v>7.6732739234682983</v>
      </c>
      <c r="U44">
        <f t="shared" si="25"/>
        <v>1.0000425039749958</v>
      </c>
      <c r="V44">
        <f t="shared" si="25"/>
        <v>20.095132719955195</v>
      </c>
      <c r="W44">
        <f t="shared" si="25"/>
        <v>2150.1092278196593</v>
      </c>
      <c r="X44">
        <f t="shared" si="26"/>
        <v>2.1381366801575511E-3</v>
      </c>
      <c r="Y44">
        <f t="shared" si="26"/>
        <v>7.4719742777257405</v>
      </c>
      <c r="Z44">
        <f t="shared" si="26"/>
        <v>2149.0114743205286</v>
      </c>
    </row>
    <row r="45" spans="3:33" ht="15.75" thickBot="1" x14ac:dyDescent="0.3">
      <c r="C45">
        <f t="shared" si="18"/>
        <v>0.99935680236889135</v>
      </c>
      <c r="D45">
        <v>1.8671490958804501E-4</v>
      </c>
      <c r="E45" s="42">
        <v>4.5648272152070887E-4</v>
      </c>
      <c r="G45" s="42">
        <v>1.9453615157750909E-3</v>
      </c>
      <c r="H45">
        <v>1.3997670994453362E-3</v>
      </c>
      <c r="I45">
        <f t="shared" si="19"/>
        <v>0.99665487138477959</v>
      </c>
      <c r="L45">
        <f t="shared" si="27"/>
        <v>0.99945620193780949</v>
      </c>
      <c r="M45">
        <f t="shared" si="20"/>
        <v>0.43080147472258867</v>
      </c>
      <c r="N45">
        <f t="shared" si="21"/>
        <v>5.471837824747898E-2</v>
      </c>
      <c r="O45">
        <f t="shared" si="22"/>
        <v>4.1135069517323104E-4</v>
      </c>
      <c r="P45">
        <f t="shared" si="23"/>
        <v>0.90658872251589762</v>
      </c>
      <c r="Q45">
        <f t="shared" si="24"/>
        <v>0.39517319681255192</v>
      </c>
      <c r="R45">
        <f>(O45/L45)-(C45*O45/L45^2)+(D45*$C$38/M45)*($C$36-P45/M45)+(E45*$E$38/N45)*($E$36-Q45/N45)</f>
        <v>2.90715559264039E-5</v>
      </c>
      <c r="S45">
        <f>(P45/M45)-(D45*P45/M45^2)+(C45*$D$38/L45)*($D$36-O45/L45)+(E45*$G$38/N45)*($G$36-Q45/N45)</f>
        <v>3.010095289762718</v>
      </c>
      <c r="T45">
        <f>(Q45/N45)-(E45*Q45/N45^2)+(C45*$F$38/L45)*($F$36-O45/L45)+(D45*$H$38/M45)*($H$36-P45/M45)</f>
        <v>7.6888961822615682</v>
      </c>
      <c r="U45">
        <f t="shared" si="25"/>
        <v>1.0000290719785081</v>
      </c>
      <c r="V45">
        <f t="shared" si="25"/>
        <v>20.289333198875102</v>
      </c>
      <c r="W45">
        <f t="shared" si="25"/>
        <v>2183.9625346679036</v>
      </c>
      <c r="X45">
        <f t="shared" si="26"/>
        <v>1.9466135721737409E-3</v>
      </c>
      <c r="Y45">
        <f t="shared" si="26"/>
        <v>7.4968148099376641</v>
      </c>
      <c r="Z45">
        <f t="shared" si="26"/>
        <v>2183.3353692887504</v>
      </c>
    </row>
    <row r="46" spans="3:33" ht="16.5" thickBot="1" x14ac:dyDescent="0.3">
      <c r="L46" s="39" t="s">
        <v>71</v>
      </c>
      <c r="M46" s="40" t="s">
        <v>72</v>
      </c>
      <c r="N46" s="40" t="s">
        <v>73</v>
      </c>
      <c r="O46" s="40" t="s">
        <v>74</v>
      </c>
      <c r="P46" s="40" t="s">
        <v>75</v>
      </c>
      <c r="Q46" s="40" t="s">
        <v>76</v>
      </c>
      <c r="R46" s="40" t="s">
        <v>77</v>
      </c>
      <c r="S46" s="40" t="s">
        <v>78</v>
      </c>
      <c r="T46" s="40" t="s">
        <v>79</v>
      </c>
      <c r="U46" s="40" t="s">
        <v>80</v>
      </c>
      <c r="V46" s="40" t="s">
        <v>81</v>
      </c>
      <c r="W46" s="40" t="s">
        <v>82</v>
      </c>
      <c r="X46" s="40" t="s">
        <v>83</v>
      </c>
      <c r="Y46" s="40" t="s">
        <v>84</v>
      </c>
      <c r="Z46" s="41" t="s">
        <v>85</v>
      </c>
    </row>
    <row r="47" spans="3:33" ht="15.75" thickBot="1" x14ac:dyDescent="0.3">
      <c r="L47">
        <f>$G41+$D$38*$H41+$F$38*$I41</f>
        <v>0.25013555812869576</v>
      </c>
      <c r="M47">
        <f>$C$38*$G41+$H41+$H$38*$I41</f>
        <v>0.94606659959143746</v>
      </c>
      <c r="N47">
        <f>$E$38*$G41+$G$38*$H41+$I41</f>
        <v>0.52117662828526012</v>
      </c>
      <c r="O47">
        <f>$H41*$D$36*$D$38+$I41*$F$36*$F$38</f>
        <v>0.72236582132706284</v>
      </c>
      <c r="P47">
        <f>$G41*$C$36*$C$38+$I41*$H$36*$H$38</f>
        <v>0.1126341312357679</v>
      </c>
      <c r="Q47">
        <f>$G41*$E$36*$E$38+$H41*$G$36*$G$38</f>
        <v>0.46140405065288759</v>
      </c>
      <c r="R47">
        <f>(O47/L47)-(G41*O47/L47^2)+(H41*$C$38/M47)*($C$36-P47/M47)+(I41*$E$38/N47)*($E$36-Q47/N47)</f>
        <v>3.2446343538970153</v>
      </c>
      <c r="S47">
        <f>(P47/M47)-(H41*P47/M47^2)+(G41*$D$38/L47)*($D$36-O47/L47)+(I41*$G$38/N47)*($G$36-Q47/N47)</f>
        <v>0.53813145751755009</v>
      </c>
      <c r="T47">
        <f>(Q47/N47)-(I41*Q47/N47^2)+(G41*$F$38/L47)*($F$36-O47/L47)+(H41*$H$38/M47)*($H$36-P47/M47)</f>
        <v>0.28307873767077446</v>
      </c>
      <c r="U47">
        <f>EXP(R47)</f>
        <v>25.652328671187512</v>
      </c>
      <c r="V47">
        <f>EXP(S47)</f>
        <v>1.7128034242746568</v>
      </c>
      <c r="W47">
        <f>EXP(T47)</f>
        <v>1.3272096591003537</v>
      </c>
      <c r="X47">
        <f>U47/U41</f>
        <v>23.85844243137274</v>
      </c>
      <c r="Y47">
        <f>V47/V41</f>
        <v>0.24332485313197538</v>
      </c>
      <c r="Z47">
        <f>W47/W41</f>
        <v>3.11574348856409E-3</v>
      </c>
    </row>
    <row r="48" spans="3:33" ht="15.75" thickBot="1" x14ac:dyDescent="0.3">
      <c r="C48" s="232" t="s">
        <v>86</v>
      </c>
      <c r="D48" s="233"/>
      <c r="E48" s="233"/>
      <c r="F48" s="233"/>
      <c r="G48" s="233"/>
      <c r="H48" s="233"/>
      <c r="I48" s="234"/>
      <c r="L48">
        <f t="shared" ref="L48:L51" si="28">$G42+$D$38*$H42+$F$38*$I42</f>
        <v>0.14268317858738505</v>
      </c>
      <c r="M48">
        <f t="shared" ref="M48:M51" si="29">$C$38*$G42+$H42+$H$38*$I42</f>
        <v>0.92755835577089363</v>
      </c>
      <c r="N48">
        <f t="shared" ref="N48:N51" si="30">$E$38*$G42+$G$38*$H42+$I42</f>
        <v>0.83587605967578038</v>
      </c>
      <c r="O48">
        <f t="shared" ref="O48:O51" si="31">$H42*$D$36*$D$38+$I42*$F$36*$F$38</f>
        <v>0.59414887092683333</v>
      </c>
      <c r="P48">
        <f t="shared" ref="P48:P51" si="32">$G42*$C$36*$C$38+$I42*$H$36*$H$38</f>
        <v>0.16760036139956938</v>
      </c>
      <c r="Q48">
        <f t="shared" ref="Q48:Q51" si="33">$G42*$E$36*$E$38+$H42*$G$36*$G$38</f>
        <v>0.15787105013770755</v>
      </c>
      <c r="R48">
        <f>(O48/L48)-(G42*O48/L48^2)+(H42*$C$38/M48)*($C$36-P48/M48)+(I42*$E$38/N48)*($E$36-Q48/N48)</f>
        <v>4.3242195968606323</v>
      </c>
      <c r="S48">
        <f>(P48/M48)-(H42*P48/M48^2)+(G42*$D$38/L48)*($D$36-O48/L48)+(I42*$G$38/N48)*($G$36-Q48/N48)</f>
        <v>0.83637155403875496</v>
      </c>
      <c r="T48">
        <f>(Q48/N48)-(I42*Q48/N48^2)+(G42*$F$38/L48)*($F$36-O48/L48)+(H42*$H$38/M48)*($H$36-P48/M48)</f>
        <v>3.0115472714465536E-2</v>
      </c>
      <c r="U48">
        <f t="shared" ref="U48:W51" si="34">EXP(R48)</f>
        <v>75.506564301074846</v>
      </c>
      <c r="V48">
        <f t="shared" si="34"/>
        <v>2.3079773941575255</v>
      </c>
      <c r="W48">
        <f t="shared" si="34"/>
        <v>1.0305735302059638</v>
      </c>
      <c r="X48">
        <f t="shared" ref="X48:Z51" si="35">U48/U42</f>
        <v>75.190403998666397</v>
      </c>
      <c r="Y48">
        <f t="shared" si="35"/>
        <v>0.14981700264772896</v>
      </c>
      <c r="Z48">
        <f t="shared" si="35"/>
        <v>7.3346326547928543E-4</v>
      </c>
    </row>
    <row r="49" spans="2:26" ht="15.75" thickBot="1" x14ac:dyDescent="0.3">
      <c r="B49" s="19" t="s">
        <v>87</v>
      </c>
      <c r="C49" s="17" t="s">
        <v>50</v>
      </c>
      <c r="D49" s="17" t="s">
        <v>51</v>
      </c>
      <c r="E49" s="17" t="s">
        <v>52</v>
      </c>
      <c r="F49" s="17"/>
      <c r="G49" s="17" t="s">
        <v>53</v>
      </c>
      <c r="H49" s="17" t="s">
        <v>54</v>
      </c>
      <c r="I49" s="17" t="s">
        <v>88</v>
      </c>
      <c r="J49" s="19" t="s">
        <v>87</v>
      </c>
      <c r="L49">
        <f t="shared" si="28"/>
        <v>9.9011662527376393E-2</v>
      </c>
      <c r="M49">
        <f t="shared" si="29"/>
        <v>0.92020830773758089</v>
      </c>
      <c r="N49">
        <f t="shared" si="30"/>
        <v>0.96331647968156464</v>
      </c>
      <c r="O49">
        <f t="shared" si="31"/>
        <v>0.54246997180029055</v>
      </c>
      <c r="P49">
        <f t="shared" si="32"/>
        <v>0.18962548425942966</v>
      </c>
      <c r="Q49">
        <f t="shared" si="33"/>
        <v>3.5090515359841708E-2</v>
      </c>
      <c r="R49">
        <f>(O49/L49)-(G43*O49/L49^2)+(H43*$C$38/M49)*($C$36-P49/M49)+(I43*$E$38/N49)*($E$36-Q49/N49)</f>
        <v>5.7268495582672889</v>
      </c>
      <c r="S49">
        <f>(P49/M49)-(H43*P49/M49^2)+(G43*$D$38/L49)*($D$36-O49/L49)+(I43*$G$38/N49)*($G$36-Q49/N49)</f>
        <v>0.95905118118785204</v>
      </c>
      <c r="T49">
        <f>(Q49/N49)-(I43*Q49/N49^2)+(G43*$F$38/L49)*($F$36-O49/L49)+(H43*$H$38/M49)*($H$36-P49/M49)</f>
        <v>2.4436946750096078E-3</v>
      </c>
      <c r="U49">
        <f t="shared" si="34"/>
        <v>307.00055587929143</v>
      </c>
      <c r="V49">
        <f t="shared" si="34"/>
        <v>2.6092196219049879</v>
      </c>
      <c r="W49">
        <f t="shared" si="34"/>
        <v>1.0024466829304741</v>
      </c>
      <c r="X49">
        <f t="shared" si="35"/>
        <v>306.92689996546773</v>
      </c>
      <c r="Y49">
        <f t="shared" si="35"/>
        <v>0.13611055643123945</v>
      </c>
      <c r="Z49">
        <f t="shared" si="35"/>
        <v>5.0321470354531249E-4</v>
      </c>
    </row>
    <row r="50" spans="2:26" x14ac:dyDescent="0.25">
      <c r="B50" s="43">
        <f>SUM(C50:E50)</f>
        <v>1.0000000005609562</v>
      </c>
      <c r="C50">
        <f>G41*X47</f>
        <v>0.86351674832535064</v>
      </c>
      <c r="D50">
        <f>H41*Y47</f>
        <v>0.13521164566878957</v>
      </c>
      <c r="E50">
        <f>I41*Z47</f>
        <v>1.2716065668159778E-3</v>
      </c>
      <c r="G50">
        <f>C41*X41</f>
        <v>3.6193341234378368E-2</v>
      </c>
      <c r="H50">
        <f>D41*Y41</f>
        <v>0.55568366096074895</v>
      </c>
      <c r="I50">
        <f>E41*Z41</f>
        <v>0.40812299668094076</v>
      </c>
      <c r="J50" s="43">
        <f>SUM(G50:I50)</f>
        <v>0.99999999887606805</v>
      </c>
      <c r="L50">
        <f t="shared" si="28"/>
        <v>9.0065628106158438E-2</v>
      </c>
      <c r="M50">
        <f t="shared" si="29"/>
        <v>0.9179955169948697</v>
      </c>
      <c r="N50">
        <f t="shared" si="30"/>
        <v>0.99131899762806619</v>
      </c>
      <c r="O50">
        <f t="shared" si="31"/>
        <v>0.53011001652826473</v>
      </c>
      <c r="P50">
        <f t="shared" si="32"/>
        <v>0.19542932167318278</v>
      </c>
      <c r="Q50">
        <f t="shared" si="33"/>
        <v>7.5434083427813456E-3</v>
      </c>
      <c r="R50">
        <f>(O50/L50)-(G44*O50/L50^2)+(H44*$C$38/M50)*($C$36-P50/M50)+(I44*$E$38/N50)*($E$36-Q50/N50)</f>
        <v>6.147863042515171</v>
      </c>
      <c r="S50">
        <f>(P50/M50)-(H44*P50/M50^2)+(G44*$D$38/L50)*($D$36-O50/L50)+(I44*$G$38/N50)*($G$36-Q50/N50)</f>
        <v>0.98931837407305023</v>
      </c>
      <c r="T50">
        <f>(Q50/N50)-(I44*Q50/N50^2)+(G44*$F$38/L50)*($F$36-O50/L50)+(H44*$H$38/M50)*($H$36-P50/M50)</f>
        <v>5.1068746334207652E-4</v>
      </c>
      <c r="U50">
        <f t="shared" si="34"/>
        <v>467.71682711196297</v>
      </c>
      <c r="V50">
        <f t="shared" si="34"/>
        <v>2.6894006822078609</v>
      </c>
      <c r="W50">
        <f t="shared" si="34"/>
        <v>1.0005108178863855</v>
      </c>
      <c r="X50">
        <f t="shared" si="35"/>
        <v>467.69694813257394</v>
      </c>
      <c r="Y50">
        <f t="shared" si="35"/>
        <v>0.13383343716546786</v>
      </c>
      <c r="Z50">
        <f t="shared" si="35"/>
        <v>4.6533022831633721E-4</v>
      </c>
    </row>
    <row r="51" spans="2:26" x14ac:dyDescent="0.25">
      <c r="B51" s="43">
        <f t="shared" ref="B51:B54" si="36">SUM(C51:E51)</f>
        <v>1.0000000423081052</v>
      </c>
      <c r="C51">
        <f t="shared" ref="C51:E54" si="37">G42*X48</f>
        <v>0.97096972601035803</v>
      </c>
      <c r="D51">
        <f t="shared" si="37"/>
        <v>2.8445586443440311E-2</v>
      </c>
      <c r="E51">
        <f t="shared" si="37"/>
        <v>5.847298543070153E-4</v>
      </c>
      <c r="G51">
        <f t="shared" ref="G51:I54" si="38">C42*X42</f>
        <v>1.2913478743096991E-2</v>
      </c>
      <c r="H51">
        <f t="shared" si="38"/>
        <v>0.18986887951452497</v>
      </c>
      <c r="I51">
        <f t="shared" si="38"/>
        <v>0.79721763981662508</v>
      </c>
      <c r="J51" s="43">
        <f t="shared" ref="J51:J54" si="39">SUM(G51:I51)</f>
        <v>0.999999998074247</v>
      </c>
      <c r="L51">
        <f t="shared" si="28"/>
        <v>8.8260700464577638E-2</v>
      </c>
      <c r="M51">
        <f t="shared" si="29"/>
        <v>0.91752239208812003</v>
      </c>
      <c r="N51">
        <f t="shared" si="30"/>
        <v>0.99704026086470798</v>
      </c>
      <c r="O51">
        <f t="shared" si="31"/>
        <v>0.52754939266412093</v>
      </c>
      <c r="P51">
        <f t="shared" si="32"/>
        <v>0.19664903208783482</v>
      </c>
      <c r="Q51">
        <f t="shared" si="33"/>
        <v>1.8951960072750287E-3</v>
      </c>
      <c r="R51">
        <f>(O51/L51)-(G45*O51/L51^2)+(H45*$C$38/M51)*($C$36-P51/M51)+(I45*$E$38/N51)*($E$36-Q51/N51)</f>
        <v>6.2416931173062791</v>
      </c>
      <c r="S51">
        <f>(P51/M51)-(H45*P51/M51^2)+(G45*$D$38/L51)*($D$36-O51/L51)+(I45*$G$38/N51)*($G$36-Q51/N51)</f>
        <v>0.9956170514359568</v>
      </c>
      <c r="T51">
        <f>(Q51/N51)-(I45*Q51/N51^2)+(G45*$F$38/L51)*($F$36-O51/L51)+(H45*$H$38/M51)*($H$36-P51/M51)</f>
        <v>2.872098021507972E-4</v>
      </c>
      <c r="U51">
        <f t="shared" si="34"/>
        <v>513.72757607037408</v>
      </c>
      <c r="V51">
        <f t="shared" si="34"/>
        <v>2.7063938103392751</v>
      </c>
      <c r="W51">
        <f t="shared" si="34"/>
        <v>1.0002872510508349</v>
      </c>
      <c r="X51">
        <f t="shared" si="35"/>
        <v>513.71264142750317</v>
      </c>
      <c r="Y51">
        <f t="shared" si="35"/>
        <v>0.13338998299309932</v>
      </c>
      <c r="Z51">
        <f t="shared" si="35"/>
        <v>4.5801484007734593E-4</v>
      </c>
    </row>
    <row r="52" spans="2:26" x14ac:dyDescent="0.25">
      <c r="B52" s="43">
        <f t="shared" si="36"/>
        <v>1.0000000115555314</v>
      </c>
      <c r="C52">
        <f t="shared" si="37"/>
        <v>0.99379990840069932</v>
      </c>
      <c r="D52">
        <f t="shared" si="37"/>
        <v>5.7196639974232428E-3</v>
      </c>
      <c r="E52">
        <f t="shared" si="37"/>
        <v>4.8043915740871078E-4</v>
      </c>
      <c r="G52">
        <f t="shared" si="38"/>
        <v>3.2379041946418614E-3</v>
      </c>
      <c r="H52">
        <f t="shared" si="38"/>
        <v>4.2022192445453965E-2</v>
      </c>
      <c r="I52">
        <f t="shared" si="38"/>
        <v>0.95473990285443955</v>
      </c>
      <c r="J52" s="43">
        <f t="shared" si="39"/>
        <v>0.99999999949453533</v>
      </c>
    </row>
    <row r="53" spans="2:26" x14ac:dyDescent="0.25">
      <c r="B53" s="43">
        <f t="shared" si="36"/>
        <v>1.0000000024525186</v>
      </c>
      <c r="C53">
        <f t="shared" si="37"/>
        <v>0.99842514919080483</v>
      </c>
      <c r="D53">
        <f t="shared" si="37"/>
        <v>1.1143910720209948E-3</v>
      </c>
      <c r="E53">
        <f t="shared" si="37"/>
        <v>4.6046218969283362E-4</v>
      </c>
      <c r="G53">
        <f t="shared" si="38"/>
        <v>2.1347694286330179E-3</v>
      </c>
      <c r="H53">
        <f t="shared" si="38"/>
        <v>8.3267014251357536E-3</v>
      </c>
      <c r="I53">
        <f t="shared" si="38"/>
        <v>0.98953852903220874</v>
      </c>
      <c r="J53" s="43">
        <f t="shared" si="39"/>
        <v>0.99999999988597754</v>
      </c>
    </row>
    <row r="54" spans="2:26" x14ac:dyDescent="0.25">
      <c r="B54" s="43">
        <f t="shared" si="36"/>
        <v>1.0000000004313523</v>
      </c>
      <c r="C54">
        <f t="shared" si="37"/>
        <v>0.99935680280023331</v>
      </c>
      <c r="D54">
        <f t="shared" si="37"/>
        <v>1.8671490958931336E-4</v>
      </c>
      <c r="E54">
        <f t="shared" si="37"/>
        <v>4.5648272152960762E-4</v>
      </c>
      <c r="G54">
        <f t="shared" si="38"/>
        <v>1.9453615149354348E-3</v>
      </c>
      <c r="H54">
        <f t="shared" si="38"/>
        <v>1.3997670994358277E-3</v>
      </c>
      <c r="I54">
        <f t="shared" si="38"/>
        <v>0.99665487136535069</v>
      </c>
      <c r="J54" s="43">
        <f t="shared" si="39"/>
        <v>0.999999999979722</v>
      </c>
    </row>
    <row r="55" spans="2:26" ht="15.75" thickBot="1" x14ac:dyDescent="0.3"/>
    <row r="56" spans="2:26" ht="15.75" thickBot="1" x14ac:dyDescent="0.3">
      <c r="C56" s="222" t="s">
        <v>89</v>
      </c>
      <c r="D56" s="223"/>
      <c r="E56" s="223"/>
      <c r="F56" s="223"/>
      <c r="G56" s="223"/>
      <c r="H56" s="223"/>
      <c r="I56" s="224"/>
    </row>
    <row r="57" spans="2:26" ht="15.75" thickBot="1" x14ac:dyDescent="0.3">
      <c r="C57" s="16" t="s">
        <v>90</v>
      </c>
      <c r="D57" s="17" t="s">
        <v>91</v>
      </c>
      <c r="E57" s="18" t="s">
        <v>92</v>
      </c>
      <c r="G57" s="16" t="s">
        <v>90</v>
      </c>
      <c r="H57" s="17" t="s">
        <v>91</v>
      </c>
      <c r="I57" s="18" t="s">
        <v>92</v>
      </c>
    </row>
    <row r="58" spans="2:26" x14ac:dyDescent="0.25">
      <c r="C58">
        <f>(C41+C50)/2</f>
        <v>0.86351674828239799</v>
      </c>
      <c r="D58">
        <f>(D41+D50)/2</f>
        <v>0.13521164542995112</v>
      </c>
      <c r="E58">
        <f>(E41+E50)/2</f>
        <v>1.2716065681289412E-3</v>
      </c>
      <c r="G58">
        <f>(G41+G50)/2</f>
        <v>3.6193341236178678E-2</v>
      </c>
      <c r="H58">
        <f>(H41+H50)/2</f>
        <v>0.55568366194231111</v>
      </c>
      <c r="I58">
        <f>(I41+I50)/2</f>
        <v>0.40812299625954424</v>
      </c>
    </row>
    <row r="59" spans="2:26" x14ac:dyDescent="0.25">
      <c r="C59">
        <f t="shared" ref="C59:E62" si="40">(C42+C51)/2</f>
        <v>0.97096970486600576</v>
      </c>
      <c r="D59">
        <f t="shared" si="40"/>
        <v>2.8445586434194613E-2</v>
      </c>
      <c r="E59">
        <f t="shared" si="40"/>
        <v>5.8472985385230297E-4</v>
      </c>
      <c r="G59">
        <f t="shared" ref="G59:I62" si="41">(G42+G51)/2</f>
        <v>1.2913479024307773E-2</v>
      </c>
      <c r="H59">
        <f t="shared" si="41"/>
        <v>0.18986887957623821</v>
      </c>
      <c r="I59">
        <f t="shared" si="41"/>
        <v>0.7972176404365775</v>
      </c>
    </row>
    <row r="60" spans="2:26" x14ac:dyDescent="0.25">
      <c r="C60">
        <f t="shared" si="40"/>
        <v>0.99379990262365503</v>
      </c>
      <c r="D60">
        <f t="shared" si="40"/>
        <v>5.7196639968173047E-3</v>
      </c>
      <c r="E60">
        <f t="shared" si="40"/>
        <v>4.8043915729324401E-4</v>
      </c>
      <c r="G60">
        <f t="shared" si="41"/>
        <v>3.2379042134640769E-3</v>
      </c>
      <c r="H60">
        <f t="shared" si="41"/>
        <v>4.2022192449905779E-2</v>
      </c>
      <c r="I60">
        <f t="shared" si="41"/>
        <v>0.95473990308389789</v>
      </c>
    </row>
    <row r="61" spans="2:26" x14ac:dyDescent="0.25">
      <c r="C61">
        <f t="shared" si="40"/>
        <v>0.99842514796459292</v>
      </c>
      <c r="D61">
        <f t="shared" si="40"/>
        <v>1.1143910719987561E-3</v>
      </c>
      <c r="E61">
        <f t="shared" si="40"/>
        <v>4.6046218966760191E-4</v>
      </c>
      <c r="G61">
        <f t="shared" si="41"/>
        <v>2.1347694312548265E-3</v>
      </c>
      <c r="H61">
        <f t="shared" si="41"/>
        <v>8.326701425301921E-3</v>
      </c>
      <c r="I61">
        <f t="shared" si="41"/>
        <v>0.98953852908643203</v>
      </c>
    </row>
    <row r="62" spans="2:26" x14ac:dyDescent="0.25">
      <c r="C62">
        <f t="shared" si="40"/>
        <v>0.99935680258456228</v>
      </c>
      <c r="D62">
        <f t="shared" si="40"/>
        <v>1.8671490958867919E-4</v>
      </c>
      <c r="E62">
        <f t="shared" si="40"/>
        <v>4.5648272152515822E-4</v>
      </c>
      <c r="G62">
        <f t="shared" si="41"/>
        <v>1.9453615153552629E-3</v>
      </c>
      <c r="H62">
        <f t="shared" si="41"/>
        <v>1.399767099440582E-3</v>
      </c>
      <c r="I62">
        <f t="shared" si="41"/>
        <v>0.99665487137506514</v>
      </c>
    </row>
  </sheetData>
  <mergeCells count="1">
    <mergeCell ref="C48:I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utton 6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4"/>
  <dimension ref="A1:AI61"/>
  <sheetViews>
    <sheetView topLeftCell="D18" zoomScale="55" zoomScaleNormal="55" workbookViewId="0">
      <selection activeCell="D58" sqref="D58:H62"/>
    </sheetView>
  </sheetViews>
  <sheetFormatPr defaultRowHeight="15" x14ac:dyDescent="0.25"/>
  <cols>
    <col min="2" max="2" width="16.5703125" bestFit="1" customWidth="1"/>
    <col min="3" max="4" width="16" bestFit="1" customWidth="1"/>
    <col min="5" max="5" width="13.5703125" bestFit="1" customWidth="1"/>
    <col min="15" max="15" width="14.28515625" customWidth="1"/>
    <col min="16" max="16" width="11" customWidth="1"/>
    <col min="19" max="19" width="16" bestFit="1" customWidth="1"/>
    <col min="20" max="21" width="12" bestFit="1" customWidth="1"/>
    <col min="22" max="22" width="12.140625" bestFit="1" customWidth="1"/>
    <col min="23" max="23" width="16" bestFit="1" customWidth="1"/>
    <col min="24" max="24" width="16" customWidth="1"/>
    <col min="25" max="25" width="16" bestFit="1" customWidth="1"/>
    <col min="28" max="28" width="10.28515625" bestFit="1" customWidth="1"/>
    <col min="34" max="34" width="10.85546875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200" t="s">
        <v>1</v>
      </c>
      <c r="C2" s="201"/>
      <c r="D2" s="201"/>
      <c r="E2" s="18" t="s">
        <v>2</v>
      </c>
      <c r="G2" s="22" t="s">
        <v>21</v>
      </c>
      <c r="H2" s="22"/>
      <c r="I2" s="22"/>
    </row>
    <row r="3" spans="1:26" ht="15.75" thickBot="1" x14ac:dyDescent="0.3">
      <c r="B3" s="48" t="s">
        <v>3</v>
      </c>
      <c r="C3" s="49" t="s">
        <v>4</v>
      </c>
      <c r="D3" s="69" t="s">
        <v>5</v>
      </c>
      <c r="E3" s="13" t="s">
        <v>6</v>
      </c>
      <c r="G3" s="48" t="s">
        <v>22</v>
      </c>
      <c r="H3" s="49" t="s">
        <v>23</v>
      </c>
      <c r="I3" s="69" t="s">
        <v>24</v>
      </c>
      <c r="L3">
        <v>1</v>
      </c>
      <c r="M3">
        <v>2</v>
      </c>
      <c r="N3">
        <v>3</v>
      </c>
      <c r="O3">
        <v>4</v>
      </c>
      <c r="P3" s="69" t="s">
        <v>26</v>
      </c>
      <c r="S3" s="19" t="s">
        <v>27</v>
      </c>
      <c r="Z3" s="19" t="s">
        <v>28</v>
      </c>
    </row>
    <row r="4" spans="1:26" ht="15.75" thickBot="1" x14ac:dyDescent="0.3">
      <c r="A4" s="48" t="s">
        <v>0</v>
      </c>
      <c r="B4" s="1">
        <f>AA26</f>
        <v>0.54</v>
      </c>
      <c r="C4" s="1">
        <f t="shared" ref="C4:D4" si="0">AB26</f>
        <v>0.46</v>
      </c>
      <c r="D4" s="1">
        <f t="shared" si="0"/>
        <v>0</v>
      </c>
      <c r="E4" s="10">
        <f>AA30</f>
        <v>25</v>
      </c>
      <c r="G4" s="5" t="s">
        <v>25</v>
      </c>
      <c r="H4" s="5" t="s">
        <v>25</v>
      </c>
      <c r="I4" s="5" t="s">
        <v>25</v>
      </c>
      <c r="K4" s="16" t="s">
        <v>29</v>
      </c>
      <c r="L4" s="1">
        <f>E$9*$G$5+E$5</f>
        <v>15.031982201457961</v>
      </c>
      <c r="M4" s="2">
        <f>-$E$10*$G$6</f>
        <v>-8.0956901180366178E-2</v>
      </c>
      <c r="N4" s="2">
        <v>0</v>
      </c>
      <c r="O4" s="3">
        <v>0</v>
      </c>
      <c r="P4" s="3">
        <f>$B$4*$E$4</f>
        <v>13.5</v>
      </c>
      <c r="T4" s="1">
        <f t="array" ref="T4:W7">MINVERSE(L4:O7)</f>
        <v>6.6918231089952762E-2</v>
      </c>
      <c r="U4" s="2">
        <v>4.2248172341479459E-4</v>
      </c>
      <c r="V4" s="2">
        <v>9.7626772492937884E-7</v>
      </c>
      <c r="W4" s="3">
        <v>1.9123875931862154E-9</v>
      </c>
      <c r="X4" s="5"/>
      <c r="Z4" s="23">
        <f t="array" ref="Z4:Z7">MMULT(T4:W7,P4:P7)</f>
        <v>0.90339611971436229</v>
      </c>
    </row>
    <row r="5" spans="1:26" x14ac:dyDescent="0.25">
      <c r="A5" s="79" t="s">
        <v>7</v>
      </c>
      <c r="B5" s="189">
        <f>S31</f>
        <v>0.90339611971436218</v>
      </c>
      <c r="C5" s="190">
        <f t="shared" ref="C5:D8" si="1">T31</f>
        <v>9.5632733481209792E-2</v>
      </c>
      <c r="D5" s="191">
        <f t="shared" si="1"/>
        <v>9.7114680442799382E-4</v>
      </c>
      <c r="E5" s="11">
        <f t="shared" ref="E5:E8" si="2">AA31</f>
        <v>13.99743082238488</v>
      </c>
      <c r="G5" s="5">
        <f>B9/B5</f>
        <v>4.132634331173303E-2</v>
      </c>
      <c r="H5" s="5">
        <f t="shared" ref="H5:I8" si="3">C9/C5</f>
        <v>4.8025132017998455</v>
      </c>
      <c r="I5" s="5">
        <f t="shared" si="3"/>
        <v>518.34436817096548</v>
      </c>
      <c r="L5" s="25">
        <f>-$E$5</f>
        <v>-13.99743082238488</v>
      </c>
      <c r="M5" s="5">
        <f>$E$6+$E$10*$G$6</f>
        <v>12.852534914495861</v>
      </c>
      <c r="N5" s="5">
        <f>-$G$7*$E$11</f>
        <v>-2.9168084907775307E-2</v>
      </c>
      <c r="O5" s="6">
        <v>0</v>
      </c>
      <c r="P5" s="6">
        <v>0</v>
      </c>
      <c r="T5" s="4">
        <v>7.3046999218081748E-2</v>
      </c>
      <c r="U5" s="5">
        <v>7.8445909542207995E-2</v>
      </c>
      <c r="V5" s="5">
        <v>1.8127224302102296E-4</v>
      </c>
      <c r="W5" s="6">
        <v>3.5508987923114806E-7</v>
      </c>
      <c r="X5" s="5"/>
      <c r="Z5" s="24">
        <v>0.98613448944410365</v>
      </c>
    </row>
    <row r="6" spans="1:26" x14ac:dyDescent="0.25">
      <c r="A6" s="79" t="s">
        <v>8</v>
      </c>
      <c r="B6" s="189">
        <f t="shared" ref="B6:B8" si="4">S32</f>
        <v>0.98613448944410353</v>
      </c>
      <c r="C6" s="190">
        <f t="shared" si="1"/>
        <v>1.3351141062181875E-2</v>
      </c>
      <c r="D6" s="191">
        <f t="shared" si="1"/>
        <v>5.1436949371461388E-4</v>
      </c>
      <c r="E6" s="11">
        <f t="shared" si="2"/>
        <v>12.771578013315494</v>
      </c>
      <c r="G6" s="5">
        <f t="shared" ref="G6:G9" si="5">B10/B6</f>
        <v>5.7698049039390182E-3</v>
      </c>
      <c r="H6" s="5">
        <f t="shared" si="3"/>
        <v>7.131825435315676</v>
      </c>
      <c r="I6" s="5">
        <f t="shared" si="3"/>
        <v>1747.9500630493194</v>
      </c>
      <c r="L6" s="4">
        <v>0</v>
      </c>
      <c r="M6" s="26">
        <f>-$E$6</f>
        <v>-12.771578013315494</v>
      </c>
      <c r="N6" s="5">
        <f>$E$7+$E$11*$G$7</f>
        <v>12.647261761353043</v>
      </c>
      <c r="O6" s="6">
        <f>-$E$12*$G$8</f>
        <v>-2.4678721300958752E-2</v>
      </c>
      <c r="P6" s="6">
        <v>0</v>
      </c>
      <c r="T6" s="4">
        <v>7.3909460233158655E-2</v>
      </c>
      <c r="U6" s="5">
        <v>7.9372115128975698E-2</v>
      </c>
      <c r="V6" s="5">
        <v>7.9406741986527835E-2</v>
      </c>
      <c r="W6" s="6">
        <v>1.5554797553238761E-4</v>
      </c>
      <c r="X6" s="5"/>
      <c r="Z6" s="24">
        <v>0.99777771314764185</v>
      </c>
    </row>
    <row r="7" spans="1:26" ht="15.75" thickBot="1" x14ac:dyDescent="0.3">
      <c r="A7" s="79" t="s">
        <v>9</v>
      </c>
      <c r="B7" s="189">
        <f t="shared" si="4"/>
        <v>0.99777771314764174</v>
      </c>
      <c r="C7" s="190">
        <f t="shared" si="1"/>
        <v>1.759050467967713E-3</v>
      </c>
      <c r="D7" s="191">
        <f t="shared" si="1"/>
        <v>4.6323638439053677E-4</v>
      </c>
      <c r="E7" s="11">
        <f t="shared" si="2"/>
        <v>12.618093676445268</v>
      </c>
      <c r="G7" s="5">
        <f t="shared" si="5"/>
        <v>2.277816963269578E-3</v>
      </c>
      <c r="H7" s="5">
        <f t="shared" si="3"/>
        <v>7.4546536938123698</v>
      </c>
      <c r="I7" s="5">
        <f t="shared" si="3"/>
        <v>2125.5112208558553</v>
      </c>
      <c r="L7" s="7">
        <v>0</v>
      </c>
      <c r="M7" s="8">
        <v>0</v>
      </c>
      <c r="N7" s="27">
        <f>-$E$7</f>
        <v>-12.618093676445268</v>
      </c>
      <c r="O7" s="9">
        <f>$E$8+$E$12*$G$8</f>
        <v>12.598407971530481</v>
      </c>
      <c r="P7" s="170">
        <f>$E$13*$B$13</f>
        <v>0</v>
      </c>
      <c r="T7" s="7">
        <v>7.4024947827134729E-2</v>
      </c>
      <c r="U7" s="8">
        <v>7.9496138421476029E-2</v>
      </c>
      <c r="V7" s="8">
        <v>7.9530819385396315E-2</v>
      </c>
      <c r="W7" s="9">
        <v>7.9530899554186171E-2</v>
      </c>
      <c r="X7" s="5"/>
      <c r="Z7" s="24">
        <v>0.99933679566631883</v>
      </c>
    </row>
    <row r="8" spans="1:26" ht="15.75" thickBot="1" x14ac:dyDescent="0.3">
      <c r="A8" s="79" t="s">
        <v>10</v>
      </c>
      <c r="B8" s="189">
        <f t="shared" si="4"/>
        <v>0.99933679566631894</v>
      </c>
      <c r="C8" s="190">
        <f t="shared" si="1"/>
        <v>2.0663631259597163E-4</v>
      </c>
      <c r="D8" s="191">
        <f t="shared" si="1"/>
        <v>4.5656802108511442E-4</v>
      </c>
      <c r="E8" s="11">
        <f t="shared" si="2"/>
        <v>12.573729250229523</v>
      </c>
      <c r="G8" s="5">
        <f t="shared" si="5"/>
        <v>1.9506101097119396E-3</v>
      </c>
      <c r="H8" s="5">
        <f t="shared" si="3"/>
        <v>7.4962823534483869</v>
      </c>
      <c r="I8" s="5">
        <f t="shared" si="3"/>
        <v>2182.5919323725507</v>
      </c>
      <c r="L8" s="5"/>
      <c r="M8" s="5"/>
      <c r="N8" s="5"/>
      <c r="O8" s="26"/>
      <c r="T8" s="5"/>
      <c r="U8" s="5"/>
      <c r="V8" s="5"/>
      <c r="W8" s="5"/>
      <c r="X8" s="5"/>
      <c r="Z8" s="24"/>
    </row>
    <row r="9" spans="1:26" ht="15.75" thickBot="1" x14ac:dyDescent="0.3">
      <c r="A9" s="48" t="s">
        <v>12</v>
      </c>
      <c r="B9" s="192">
        <f t="shared" ref="B9:D13" si="6">W31</f>
        <v>3.7334058189803204E-2</v>
      </c>
      <c r="C9" s="193">
        <f t="shared" si="6"/>
        <v>0.45927746506771616</v>
      </c>
      <c r="D9" s="194">
        <f t="shared" si="6"/>
        <v>0.50338847674248066</v>
      </c>
      <c r="E9" s="10">
        <f>AB31</f>
        <v>25.03370238371318</v>
      </c>
      <c r="G9" s="5">
        <f t="shared" si="5"/>
        <v>0</v>
      </c>
      <c r="H9" s="5"/>
      <c r="I9" s="5"/>
    </row>
    <row r="10" spans="1:26" ht="15.75" thickBot="1" x14ac:dyDescent="0.3">
      <c r="A10" s="79" t="s">
        <v>13</v>
      </c>
      <c r="B10" s="189">
        <f t="shared" si="6"/>
        <v>5.6898036131379885E-3</v>
      </c>
      <c r="C10" s="190">
        <f t="shared" si="6"/>
        <v>9.521800741775624E-2</v>
      </c>
      <c r="D10" s="191">
        <f t="shared" si="6"/>
        <v>0.89909218896910581</v>
      </c>
      <c r="E10" s="11">
        <f>AB32</f>
        <v>14.031133206098058</v>
      </c>
      <c r="L10">
        <v>1</v>
      </c>
      <c r="M10">
        <v>2</v>
      </c>
      <c r="N10">
        <v>3</v>
      </c>
      <c r="O10">
        <v>4</v>
      </c>
      <c r="P10" s="18" t="s">
        <v>30</v>
      </c>
      <c r="S10" s="19" t="s">
        <v>27</v>
      </c>
      <c r="Z10" s="19" t="s">
        <v>31</v>
      </c>
    </row>
    <row r="11" spans="1:26" ht="15.75" thickBot="1" x14ac:dyDescent="0.3">
      <c r="A11" s="79" t="s">
        <v>14</v>
      </c>
      <c r="B11" s="189">
        <f t="shared" si="6"/>
        <v>2.2727550005800256E-3</v>
      </c>
      <c r="C11" s="190">
        <f t="shared" si="6"/>
        <v>1.311311206863789E-2</v>
      </c>
      <c r="D11" s="191">
        <f t="shared" si="6"/>
        <v>0.98461413293078215</v>
      </c>
      <c r="E11" s="11">
        <f>AB33</f>
        <v>12.805280397028673</v>
      </c>
      <c r="K11" s="16" t="s">
        <v>32</v>
      </c>
      <c r="L11" s="1">
        <f>E$9*$H$5+E$5</f>
        <v>134.2221170100957</v>
      </c>
      <c r="M11" s="2">
        <f>-$E$10*$H$6</f>
        <v>-100.06759268555253</v>
      </c>
      <c r="N11" s="2">
        <v>0</v>
      </c>
      <c r="O11" s="3">
        <v>0</v>
      </c>
      <c r="P11" s="3">
        <f>$C$4*$E$4</f>
        <v>11.5</v>
      </c>
      <c r="T11" s="1">
        <f t="array" ref="T11:W14">MINVERSE(L11:O14)</f>
        <v>8.3158800668853994E-3</v>
      </c>
      <c r="U11" s="2">
        <v>8.2997393488543677E-3</v>
      </c>
      <c r="V11" s="2">
        <v>8.173273942943057E-3</v>
      </c>
      <c r="W11" s="3">
        <v>7.2165325569176382E-3</v>
      </c>
      <c r="X11" s="5"/>
      <c r="Z11" s="23">
        <f t="array" ref="Z11:Z14">MMULT(T11:W14,P11:P14)</f>
        <v>9.5632620769182095E-2</v>
      </c>
    </row>
    <row r="12" spans="1:26" x14ac:dyDescent="0.25">
      <c r="A12" s="79" t="s">
        <v>15</v>
      </c>
      <c r="B12" s="189">
        <f t="shared" si="6"/>
        <v>1.9493164566338566E-3</v>
      </c>
      <c r="C12" s="190">
        <f t="shared" si="6"/>
        <v>1.5490041436948267E-3</v>
      </c>
      <c r="D12" s="191">
        <f t="shared" si="6"/>
        <v>0.99650167939967127</v>
      </c>
      <c r="E12" s="11">
        <f>AB34</f>
        <v>12.651796060158446</v>
      </c>
      <c r="L12" s="25">
        <f>-$E$5</f>
        <v>-13.99743082238488</v>
      </c>
      <c r="M12" s="5">
        <f>$E$6+$E$10*$H$6</f>
        <v>112.83917069886802</v>
      </c>
      <c r="N12" s="5">
        <f>-$H$7*$E$11</f>
        <v>-95.458930812012923</v>
      </c>
      <c r="O12" s="6">
        <v>0</v>
      </c>
      <c r="P12" s="6">
        <v>0</v>
      </c>
      <c r="T12" s="4">
        <v>1.1609655460032642E-3</v>
      </c>
      <c r="U12" s="5">
        <v>1.1132561063358765E-2</v>
      </c>
      <c r="V12" s="5">
        <v>1.0962931175655791E-2</v>
      </c>
      <c r="W12" s="6">
        <v>9.6796400439601131E-3</v>
      </c>
      <c r="X12" s="5"/>
      <c r="Z12" s="24">
        <v>1.3351103779037539E-2</v>
      </c>
    </row>
    <row r="13" spans="1:26" ht="15.75" thickBot="1" x14ac:dyDescent="0.3">
      <c r="A13" s="80" t="s">
        <v>17</v>
      </c>
      <c r="B13" s="195">
        <f t="shared" si="6"/>
        <v>0</v>
      </c>
      <c r="C13" s="196">
        <f t="shared" si="6"/>
        <v>0</v>
      </c>
      <c r="D13" s="197">
        <f t="shared" si="6"/>
        <v>1</v>
      </c>
      <c r="E13" s="12">
        <f>AB35</f>
        <v>12.607431633942701</v>
      </c>
      <c r="L13" s="4">
        <v>0</v>
      </c>
      <c r="M13" s="26">
        <f>-$E$6</f>
        <v>-12.771578013315494</v>
      </c>
      <c r="N13" s="5">
        <f>$E$7+$E$11*$H$7</f>
        <v>108.07702448845819</v>
      </c>
      <c r="O13" s="6">
        <f>-$E$12*$H$8</f>
        <v>-94.84143554519359</v>
      </c>
      <c r="P13" s="6">
        <v>0</v>
      </c>
      <c r="T13" s="4">
        <v>1.5296037084517165E-4</v>
      </c>
      <c r="U13" s="5">
        <v>1.4667452230344548E-3</v>
      </c>
      <c r="V13" s="5">
        <v>1.176048397076475E-2</v>
      </c>
      <c r="W13" s="6">
        <v>1.0383833461670518E-2</v>
      </c>
      <c r="X13" s="5"/>
      <c r="Z13" s="24">
        <v>1.759044264719474E-3</v>
      </c>
    </row>
    <row r="14" spans="1:26" ht="15.75" thickBot="1" x14ac:dyDescent="0.3">
      <c r="L14" s="7">
        <v>0</v>
      </c>
      <c r="M14" s="8">
        <v>0</v>
      </c>
      <c r="N14" s="27">
        <f>-$E$7</f>
        <v>-12.618093676445268</v>
      </c>
      <c r="O14" s="9">
        <f>$E$8+$E$12*$H$8</f>
        <v>107.41516479542311</v>
      </c>
      <c r="P14" s="9">
        <f>$E$13*$C$13</f>
        <v>0</v>
      </c>
      <c r="T14" s="7">
        <v>1.796830356108547E-5</v>
      </c>
      <c r="U14" s="8">
        <v>1.7229902927557537E-4</v>
      </c>
      <c r="V14" s="8">
        <v>1.3815078039126709E-3</v>
      </c>
      <c r="W14" s="9">
        <v>1.0529464675626116E-2</v>
      </c>
      <c r="X14" s="5"/>
      <c r="Z14" s="24">
        <v>2.0663549095248289E-4</v>
      </c>
    </row>
    <row r="15" spans="1:26" x14ac:dyDescent="0.25">
      <c r="L15" s="5"/>
      <c r="M15" s="5"/>
      <c r="N15" s="5"/>
      <c r="O15" s="26"/>
      <c r="T15" s="5"/>
      <c r="U15" s="5"/>
      <c r="V15" s="5"/>
      <c r="W15" s="5"/>
      <c r="X15" s="5"/>
    </row>
    <row r="16" spans="1:26" ht="15.75" thickBot="1" x14ac:dyDescent="0.3"/>
    <row r="17" spans="1:35" ht="15.75" thickBot="1" x14ac:dyDescent="0.3">
      <c r="L17">
        <v>1</v>
      </c>
      <c r="M17">
        <v>2</v>
      </c>
      <c r="N17">
        <v>3</v>
      </c>
      <c r="O17">
        <v>4</v>
      </c>
      <c r="P17" s="18" t="s">
        <v>33</v>
      </c>
      <c r="S17" s="19" t="s">
        <v>27</v>
      </c>
      <c r="Z17" s="19" t="s">
        <v>34</v>
      </c>
    </row>
    <row r="18" spans="1:35" ht="15.75" thickBot="1" x14ac:dyDescent="0.3">
      <c r="A18" t="s">
        <v>3</v>
      </c>
      <c r="B18" t="s">
        <v>18</v>
      </c>
      <c r="K18" s="16" t="s">
        <v>35</v>
      </c>
      <c r="L18" s="1">
        <f>E$9*$I$5+E$5</f>
        <v>12990.076075888186</v>
      </c>
      <c r="M18" s="2">
        <f>-$E$10*$I$6</f>
        <v>-24525.720172252499</v>
      </c>
      <c r="N18" s="2">
        <v>0</v>
      </c>
      <c r="O18" s="3">
        <v>0</v>
      </c>
      <c r="P18" s="3">
        <f>$D$4*$E$4</f>
        <v>0</v>
      </c>
      <c r="T18" s="1">
        <f t="array" ref="T18:W21">MINVERSE(L18:O21)</f>
        <v>7.7064884342399921E-5</v>
      </c>
      <c r="U18" s="2">
        <v>7.7064884333932302E-5</v>
      </c>
      <c r="V18" s="2">
        <v>7.70648680732277E-5</v>
      </c>
      <c r="W18" s="3">
        <v>7.7029793038701857E-5</v>
      </c>
      <c r="X18" s="5"/>
      <c r="Z18" s="23">
        <f t="array" ref="Z18:Z21">MMULT(T18:W21,P18:P21)</f>
        <v>9.7114784951218901E-4</v>
      </c>
    </row>
    <row r="19" spans="1:35" x14ac:dyDescent="0.25">
      <c r="A19" t="s">
        <v>4</v>
      </c>
      <c r="B19" t="s">
        <v>19</v>
      </c>
      <c r="L19" s="25">
        <f>-$E$5</f>
        <v>-13.99743082238488</v>
      </c>
      <c r="M19" s="5">
        <f>$E$6+$E$10*$I$6</f>
        <v>24538.491750265814</v>
      </c>
      <c r="N19" s="5">
        <f>-$I$7*$E$11</f>
        <v>-27217.767170089966</v>
      </c>
      <c r="O19" s="6">
        <v>0</v>
      </c>
      <c r="P19" s="6">
        <v>0</v>
      </c>
      <c r="T19" s="4">
        <v>4.39828221036185E-8</v>
      </c>
      <c r="U19" s="5">
        <v>4.0817505184206085E-5</v>
      </c>
      <c r="V19" s="5">
        <v>4.081749657170508E-5</v>
      </c>
      <c r="W19" s="6">
        <v>4.0798919039071779E-5</v>
      </c>
      <c r="X19" s="5"/>
      <c r="Z19" s="24">
        <v>5.1436958252386073E-4</v>
      </c>
    </row>
    <row r="20" spans="1:35" x14ac:dyDescent="0.25">
      <c r="A20" t="s">
        <v>5</v>
      </c>
      <c r="B20" t="s">
        <v>20</v>
      </c>
      <c r="L20" s="4">
        <v>0</v>
      </c>
      <c r="M20" s="26">
        <f>-$E$6</f>
        <v>-12.771578013315494</v>
      </c>
      <c r="N20" s="5">
        <f>$E$7+$E$11*$I$7</f>
        <v>27230.385263766413</v>
      </c>
      <c r="O20" s="6">
        <f>-$E$12*$I$8</f>
        <v>-27613.708010924645</v>
      </c>
      <c r="P20" s="6">
        <v>0</v>
      </c>
      <c r="T20" s="4">
        <v>2.063835441410835E-11</v>
      </c>
      <c r="U20" s="5">
        <v>1.9153071540219441E-8</v>
      </c>
      <c r="V20" s="5">
        <v>3.6759851992234153E-5</v>
      </c>
      <c r="W20" s="6">
        <v>3.6743121241763425E-5</v>
      </c>
      <c r="X20" s="5"/>
      <c r="Z20" s="24">
        <v>4.6323638907320021E-4</v>
      </c>
    </row>
    <row r="21" spans="1:35" ht="15.75" thickBot="1" x14ac:dyDescent="0.3">
      <c r="L21" s="7">
        <v>0</v>
      </c>
      <c r="M21" s="8">
        <v>0</v>
      </c>
      <c r="N21" s="27">
        <f>-$E$7</f>
        <v>-12.618093676445268</v>
      </c>
      <c r="O21" s="9">
        <f>$E$8+$E$12*$I$8</f>
        <v>27626.281740174876</v>
      </c>
      <c r="P21" s="188">
        <f>$E$13*$D$13</f>
        <v>12.607431633942701</v>
      </c>
      <c r="T21" s="7">
        <v>9.426411117287347E-15</v>
      </c>
      <c r="U21" s="8">
        <v>8.7480194822850946E-12</v>
      </c>
      <c r="V21" s="8">
        <v>1.6789782292553196E-8</v>
      </c>
      <c r="W21" s="9">
        <v>3.6214197681582776E-5</v>
      </c>
      <c r="X21" s="5"/>
      <c r="Z21" s="24">
        <v>4.5656802144864112E-4</v>
      </c>
    </row>
    <row r="22" spans="1:35" x14ac:dyDescent="0.25">
      <c r="L22" s="5"/>
      <c r="M22" s="5"/>
      <c r="N22" s="5"/>
      <c r="O22" s="26"/>
      <c r="P22" s="5"/>
      <c r="T22" s="5"/>
      <c r="U22" s="5"/>
      <c r="V22" s="5"/>
      <c r="W22" s="5"/>
      <c r="X22" s="5"/>
    </row>
    <row r="24" spans="1:35" ht="15.75" thickBot="1" x14ac:dyDescent="0.3"/>
    <row r="25" spans="1:35" ht="15.75" thickBot="1" x14ac:dyDescent="0.3">
      <c r="R25" s="5"/>
      <c r="S25" s="5"/>
      <c r="T25" s="5"/>
      <c r="U25" s="5"/>
      <c r="V25" s="5"/>
      <c r="Y25" s="13"/>
      <c r="Z25" s="16" t="s">
        <v>93</v>
      </c>
      <c r="AA25" s="17" t="s">
        <v>28</v>
      </c>
      <c r="AB25" s="17" t="s">
        <v>31</v>
      </c>
      <c r="AC25" s="18" t="s">
        <v>34</v>
      </c>
      <c r="AE25" s="54" t="s">
        <v>94</v>
      </c>
      <c r="AF25" s="54" t="s">
        <v>95</v>
      </c>
      <c r="AG25" s="54" t="s">
        <v>96</v>
      </c>
      <c r="AH25" s="54" t="s">
        <v>97</v>
      </c>
      <c r="AI25" s="54" t="s">
        <v>98</v>
      </c>
    </row>
    <row r="26" spans="1:35" ht="15.75" thickBot="1" x14ac:dyDescent="0.3">
      <c r="L26" s="33" t="s">
        <v>36</v>
      </c>
      <c r="M26" s="34"/>
      <c r="N26" s="35"/>
      <c r="R26" s="5"/>
      <c r="S26" s="5"/>
      <c r="T26" s="5"/>
      <c r="U26" s="5"/>
      <c r="V26" s="5"/>
      <c r="Y26" s="14" t="s">
        <v>0</v>
      </c>
      <c r="Z26" s="1">
        <v>25</v>
      </c>
      <c r="AA26" s="2">
        <v>0.54</v>
      </c>
      <c r="AB26" s="2">
        <v>0.46</v>
      </c>
      <c r="AC26" s="3">
        <v>0</v>
      </c>
      <c r="AE26">
        <f>Z27</f>
        <v>12.607431633942701</v>
      </c>
      <c r="AF26">
        <f>AE26/Z26</f>
        <v>0.50429726535770802</v>
      </c>
      <c r="AG26">
        <f>AB31*W31/Z26/AA26</f>
        <v>6.9230348259241709E-2</v>
      </c>
      <c r="AH26" s="199">
        <f>X31*AB31/Z26/AB26</f>
        <v>0.99977524974360288</v>
      </c>
      <c r="AI26" s="176">
        <f>AA34*U33/AB35/AC27</f>
        <v>4.6199805363214482E-4</v>
      </c>
    </row>
    <row r="27" spans="1:35" ht="21.75" thickBot="1" x14ac:dyDescent="0.4">
      <c r="D27" s="42">
        <v>0.10348644572627157</v>
      </c>
      <c r="E27" s="42">
        <v>1.0260943951776562E-3</v>
      </c>
      <c r="F27" s="42"/>
      <c r="G27" s="42">
        <v>3.694588894140087E-2</v>
      </c>
      <c r="H27" s="42">
        <v>0.48105885659661896</v>
      </c>
      <c r="L27" s="29" t="s">
        <v>3</v>
      </c>
      <c r="M27" s="30" t="s">
        <v>4</v>
      </c>
      <c r="N27" s="31" t="s">
        <v>5</v>
      </c>
      <c r="O27" s="32" t="s">
        <v>37</v>
      </c>
      <c r="R27" s="5"/>
      <c r="S27" s="5"/>
      <c r="T27" s="5"/>
      <c r="U27" s="5"/>
      <c r="V27" s="5"/>
      <c r="Y27" s="15" t="s">
        <v>17</v>
      </c>
      <c r="Z27" s="169">
        <v>12.607431633942701</v>
      </c>
      <c r="AA27" s="8">
        <v>0</v>
      </c>
      <c r="AB27" s="8">
        <v>0</v>
      </c>
      <c r="AC27" s="9">
        <v>1</v>
      </c>
      <c r="AI27" s="94"/>
    </row>
    <row r="28" spans="1:35" ht="15.75" thickBot="1" x14ac:dyDescent="0.3">
      <c r="D28">
        <v>8.7885908448204226E-3</v>
      </c>
      <c r="E28" s="42">
        <v>4.9395842397324612E-4</v>
      </c>
      <c r="G28" s="42">
        <v>4.1285375922292681E-3</v>
      </c>
      <c r="H28">
        <v>6.3820599224847382E-2</v>
      </c>
      <c r="L28" s="1">
        <f>Z4</f>
        <v>0.90339611971436229</v>
      </c>
      <c r="M28" s="2">
        <f>Z11</f>
        <v>9.5632620769182095E-2</v>
      </c>
      <c r="N28" s="3">
        <f>Z18</f>
        <v>9.7114784951218901E-4</v>
      </c>
      <c r="O28" s="177">
        <f>SUM(L28:N28)</f>
        <v>0.99999988833305664</v>
      </c>
      <c r="R28" s="5"/>
      <c r="S28" s="5"/>
      <c r="T28" s="5"/>
      <c r="U28" s="5"/>
      <c r="V28" s="5"/>
      <c r="AG28" s="42"/>
    </row>
    <row r="29" spans="1:35" ht="15.75" thickBot="1" x14ac:dyDescent="0.3">
      <c r="D29">
        <v>6.9115467072712155E-4</v>
      </c>
      <c r="E29" s="42">
        <v>4.5864477388808076E-4</v>
      </c>
      <c r="G29" s="42">
        <v>2.0470226956596019E-3</v>
      </c>
      <c r="H29">
        <v>5.1721309470355512E-3</v>
      </c>
      <c r="L29" s="4">
        <f>Z5</f>
        <v>0.98613448944410365</v>
      </c>
      <c r="M29" s="5">
        <f>Z12</f>
        <v>1.3351103779037539E-2</v>
      </c>
      <c r="N29" s="6">
        <f>Z19</f>
        <v>5.1436958252386073E-4</v>
      </c>
      <c r="O29" s="178">
        <f t="shared" ref="O29:O31" si="7">SUM(L29:N29)</f>
        <v>0.99999996280566505</v>
      </c>
      <c r="R29" s="5"/>
      <c r="S29" s="5"/>
      <c r="T29" s="5"/>
      <c r="U29" s="5"/>
      <c r="V29" s="5"/>
      <c r="AA29" s="16" t="s">
        <v>99</v>
      </c>
      <c r="AB29" s="18" t="s">
        <v>100</v>
      </c>
      <c r="AG29" s="54" t="s">
        <v>109</v>
      </c>
    </row>
    <row r="30" spans="1:35" ht="15.75" thickBot="1" x14ac:dyDescent="0.3">
      <c r="D30">
        <v>5.0403178707948828E-5</v>
      </c>
      <c r="E30" s="42">
        <v>4.5589924028563992E-4</v>
      </c>
      <c r="G30" s="42">
        <v>1.9184322791270681E-3</v>
      </c>
      <c r="H30">
        <v>3.7804688022056662E-4</v>
      </c>
      <c r="L30" s="4">
        <f>Z6</f>
        <v>0.99777771314764185</v>
      </c>
      <c r="M30" s="5">
        <f>Z13</f>
        <v>1.759044264719474E-3</v>
      </c>
      <c r="N30" s="6">
        <f>Z20</f>
        <v>4.6323638907320021E-4</v>
      </c>
      <c r="O30" s="178">
        <f t="shared" si="7"/>
        <v>0.99999999380143456</v>
      </c>
      <c r="R30" s="19" t="s">
        <v>101</v>
      </c>
      <c r="S30" s="48" t="s">
        <v>102</v>
      </c>
      <c r="T30" s="49" t="s">
        <v>103</v>
      </c>
      <c r="U30" s="49" t="s">
        <v>104</v>
      </c>
      <c r="V30" s="28" t="s">
        <v>37</v>
      </c>
      <c r="W30" s="48" t="s">
        <v>105</v>
      </c>
      <c r="X30" s="49" t="s">
        <v>106</v>
      </c>
      <c r="Y30" s="49" t="s">
        <v>107</v>
      </c>
      <c r="Z30" s="55" t="s">
        <v>108</v>
      </c>
      <c r="AA30" s="81">
        <f>Z26</f>
        <v>25</v>
      </c>
      <c r="AB30" s="82"/>
      <c r="AC30" s="49" t="s">
        <v>22</v>
      </c>
      <c r="AD30" s="49" t="s">
        <v>23</v>
      </c>
      <c r="AE30" s="69" t="s">
        <v>24</v>
      </c>
      <c r="AG30">
        <v>0.99980000000000002</v>
      </c>
      <c r="AI30">
        <f>ABS(AH26-AG30)</f>
        <v>2.4750256397143566E-5</v>
      </c>
    </row>
    <row r="31" spans="1:35" x14ac:dyDescent="0.25">
      <c r="L31" s="4">
        <f>Z7</f>
        <v>0.99933679566631883</v>
      </c>
      <c r="M31" s="5">
        <f>Z14</f>
        <v>2.0663549095248289E-4</v>
      </c>
      <c r="N31" s="6">
        <f>Z21</f>
        <v>4.5656802144864112E-4</v>
      </c>
      <c r="O31" s="178">
        <f t="shared" si="7"/>
        <v>0.99999999917871996</v>
      </c>
      <c r="R31" s="45">
        <v>1</v>
      </c>
      <c r="S31" s="63">
        <f>C41</f>
        <v>0.90339611971436218</v>
      </c>
      <c r="T31" s="64">
        <f t="shared" ref="T31:U34" si="8">D41</f>
        <v>9.5632733481209792E-2</v>
      </c>
      <c r="U31" s="64">
        <f t="shared" si="8"/>
        <v>9.7114680442799382E-4</v>
      </c>
      <c r="V31" s="198">
        <f>SUM(S31:U31)</f>
        <v>1</v>
      </c>
      <c r="W31" s="64">
        <f>G41</f>
        <v>3.7334058189803204E-2</v>
      </c>
      <c r="X31" s="64">
        <f t="shared" ref="X31:Y34" si="9">H41</f>
        <v>0.45927746506771616</v>
      </c>
      <c r="Y31" s="64">
        <f t="shared" si="9"/>
        <v>0.50338847674248066</v>
      </c>
      <c r="Z31" s="57">
        <f>SUM(W31:Y31)</f>
        <v>1</v>
      </c>
      <c r="AA31" s="26">
        <f>(AB33*(W32-W33)+AA32*(S32-W32))/(S31-W32)</f>
        <v>13.99743082238488</v>
      </c>
      <c r="AB31" s="26">
        <f>Z27+Z26-AA34</f>
        <v>25.03370238371318</v>
      </c>
      <c r="AC31" s="70">
        <f>W31/S31</f>
        <v>4.132634331173303E-2</v>
      </c>
      <c r="AD31" s="71">
        <f t="shared" ref="AD31:AE34" si="10">X31/T31</f>
        <v>4.8025132017998455</v>
      </c>
      <c r="AE31" s="72">
        <f t="shared" si="10"/>
        <v>518.34436817096548</v>
      </c>
      <c r="AG31" t="s">
        <v>146</v>
      </c>
    </row>
    <row r="32" spans="1:35" x14ac:dyDescent="0.25">
      <c r="L32" s="5"/>
      <c r="M32" s="5"/>
      <c r="N32" s="5"/>
      <c r="O32" s="179"/>
      <c r="R32" s="46">
        <v>2</v>
      </c>
      <c r="S32" s="65">
        <f t="shared" ref="S32:S34" si="11">C42</f>
        <v>0.98613448944410353</v>
      </c>
      <c r="T32" s="66">
        <f t="shared" si="8"/>
        <v>1.3351141062181875E-2</v>
      </c>
      <c r="U32" s="66">
        <f t="shared" si="8"/>
        <v>5.1436949371461388E-4</v>
      </c>
      <c r="V32" s="61">
        <f t="shared" ref="V32:V34" si="12">SUM(S32:U32)</f>
        <v>1</v>
      </c>
      <c r="W32" s="66">
        <f t="shared" ref="W32:W34" si="13">G42</f>
        <v>5.6898036131379885E-3</v>
      </c>
      <c r="X32" s="66">
        <f t="shared" si="9"/>
        <v>9.521800741775624E-2</v>
      </c>
      <c r="Y32" s="66">
        <f t="shared" si="9"/>
        <v>0.89909218896910581</v>
      </c>
      <c r="Z32" s="58">
        <f t="shared" ref="Z32:Z34" si="14">SUM(W32:Y32)</f>
        <v>1</v>
      </c>
      <c r="AA32" s="26">
        <f>(AB34*(W33-W34)+AA33*(S33-W33))/(S32-W33)</f>
        <v>12.771578013315494</v>
      </c>
      <c r="AB32" s="26">
        <f>AA31+AB33-AA32</f>
        <v>14.031133206098058</v>
      </c>
      <c r="AC32" s="73">
        <f t="shared" ref="AC32:AC34" si="15">W32/S32</f>
        <v>5.7698049039390182E-3</v>
      </c>
      <c r="AD32" s="5">
        <f t="shared" si="10"/>
        <v>7.131825435315676</v>
      </c>
      <c r="AE32" s="74">
        <f t="shared" si="10"/>
        <v>1747.9500630493194</v>
      </c>
      <c r="AG32" s="176">
        <f>AG30*Z26*AB26/X31</f>
        <v>25.034322113550189</v>
      </c>
    </row>
    <row r="33" spans="3:33" x14ac:dyDescent="0.25">
      <c r="R33" s="46">
        <v>3</v>
      </c>
      <c r="S33" s="65">
        <f t="shared" si="11"/>
        <v>0.99777771314764174</v>
      </c>
      <c r="T33" s="66">
        <f t="shared" si="8"/>
        <v>1.759050467967713E-3</v>
      </c>
      <c r="U33" s="66">
        <f t="shared" si="8"/>
        <v>4.6323638439053677E-4</v>
      </c>
      <c r="V33" s="61">
        <f t="shared" si="12"/>
        <v>1</v>
      </c>
      <c r="W33" s="66">
        <f t="shared" si="13"/>
        <v>2.2727550005800256E-3</v>
      </c>
      <c r="X33" s="66">
        <f t="shared" si="9"/>
        <v>1.311311206863789E-2</v>
      </c>
      <c r="Y33" s="66">
        <f t="shared" si="9"/>
        <v>0.98461413293078215</v>
      </c>
      <c r="Z33" s="58">
        <f t="shared" si="14"/>
        <v>1</v>
      </c>
      <c r="AA33" s="26">
        <f>(AB35*(W34-W35)+AA34*(S34-W34))/(S33-W34)</f>
        <v>12.618093676445268</v>
      </c>
      <c r="AB33" s="26">
        <f>AA32+AB34-AA33</f>
        <v>12.805280397028673</v>
      </c>
      <c r="AC33" s="73">
        <f t="shared" si="15"/>
        <v>2.277816963269578E-3</v>
      </c>
      <c r="AD33" s="5">
        <f t="shared" si="10"/>
        <v>7.4546536938123698</v>
      </c>
      <c r="AE33" s="74">
        <f t="shared" si="10"/>
        <v>2125.5112208558553</v>
      </c>
      <c r="AG33" t="s">
        <v>147</v>
      </c>
    </row>
    <row r="34" spans="3:33" ht="15.75" thickBot="1" x14ac:dyDescent="0.3">
      <c r="R34" s="46">
        <v>4</v>
      </c>
      <c r="S34" s="65">
        <f t="shared" si="11"/>
        <v>0.99933679566631894</v>
      </c>
      <c r="T34" s="66">
        <f t="shared" si="8"/>
        <v>2.0663631259597163E-4</v>
      </c>
      <c r="U34" s="66">
        <f t="shared" si="8"/>
        <v>4.5656802108511442E-4</v>
      </c>
      <c r="V34" s="61">
        <f t="shared" si="12"/>
        <v>1</v>
      </c>
      <c r="W34" s="66">
        <f t="shared" si="13"/>
        <v>1.9493164566338566E-3</v>
      </c>
      <c r="X34" s="66">
        <f t="shared" si="9"/>
        <v>1.5490041436948267E-3</v>
      </c>
      <c r="Y34" s="66">
        <f t="shared" si="9"/>
        <v>0.99650167939967127</v>
      </c>
      <c r="Z34" s="58">
        <f t="shared" si="14"/>
        <v>1</v>
      </c>
      <c r="AA34" s="26">
        <f>(AA30*(AA26-W31)+AB35*(AA27-W31))/(S34-W31)</f>
        <v>12.573729250229523</v>
      </c>
      <c r="AB34" s="26">
        <f>AA33+AB35-AA34</f>
        <v>12.651796060158446</v>
      </c>
      <c r="AC34" s="73">
        <f t="shared" si="15"/>
        <v>1.9506101097119396E-3</v>
      </c>
      <c r="AD34" s="5">
        <f t="shared" si="10"/>
        <v>7.4962823534483869</v>
      </c>
      <c r="AE34" s="74">
        <f t="shared" si="10"/>
        <v>2182.5919323725507</v>
      </c>
      <c r="AG34" s="176">
        <f>AG36+Z26-AG32</f>
        <v>12.573706097844962</v>
      </c>
    </row>
    <row r="35" spans="3:33" ht="18.75" thickBot="1" x14ac:dyDescent="0.4">
      <c r="C35" s="36" t="s">
        <v>38</v>
      </c>
      <c r="D35" s="37" t="s">
        <v>39</v>
      </c>
      <c r="E35" s="37" t="s">
        <v>40</v>
      </c>
      <c r="F35" s="37" t="s">
        <v>41</v>
      </c>
      <c r="G35" s="37" t="s">
        <v>42</v>
      </c>
      <c r="H35" s="38" t="s">
        <v>43</v>
      </c>
      <c r="R35" s="47"/>
      <c r="S35" s="67"/>
      <c r="T35" s="68"/>
      <c r="U35" s="68"/>
      <c r="V35" s="62"/>
      <c r="W35" s="51">
        <v>0</v>
      </c>
      <c r="X35">
        <f>AB27</f>
        <v>0</v>
      </c>
      <c r="Y35" s="52">
        <v>1</v>
      </c>
      <c r="Z35" s="59"/>
      <c r="AB35" s="84">
        <f>Z27</f>
        <v>12.607431633942701</v>
      </c>
      <c r="AC35" s="75"/>
      <c r="AD35" s="76"/>
      <c r="AE35" s="77"/>
      <c r="AG35" t="s">
        <v>148</v>
      </c>
    </row>
    <row r="36" spans="3:33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50"/>
      <c r="Z36" s="56"/>
      <c r="AA36" s="83"/>
      <c r="AG36" s="221">
        <f>(AG32*(W31-S34)+Z26*(S34-AA26))/(AA27-S34)</f>
        <v>12.608028211395153</v>
      </c>
    </row>
    <row r="37" spans="3:33" ht="18.75" thickBot="1" x14ac:dyDescent="0.4">
      <c r="C37" s="36" t="s">
        <v>44</v>
      </c>
      <c r="D37" s="37" t="s">
        <v>45</v>
      </c>
      <c r="E37" s="37" t="s">
        <v>46</v>
      </c>
      <c r="F37" s="37" t="s">
        <v>47</v>
      </c>
      <c r="G37" s="37" t="s">
        <v>48</v>
      </c>
      <c r="H37" s="38" t="s">
        <v>49</v>
      </c>
      <c r="AC37" s="168"/>
    </row>
    <row r="38" spans="3:33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  <c r="AG38" s="113">
        <f>AG36-Z27</f>
        <v>5.9657745245189631E-4</v>
      </c>
    </row>
    <row r="39" spans="3:33" ht="15.75" thickBot="1" x14ac:dyDescent="0.3"/>
    <row r="40" spans="3:33" ht="16.5" thickBot="1" x14ac:dyDescent="0.3">
      <c r="C40" s="16" t="s">
        <v>50</v>
      </c>
      <c r="D40" s="17" t="s">
        <v>51</v>
      </c>
      <c r="E40" s="18" t="s">
        <v>52</v>
      </c>
      <c r="G40" s="16" t="s">
        <v>53</v>
      </c>
      <c r="H40" s="17" t="s">
        <v>54</v>
      </c>
      <c r="I40" s="18" t="s">
        <v>55</v>
      </c>
      <c r="L40" s="39" t="s">
        <v>56</v>
      </c>
      <c r="M40" s="40" t="s">
        <v>57</v>
      </c>
      <c r="N40" s="40" t="s">
        <v>58</v>
      </c>
      <c r="O40" s="40" t="s">
        <v>59</v>
      </c>
      <c r="P40" s="40" t="s">
        <v>60</v>
      </c>
      <c r="Q40" s="40" t="s">
        <v>61</v>
      </c>
      <c r="R40" s="40" t="s">
        <v>62</v>
      </c>
      <c r="S40" s="40" t="s">
        <v>63</v>
      </c>
      <c r="T40" s="40" t="s">
        <v>64</v>
      </c>
      <c r="U40" s="40" t="s">
        <v>65</v>
      </c>
      <c r="V40" s="40" t="s">
        <v>66</v>
      </c>
      <c r="W40" s="40" t="s">
        <v>67</v>
      </c>
      <c r="X40" s="40" t="s">
        <v>68</v>
      </c>
      <c r="Y40" s="40" t="s">
        <v>69</v>
      </c>
      <c r="Z40" s="41" t="s">
        <v>70</v>
      </c>
    </row>
    <row r="41" spans="3:33" x14ac:dyDescent="0.25">
      <c r="C41">
        <f>1-D41-E41</f>
        <v>0.90339611971436218</v>
      </c>
      <c r="D41" s="42">
        <v>9.5632733481209792E-2</v>
      </c>
      <c r="E41" s="42">
        <v>9.7114680442799382E-4</v>
      </c>
      <c r="F41" s="42"/>
      <c r="G41" s="42">
        <v>3.7334058189803204E-2</v>
      </c>
      <c r="H41" s="42">
        <v>0.45927746506771616</v>
      </c>
      <c r="I41">
        <f>1-G41-H41</f>
        <v>0.50338847674248066</v>
      </c>
      <c r="L41">
        <f>$C41+$D$38*$D41+$F$38*$E41</f>
        <v>0.93424788146258331</v>
      </c>
      <c r="M41">
        <f>$C$38*$C41+$D41+$H$38*$E41</f>
        <v>0.48541171105808018</v>
      </c>
      <c r="N41">
        <f>$E$38*$C41+$G$38*$D41+$E41</f>
        <v>6.9107409348460061E-2</v>
      </c>
      <c r="O41">
        <f>$D41*$D$36*$D$38+$E41*$F$36*$F$38</f>
        <v>8.7743189702196842E-2</v>
      </c>
      <c r="P41">
        <f>$C41*$C$36*$C$38+$E41*$H$36*$H$38</f>
        <v>0.81964506523735492</v>
      </c>
      <c r="Q41">
        <f>$C41*$E$36*$E$38+$D41*$G$36*$G$38</f>
        <v>0.43403706028761257</v>
      </c>
      <c r="R41">
        <f>(O41/L41)-(C41*O41/L41^2)+(D41*$C$38/M41)*($C$36-P41/M41)+(E41*$E$38/N41)*($E$36-Q41/N41)</f>
        <v>3.9370300442492845E-2</v>
      </c>
      <c r="S41">
        <f>(P41/M41)-(D41*P41/M41^2)+(C41*$D$38/L41)*($D$36-O41/L41)+(E41*$G$38/N41)*($G$36-Q41/N41)</f>
        <v>2.2023489679196318</v>
      </c>
      <c r="T41">
        <f>(Q41/N41)-(E41*Q41/N41^2)+(C41*$F$38/L41)*($F$36-O41/L41)+(D41*$H$38/M41)*($H$36-P41/M41)</f>
        <v>6.4281480997380456</v>
      </c>
      <c r="U41">
        <f>EXP(R41)</f>
        <v>1.0401555824170658</v>
      </c>
      <c r="V41">
        <f>EXP(S41)</f>
        <v>9.0462378845593605</v>
      </c>
      <c r="W41">
        <f>EXP(T41)</f>
        <v>619.02651051376472</v>
      </c>
      <c r="X41">
        <f>U41/U47</f>
        <v>4.1326345870243697E-2</v>
      </c>
      <c r="Y41">
        <f>V41/V47</f>
        <v>4.8025124492285256</v>
      </c>
      <c r="Z41">
        <f>W41/W47</f>
        <v>518.34460289617755</v>
      </c>
    </row>
    <row r="42" spans="3:33" x14ac:dyDescent="0.25">
      <c r="C42">
        <f t="shared" ref="C42:C44" si="16">1-D42-E42</f>
        <v>0.98613448944410353</v>
      </c>
      <c r="D42">
        <v>1.3351141062181875E-2</v>
      </c>
      <c r="E42" s="42">
        <v>5.1436949371461388E-4</v>
      </c>
      <c r="G42" s="42">
        <v>5.6898036131379885E-3</v>
      </c>
      <c r="H42">
        <v>9.521800741775624E-2</v>
      </c>
      <c r="I42">
        <f t="shared" ref="I42:I44" si="17">1-G42-H42</f>
        <v>0.89909218896910581</v>
      </c>
      <c r="L42">
        <f>$C42+$D$38*$D42+$F$38*$E42</f>
        <v>0.99047429106093465</v>
      </c>
      <c r="M42">
        <f t="shared" ref="M42:M44" si="18">$C$38*$C42+$D42+$H$38*$E42</f>
        <v>0.43832722050897788</v>
      </c>
      <c r="N42">
        <f t="shared" ref="N42:N44" si="19">$E$38*$C42+$G$38*$D42+$E42</f>
        <v>5.6690602754172606E-2</v>
      </c>
      <c r="O42">
        <f t="shared" ref="O42:O44" si="20">$D42*$D$36*$D$38+$E42*$F$36*$F$38</f>
        <v>1.2449709242712338E-2</v>
      </c>
      <c r="P42">
        <f t="shared" ref="P42:P44" si="21">$C42*$C$36*$C$38+$E42*$H$36*$H$38</f>
        <v>0.89460630770890937</v>
      </c>
      <c r="Q42">
        <f t="shared" ref="Q42:Q44" si="22">$C42*$E$36*$E$38+$D42*$G$36*$G$38</f>
        <v>0.40053868656399677</v>
      </c>
      <c r="R42">
        <f>(O42/L42)-(C42*O42/L42^2)+(D42*$C$38/M42)*($C$36-P42/M42)+(E42*$E$38/N42)*($E$36-Q42/N42)</f>
        <v>1.0315146022325187E-3</v>
      </c>
      <c r="S42">
        <f>(P42/M42)-(D42*P42/M42^2)+(C42*$D$38/L42)*($D$36-O42/L42)+(E42*$G$38/N42)*($G$36-Q42/N42)</f>
        <v>2.8773904194882305</v>
      </c>
      <c r="T42">
        <f>(Q42/N42)-(E42*Q42/N42^2)+(C42*$F$38/L42)*($F$36-O42/L42)+(D42*$H$38/M42)*($H$36-P42/M42)</f>
        <v>7.4747520147010391</v>
      </c>
      <c r="U42">
        <f t="shared" ref="U42:W44" si="23">EXP(R42)</f>
        <v>1.0010320467963927</v>
      </c>
      <c r="V42">
        <f t="shared" si="23"/>
        <v>17.767846003565332</v>
      </c>
      <c r="W42">
        <f t="shared" si="23"/>
        <v>1762.964444709022</v>
      </c>
      <c r="X42">
        <f t="shared" ref="X42:Z44" si="24">U42/U48</f>
        <v>5.7698005216142989E-3</v>
      </c>
      <c r="Y42">
        <f t="shared" si="24"/>
        <v>7.1318251436751119</v>
      </c>
      <c r="Z42">
        <f t="shared" si="24"/>
        <v>1747.9500332381913</v>
      </c>
    </row>
    <row r="43" spans="3:33" x14ac:dyDescent="0.25">
      <c r="C43">
        <f t="shared" si="16"/>
        <v>0.99777771314764174</v>
      </c>
      <c r="D43">
        <v>1.759050467967713E-3</v>
      </c>
      <c r="E43" s="42">
        <v>4.6323638439053677E-4</v>
      </c>
      <c r="G43" s="42">
        <v>2.2727550005800256E-3</v>
      </c>
      <c r="H43">
        <v>1.311311206863789E-2</v>
      </c>
      <c r="I43">
        <f t="shared" si="17"/>
        <v>0.98461413293078215</v>
      </c>
      <c r="L43">
        <f t="shared" ref="L43:L44" si="25">$C43+$D$38*$D43+$F$38*$E43</f>
        <v>0.99838356496283531</v>
      </c>
      <c r="M43">
        <f t="shared" si="18"/>
        <v>0.43170025819055285</v>
      </c>
      <c r="N43">
        <f t="shared" si="19"/>
        <v>5.495378568584653E-2</v>
      </c>
      <c r="O43">
        <f t="shared" si="20"/>
        <v>1.8491061414636952E-3</v>
      </c>
      <c r="P43">
        <f t="shared" si="21"/>
        <v>0.90515767829315141</v>
      </c>
      <c r="Q43">
        <f t="shared" si="22"/>
        <v>0.39581410466514222</v>
      </c>
      <c r="R43">
        <f>(O43/L43)-(C43*O43/L43^2)+(D43*$C$38/M43)*($C$36-P43/M43)+(E43*$E$38/N43)*($E$36-Q43/N43)</f>
        <v>5.708862825554382E-5</v>
      </c>
      <c r="S43">
        <f>(P43/M43)-(D43*P43/M43^2)+(C43*$D$38/L43)*($D$36-O43/L43)+(E43*$G$38/N43)*($G$36-Q43/N43)</f>
        <v>2.993818454982565</v>
      </c>
      <c r="T43">
        <f>(Q43/N43)-(E43*Q43/N43^2)+(C43*$F$38/L43)*($F$36-O43/L43)+(D43*$H$38/M43)*($H$36-P43/M43)</f>
        <v>7.662466634765531</v>
      </c>
      <c r="U43">
        <f t="shared" si="23"/>
        <v>1.0000570902578423</v>
      </c>
      <c r="V43">
        <f t="shared" si="23"/>
        <v>19.961760232232081</v>
      </c>
      <c r="W43">
        <f t="shared" si="23"/>
        <v>2126.997489216862</v>
      </c>
      <c r="X43">
        <f t="shared" si="24"/>
        <v>2.2778164900542027E-3</v>
      </c>
      <c r="Y43">
        <f t="shared" si="24"/>
        <v>7.4546536626272522</v>
      </c>
      <c r="Z43">
        <f t="shared" si="24"/>
        <v>2125.5112001669104</v>
      </c>
    </row>
    <row r="44" spans="3:33" x14ac:dyDescent="0.25">
      <c r="C44">
        <f t="shared" si="16"/>
        <v>0.99933679566631894</v>
      </c>
      <c r="D44">
        <v>2.0663631259597163E-4</v>
      </c>
      <c r="E44" s="42">
        <v>4.5656802108511442E-4</v>
      </c>
      <c r="G44" s="42">
        <v>1.9493164566338566E-3</v>
      </c>
      <c r="H44">
        <v>1.5490041436948267E-3</v>
      </c>
      <c r="I44">
        <f t="shared" si="17"/>
        <v>0.99650167939967127</v>
      </c>
      <c r="L44">
        <f t="shared" si="25"/>
        <v>0.9994426119335138</v>
      </c>
      <c r="M44">
        <f t="shared" si="18"/>
        <v>0.43081286212730613</v>
      </c>
      <c r="N44">
        <f t="shared" si="19"/>
        <v>5.4721360592100407E-2</v>
      </c>
      <c r="O44">
        <f t="shared" si="20"/>
        <v>4.295668337139098E-4</v>
      </c>
      <c r="P44">
        <f t="shared" si="21"/>
        <v>0.90657059145753771</v>
      </c>
      <c r="Q44">
        <f t="shared" si="22"/>
        <v>0.39518131718527877</v>
      </c>
      <c r="R44">
        <f>(O44/L44)-(C44*O44/L44^2)+(D44*$C$38/M44)*($C$36-P44/M44)+(E44*$E$38/N44)*($E$36-Q44/N44)</f>
        <v>2.9265943960185935E-5</v>
      </c>
      <c r="S44">
        <f>(P44/M44)-(D44*P44/M44^2)+(C44*$D$38/L44)*($D$36-O44/L44)+(E44*$G$38/N44)*($G$36-Q44/N44)</f>
        <v>3.0098883201165059</v>
      </c>
      <c r="T44">
        <f>(Q44/N44)-(E44*Q44/N44^2)+(C44*$F$38/L44)*($F$36-O44/L44)+(D44*$H$38/M44)*($H$36-P44/M44)</f>
        <v>7.6885598259215682</v>
      </c>
      <c r="U44">
        <f t="shared" si="23"/>
        <v>1.0000292663722121</v>
      </c>
      <c r="V44">
        <f t="shared" si="23"/>
        <v>20.285134357292417</v>
      </c>
      <c r="W44">
        <f t="shared" si="23"/>
        <v>2183.2280685511373</v>
      </c>
      <c r="X44">
        <f t="shared" si="24"/>
        <v>1.950610050559802E-3</v>
      </c>
      <c r="Y44">
        <f t="shared" si="24"/>
        <v>7.4962823497685012</v>
      </c>
      <c r="Z44">
        <f t="shared" si="24"/>
        <v>2182.5919290215543</v>
      </c>
    </row>
    <row r="45" spans="3:33" ht="15.75" thickBot="1" x14ac:dyDescent="0.3">
      <c r="E45" s="42"/>
      <c r="G45" s="42"/>
    </row>
    <row r="46" spans="3:33" ht="16.5" thickBot="1" x14ac:dyDescent="0.3">
      <c r="L46" s="39" t="s">
        <v>71</v>
      </c>
      <c r="M46" s="40" t="s">
        <v>72</v>
      </c>
      <c r="N46" s="40" t="s">
        <v>73</v>
      </c>
      <c r="O46" s="40" t="s">
        <v>74</v>
      </c>
      <c r="P46" s="40" t="s">
        <v>75</v>
      </c>
      <c r="Q46" s="40" t="s">
        <v>76</v>
      </c>
      <c r="R46" s="40" t="s">
        <v>77</v>
      </c>
      <c r="S46" s="40" t="s">
        <v>78</v>
      </c>
      <c r="T46" s="40" t="s">
        <v>79</v>
      </c>
      <c r="U46" s="40" t="s">
        <v>80</v>
      </c>
      <c r="V46" s="40" t="s">
        <v>81</v>
      </c>
      <c r="W46" s="40" t="s">
        <v>82</v>
      </c>
      <c r="X46" s="40" t="s">
        <v>83</v>
      </c>
      <c r="Y46" s="40" t="s">
        <v>84</v>
      </c>
      <c r="Z46" s="41" t="s">
        <v>85</v>
      </c>
    </row>
    <row r="47" spans="3:33" ht="15.75" thickBot="1" x14ac:dyDescent="0.3">
      <c r="L47">
        <f>$G41+$D$38*$H41+$F$38*$I41</f>
        <v>0.22846675700202365</v>
      </c>
      <c r="M47">
        <f>$C$38*$G41+$H41+$H$38*$I41</f>
        <v>0.93763919146850483</v>
      </c>
      <c r="N47">
        <f>$E$38*$G41+$G$38*$H41+$I41</f>
        <v>0.59723090652589217</v>
      </c>
      <c r="O47">
        <f>$H41*$D$36*$D$38+$I41*$F$36*$F$38</f>
        <v>0.68473381387180776</v>
      </c>
      <c r="P47">
        <f>$G41*$C$36*$C$38+$I41*$H$36*$H$38</f>
        <v>0.13229692811645666</v>
      </c>
      <c r="Q47">
        <f>$G41*$E$36*$E$38+$H41*$G$36*$G$38</f>
        <v>0.38428746488577448</v>
      </c>
      <c r="R47">
        <f>(O47/L47)-(G41*O47/L47^2)+(H41*$C$38/M47)*($C$36-P47/M47)+(I41*$E$38/N47)*($E$36-Q47/N47)</f>
        <v>3.2256253683048848</v>
      </c>
      <c r="S47">
        <f>(P47/M47)-(H41*P47/M47^2)+(G41*$D$38/L47)*($D$36-O47/L47)+(I41*$G$38/N47)*($G$36-Q47/N47)</f>
        <v>0.63320976002326523</v>
      </c>
      <c r="T47">
        <f>(Q47/N47)-(I41*Q47/N47^2)+(G41*$F$38/L47)*($F$36-O47/L47)+(H41*$H$38/M47)*($H$36-P47/M47)</f>
        <v>0.1775078221072868</v>
      </c>
      <c r="U47">
        <f>EXP(R47)</f>
        <v>25.169309323474724</v>
      </c>
      <c r="V47">
        <f>EXP(S47)</f>
        <v>1.8836469410948733</v>
      </c>
      <c r="W47">
        <f>EXP(T47)</f>
        <v>1.1942373993189881</v>
      </c>
      <c r="X47">
        <f>U47/U41</f>
        <v>24.197639034909987</v>
      </c>
      <c r="Y47">
        <f>V47/V41</f>
        <v>0.20822434310620885</v>
      </c>
      <c r="Z47">
        <f>W47/W41</f>
        <v>1.9292185052427297E-3</v>
      </c>
    </row>
    <row r="48" spans="3:33" ht="15.75" thickBot="1" x14ac:dyDescent="0.3">
      <c r="C48" s="232" t="s">
        <v>86</v>
      </c>
      <c r="D48" s="233"/>
      <c r="E48" s="233"/>
      <c r="F48" s="233"/>
      <c r="G48" s="233"/>
      <c r="H48" s="233"/>
      <c r="I48" s="234"/>
      <c r="L48">
        <f t="shared" ref="L48:L50" si="26">$G42+$D$38*$H42+$F$38*$I42</f>
        <v>0.113784121103849</v>
      </c>
      <c r="M48">
        <f t="shared" ref="M48:M50" si="27">$C$38*$G42+$H42+$H$38*$I42</f>
        <v>0.9233551173311042</v>
      </c>
      <c r="N48">
        <f t="shared" ref="N48:N50" si="28">$E$38*$G42+$G$38*$H42+$I42</f>
        <v>0.91843647430771325</v>
      </c>
      <c r="O48">
        <f t="shared" ref="O48:O50" si="29">$H42*$D$36*$D$38+$I42*$F$36*$F$38</f>
        <v>0.56160781010810368</v>
      </c>
      <c r="P48">
        <f t="shared" ref="P48:P50" si="30">$G42*$C$36*$C$38+$I42*$H$36*$H$38</f>
        <v>0.18096828802011625</v>
      </c>
      <c r="Q48">
        <f t="shared" ref="Q48:Q50" si="31">$G42*$E$36*$E$38+$H42*$G$36*$G$38</f>
        <v>7.8860528451817874E-2</v>
      </c>
      <c r="R48">
        <f>(O48/L48)-(G42*O48/L48^2)+(H42*$C$38/M48)*($C$36-P48/M48)+(I42*$E$38/N48)*($E$36-Q48/N48)</f>
        <v>5.1561492853059434</v>
      </c>
      <c r="S48">
        <f>(P48/M48)-(H42*P48/M48^2)+(G42*$D$38/L48)*($D$36-O48/L48)+(I42*$G$38/N48)*($G$36-Q48/N48)</f>
        <v>0.91282323693944156</v>
      </c>
      <c r="T48">
        <f>(Q48/N48)-(I42*Q48/N48^2)+(G42*$F$38/L48)*($F$36-O48/L48)+(H42*$H$38/M48)*($H$36-P48/M48)</f>
        <v>8.5530439981298424E-3</v>
      </c>
      <c r="U48">
        <f t="shared" ref="U48:W50" si="32">EXP(R48)</f>
        <v>173.49508757649733</v>
      </c>
      <c r="V48">
        <f t="shared" si="32"/>
        <v>2.4913462747082096</v>
      </c>
      <c r="W48">
        <f t="shared" si="32"/>
        <v>1.0085897257846757</v>
      </c>
      <c r="X48">
        <f t="shared" ref="X48:Z50" si="33">U48/U42</f>
        <v>173.31621712984557</v>
      </c>
      <c r="Y48">
        <f t="shared" si="33"/>
        <v>0.14021656165909424</v>
      </c>
      <c r="Z48">
        <f t="shared" si="33"/>
        <v>5.7209873336449722E-4</v>
      </c>
    </row>
    <row r="49" spans="2:26" ht="15.75" thickBot="1" x14ac:dyDescent="0.3">
      <c r="B49" s="19" t="s">
        <v>87</v>
      </c>
      <c r="C49" s="17" t="s">
        <v>50</v>
      </c>
      <c r="D49" s="17" t="s">
        <v>51</v>
      </c>
      <c r="E49" s="17" t="s">
        <v>52</v>
      </c>
      <c r="F49" s="17"/>
      <c r="G49" s="17" t="s">
        <v>53</v>
      </c>
      <c r="H49" s="17" t="s">
        <v>54</v>
      </c>
      <c r="I49" s="17" t="s">
        <v>88</v>
      </c>
      <c r="J49" s="19" t="s">
        <v>87</v>
      </c>
      <c r="L49">
        <f t="shared" si="26"/>
        <v>9.1319301921857665E-2</v>
      </c>
      <c r="M49">
        <f t="shared" si="27"/>
        <v>0.91831897178862698</v>
      </c>
      <c r="N49">
        <f t="shared" si="28"/>
        <v>0.9873589663226553</v>
      </c>
      <c r="O49">
        <f t="shared" si="29"/>
        <v>0.5318756172774447</v>
      </c>
      <c r="P49">
        <f t="shared" si="30"/>
        <v>0.19459157682729283</v>
      </c>
      <c r="Q49">
        <f t="shared" si="31"/>
        <v>1.1449050146351215E-2</v>
      </c>
      <c r="R49">
        <f>(O49/L49)-(G43*O49/L49^2)+(H43*$C$38/M49)*($C$36-P49/M49)+(I43*$E$38/N49)*($E$36-Q49/N49)</f>
        <v>6.0845950633131212</v>
      </c>
      <c r="S49">
        <f>(P49/M49)-(H43*P49/M49^2)+(G43*$D$38/L49)*($D$36-O49/L49)+(I43*$G$38/N49)*($G$36-Q49/N49)</f>
        <v>0.98497996490374462</v>
      </c>
      <c r="T49">
        <f>(Q49/N49)-(I43*Q49/N49^2)+(G43*$F$38/L49)*($F$36-O49/L49)+(H43*$H$38/M49)*($H$36-P49/M49)</f>
        <v>6.9901755365343789E-4</v>
      </c>
      <c r="U49">
        <f t="shared" si="32"/>
        <v>439.04199246272248</v>
      </c>
      <c r="V49">
        <f t="shared" si="32"/>
        <v>2.6777582347396316</v>
      </c>
      <c r="W49">
        <f t="shared" si="32"/>
        <v>1.0006992619233599</v>
      </c>
      <c r="X49">
        <f t="shared" si="33"/>
        <v>439.01692887305597</v>
      </c>
      <c r="Y49">
        <f t="shared" si="33"/>
        <v>0.13414439426117736</v>
      </c>
      <c r="Z49">
        <f t="shared" si="33"/>
        <v>4.7047505556379698E-4</v>
      </c>
    </row>
    <row r="50" spans="2:26" x14ac:dyDescent="0.25">
      <c r="B50" s="43">
        <f>SUM(C50:E50)</f>
        <v>0.99999995861705049</v>
      </c>
      <c r="C50">
        <f>G41*X47</f>
        <v>0.90339606378518289</v>
      </c>
      <c r="D50">
        <f>H41*Y47</f>
        <v>9.5632748467209983E-2</v>
      </c>
      <c r="E50">
        <f>I41*Z47</f>
        <v>9.7114636465754319E-4</v>
      </c>
      <c r="G50">
        <f>C41*X41</f>
        <v>3.733406050115181E-2</v>
      </c>
      <c r="H50">
        <f>D41*Y41</f>
        <v>0.45927739309726368</v>
      </c>
      <c r="I50">
        <f>E41*Z41</f>
        <v>0.5033887046951202</v>
      </c>
      <c r="J50" s="43">
        <f>SUM(G50:I50)</f>
        <v>1.0000001582935356</v>
      </c>
      <c r="L50">
        <f t="shared" si="26"/>
        <v>8.8299471735705209E-2</v>
      </c>
      <c r="M50">
        <f t="shared" si="27"/>
        <v>0.91753264665923873</v>
      </c>
      <c r="N50">
        <f t="shared" si="28"/>
        <v>0.9969171182772697</v>
      </c>
      <c r="O50">
        <f t="shared" si="29"/>
        <v>0.52760462631781679</v>
      </c>
      <c r="P50">
        <f t="shared" si="30"/>
        <v>0.19662266461154984</v>
      </c>
      <c r="Q50">
        <f t="shared" si="31"/>
        <v>2.0168339734412148E-3</v>
      </c>
      <c r="R50">
        <f>(O50/L50)-(G44*O50/L50^2)+(H44*$C$38/M50)*($C$36-P50/M50)+(I44*$E$38/N50)*($E$36-Q50/N50)</f>
        <v>6.2396423748357615</v>
      </c>
      <c r="S50">
        <f>(P50/M50)-(H44*P50/M50^2)+(G44*$D$38/L50)*($D$36-O50/L50)+(I44*$G$38/N50)*($G$36-Q50/N50)</f>
        <v>0.99548110916503796</v>
      </c>
      <c r="T50">
        <f>(Q50/N50)-(I44*Q50/N50^2)+(G44*$F$38/L50)*($F$36-O50/L50)+(H44*$H$38/M50)*($H$36-P50/M50)</f>
        <v>2.9141812279886211E-4</v>
      </c>
      <c r="U50">
        <f t="shared" si="32"/>
        <v>512.67513262592672</v>
      </c>
      <c r="V50">
        <f t="shared" si="32"/>
        <v>2.70602592202505</v>
      </c>
      <c r="W50">
        <f t="shared" si="32"/>
        <v>1.0002914605891851</v>
      </c>
      <c r="X50">
        <f t="shared" si="33"/>
        <v>512.66012892377535</v>
      </c>
      <c r="Y50">
        <f t="shared" si="33"/>
        <v>0.13339945766995848</v>
      </c>
      <c r="Z50">
        <f t="shared" si="33"/>
        <v>4.5817085031020678E-4</v>
      </c>
    </row>
    <row r="51" spans="2:26" x14ac:dyDescent="0.25">
      <c r="B51" s="43">
        <f t="shared" ref="B51:B53" si="34">SUM(C51:E51)</f>
        <v>1.0000007495514385</v>
      </c>
      <c r="C51">
        <f t="shared" ref="C51:E53" si="35">G42*X48</f>
        <v>0.98613523844080342</v>
      </c>
      <c r="D51">
        <f t="shared" si="35"/>
        <v>1.3351141608147911E-2</v>
      </c>
      <c r="E51">
        <f t="shared" si="35"/>
        <v>5.1436950248713858E-4</v>
      </c>
      <c r="G51">
        <f t="shared" ref="G51:I53" si="36">C42*X42</f>
        <v>5.6897992915764389E-3</v>
      </c>
      <c r="H51">
        <f t="shared" si="36"/>
        <v>9.5218003524021932E-2</v>
      </c>
      <c r="I51">
        <f t="shared" si="36"/>
        <v>0.89909217363517091</v>
      </c>
      <c r="J51" s="43">
        <f t="shared" ref="J51:J53" si="37">SUM(G51:I51)</f>
        <v>0.99999997645076932</v>
      </c>
    </row>
    <row r="52" spans="2:26" x14ac:dyDescent="0.25">
      <c r="B52" s="43">
        <f t="shared" si="34"/>
        <v>1.0000002072997491</v>
      </c>
      <c r="C52">
        <f t="shared" si="35"/>
        <v>0.99777792043552338</v>
      </c>
      <c r="D52">
        <f t="shared" si="35"/>
        <v>1.7590504753263641E-3</v>
      </c>
      <c r="E52">
        <f t="shared" si="35"/>
        <v>4.632363888995095E-4</v>
      </c>
      <c r="G52">
        <f t="shared" si="36"/>
        <v>2.2727545284162705E-3</v>
      </c>
      <c r="H52">
        <f t="shared" si="36"/>
        <v>1.3113112013781694E-2</v>
      </c>
      <c r="I52">
        <f t="shared" si="36"/>
        <v>0.98461412334691001</v>
      </c>
      <c r="J52" s="43">
        <f t="shared" si="37"/>
        <v>0.99999998988910799</v>
      </c>
    </row>
    <row r="53" spans="2:26" x14ac:dyDescent="0.25">
      <c r="B53" s="43">
        <f t="shared" si="34"/>
        <v>1.0000000303056333</v>
      </c>
      <c r="C53">
        <f t="shared" si="35"/>
        <v>0.99933682597114981</v>
      </c>
      <c r="D53">
        <f t="shared" si="35"/>
        <v>2.0663631269740831E-4</v>
      </c>
      <c r="E53">
        <f t="shared" si="35"/>
        <v>4.5656802178609644E-4</v>
      </c>
      <c r="G53">
        <f t="shared" si="36"/>
        <v>1.9493163975209489E-3</v>
      </c>
      <c r="H53">
        <f t="shared" si="36"/>
        <v>1.5490041429344287E-3</v>
      </c>
      <c r="I53">
        <f t="shared" si="36"/>
        <v>0.99650167786971355</v>
      </c>
      <c r="J53" s="43">
        <f t="shared" si="37"/>
        <v>0.99999999841016896</v>
      </c>
    </row>
    <row r="54" spans="2:26" x14ac:dyDescent="0.25">
      <c r="B54" s="43"/>
      <c r="J54" s="43"/>
    </row>
    <row r="55" spans="2:26" ht="15.75" thickBot="1" x14ac:dyDescent="0.3"/>
    <row r="56" spans="2:26" ht="15.75" thickBot="1" x14ac:dyDescent="0.3">
      <c r="C56" s="200" t="s">
        <v>89</v>
      </c>
      <c r="D56" s="201"/>
      <c r="E56" s="201"/>
      <c r="F56" s="201"/>
      <c r="G56" s="201"/>
      <c r="H56" s="201"/>
      <c r="I56" s="202"/>
    </row>
    <row r="57" spans="2:26" ht="15.75" thickBot="1" x14ac:dyDescent="0.3">
      <c r="C57" s="16" t="s">
        <v>90</v>
      </c>
      <c r="D57" s="17" t="s">
        <v>91</v>
      </c>
      <c r="E57" s="18" t="s">
        <v>92</v>
      </c>
      <c r="G57" s="16" t="s">
        <v>90</v>
      </c>
      <c r="H57" s="17" t="s">
        <v>91</v>
      </c>
      <c r="I57" s="18" t="s">
        <v>92</v>
      </c>
    </row>
    <row r="58" spans="2:26" x14ac:dyDescent="0.25">
      <c r="C58">
        <f>(C50+C41)/2</f>
        <v>0.90339609174977253</v>
      </c>
      <c r="D58">
        <f t="shared" ref="D58:I58" si="38">(D50+D41)/2</f>
        <v>9.5632740974209887E-2</v>
      </c>
      <c r="E58">
        <f t="shared" si="38"/>
        <v>9.7114658454276856E-4</v>
      </c>
      <c r="G58">
        <f t="shared" si="38"/>
        <v>3.733405934547751E-2</v>
      </c>
      <c r="H58">
        <f t="shared" si="38"/>
        <v>0.45927742908248992</v>
      </c>
      <c r="I58">
        <f t="shared" si="38"/>
        <v>0.50338859071880049</v>
      </c>
    </row>
    <row r="59" spans="2:26" x14ac:dyDescent="0.25">
      <c r="C59">
        <f t="shared" ref="C59:I61" si="39">(C51+C42)/2</f>
        <v>0.98613486394245342</v>
      </c>
      <c r="D59">
        <f t="shared" si="39"/>
        <v>1.3351141335164893E-2</v>
      </c>
      <c r="E59">
        <f t="shared" si="39"/>
        <v>5.1436949810087628E-4</v>
      </c>
      <c r="G59">
        <f t="shared" si="39"/>
        <v>5.6898014523572137E-3</v>
      </c>
      <c r="H59">
        <f t="shared" si="39"/>
        <v>9.5218005470889086E-2</v>
      </c>
      <c r="I59">
        <f t="shared" si="39"/>
        <v>0.89909218130213842</v>
      </c>
    </row>
    <row r="60" spans="2:26" x14ac:dyDescent="0.25">
      <c r="C60">
        <f t="shared" si="39"/>
        <v>0.99777781679158251</v>
      </c>
      <c r="D60">
        <f t="shared" si="39"/>
        <v>1.7590504716470385E-3</v>
      </c>
      <c r="E60">
        <f t="shared" si="39"/>
        <v>4.6323638664502314E-4</v>
      </c>
      <c r="G60">
        <f t="shared" si="39"/>
        <v>2.272754764498148E-3</v>
      </c>
      <c r="H60">
        <f t="shared" si="39"/>
        <v>1.3113112041209792E-2</v>
      </c>
      <c r="I60">
        <f t="shared" si="39"/>
        <v>0.98461412813884608</v>
      </c>
    </row>
    <row r="61" spans="2:26" x14ac:dyDescent="0.25">
      <c r="C61">
        <f t="shared" si="39"/>
        <v>0.99933681081873438</v>
      </c>
      <c r="D61">
        <f t="shared" si="39"/>
        <v>2.0663631264668995E-4</v>
      </c>
      <c r="E61">
        <f t="shared" si="39"/>
        <v>4.5656802143560543E-4</v>
      </c>
      <c r="G61">
        <f t="shared" si="39"/>
        <v>1.9493164270774027E-3</v>
      </c>
      <c r="H61">
        <f t="shared" si="39"/>
        <v>1.5490041433146276E-3</v>
      </c>
      <c r="I61">
        <f t="shared" si="39"/>
        <v>0.99650167863469241</v>
      </c>
    </row>
  </sheetData>
  <mergeCells count="1">
    <mergeCell ref="C48:I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3"/>
  <dimension ref="A1:AI60"/>
  <sheetViews>
    <sheetView topLeftCell="B18" zoomScale="55" zoomScaleNormal="55" workbookViewId="0">
      <selection activeCell="D41" sqref="D41:H45"/>
    </sheetView>
  </sheetViews>
  <sheetFormatPr defaultRowHeight="15" x14ac:dyDescent="0.25"/>
  <cols>
    <col min="5" max="5" width="13.5703125" bestFit="1" customWidth="1"/>
    <col min="15" max="15" width="14.28515625" customWidth="1"/>
    <col min="20" max="21" width="12" bestFit="1" customWidth="1"/>
    <col min="22" max="23" width="12.140625" bestFit="1" customWidth="1"/>
    <col min="28" max="28" width="10.28515625" bestFit="1" customWidth="1"/>
    <col min="33" max="33" width="16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226" t="s">
        <v>1</v>
      </c>
      <c r="C2" s="227"/>
      <c r="D2" s="227"/>
      <c r="E2" s="18" t="s">
        <v>2</v>
      </c>
      <c r="G2" s="22" t="s">
        <v>21</v>
      </c>
      <c r="H2" s="22"/>
      <c r="I2" s="22"/>
    </row>
    <row r="3" spans="1:26" ht="15.75" thickBot="1" x14ac:dyDescent="0.3">
      <c r="B3" s="48" t="s">
        <v>3</v>
      </c>
      <c r="C3" s="49" t="s">
        <v>4</v>
      </c>
      <c r="D3" s="69" t="s">
        <v>5</v>
      </c>
      <c r="E3" s="13" t="s">
        <v>6</v>
      </c>
      <c r="G3" s="48" t="s">
        <v>22</v>
      </c>
      <c r="H3" s="49" t="s">
        <v>23</v>
      </c>
      <c r="I3" s="69" t="s">
        <v>24</v>
      </c>
      <c r="L3">
        <v>1</v>
      </c>
      <c r="M3">
        <v>2</v>
      </c>
      <c r="N3">
        <v>3</v>
      </c>
      <c r="O3" s="19" t="s">
        <v>26</v>
      </c>
      <c r="S3" s="19" t="s">
        <v>27</v>
      </c>
      <c r="Z3" s="19" t="s">
        <v>28</v>
      </c>
    </row>
    <row r="4" spans="1:26" ht="15.75" thickBot="1" x14ac:dyDescent="0.3">
      <c r="A4" s="48" t="s">
        <v>0</v>
      </c>
      <c r="B4" s="1">
        <f>AA26</f>
        <v>0.54</v>
      </c>
      <c r="C4" s="1">
        <f t="shared" ref="C4:D4" si="0">AB26</f>
        <v>0.46</v>
      </c>
      <c r="D4" s="1">
        <f t="shared" si="0"/>
        <v>0</v>
      </c>
      <c r="E4" s="10">
        <f>AA30</f>
        <v>21.209716796875</v>
      </c>
      <c r="G4" s="5" t="s">
        <v>25</v>
      </c>
      <c r="H4" s="5" t="s">
        <v>25</v>
      </c>
      <c r="I4" s="5" t="s">
        <v>25</v>
      </c>
      <c r="K4" s="16" t="s">
        <v>29</v>
      </c>
      <c r="L4" s="1">
        <f>E$8*$G$5+E$5</f>
        <v>12.086490589176734</v>
      </c>
      <c r="M4" s="2">
        <f>-$E$9*$G$6</f>
        <v>-6.1500052068344878E-2</v>
      </c>
      <c r="N4" s="3">
        <v>0</v>
      </c>
      <c r="O4" s="3">
        <f>$B$4*$E$4</f>
        <v>11.4532470703125</v>
      </c>
      <c r="T4" s="1">
        <f t="array" ref="T4:V6">MINVERSE(L4:N6)</f>
        <v>8.3179788803033408E-2</v>
      </c>
      <c r="U4" s="2">
        <v>4.8056847885103625E-4</v>
      </c>
      <c r="V4" s="3">
        <v>2.0937261182054953E-6</v>
      </c>
      <c r="W4" s="5"/>
      <c r="X4" s="5"/>
      <c r="Z4" s="23">
        <f t="array" ref="Z4:Z6">MMULT(T4:V6,O4:O6)</f>
        <v>0.95267867241755488</v>
      </c>
    </row>
    <row r="5" spans="1:26" x14ac:dyDescent="0.25">
      <c r="A5" s="79" t="s">
        <v>7</v>
      </c>
      <c r="B5" s="86">
        <f>S31</f>
        <v>0.95267867241755511</v>
      </c>
      <c r="C5" s="78">
        <f t="shared" ref="C5:D7" si="1">T31</f>
        <v>4.6645114975438724E-2</v>
      </c>
      <c r="D5" s="87">
        <f t="shared" si="1"/>
        <v>6.7621260700617225E-4</v>
      </c>
      <c r="E5" s="11">
        <f t="shared" ref="E5:E7" si="2">AA31</f>
        <v>11.136258021680259</v>
      </c>
      <c r="G5" s="5">
        <f t="shared" ref="G5:I7" si="3">B8/B5</f>
        <v>2.7649195889000316E-2</v>
      </c>
      <c r="H5" s="5">
        <f t="shared" si="3"/>
        <v>6.085037274651409</v>
      </c>
      <c r="I5" s="5">
        <f t="shared" si="3"/>
        <v>1020.1258159252457</v>
      </c>
      <c r="L5" s="25">
        <f>-$E$5</f>
        <v>-11.136258021680259</v>
      </c>
      <c r="M5" s="5">
        <f>$E$6+$E$9*$G$6</f>
        <v>10.691123301570601</v>
      </c>
      <c r="N5" s="6">
        <f>-$G$7*$E$10</f>
        <v>-4.6184750822361051E-2</v>
      </c>
      <c r="O5" s="6">
        <v>0</v>
      </c>
      <c r="T5" s="4">
        <v>8.7020000757465396E-2</v>
      </c>
      <c r="U5" s="5">
        <v>9.4445227308640009E-2</v>
      </c>
      <c r="V5" s="6">
        <v>4.1147609104268677E-4</v>
      </c>
      <c r="W5" s="5"/>
      <c r="X5" s="5"/>
      <c r="Z5" s="24">
        <v>0.99666156873403211</v>
      </c>
    </row>
    <row r="6" spans="1:26" ht="15.75" thickBot="1" x14ac:dyDescent="0.3">
      <c r="A6" s="79" t="s">
        <v>8</v>
      </c>
      <c r="B6" s="86">
        <f t="shared" ref="B6:B7" si="4">S32</f>
        <v>0.99666156873403244</v>
      </c>
      <c r="C6" s="78">
        <f t="shared" si="1"/>
        <v>2.8703954071458626E-3</v>
      </c>
      <c r="D6" s="87">
        <f t="shared" si="1"/>
        <v>4.6803585882175839E-4</v>
      </c>
      <c r="E6" s="11">
        <f t="shared" si="2"/>
        <v>10.629623249502256</v>
      </c>
      <c r="G6" s="5">
        <f t="shared" si="3"/>
        <v>2.5314915219201858E-3</v>
      </c>
      <c r="H6" s="5">
        <f t="shared" si="3"/>
        <v>7.4246691024037705</v>
      </c>
      <c r="I6" s="5">
        <f t="shared" si="3"/>
        <v>2085.6633208720882</v>
      </c>
      <c r="L6" s="7">
        <v>0</v>
      </c>
      <c r="M6" s="27">
        <f>-$E$6</f>
        <v>-10.629623249502256</v>
      </c>
      <c r="N6" s="9">
        <f>$E$7+$E$10*$G$7</f>
        <v>10.60068709838667</v>
      </c>
      <c r="O6" s="9">
        <f>$E$11*$B$11</f>
        <v>0</v>
      </c>
      <c r="T6" s="7">
        <v>8.7257534784139917E-2</v>
      </c>
      <c r="U6" s="8">
        <v>9.4703029594867719E-2</v>
      </c>
      <c r="V6" s="9">
        <v>9.4746107162885548E-2</v>
      </c>
      <c r="W6" s="5"/>
      <c r="X6" s="5"/>
      <c r="Z6" s="24">
        <v>0.99938210462914157</v>
      </c>
    </row>
    <row r="7" spans="1:26" ht="15.75" thickBot="1" x14ac:dyDescent="0.3">
      <c r="A7" s="79" t="s">
        <v>9</v>
      </c>
      <c r="B7" s="86">
        <f t="shared" si="4"/>
        <v>0.99938210462914168</v>
      </c>
      <c r="C7" s="78">
        <f t="shared" si="1"/>
        <v>1.6152051799690859E-4</v>
      </c>
      <c r="D7" s="87">
        <f t="shared" si="1"/>
        <v>4.5637485286145264E-4</v>
      </c>
      <c r="E7" s="11">
        <f t="shared" si="2"/>
        <v>10.554502347564309</v>
      </c>
      <c r="G7" s="5">
        <f t="shared" si="3"/>
        <v>1.9415665692363697E-3</v>
      </c>
      <c r="H7" s="5">
        <f t="shared" si="3"/>
        <v>7.4974881578696877</v>
      </c>
      <c r="I7" s="5">
        <f t="shared" si="3"/>
        <v>2184.2759930671505</v>
      </c>
      <c r="L7" s="5"/>
      <c r="M7" s="5"/>
      <c r="N7" s="26"/>
      <c r="T7" s="5"/>
      <c r="U7" s="5"/>
      <c r="V7" s="5"/>
      <c r="W7" s="5"/>
      <c r="X7" s="5"/>
      <c r="Z7" s="24"/>
    </row>
    <row r="8" spans="1:26" x14ac:dyDescent="0.25">
      <c r="A8" s="48" t="s">
        <v>12</v>
      </c>
      <c r="B8" s="91">
        <f t="shared" ref="B8:D11" si="5">W31</f>
        <v>2.6340799232945744E-2</v>
      </c>
      <c r="C8" s="92">
        <f t="shared" si="5"/>
        <v>0.28383726330594528</v>
      </c>
      <c r="D8" s="93">
        <f t="shared" si="5"/>
        <v>0.68982193746110898</v>
      </c>
      <c r="E8" s="10">
        <f>AB31</f>
        <v>34.367457603875735</v>
      </c>
      <c r="G8" s="5"/>
      <c r="H8" s="5"/>
      <c r="I8" s="5"/>
      <c r="L8" s="5"/>
      <c r="M8" s="5"/>
      <c r="N8" s="5"/>
      <c r="T8" s="5"/>
      <c r="U8" s="5"/>
      <c r="V8" s="5"/>
      <c r="W8" s="5"/>
      <c r="X8" s="5"/>
      <c r="Z8" s="24"/>
    </row>
    <row r="9" spans="1:26" ht="15.75" thickBot="1" x14ac:dyDescent="0.3">
      <c r="A9" s="79" t="s">
        <v>13</v>
      </c>
      <c r="B9" s="86">
        <f t="shared" si="5"/>
        <v>2.5230403114738756E-3</v>
      </c>
      <c r="C9" s="78">
        <f t="shared" si="5"/>
        <v>2.1311736091117577E-2</v>
      </c>
      <c r="D9" s="87">
        <f t="shared" si="5"/>
        <v>0.97616522359740854</v>
      </c>
      <c r="E9" s="11">
        <f>AB32</f>
        <v>24.293998828681001</v>
      </c>
      <c r="G9" s="5"/>
      <c r="H9" s="5"/>
      <c r="I9" s="5"/>
    </row>
    <row r="10" spans="1:26" ht="15.75" thickBot="1" x14ac:dyDescent="0.3">
      <c r="A10" s="79" t="s">
        <v>14</v>
      </c>
      <c r="B10" s="86">
        <f t="shared" si="5"/>
        <v>1.9403668842410252E-3</v>
      </c>
      <c r="C10" s="78">
        <f t="shared" si="5"/>
        <v>1.2109981709348E-3</v>
      </c>
      <c r="D10" s="87">
        <f t="shared" si="5"/>
        <v>0.99684863494482412</v>
      </c>
      <c r="E10" s="11">
        <f>AB33</f>
        <v>23.787364056502994</v>
      </c>
      <c r="L10">
        <v>1</v>
      </c>
      <c r="M10">
        <v>2</v>
      </c>
      <c r="N10">
        <v>3</v>
      </c>
      <c r="O10" s="19" t="s">
        <v>30</v>
      </c>
      <c r="S10" s="19" t="s">
        <v>27</v>
      </c>
      <c r="Z10" s="19" t="s">
        <v>31</v>
      </c>
    </row>
    <row r="11" spans="1:26" ht="15.75" thickBot="1" x14ac:dyDescent="0.3">
      <c r="A11" s="80" t="s">
        <v>17</v>
      </c>
      <c r="B11" s="88">
        <f t="shared" si="5"/>
        <v>0</v>
      </c>
      <c r="C11" s="89">
        <f t="shared" si="5"/>
        <v>0</v>
      </c>
      <c r="D11" s="90">
        <f t="shared" si="5"/>
        <v>1</v>
      </c>
      <c r="E11" s="12">
        <f>AB34</f>
        <v>23.712243154565048</v>
      </c>
      <c r="K11" s="16" t="s">
        <v>32</v>
      </c>
      <c r="L11" s="1">
        <f>E$8*$H$5+E$5</f>
        <v>220.26351857626611</v>
      </c>
      <c r="M11" s="2">
        <f>-$E$9*$H$6</f>
        <v>-180.37490247714123</v>
      </c>
      <c r="N11" s="3">
        <v>0</v>
      </c>
      <c r="O11" s="3">
        <f>$C$4*$E$4</f>
        <v>9.7564697265625</v>
      </c>
      <c r="T11" s="1">
        <f t="array" ref="T11:V13">MINVERSE(L11:N13)</f>
        <v>4.780941830549096E-3</v>
      </c>
      <c r="U11" s="2">
        <v>4.765251451779101E-3</v>
      </c>
      <c r="V11" s="3">
        <v>4.4990001958279688E-3</v>
      </c>
      <c r="W11" s="5"/>
      <c r="X11" s="5"/>
      <c r="Z11" s="23">
        <f t="array" ref="Z11:Z13">MMULT(T11:V13,O11:O13)</f>
        <v>4.6645114234208557E-2</v>
      </c>
    </row>
    <row r="12" spans="1:26" x14ac:dyDescent="0.25">
      <c r="L12" s="25">
        <f>-$E$5</f>
        <v>-11.136258021680259</v>
      </c>
      <c r="M12" s="5">
        <f>$E$6+$E$9*$H$6</f>
        <v>191.00452572664349</v>
      </c>
      <c r="N12" s="6">
        <f>-$H$7*$E$10</f>
        <v>-178.34548032056625</v>
      </c>
      <c r="O12" s="6">
        <v>0</v>
      </c>
      <c r="T12" s="4">
        <v>2.9420428771637818E-4</v>
      </c>
      <c r="U12" s="5">
        <v>5.8190526356766362E-3</v>
      </c>
      <c r="V12" s="6">
        <v>5.4939218239298173E-3</v>
      </c>
      <c r="W12" s="5"/>
      <c r="X12" s="5"/>
      <c r="Z12" s="24">
        <v>2.8703952265297272E-3</v>
      </c>
    </row>
    <row r="13" spans="1:26" ht="15.75" thickBot="1" x14ac:dyDescent="0.3">
      <c r="L13" s="7">
        <v>0</v>
      </c>
      <c r="M13" s="27">
        <f>-$E$6</f>
        <v>-10.629623249502256</v>
      </c>
      <c r="N13" s="9">
        <f>$E$7+$E$10*$H$7</f>
        <v>188.89998266813058</v>
      </c>
      <c r="O13" s="9">
        <f>$E$11*$C$11</f>
        <v>0</v>
      </c>
      <c r="T13" s="7">
        <v>1.6555219818666877E-5</v>
      </c>
      <c r="U13" s="8">
        <v>3.2744490662518858E-4</v>
      </c>
      <c r="V13" s="9">
        <v>5.6029561474870123E-3</v>
      </c>
      <c r="W13" s="5"/>
      <c r="X13" s="5"/>
      <c r="Z13" s="24">
        <v>1.6152050097741091E-4</v>
      </c>
    </row>
    <row r="14" spans="1:26" x14ac:dyDescent="0.25">
      <c r="L14" s="5"/>
      <c r="M14" s="5"/>
      <c r="N14" s="26"/>
      <c r="T14" s="5"/>
      <c r="U14" s="5"/>
      <c r="V14" s="5"/>
      <c r="W14" s="5"/>
      <c r="X14" s="5"/>
      <c r="Z14" s="24"/>
    </row>
    <row r="15" spans="1:26" x14ac:dyDescent="0.25">
      <c r="L15" s="5"/>
      <c r="M15" s="5"/>
      <c r="N15" s="5"/>
      <c r="T15" s="5"/>
      <c r="U15" s="5"/>
      <c r="V15" s="5"/>
      <c r="W15" s="5"/>
      <c r="X15" s="5"/>
    </row>
    <row r="16" spans="1:26" ht="15.75" thickBot="1" x14ac:dyDescent="0.3"/>
    <row r="17" spans="1:35" ht="15.75" thickBot="1" x14ac:dyDescent="0.3">
      <c r="L17">
        <v>1</v>
      </c>
      <c r="M17">
        <v>2</v>
      </c>
      <c r="N17">
        <v>3</v>
      </c>
      <c r="O17" s="19" t="s">
        <v>33</v>
      </c>
      <c r="S17" s="19" t="s">
        <v>27</v>
      </c>
      <c r="Z17" s="19" t="s">
        <v>34</v>
      </c>
    </row>
    <row r="18" spans="1:35" ht="15.75" thickBot="1" x14ac:dyDescent="0.3">
      <c r="A18" t="s">
        <v>3</v>
      </c>
      <c r="B18" t="s">
        <v>18</v>
      </c>
      <c r="K18" s="16" t="s">
        <v>35</v>
      </c>
      <c r="L18" s="1">
        <f>E$8*$I$5+E$5</f>
        <v>35070.266987451701</v>
      </c>
      <c r="M18" s="2">
        <f>-$E$9*$I$6</f>
        <v>-50669.102274289442</v>
      </c>
      <c r="N18" s="3">
        <v>0</v>
      </c>
      <c r="O18" s="3">
        <f>$D$4*$E$4</f>
        <v>0</v>
      </c>
      <c r="T18" s="1">
        <f t="array" ref="T18:V20">MINVERSE(L18:N20)</f>
        <v>2.8523239999987424E-5</v>
      </c>
      <c r="U18" s="2">
        <v>2.8523238784727381E-5</v>
      </c>
      <c r="V18" s="3">
        <v>2.8517445904418093E-5</v>
      </c>
      <c r="W18" s="5"/>
      <c r="X18" s="5"/>
      <c r="Z18" s="23">
        <f t="array" ref="Z18:Z20">MMULT(T18:V20,O18:O20)</f>
        <v>6.7621261143271699E-4</v>
      </c>
    </row>
    <row r="19" spans="1:35" x14ac:dyDescent="0.25">
      <c r="A19" t="s">
        <v>4</v>
      </c>
      <c r="B19" t="s">
        <v>19</v>
      </c>
      <c r="L19" s="25">
        <f>-$E$5</f>
        <v>-11.136258021680259</v>
      </c>
      <c r="M19" s="5">
        <f>$E$6+$E$9*$I$6</f>
        <v>50679.731897538943</v>
      </c>
      <c r="N19" s="6">
        <f>-$I$7*$E$10</f>
        <v>-51958.168246967922</v>
      </c>
      <c r="O19" s="6">
        <v>0</v>
      </c>
      <c r="T19" s="4">
        <v>6.2689515397611468E-9</v>
      </c>
      <c r="U19" s="5">
        <v>1.9742161487530611E-5</v>
      </c>
      <c r="V19" s="6">
        <v>1.973815198568522E-5</v>
      </c>
      <c r="W19" s="5"/>
      <c r="X19" s="5"/>
      <c r="Z19" s="24">
        <v>4.6803585930632884E-4</v>
      </c>
    </row>
    <row r="20" spans="1:35" ht="15.75" thickBot="1" x14ac:dyDescent="0.3">
      <c r="A20" t="s">
        <v>5</v>
      </c>
      <c r="B20" t="s">
        <v>20</v>
      </c>
      <c r="L20" s="7">
        <v>0</v>
      </c>
      <c r="M20" s="27">
        <f>-$E$6</f>
        <v>-10.629623249502256</v>
      </c>
      <c r="N20" s="9">
        <f>$E$7+$E$10*$I$7</f>
        <v>51968.722749315486</v>
      </c>
      <c r="O20" s="170">
        <f>$E$11*$D$11</f>
        <v>23.712243154565048</v>
      </c>
      <c r="T20" s="7">
        <v>1.2822441944260745E-12</v>
      </c>
      <c r="U20" s="8">
        <v>4.0380391828284357E-9</v>
      </c>
      <c r="V20" s="9">
        <v>1.9246380442021231E-5</v>
      </c>
      <c r="W20" s="5"/>
      <c r="X20" s="5"/>
      <c r="Z20" s="24">
        <v>4.5637485288647255E-4</v>
      </c>
    </row>
    <row r="21" spans="1:35" x14ac:dyDescent="0.25">
      <c r="L21" s="5"/>
      <c r="M21" s="5"/>
      <c r="N21" s="26"/>
      <c r="O21" s="5"/>
      <c r="T21" s="5"/>
      <c r="U21" s="5"/>
      <c r="V21" s="5"/>
      <c r="W21" s="5"/>
      <c r="X21" s="5"/>
      <c r="Z21" s="24"/>
    </row>
    <row r="22" spans="1:35" x14ac:dyDescent="0.25">
      <c r="L22" s="5"/>
      <c r="M22" s="5"/>
      <c r="N22" s="5"/>
      <c r="O22" s="26"/>
      <c r="P22" s="5"/>
      <c r="T22" s="5"/>
      <c r="U22" s="5"/>
      <c r="V22" s="5"/>
      <c r="W22" s="5"/>
      <c r="X22" s="5"/>
    </row>
    <row r="24" spans="1:35" ht="15.75" thickBot="1" x14ac:dyDescent="0.3"/>
    <row r="25" spans="1:35" ht="15.75" thickBot="1" x14ac:dyDescent="0.3">
      <c r="R25" s="5"/>
      <c r="S25" s="5"/>
      <c r="T25" s="5"/>
      <c r="U25" s="5"/>
      <c r="V25" s="5"/>
      <c r="Y25" s="13"/>
      <c r="Z25" s="16" t="s">
        <v>93</v>
      </c>
      <c r="AA25" s="17" t="s">
        <v>28</v>
      </c>
      <c r="AB25" s="17" t="s">
        <v>31</v>
      </c>
      <c r="AC25" s="18" t="s">
        <v>34</v>
      </c>
      <c r="AE25" s="54" t="s">
        <v>94</v>
      </c>
      <c r="AF25" s="54" t="s">
        <v>95</v>
      </c>
      <c r="AG25" s="54" t="s">
        <v>96</v>
      </c>
      <c r="AH25" s="54" t="s">
        <v>97</v>
      </c>
      <c r="AI25" s="54" t="s">
        <v>98</v>
      </c>
    </row>
    <row r="26" spans="1:35" ht="15.75" thickBot="1" x14ac:dyDescent="0.3">
      <c r="E26">
        <v>4.7069919482838597E-2</v>
      </c>
      <c r="F26" s="42">
        <v>6.6797046833785379E-4</v>
      </c>
      <c r="H26" s="42">
        <v>2.4838037726523283E-2</v>
      </c>
      <c r="I26">
        <v>0.27661551279050595</v>
      </c>
      <c r="L26" s="208" t="s">
        <v>36</v>
      </c>
      <c r="M26" s="209"/>
      <c r="N26" s="210"/>
      <c r="R26" s="5"/>
      <c r="S26" s="5"/>
      <c r="T26" s="5"/>
      <c r="U26" s="5"/>
      <c r="V26" s="5"/>
      <c r="Y26" s="14" t="s">
        <v>0</v>
      </c>
      <c r="Z26" s="42">
        <v>21.209716796875</v>
      </c>
      <c r="AA26" s="2">
        <v>0.54</v>
      </c>
      <c r="AB26" s="2">
        <v>0.46</v>
      </c>
      <c r="AC26" s="3">
        <v>0</v>
      </c>
      <c r="AE26">
        <f>Z27</f>
        <v>23.712243154565048</v>
      </c>
      <c r="AF26">
        <f>AE26/Z26</f>
        <v>1.1179896168183994</v>
      </c>
      <c r="AG26">
        <f>AB31*W31/Z26/AA26</f>
        <v>7.904014427812088E-2</v>
      </c>
      <c r="AH26">
        <f>X31*AB31/Z26/AB26</f>
        <v>0.99982528378162527</v>
      </c>
      <c r="AI26" s="176">
        <f>AA33*U33/AB34/AC27</f>
        <v>2.0313596754629234E-4</v>
      </c>
    </row>
    <row r="27" spans="1:35" ht="21.75" thickBot="1" x14ac:dyDescent="0.4">
      <c r="E27">
        <v>3.4584493550627962E-3</v>
      </c>
      <c r="F27" s="42">
        <v>4.7058414069724738E-4</v>
      </c>
      <c r="H27" s="42">
        <v>2.6618949388031938E-3</v>
      </c>
      <c r="I27">
        <v>2.5622730787817072E-2</v>
      </c>
      <c r="L27" s="1" t="s">
        <v>3</v>
      </c>
      <c r="M27" s="2" t="s">
        <v>4</v>
      </c>
      <c r="N27" s="3" t="s">
        <v>5</v>
      </c>
      <c r="O27" s="28" t="s">
        <v>37</v>
      </c>
      <c r="R27" s="5"/>
      <c r="S27" s="5"/>
      <c r="T27" s="5"/>
      <c r="U27" s="5"/>
      <c r="V27" s="5"/>
      <c r="Y27" s="15" t="s">
        <v>17</v>
      </c>
      <c r="Z27" s="169">
        <v>23.712243154565048</v>
      </c>
      <c r="AA27" s="8">
        <v>0</v>
      </c>
      <c r="AB27" s="8">
        <v>0</v>
      </c>
      <c r="AC27" s="9">
        <v>1</v>
      </c>
      <c r="AI27" s="94"/>
    </row>
    <row r="28" spans="1:35" ht="15.75" thickBot="1" x14ac:dyDescent="0.3">
      <c r="E28">
        <v>2.4075729426634201E-4</v>
      </c>
      <c r="F28" s="42">
        <v>4.5671413964950414E-4</v>
      </c>
      <c r="H28" s="42">
        <v>1.9561014122508515E-3</v>
      </c>
      <c r="I28">
        <v>1.8045650555220838E-3</v>
      </c>
      <c r="L28" s="29">
        <f>Z4</f>
        <v>0.95267867241755488</v>
      </c>
      <c r="M28" s="30">
        <f>Z11</f>
        <v>4.6645114234208557E-2</v>
      </c>
      <c r="N28" s="31">
        <f>Z18</f>
        <v>6.7621261143271699E-4</v>
      </c>
      <c r="O28" s="177">
        <f>SUM(L28:N28)</f>
        <v>0.99999999926319616</v>
      </c>
      <c r="R28" s="5"/>
      <c r="S28" s="5"/>
      <c r="T28" s="5"/>
      <c r="U28" s="5"/>
      <c r="V28" s="5"/>
      <c r="AG28" s="42"/>
    </row>
    <row r="29" spans="1:35" ht="21.75" thickBot="1" x14ac:dyDescent="0.4">
      <c r="L29" s="4">
        <f>Z5</f>
        <v>0.99666156873403211</v>
      </c>
      <c r="M29" s="5">
        <f>Z12</f>
        <v>2.8703952265297272E-3</v>
      </c>
      <c r="N29" s="6">
        <f t="shared" ref="N29:N30" si="6">Z19</f>
        <v>4.6803585930632884E-4</v>
      </c>
      <c r="O29" s="178">
        <f t="shared" ref="O29:O30" si="7">SUM(L29:N29)</f>
        <v>0.9999999998198682</v>
      </c>
      <c r="R29" s="5"/>
      <c r="S29" s="5"/>
      <c r="T29" s="5"/>
      <c r="U29" s="5"/>
      <c r="V29" s="5"/>
      <c r="AA29" s="48" t="s">
        <v>99</v>
      </c>
      <c r="AB29" s="69" t="s">
        <v>100</v>
      </c>
      <c r="AG29" s="54" t="s">
        <v>109</v>
      </c>
      <c r="AI29" s="94"/>
    </row>
    <row r="30" spans="1:35" ht="15.75" thickBot="1" x14ac:dyDescent="0.3">
      <c r="L30" s="7">
        <f>Z6</f>
        <v>0.99938210462914157</v>
      </c>
      <c r="M30" s="8">
        <f>Z13</f>
        <v>1.6152050097741091E-4</v>
      </c>
      <c r="N30" s="9">
        <f t="shared" si="6"/>
        <v>4.5637485288647255E-4</v>
      </c>
      <c r="O30" s="180">
        <f t="shared" si="7"/>
        <v>0.99999999998300548</v>
      </c>
      <c r="R30" s="13" t="s">
        <v>101</v>
      </c>
      <c r="S30" s="48" t="s">
        <v>102</v>
      </c>
      <c r="T30" s="49" t="s">
        <v>103</v>
      </c>
      <c r="U30" s="49" t="s">
        <v>104</v>
      </c>
      <c r="V30" s="28" t="s">
        <v>37</v>
      </c>
      <c r="W30" s="48" t="s">
        <v>105</v>
      </c>
      <c r="X30" s="49" t="s">
        <v>106</v>
      </c>
      <c r="Y30" s="49" t="s">
        <v>107</v>
      </c>
      <c r="Z30" s="55" t="s">
        <v>108</v>
      </c>
      <c r="AA30" s="81">
        <f>Z26</f>
        <v>21.209716796875</v>
      </c>
      <c r="AB30" s="82"/>
      <c r="AC30" s="49" t="s">
        <v>22</v>
      </c>
      <c r="AD30" s="49" t="s">
        <v>23</v>
      </c>
      <c r="AE30" s="69" t="s">
        <v>24</v>
      </c>
      <c r="AG30">
        <v>0.99980000000000002</v>
      </c>
      <c r="AI30" s="113">
        <f>ABS(AH26-AG30)</f>
        <v>2.5283781625251578E-5</v>
      </c>
    </row>
    <row r="31" spans="1:35" x14ac:dyDescent="0.25">
      <c r="L31" s="4"/>
      <c r="M31" s="5"/>
      <c r="N31" s="6"/>
      <c r="O31" s="178"/>
      <c r="R31" s="211">
        <v>1</v>
      </c>
      <c r="S31" s="63">
        <f>C41</f>
        <v>0.95267867241755511</v>
      </c>
      <c r="T31" s="64">
        <f t="shared" ref="T31:U33" si="8">D41</f>
        <v>4.6645114975438724E-2</v>
      </c>
      <c r="U31" s="214">
        <f t="shared" si="8"/>
        <v>6.7621260700617225E-4</v>
      </c>
      <c r="V31" s="60">
        <f>SUM(S31:U31)</f>
        <v>1</v>
      </c>
      <c r="W31" s="63">
        <f>G41</f>
        <v>2.6340799232945744E-2</v>
      </c>
      <c r="X31" s="64">
        <f t="shared" ref="X31:Y33" si="9">H41</f>
        <v>0.28383726330594528</v>
      </c>
      <c r="Y31" s="214">
        <f t="shared" si="9"/>
        <v>0.68982193746110898</v>
      </c>
      <c r="Z31" s="57">
        <f>SUM(W31:Y31)</f>
        <v>1</v>
      </c>
      <c r="AA31" s="25">
        <f>(AB33*(W32-W33)+AA32*(S32-W32))/(S31-W32)</f>
        <v>11.136258021680259</v>
      </c>
      <c r="AB31" s="107">
        <f>AA30+AB34-AA33</f>
        <v>34.367457603875735</v>
      </c>
      <c r="AC31" s="1">
        <f>W31/S31</f>
        <v>2.7649195889000316E-2</v>
      </c>
      <c r="AD31" s="2">
        <f t="shared" ref="AD31:AE33" si="10">X31/T31</f>
        <v>6.085037274651409</v>
      </c>
      <c r="AE31" s="3">
        <f t="shared" si="10"/>
        <v>1020.1258159252457</v>
      </c>
      <c r="AG31" t="s">
        <v>146</v>
      </c>
    </row>
    <row r="32" spans="1:35" x14ac:dyDescent="0.25">
      <c r="L32" s="5"/>
      <c r="M32" s="5"/>
      <c r="N32" s="5"/>
      <c r="O32" s="171"/>
      <c r="R32" s="212">
        <v>2</v>
      </c>
      <c r="S32" s="65">
        <f t="shared" ref="S32:S33" si="11">C42</f>
        <v>0.99666156873403244</v>
      </c>
      <c r="T32" s="66">
        <f t="shared" si="8"/>
        <v>2.8703954071458626E-3</v>
      </c>
      <c r="U32" s="149">
        <f t="shared" si="8"/>
        <v>4.6803585882175839E-4</v>
      </c>
      <c r="V32" s="61">
        <f t="shared" ref="V32:V33" si="12">SUM(S32:U32)</f>
        <v>1</v>
      </c>
      <c r="W32" s="65">
        <f t="shared" ref="W32:W33" si="13">G42</f>
        <v>2.5230403114738756E-3</v>
      </c>
      <c r="X32" s="66">
        <f t="shared" si="9"/>
        <v>2.1311736091117577E-2</v>
      </c>
      <c r="Y32" s="149">
        <f t="shared" si="9"/>
        <v>0.97616522359740854</v>
      </c>
      <c r="Z32" s="58">
        <f t="shared" ref="Z32:Z33" si="14">SUM(W32:Y32)</f>
        <v>1</v>
      </c>
      <c r="AA32" s="25">
        <f>(AB34*(W33-W34)+AA33*(S33-W33))/(S32-W33)</f>
        <v>10.629623249502256</v>
      </c>
      <c r="AB32" s="107">
        <f t="shared" ref="AB32:AB33" si="15">AA31+AB33-AA32</f>
        <v>24.293998828681001</v>
      </c>
      <c r="AC32" s="4">
        <f t="shared" ref="AC32:AC33" si="16">W32/S32</f>
        <v>2.5314915219201858E-3</v>
      </c>
      <c r="AD32" s="5">
        <f t="shared" si="10"/>
        <v>7.4246691024037705</v>
      </c>
      <c r="AE32" s="6">
        <f t="shared" si="10"/>
        <v>2085.6633208720882</v>
      </c>
      <c r="AG32" s="176">
        <f>AG30*Z26*AB26/X31</f>
        <v>34.366588512738346</v>
      </c>
    </row>
    <row r="33" spans="3:33" ht="15.75" thickBot="1" x14ac:dyDescent="0.3">
      <c r="R33" s="213">
        <v>3</v>
      </c>
      <c r="S33" s="67">
        <f t="shared" si="11"/>
        <v>0.99938210462914168</v>
      </c>
      <c r="T33" s="68">
        <f t="shared" si="8"/>
        <v>1.6152051799690859E-4</v>
      </c>
      <c r="U33" s="215">
        <f t="shared" si="8"/>
        <v>4.5637485286145264E-4</v>
      </c>
      <c r="V33" s="62">
        <f t="shared" si="12"/>
        <v>1</v>
      </c>
      <c r="W33" s="67">
        <f t="shared" si="13"/>
        <v>1.9403668842410252E-3</v>
      </c>
      <c r="X33" s="68">
        <f t="shared" si="9"/>
        <v>1.2109981709348E-3</v>
      </c>
      <c r="Y33" s="215">
        <f t="shared" si="9"/>
        <v>0.99684863494482412</v>
      </c>
      <c r="Z33" s="59">
        <f t="shared" si="14"/>
        <v>1</v>
      </c>
      <c r="AA33" s="25">
        <f>(AA30*(AA26-W31)+AB34*(AA27-W31))/(S33-W31)</f>
        <v>10.554502347564309</v>
      </c>
      <c r="AB33" s="107">
        <f t="shared" si="15"/>
        <v>23.787364056502994</v>
      </c>
      <c r="AC33" s="7">
        <f t="shared" si="16"/>
        <v>1.9415665692363697E-3</v>
      </c>
      <c r="AD33" s="8">
        <f t="shared" si="10"/>
        <v>7.4974881578696877</v>
      </c>
      <c r="AE33" s="9">
        <f t="shared" si="10"/>
        <v>2184.2759930671505</v>
      </c>
      <c r="AG33" t="s">
        <v>147</v>
      </c>
    </row>
    <row r="34" spans="3:33" ht="15.75" thickBot="1" x14ac:dyDescent="0.3">
      <c r="R34" s="206"/>
      <c r="S34" s="66"/>
      <c r="T34" s="66"/>
      <c r="U34" s="66"/>
      <c r="V34" s="181"/>
      <c r="W34" s="121">
        <v>0</v>
      </c>
      <c r="X34" s="5">
        <f>AB27</f>
        <v>0</v>
      </c>
      <c r="Y34" s="121">
        <v>1</v>
      </c>
      <c r="Z34" s="207"/>
      <c r="AA34" s="7"/>
      <c r="AB34" s="84">
        <f>Z27</f>
        <v>23.712243154565048</v>
      </c>
      <c r="AC34" s="5"/>
      <c r="AD34" s="5"/>
      <c r="AE34" s="5"/>
      <c r="AG34" s="176">
        <f>AG36+Z26-AG32</f>
        <v>10.554525254273422</v>
      </c>
    </row>
    <row r="35" spans="3:33" ht="18.75" thickBot="1" x14ac:dyDescent="0.4">
      <c r="C35" s="36" t="s">
        <v>38</v>
      </c>
      <c r="D35" s="37" t="s">
        <v>39</v>
      </c>
      <c r="E35" s="37" t="s">
        <v>40</v>
      </c>
      <c r="F35" s="37" t="s">
        <v>41</v>
      </c>
      <c r="G35" s="37" t="s">
        <v>42</v>
      </c>
      <c r="H35" s="38" t="s">
        <v>43</v>
      </c>
      <c r="R35" s="206"/>
      <c r="S35" s="66"/>
      <c r="T35" s="66"/>
      <c r="U35" s="66"/>
      <c r="V35" s="181"/>
      <c r="W35" s="5"/>
      <c r="X35" s="5"/>
      <c r="Y35" s="5"/>
      <c r="Z35" s="207"/>
      <c r="AA35" s="5"/>
      <c r="AC35" s="5"/>
      <c r="AD35" s="5"/>
      <c r="AE35" s="5"/>
      <c r="AG35" t="s">
        <v>148</v>
      </c>
    </row>
    <row r="36" spans="3:33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R36" s="5"/>
      <c r="S36" s="5"/>
      <c r="T36" s="5"/>
      <c r="U36" s="5"/>
      <c r="V36" s="50"/>
      <c r="W36" s="5"/>
      <c r="X36" s="5"/>
      <c r="Y36" s="5"/>
      <c r="Z36" s="56"/>
      <c r="AA36" s="26"/>
      <c r="AC36" s="5"/>
      <c r="AD36" s="5"/>
      <c r="AE36" s="5"/>
      <c r="AG36" s="221">
        <f>(AG32*(W31-S33)+Z26*(S33-AA26))/(AA27-S33)</f>
        <v>23.711396970136768</v>
      </c>
    </row>
    <row r="37" spans="3:33" ht="18.75" thickBot="1" x14ac:dyDescent="0.4">
      <c r="C37" s="36" t="s">
        <v>44</v>
      </c>
      <c r="D37" s="37" t="s">
        <v>45</v>
      </c>
      <c r="E37" s="37" t="s">
        <v>46</v>
      </c>
      <c r="F37" s="37" t="s">
        <v>47</v>
      </c>
      <c r="G37" s="37" t="s">
        <v>48</v>
      </c>
      <c r="H37" s="38" t="s">
        <v>49</v>
      </c>
      <c r="AC37" s="168">
        <f>AB34+Z26-AA33-AB31</f>
        <v>0</v>
      </c>
    </row>
    <row r="38" spans="3:33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</row>
    <row r="39" spans="3:33" ht="15.75" thickBot="1" x14ac:dyDescent="0.3"/>
    <row r="40" spans="3:33" ht="16.5" thickBot="1" x14ac:dyDescent="0.3">
      <c r="C40" s="16" t="s">
        <v>50</v>
      </c>
      <c r="D40" s="17" t="s">
        <v>51</v>
      </c>
      <c r="E40" s="18" t="s">
        <v>52</v>
      </c>
      <c r="G40" s="16" t="s">
        <v>53</v>
      </c>
      <c r="H40" s="17" t="s">
        <v>54</v>
      </c>
      <c r="I40" s="18" t="s">
        <v>55</v>
      </c>
      <c r="L40" s="39" t="s">
        <v>56</v>
      </c>
      <c r="M40" s="40" t="s">
        <v>57</v>
      </c>
      <c r="N40" s="40" t="s">
        <v>58</v>
      </c>
      <c r="O40" s="40" t="s">
        <v>59</v>
      </c>
      <c r="P40" s="40" t="s">
        <v>60</v>
      </c>
      <c r="Q40" s="40" t="s">
        <v>61</v>
      </c>
      <c r="R40" s="40" t="s">
        <v>62</v>
      </c>
      <c r="S40" s="40" t="s">
        <v>63</v>
      </c>
      <c r="T40" s="40" t="s">
        <v>64</v>
      </c>
      <c r="U40" s="40" t="s">
        <v>65</v>
      </c>
      <c r="V40" s="40" t="s">
        <v>66</v>
      </c>
      <c r="W40" s="40" t="s">
        <v>67</v>
      </c>
      <c r="X40" s="40" t="s">
        <v>68</v>
      </c>
      <c r="Y40" s="40" t="s">
        <v>69</v>
      </c>
      <c r="Z40" s="41" t="s">
        <v>70</v>
      </c>
    </row>
    <row r="41" spans="3:33" x14ac:dyDescent="0.25">
      <c r="C41">
        <f>1-D41-E41</f>
        <v>0.95267867241755511</v>
      </c>
      <c r="D41">
        <v>4.6645114975438724E-2</v>
      </c>
      <c r="E41" s="42">
        <v>6.7621260700617225E-4</v>
      </c>
      <c r="G41" s="42">
        <v>2.6340799232945744E-2</v>
      </c>
      <c r="H41">
        <v>0.28383726330594528</v>
      </c>
      <c r="I41">
        <f>1-G41-H41</f>
        <v>0.68982193746110898</v>
      </c>
      <c r="L41">
        <f>$C41+$D$38*$D41+$F$38*$E41</f>
        <v>0.96774414849201329</v>
      </c>
      <c r="M41">
        <f>$C$38*$C41+$D41+$H$38*$E41</f>
        <v>0.45736801754696538</v>
      </c>
      <c r="N41">
        <f>$E$38*$C41+$G$38*$D41+$E41</f>
        <v>6.1693133899880674E-2</v>
      </c>
      <c r="O41">
        <f>$D41*$D$36*$D$38+$E41*$F$36*$F$38</f>
        <v>4.2903914870723418E-2</v>
      </c>
      <c r="P41">
        <f>$C41*$C$36*$C$38+$E41*$H$36*$H$38</f>
        <v>0.86429075487258877</v>
      </c>
      <c r="Q41">
        <f>$C41*$E$36*$E$38+$D41*$G$36*$G$38</f>
        <v>0.4141023708017883</v>
      </c>
      <c r="R41">
        <f>(O41/L41)-(C41*O41/L41^2)+(D41*$C$38/M41)*($C$36-P41/M41)+(E41*$E$38/N41)*($E$36-Q41/N41)</f>
        <v>1.0578356620054977E-2</v>
      </c>
      <c r="S41">
        <f>(P41/M41)-(D41*P41/M41^2)+(C41*$D$38/L41)*($D$36-O41/L41)+(E41*$G$38/N41)*($G$36-Q41/N41)</f>
        <v>2.5749905537049789</v>
      </c>
      <c r="T41">
        <f>(Q41/N41)-(E41*Q41/N41^2)+(C41*$F$38/L41)*($F$36-O41/L41)+(D41*$H$38/M41)*($H$36-P41/M41)</f>
        <v>6.9977317338120333</v>
      </c>
      <c r="U41">
        <f>EXP(R41)</f>
        <v>1.0106345052465229</v>
      </c>
      <c r="V41">
        <f>EXP(S41)</f>
        <v>13.131193116779988</v>
      </c>
      <c r="W41">
        <f>EXP(T41)</f>
        <v>1094.1485214888664</v>
      </c>
      <c r="X41">
        <f>U41/U47</f>
        <v>2.7649196979059851E-2</v>
      </c>
      <c r="Y41">
        <f>V41/V47</f>
        <v>6.0850372498202345</v>
      </c>
      <c r="Z41">
        <f>W41/W47</f>
        <v>1020.1258216942671</v>
      </c>
    </row>
    <row r="42" spans="3:33" x14ac:dyDescent="0.25">
      <c r="C42">
        <f t="shared" ref="C42:C43" si="17">1-D42-E42</f>
        <v>0.99666156873403244</v>
      </c>
      <c r="D42">
        <v>2.8703954071458626E-3</v>
      </c>
      <c r="E42" s="42">
        <v>4.6803585882175839E-4</v>
      </c>
      <c r="G42" s="42">
        <v>2.5230403114738756E-3</v>
      </c>
      <c r="H42">
        <v>2.1311736091117577E-2</v>
      </c>
      <c r="I42">
        <f t="shared" ref="I42:I43" si="18">1-G42-H42</f>
        <v>0.97616522359740854</v>
      </c>
      <c r="L42">
        <f>$C42+$D$38*$D42+$F$38*$E42</f>
        <v>0.99762538908037435</v>
      </c>
      <c r="M42">
        <f t="shared" ref="M42:M43" si="19">$C$38*$C42+$D42+$H$38*$E42</f>
        <v>0.43233554136997915</v>
      </c>
      <c r="N42">
        <f t="shared" ref="N42:N43" si="20">$E$38*$C42+$G$38*$D42+$E42</f>
        <v>5.512019888490266E-2</v>
      </c>
      <c r="O42">
        <f t="shared" ref="O42:O43" si="21">$D42*$D$36*$D$38+$E42*$F$36*$F$38</f>
        <v>2.8653419826611087E-3</v>
      </c>
      <c r="P42">
        <f t="shared" ref="P42:P43" si="22">$C42*$C$36*$C$38+$E42*$H$36*$H$38</f>
        <v>0.90414618126813262</v>
      </c>
      <c r="Q42">
        <f t="shared" ref="Q42:Q43" si="23">$C42*$E$36*$E$38+$D42*$G$36*$G$38</f>
        <v>0.3962670954996626</v>
      </c>
      <c r="R42">
        <f>(O42/L42)-(C42*O42/L42^2)+(D42*$C$38/M42)*($C$36-P42/M42)+(E42*$E$38/N42)*($E$36-Q42/N42)</f>
        <v>9.2278909565788735E-5</v>
      </c>
      <c r="S42">
        <f>(P42/M42)-(D42*P42/M42^2)+(C42*$D$38/L42)*($D$36-O42/L42)+(E42*$G$38/N42)*($G$36-Q42/N42)</f>
        <v>2.9823850860697276</v>
      </c>
      <c r="T42">
        <f>(Q42/N42)-(E42*Q42/N42^2)+(C42*$F$38/L42)*($F$36-O42/L42)+(D42*$H$38/M42)*($H$36-P42/M42)</f>
        <v>7.6439291885961369</v>
      </c>
      <c r="U42">
        <f t="shared" ref="U42:W43" si="24">EXP(R42)</f>
        <v>1.0000922831673953</v>
      </c>
      <c r="V42">
        <f t="shared" si="24"/>
        <v>19.734829824939006</v>
      </c>
      <c r="W42">
        <f t="shared" si="24"/>
        <v>2087.9315973919074</v>
      </c>
      <c r="X42">
        <f t="shared" ref="X42:Z43" si="25">U42/U48</f>
        <v>2.5314914981999339E-3</v>
      </c>
      <c r="Y42">
        <f t="shared" si="25"/>
        <v>7.4246690870693612</v>
      </c>
      <c r="Z42">
        <f t="shared" si="25"/>
        <v>2085.6633211992698</v>
      </c>
    </row>
    <row r="43" spans="3:33" x14ac:dyDescent="0.25">
      <c r="C43">
        <f t="shared" si="17"/>
        <v>0.99938210462914168</v>
      </c>
      <c r="D43">
        <v>1.6152051799690859E-4</v>
      </c>
      <c r="E43" s="42">
        <v>4.5637485286145264E-4</v>
      </c>
      <c r="G43" s="42">
        <v>1.9403668842410252E-3</v>
      </c>
      <c r="H43">
        <v>1.2109981709348E-3</v>
      </c>
      <c r="I43">
        <f t="shared" si="18"/>
        <v>0.99684863494482412</v>
      </c>
      <c r="L43">
        <f t="shared" ref="L43" si="26">$C43+$D$38*$D43+$F$38*$E43</f>
        <v>0.99947338906711669</v>
      </c>
      <c r="M43">
        <f t="shared" si="19"/>
        <v>0.43078707319434917</v>
      </c>
      <c r="N43">
        <f t="shared" si="20"/>
        <v>5.4714606515530444E-2</v>
      </c>
      <c r="O43">
        <f t="shared" si="21"/>
        <v>3.8831293850676908E-4</v>
      </c>
      <c r="P43">
        <f t="shared" si="22"/>
        <v>0.90661165267092514</v>
      </c>
      <c r="Q43">
        <f t="shared" si="23"/>
        <v>0.39516292705797323</v>
      </c>
      <c r="R43">
        <f>(O43/L43)-(C43*O43/L43^2)+(D43*$C$38/M43)*($C$36-P43/M43)+(E43*$E$38/N43)*($E$36-Q43/N43)</f>
        <v>2.8831640301033639E-5</v>
      </c>
      <c r="S43">
        <f>(P43/M43)-(D43*P43/M43^2)+(C43*$D$38/L43)*($D$36-O43/L43)+(E43*$G$38/N43)*($G$36-Q43/N43)</f>
        <v>3.0103570695393818</v>
      </c>
      <c r="T43">
        <f>(Q43/N43)-(E43*Q43/N43^2)+(C43*$F$38/L43)*($F$36-O43/L43)+(D43*$H$38/M43)*($H$36-P43/M43)</f>
        <v>7.689321624100188</v>
      </c>
      <c r="U43">
        <f t="shared" si="24"/>
        <v>1.0000288320559367</v>
      </c>
      <c r="V43">
        <f t="shared" si="24"/>
        <v>20.29464523124955</v>
      </c>
      <c r="W43">
        <f t="shared" si="24"/>
        <v>2184.891881381599</v>
      </c>
      <c r="X43">
        <f t="shared" si="25"/>
        <v>1.9415665670686028E-3</v>
      </c>
      <c r="Y43">
        <f t="shared" si="25"/>
        <v>7.4974881562474538</v>
      </c>
      <c r="Z43">
        <f t="shared" si="25"/>
        <v>2184.275993003761</v>
      </c>
    </row>
    <row r="44" spans="3:33" x14ac:dyDescent="0.25">
      <c r="E44" s="42"/>
      <c r="G44" s="42"/>
    </row>
    <row r="45" spans="3:33" ht="15.75" thickBot="1" x14ac:dyDescent="0.3">
      <c r="E45" s="42"/>
      <c r="G45" s="42"/>
    </row>
    <row r="46" spans="3:33" ht="16.5" thickBot="1" x14ac:dyDescent="0.3">
      <c r="L46" s="39" t="s">
        <v>71</v>
      </c>
      <c r="M46" s="40" t="s">
        <v>72</v>
      </c>
      <c r="N46" s="40" t="s">
        <v>73</v>
      </c>
      <c r="O46" s="40" t="s">
        <v>74</v>
      </c>
      <c r="P46" s="40" t="s">
        <v>75</v>
      </c>
      <c r="Q46" s="40" t="s">
        <v>76</v>
      </c>
      <c r="R46" s="40" t="s">
        <v>77</v>
      </c>
      <c r="S46" s="40" t="s">
        <v>78</v>
      </c>
      <c r="T46" s="40" t="s">
        <v>79</v>
      </c>
      <c r="U46" s="40" t="s">
        <v>80</v>
      </c>
      <c r="V46" s="40" t="s">
        <v>81</v>
      </c>
      <c r="W46" s="40" t="s">
        <v>82</v>
      </c>
      <c r="X46" s="40" t="s">
        <v>83</v>
      </c>
      <c r="Y46" s="40" t="s">
        <v>84</v>
      </c>
      <c r="Z46" s="41" t="s">
        <v>85</v>
      </c>
    </row>
    <row r="47" spans="3:33" ht="15.75" thickBot="1" x14ac:dyDescent="0.3">
      <c r="L47">
        <f>$G41+$D$38*$H41+$F$38*$I41</f>
        <v>0.17709063688026272</v>
      </c>
      <c r="M47">
        <f>$C$38*$G41+$H41+$H$38*$I41</f>
        <v>0.92867921022921629</v>
      </c>
      <c r="N47">
        <f>$E$38*$G41+$G$38*$H41+$I41</f>
        <v>0.74799465572681934</v>
      </c>
      <c r="O47">
        <f>$H41*$D$36*$D$38+$I41*$F$36*$F$38</f>
        <v>0.62315202168140926</v>
      </c>
      <c r="P47">
        <f>$G41*$C$36*$C$38+$I41*$H$36*$H$38</f>
        <v>0.15878005569513756</v>
      </c>
      <c r="Q47">
        <f>$G41*$E$36*$E$38+$H41*$G$36*$G$38</f>
        <v>0.23878460738047388</v>
      </c>
      <c r="R47">
        <f>(O47/L47)-(G41*O47/L47^2)+(H41*$C$38/M47)*($C$36-P47/M47)+(I41*$E$38/N47)*($E$36-Q47/N47)</f>
        <v>3.5987369504042346</v>
      </c>
      <c r="S47">
        <f>(P47/M47)-(H41*P47/M47^2)+(G41*$D$38/L47)*($D$36-O47/L47)+(I41*$G$38/N47)*($G$36-Q47/N47)</f>
        <v>0.76915770570324993</v>
      </c>
      <c r="T47">
        <f>(Q47/N47)-(I41*Q47/N47^2)+(G41*$F$38/L47)*($F$36-O47/L47)+(H41*$H$38/M47)*($H$36-P47/M47)</f>
        <v>7.0050480539047208E-2</v>
      </c>
      <c r="U47">
        <f>EXP(R47)</f>
        <v>36.552038238648592</v>
      </c>
      <c r="V47">
        <f>EXP(S47)</f>
        <v>2.1579478609055207</v>
      </c>
      <c r="W47">
        <f>EXP(T47)</f>
        <v>1.07256232341189</v>
      </c>
      <c r="X47">
        <f>U47/U41</f>
        <v>36.167415666984866</v>
      </c>
      <c r="Y47">
        <f>V47/V41</f>
        <v>0.16433753138151164</v>
      </c>
      <c r="Z47">
        <f>W47/W41</f>
        <v>9.802712358943711E-4</v>
      </c>
    </row>
    <row r="48" spans="3:33" ht="15.75" thickBot="1" x14ac:dyDescent="0.3">
      <c r="C48" s="232" t="s">
        <v>86</v>
      </c>
      <c r="D48" s="233"/>
      <c r="E48" s="233"/>
      <c r="F48" s="233"/>
      <c r="G48" s="233"/>
      <c r="H48" s="233"/>
      <c r="I48" s="234"/>
      <c r="L48">
        <f t="shared" ref="L48:L49" si="27">$G42+$D$38*$H42+$F$38*$I42</f>
        <v>9.3479445113559934E-2</v>
      </c>
      <c r="M48">
        <f t="shared" ref="M48:M49" si="28">$C$38*$G42+$H42+$H$38*$I42</f>
        <v>0.91886621981845529</v>
      </c>
      <c r="N48">
        <f t="shared" ref="N48:N49" si="29">$E$38*$G42+$G$38*$H42+$I42</f>
        <v>0.98056266970744255</v>
      </c>
      <c r="O48">
        <f t="shared" ref="O48:O49" si="30">$H42*$D$36*$D$38+$I42*$F$36*$F$38</f>
        <v>0.53489255209683162</v>
      </c>
      <c r="P48">
        <f t="shared" ref="P48:P49" si="31">$G42*$C$36*$C$38+$I42*$H$36*$H$38</f>
        <v>0.1931665190453643</v>
      </c>
      <c r="Q48">
        <f t="shared" ref="Q48:Q49" si="32">$G42*$E$36*$E$38+$H42*$G$36*$G$38</f>
        <v>1.8144515036755356E-2</v>
      </c>
      <c r="R48">
        <f>(O48/L48)-(G42*O48/L48^2)+(H42*$C$38/M48)*($C$36-P48/M48)+(I42*$E$38/N48)*($E$36-Q48/N48)</f>
        <v>5.9790389038736498</v>
      </c>
      <c r="S48">
        <f>(P48/M48)-(H42*P48/M48^2)+(G42*$D$38/L48)*($D$36-O48/L48)+(I42*$G$38/N48)*($G$36-Q48/N48)</f>
        <v>0.97757696977218611</v>
      </c>
      <c r="T48">
        <f>(Q48/N48)-(I42*Q48/N48^2)+(G42*$F$38/L48)*($F$36-O48/L48)+(H42*$H$38/M48)*($H$36-P48/M48)</f>
        <v>1.0869652950089264E-3</v>
      </c>
      <c r="U48">
        <f t="shared" ref="U48:W49" si="33">EXP(R48)</f>
        <v>395.0604945260651</v>
      </c>
      <c r="V48">
        <f t="shared" si="33"/>
        <v>2.6580079992128871</v>
      </c>
      <c r="W48">
        <f t="shared" si="33"/>
        <v>1.0010875562558839</v>
      </c>
      <c r="X48">
        <f t="shared" ref="X48:Z49" si="34">U48/U42</f>
        <v>395.02404045641447</v>
      </c>
      <c r="Y48">
        <f t="shared" si="34"/>
        <v>0.13468613729082926</v>
      </c>
      <c r="Z48">
        <f t="shared" si="34"/>
        <v>4.7946377051162489E-4</v>
      </c>
    </row>
    <row r="49" spans="2:26" ht="15.75" thickBot="1" x14ac:dyDescent="0.3">
      <c r="B49" s="19" t="s">
        <v>87</v>
      </c>
      <c r="C49" s="17" t="s">
        <v>50</v>
      </c>
      <c r="D49" s="17" t="s">
        <v>51</v>
      </c>
      <c r="E49" s="17" t="s">
        <v>52</v>
      </c>
      <c r="F49" s="17"/>
      <c r="G49" s="17" t="s">
        <v>53</v>
      </c>
      <c r="H49" s="17" t="s">
        <v>54</v>
      </c>
      <c r="I49" s="17" t="s">
        <v>88</v>
      </c>
      <c r="J49" s="19" t="s">
        <v>87</v>
      </c>
      <c r="L49">
        <f t="shared" si="27"/>
        <v>8.8211666207616057E-2</v>
      </c>
      <c r="M49">
        <f t="shared" si="28"/>
        <v>0.91750941727348723</v>
      </c>
      <c r="N49">
        <f t="shared" si="29"/>
        <v>0.99719601557592608</v>
      </c>
      <c r="O49">
        <f t="shared" si="30"/>
        <v>0.52747952379288809</v>
      </c>
      <c r="P49">
        <f t="shared" si="31"/>
        <v>0.19668238978459193</v>
      </c>
      <c r="Q49">
        <f t="shared" si="32"/>
        <v>1.7413401071180979E-3</v>
      </c>
      <c r="R49">
        <f>(O49/L49)-(G43*O49/L49^2)+(H43*$C$38/M49)*($C$36-P49/M49)+(I43*$E$38/N49)*($E$36-Q49/N49)</f>
        <v>6.2442889546087708</v>
      </c>
      <c r="S49">
        <f>(P49/M49)-(H43*P49/M49^2)+(G43*$D$38/L49)*($D$36-O49/L49)+(I43*$G$38/N49)*($G$36-Q49/N49)</f>
        <v>0.99578901759317318</v>
      </c>
      <c r="T49">
        <f>(Q49/N49)-(I43*Q49/N49^2)+(G43*$F$38/L49)*($F$36-O49/L49)+(H43*$H$38/M49)*($H$36-P49/M49)</f>
        <v>2.8192479649399892E-4</v>
      </c>
      <c r="U49">
        <f t="shared" si="33"/>
        <v>515.06286161786898</v>
      </c>
      <c r="V49">
        <f t="shared" si="33"/>
        <v>2.7068592585022722</v>
      </c>
      <c r="W49">
        <f t="shared" si="33"/>
        <v>1.0002819645410244</v>
      </c>
      <c r="X49">
        <f t="shared" si="34"/>
        <v>515.04801172478483</v>
      </c>
      <c r="Y49">
        <f t="shared" si="34"/>
        <v>0.13337800329390678</v>
      </c>
      <c r="Z49">
        <f t="shared" si="34"/>
        <v>4.5781760327129046E-4</v>
      </c>
    </row>
    <row r="50" spans="2:26" x14ac:dyDescent="0.25">
      <c r="B50" s="43">
        <f>SUM(C50:E50)</f>
        <v>0.99999996262751012</v>
      </c>
      <c r="C50">
        <f>G41*X47</f>
        <v>0.95267863485854487</v>
      </c>
      <c r="D50">
        <f>H41*Y47</f>
        <v>4.6645115165783166E-2</v>
      </c>
      <c r="E50">
        <f>I41*Z47</f>
        <v>6.7621260318205089E-4</v>
      </c>
      <c r="G50">
        <f>C41*X41</f>
        <v>2.6340800271422216E-2</v>
      </c>
      <c r="H50">
        <f>D41*Y41</f>
        <v>0.28383726214769228</v>
      </c>
      <c r="I50">
        <f>E41*Z41</f>
        <v>0.68982194136219399</v>
      </c>
      <c r="J50" s="43">
        <f>SUM(G50:I50)</f>
        <v>1.0000000037813086</v>
      </c>
    </row>
    <row r="51" spans="2:26" x14ac:dyDescent="0.25">
      <c r="B51" s="43">
        <f t="shared" ref="B51:B52" si="35">SUM(C51:E51)</f>
        <v>1.0000000093446433</v>
      </c>
      <c r="C51">
        <f t="shared" ref="C51:E52" si="36">G42*X48</f>
        <v>0.99666157807282074</v>
      </c>
      <c r="D51">
        <f t="shared" si="36"/>
        <v>2.8703954130741829E-3</v>
      </c>
      <c r="E51">
        <f t="shared" si="36"/>
        <v>4.6803585874833687E-4</v>
      </c>
      <c r="G51">
        <f t="shared" ref="G51:I52" si="37">C42*X42</f>
        <v>2.5230402878328121E-3</v>
      </c>
      <c r="H51">
        <f t="shared" si="37"/>
        <v>2.1311736047101758E-2</v>
      </c>
      <c r="I51">
        <f t="shared" si="37"/>
        <v>0.97616522375054116</v>
      </c>
      <c r="J51" s="43">
        <f t="shared" ref="J51:J52" si="38">SUM(G51:I51)</f>
        <v>1.0000000000854756</v>
      </c>
    </row>
    <row r="52" spans="2:26" x14ac:dyDescent="0.25">
      <c r="B52" s="43">
        <f t="shared" si="35"/>
        <v>1.0000000011158623</v>
      </c>
      <c r="C52">
        <f t="shared" si="36"/>
        <v>0.99938210574495578</v>
      </c>
      <c r="D52">
        <f t="shared" si="36"/>
        <v>1.6152051803185684E-4</v>
      </c>
      <c r="E52">
        <f t="shared" si="36"/>
        <v>4.5637485287469692E-4</v>
      </c>
      <c r="G52">
        <f t="shared" si="37"/>
        <v>1.9403668820745978E-3</v>
      </c>
      <c r="H52">
        <f t="shared" si="37"/>
        <v>1.2109981706727758E-3</v>
      </c>
      <c r="I52">
        <f t="shared" si="37"/>
        <v>0.9968486349158947</v>
      </c>
      <c r="J52" s="43">
        <f t="shared" si="38"/>
        <v>0.99999999996864208</v>
      </c>
    </row>
    <row r="53" spans="2:26" x14ac:dyDescent="0.25">
      <c r="B53" s="43"/>
      <c r="J53" s="43"/>
    </row>
    <row r="54" spans="2:26" x14ac:dyDescent="0.25">
      <c r="B54" s="43"/>
      <c r="J54" s="43"/>
    </row>
    <row r="55" spans="2:26" ht="15.75" thickBot="1" x14ac:dyDescent="0.3"/>
    <row r="56" spans="2:26" ht="15.75" thickBot="1" x14ac:dyDescent="0.3">
      <c r="C56" s="226" t="s">
        <v>89</v>
      </c>
      <c r="D56" s="227"/>
      <c r="E56" s="227"/>
      <c r="F56" s="227"/>
      <c r="G56" s="227"/>
      <c r="H56" s="227"/>
      <c r="I56" s="228"/>
    </row>
    <row r="57" spans="2:26" ht="15.75" thickBot="1" x14ac:dyDescent="0.3">
      <c r="C57" s="16" t="s">
        <v>90</v>
      </c>
      <c r="D57" s="17" t="s">
        <v>91</v>
      </c>
      <c r="E57" s="18" t="s">
        <v>92</v>
      </c>
      <c r="G57" s="16" t="s">
        <v>90</v>
      </c>
      <c r="H57" s="17" t="s">
        <v>91</v>
      </c>
      <c r="I57" s="18" t="s">
        <v>92</v>
      </c>
    </row>
    <row r="58" spans="2:26" x14ac:dyDescent="0.25">
      <c r="C58">
        <f>(C50+C41)/2</f>
        <v>0.95267865363805004</v>
      </c>
      <c r="D58">
        <f t="shared" ref="D58:I58" si="39">(D50+D41)/2</f>
        <v>4.6645115070610949E-2</v>
      </c>
      <c r="E58">
        <f t="shared" si="39"/>
        <v>6.7621260509411157E-4</v>
      </c>
      <c r="G58">
        <f t="shared" si="39"/>
        <v>2.634079975218398E-2</v>
      </c>
      <c r="H58">
        <f t="shared" si="39"/>
        <v>0.28383726272681875</v>
      </c>
      <c r="I58">
        <f t="shared" si="39"/>
        <v>0.68982193941165149</v>
      </c>
    </row>
    <row r="59" spans="2:26" x14ac:dyDescent="0.25">
      <c r="C59">
        <f t="shared" ref="C59:I60" si="40">(C51+C42)/2</f>
        <v>0.99666157340342654</v>
      </c>
      <c r="D59">
        <f t="shared" si="40"/>
        <v>2.8703954101100227E-3</v>
      </c>
      <c r="E59">
        <f t="shared" si="40"/>
        <v>4.6803585878504763E-4</v>
      </c>
      <c r="G59">
        <f t="shared" si="40"/>
        <v>2.5230402996533436E-3</v>
      </c>
      <c r="H59">
        <f t="shared" si="40"/>
        <v>2.1311736069109667E-2</v>
      </c>
      <c r="I59">
        <f t="shared" si="40"/>
        <v>0.97616522367397485</v>
      </c>
    </row>
    <row r="60" spans="2:26" x14ac:dyDescent="0.25">
      <c r="C60">
        <f t="shared" si="40"/>
        <v>0.99938210518704873</v>
      </c>
      <c r="D60">
        <f t="shared" si="40"/>
        <v>1.615205180143827E-4</v>
      </c>
      <c r="E60">
        <f t="shared" si="40"/>
        <v>4.5637485286807478E-4</v>
      </c>
      <c r="G60">
        <f t="shared" si="40"/>
        <v>1.9403668831578114E-3</v>
      </c>
      <c r="H60">
        <f t="shared" si="40"/>
        <v>1.2109981708037878E-3</v>
      </c>
      <c r="I60">
        <f t="shared" si="40"/>
        <v>0.99684863493035936</v>
      </c>
    </row>
  </sheetData>
  <mergeCells count="1">
    <mergeCell ref="C48:I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31"/>
  <dimension ref="A1:AI59"/>
  <sheetViews>
    <sheetView topLeftCell="B15" zoomScale="55" zoomScaleNormal="55" workbookViewId="0">
      <selection activeCell="AA26" sqref="AA26:AC26"/>
    </sheetView>
  </sheetViews>
  <sheetFormatPr defaultRowHeight="15" x14ac:dyDescent="0.25"/>
  <cols>
    <col min="5" max="5" width="13.5703125" bestFit="1" customWidth="1"/>
    <col min="15" max="15" width="12.140625" customWidth="1"/>
    <col min="34" max="34" width="9.7109375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200" t="s">
        <v>1</v>
      </c>
      <c r="C2" s="201"/>
      <c r="D2" s="201"/>
      <c r="E2" s="18" t="s">
        <v>2</v>
      </c>
      <c r="G2" s="22" t="s">
        <v>21</v>
      </c>
      <c r="H2" s="22"/>
      <c r="I2" s="22"/>
    </row>
    <row r="3" spans="1:26" ht="15.75" thickBot="1" x14ac:dyDescent="0.3">
      <c r="B3" s="48" t="s">
        <v>3</v>
      </c>
      <c r="C3" s="49" t="s">
        <v>4</v>
      </c>
      <c r="D3" s="69" t="s">
        <v>5</v>
      </c>
      <c r="E3" s="13" t="s">
        <v>6</v>
      </c>
      <c r="G3" s="16" t="s">
        <v>22</v>
      </c>
      <c r="H3" s="17" t="s">
        <v>23</v>
      </c>
      <c r="I3" s="18" t="s">
        <v>24</v>
      </c>
      <c r="L3">
        <v>1</v>
      </c>
      <c r="M3">
        <v>2</v>
      </c>
      <c r="N3" s="13" t="s">
        <v>26</v>
      </c>
      <c r="S3" s="19" t="s">
        <v>27</v>
      </c>
      <c r="Z3" s="19" t="s">
        <v>28</v>
      </c>
    </row>
    <row r="4" spans="1:26" ht="15.75" thickBot="1" x14ac:dyDescent="0.3">
      <c r="A4" s="48" t="s">
        <v>0</v>
      </c>
      <c r="B4" s="1">
        <f>AA26</f>
        <v>0.54</v>
      </c>
      <c r="C4" s="1">
        <f t="shared" ref="C4:D4" si="0">AB26</f>
        <v>0.46</v>
      </c>
      <c r="D4" s="1">
        <f t="shared" si="0"/>
        <v>0</v>
      </c>
      <c r="E4" s="10">
        <f>AA30</f>
        <v>25</v>
      </c>
      <c r="G4" s="4" t="s">
        <v>25</v>
      </c>
      <c r="H4" s="5" t="s">
        <v>25</v>
      </c>
      <c r="I4" s="6" t="s">
        <v>25</v>
      </c>
      <c r="K4" s="19" t="s">
        <v>29</v>
      </c>
      <c r="L4" s="1">
        <f>E$7*$G$5+E$5</f>
        <v>13.970499393157946</v>
      </c>
      <c r="M4" s="2">
        <f>-$E$8*$G$6</f>
        <v>-0.17880787210748253</v>
      </c>
      <c r="N4" s="10">
        <f>$B$4*$E$4</f>
        <v>13.5</v>
      </c>
      <c r="O4" s="2"/>
      <c r="P4" s="2"/>
      <c r="T4" s="1">
        <f t="array" ref="T4:U5">MINVERSE(L4:M5)</f>
        <v>7.2526776446138974E-2</v>
      </c>
      <c r="U4" s="2">
        <v>1.0132622553694209E-3</v>
      </c>
      <c r="V4" s="2"/>
      <c r="W4" s="2"/>
      <c r="X4" s="3"/>
      <c r="Z4" s="23">
        <f t="array" ref="Z4:Z5">MMULT(T4:U5,N4:N5)</f>
        <v>0.97911148202287612</v>
      </c>
    </row>
    <row r="5" spans="1:26" ht="15.75" thickBot="1" x14ac:dyDescent="0.3">
      <c r="A5" s="79" t="s">
        <v>7</v>
      </c>
      <c r="B5" s="86">
        <f>S31</f>
        <v>0.97911148202287646</v>
      </c>
      <c r="C5" s="78">
        <f t="shared" ref="C5:D6" si="1">T31</f>
        <v>2.0342122369312758E-2</v>
      </c>
      <c r="D5" s="87">
        <f t="shared" si="1"/>
        <v>5.4639560781082432E-4</v>
      </c>
      <c r="E5" s="11">
        <f t="shared" ref="E5:E6" si="2">AA31</f>
        <v>13.062054032261614</v>
      </c>
      <c r="G5" s="4">
        <f t="shared" ref="G5:I6" si="3">B7/B5</f>
        <v>8.8258294138552681E-3</v>
      </c>
      <c r="H5" s="5">
        <f t="shared" si="3"/>
        <v>6.9250226848609371</v>
      </c>
      <c r="I5" s="6">
        <f t="shared" si="3"/>
        <v>1556.5441194235798</v>
      </c>
      <c r="L5" s="25">
        <f>-$E$5</f>
        <v>-13.062054032261614</v>
      </c>
      <c r="M5" s="5">
        <f>$E$6+$E$8*$G$6</f>
        <v>12.798620000328658</v>
      </c>
      <c r="N5" s="12">
        <f>$E$9*$B$9</f>
        <v>0</v>
      </c>
      <c r="O5" s="5"/>
      <c r="P5" s="5"/>
      <c r="T5" s="4">
        <v>7.4019595292375201E-2</v>
      </c>
      <c r="U5" s="5">
        <v>7.9167541993001397E-2</v>
      </c>
      <c r="V5" s="5"/>
      <c r="W5" s="5"/>
      <c r="X5" s="6"/>
      <c r="Z5" s="24">
        <v>0.99926453644706525</v>
      </c>
    </row>
    <row r="6" spans="1:26" ht="15.75" thickBot="1" x14ac:dyDescent="0.3">
      <c r="A6" s="79" t="s">
        <v>8</v>
      </c>
      <c r="B6" s="86">
        <f t="shared" ref="B6" si="4">S32</f>
        <v>0.99926453644706548</v>
      </c>
      <c r="C6" s="78">
        <f t="shared" si="1"/>
        <v>2.7858739027958237E-4</v>
      </c>
      <c r="D6" s="87">
        <f t="shared" si="1"/>
        <v>4.5687616265504199E-4</v>
      </c>
      <c r="E6" s="11">
        <f t="shared" si="2"/>
        <v>12.619812128221175</v>
      </c>
      <c r="G6" s="4">
        <f t="shared" si="3"/>
        <v>1.9650865572042827E-3</v>
      </c>
      <c r="H6" s="5">
        <f t="shared" si="3"/>
        <v>7.4943588696082184</v>
      </c>
      <c r="I6" s="6">
        <f t="shared" si="3"/>
        <v>2179.9091443626294</v>
      </c>
      <c r="L6" s="4"/>
      <c r="M6" s="26"/>
      <c r="O6" s="5"/>
      <c r="P6" s="5"/>
      <c r="T6" s="4"/>
      <c r="U6" s="5"/>
      <c r="V6" s="5"/>
      <c r="W6" s="5"/>
      <c r="X6" s="6"/>
      <c r="Z6" s="24"/>
    </row>
    <row r="7" spans="1:26" x14ac:dyDescent="0.25">
      <c r="A7" s="48" t="s">
        <v>12</v>
      </c>
      <c r="B7" s="91">
        <f t="shared" ref="B7:D9" si="5">W31</f>
        <v>8.6414709174809264E-3</v>
      </c>
      <c r="C7" s="92">
        <f t="shared" si="5"/>
        <v>0.14086965886570796</v>
      </c>
      <c r="D7" s="93">
        <f t="shared" si="5"/>
        <v>0.85048887021681119</v>
      </c>
      <c r="E7" s="10">
        <f>AB31</f>
        <v>102.9303103762922</v>
      </c>
      <c r="G7" s="4"/>
      <c r="H7" s="5"/>
      <c r="I7" s="6"/>
      <c r="L7" s="4"/>
      <c r="M7" s="5"/>
      <c r="N7" s="11"/>
      <c r="O7" s="5"/>
      <c r="P7" s="5"/>
      <c r="T7" s="4"/>
      <c r="U7" s="5"/>
      <c r="V7" s="5"/>
      <c r="W7" s="5"/>
      <c r="X7" s="6"/>
      <c r="Z7" s="24"/>
    </row>
    <row r="8" spans="1:26" ht="15.75" thickBot="1" x14ac:dyDescent="0.3">
      <c r="A8" s="79" t="s">
        <v>13</v>
      </c>
      <c r="B8" s="86">
        <f t="shared" si="5"/>
        <v>1.9636413076630976E-3</v>
      </c>
      <c r="C8" s="78">
        <f t="shared" si="5"/>
        <v>2.0878338793027945E-3</v>
      </c>
      <c r="D8" s="87">
        <f t="shared" si="5"/>
        <v>0.99594852481303409</v>
      </c>
      <c r="E8" s="11">
        <f>AB32</f>
        <v>90.992364408553811</v>
      </c>
      <c r="G8" s="4"/>
      <c r="H8" s="5"/>
      <c r="I8" s="6"/>
      <c r="L8" s="7"/>
      <c r="M8" s="8"/>
      <c r="O8" s="27"/>
      <c r="P8" s="8"/>
      <c r="T8" s="7"/>
      <c r="U8" s="8"/>
      <c r="V8" s="8"/>
      <c r="W8" s="8"/>
      <c r="X8" s="9"/>
      <c r="Z8" s="24"/>
    </row>
    <row r="9" spans="1:26" ht="15.75" thickBot="1" x14ac:dyDescent="0.3">
      <c r="A9" s="80" t="s">
        <v>17</v>
      </c>
      <c r="B9" s="88">
        <f t="shared" si="5"/>
        <v>0</v>
      </c>
      <c r="C9" s="89">
        <f t="shared" si="5"/>
        <v>0</v>
      </c>
      <c r="D9" s="90">
        <f t="shared" si="5"/>
        <v>1</v>
      </c>
      <c r="E9" s="12">
        <f>AB33</f>
        <v>90.550122504513368</v>
      </c>
      <c r="G9" s="7"/>
      <c r="H9" s="8"/>
      <c r="I9" s="9"/>
    </row>
    <row r="10" spans="1:26" ht="15.75" thickBot="1" x14ac:dyDescent="0.3">
      <c r="L10">
        <v>1</v>
      </c>
      <c r="M10">
        <v>2</v>
      </c>
      <c r="N10" s="19" t="s">
        <v>30</v>
      </c>
      <c r="S10" s="19" t="s">
        <v>27</v>
      </c>
      <c r="Z10" s="19" t="s">
        <v>31</v>
      </c>
    </row>
    <row r="11" spans="1:26" ht="15.75" thickBot="1" x14ac:dyDescent="0.3">
      <c r="K11" s="19" t="s">
        <v>32</v>
      </c>
      <c r="L11" s="1">
        <f>E$7*$H$5+E$5</f>
        <v>725.85678834786211</v>
      </c>
      <c r="M11" s="2">
        <f>-$E$8*$H$6</f>
        <v>-681.92943327186845</v>
      </c>
      <c r="N11" s="10">
        <f>$C$4*$E$4</f>
        <v>11.5</v>
      </c>
      <c r="O11" s="2"/>
      <c r="P11" s="2"/>
      <c r="T11" s="1">
        <f t="array" ref="T11:U12">MINVERSE(L11:M12)</f>
        <v>1.4024614647666224E-3</v>
      </c>
      <c r="U11" s="2">
        <v>1.3769790381141689E-3</v>
      </c>
      <c r="V11" s="2"/>
      <c r="W11" s="2"/>
      <c r="X11" s="3"/>
      <c r="Z11" s="23">
        <f t="array" ref="Z11:Z12">MMULT(T11:U12,N11:N12)</f>
        <v>1.6128306844816157E-2</v>
      </c>
    </row>
    <row r="12" spans="1:26" ht="15.75" thickBot="1" x14ac:dyDescent="0.3">
      <c r="L12" s="25">
        <f>-$E$5</f>
        <v>-13.062054032261614</v>
      </c>
      <c r="M12" s="5">
        <f>$E$6+$E$8*$H$6</f>
        <v>694.5492454000896</v>
      </c>
      <c r="N12" s="12">
        <f>$E$9*$C$9</f>
        <v>0</v>
      </c>
      <c r="O12" s="5"/>
      <c r="P12" s="5"/>
      <c r="T12" s="4">
        <v>2.6375419097020052E-5</v>
      </c>
      <c r="U12" s="5">
        <v>1.4656789008686288E-3</v>
      </c>
      <c r="V12" s="5"/>
      <c r="W12" s="5"/>
      <c r="X12" s="6"/>
      <c r="Z12" s="24">
        <v>3.0331731961573058E-4</v>
      </c>
    </row>
    <row r="13" spans="1:26" x14ac:dyDescent="0.25">
      <c r="A13" s="79"/>
      <c r="B13" s="86"/>
      <c r="C13" s="78"/>
      <c r="D13" s="87"/>
      <c r="E13" s="11"/>
      <c r="L13" s="4"/>
      <c r="M13" s="26"/>
      <c r="O13" s="5"/>
      <c r="P13" s="5"/>
      <c r="T13" s="4"/>
      <c r="U13" s="5"/>
      <c r="V13" s="5"/>
      <c r="W13" s="5"/>
      <c r="X13" s="6"/>
    </row>
    <row r="14" spans="1:26" x14ac:dyDescent="0.25">
      <c r="A14" s="79"/>
      <c r="B14" s="86"/>
      <c r="C14" s="78"/>
      <c r="D14" s="87"/>
      <c r="E14" s="11"/>
      <c r="L14" s="4"/>
      <c r="M14" s="5"/>
      <c r="N14" s="11"/>
      <c r="O14" s="5"/>
      <c r="P14" s="5"/>
      <c r="T14" s="4"/>
      <c r="U14" s="5"/>
      <c r="V14" s="5"/>
      <c r="W14" s="5"/>
      <c r="X14" s="6"/>
    </row>
    <row r="15" spans="1:26" ht="15.75" thickBot="1" x14ac:dyDescent="0.3">
      <c r="L15" s="7"/>
      <c r="M15" s="8"/>
      <c r="O15" s="27"/>
      <c r="P15" s="8"/>
      <c r="T15" s="7"/>
      <c r="U15" s="8"/>
      <c r="V15" s="8"/>
      <c r="W15" s="8"/>
      <c r="X15" s="9"/>
    </row>
    <row r="16" spans="1:26" ht="15.75" thickBot="1" x14ac:dyDescent="0.3"/>
    <row r="17" spans="1:35" ht="15.75" thickBot="1" x14ac:dyDescent="0.3">
      <c r="L17">
        <v>1</v>
      </c>
      <c r="M17">
        <v>2</v>
      </c>
      <c r="N17" s="19" t="s">
        <v>33</v>
      </c>
      <c r="S17" s="19" t="s">
        <v>27</v>
      </c>
      <c r="Z17" s="19" t="s">
        <v>34</v>
      </c>
    </row>
    <row r="18" spans="1:35" ht="15.75" thickBot="1" x14ac:dyDescent="0.3">
      <c r="A18" t="s">
        <v>3</v>
      </c>
      <c r="B18" t="s">
        <v>18</v>
      </c>
      <c r="K18" s="19" t="s">
        <v>35</v>
      </c>
      <c r="L18" s="1">
        <f>E$7*$I$5+E$5</f>
        <v>160228.63138069375</v>
      </c>
      <c r="M18" s="2">
        <f>-$E$8*$I$6</f>
        <v>-198355.08724138312</v>
      </c>
      <c r="N18" s="10">
        <f>$D$4*$E$4</f>
        <v>0</v>
      </c>
      <c r="O18" s="2"/>
      <c r="P18" s="2"/>
      <c r="T18" s="1">
        <f t="array" ref="T18:U19">MINVERSE(L18:M19)</f>
        <v>6.2415906207869351E-6</v>
      </c>
      <c r="U18" s="2">
        <v>6.2411935415335332E-6</v>
      </c>
      <c r="V18" s="2"/>
      <c r="W18" s="2"/>
      <c r="X18" s="3"/>
      <c r="Z18" s="23">
        <f t="array" ref="Z18:Z19">MMULT(T18:U19,N18:N19)</f>
        <v>5.651408397602391E-4</v>
      </c>
    </row>
    <row r="19" spans="1:35" ht="15.75" thickBot="1" x14ac:dyDescent="0.3">
      <c r="A19" t="s">
        <v>4</v>
      </c>
      <c r="B19" t="s">
        <v>19</v>
      </c>
      <c r="L19" s="25">
        <f>-$E$5</f>
        <v>-13.062054032261614</v>
      </c>
      <c r="M19" s="5">
        <f>$E$6+$E$8*$I$6</f>
        <v>198367.70705351135</v>
      </c>
      <c r="N19" s="85">
        <f>$E$9*$D$9</f>
        <v>90.550122504513368</v>
      </c>
      <c r="O19" s="5"/>
      <c r="P19" s="5"/>
      <c r="T19" s="4">
        <v>4.1099428504249129E-10</v>
      </c>
      <c r="U19" s="5">
        <v>5.0415540798557744E-6</v>
      </c>
      <c r="V19" s="5"/>
      <c r="W19" s="5"/>
      <c r="X19" s="6"/>
      <c r="Z19" s="24">
        <v>4.5651333954406954E-4</v>
      </c>
    </row>
    <row r="20" spans="1:35" x14ac:dyDescent="0.25">
      <c r="A20" t="s">
        <v>5</v>
      </c>
      <c r="B20" t="s">
        <v>20</v>
      </c>
      <c r="L20" s="4"/>
      <c r="M20" s="26"/>
      <c r="O20" s="5"/>
      <c r="P20" s="5"/>
      <c r="T20" s="4"/>
      <c r="U20" s="5"/>
      <c r="V20" s="5"/>
      <c r="W20" s="5"/>
      <c r="X20" s="6"/>
    </row>
    <row r="21" spans="1:35" x14ac:dyDescent="0.25">
      <c r="L21" s="4"/>
      <c r="M21" s="5"/>
      <c r="N21" s="11"/>
      <c r="O21" s="5"/>
      <c r="P21" s="5"/>
      <c r="T21" s="4"/>
      <c r="U21" s="5"/>
      <c r="V21" s="5"/>
      <c r="W21" s="5"/>
      <c r="X21" s="6"/>
    </row>
    <row r="22" spans="1:35" ht="15.75" thickBot="1" x14ac:dyDescent="0.3">
      <c r="L22" s="7"/>
      <c r="M22" s="8"/>
      <c r="N22" s="8"/>
      <c r="O22" s="27"/>
      <c r="P22" s="8"/>
      <c r="T22" s="7"/>
      <c r="U22" s="8"/>
      <c r="V22" s="8"/>
      <c r="W22" s="8"/>
      <c r="X22" s="9"/>
    </row>
    <row r="24" spans="1:35" ht="15.75" thickBot="1" x14ac:dyDescent="0.3"/>
    <row r="25" spans="1:35" ht="15.75" thickBot="1" x14ac:dyDescent="0.3">
      <c r="R25" s="5"/>
      <c r="S25" s="5"/>
      <c r="T25" s="5"/>
      <c r="U25" s="5"/>
      <c r="V25" s="5"/>
      <c r="Y25" s="13"/>
      <c r="Z25" s="16" t="s">
        <v>93</v>
      </c>
      <c r="AA25" s="17" t="s">
        <v>28</v>
      </c>
      <c r="AB25" s="17" t="s">
        <v>31</v>
      </c>
      <c r="AC25" s="18" t="s">
        <v>34</v>
      </c>
      <c r="AE25" s="54" t="s">
        <v>94</v>
      </c>
      <c r="AF25" s="54" t="s">
        <v>95</v>
      </c>
      <c r="AG25" s="54" t="s">
        <v>96</v>
      </c>
      <c r="AH25" s="54" t="s">
        <v>97</v>
      </c>
      <c r="AI25" s="54" t="s">
        <v>98</v>
      </c>
    </row>
    <row r="26" spans="1:35" ht="15.75" thickBot="1" x14ac:dyDescent="0.3">
      <c r="L26" s="33" t="s">
        <v>36</v>
      </c>
      <c r="M26" s="34"/>
      <c r="N26" s="35"/>
      <c r="R26" s="5"/>
      <c r="S26" s="5"/>
      <c r="T26" s="5"/>
      <c r="U26" s="5"/>
      <c r="V26" s="5"/>
      <c r="Y26" s="14" t="s">
        <v>0</v>
      </c>
      <c r="Z26" s="1">
        <v>25</v>
      </c>
      <c r="AA26" s="2">
        <v>0.54</v>
      </c>
      <c r="AB26" s="2">
        <v>0.46</v>
      </c>
      <c r="AC26" s="3">
        <v>0</v>
      </c>
      <c r="AE26">
        <f>Z27</f>
        <v>90.550122504513368</v>
      </c>
      <c r="AF26">
        <f>AE26/Z26</f>
        <v>3.6220049001805346</v>
      </c>
      <c r="AG26">
        <f>AB31*W31/Z26/AA26</f>
        <v>6.5886613603260313E-2</v>
      </c>
      <c r="AH26" s="199">
        <f>X31*AB31/Z26/AB26</f>
        <v>1.2608484964912801</v>
      </c>
      <c r="AI26" s="176">
        <f>AA32*U32/AB33/AC27</f>
        <v>6.3674031344152684E-5</v>
      </c>
    </row>
    <row r="27" spans="1:35" ht="15.75" thickBot="1" x14ac:dyDescent="0.3">
      <c r="L27" s="29" t="s">
        <v>3</v>
      </c>
      <c r="M27" s="30" t="s">
        <v>4</v>
      </c>
      <c r="N27" s="31" t="s">
        <v>5</v>
      </c>
      <c r="O27" s="32" t="s">
        <v>37</v>
      </c>
      <c r="R27" s="5"/>
      <c r="S27" s="5"/>
      <c r="T27" s="5"/>
      <c r="U27" s="5"/>
      <c r="V27" s="5"/>
      <c r="Y27" s="15" t="s">
        <v>17</v>
      </c>
      <c r="Z27" s="169">
        <v>90.550122504513368</v>
      </c>
      <c r="AA27" s="8">
        <v>0</v>
      </c>
      <c r="AB27" s="8">
        <v>0</v>
      </c>
      <c r="AC27" s="9">
        <v>1</v>
      </c>
    </row>
    <row r="28" spans="1:35" ht="15.75" thickBot="1" x14ac:dyDescent="0.3">
      <c r="L28" s="1">
        <f>Z4</f>
        <v>0.97911148202287612</v>
      </c>
      <c r="M28" s="2">
        <f>Z11</f>
        <v>1.6128306844816157E-2</v>
      </c>
      <c r="N28" s="3">
        <f>Z18</f>
        <v>5.651408397602391E-4</v>
      </c>
      <c r="O28" s="177">
        <f>SUM(L28:N28)</f>
        <v>0.99580492970745249</v>
      </c>
      <c r="R28" s="5"/>
      <c r="S28" s="5"/>
      <c r="T28" s="5"/>
      <c r="U28" s="5"/>
      <c r="V28" s="5"/>
      <c r="AG28" s="42"/>
    </row>
    <row r="29" spans="1:35" ht="15.75" thickBot="1" x14ac:dyDescent="0.3">
      <c r="L29" s="4">
        <f>Z5</f>
        <v>0.99926453644706525</v>
      </c>
      <c r="M29" s="5">
        <f>Z12</f>
        <v>3.0331731961573058E-4</v>
      </c>
      <c r="N29" s="6">
        <f>Z19</f>
        <v>4.5651333954406954E-4</v>
      </c>
      <c r="O29" s="178">
        <f t="shared" ref="O29" si="6">SUM(L29:N29)</f>
        <v>1.000024367106225</v>
      </c>
      <c r="R29" s="5"/>
      <c r="S29" s="5"/>
      <c r="T29" s="5"/>
      <c r="U29" s="5"/>
      <c r="V29" s="5"/>
      <c r="AA29" s="16" t="s">
        <v>99</v>
      </c>
      <c r="AB29" s="18" t="s">
        <v>100</v>
      </c>
      <c r="AG29" s="54" t="s">
        <v>109</v>
      </c>
    </row>
    <row r="30" spans="1:35" ht="21.75" thickBot="1" x14ac:dyDescent="0.4">
      <c r="L30" s="4"/>
      <c r="M30" s="5"/>
      <c r="N30" s="6"/>
      <c r="O30" s="178"/>
      <c r="R30" s="19" t="s">
        <v>101</v>
      </c>
      <c r="S30" s="48" t="s">
        <v>102</v>
      </c>
      <c r="T30" s="49" t="s">
        <v>103</v>
      </c>
      <c r="U30" s="49" t="s">
        <v>104</v>
      </c>
      <c r="V30" s="28" t="s">
        <v>37</v>
      </c>
      <c r="W30" s="48" t="s">
        <v>105</v>
      </c>
      <c r="X30" s="49" t="s">
        <v>106</v>
      </c>
      <c r="Y30" s="49" t="s">
        <v>107</v>
      </c>
      <c r="Z30" s="55" t="s">
        <v>108</v>
      </c>
      <c r="AA30" s="81">
        <f>Z26</f>
        <v>25</v>
      </c>
      <c r="AB30" s="82"/>
      <c r="AC30" s="49" t="s">
        <v>22</v>
      </c>
      <c r="AD30" s="49" t="s">
        <v>23</v>
      </c>
      <c r="AE30" s="69" t="s">
        <v>24</v>
      </c>
      <c r="AG30">
        <v>0.99980000000000002</v>
      </c>
      <c r="AI30" s="94">
        <f>ABS(AH26-AG30)</f>
        <v>0.26104849649128004</v>
      </c>
    </row>
    <row r="31" spans="1:35" x14ac:dyDescent="0.25">
      <c r="L31" s="4"/>
      <c r="M31" s="5"/>
      <c r="N31" s="6"/>
      <c r="O31" s="178"/>
      <c r="R31" s="45">
        <v>1</v>
      </c>
      <c r="S31" s="63">
        <f>C41</f>
        <v>0.97911148202287646</v>
      </c>
      <c r="T31" s="64">
        <f t="shared" ref="T31:U32" si="7">D41</f>
        <v>2.0342122369312758E-2</v>
      </c>
      <c r="U31" s="64">
        <f t="shared" si="7"/>
        <v>5.4639560781082432E-4</v>
      </c>
      <c r="V31" s="60">
        <f>SUM(S31:U31)</f>
        <v>1</v>
      </c>
      <c r="W31" s="64">
        <f>G41</f>
        <v>8.6414709174809264E-3</v>
      </c>
      <c r="X31" s="64">
        <f t="shared" ref="X31:Y32" si="8">H41</f>
        <v>0.14086965886570796</v>
      </c>
      <c r="Y31" s="64">
        <f t="shared" si="8"/>
        <v>0.85048887021681119</v>
      </c>
      <c r="Z31" s="57">
        <f>SUM(W31:Y31)</f>
        <v>1</v>
      </c>
      <c r="AA31" s="26">
        <f>(AB33*(W32-W33)+AA32*(S32-W32))/(S31-W32)</f>
        <v>13.062054032261614</v>
      </c>
      <c r="AB31" s="26">
        <f>AA30+AB33-AA32</f>
        <v>102.9303103762922</v>
      </c>
      <c r="AC31" s="70">
        <f>W31/S31</f>
        <v>8.8258294138552681E-3</v>
      </c>
      <c r="AD31" s="71">
        <f t="shared" ref="AD31:AE32" si="9">X31/T31</f>
        <v>6.9250226848609371</v>
      </c>
      <c r="AE31" s="72">
        <f t="shared" si="9"/>
        <v>1556.5441194235798</v>
      </c>
      <c r="AG31" t="s">
        <v>146</v>
      </c>
    </row>
    <row r="32" spans="1:35" ht="15.75" thickBot="1" x14ac:dyDescent="0.3">
      <c r="L32" s="7"/>
      <c r="M32" s="8"/>
      <c r="N32" s="9"/>
      <c r="O32" s="180"/>
      <c r="R32" s="46">
        <v>2</v>
      </c>
      <c r="S32" s="65">
        <f t="shared" ref="S32" si="10">C42</f>
        <v>0.99926453644706548</v>
      </c>
      <c r="T32" s="66">
        <f t="shared" si="7"/>
        <v>2.7858739027958237E-4</v>
      </c>
      <c r="U32" s="66">
        <f t="shared" si="7"/>
        <v>4.5687616265504199E-4</v>
      </c>
      <c r="V32" s="61">
        <f t="shared" ref="V32" si="11">SUM(S32:U32)</f>
        <v>1</v>
      </c>
      <c r="W32" s="66">
        <f t="shared" ref="W32" si="12">G42</f>
        <v>1.9636413076630976E-3</v>
      </c>
      <c r="X32" s="66">
        <f t="shared" si="8"/>
        <v>2.0878338793027945E-3</v>
      </c>
      <c r="Y32" s="66">
        <f t="shared" si="8"/>
        <v>0.99594852481303409</v>
      </c>
      <c r="Z32" s="58">
        <f t="shared" ref="Z32" si="13">SUM(W32:Y32)</f>
        <v>1</v>
      </c>
      <c r="AA32" s="26">
        <f>(AA30*(AA26-W31)+AB33*(AA27-W31))/(S32-W31)</f>
        <v>12.619812128221175</v>
      </c>
      <c r="AB32" s="26">
        <f>AA31+AB33-AA32</f>
        <v>90.992364408553811</v>
      </c>
      <c r="AC32" s="73">
        <f t="shared" ref="AC32" si="14">W32/S32</f>
        <v>1.9650865572042827E-3</v>
      </c>
      <c r="AD32" s="5">
        <f t="shared" si="9"/>
        <v>7.4943588696082184</v>
      </c>
      <c r="AE32" s="74">
        <f t="shared" si="9"/>
        <v>2179.9091443626294</v>
      </c>
      <c r="AG32" s="176">
        <f>AG30*Z26*AB26/X31</f>
        <v>81.619421049076578</v>
      </c>
    </row>
    <row r="33" spans="3:33" ht="15.75" thickBot="1" x14ac:dyDescent="0.3">
      <c r="R33" s="46">
        <v>3</v>
      </c>
      <c r="S33" s="65"/>
      <c r="T33" s="66"/>
      <c r="U33" s="66"/>
      <c r="V33" s="61"/>
      <c r="W33" s="51">
        <v>0</v>
      </c>
      <c r="X33">
        <f>AB27</f>
        <v>0</v>
      </c>
      <c r="Y33" s="52">
        <v>1</v>
      </c>
      <c r="Z33" s="58"/>
      <c r="AA33" s="181"/>
      <c r="AB33" s="84">
        <f>Z27</f>
        <v>90.550122504513368</v>
      </c>
      <c r="AC33" s="73"/>
      <c r="AD33" s="5"/>
      <c r="AE33" s="74"/>
      <c r="AG33" t="s">
        <v>147</v>
      </c>
    </row>
    <row r="34" spans="3:33" ht="15.75" thickBot="1" x14ac:dyDescent="0.3">
      <c r="R34" s="46">
        <v>4</v>
      </c>
      <c r="S34" s="65"/>
      <c r="T34" s="66"/>
      <c r="U34" s="66"/>
      <c r="V34" s="61"/>
      <c r="W34" s="66"/>
      <c r="X34" s="66"/>
      <c r="Y34" s="66"/>
      <c r="Z34" s="58"/>
      <c r="AA34" s="26"/>
      <c r="AB34" s="26"/>
      <c r="AC34" s="73"/>
      <c r="AD34" s="5"/>
      <c r="AE34" s="74"/>
      <c r="AG34" s="176">
        <f>AG36+Z26-AG32</f>
        <v>12.804105099331281</v>
      </c>
    </row>
    <row r="35" spans="3:33" ht="18.75" thickBot="1" x14ac:dyDescent="0.4">
      <c r="C35" s="36" t="s">
        <v>38</v>
      </c>
      <c r="D35" s="37" t="s">
        <v>39</v>
      </c>
      <c r="E35" s="37" t="s">
        <v>40</v>
      </c>
      <c r="F35" s="37" t="s">
        <v>41</v>
      </c>
      <c r="G35" s="37" t="s">
        <v>42</v>
      </c>
      <c r="H35" s="38" t="s">
        <v>43</v>
      </c>
      <c r="R35" s="47">
        <v>5</v>
      </c>
      <c r="S35" s="67"/>
      <c r="T35" s="68"/>
      <c r="U35" s="68"/>
      <c r="V35" s="62"/>
      <c r="W35" s="68"/>
      <c r="X35" s="68"/>
      <c r="Y35" s="68"/>
      <c r="Z35" s="59"/>
      <c r="AB35" s="26"/>
      <c r="AC35" s="75"/>
      <c r="AD35" s="76"/>
      <c r="AE35" s="77"/>
      <c r="AG35" t="s">
        <v>148</v>
      </c>
    </row>
    <row r="36" spans="3:33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50"/>
      <c r="Z36" s="56"/>
      <c r="AA36" s="83"/>
      <c r="AG36" s="221">
        <f>(AG32*(W31-S32)+Z26*(S32-AA26))/(AA27-S32)</f>
        <v>69.423526148407859</v>
      </c>
    </row>
    <row r="37" spans="3:33" ht="18.75" thickBot="1" x14ac:dyDescent="0.4">
      <c r="C37" s="36" t="s">
        <v>44</v>
      </c>
      <c r="D37" s="37" t="s">
        <v>45</v>
      </c>
      <c r="E37" s="37" t="s">
        <v>46</v>
      </c>
      <c r="F37" s="37" t="s">
        <v>47</v>
      </c>
      <c r="G37" s="37" t="s">
        <v>48</v>
      </c>
      <c r="H37" s="38" t="s">
        <v>49</v>
      </c>
      <c r="AC37" s="168">
        <f>AB33+Z26-AA32-AB31</f>
        <v>0</v>
      </c>
    </row>
    <row r="38" spans="3:33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</row>
    <row r="39" spans="3:33" ht="15.75" thickBot="1" x14ac:dyDescent="0.3"/>
    <row r="40" spans="3:33" ht="16.5" thickBot="1" x14ac:dyDescent="0.3">
      <c r="C40" s="16" t="s">
        <v>50</v>
      </c>
      <c r="D40" s="17" t="s">
        <v>51</v>
      </c>
      <c r="E40" s="18" t="s">
        <v>52</v>
      </c>
      <c r="G40" s="16" t="s">
        <v>53</v>
      </c>
      <c r="H40" s="17" t="s">
        <v>54</v>
      </c>
      <c r="I40" s="18" t="s">
        <v>55</v>
      </c>
      <c r="L40" s="39" t="s">
        <v>56</v>
      </c>
      <c r="M40" s="40" t="s">
        <v>57</v>
      </c>
      <c r="N40" s="40" t="s">
        <v>58</v>
      </c>
      <c r="O40" s="40" t="s">
        <v>59</v>
      </c>
      <c r="P40" s="40" t="s">
        <v>60</v>
      </c>
      <c r="Q40" s="40" t="s">
        <v>61</v>
      </c>
      <c r="R40" s="40" t="s">
        <v>62</v>
      </c>
      <c r="S40" s="40" t="s">
        <v>63</v>
      </c>
      <c r="T40" s="40" t="s">
        <v>64</v>
      </c>
      <c r="U40" s="40" t="s">
        <v>65</v>
      </c>
      <c r="V40" s="40" t="s">
        <v>66</v>
      </c>
      <c r="W40" s="40" t="s">
        <v>67</v>
      </c>
      <c r="X40" s="40" t="s">
        <v>68</v>
      </c>
      <c r="Y40" s="40" t="s">
        <v>69</v>
      </c>
      <c r="Z40" s="41" t="s">
        <v>70</v>
      </c>
    </row>
    <row r="41" spans="3:33" x14ac:dyDescent="0.25">
      <c r="C41">
        <f>1-D41-E41</f>
        <v>0.97911148202287646</v>
      </c>
      <c r="D41" s="42">
        <v>2.0342122369312758E-2</v>
      </c>
      <c r="E41" s="42">
        <v>5.4639560781082432E-4</v>
      </c>
      <c r="F41" s="42"/>
      <c r="G41" s="42">
        <v>8.6414709174809264E-3</v>
      </c>
      <c r="H41" s="42">
        <v>0.14086965886570796</v>
      </c>
      <c r="I41">
        <f>1-G41-H41</f>
        <v>0.85048887021681119</v>
      </c>
      <c r="L41">
        <f>$C41+$D$38*$D41+$F$38*$E41</f>
        <v>0.98570326400148445</v>
      </c>
      <c r="M41">
        <f>$C$38*$C41+$D41+$H$38*$E41</f>
        <v>0.44232440219777092</v>
      </c>
      <c r="N41">
        <f>$E$38*$C41+$G$38*$D41+$E41</f>
        <v>5.7739170044330858E-2</v>
      </c>
      <c r="O41">
        <f>$D41*$D$36*$D$38+$E41*$F$36*$F$38</f>
        <v>1.8843369935242361E-2</v>
      </c>
      <c r="P41">
        <f>$C41*$C$36*$C$38+$E41*$H$36*$H$38</f>
        <v>0.88824212013700421</v>
      </c>
      <c r="Q41">
        <f>$C41*$E$36*$E$38+$D41*$G$36*$G$38</f>
        <v>0.40338752706813591</v>
      </c>
      <c r="R41">
        <f>(O41/L41)-(C41*O41/L41^2)+(D41*$C$38/M41)*($C$36-P41/M41)+(E41*$E$38/N41)*($E$36-Q41/N41)</f>
        <v>2.2421696875559458E-3</v>
      </c>
      <c r="S41">
        <f>(P41/M41)-(D41*P41/M41^2)+(C41*$D$38/L41)*($D$36-O41/L41)+(E41*$G$38/N41)*($G$36-Q41/N41)</f>
        <v>2.8100989969955479</v>
      </c>
      <c r="T41">
        <f>(Q41/N41)-(E41*Q41/N41^2)+(C41*$F$38/L41)*($F$36-O41/L41)+(D41*$H$38/M41)*($H$36-P41/M41)</f>
        <v>7.3673147422760863</v>
      </c>
      <c r="U41">
        <f>EXP(R41)</f>
        <v>1.0022446852297493</v>
      </c>
      <c r="V41">
        <f>EXP(S41)</f>
        <v>16.611562632181304</v>
      </c>
      <c r="W41">
        <f>EXP(T41)</f>
        <v>1583.3762959490921</v>
      </c>
      <c r="X41">
        <f>U41/U47</f>
        <v>8.8258294142159778E-3</v>
      </c>
      <c r="Y41">
        <f>V41/V47</f>
        <v>6.9250226848659828</v>
      </c>
      <c r="Z41">
        <f>W41/W47</f>
        <v>1556.5441194246541</v>
      </c>
    </row>
    <row r="42" spans="3:33" x14ac:dyDescent="0.25">
      <c r="C42">
        <f t="shared" ref="C42" si="15">1-D42-E42</f>
        <v>0.99926453644706548</v>
      </c>
      <c r="D42">
        <v>2.7858739027958237E-4</v>
      </c>
      <c r="E42" s="42">
        <v>4.5687616265504199E-4</v>
      </c>
      <c r="G42" s="42">
        <v>1.9636413076630976E-3</v>
      </c>
      <c r="H42">
        <v>2.0878338793027945E-3</v>
      </c>
      <c r="I42">
        <f t="shared" ref="I42" si="16">1-G42-H42</f>
        <v>0.99594852481303409</v>
      </c>
      <c r="L42">
        <f>$C42+$D$38*$D42+$F$38*$E42</f>
        <v>0.999393528213538</v>
      </c>
      <c r="M42">
        <f t="shared" ref="M42" si="17">$C$38*$C42+$D42+$H$38*$E42</f>
        <v>0.43085399058772528</v>
      </c>
      <c r="N42">
        <f t="shared" ref="N42" si="18">$E$38*$C42+$G$38*$D42+$E42</f>
        <v>5.4732132125623431E-2</v>
      </c>
      <c r="O42">
        <f t="shared" ref="O42" si="19">$D42*$D$36*$D$38+$E42*$F$36*$F$38</f>
        <v>4.9535895895925629E-4</v>
      </c>
      <c r="P42">
        <f t="shared" ref="P42" si="20">$C42*$C$36*$C$38+$E42*$H$36*$H$38</f>
        <v>0.90650510660921502</v>
      </c>
      <c r="Q42">
        <f t="shared" ref="Q42" si="21">$C42*$E$36*$E$38+$D42*$G$36*$G$38</f>
        <v>0.39521064589710092</v>
      </c>
      <c r="R42">
        <f>(O42/L42)-(C42*O42/L42^2)+(D42*$C$38/M42)*($C$36-P42/M42)+(E42*$E$38/N42)*($E$36-Q42/N42)</f>
        <v>3.0002472434164873E-5</v>
      </c>
      <c r="S42">
        <f>(P42/M42)-(D42*P42/M42^2)+(C42*$D$38/L42)*($D$36-O42/L42)+(E42*$G$38/N42)*($G$36-Q42/N42)</f>
        <v>3.0091409572465553</v>
      </c>
      <c r="T42">
        <f>(Q42/N42)-(E42*Q42/N42^2)+(C42*$F$38/L42)*($F$36-O42/L42)+(D42*$H$38/M42)*($H$36-P42/M42)</f>
        <v>7.6873453116515105</v>
      </c>
      <c r="U42">
        <f t="shared" ref="U42:W42" si="22">EXP(R42)</f>
        <v>1.0000300029225129</v>
      </c>
      <c r="V42">
        <f t="shared" si="22"/>
        <v>20.269979664794448</v>
      </c>
      <c r="W42">
        <f t="shared" si="22"/>
        <v>2180.5781164351547</v>
      </c>
      <c r="X42">
        <f t="shared" ref="X42:Z42" si="23">U42/U48</f>
        <v>1.9650865572043855E-3</v>
      </c>
      <c r="Y42">
        <f t="shared" si="23"/>
        <v>7.4943588696082228</v>
      </c>
      <c r="Z42">
        <f t="shared" si="23"/>
        <v>2179.9091443626307</v>
      </c>
    </row>
    <row r="43" spans="3:33" x14ac:dyDescent="0.25">
      <c r="E43" s="42"/>
      <c r="G43" s="42"/>
    </row>
    <row r="44" spans="3:33" x14ac:dyDescent="0.25">
      <c r="E44" s="42"/>
      <c r="G44" s="42"/>
    </row>
    <row r="45" spans="3:33" ht="15.75" thickBot="1" x14ac:dyDescent="0.3">
      <c r="E45" s="42"/>
      <c r="G45" s="42"/>
    </row>
    <row r="46" spans="3:33" ht="16.5" thickBot="1" x14ac:dyDescent="0.3">
      <c r="L46" s="39" t="s">
        <v>71</v>
      </c>
      <c r="M46" s="40" t="s">
        <v>72</v>
      </c>
      <c r="N46" s="40" t="s">
        <v>73</v>
      </c>
      <c r="O46" s="40" t="s">
        <v>74</v>
      </c>
      <c r="P46" s="40" t="s">
        <v>75</v>
      </c>
      <c r="Q46" s="40" t="s">
        <v>76</v>
      </c>
      <c r="R46" s="40" t="s">
        <v>77</v>
      </c>
      <c r="S46" s="40" t="s">
        <v>78</v>
      </c>
      <c r="T46" s="40" t="s">
        <v>79</v>
      </c>
      <c r="U46" s="40" t="s">
        <v>80</v>
      </c>
      <c r="V46" s="40" t="s">
        <v>81</v>
      </c>
      <c r="W46" s="40" t="s">
        <v>82</v>
      </c>
      <c r="X46" s="40" t="s">
        <v>83</v>
      </c>
      <c r="Y46" s="40" t="s">
        <v>84</v>
      </c>
      <c r="Z46" s="41" t="s">
        <v>85</v>
      </c>
    </row>
    <row r="47" spans="3:33" ht="15.75" thickBot="1" x14ac:dyDescent="0.3">
      <c r="L47">
        <f>$G41+$D$38*$H41+$F$38*$I41</f>
        <v>0.12723604717055528</v>
      </c>
      <c r="M47">
        <f>$C$38*$G41+$H41+$H$38*$I41</f>
        <v>0.92564217129613013</v>
      </c>
      <c r="N47">
        <f>$E$38*$G41+$G$38*$H41+$I41</f>
        <v>0.87911978612443353</v>
      </c>
      <c r="O47">
        <f>$H41*$D$36*$D$38+$I41*$F$36*$F$38</f>
        <v>0.57758403483904552</v>
      </c>
      <c r="P47">
        <f>$G41*$C$36*$C$38+$I41*$H$36*$H$38</f>
        <v>0.1741418734712222</v>
      </c>
      <c r="Q47">
        <f>$G41*$E$36*$E$38+$H41*$G$36*$G$38</f>
        <v>0.11675812813435553</v>
      </c>
      <c r="R47">
        <f>(O47/L47)-(G41*O47/L47^2)+(H41*$C$38/M47)*($C$36-P47/M47)+(I41*$E$38/N47)*($E$36-Q47/N47)</f>
        <v>4.732314865652901</v>
      </c>
      <c r="S47">
        <f>(P47/M47)-(H41*P47/M47^2)+(G41*$D$38/L47)*($D$36-O47/L47)+(I41*$G$38/N47)*($G$36-Q47/N47)</f>
        <v>0.87495766913458928</v>
      </c>
      <c r="T47">
        <f>(Q47/N47)-(I41*Q47/N47^2)+(G41*$F$38/L47)*($F$36-O47/L47)+(H41*$H$38/M47)*($H$36-P47/M47)</f>
        <v>1.7091407518498487E-2</v>
      </c>
      <c r="U47">
        <f>EXP(R47)</f>
        <v>113.55813014190025</v>
      </c>
      <c r="V47">
        <f>EXP(S47)</f>
        <v>2.3987737496491364</v>
      </c>
      <c r="W47">
        <f>EXP(T47)</f>
        <v>1.017238301304531</v>
      </c>
      <c r="X47">
        <f>U47/U41</f>
        <v>113.30379877830809</v>
      </c>
      <c r="Y47">
        <f>V47/V41</f>
        <v>0.14440385909282441</v>
      </c>
      <c r="Z47">
        <f>W47/W41</f>
        <v>6.4244886317108083E-4</v>
      </c>
    </row>
    <row r="48" spans="3:33" ht="15.75" thickBot="1" x14ac:dyDescent="0.3">
      <c r="C48" s="232" t="s">
        <v>86</v>
      </c>
      <c r="D48" s="233"/>
      <c r="E48" s="233"/>
      <c r="F48" s="233"/>
      <c r="G48" s="233"/>
      <c r="H48" s="233"/>
      <c r="I48" s="234"/>
      <c r="L48">
        <f t="shared" ref="L48" si="24">$G42+$D$38*$H42+$F$38*$I42</f>
        <v>8.8439499235465527E-2</v>
      </c>
      <c r="M48">
        <f t="shared" ref="M48" si="25">$C$38*$G42+$H42+$H$38*$I42</f>
        <v>0.91756964933783325</v>
      </c>
      <c r="N48">
        <f t="shared" ref="N48" si="26">$E$38*$G42+$G$38*$H42+$I42</f>
        <v>0.99647246138841261</v>
      </c>
      <c r="O48">
        <f t="shared" ref="O48" si="27">$H42*$D$36*$D$38+$I42*$F$36*$F$38</f>
        <v>0.52780402698482809</v>
      </c>
      <c r="P48">
        <f t="shared" ref="P48" si="28">$G42*$C$36*$C$38+$I42*$H$36*$H$38</f>
        <v>0.19652749540447267</v>
      </c>
      <c r="Q48">
        <f t="shared" ref="Q48" si="29">$G42*$E$36*$E$38+$H42*$G$36*$G$38</f>
        <v>2.4560334030119409E-3</v>
      </c>
      <c r="R48">
        <f>(O48/L48)-(G42*O48/L48^2)+(H42*$C$38/M48)*($C$36-P48/M48)+(I42*$E$38/N48)*($E$36-Q48/N48)</f>
        <v>6.2322489876356153</v>
      </c>
      <c r="S48">
        <f>(P48/M48)-(H42*P48/M48^2)+(G42*$D$38/L48)*($D$36-O48/L48)+(I42*$G$38/N48)*($G$36-Q48/N48)</f>
        <v>0.99499037043046445</v>
      </c>
      <c r="T48">
        <f>(Q48/N48)-(I42*Q48/N48^2)+(G42*$F$38/L48)*($F$36-O48/L48)+(H42*$H$38/M48)*($H$36-P48/M48)</f>
        <v>3.0683363475756011E-4</v>
      </c>
      <c r="U48">
        <f t="shared" ref="U48:W48" si="30">EXP(R48)</f>
        <v>508.89870436302687</v>
      </c>
      <c r="V48">
        <f t="shared" si="30"/>
        <v>2.7046982960737358</v>
      </c>
      <c r="W48">
        <f t="shared" si="30"/>
        <v>1.0003068807130122</v>
      </c>
      <c r="X48">
        <f t="shared" ref="X48:Z48" si="31">U48/U42</f>
        <v>508.88343637271731</v>
      </c>
      <c r="Y48">
        <f t="shared" si="31"/>
        <v>0.13343369558339235</v>
      </c>
      <c r="Z48">
        <f t="shared" si="31"/>
        <v>4.5873471497014312E-4</v>
      </c>
    </row>
    <row r="49" spans="2:10" ht="15.75" thickBot="1" x14ac:dyDescent="0.3">
      <c r="B49" s="19" t="s">
        <v>87</v>
      </c>
      <c r="C49" s="17" t="s">
        <v>50</v>
      </c>
      <c r="D49" s="17" t="s">
        <v>51</v>
      </c>
      <c r="E49" s="17" t="s">
        <v>52</v>
      </c>
      <c r="F49" s="17"/>
      <c r="G49" s="17" t="s">
        <v>53</v>
      </c>
      <c r="H49" s="17" t="s">
        <v>54</v>
      </c>
      <c r="I49" s="17" t="s">
        <v>88</v>
      </c>
      <c r="J49" s="19" t="s">
        <v>87</v>
      </c>
    </row>
    <row r="50" spans="2:10" x14ac:dyDescent="0.25">
      <c r="B50" s="43">
        <f>SUM(C50:E50)</f>
        <v>0.99999999995996858</v>
      </c>
      <c r="C50">
        <f>G41*X47</f>
        <v>0.97911148198286024</v>
      </c>
      <c r="D50">
        <f>H41*Y47</f>
        <v>2.0342122369297937E-2</v>
      </c>
      <c r="E50">
        <f>I41*Z47</f>
        <v>5.4639560781044724E-4</v>
      </c>
      <c r="G50">
        <f>C41*X41</f>
        <v>8.6414709178341022E-3</v>
      </c>
      <c r="H50">
        <f>D41*Y41</f>
        <v>0.1408696588658106</v>
      </c>
      <c r="I50">
        <f>E41*Z41</f>
        <v>0.85048887021739816</v>
      </c>
      <c r="J50" s="43">
        <f>SUM(G50:I50)</f>
        <v>1.0000000000010429</v>
      </c>
    </row>
    <row r="51" spans="2:10" x14ac:dyDescent="0.25">
      <c r="B51" s="43">
        <f t="shared" ref="B51" si="32">SUM(C51:E51)</f>
        <v>0.99999999999994782</v>
      </c>
      <c r="C51">
        <f t="shared" ref="C51:E51" si="33">G42*X48</f>
        <v>0.9992645364470133</v>
      </c>
      <c r="D51">
        <f t="shared" si="33"/>
        <v>2.7858739027958221E-4</v>
      </c>
      <c r="E51">
        <f t="shared" si="33"/>
        <v>4.5687616265504172E-4</v>
      </c>
      <c r="G51">
        <f t="shared" ref="G51:I51" si="34">C42*X42</f>
        <v>1.9636413076631999E-3</v>
      </c>
      <c r="H51">
        <f t="shared" si="34"/>
        <v>2.0878338793027958E-3</v>
      </c>
      <c r="I51">
        <f t="shared" si="34"/>
        <v>0.99594852481303464</v>
      </c>
      <c r="J51" s="43">
        <f t="shared" ref="J51" si="35">SUM(G51:I51)</f>
        <v>1.0000000000000007</v>
      </c>
    </row>
    <row r="52" spans="2:10" x14ac:dyDescent="0.25">
      <c r="B52" s="43"/>
      <c r="J52" s="43"/>
    </row>
    <row r="53" spans="2:10" x14ac:dyDescent="0.25">
      <c r="B53" s="43"/>
      <c r="J53" s="43"/>
    </row>
    <row r="54" spans="2:10" x14ac:dyDescent="0.25">
      <c r="B54" s="43"/>
      <c r="J54" s="43"/>
    </row>
    <row r="55" spans="2:10" ht="15.75" thickBot="1" x14ac:dyDescent="0.3"/>
    <row r="56" spans="2:10" ht="15.75" thickBot="1" x14ac:dyDescent="0.3">
      <c r="C56" s="200" t="s">
        <v>89</v>
      </c>
      <c r="D56" s="201"/>
      <c r="E56" s="201"/>
      <c r="F56" s="201"/>
      <c r="G56" s="201"/>
      <c r="H56" s="201"/>
      <c r="I56" s="202"/>
    </row>
    <row r="57" spans="2:10" ht="15.75" thickBot="1" x14ac:dyDescent="0.3">
      <c r="C57" s="16" t="s">
        <v>90</v>
      </c>
      <c r="D57" s="17" t="s">
        <v>91</v>
      </c>
      <c r="E57" s="18" t="s">
        <v>92</v>
      </c>
      <c r="G57" s="16" t="s">
        <v>90</v>
      </c>
      <c r="H57" s="17" t="s">
        <v>91</v>
      </c>
      <c r="I57" s="18" t="s">
        <v>92</v>
      </c>
    </row>
    <row r="58" spans="2:10" x14ac:dyDescent="0.25">
      <c r="C58">
        <f>(C50+C41)/2</f>
        <v>0.97911148200286835</v>
      </c>
      <c r="D58">
        <f t="shared" ref="D58:I58" si="36">(D50+D41)/2</f>
        <v>2.0342122369305347E-2</v>
      </c>
      <c r="E58">
        <f t="shared" si="36"/>
        <v>5.4639560781063578E-4</v>
      </c>
      <c r="G58">
        <f t="shared" si="36"/>
        <v>8.6414709176575143E-3</v>
      </c>
      <c r="H58">
        <f t="shared" si="36"/>
        <v>0.14086965886575928</v>
      </c>
      <c r="I58">
        <f t="shared" si="36"/>
        <v>0.85048887021710473</v>
      </c>
    </row>
    <row r="59" spans="2:10" x14ac:dyDescent="0.25">
      <c r="C59">
        <f t="shared" ref="C59:I59" si="37">(C51+C42)/2</f>
        <v>0.99926453644703939</v>
      </c>
      <c r="D59">
        <f t="shared" si="37"/>
        <v>2.7858739027958226E-4</v>
      </c>
      <c r="E59">
        <f t="shared" si="37"/>
        <v>4.5687616265504183E-4</v>
      </c>
      <c r="G59">
        <f t="shared" si="37"/>
        <v>1.9636413076631488E-3</v>
      </c>
      <c r="H59">
        <f t="shared" si="37"/>
        <v>2.0878338793027954E-3</v>
      </c>
      <c r="I59">
        <f t="shared" si="37"/>
        <v>0.99594852481303442</v>
      </c>
    </row>
  </sheetData>
  <mergeCells count="1">
    <mergeCell ref="C48:I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6"/>
  <dimension ref="A1:AI58"/>
  <sheetViews>
    <sheetView zoomScale="40" zoomScaleNormal="40" workbookViewId="0">
      <selection activeCell="AA26" sqref="AA26:AC26"/>
    </sheetView>
  </sheetViews>
  <sheetFormatPr defaultRowHeight="15" x14ac:dyDescent="0.25"/>
  <cols>
    <col min="5" max="5" width="13.5703125" bestFit="1" customWidth="1"/>
    <col min="15" max="15" width="12.140625" customWidth="1"/>
    <col min="19" max="21" width="16" bestFit="1" customWidth="1"/>
    <col min="23" max="25" width="16" bestFit="1" customWidth="1"/>
    <col min="27" max="27" width="26.85546875" bestFit="1" customWidth="1"/>
    <col min="28" max="28" width="15.7109375" bestFit="1" customWidth="1"/>
    <col min="31" max="31" width="9.7109375" bestFit="1" customWidth="1"/>
    <col min="33" max="33" width="11.85546875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200" t="s">
        <v>1</v>
      </c>
      <c r="C2" s="201"/>
      <c r="D2" s="201"/>
      <c r="E2" s="18" t="s">
        <v>2</v>
      </c>
      <c r="G2" s="22" t="s">
        <v>21</v>
      </c>
      <c r="H2" s="22"/>
      <c r="I2" s="22"/>
    </row>
    <row r="3" spans="1:26" ht="15.75" thickBot="1" x14ac:dyDescent="0.3">
      <c r="B3" s="48" t="s">
        <v>3</v>
      </c>
      <c r="C3" s="49" t="s">
        <v>4</v>
      </c>
      <c r="D3" s="69" t="s">
        <v>5</v>
      </c>
      <c r="E3" s="13" t="s">
        <v>6</v>
      </c>
      <c r="G3" s="16" t="s">
        <v>22</v>
      </c>
      <c r="H3" s="17" t="s">
        <v>23</v>
      </c>
      <c r="I3" s="18" t="s">
        <v>24</v>
      </c>
      <c r="L3">
        <v>1</v>
      </c>
      <c r="M3" s="13" t="s">
        <v>26</v>
      </c>
      <c r="S3" s="19" t="s">
        <v>27</v>
      </c>
      <c r="Z3" s="19" t="s">
        <v>28</v>
      </c>
    </row>
    <row r="4" spans="1:26" ht="15.75" thickBot="1" x14ac:dyDescent="0.3">
      <c r="A4" s="48" t="s">
        <v>0</v>
      </c>
      <c r="B4" s="1">
        <f>AA26</f>
        <v>0.54</v>
      </c>
      <c r="C4" s="1">
        <f t="shared" ref="C4:D4" si="0">AB26</f>
        <v>0.46</v>
      </c>
      <c r="D4" s="1">
        <f t="shared" si="0"/>
        <v>0</v>
      </c>
      <c r="E4" s="10">
        <f>AA30</f>
        <v>25</v>
      </c>
      <c r="G4" s="4" t="s">
        <v>25</v>
      </c>
      <c r="H4" s="5" t="s">
        <v>25</v>
      </c>
      <c r="I4" s="6" t="s">
        <v>25</v>
      </c>
      <c r="K4" s="19" t="s">
        <v>29</v>
      </c>
      <c r="L4" s="1">
        <f>E$6*$G$5+E$5</f>
        <v>13.517348390487424</v>
      </c>
      <c r="M4" s="182">
        <f>$B$4*$E$4+$E$7*$B$7</f>
        <v>13.5</v>
      </c>
      <c r="O4" s="2"/>
      <c r="P4" s="2"/>
      <c r="T4" s="1">
        <f>MINVERSE(L4)</f>
        <v>7.3979006171338374E-2</v>
      </c>
      <c r="U4" s="2"/>
      <c r="V4" s="2"/>
      <c r="W4" s="2"/>
      <c r="X4" s="3"/>
      <c r="Z4" s="23">
        <f>MMULT(T4,M4)</f>
        <v>0.99871658331306801</v>
      </c>
    </row>
    <row r="5" spans="1:26" ht="15.75" thickBot="1" x14ac:dyDescent="0.3">
      <c r="A5" s="79" t="s">
        <v>7</v>
      </c>
      <c r="B5" s="86">
        <f>S31</f>
        <v>0.99871658331306812</v>
      </c>
      <c r="C5" s="78">
        <f t="shared" ref="C5:D5" si="1">T31</f>
        <v>8.2420093510224431E-4</v>
      </c>
      <c r="D5" s="87">
        <f t="shared" si="1"/>
        <v>4.5921575182963979E-4</v>
      </c>
      <c r="E5" s="184">
        <f>AA31</f>
        <v>8.4722257342529446</v>
      </c>
      <c r="G5" s="4">
        <f>B6/B5</f>
        <v>2.0770301703301806E-3</v>
      </c>
      <c r="H5" s="5">
        <f>C6/C5</f>
        <v>7.4797549912147803</v>
      </c>
      <c r="I5" s="6">
        <f>D6/D5</f>
        <v>2159.6837881002807</v>
      </c>
      <c r="L5" s="25"/>
      <c r="M5" s="12"/>
      <c r="O5" s="5"/>
      <c r="P5" s="5"/>
      <c r="T5" s="4"/>
      <c r="U5" s="5"/>
      <c r="V5" s="5"/>
      <c r="W5" s="5"/>
      <c r="X5" s="6"/>
      <c r="Z5" s="24"/>
    </row>
    <row r="6" spans="1:26" x14ac:dyDescent="0.25">
      <c r="A6" s="48" t="s">
        <v>12</v>
      </c>
      <c r="B6" s="91">
        <f t="shared" ref="B6:D7" si="2">W31</f>
        <v>2.0743644751503179E-3</v>
      </c>
      <c r="C6" s="92">
        <f t="shared" si="2"/>
        <v>6.1648210580949013E-3</v>
      </c>
      <c r="D6" s="93">
        <f t="shared" si="2"/>
        <v>0.99176081446675479</v>
      </c>
      <c r="E6" s="10">
        <f>AB31</f>
        <v>2429.0078826502886</v>
      </c>
      <c r="G6" s="4"/>
      <c r="H6" s="5"/>
      <c r="I6" s="6"/>
      <c r="L6" s="4"/>
      <c r="O6" s="5"/>
      <c r="P6" s="5"/>
      <c r="T6" s="4"/>
      <c r="U6" s="5"/>
      <c r="V6" s="5"/>
      <c r="W6" s="5"/>
      <c r="X6" s="6"/>
      <c r="Z6" s="24"/>
    </row>
    <row r="7" spans="1:26" ht="15.75" thickBot="1" x14ac:dyDescent="0.3">
      <c r="A7" s="80" t="s">
        <v>17</v>
      </c>
      <c r="B7" s="88">
        <f t="shared" si="2"/>
        <v>0</v>
      </c>
      <c r="C7" s="89">
        <f t="shared" si="2"/>
        <v>0</v>
      </c>
      <c r="D7" s="90">
        <f t="shared" si="2"/>
        <v>1</v>
      </c>
      <c r="E7" s="12">
        <f>AB32</f>
        <v>2412.4801083845414</v>
      </c>
      <c r="G7" s="4"/>
      <c r="H7" s="5"/>
      <c r="I7" s="6"/>
      <c r="L7" s="4"/>
      <c r="M7" s="11"/>
      <c r="O7" s="5"/>
      <c r="P7" s="5"/>
      <c r="T7" s="4"/>
      <c r="U7" s="5"/>
      <c r="V7" s="5"/>
      <c r="W7" s="5"/>
      <c r="X7" s="6"/>
      <c r="Z7" s="24"/>
    </row>
    <row r="8" spans="1:26" ht="15.75" thickBot="1" x14ac:dyDescent="0.3">
      <c r="A8" s="79"/>
      <c r="B8" s="86"/>
      <c r="C8" s="78"/>
      <c r="D8" s="87"/>
      <c r="E8" s="11"/>
      <c r="G8" s="4"/>
      <c r="H8" s="5"/>
      <c r="I8" s="6"/>
      <c r="L8" s="7"/>
      <c r="O8" s="27"/>
      <c r="P8" s="8"/>
      <c r="T8" s="7"/>
      <c r="U8" s="8"/>
      <c r="V8" s="8"/>
      <c r="W8" s="8"/>
      <c r="X8" s="9"/>
      <c r="Z8" s="24"/>
    </row>
    <row r="9" spans="1:26" ht="15.75" thickBot="1" x14ac:dyDescent="0.3">
      <c r="G9" s="7"/>
      <c r="H9" s="8"/>
      <c r="I9" s="9"/>
    </row>
    <row r="10" spans="1:26" ht="15.75" thickBot="1" x14ac:dyDescent="0.3">
      <c r="L10">
        <v>1</v>
      </c>
      <c r="M10" s="19" t="s">
        <v>30</v>
      </c>
      <c r="S10" s="19" t="s">
        <v>27</v>
      </c>
      <c r="Z10" s="19" t="s">
        <v>31</v>
      </c>
    </row>
    <row r="11" spans="1:26" ht="15.75" thickBot="1" x14ac:dyDescent="0.3">
      <c r="K11" s="19" t="s">
        <v>32</v>
      </c>
      <c r="L11" s="1">
        <f>E$6*$H$5+E$5</f>
        <v>18176.856059687794</v>
      </c>
      <c r="M11" s="182">
        <f>$C$4*$E$4+$E$7*$C$7</f>
        <v>11.5</v>
      </c>
      <c r="O11" s="2"/>
      <c r="P11" s="2"/>
      <c r="T11" s="1">
        <f>MINVERSE(L11)</f>
        <v>5.5015014517157158E-5</v>
      </c>
      <c r="U11" s="2"/>
      <c r="V11" s="2"/>
      <c r="W11" s="2"/>
      <c r="X11" s="3"/>
      <c r="Z11" s="23">
        <f>MMULT(T11,M11)</f>
        <v>6.3267266694730731E-4</v>
      </c>
    </row>
    <row r="12" spans="1:26" ht="15.75" thickBot="1" x14ac:dyDescent="0.3">
      <c r="L12" s="25"/>
      <c r="M12" s="12"/>
      <c r="O12" s="5"/>
      <c r="P12" s="5"/>
      <c r="T12" s="4"/>
      <c r="U12" s="5"/>
      <c r="V12" s="5"/>
      <c r="W12" s="5"/>
      <c r="X12" s="6"/>
      <c r="Z12" s="24"/>
    </row>
    <row r="13" spans="1:26" x14ac:dyDescent="0.25">
      <c r="A13" s="79"/>
      <c r="B13" s="86"/>
      <c r="C13" s="78"/>
      <c r="D13" s="87"/>
      <c r="E13" s="11"/>
      <c r="L13" s="4"/>
      <c r="O13" s="5"/>
      <c r="P13" s="5"/>
      <c r="T13" s="4"/>
      <c r="U13" s="5"/>
      <c r="V13" s="5"/>
      <c r="W13" s="5"/>
      <c r="X13" s="6"/>
    </row>
    <row r="14" spans="1:26" x14ac:dyDescent="0.25">
      <c r="A14" s="79"/>
      <c r="B14" s="86"/>
      <c r="C14" s="78"/>
      <c r="D14" s="87"/>
      <c r="E14" s="11"/>
      <c r="L14" s="4"/>
      <c r="M14" s="11"/>
      <c r="O14" s="5"/>
      <c r="P14" s="5"/>
      <c r="T14" s="4"/>
      <c r="U14" s="5"/>
      <c r="V14" s="5"/>
      <c r="W14" s="5"/>
      <c r="X14" s="6"/>
    </row>
    <row r="15" spans="1:26" ht="15.75" thickBot="1" x14ac:dyDescent="0.3">
      <c r="L15" s="7"/>
      <c r="O15" s="27"/>
      <c r="P15" s="8"/>
      <c r="T15" s="7"/>
      <c r="U15" s="8"/>
      <c r="V15" s="8"/>
      <c r="W15" s="8"/>
      <c r="X15" s="9"/>
    </row>
    <row r="16" spans="1:26" ht="15.75" thickBot="1" x14ac:dyDescent="0.3"/>
    <row r="17" spans="1:35" ht="15.75" thickBot="1" x14ac:dyDescent="0.3">
      <c r="L17">
        <v>1</v>
      </c>
      <c r="M17" s="19" t="s">
        <v>33</v>
      </c>
      <c r="S17" s="19" t="s">
        <v>27</v>
      </c>
      <c r="Z17" s="19" t="s">
        <v>34</v>
      </c>
    </row>
    <row r="18" spans="1:35" ht="15.75" thickBot="1" x14ac:dyDescent="0.3">
      <c r="A18" t="s">
        <v>3</v>
      </c>
      <c r="B18" t="s">
        <v>18</v>
      </c>
      <c r="K18" s="19" t="s">
        <v>35</v>
      </c>
      <c r="L18" s="1">
        <f>E$6*$I$5+E$5</f>
        <v>5245897.4175533513</v>
      </c>
      <c r="M18" s="183">
        <f>$D$4*$E$4+$E$7*$D$7</f>
        <v>2412.4801083845414</v>
      </c>
      <c r="O18" s="2"/>
      <c r="P18" s="2"/>
      <c r="T18" s="1">
        <f>MINVERSE(L18)</f>
        <v>1.9062515341109982E-7</v>
      </c>
      <c r="U18" s="2"/>
      <c r="V18" s="2"/>
      <c r="W18" s="2"/>
      <c r="X18" s="3"/>
      <c r="Z18" s="23">
        <f>MMULT(T18,M18)</f>
        <v>4.5987939076202989E-4</v>
      </c>
    </row>
    <row r="19" spans="1:35" ht="15.75" thickBot="1" x14ac:dyDescent="0.3">
      <c r="A19" t="s">
        <v>4</v>
      </c>
      <c r="B19" t="s">
        <v>19</v>
      </c>
      <c r="L19" s="25"/>
      <c r="M19" s="85"/>
      <c r="O19" s="5"/>
      <c r="P19" s="5"/>
      <c r="T19" s="4"/>
      <c r="U19" s="5"/>
      <c r="V19" s="5"/>
      <c r="W19" s="5"/>
      <c r="X19" s="6"/>
      <c r="Z19" s="24"/>
    </row>
    <row r="20" spans="1:35" x14ac:dyDescent="0.25">
      <c r="A20" t="s">
        <v>5</v>
      </c>
      <c r="B20" t="s">
        <v>20</v>
      </c>
      <c r="L20" s="4"/>
      <c r="O20" s="5"/>
      <c r="P20" s="5"/>
      <c r="T20" s="4"/>
      <c r="U20" s="5"/>
      <c r="V20" s="5"/>
      <c r="W20" s="5"/>
      <c r="X20" s="6"/>
    </row>
    <row r="21" spans="1:35" x14ac:dyDescent="0.25">
      <c r="L21" s="4"/>
      <c r="M21" s="11"/>
      <c r="O21" s="5"/>
      <c r="P21" s="5"/>
      <c r="T21" s="4"/>
      <c r="U21" s="5"/>
      <c r="V21" s="5"/>
      <c r="W21" s="5"/>
      <c r="X21" s="6"/>
    </row>
    <row r="22" spans="1:35" ht="15.75" thickBot="1" x14ac:dyDescent="0.3">
      <c r="L22" s="7"/>
      <c r="M22" s="8"/>
      <c r="O22" s="27"/>
      <c r="P22" s="8"/>
      <c r="T22" s="7"/>
      <c r="U22" s="8"/>
      <c r="V22" s="8"/>
      <c r="W22" s="8"/>
      <c r="X22" s="9"/>
    </row>
    <row r="24" spans="1:35" ht="15.75" thickBot="1" x14ac:dyDescent="0.3"/>
    <row r="25" spans="1:35" ht="15.75" thickBot="1" x14ac:dyDescent="0.3">
      <c r="R25" s="5"/>
      <c r="S25" s="5"/>
      <c r="T25" s="5"/>
      <c r="U25" s="5"/>
      <c r="V25" s="5"/>
      <c r="Y25" s="13"/>
      <c r="Z25" s="16" t="s">
        <v>93</v>
      </c>
      <c r="AA25" s="17" t="s">
        <v>28</v>
      </c>
      <c r="AB25" s="17" t="s">
        <v>31</v>
      </c>
      <c r="AC25" s="18" t="s">
        <v>34</v>
      </c>
      <c r="AE25" s="54" t="s">
        <v>94</v>
      </c>
      <c r="AF25" s="54" t="s">
        <v>95</v>
      </c>
      <c r="AG25" s="54" t="s">
        <v>96</v>
      </c>
      <c r="AH25" s="54" t="s">
        <v>97</v>
      </c>
      <c r="AI25" s="54" t="s">
        <v>98</v>
      </c>
    </row>
    <row r="26" spans="1:35" ht="15.75" thickBot="1" x14ac:dyDescent="0.3">
      <c r="L26" s="33" t="s">
        <v>36</v>
      </c>
      <c r="M26" s="34"/>
      <c r="N26" s="35"/>
      <c r="R26" s="5"/>
      <c r="S26" s="5"/>
      <c r="T26" s="5"/>
      <c r="U26" s="5"/>
      <c r="V26" s="5"/>
      <c r="Y26" s="14" t="s">
        <v>0</v>
      </c>
      <c r="Z26" s="1">
        <v>25</v>
      </c>
      <c r="AA26" s="2">
        <v>0.54</v>
      </c>
      <c r="AB26" s="2">
        <v>0.46</v>
      </c>
      <c r="AC26" s="3">
        <v>0</v>
      </c>
      <c r="AE26">
        <f>Z27</f>
        <v>2412.4801083845414</v>
      </c>
      <c r="AF26">
        <f>AE26/Z26</f>
        <v>96.499204335381648</v>
      </c>
      <c r="AG26">
        <f>AB31*W31/Z26/AA26</f>
        <v>0.37323316012072966</v>
      </c>
      <c r="AH26">
        <f>X31*AB31/Z26/AB26</f>
        <v>1.3021216474122614</v>
      </c>
      <c r="AI26" s="175">
        <f>AA31*U31/AB32/AC27</f>
        <v>1.6126887416413227E-6</v>
      </c>
    </row>
    <row r="27" spans="1:35" ht="15.75" thickBot="1" x14ac:dyDescent="0.3">
      <c r="L27" s="29" t="s">
        <v>3</v>
      </c>
      <c r="M27" s="30" t="s">
        <v>4</v>
      </c>
      <c r="N27" s="31" t="s">
        <v>5</v>
      </c>
      <c r="O27" s="32" t="s">
        <v>37</v>
      </c>
      <c r="R27" s="5"/>
      <c r="S27" s="5"/>
      <c r="T27" s="5"/>
      <c r="U27" s="5"/>
      <c r="V27" s="5"/>
      <c r="Y27" s="15" t="s">
        <v>17</v>
      </c>
      <c r="Z27" s="169">
        <v>2412.4801083845414</v>
      </c>
      <c r="AA27" s="8">
        <v>0</v>
      </c>
      <c r="AB27" s="8">
        <v>0</v>
      </c>
      <c r="AC27" s="9">
        <v>1</v>
      </c>
    </row>
    <row r="28" spans="1:35" ht="15.75" thickBot="1" x14ac:dyDescent="0.3">
      <c r="L28" s="1">
        <f>Z4</f>
        <v>0.99871658331306801</v>
      </c>
      <c r="M28" s="2">
        <f>Z11</f>
        <v>6.3267266694730731E-4</v>
      </c>
      <c r="N28" s="3">
        <f>Z18</f>
        <v>4.5987939076202989E-4</v>
      </c>
      <c r="O28" s="177">
        <f>SUM(L28:N28)</f>
        <v>0.99980913537077731</v>
      </c>
      <c r="R28" s="5"/>
      <c r="S28" s="5"/>
      <c r="T28" s="5"/>
      <c r="U28" s="5"/>
      <c r="V28" s="5"/>
      <c r="AG28" s="42"/>
    </row>
    <row r="29" spans="1:35" ht="15.75" thickBot="1" x14ac:dyDescent="0.3">
      <c r="L29" s="4"/>
      <c r="M29" s="5"/>
      <c r="N29" s="6"/>
      <c r="O29" s="178"/>
      <c r="R29" s="5"/>
      <c r="S29" s="5"/>
      <c r="T29" s="5"/>
      <c r="U29" s="5"/>
      <c r="V29" s="5"/>
      <c r="AA29" s="16" t="s">
        <v>99</v>
      </c>
      <c r="AB29" s="18" t="s">
        <v>100</v>
      </c>
      <c r="AG29" s="54" t="s">
        <v>109</v>
      </c>
    </row>
    <row r="30" spans="1:35" ht="21.75" thickBot="1" x14ac:dyDescent="0.4">
      <c r="L30" s="4"/>
      <c r="M30" s="5"/>
      <c r="N30" s="6"/>
      <c r="O30" s="178"/>
      <c r="R30" s="19" t="s">
        <v>101</v>
      </c>
      <c r="S30" s="48" t="s">
        <v>102</v>
      </c>
      <c r="T30" s="49" t="s">
        <v>103</v>
      </c>
      <c r="U30" s="49" t="s">
        <v>104</v>
      </c>
      <c r="V30" s="28" t="s">
        <v>37</v>
      </c>
      <c r="W30" s="48" t="s">
        <v>105</v>
      </c>
      <c r="X30" s="49" t="s">
        <v>106</v>
      </c>
      <c r="Y30" s="49" t="s">
        <v>107</v>
      </c>
      <c r="Z30" s="55" t="s">
        <v>108</v>
      </c>
      <c r="AA30" s="81">
        <f>Z26</f>
        <v>25</v>
      </c>
      <c r="AB30" s="82"/>
      <c r="AC30" s="49" t="s">
        <v>22</v>
      </c>
      <c r="AD30" s="49" t="s">
        <v>23</v>
      </c>
      <c r="AE30" s="69" t="s">
        <v>24</v>
      </c>
      <c r="AG30">
        <v>0.99980000000000002</v>
      </c>
      <c r="AI30" s="94">
        <f>ABS(AH26-AG30)</f>
        <v>0.30232164741226142</v>
      </c>
    </row>
    <row r="31" spans="1:35" x14ac:dyDescent="0.25">
      <c r="L31" s="4"/>
      <c r="M31" s="5"/>
      <c r="N31" s="6"/>
      <c r="O31" s="178"/>
      <c r="R31" s="45">
        <v>1</v>
      </c>
      <c r="S31" s="63">
        <f>C41</f>
        <v>0.99871658331306812</v>
      </c>
      <c r="T31" s="64">
        <f t="shared" ref="T31:U31" si="3">D41</f>
        <v>8.2420093510224431E-4</v>
      </c>
      <c r="U31" s="64">
        <f t="shared" si="3"/>
        <v>4.5921575182963979E-4</v>
      </c>
      <c r="V31" s="60">
        <f>SUM(S31:U31)</f>
        <v>1</v>
      </c>
      <c r="W31" s="64">
        <f>G41</f>
        <v>2.0743644751503179E-3</v>
      </c>
      <c r="X31" s="64">
        <f t="shared" ref="X31:Y31" si="4">H41</f>
        <v>6.1648210580949013E-3</v>
      </c>
      <c r="Y31" s="64">
        <f t="shared" si="4"/>
        <v>0.99176081446675479</v>
      </c>
      <c r="Z31" s="57">
        <f>SUM(W31:Y31)</f>
        <v>1</v>
      </c>
      <c r="AA31" s="204">
        <f>(AA30*(AA26-W31)+AB32*(AA27-W31))/(S31-W31)</f>
        <v>8.4722257342529446</v>
      </c>
      <c r="AB31" s="26">
        <f>Z26+Z27-AA31</f>
        <v>2429.0078826502886</v>
      </c>
      <c r="AC31" s="70">
        <f>W31/S31</f>
        <v>2.0770301703301806E-3</v>
      </c>
      <c r="AD31" s="71">
        <f t="shared" ref="AD31:AE31" si="5">X31/T31</f>
        <v>7.4797549912147803</v>
      </c>
      <c r="AE31" s="72">
        <f t="shared" si="5"/>
        <v>2159.6837881002807</v>
      </c>
      <c r="AG31" t="s">
        <v>146</v>
      </c>
    </row>
    <row r="32" spans="1:35" ht="15.75" thickBot="1" x14ac:dyDescent="0.3">
      <c r="L32" s="7"/>
      <c r="M32" s="8"/>
      <c r="N32" s="9"/>
      <c r="O32" s="180"/>
      <c r="R32" s="46">
        <v>2</v>
      </c>
      <c r="S32" s="65"/>
      <c r="T32" s="66"/>
      <c r="U32" s="66"/>
      <c r="V32" s="61"/>
      <c r="W32" s="51">
        <v>0</v>
      </c>
      <c r="X32">
        <f>AB27</f>
        <v>0</v>
      </c>
      <c r="Y32" s="52">
        <v>1</v>
      </c>
      <c r="Z32" s="58"/>
      <c r="AB32" s="84">
        <f>Z27</f>
        <v>2412.4801083845414</v>
      </c>
      <c r="AC32" s="73"/>
      <c r="AD32" s="5"/>
      <c r="AE32" s="74"/>
      <c r="AG32" s="176">
        <f>AG30*Z26*AB26/X31</f>
        <v>1865.050078769538</v>
      </c>
    </row>
    <row r="33" spans="3:33" x14ac:dyDescent="0.25">
      <c r="R33" s="46">
        <v>3</v>
      </c>
      <c r="S33" s="65"/>
      <c r="T33" s="66"/>
      <c r="U33" s="66"/>
      <c r="V33" s="61"/>
      <c r="Z33" s="58"/>
      <c r="AA33" s="181"/>
      <c r="AC33" s="73"/>
      <c r="AD33" s="5"/>
      <c r="AE33" s="74"/>
      <c r="AG33" t="s">
        <v>147</v>
      </c>
    </row>
    <row r="34" spans="3:33" ht="15.75" thickBot="1" x14ac:dyDescent="0.3">
      <c r="R34" s="46">
        <v>4</v>
      </c>
      <c r="S34" s="65"/>
      <c r="T34" s="66"/>
      <c r="U34" s="66"/>
      <c r="V34" s="61"/>
      <c r="W34" s="66"/>
      <c r="X34" s="66"/>
      <c r="Y34" s="66"/>
      <c r="Z34" s="58"/>
      <c r="AA34" s="26"/>
      <c r="AB34" s="26"/>
      <c r="AC34" s="73"/>
      <c r="AD34" s="5"/>
      <c r="AE34" s="74"/>
      <c r="AG34" s="176">
        <f>AG36+Z26-AG32</f>
        <v>9.6435831077064904</v>
      </c>
    </row>
    <row r="35" spans="3:33" ht="18.75" thickBot="1" x14ac:dyDescent="0.4">
      <c r="C35" s="36" t="s">
        <v>38</v>
      </c>
      <c r="D35" s="37" t="s">
        <v>39</v>
      </c>
      <c r="E35" s="37" t="s">
        <v>40</v>
      </c>
      <c r="F35" s="37" t="s">
        <v>41</v>
      </c>
      <c r="G35" s="37" t="s">
        <v>42</v>
      </c>
      <c r="H35" s="38" t="s">
        <v>43</v>
      </c>
      <c r="R35" s="47">
        <v>5</v>
      </c>
      <c r="S35" s="67"/>
      <c r="T35" s="68"/>
      <c r="U35" s="68"/>
      <c r="V35" s="62"/>
      <c r="W35" s="68"/>
      <c r="X35" s="68"/>
      <c r="Y35" s="68"/>
      <c r="Z35" s="59"/>
      <c r="AB35" s="26"/>
      <c r="AC35" s="75"/>
      <c r="AD35" s="76"/>
      <c r="AE35" s="77"/>
      <c r="AG35" t="s">
        <v>148</v>
      </c>
    </row>
    <row r="36" spans="3:33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50"/>
      <c r="Z36" s="56"/>
      <c r="AA36" s="83"/>
      <c r="AG36" s="221">
        <f>(AG32*(W31-S31)+Z26*(S31-AA26))/(AA27-S31)</f>
        <v>1849.6936618772445</v>
      </c>
    </row>
    <row r="37" spans="3:33" ht="18.75" thickBot="1" x14ac:dyDescent="0.4">
      <c r="C37" s="36" t="s">
        <v>44</v>
      </c>
      <c r="D37" s="37" t="s">
        <v>45</v>
      </c>
      <c r="E37" s="37" t="s">
        <v>46</v>
      </c>
      <c r="F37" s="37" t="s">
        <v>47</v>
      </c>
      <c r="G37" s="37" t="s">
        <v>48</v>
      </c>
      <c r="H37" s="38" t="s">
        <v>49</v>
      </c>
      <c r="AC37" s="168">
        <f>AB32+Z26-AA31-AB31</f>
        <v>0</v>
      </c>
    </row>
    <row r="38" spans="3:33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</row>
    <row r="39" spans="3:33" ht="15.75" thickBot="1" x14ac:dyDescent="0.3"/>
    <row r="40" spans="3:33" ht="16.5" thickBot="1" x14ac:dyDescent="0.3">
      <c r="C40" s="16" t="s">
        <v>50</v>
      </c>
      <c r="D40" s="17" t="s">
        <v>51</v>
      </c>
      <c r="E40" s="18" t="s">
        <v>52</v>
      </c>
      <c r="G40" s="16" t="s">
        <v>53</v>
      </c>
      <c r="H40" s="17" t="s">
        <v>54</v>
      </c>
      <c r="I40" s="18" t="s">
        <v>55</v>
      </c>
      <c r="L40" s="39" t="s">
        <v>56</v>
      </c>
      <c r="M40" s="40" t="s">
        <v>57</v>
      </c>
      <c r="N40" s="40" t="s">
        <v>58</v>
      </c>
      <c r="O40" s="40" t="s">
        <v>59</v>
      </c>
      <c r="P40" s="40" t="s">
        <v>60</v>
      </c>
      <c r="Q40" s="40" t="s">
        <v>61</v>
      </c>
      <c r="R40" s="40" t="s">
        <v>62</v>
      </c>
      <c r="S40" s="40" t="s">
        <v>63</v>
      </c>
      <c r="T40" s="40" t="s">
        <v>64</v>
      </c>
      <c r="U40" s="40" t="s">
        <v>65</v>
      </c>
      <c r="V40" s="40" t="s">
        <v>66</v>
      </c>
      <c r="W40" s="40" t="s">
        <v>67</v>
      </c>
      <c r="X40" s="40" t="s">
        <v>68</v>
      </c>
      <c r="Y40" s="40" t="s">
        <v>69</v>
      </c>
      <c r="Z40" s="41" t="s">
        <v>70</v>
      </c>
    </row>
    <row r="41" spans="3:33" x14ac:dyDescent="0.25">
      <c r="C41">
        <f>1-D41-E41</f>
        <v>0.99871658331306812</v>
      </c>
      <c r="D41" s="42">
        <v>8.2420093510224431E-4</v>
      </c>
      <c r="E41" s="42">
        <v>4.5921575182963979E-4</v>
      </c>
      <c r="F41" s="42"/>
      <c r="G41" s="42">
        <v>2.0743644751503179E-3</v>
      </c>
      <c r="H41" s="42">
        <v>6.1648210580949013E-3</v>
      </c>
      <c r="I41">
        <f>1-G41-H41</f>
        <v>0.99176081446675479</v>
      </c>
      <c r="L41">
        <f>$C41+$D$38*$D41+$F$38*$E41</f>
        <v>0.99902131788689585</v>
      </c>
      <c r="M41">
        <f>$C$38*$C41+$D41+$H$38*$E41</f>
        <v>0.43116587399708867</v>
      </c>
      <c r="N41">
        <f>$E$38*$C41+$G$38*$D41+$E41</f>
        <v>5.4813816697213309E-2</v>
      </c>
      <c r="O41">
        <f>$D41*$D$36*$D$38+$E41*$F$36*$F$38</f>
        <v>9.9426997721515243E-4</v>
      </c>
      <c r="P41">
        <f>$C41*$C$36*$C$38+$E41*$H$36*$H$38</f>
        <v>0.90600852517331421</v>
      </c>
      <c r="Q41">
        <f>$C41*$E$36*$E$38+$D41*$G$36*$G$38</f>
        <v>0.39543304784060002</v>
      </c>
      <c r="R41">
        <f>(O41/L41)-(C41*O41/L41^2)+(D41*$C$38/M41)*($C$36-P41/M41)+(E41*$E$38/N41)*($E$36-Q41/N41)</f>
        <v>3.7340861314990716E-5</v>
      </c>
      <c r="S41">
        <f>(P41/M41)-(D41*P41/M41^2)+(C41*$D$38/L41)*($D$36-O41/L41)+(E41*$G$38/N41)*($G$36-Q41/N41)</f>
        <v>3.0034817257079629</v>
      </c>
      <c r="T41">
        <f>(Q41/N41)-(E41*Q41/N41^2)+(C41*$F$38/L41)*($F$36-O41/L41)+(D41*$H$38/M41)*($H$36-P41/M41)</f>
        <v>7.6781518382952392</v>
      </c>
      <c r="U41">
        <f>EXP(R41)</f>
        <v>1.0000373415584936</v>
      </c>
      <c r="V41">
        <f>EXP(S41)</f>
        <v>20.155591137461929</v>
      </c>
      <c r="W41">
        <f>EXP(T41)</f>
        <v>2160.6228990510799</v>
      </c>
      <c r="X41">
        <f>U41/U47</f>
        <v>2.0770301702778843E-3</v>
      </c>
      <c r="Y41">
        <f>V41/V47</f>
        <v>7.4797549912117942</v>
      </c>
      <c r="Z41">
        <f>W41/W47</f>
        <v>2159.6837880997873</v>
      </c>
    </row>
    <row r="42" spans="3:33" x14ac:dyDescent="0.25">
      <c r="E42" s="42"/>
      <c r="G42" s="42"/>
    </row>
    <row r="43" spans="3:33" x14ac:dyDescent="0.25">
      <c r="E43" s="42"/>
      <c r="G43" s="42"/>
    </row>
    <row r="44" spans="3:33" x14ac:dyDescent="0.25">
      <c r="E44" s="42"/>
      <c r="G44" s="42"/>
    </row>
    <row r="45" spans="3:33" ht="15.75" thickBot="1" x14ac:dyDescent="0.3">
      <c r="E45" s="42"/>
      <c r="G45" s="42"/>
    </row>
    <row r="46" spans="3:33" ht="16.5" thickBot="1" x14ac:dyDescent="0.3">
      <c r="L46" s="39" t="s">
        <v>71</v>
      </c>
      <c r="M46" s="40" t="s">
        <v>72</v>
      </c>
      <c r="N46" s="40" t="s">
        <v>73</v>
      </c>
      <c r="O46" s="40" t="s">
        <v>74</v>
      </c>
      <c r="P46" s="40" t="s">
        <v>75</v>
      </c>
      <c r="Q46" s="40" t="s">
        <v>76</v>
      </c>
      <c r="R46" s="40" t="s">
        <v>77</v>
      </c>
      <c r="S46" s="40" t="s">
        <v>78</v>
      </c>
      <c r="T46" s="40" t="s">
        <v>79</v>
      </c>
      <c r="U46" s="40" t="s">
        <v>80</v>
      </c>
      <c r="V46" s="40" t="s">
        <v>81</v>
      </c>
      <c r="W46" s="40" t="s">
        <v>82</v>
      </c>
      <c r="X46" s="40" t="s">
        <v>83</v>
      </c>
      <c r="Y46" s="40" t="s">
        <v>84</v>
      </c>
      <c r="Z46" s="41" t="s">
        <v>85</v>
      </c>
    </row>
    <row r="47" spans="3:33" ht="15.75" thickBot="1" x14ac:dyDescent="0.3">
      <c r="L47">
        <f>$G41+$D$38*$H41+$F$38*$I41</f>
        <v>8.9501134374309704E-2</v>
      </c>
      <c r="M47">
        <f>$C$38*$G41+$H41+$H$38*$I41</f>
        <v>0.91784848574042821</v>
      </c>
      <c r="N47">
        <f>$E$38*$G41+$G$38*$H41+$I41</f>
        <v>0.99310581192647684</v>
      </c>
      <c r="O47">
        <f>$H41*$D$36*$D$38+$I41*$F$36*$F$38</f>
        <v>0.52931153346776627</v>
      </c>
      <c r="P47">
        <f>$G41*$C$36*$C$38+$I41*$H$36*$H$38</f>
        <v>0.19580907177298781</v>
      </c>
      <c r="Q47">
        <f>$G41*$E$36*$E$38+$H41*$G$36*$G$38</f>
        <v>5.7801038111181926E-3</v>
      </c>
      <c r="R47">
        <f>(O47/L47)-(G41*O47/L47^2)+(H41*$C$38/M47)*($C$36-P47/M47)+(I41*$E$38/N47)*($E$36-Q47/N47)</f>
        <v>6.17685354916288</v>
      </c>
      <c r="S47">
        <f>(P47/M47)-(H41*P47/M47^2)+(G41*$D$38/L47)*($D$36-O47/L47)+(I41*$G$38/N47)*($G$36-Q47/N47)</f>
        <v>0.99128168944362882</v>
      </c>
      <c r="T47">
        <f>(Q47/N47)-(I41*Q47/N47^2)+(G41*$F$38/L47)*($F$36-O47/L47)+(H41*$H$38/M47)*($H$36-P47/M47)</f>
        <v>4.347427319808962E-4</v>
      </c>
      <c r="U47">
        <f>EXP(R47)</f>
        <v>481.47463424890901</v>
      </c>
      <c r="V47">
        <f>EXP(S47)</f>
        <v>2.6946860105903716</v>
      </c>
      <c r="W47">
        <f>EXP(T47)</f>
        <v>1.0004348372462983</v>
      </c>
      <c r="X47">
        <f>U47/U41</f>
        <v>481.45665590703032</v>
      </c>
      <c r="Y47">
        <f>V47/V41</f>
        <v>0.13369421875113988</v>
      </c>
      <c r="Z47">
        <f>W47/W41</f>
        <v>4.6303074807069644E-4</v>
      </c>
    </row>
    <row r="48" spans="3:33" ht="15.75" thickBot="1" x14ac:dyDescent="0.3">
      <c r="C48" s="232" t="s">
        <v>86</v>
      </c>
      <c r="D48" s="233"/>
      <c r="E48" s="233"/>
      <c r="F48" s="233"/>
      <c r="G48" s="233"/>
      <c r="H48" s="233"/>
      <c r="I48" s="234"/>
    </row>
    <row r="49" spans="2:10" ht="15.75" thickBot="1" x14ac:dyDescent="0.3">
      <c r="B49" s="19" t="s">
        <v>87</v>
      </c>
      <c r="C49" s="17" t="s">
        <v>50</v>
      </c>
      <c r="D49" s="17" t="s">
        <v>51</v>
      </c>
      <c r="E49" s="17" t="s">
        <v>52</v>
      </c>
      <c r="F49" s="17"/>
      <c r="G49" s="17" t="s">
        <v>53</v>
      </c>
      <c r="H49" s="17" t="s">
        <v>54</v>
      </c>
      <c r="I49" s="17" t="s">
        <v>88</v>
      </c>
      <c r="J49" s="19" t="s">
        <v>87</v>
      </c>
    </row>
    <row r="50" spans="2:10" x14ac:dyDescent="0.25">
      <c r="B50" s="43">
        <f>SUM(C50:E50)</f>
        <v>1.0000000000251466</v>
      </c>
      <c r="C50">
        <f>G41*X47</f>
        <v>0.99871658333821423</v>
      </c>
      <c r="D50">
        <f>H41*Y47</f>
        <v>8.2420093510257337E-4</v>
      </c>
      <c r="E50">
        <f>I41*Z47</f>
        <v>4.5921575182974463E-4</v>
      </c>
      <c r="G50">
        <f>C41*X41</f>
        <v>2.0743644750980889E-3</v>
      </c>
      <c r="H50">
        <f>D41*Y41</f>
        <v>6.1648210580924397E-3</v>
      </c>
      <c r="I50">
        <f>E41*Z41</f>
        <v>0.99176081446652831</v>
      </c>
      <c r="J50" s="43">
        <f>SUM(G50:I50)</f>
        <v>0.99999999999971889</v>
      </c>
    </row>
    <row r="51" spans="2:10" x14ac:dyDescent="0.25">
      <c r="B51" s="43"/>
      <c r="J51" s="43"/>
    </row>
    <row r="52" spans="2:10" x14ac:dyDescent="0.25">
      <c r="B52" s="43"/>
      <c r="J52" s="43"/>
    </row>
    <row r="53" spans="2:10" x14ac:dyDescent="0.25">
      <c r="B53" s="43"/>
      <c r="J53" s="43"/>
    </row>
    <row r="54" spans="2:10" x14ac:dyDescent="0.25">
      <c r="B54" s="43"/>
      <c r="J54" s="43"/>
    </row>
    <row r="55" spans="2:10" ht="15.75" thickBot="1" x14ac:dyDescent="0.3"/>
    <row r="56" spans="2:10" ht="15.75" thickBot="1" x14ac:dyDescent="0.3">
      <c r="C56" s="200" t="s">
        <v>89</v>
      </c>
      <c r="D56" s="201"/>
      <c r="E56" s="201"/>
      <c r="F56" s="201"/>
      <c r="G56" s="201"/>
      <c r="H56" s="201"/>
      <c r="I56" s="202"/>
    </row>
    <row r="57" spans="2:10" ht="15.75" thickBot="1" x14ac:dyDescent="0.3">
      <c r="C57" s="16" t="s">
        <v>90</v>
      </c>
      <c r="D57" s="17" t="s">
        <v>91</v>
      </c>
      <c r="E57" s="18" t="s">
        <v>92</v>
      </c>
      <c r="G57" s="16" t="s">
        <v>90</v>
      </c>
      <c r="H57" s="17" t="s">
        <v>91</v>
      </c>
      <c r="I57" s="18" t="s">
        <v>92</v>
      </c>
    </row>
    <row r="58" spans="2:10" x14ac:dyDescent="0.25">
      <c r="C58">
        <f>(C50+C41)/2</f>
        <v>0.99871658332564117</v>
      </c>
      <c r="D58">
        <f t="shared" ref="D58:I58" si="6">(D50+D41)/2</f>
        <v>8.2420093510240889E-4</v>
      </c>
      <c r="E58">
        <f t="shared" si="6"/>
        <v>4.5921575182969221E-4</v>
      </c>
      <c r="G58">
        <f t="shared" si="6"/>
        <v>2.0743644751242034E-3</v>
      </c>
      <c r="H58">
        <f t="shared" si="6"/>
        <v>6.1648210580936705E-3</v>
      </c>
      <c r="I58">
        <f t="shared" si="6"/>
        <v>0.99176081446664155</v>
      </c>
    </row>
  </sheetData>
  <mergeCells count="1">
    <mergeCell ref="C48:I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Vytazky</vt:lpstr>
      <vt:lpstr>8PTK</vt:lpstr>
      <vt:lpstr>5PTK</vt:lpstr>
      <vt:lpstr>4PTK</vt:lpstr>
      <vt:lpstr>3PTK</vt:lpstr>
      <vt:lpstr>2PTK</vt:lpstr>
      <vt:lpstr>1PTK</vt:lpstr>
      <vt:lpstr>Vytazky 2 (bez RK)</vt:lpstr>
      <vt:lpstr>8.2</vt:lpstr>
      <vt:lpstr>5.2</vt:lpstr>
      <vt:lpstr>4.2</vt:lpstr>
      <vt:lpstr>3.2</vt:lpstr>
      <vt:lpstr>2.2</vt:lpstr>
      <vt:lpstr>1.2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2025-06-24T04:39:54Z</dcterms:modified>
</cp:coreProperties>
</file>