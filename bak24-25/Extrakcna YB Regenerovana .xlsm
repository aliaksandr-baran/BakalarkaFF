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Workbook________" defaultThemeVersion="124226"/>
  <bookViews>
    <workbookView xWindow="240" yWindow="105" windowWidth="14805" windowHeight="8010"/>
  </bookViews>
  <sheets>
    <sheet name="MB 5 PTE" sheetId="1" r:id="rId1"/>
  </sheets>
  <definedNames>
    <definedName name="solver_adj" localSheetId="0" hidden="1">'MB 5 PTE'!$AP$25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'MB 5 PTE'!$AY$29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AL29" i="1" l="1"/>
  <c r="AX30" i="1" l="1"/>
  <c r="AN34" i="1" l="1"/>
  <c r="AO34" i="1"/>
  <c r="AM34" i="1"/>
  <c r="O41" i="1" l="1"/>
  <c r="AO33" i="1" s="1"/>
  <c r="I41" i="1"/>
  <c r="L34" i="1" s="1"/>
  <c r="O40" i="1"/>
  <c r="AO32" i="1" s="1"/>
  <c r="I40" i="1"/>
  <c r="L33" i="1" s="1"/>
  <c r="O39" i="1"/>
  <c r="AO31" i="1" s="1"/>
  <c r="I39" i="1"/>
  <c r="AI31" i="1" s="1"/>
  <c r="P6" i="1" s="1"/>
  <c r="B39" i="1"/>
  <c r="O38" i="1"/>
  <c r="AO30" i="1" s="1"/>
  <c r="I38" i="1"/>
  <c r="AI30" i="1" s="1"/>
  <c r="P5" i="1" s="1"/>
  <c r="O37" i="1"/>
  <c r="AO29" i="1" s="1"/>
  <c r="I37" i="1"/>
  <c r="AI29" i="1" s="1"/>
  <c r="AN33" i="1"/>
  <c r="AM33" i="1"/>
  <c r="P13" i="1" s="1"/>
  <c r="AL33" i="1"/>
  <c r="AK33" i="1"/>
  <c r="R8" i="1" s="1"/>
  <c r="AJ33" i="1"/>
  <c r="AN32" i="1"/>
  <c r="AM32" i="1"/>
  <c r="AL32" i="1"/>
  <c r="AK32" i="1"/>
  <c r="R7" i="1" s="1"/>
  <c r="AJ32" i="1"/>
  <c r="Q7" i="1" s="1"/>
  <c r="AN31" i="1"/>
  <c r="AM31" i="1"/>
  <c r="AL31" i="1"/>
  <c r="AK31" i="1"/>
  <c r="R6" i="1" s="1"/>
  <c r="AJ31" i="1"/>
  <c r="Q6" i="1" s="1"/>
  <c r="AN30" i="1"/>
  <c r="AM30" i="1"/>
  <c r="AL30" i="1"/>
  <c r="AK30" i="1"/>
  <c r="R5" i="1" s="1"/>
  <c r="AJ30" i="1"/>
  <c r="Q5" i="1" s="1"/>
  <c r="AN29" i="1"/>
  <c r="AM29" i="1"/>
  <c r="AK29" i="1"/>
  <c r="R4" i="1" s="1"/>
  <c r="AJ29" i="1"/>
  <c r="Q4" i="1" s="1"/>
  <c r="AQ28" i="1"/>
  <c r="L25" i="1"/>
  <c r="R25" i="1" s="1"/>
  <c r="K25" i="1"/>
  <c r="Q25" i="1" s="1"/>
  <c r="J25" i="1"/>
  <c r="P25" i="1" s="1"/>
  <c r="I25" i="1"/>
  <c r="H25" i="1"/>
  <c r="N25" i="1" s="1"/>
  <c r="G25" i="1"/>
  <c r="M19" i="1"/>
  <c r="K19" i="1"/>
  <c r="I19" i="1"/>
  <c r="G19" i="1"/>
  <c r="E19" i="1"/>
  <c r="C19" i="1"/>
  <c r="R14" i="1"/>
  <c r="Q14" i="1"/>
  <c r="M12" i="1"/>
  <c r="K12" i="1"/>
  <c r="I12" i="1"/>
  <c r="G12" i="1"/>
  <c r="E12" i="1"/>
  <c r="C12" i="1"/>
  <c r="S3" i="1"/>
  <c r="R3" i="1"/>
  <c r="Q3" i="1"/>
  <c r="P3" i="1"/>
  <c r="AE2" i="1"/>
  <c r="AS29" i="1" l="1"/>
  <c r="U4" i="1" s="1"/>
  <c r="AT29" i="1"/>
  <c r="V4" i="1" s="1"/>
  <c r="AT30" i="1"/>
  <c r="V5" i="1" s="1"/>
  <c r="Q11" i="1"/>
  <c r="AT31" i="1"/>
  <c r="V6" i="1" s="1"/>
  <c r="P12" i="1"/>
  <c r="Q13" i="1"/>
  <c r="AT33" i="1"/>
  <c r="V8" i="1" s="1"/>
  <c r="AU29" i="1"/>
  <c r="W4" i="1" s="1"/>
  <c r="R10" i="1"/>
  <c r="AU30" i="1"/>
  <c r="W5" i="1" s="1"/>
  <c r="P10" i="1"/>
  <c r="AS30" i="1"/>
  <c r="U5" i="1" s="1"/>
  <c r="Q10" i="1"/>
  <c r="P11" i="1"/>
  <c r="AS31" i="1"/>
  <c r="U6" i="1" s="1"/>
  <c r="Q12" i="1"/>
  <c r="AT32" i="1"/>
  <c r="V7" i="1" s="1"/>
  <c r="R11" i="1"/>
  <c r="AU31" i="1"/>
  <c r="W6" i="1" s="1"/>
  <c r="R12" i="1"/>
  <c r="AU32" i="1"/>
  <c r="W7" i="1" s="1"/>
  <c r="R13" i="1"/>
  <c r="AU33" i="1"/>
  <c r="W8" i="1" s="1"/>
  <c r="P4" i="1"/>
  <c r="L30" i="1"/>
  <c r="P9" i="1"/>
  <c r="Q8" i="1"/>
  <c r="Q9" i="1"/>
  <c r="L32" i="1"/>
  <c r="AI32" i="1"/>
  <c r="P7" i="1" s="1"/>
  <c r="AI33" i="1"/>
  <c r="R9" i="1"/>
  <c r="AE16" i="1"/>
  <c r="B12" i="1"/>
  <c r="AE9" i="1"/>
  <c r="P46" i="1"/>
  <c r="P44" i="1"/>
  <c r="P45" i="1"/>
  <c r="P47" i="1"/>
  <c r="P43" i="1"/>
  <c r="AP29" i="1"/>
  <c r="S47" i="1"/>
  <c r="S45" i="1"/>
  <c r="S43" i="1"/>
  <c r="S40" i="1"/>
  <c r="S44" i="1"/>
  <c r="S39" i="1"/>
  <c r="S46" i="1"/>
  <c r="S41" i="1"/>
  <c r="S38" i="1"/>
  <c r="S37" i="1"/>
  <c r="T46" i="1"/>
  <c r="M25" i="1"/>
  <c r="O25" i="1"/>
  <c r="U37" i="1" s="1"/>
  <c r="AP30" i="1"/>
  <c r="L31" i="1"/>
  <c r="AP31" i="1"/>
  <c r="AP32" i="1"/>
  <c r="AP33" i="1"/>
  <c r="U39" i="1"/>
  <c r="T43" i="1"/>
  <c r="U44" i="1"/>
  <c r="T47" i="1"/>
  <c r="P37" i="1"/>
  <c r="T37" i="1"/>
  <c r="P38" i="1"/>
  <c r="T38" i="1"/>
  <c r="U40" i="1"/>
  <c r="P40" i="1"/>
  <c r="T40" i="1"/>
  <c r="U41" i="1"/>
  <c r="T45" i="1"/>
  <c r="U46" i="1"/>
  <c r="P39" i="1"/>
  <c r="T39" i="1"/>
  <c r="P41" i="1"/>
  <c r="T41" i="1"/>
  <c r="AS32" i="1" l="1"/>
  <c r="U7" i="1" s="1"/>
  <c r="P8" i="1"/>
  <c r="AS33" i="1"/>
  <c r="U8" i="1" s="1"/>
  <c r="Q47" i="1"/>
  <c r="Q45" i="1"/>
  <c r="Q43" i="1"/>
  <c r="Q40" i="1"/>
  <c r="Q46" i="1"/>
  <c r="Q41" i="1"/>
  <c r="Q44" i="1"/>
  <c r="Q39" i="1"/>
  <c r="Q38" i="1"/>
  <c r="Q37" i="1"/>
  <c r="U45" i="1"/>
  <c r="T44" i="1"/>
  <c r="B10" i="1"/>
  <c r="B11" i="1"/>
  <c r="B9" i="1"/>
  <c r="R46" i="1"/>
  <c r="R44" i="1"/>
  <c r="R41" i="1"/>
  <c r="R39" i="1"/>
  <c r="R47" i="1"/>
  <c r="R43" i="1"/>
  <c r="R38" i="1"/>
  <c r="R37" i="1"/>
  <c r="R45" i="1"/>
  <c r="R40" i="1"/>
  <c r="U43" i="1"/>
  <c r="U47" i="1"/>
  <c r="U38" i="1"/>
  <c r="X41" i="1" l="1"/>
  <c r="AA41" i="1" s="1"/>
  <c r="V44" i="1"/>
  <c r="Y44" i="1" s="1"/>
  <c r="W46" i="1"/>
  <c r="Z46" i="1" s="1"/>
  <c r="V47" i="1"/>
  <c r="Y47" i="1" s="1"/>
  <c r="V38" i="1"/>
  <c r="Y38" i="1" s="1"/>
  <c r="X40" i="1"/>
  <c r="AA40" i="1" s="1"/>
  <c r="X37" i="1"/>
  <c r="AA37" i="1" s="1"/>
  <c r="X39" i="1"/>
  <c r="AA39" i="1" s="1"/>
  <c r="X44" i="1"/>
  <c r="AA44" i="1" s="1"/>
  <c r="X46" i="1"/>
  <c r="AA46" i="1" s="1"/>
  <c r="W44" i="1"/>
  <c r="Z44" i="1" s="1"/>
  <c r="W45" i="1"/>
  <c r="Z45" i="1" s="1"/>
  <c r="W47" i="1"/>
  <c r="Z47" i="1" s="1"/>
  <c r="W38" i="1"/>
  <c r="Z38" i="1" s="1"/>
  <c r="W39" i="1"/>
  <c r="Z39" i="1" s="1"/>
  <c r="W41" i="1"/>
  <c r="Z41" i="1" s="1"/>
  <c r="W40" i="1"/>
  <c r="Z40" i="1" s="1"/>
  <c r="V40" i="1"/>
  <c r="Y40" i="1" s="1"/>
  <c r="X43" i="1"/>
  <c r="AA43" i="1" s="1"/>
  <c r="W43" i="1"/>
  <c r="Z43" i="1" s="1"/>
  <c r="V37" i="1"/>
  <c r="Y37" i="1" s="1"/>
  <c r="V41" i="1"/>
  <c r="Y41" i="1" s="1"/>
  <c r="V43" i="1"/>
  <c r="Y43" i="1" s="1"/>
  <c r="V46" i="1"/>
  <c r="Y46" i="1" s="1"/>
  <c r="X38" i="1"/>
  <c r="AA38" i="1" s="1"/>
  <c r="X47" i="1"/>
  <c r="AA47" i="1" s="1"/>
  <c r="W37" i="1"/>
  <c r="Z37" i="1" s="1"/>
  <c r="V45" i="1"/>
  <c r="Y45" i="1" s="1"/>
  <c r="V39" i="1"/>
  <c r="Y39" i="1" s="1"/>
  <c r="X45" i="1"/>
  <c r="AA45" i="1" s="1"/>
  <c r="AC40" i="1" l="1"/>
  <c r="N53" i="1" s="1"/>
  <c r="N33" i="1" s="1"/>
  <c r="AD40" i="1"/>
  <c r="O53" i="1" s="1"/>
  <c r="AD47" i="1"/>
  <c r="K54" i="1" s="1"/>
  <c r="K34" i="1" s="1"/>
  <c r="AD46" i="1"/>
  <c r="K53" i="1" s="1"/>
  <c r="K33" i="1" s="1"/>
  <c r="AD37" i="1"/>
  <c r="O50" i="1" s="1"/>
  <c r="AD38" i="1"/>
  <c r="O51" i="1" s="1"/>
  <c r="AD45" i="1"/>
  <c r="K52" i="1" s="1"/>
  <c r="K32" i="1" s="1"/>
  <c r="AB41" i="1"/>
  <c r="M54" i="1" s="1"/>
  <c r="M34" i="1" s="1"/>
  <c r="AB46" i="1"/>
  <c r="I53" i="1" s="1"/>
  <c r="AB38" i="1"/>
  <c r="M51" i="1" s="1"/>
  <c r="M31" i="1" s="1"/>
  <c r="AB40" i="1"/>
  <c r="M53" i="1" s="1"/>
  <c r="AB44" i="1"/>
  <c r="I51" i="1" s="1"/>
  <c r="AC37" i="1"/>
  <c r="N50" i="1" s="1"/>
  <c r="N30" i="1" s="1"/>
  <c r="AC39" i="1"/>
  <c r="N52" i="1" s="1"/>
  <c r="N32" i="1" s="1"/>
  <c r="AC38" i="1"/>
  <c r="N51" i="1" s="1"/>
  <c r="N31" i="1" s="1"/>
  <c r="AC47" i="1"/>
  <c r="J54" i="1" s="1"/>
  <c r="J34" i="1" s="1"/>
  <c r="AC44" i="1"/>
  <c r="J51" i="1" s="1"/>
  <c r="J31" i="1" s="1"/>
  <c r="AD43" i="1"/>
  <c r="K50" i="1" s="1"/>
  <c r="K30" i="1" s="1"/>
  <c r="AB47" i="1"/>
  <c r="I54" i="1" s="1"/>
  <c r="AC46" i="1"/>
  <c r="J53" i="1" s="1"/>
  <c r="J33" i="1" s="1"/>
  <c r="AC45" i="1"/>
  <c r="J52" i="1" s="1"/>
  <c r="J32" i="1" s="1"/>
  <c r="AC41" i="1"/>
  <c r="N54" i="1" s="1"/>
  <c r="N34" i="1" s="1"/>
  <c r="AB45" i="1"/>
  <c r="I52" i="1" s="1"/>
  <c r="AB43" i="1"/>
  <c r="I50" i="1" s="1"/>
  <c r="AD39" i="1"/>
  <c r="O52" i="1" s="1"/>
  <c r="AD41" i="1"/>
  <c r="O54" i="1" s="1"/>
  <c r="AB39" i="1"/>
  <c r="M52" i="1" s="1"/>
  <c r="AD44" i="1"/>
  <c r="K51" i="1" s="1"/>
  <c r="K31" i="1" s="1"/>
  <c r="AC43" i="1"/>
  <c r="J50" i="1" s="1"/>
  <c r="J30" i="1" s="1"/>
  <c r="AB37" i="1"/>
  <c r="M50" i="1" s="1"/>
  <c r="P53" i="1" l="1"/>
  <c r="H52" i="1"/>
  <c r="M33" i="1"/>
  <c r="H50" i="1"/>
  <c r="P51" i="1"/>
  <c r="H53" i="1"/>
  <c r="H54" i="1"/>
  <c r="P54" i="1"/>
  <c r="H51" i="1"/>
  <c r="P50" i="1"/>
  <c r="M30" i="1"/>
  <c r="P52" i="1"/>
  <c r="M32" i="1"/>
  <c r="P14" i="1" l="1"/>
  <c r="AU24" i="1" l="1"/>
  <c r="AV24" i="1"/>
  <c r="S14" i="1"/>
  <c r="AQ33" i="1"/>
  <c r="AR34" i="1"/>
  <c r="AE20" i="1" l="1"/>
  <c r="AE6" i="1"/>
  <c r="AE13" i="1"/>
  <c r="AQ32" i="1"/>
  <c r="S7" i="1" s="1"/>
  <c r="AY24" i="1"/>
  <c r="AR29" i="1"/>
  <c r="AX29" i="1" s="1"/>
  <c r="L19" i="1"/>
  <c r="S8" i="1"/>
  <c r="L12" i="1" s="1"/>
  <c r="AC6" i="1" l="1"/>
  <c r="AC13" i="1"/>
  <c r="AQ37" i="1"/>
  <c r="AX31" i="1"/>
  <c r="AC20" i="1"/>
  <c r="AR33" i="1"/>
  <c r="AQ31" i="1" s="1"/>
  <c r="S6" i="1" s="1"/>
  <c r="AB12" i="1" s="1"/>
  <c r="J12" i="1"/>
  <c r="J10" i="1" s="1"/>
  <c r="S9" i="1"/>
  <c r="AW24" i="1"/>
  <c r="L9" i="1"/>
  <c r="L11" i="1"/>
  <c r="L10" i="1"/>
  <c r="L18" i="1"/>
  <c r="L17" i="1"/>
  <c r="L16" i="1"/>
  <c r="B19" i="1" l="1"/>
  <c r="B18" i="1" s="1"/>
  <c r="AY29" i="1"/>
  <c r="AN47" i="1"/>
  <c r="B23" i="1"/>
  <c r="B26" i="1" s="1"/>
  <c r="C26" i="1" s="1"/>
  <c r="S13" i="1"/>
  <c r="J11" i="1"/>
  <c r="J9" i="1"/>
  <c r="AR32" i="1"/>
  <c r="AQ30" i="1" s="1"/>
  <c r="S5" i="1" s="1"/>
  <c r="AA11" i="1" s="1"/>
  <c r="AB5" i="1"/>
  <c r="AB19" i="1"/>
  <c r="H12" i="1"/>
  <c r="B17" i="1" l="1"/>
  <c r="B16" i="1"/>
  <c r="AD5" i="1"/>
  <c r="AD12" i="1"/>
  <c r="AD13" i="1"/>
  <c r="AD20" i="1"/>
  <c r="S12" i="1"/>
  <c r="AD19" i="1"/>
  <c r="AD6" i="1"/>
  <c r="J19" i="1"/>
  <c r="J17" i="1" s="1"/>
  <c r="AA18" i="1"/>
  <c r="F12" i="1"/>
  <c r="AA4" i="1"/>
  <c r="H11" i="1"/>
  <c r="H9" i="1"/>
  <c r="H10" i="1"/>
  <c r="AR31" i="1"/>
  <c r="AC4" i="1" l="1"/>
  <c r="AC11" i="1"/>
  <c r="AC12" i="1"/>
  <c r="J18" i="1"/>
  <c r="AC18" i="1"/>
  <c r="H19" i="1"/>
  <c r="H18" i="1" s="1"/>
  <c r="AC5" i="1"/>
  <c r="AC19" i="1"/>
  <c r="J16" i="1"/>
  <c r="F9" i="1"/>
  <c r="F10" i="1"/>
  <c r="F11" i="1"/>
  <c r="S11" i="1"/>
  <c r="AQ29" i="1"/>
  <c r="S4" i="1" s="1"/>
  <c r="Z10" i="1" l="1"/>
  <c r="Z9" i="1"/>
  <c r="AB11" i="1"/>
  <c r="AB10" i="1"/>
  <c r="H17" i="1"/>
  <c r="H16" i="1"/>
  <c r="AR30" i="1"/>
  <c r="S10" i="1" s="1"/>
  <c r="D12" i="1"/>
  <c r="Z3" i="1"/>
  <c r="Z17" i="1"/>
  <c r="Z16" i="1"/>
  <c r="Z2" i="1"/>
  <c r="AB3" i="1"/>
  <c r="AB4" i="1"/>
  <c r="F19" i="1"/>
  <c r="AB17" i="1"/>
  <c r="AB18" i="1"/>
  <c r="AA10" i="1" l="1"/>
  <c r="W10" i="1" s="1"/>
  <c r="AA9" i="1"/>
  <c r="AA3" i="1"/>
  <c r="AA16" i="1"/>
  <c r="D19" i="1"/>
  <c r="D17" i="1" s="1"/>
  <c r="AA2" i="1"/>
  <c r="AA17" i="1"/>
  <c r="F16" i="1"/>
  <c r="F18" i="1"/>
  <c r="F17" i="1"/>
  <c r="D10" i="1"/>
  <c r="D9" i="1"/>
  <c r="D11" i="1"/>
  <c r="D18" i="1" l="1"/>
  <c r="AH2" i="1" a="1"/>
  <c r="AJ4" i="1" s="1"/>
  <c r="AH9" i="1" a="1"/>
  <c r="AI12" i="1" s="1"/>
  <c r="D16" i="1"/>
  <c r="AH16" i="1" a="1"/>
  <c r="AL20" i="1" s="1"/>
  <c r="AH2" i="1" l="1"/>
  <c r="AI4" i="1"/>
  <c r="AJ3" i="1"/>
  <c r="AH6" i="1"/>
  <c r="AI2" i="1"/>
  <c r="AH4" i="1"/>
  <c r="AL5" i="1"/>
  <c r="AI5" i="1"/>
  <c r="AI3" i="1"/>
  <c r="AL2" i="1"/>
  <c r="AL3" i="1"/>
  <c r="AL6" i="1"/>
  <c r="AL4" i="1"/>
  <c r="AK6" i="1"/>
  <c r="AH5" i="1"/>
  <c r="AH3" i="1"/>
  <c r="AI6" i="1"/>
  <c r="AJ5" i="1"/>
  <c r="AK5" i="1"/>
  <c r="AK3" i="1"/>
  <c r="AK2" i="1"/>
  <c r="AJ6" i="1"/>
  <c r="AJ2" i="1"/>
  <c r="AK4" i="1"/>
  <c r="AL9" i="1"/>
  <c r="AI13" i="1"/>
  <c r="AJ13" i="1"/>
  <c r="AL13" i="1"/>
  <c r="AI11" i="1"/>
  <c r="AL10" i="1"/>
  <c r="AH9" i="1"/>
  <c r="AK10" i="1"/>
  <c r="AJ9" i="1"/>
  <c r="AK11" i="1"/>
  <c r="AJ10" i="1"/>
  <c r="AI10" i="1"/>
  <c r="AK13" i="1"/>
  <c r="AH12" i="1"/>
  <c r="AH10" i="1"/>
  <c r="AH11" i="1"/>
  <c r="AJ11" i="1"/>
  <c r="AI9" i="1"/>
  <c r="AH13" i="1"/>
  <c r="AJ12" i="1"/>
  <c r="AL12" i="1"/>
  <c r="AK12" i="1"/>
  <c r="AK9" i="1"/>
  <c r="AL11" i="1"/>
  <c r="AL19" i="1"/>
  <c r="AK18" i="1"/>
  <c r="AJ16" i="1"/>
  <c r="AH19" i="1"/>
  <c r="AL17" i="1"/>
  <c r="AL18" i="1"/>
  <c r="AL16" i="1"/>
  <c r="AK17" i="1"/>
  <c r="AK16" i="1"/>
  <c r="AI20" i="1"/>
  <c r="AI18" i="1"/>
  <c r="AJ18" i="1"/>
  <c r="AJ17" i="1"/>
  <c r="AH18" i="1"/>
  <c r="AH17" i="1"/>
  <c r="AJ19" i="1"/>
  <c r="AK20" i="1"/>
  <c r="AI16" i="1"/>
  <c r="AJ20" i="1"/>
  <c r="AK19" i="1"/>
  <c r="AI19" i="1"/>
  <c r="AH20" i="1"/>
  <c r="AH16" i="1"/>
  <c r="AI17" i="1"/>
  <c r="AN2" i="1" l="1" a="1"/>
  <c r="AN5" i="1" s="1"/>
  <c r="AB32" i="1" s="1"/>
  <c r="AN9" i="1" a="1"/>
  <c r="AN10" i="1" s="1"/>
  <c r="AC30" i="1" s="1"/>
  <c r="AN16" i="1" a="1"/>
  <c r="AN16" i="1" s="1"/>
  <c r="AD29" i="1" s="1"/>
  <c r="AN2" i="1" l="1"/>
  <c r="AB29" i="1" s="1"/>
  <c r="AN4" i="1"/>
  <c r="AB31" i="1" s="1"/>
  <c r="AN6" i="1"/>
  <c r="AB33" i="1" s="1"/>
  <c r="AN3" i="1"/>
  <c r="AB30" i="1" s="1"/>
  <c r="AN9" i="1"/>
  <c r="AC29" i="1" s="1"/>
  <c r="AN11" i="1"/>
  <c r="AC31" i="1" s="1"/>
  <c r="AN12" i="1"/>
  <c r="AC32" i="1" s="1"/>
  <c r="AN13" i="1"/>
  <c r="AC33" i="1" s="1"/>
  <c r="AN18" i="1"/>
  <c r="AD31" i="1" s="1"/>
  <c r="AN17" i="1"/>
  <c r="AD30" i="1" s="1"/>
  <c r="AN20" i="1"/>
  <c r="AD33" i="1" s="1"/>
  <c r="AN19" i="1"/>
  <c r="AD32" i="1" s="1"/>
  <c r="AA30" i="1" l="1"/>
  <c r="AA29" i="1"/>
  <c r="AA33" i="1"/>
  <c r="AA32" i="1"/>
  <c r="AA31" i="1"/>
</calcChain>
</file>

<file path=xl/sharedStrings.xml><?xml version="1.0" encoding="utf-8"?>
<sst xmlns="http://schemas.openxmlformats.org/spreadsheetml/2006/main" count="202" uniqueCount="130">
  <si>
    <t>A</t>
  </si>
  <si>
    <t>B</t>
  </si>
  <si>
    <t>C</t>
  </si>
  <si>
    <t>MTBE</t>
  </si>
  <si>
    <t>Methanol</t>
  </si>
  <si>
    <t>[BMIM][HSO4]</t>
  </si>
  <si>
    <t>Kontakt</t>
  </si>
  <si>
    <t>F</t>
  </si>
  <si>
    <t>R1</t>
  </si>
  <si>
    <t>R2</t>
  </si>
  <si>
    <t>R3</t>
  </si>
  <si>
    <t>R4</t>
  </si>
  <si>
    <t>R5</t>
  </si>
  <si>
    <t>E1</t>
  </si>
  <si>
    <t>E2</t>
  </si>
  <si>
    <t>E3</t>
  </si>
  <si>
    <t>E4</t>
  </si>
  <si>
    <t>E5</t>
  </si>
  <si>
    <t>S</t>
  </si>
  <si>
    <t>A(zlozka A)</t>
  </si>
  <si>
    <t>A(zlozka B)</t>
  </si>
  <si>
    <t>A(zlozka C)</t>
  </si>
  <si>
    <t>psB</t>
  </si>
  <si>
    <t>psA</t>
  </si>
  <si>
    <t>psC</t>
  </si>
  <si>
    <t>n</t>
  </si>
  <si>
    <t>xi</t>
  </si>
  <si>
    <t>inverz</t>
  </si>
  <si>
    <t>xA</t>
  </si>
  <si>
    <t>xB</t>
  </si>
  <si>
    <t>xC</t>
  </si>
  <si>
    <t>'=xe/xr</t>
  </si>
  <si>
    <t>A+B+C</t>
  </si>
  <si>
    <t>1–2</t>
  </si>
  <si>
    <t>1–3</t>
  </si>
  <si>
    <t>2–3</t>
  </si>
  <si>
    <t>rmsd</t>
  </si>
  <si>
    <t>α</t>
  </si>
  <si>
    <t>NRTL parameters</t>
  </si>
  <si>
    <t>x1.1</t>
  </si>
  <si>
    <t>x2.1</t>
  </si>
  <si>
    <t>x3.1</t>
  </si>
  <si>
    <t>x1.2</t>
  </si>
  <si>
    <t>x2.2</t>
  </si>
  <si>
    <t>x3.3</t>
  </si>
  <si>
    <t>lnγ1.1</t>
  </si>
  <si>
    <t>lnγ2.1</t>
  </si>
  <si>
    <t>lnγ3.1</t>
  </si>
  <si>
    <t>γ1.1/γ1.2</t>
  </si>
  <si>
    <t>γ2.1/γ2.2</t>
  </si>
  <si>
    <t>γ3.1/γ3.2</t>
  </si>
  <si>
    <t>lnγ1.2</t>
  </si>
  <si>
    <t>lnγ2.2</t>
  </si>
  <si>
    <t>lnγ3.2</t>
  </si>
  <si>
    <t>γ1.2/γ1.1</t>
  </si>
  <si>
    <t>γ2.2/γ2.1</t>
  </si>
  <si>
    <t>γ3.2/γ3.1</t>
  </si>
  <si>
    <t>R</t>
  </si>
  <si>
    <t>kJ.mol^-1.K^-1</t>
  </si>
  <si>
    <t>T</t>
  </si>
  <si>
    <t>K</t>
  </si>
  <si>
    <t>Σxi</t>
  </si>
  <si>
    <t>kA</t>
  </si>
  <si>
    <t>kB</t>
  </si>
  <si>
    <t>kC</t>
  </si>
  <si>
    <t>-</t>
  </si>
  <si>
    <t>Meth</t>
  </si>
  <si>
    <t>Ils</t>
  </si>
  <si>
    <t>xRA</t>
  </si>
  <si>
    <t>xRB</t>
  </si>
  <si>
    <t>xRC</t>
  </si>
  <si>
    <t>xEA</t>
  </si>
  <si>
    <t>xEB</t>
  </si>
  <si>
    <t>xEC</t>
  </si>
  <si>
    <t>∑xRi</t>
  </si>
  <si>
    <t>∑xEi</t>
  </si>
  <si>
    <t>MTBE (1) + methanol (2) + [BMIM][HSO4] (3) at 318.15 K</t>
  </si>
  <si>
    <t>τ12</t>
  </si>
  <si>
    <t>τ21</t>
  </si>
  <si>
    <t>τ13</t>
  </si>
  <si>
    <t>τ31</t>
  </si>
  <si>
    <t>τ23</t>
  </si>
  <si>
    <t>τ32</t>
  </si>
  <si>
    <t>G12</t>
  </si>
  <si>
    <t>G21</t>
  </si>
  <si>
    <t>G13</t>
  </si>
  <si>
    <t>G31</t>
  </si>
  <si>
    <t>G23</t>
  </si>
  <si>
    <t>G32</t>
  </si>
  <si>
    <t>i–j</t>
  </si>
  <si>
    <t>Δgij(kJ·mol−1)</t>
  </si>
  <si>
    <t>Δgji(kJ·mol−1)</t>
  </si>
  <si>
    <t>φ1.1</t>
  </si>
  <si>
    <t>φ2.1</t>
  </si>
  <si>
    <t>φ3.1</t>
  </si>
  <si>
    <t>θ1.1</t>
  </si>
  <si>
    <t>θ2.1</t>
  </si>
  <si>
    <t>θ3.1</t>
  </si>
  <si>
    <t>γ1.1</t>
  </si>
  <si>
    <t>γ2.1</t>
  </si>
  <si>
    <t>γ3.1</t>
  </si>
  <si>
    <t>φ1.2</t>
  </si>
  <si>
    <t>φ2.2</t>
  </si>
  <si>
    <t>φ3.2</t>
  </si>
  <si>
    <t>θ1.2</t>
  </si>
  <si>
    <t>θ2.2</t>
  </si>
  <si>
    <t>θ3.2</t>
  </si>
  <si>
    <t>γ1.2</t>
  </si>
  <si>
    <t>γ2.2</t>
  </si>
  <si>
    <t>γ3.2</t>
  </si>
  <si>
    <t>Vysledne</t>
  </si>
  <si>
    <t>XA</t>
  </si>
  <si>
    <t>XB</t>
  </si>
  <si>
    <t>XC</t>
  </si>
  <si>
    <t>Yb</t>
  </si>
  <si>
    <t>ns/nf</t>
  </si>
  <si>
    <t>n[kmol/h]</t>
  </si>
  <si>
    <t>nR [kmol/h][mol.h-1]</t>
  </si>
  <si>
    <t>nE [kmol/h]</t>
  </si>
  <si>
    <t>∑n [kmol/h]</t>
  </si>
  <si>
    <t>n [kmol/h]</t>
  </si>
  <si>
    <t>ns</t>
  </si>
  <si>
    <t>Ya(straty</t>
  </si>
  <si>
    <t>Yc(straty)</t>
  </si>
  <si>
    <t>neb/nea</t>
  </si>
  <si>
    <t>xa</t>
  </si>
  <si>
    <t>xb</t>
  </si>
  <si>
    <t>xc</t>
  </si>
  <si>
    <t>Reg IL</t>
  </si>
  <si>
    <t>nf*xf*Yb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</si>
</sst>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0"/>
    <numFmt numFmtId="167" formatCode="0.0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1F1F1F"/>
      <name val="Georgia"/>
      <family val="1"/>
    </font>
    <font>
      <sz val="11"/>
      <color rgb="FF1F1F1F"/>
      <name val="Georgia"/>
      <family val="1"/>
    </font>
    <font>
      <b/>
      <sz val="11"/>
      <color rgb="FF000000"/>
      <name val="Calibri"/>
      <family val="2"/>
    </font>
    <font>
      <b/>
      <i/>
      <sz val="11"/>
      <color rgb="FF1F1F1F"/>
      <name val="Georgia"/>
      <family val="1"/>
    </font>
    <font>
      <sz val="10"/>
      <color rgb="FF1F1F1F"/>
      <name val="Georgia"/>
      <family val="1"/>
    </font>
    <font>
      <sz val="11"/>
      <color rgb="FF7030A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8E8E8E"/>
      </top>
      <bottom/>
      <diagonal/>
    </border>
    <border>
      <left/>
      <right/>
      <top/>
      <bottom style="medium">
        <color rgb="FF8E8E8E"/>
      </bottom>
      <diagonal/>
    </border>
    <border>
      <left/>
      <right/>
      <top style="medium">
        <color rgb="FF8E8E8E"/>
      </top>
      <bottom style="medium">
        <color rgb="FF8E8E8E"/>
      </bottom>
      <diagonal/>
    </border>
  </borders>
  <cellStyleXfs count="2">
    <xf numFmtId="0" fontId="0" fillId="0" borderId="0"/>
    <xf numFmtId="0" fontId="4" fillId="0" borderId="0"/>
  </cellStyleXfs>
  <cellXfs count="11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3" xfId="0" applyBorder="1"/>
    <xf numFmtId="0" fontId="1" fillId="0" borderId="1" xfId="0" applyFont="1" applyBorder="1"/>
    <xf numFmtId="0" fontId="1" fillId="0" borderId="10" xfId="0" applyFont="1" applyBorder="1"/>
    <xf numFmtId="0" fontId="1" fillId="0" borderId="13" xfId="0" applyFont="1" applyBorder="1"/>
    <xf numFmtId="0" fontId="1" fillId="0" borderId="5" xfId="0" applyFont="1" applyBorder="1"/>
    <xf numFmtId="0" fontId="2" fillId="0" borderId="13" xfId="0" applyFont="1" applyBorder="1"/>
    <xf numFmtId="0" fontId="1" fillId="0" borderId="15" xfId="0" applyFont="1" applyBorder="1"/>
    <xf numFmtId="0" fontId="0" fillId="0" borderId="0" xfId="0" quotePrefix="1"/>
    <xf numFmtId="164" fontId="3" fillId="0" borderId="0" xfId="0" applyNumberFormat="1" applyFont="1"/>
    <xf numFmtId="0" fontId="6" fillId="0" borderId="16" xfId="0" applyFont="1" applyBorder="1" applyAlignment="1">
      <alignment horizontal="left" vertical="center" wrapText="1"/>
    </xf>
    <xf numFmtId="164" fontId="6" fillId="0" borderId="16" xfId="0" applyNumberFormat="1" applyFont="1" applyBorder="1" applyAlignment="1">
      <alignment horizontal="left" vertical="center" wrapText="1"/>
    </xf>
    <xf numFmtId="0" fontId="7" fillId="0" borderId="13" xfId="1" applyFont="1" applyBorder="1" applyAlignment="1">
      <alignment horizontal="center"/>
    </xf>
    <xf numFmtId="0" fontId="7" fillId="0" borderId="14" xfId="1" applyFont="1" applyBorder="1" applyAlignment="1">
      <alignment horizontal="center"/>
    </xf>
    <xf numFmtId="0" fontId="7" fillId="0" borderId="15" xfId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164" fontId="6" fillId="0" borderId="0" xfId="0" applyNumberFormat="1" applyFont="1" applyAlignment="1">
      <alignment horizontal="left" vertical="center" wrapText="1"/>
    </xf>
    <xf numFmtId="164" fontId="0" fillId="0" borderId="0" xfId="0" applyNumberFormat="1"/>
    <xf numFmtId="0" fontId="6" fillId="0" borderId="17" xfId="0" applyFont="1" applyBorder="1" applyAlignment="1">
      <alignment horizontal="left" vertical="center" wrapText="1"/>
    </xf>
    <xf numFmtId="164" fontId="6" fillId="0" borderId="17" xfId="0" applyNumberFormat="1" applyFont="1" applyBorder="1" applyAlignment="1">
      <alignment horizontal="left" vertical="center" wrapText="1"/>
    </xf>
    <xf numFmtId="0" fontId="0" fillId="0" borderId="17" xfId="0" applyBorder="1"/>
    <xf numFmtId="0" fontId="9" fillId="0" borderId="18" xfId="0" applyFont="1" applyBorder="1" applyAlignment="1">
      <alignment horizontal="left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13" xfId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164" fontId="10" fillId="0" borderId="0" xfId="0" applyNumberFormat="1" applyFont="1"/>
    <xf numFmtId="0" fontId="1" fillId="0" borderId="0" xfId="0" applyFont="1"/>
    <xf numFmtId="0" fontId="11" fillId="0" borderId="1" xfId="0" applyFont="1" applyBorder="1"/>
    <xf numFmtId="165" fontId="0" fillId="0" borderId="0" xfId="0" applyNumberFormat="1"/>
    <xf numFmtId="0" fontId="1" fillId="0" borderId="0" xfId="0" applyFont="1" applyBorder="1"/>
    <xf numFmtId="0" fontId="12" fillId="0" borderId="0" xfId="0" applyFont="1"/>
    <xf numFmtId="164" fontId="12" fillId="0" borderId="0" xfId="0" applyNumberFormat="1" applyFont="1"/>
    <xf numFmtId="0" fontId="3" fillId="0" borderId="3" xfId="0" applyFont="1" applyBorder="1"/>
    <xf numFmtId="0" fontId="3" fillId="0" borderId="0" xfId="0" applyFont="1" applyBorder="1"/>
    <xf numFmtId="0" fontId="3" fillId="0" borderId="8" xfId="0" applyFont="1" applyBorder="1"/>
    <xf numFmtId="0" fontId="0" fillId="0" borderId="0" xfId="0" applyNumberFormat="1"/>
    <xf numFmtId="164" fontId="0" fillId="0" borderId="2" xfId="0" applyNumberFormat="1" applyFill="1" applyBorder="1"/>
    <xf numFmtId="164" fontId="0" fillId="0" borderId="3" xfId="0" applyNumberFormat="1" applyFill="1" applyBorder="1"/>
    <xf numFmtId="164" fontId="0" fillId="0" borderId="5" xfId="0" applyNumberFormat="1" applyFill="1" applyBorder="1"/>
    <xf numFmtId="164" fontId="0" fillId="0" borderId="0" xfId="0" applyNumberFormat="1" applyFill="1" applyBorder="1"/>
    <xf numFmtId="164" fontId="0" fillId="0" borderId="7" xfId="0" applyNumberFormat="1" applyFill="1" applyBorder="1"/>
    <xf numFmtId="164" fontId="0" fillId="0" borderId="8" xfId="0" applyNumberFormat="1" applyFill="1" applyBorder="1"/>
    <xf numFmtId="2" fontId="0" fillId="0" borderId="5" xfId="0" applyNumberFormat="1" applyBorder="1"/>
    <xf numFmtId="2" fontId="0" fillId="0" borderId="8" xfId="0" applyNumberFormat="1" applyBorder="1"/>
    <xf numFmtId="2" fontId="0" fillId="0" borderId="0" xfId="0" applyNumberFormat="1" applyBorder="1"/>
    <xf numFmtId="0" fontId="10" fillId="0" borderId="0" xfId="0" applyNumberFormat="1" applyFont="1"/>
    <xf numFmtId="0" fontId="0" fillId="0" borderId="5" xfId="0" applyFill="1" applyBorder="1"/>
    <xf numFmtId="2" fontId="0" fillId="0" borderId="13" xfId="0" applyNumberFormat="1" applyBorder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11" xfId="0" applyNumberFormat="1" applyBorder="1"/>
    <xf numFmtId="2" fontId="0" fillId="0" borderId="12" xfId="0" applyNumberFormat="1" applyBorder="1"/>
    <xf numFmtId="2" fontId="0" fillId="0" borderId="10" xfId="0" applyNumberFormat="1" applyBorder="1"/>
    <xf numFmtId="0" fontId="1" fillId="0" borderId="11" xfId="0" applyFont="1" applyBorder="1"/>
    <xf numFmtId="0" fontId="1" fillId="0" borderId="12" xfId="0" applyFont="1" applyBorder="1"/>
    <xf numFmtId="0" fontId="1" fillId="0" borderId="14" xfId="0" applyFont="1" applyBorder="1"/>
    <xf numFmtId="0" fontId="1" fillId="0" borderId="0" xfId="0" applyFont="1" applyFill="1" applyBorder="1"/>
    <xf numFmtId="0" fontId="1" fillId="0" borderId="2" xfId="0" applyFont="1" applyBorder="1"/>
    <xf numFmtId="0" fontId="1" fillId="0" borderId="3" xfId="0" applyFont="1" applyBorder="1"/>
    <xf numFmtId="0" fontId="2" fillId="0" borderId="4" xfId="0" applyFont="1" applyBorder="1"/>
    <xf numFmtId="0" fontId="1" fillId="0" borderId="2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2" fillId="0" borderId="14" xfId="0" applyFont="1" applyBorder="1"/>
    <xf numFmtId="0" fontId="0" fillId="0" borderId="5" xfId="0" applyNumberFormat="1" applyBorder="1"/>
    <xf numFmtId="167" fontId="0" fillId="0" borderId="0" xfId="0" applyNumberFormat="1"/>
    <xf numFmtId="167" fontId="0" fillId="0" borderId="6" xfId="0" applyNumberFormat="1" applyBorder="1"/>
    <xf numFmtId="0" fontId="0" fillId="0" borderId="6" xfId="0" applyNumberFormat="1" applyBorder="1"/>
    <xf numFmtId="164" fontId="0" fillId="0" borderId="5" xfId="0" applyNumberFormat="1" applyBorder="1"/>
    <xf numFmtId="0" fontId="3" fillId="0" borderId="7" xfId="0" applyFont="1" applyBorder="1"/>
    <xf numFmtId="166" fontId="0" fillId="0" borderId="10" xfId="0" applyNumberFormat="1" applyBorder="1"/>
    <xf numFmtId="166" fontId="0" fillId="0" borderId="11" xfId="0" applyNumberFormat="1" applyBorder="1"/>
    <xf numFmtId="166" fontId="0" fillId="0" borderId="12" xfId="0" applyNumberFormat="1" applyBorder="1"/>
    <xf numFmtId="0" fontId="1" fillId="0" borderId="0" xfId="0" applyFont="1" applyFill="1" applyBorder="1" applyAlignment="1">
      <alignment horizontal="left"/>
    </xf>
    <xf numFmtId="164" fontId="0" fillId="0" borderId="6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7" fontId="13" fillId="0" borderId="0" xfId="0" applyNumberFormat="1" applyFont="1"/>
    <xf numFmtId="164" fontId="0" fillId="0" borderId="0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1" fillId="0" borderId="9" xfId="0" applyNumberFormat="1" applyFont="1" applyBorder="1"/>
    <xf numFmtId="0" fontId="5" fillId="0" borderId="16" xfId="0" applyFont="1" applyBorder="1" applyAlignment="1">
      <alignment horizontal="left" vertical="center" wrapText="1"/>
    </xf>
    <xf numFmtId="0" fontId="8" fillId="0" borderId="16" xfId="0" applyFont="1" applyBorder="1" applyAlignment="1">
      <alignment horizontal="left" vertical="center" wrapText="1"/>
    </xf>
    <xf numFmtId="0" fontId="8" fillId="0" borderId="17" xfId="0" applyFont="1" applyBorder="1" applyAlignment="1">
      <alignment horizontal="left" vertical="center" wrapText="1"/>
    </xf>
    <xf numFmtId="0" fontId="5" fillId="0" borderId="18" xfId="0" applyFont="1" applyBorder="1" applyAlignment="1">
      <alignment horizontal="left" vertical="center" wrapText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2" fontId="0" fillId="0" borderId="0" xfId="0" applyNumberFormat="1"/>
  </cellXfs>
  <cellStyles count="2">
    <cellStyle name="Normal 2" xfId="1"/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32</xdr:row>
          <xdr:rowOff>9525</xdr:rowOff>
        </xdr:from>
        <xdr:to>
          <xdr:col>18</xdr:col>
          <xdr:colOff>38100</xdr:colOff>
          <xdr:row>32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"/>
  <dimension ref="A1:AY56"/>
  <sheetViews>
    <sheetView tabSelected="1" topLeftCell="E1" zoomScale="40" zoomScaleNormal="40" workbookViewId="0">
      <selection activeCell="J37" sqref="J37:N41"/>
    </sheetView>
  </sheetViews>
  <sheetFormatPr defaultRowHeight="15" x14ac:dyDescent="0.25"/>
  <cols>
    <col min="2" max="2" width="13.85546875" bestFit="1" customWidth="1"/>
    <col min="3" max="3" width="14" bestFit="1" customWidth="1"/>
    <col min="25" max="25" width="13.42578125" bestFit="1" customWidth="1"/>
    <col min="28" max="30" width="9.7109375" bestFit="1" customWidth="1"/>
    <col min="31" max="31" width="13.5703125" bestFit="1" customWidth="1"/>
    <col min="35" max="35" width="9.7109375" bestFit="1" customWidth="1"/>
    <col min="36" max="36" width="11.140625" bestFit="1" customWidth="1"/>
    <col min="37" max="37" width="13" bestFit="1" customWidth="1"/>
    <col min="38" max="38" width="10.7109375" customWidth="1"/>
    <col min="39" max="39" width="9.7109375" bestFit="1" customWidth="1"/>
    <col min="40" max="40" width="28.42578125" customWidth="1"/>
    <col min="41" max="41" width="9.7109375" bestFit="1" customWidth="1"/>
    <col min="43" max="43" width="11.85546875" bestFit="1" customWidth="1"/>
    <col min="44" max="44" width="11.7109375" bestFit="1" customWidth="1"/>
    <col min="51" max="51" width="11.28515625" bestFit="1" customWidth="1"/>
  </cols>
  <sheetData>
    <row r="1" spans="1:51" ht="15.75" thickBot="1" x14ac:dyDescent="0.3">
      <c r="P1" s="111" t="s">
        <v>26</v>
      </c>
      <c r="Q1" s="112"/>
      <c r="R1" s="113"/>
      <c r="S1" s="10" t="s">
        <v>120</v>
      </c>
      <c r="V1" t="s">
        <v>31</v>
      </c>
      <c r="Z1">
        <v>1</v>
      </c>
      <c r="AA1">
        <v>2</v>
      </c>
      <c r="AB1">
        <v>3</v>
      </c>
      <c r="AC1">
        <v>4</v>
      </c>
      <c r="AD1">
        <v>5</v>
      </c>
      <c r="AE1" s="18" t="s">
        <v>23</v>
      </c>
      <c r="AG1" s="17" t="s">
        <v>27</v>
      </c>
      <c r="AN1" s="17" t="s">
        <v>28</v>
      </c>
    </row>
    <row r="2" spans="1:51" ht="15.75" thickBot="1" x14ac:dyDescent="0.3">
      <c r="A2" t="s">
        <v>0</v>
      </c>
      <c r="B2" t="s">
        <v>3</v>
      </c>
      <c r="D2" s="23"/>
      <c r="E2" s="23"/>
      <c r="F2" s="23"/>
      <c r="G2" s="23"/>
      <c r="H2" s="23"/>
      <c r="I2" s="23"/>
      <c r="J2" s="23"/>
      <c r="K2" s="23"/>
      <c r="L2" s="23"/>
      <c r="P2" s="16" t="s">
        <v>0</v>
      </c>
      <c r="Q2" s="14" t="s">
        <v>1</v>
      </c>
      <c r="R2" s="15" t="s">
        <v>2</v>
      </c>
      <c r="S2" s="13" t="s">
        <v>32</v>
      </c>
      <c r="U2" s="16" t="s">
        <v>62</v>
      </c>
      <c r="V2" s="14" t="s">
        <v>63</v>
      </c>
      <c r="W2" s="15" t="s">
        <v>64</v>
      </c>
      <c r="Y2" s="17" t="s">
        <v>19</v>
      </c>
      <c r="Z2" s="1">
        <f>S$9*$U$4+S$4</f>
        <v>11.376873992421668</v>
      </c>
      <c r="AA2" s="2">
        <f>-$S$10*$U$5</f>
        <v>-0.22395120777129335</v>
      </c>
      <c r="AB2" s="2">
        <v>0</v>
      </c>
      <c r="AC2" s="2">
        <v>0</v>
      </c>
      <c r="AD2" s="2">
        <v>0</v>
      </c>
      <c r="AE2" s="11">
        <f>$S$3*$P$3</f>
        <v>8.75</v>
      </c>
      <c r="AH2" s="1">
        <f t="array" ref="AH2:AL6">MINVERSE(Z2:AD6)</f>
        <v>9.0035980170398877E-2</v>
      </c>
      <c r="AI2" s="2">
        <v>2.352879654503369E-3</v>
      </c>
      <c r="AJ2" s="2">
        <v>7.4331718587840955E-6</v>
      </c>
      <c r="AK2" s="2">
        <v>1.1197088610358479E-8</v>
      </c>
      <c r="AL2" s="3">
        <v>1.3851199921283616E-11</v>
      </c>
      <c r="AN2" s="52">
        <f t="array" ref="AN2:AN6">MMULT(AH2:AL6,AE2:AE6)</f>
        <v>0.78781482649240298</v>
      </c>
    </row>
    <row r="3" spans="1:51" ht="26.25" customHeight="1" x14ac:dyDescent="0.25">
      <c r="A3" t="s">
        <v>1</v>
      </c>
      <c r="B3" t="s">
        <v>4</v>
      </c>
      <c r="D3" s="23"/>
      <c r="E3" s="23"/>
      <c r="F3" s="23"/>
      <c r="G3" s="23"/>
      <c r="H3" s="23"/>
      <c r="I3" s="23"/>
      <c r="J3" s="23"/>
      <c r="K3" s="23"/>
      <c r="L3" s="23"/>
      <c r="O3" s="11" t="s">
        <v>7</v>
      </c>
      <c r="P3" s="58">
        <f>AQ24</f>
        <v>0.35</v>
      </c>
      <c r="Q3" s="58">
        <f t="shared" ref="Q3:R3" si="0">AR24</f>
        <v>0.65</v>
      </c>
      <c r="R3" s="58">
        <f t="shared" si="0"/>
        <v>0</v>
      </c>
      <c r="S3" s="75">
        <f>AP24</f>
        <v>25</v>
      </c>
      <c r="U3" s="70" t="s">
        <v>65</v>
      </c>
      <c r="V3" s="71" t="s">
        <v>65</v>
      </c>
      <c r="W3" s="72" t="s">
        <v>65</v>
      </c>
      <c r="Z3" s="64">
        <f>-$S$4</f>
        <v>-10.339670852370451</v>
      </c>
      <c r="AA3" s="5">
        <f>$S$10*$U$5+$S$5</f>
        <v>8.5962318831015203</v>
      </c>
      <c r="AB3" s="5">
        <f>-$S$11*$U$6</f>
        <v>-2.5416503539044181E-2</v>
      </c>
      <c r="AC3" s="5">
        <v>0</v>
      </c>
      <c r="AD3" s="5">
        <v>0</v>
      </c>
      <c r="AE3" s="12">
        <v>0</v>
      </c>
      <c r="AH3" s="4">
        <v>0.1086308103667319</v>
      </c>
      <c r="AI3" s="5">
        <v>0.11952789009271289</v>
      </c>
      <c r="AJ3" s="5">
        <v>3.7761019662713033E-4</v>
      </c>
      <c r="AK3" s="5">
        <v>5.6881973296666085E-7</v>
      </c>
      <c r="AL3" s="6">
        <v>7.0365039651500409E-10</v>
      </c>
      <c r="AN3" s="53">
        <v>0.95051959078067516</v>
      </c>
      <c r="AV3" s="24"/>
      <c r="AW3" s="24"/>
      <c r="AX3" s="24"/>
      <c r="AY3" s="24"/>
    </row>
    <row r="4" spans="1:51" x14ac:dyDescent="0.25">
      <c r="A4" t="s">
        <v>2</v>
      </c>
      <c r="B4" t="s">
        <v>5</v>
      </c>
      <c r="D4" s="23"/>
      <c r="E4" s="23"/>
      <c r="F4" s="23"/>
      <c r="G4" s="23"/>
      <c r="H4" s="23"/>
      <c r="I4" s="23"/>
      <c r="J4" s="23"/>
      <c r="K4" s="23"/>
      <c r="L4" s="23"/>
      <c r="O4" s="12" t="s">
        <v>8</v>
      </c>
      <c r="P4" s="60">
        <f>AI29</f>
        <v>0.78781482649240286</v>
      </c>
      <c r="Q4" s="61">
        <f t="shared" ref="Q4:R8" si="1">AJ29</f>
        <v>0.21017830228116824</v>
      </c>
      <c r="R4" s="61">
        <f t="shared" si="1"/>
        <v>2.0068712264288916E-3</v>
      </c>
      <c r="S4" s="73">
        <f>AQ29</f>
        <v>10.339670852370451</v>
      </c>
      <c r="U4" s="64">
        <f>AS29</f>
        <v>4.7020600923514871E-2</v>
      </c>
      <c r="V4" s="64">
        <f>AT29</f>
        <v>3.5043730470619834</v>
      </c>
      <c r="W4" s="64">
        <f t="shared" ref="V4:W8" si="2">AU29</f>
        <v>112.8190453222998</v>
      </c>
      <c r="Z4" s="4">
        <v>0</v>
      </c>
      <c r="AA4" s="66">
        <f>-$S$5</f>
        <v>-8.3722806753302272</v>
      </c>
      <c r="AB4" s="5">
        <f>$S$11*$U$6+$S$6</f>
        <v>8.05738247927078</v>
      </c>
      <c r="AC4" s="5">
        <f>-$S$12*$U$7</f>
        <v>-1.1998993097473163E-2</v>
      </c>
      <c r="AD4" s="5">
        <v>0</v>
      </c>
      <c r="AE4" s="12">
        <v>0</v>
      </c>
      <c r="AH4" s="4">
        <v>0.11304606570943285</v>
      </c>
      <c r="AI4" s="5">
        <v>0.12438605283265729</v>
      </c>
      <c r="AJ4" s="5">
        <v>0.12468938760018848</v>
      </c>
      <c r="AK4" s="5">
        <v>1.8782804275953139E-4</v>
      </c>
      <c r="AL4" s="6">
        <v>2.3235002076154721E-7</v>
      </c>
      <c r="AN4" s="53">
        <v>0.98915309865680512</v>
      </c>
      <c r="AV4" s="24"/>
      <c r="AW4" s="24"/>
      <c r="AX4" s="24"/>
      <c r="AY4" s="24"/>
    </row>
    <row r="5" spans="1:51" x14ac:dyDescent="0.25">
      <c r="O5" s="12" t="s">
        <v>9</v>
      </c>
      <c r="P5" s="60">
        <f t="shared" ref="P5:P8" si="3">AI30</f>
        <v>0.95051959078067516</v>
      </c>
      <c r="Q5" s="61">
        <f t="shared" si="1"/>
        <v>4.8792851996183453E-2</v>
      </c>
      <c r="R5" s="61">
        <f t="shared" si="1"/>
        <v>6.87557223141431E-4</v>
      </c>
      <c r="S5" s="73">
        <f t="shared" ref="S5:S8" si="4">AQ30</f>
        <v>8.3722806753302272</v>
      </c>
      <c r="U5" s="64">
        <f t="shared" ref="U5:U8" si="5">AS30</f>
        <v>3.0271227561932821E-2</v>
      </c>
      <c r="V5" s="64">
        <f t="shared" si="2"/>
        <v>6.0120792615336169</v>
      </c>
      <c r="W5" s="64">
        <f t="shared" si="2"/>
        <v>985.92537283057368</v>
      </c>
      <c r="Z5" s="4">
        <v>0</v>
      </c>
      <c r="AA5" s="5">
        <v>0</v>
      </c>
      <c r="AB5" s="66">
        <f>-$S$6</f>
        <v>-8.031965975731735</v>
      </c>
      <c r="AC5" s="5">
        <f>$S$12*$U$7+$S$7</f>
        <v>7.9753660189838591</v>
      </c>
      <c r="AD5" s="5">
        <f>-$S$13*$U$8</f>
        <v>-9.9599652091765332E-3</v>
      </c>
      <c r="AE5" s="12">
        <v>0</v>
      </c>
      <c r="AH5" s="4">
        <v>0.11398913289763006</v>
      </c>
      <c r="AI5" s="5">
        <v>0.12542372189579262</v>
      </c>
      <c r="AJ5" s="5">
        <v>0.12572958718098937</v>
      </c>
      <c r="AK5" s="5">
        <v>0.12573055506682543</v>
      </c>
      <c r="AL5" s="6">
        <v>1.5553320287502862E-4</v>
      </c>
      <c r="AN5" s="53">
        <v>0.9974207769501624</v>
      </c>
      <c r="AV5" s="32"/>
      <c r="AW5" s="32"/>
      <c r="AX5" s="32"/>
      <c r="AY5" s="32"/>
    </row>
    <row r="6" spans="1:51" ht="15.75" thickBot="1" x14ac:dyDescent="0.3">
      <c r="O6" s="12" t="s">
        <v>10</v>
      </c>
      <c r="P6" s="60">
        <f t="shared" si="3"/>
        <v>0.98915309865680534</v>
      </c>
      <c r="Q6" s="61">
        <f t="shared" si="1"/>
        <v>1.0346017958230615E-2</v>
      </c>
      <c r="R6" s="61">
        <f t="shared" si="1"/>
        <v>5.0088338496402879E-4</v>
      </c>
      <c r="S6" s="73">
        <f t="shared" si="4"/>
        <v>8.031965975731735</v>
      </c>
      <c r="U6" s="64">
        <f t="shared" si="5"/>
        <v>4.6800972518836878E-3</v>
      </c>
      <c r="V6" s="64">
        <f t="shared" si="2"/>
        <v>7.2178515856428804</v>
      </c>
      <c r="W6" s="64">
        <f t="shared" si="2"/>
        <v>1838.1417168439311</v>
      </c>
      <c r="Z6" s="7">
        <v>0</v>
      </c>
      <c r="AA6" s="8">
        <v>0</v>
      </c>
      <c r="AB6" s="8">
        <v>0</v>
      </c>
      <c r="AC6" s="65">
        <f>-$S$7</f>
        <v>-7.9633670258863862</v>
      </c>
      <c r="AD6" s="8">
        <f>$S$13*$U$8+$S$8</f>
        <v>8.0514766689543436</v>
      </c>
      <c r="AE6" s="13">
        <f>$S$14*$P$14</f>
        <v>0.10199813034228951</v>
      </c>
      <c r="AH6" s="7">
        <v>0.11274171677432897</v>
      </c>
      <c r="AI6" s="8">
        <v>0.1240511737505431</v>
      </c>
      <c r="AJ6" s="8">
        <v>0.12435369186326282</v>
      </c>
      <c r="AK6" s="8">
        <v>0.12435464915724365</v>
      </c>
      <c r="AL6" s="9">
        <v>0.12435465059966916</v>
      </c>
      <c r="AN6" s="53">
        <v>0.99917396363591338</v>
      </c>
      <c r="AO6" s="5"/>
      <c r="AP6" s="5"/>
      <c r="AQ6" s="5"/>
      <c r="AR6" s="5"/>
      <c r="AS6" s="5"/>
      <c r="AV6" s="32"/>
      <c r="AW6" s="32"/>
      <c r="AX6" s="32"/>
      <c r="AY6" s="32"/>
    </row>
    <row r="7" spans="1:51" ht="15.75" thickBot="1" x14ac:dyDescent="0.3">
      <c r="B7" s="114" t="s">
        <v>7</v>
      </c>
      <c r="C7" s="115"/>
      <c r="D7" s="116" t="s">
        <v>8</v>
      </c>
      <c r="E7" s="117"/>
      <c r="F7" s="116" t="s">
        <v>9</v>
      </c>
      <c r="G7" s="117"/>
      <c r="H7" s="116" t="s">
        <v>10</v>
      </c>
      <c r="I7" s="117"/>
      <c r="J7" s="116" t="s">
        <v>11</v>
      </c>
      <c r="K7" s="117"/>
      <c r="L7" s="114" t="s">
        <v>12</v>
      </c>
      <c r="M7" s="115"/>
      <c r="O7" s="12" t="s">
        <v>11</v>
      </c>
      <c r="P7" s="60">
        <f t="shared" si="3"/>
        <v>0.99742077695016251</v>
      </c>
      <c r="Q7" s="61">
        <f t="shared" si="1"/>
        <v>2.1144541445163945E-3</v>
      </c>
      <c r="R7" s="61">
        <f t="shared" si="1"/>
        <v>4.6476890532113897E-4</v>
      </c>
      <c r="S7" s="73">
        <f t="shared" si="4"/>
        <v>7.9633670258863862</v>
      </c>
      <c r="U7" s="64">
        <f t="shared" si="5"/>
        <v>2.3571579749365637E-3</v>
      </c>
      <c r="V7" s="64">
        <f t="shared" si="2"/>
        <v>7.4450824892447764</v>
      </c>
      <c r="W7" s="64">
        <f t="shared" si="2"/>
        <v>2112.6771281248507</v>
      </c>
      <c r="AU7" s="32"/>
      <c r="AV7" s="32"/>
      <c r="AW7" s="32"/>
      <c r="AX7" s="32"/>
      <c r="AY7" s="32"/>
    </row>
    <row r="8" spans="1:51" ht="15.75" thickBot="1" x14ac:dyDescent="0.3">
      <c r="A8" s="19" t="s">
        <v>6</v>
      </c>
      <c r="B8" s="19" t="s">
        <v>25</v>
      </c>
      <c r="C8" s="22" t="s">
        <v>26</v>
      </c>
      <c r="D8" s="19" t="s">
        <v>25</v>
      </c>
      <c r="E8" s="22" t="s">
        <v>26</v>
      </c>
      <c r="F8" s="19" t="s">
        <v>25</v>
      </c>
      <c r="G8" s="22" t="s">
        <v>26</v>
      </c>
      <c r="H8" s="19" t="s">
        <v>25</v>
      </c>
      <c r="I8" s="22" t="s">
        <v>26</v>
      </c>
      <c r="J8" s="19" t="s">
        <v>25</v>
      </c>
      <c r="K8" s="22" t="s">
        <v>26</v>
      </c>
      <c r="L8" s="19" t="s">
        <v>25</v>
      </c>
      <c r="M8" s="22" t="s">
        <v>26</v>
      </c>
      <c r="O8" s="12" t="s">
        <v>12</v>
      </c>
      <c r="P8" s="62">
        <f t="shared" si="3"/>
        <v>0.9991739636359136</v>
      </c>
      <c r="Q8" s="63">
        <f t="shared" si="1"/>
        <v>3.6877383835410215E-4</v>
      </c>
      <c r="R8" s="63">
        <f t="shared" si="1"/>
        <v>4.5726252573232183E-4</v>
      </c>
      <c r="S8" s="73">
        <f t="shared" si="4"/>
        <v>8.0415167037451667</v>
      </c>
      <c r="U8" s="64">
        <f t="shared" si="5"/>
        <v>1.9833257803927931E-3</v>
      </c>
      <c r="V8" s="64">
        <f t="shared" si="2"/>
        <v>7.4919471468279788</v>
      </c>
      <c r="W8" s="64">
        <f t="shared" si="2"/>
        <v>2176.5515921489646</v>
      </c>
      <c r="Z8">
        <v>1</v>
      </c>
      <c r="AA8">
        <v>2</v>
      </c>
      <c r="AB8">
        <v>3</v>
      </c>
      <c r="AC8">
        <v>4</v>
      </c>
      <c r="AD8">
        <v>5</v>
      </c>
      <c r="AE8" s="17" t="s">
        <v>22</v>
      </c>
      <c r="AG8" s="17" t="s">
        <v>27</v>
      </c>
      <c r="AN8" s="17" t="s">
        <v>29</v>
      </c>
    </row>
    <row r="9" spans="1:51" ht="32.25" customHeight="1" thickBot="1" x14ac:dyDescent="0.3">
      <c r="A9" s="20" t="s">
        <v>0</v>
      </c>
      <c r="B9" s="87">
        <f>$B$12*C9</f>
        <v>8.75</v>
      </c>
      <c r="C9" s="88">
        <v>0.35</v>
      </c>
      <c r="D9" s="91">
        <f t="shared" ref="D9:D10" si="6">$D$12*E9</f>
        <v>8.7044892367005389</v>
      </c>
      <c r="E9" s="89">
        <v>0.84185361033083228</v>
      </c>
      <c r="F9" s="91">
        <f t="shared" ref="F9:F10" si="7">$F$12*G9</f>
        <v>8.2161217501438308</v>
      </c>
      <c r="G9" s="89">
        <v>0.9813481019996696</v>
      </c>
      <c r="H9" s="91">
        <f t="shared" ref="H9:H10" si="8">$H$12*I9</f>
        <v>8.0130042002283837</v>
      </c>
      <c r="I9" s="89">
        <v>0.99763921117685961</v>
      </c>
      <c r="J9" s="91">
        <f t="shared" ref="J9:J10" si="9">$J$12*K9</f>
        <v>7.9581788554314805</v>
      </c>
      <c r="K9" s="89">
        <v>0.99934849537412496</v>
      </c>
      <c r="L9" s="91">
        <f t="shared" ref="L9:L10" si="10">$L$12*M9</f>
        <v>8.0377043526868697</v>
      </c>
      <c r="M9" s="89">
        <v>0.99952591641617528</v>
      </c>
      <c r="O9" s="1" t="s">
        <v>13</v>
      </c>
      <c r="P9" s="58">
        <f>AM29</f>
        <v>3.7043526558127385E-2</v>
      </c>
      <c r="Q9" s="59">
        <f t="shared" ref="Q9:R13" si="11">AN29</f>
        <v>0.73654317759137211</v>
      </c>
      <c r="R9" s="59">
        <f t="shared" si="11"/>
        <v>0.22641329585050052</v>
      </c>
      <c r="S9" s="73">
        <f>AR29</f>
        <v>22.058483296254835</v>
      </c>
      <c r="Y9" s="17" t="s">
        <v>20</v>
      </c>
      <c r="Z9" s="1">
        <f>S$9*$V$4+S$4</f>
        <v>87.640825174832869</v>
      </c>
      <c r="AA9" s="2">
        <f>-$S$10*$V$5</f>
        <v>-44.478289130578965</v>
      </c>
      <c r="AB9" s="2">
        <v>0</v>
      </c>
      <c r="AC9" s="2">
        <v>0</v>
      </c>
      <c r="AD9" s="2">
        <v>0</v>
      </c>
      <c r="AE9" s="11">
        <f>$S$3*$Q$3</f>
        <v>16.25</v>
      </c>
      <c r="AH9" s="1">
        <f t="array" ref="AH9:AL13">MINVERSE(Z9:AD13)</f>
        <v>1.2934056983010311E-2</v>
      </c>
      <c r="AI9" s="2">
        <v>1.2916409889267927E-2</v>
      </c>
      <c r="AJ9" s="2">
        <v>1.2822658548596665E-2</v>
      </c>
      <c r="AK9" s="2">
        <v>1.2365123357891772E-2</v>
      </c>
      <c r="AL9" s="3">
        <v>1.0187647251122735E-2</v>
      </c>
      <c r="AN9">
        <f t="array" ref="AN9:AN13">MMULT(AH9:AL13,AE9:AE13)</f>
        <v>0.21017844502133079</v>
      </c>
    </row>
    <row r="10" spans="1:51" x14ac:dyDescent="0.25">
      <c r="A10" s="20" t="s">
        <v>1</v>
      </c>
      <c r="B10" s="87">
        <f t="shared" ref="B10:B11" si="12">$B$12*C10</f>
        <v>16.25</v>
      </c>
      <c r="C10" s="88">
        <v>0.65</v>
      </c>
      <c r="D10" s="91">
        <f t="shared" si="6"/>
        <v>1.6200857274665601</v>
      </c>
      <c r="E10" s="89">
        <v>0.15668639269064766</v>
      </c>
      <c r="F10" s="91">
        <f t="shared" si="7"/>
        <v>0.15167056559159428</v>
      </c>
      <c r="G10" s="89">
        <v>1.8115800398152793E-2</v>
      </c>
      <c r="H10" s="91">
        <f t="shared" si="8"/>
        <v>1.5236295084229788E-2</v>
      </c>
      <c r="I10" s="89">
        <v>1.8969571248515801E-3</v>
      </c>
      <c r="J10" s="91">
        <f t="shared" si="9"/>
        <v>1.5527417326764552E-3</v>
      </c>
      <c r="K10" s="89">
        <v>1.949855792944094E-4</v>
      </c>
      <c r="L10" s="91">
        <f t="shared" si="10"/>
        <v>1.473336409988689E-4</v>
      </c>
      <c r="M10" s="89">
        <v>1.8321623448254651E-5</v>
      </c>
      <c r="O10" s="4" t="s">
        <v>14</v>
      </c>
      <c r="P10" s="60">
        <f t="shared" ref="P10:P13" si="13">AM30</f>
        <v>2.877339483459708E-2</v>
      </c>
      <c r="Q10" s="61">
        <f t="shared" si="11"/>
        <v>0.29334649359733367</v>
      </c>
      <c r="R10" s="61">
        <f t="shared" si="11"/>
        <v>0.67788011156806927</v>
      </c>
      <c r="S10" s="73">
        <f>AR30</f>
        <v>7.3981541486252844</v>
      </c>
      <c r="W10" s="118">
        <f>Z10+AA10+AB10</f>
        <v>3.3124506099812834</v>
      </c>
      <c r="Z10" s="64">
        <f>-$S$4</f>
        <v>-10.339670852370451</v>
      </c>
      <c r="AA10" s="5">
        <f>$S$10*$V$5+$S$5</f>
        <v>52.850569805909188</v>
      </c>
      <c r="AB10" s="5">
        <f>-$S$11*$V$6</f>
        <v>-39.198448343557452</v>
      </c>
      <c r="AC10" s="5">
        <v>0</v>
      </c>
      <c r="AD10" s="5">
        <v>0</v>
      </c>
      <c r="AE10" s="12">
        <v>0</v>
      </c>
      <c r="AH10" s="4">
        <v>3.0026205922007018E-3</v>
      </c>
      <c r="AI10" s="5">
        <v>2.5450727604842963E-2</v>
      </c>
      <c r="AJ10" s="5">
        <v>2.5265998267939863E-2</v>
      </c>
      <c r="AK10" s="5">
        <v>2.4364462654864014E-2</v>
      </c>
      <c r="AL10" s="6">
        <v>2.0073924360203738E-2</v>
      </c>
      <c r="AN10">
        <v>4.8792622154628859E-2</v>
      </c>
    </row>
    <row r="11" spans="1:51" ht="15.75" thickBot="1" x14ac:dyDescent="0.3">
      <c r="A11" s="20" t="s">
        <v>2</v>
      </c>
      <c r="B11" s="87">
        <f t="shared" si="12"/>
        <v>0</v>
      </c>
      <c r="C11" s="88">
        <v>0</v>
      </c>
      <c r="D11" s="91">
        <f>$D$12*E11</f>
        <v>1.5095888203353187E-2</v>
      </c>
      <c r="E11" s="89">
        <v>1.4599969785200981E-3</v>
      </c>
      <c r="F11" s="91">
        <f>$F$12*G11</f>
        <v>4.4883595948028883E-3</v>
      </c>
      <c r="G11" s="89">
        <v>5.3609760217765922E-4</v>
      </c>
      <c r="H11" s="91">
        <f>$H$12*I11</f>
        <v>3.7254804191212488E-3</v>
      </c>
      <c r="I11" s="89">
        <v>4.6383169828876757E-4</v>
      </c>
      <c r="J11" s="91">
        <f>$J$12*K11</f>
        <v>3.6354287222288228E-3</v>
      </c>
      <c r="K11" s="89">
        <v>4.5651904658057258E-4</v>
      </c>
      <c r="L11" s="91">
        <f>$L$12*M11</f>
        <v>3.6650174172988838E-3</v>
      </c>
      <c r="M11" s="89">
        <v>4.557619603764523E-4</v>
      </c>
      <c r="O11" s="4" t="s">
        <v>15</v>
      </c>
      <c r="P11" s="60">
        <f t="shared" si="13"/>
        <v>4.6293326987159487E-3</v>
      </c>
      <c r="Q11" s="61">
        <f t="shared" si="11"/>
        <v>7.4676022124904567E-2</v>
      </c>
      <c r="R11" s="61">
        <f t="shared" si="11"/>
        <v>0.92069464517637956</v>
      </c>
      <c r="S11" s="73">
        <f>AR31</f>
        <v>5.4307639715850602</v>
      </c>
      <c r="Z11" s="4">
        <v>0</v>
      </c>
      <c r="AA11" s="66">
        <f>-$S$5</f>
        <v>-8.3722806753302272</v>
      </c>
      <c r="AB11" s="5">
        <f>$S$11*$V$6+$S$6</f>
        <v>47.230414319289189</v>
      </c>
      <c r="AC11" s="5">
        <f>-$S$12*$V$7</f>
        <v>-37.898814737256018</v>
      </c>
      <c r="AD11" s="5">
        <v>0</v>
      </c>
      <c r="AE11" s="12">
        <v>0</v>
      </c>
      <c r="AH11" s="4">
        <v>6.3666594656762942E-4</v>
      </c>
      <c r="AI11" s="5">
        <v>5.3964898607106997E-3</v>
      </c>
      <c r="AJ11" s="5">
        <v>3.0683365978913593E-2</v>
      </c>
      <c r="AK11" s="5">
        <v>2.9588529081290151E-2</v>
      </c>
      <c r="AL11" s="6">
        <v>2.4378042032826525E-2</v>
      </c>
      <c r="AN11">
        <v>1.0345867210318233E-2</v>
      </c>
    </row>
    <row r="12" spans="1:51" ht="15.75" thickBot="1" x14ac:dyDescent="0.3">
      <c r="A12" s="21" t="s">
        <v>119</v>
      </c>
      <c r="B12" s="69">
        <f>S3</f>
        <v>25</v>
      </c>
      <c r="C12" s="15">
        <f>SUM(C9:C11)</f>
        <v>1</v>
      </c>
      <c r="D12" s="69">
        <f>S4</f>
        <v>10.339670852370451</v>
      </c>
      <c r="E12" s="15">
        <f t="shared" ref="E12:M12" si="14">SUM(E9:E11)</f>
        <v>1</v>
      </c>
      <c r="F12" s="69">
        <f>S5</f>
        <v>8.3722806753302272</v>
      </c>
      <c r="G12" s="15">
        <f t="shared" si="14"/>
        <v>1</v>
      </c>
      <c r="H12" s="69">
        <f>S6</f>
        <v>8.031965975731735</v>
      </c>
      <c r="I12" s="15">
        <f t="shared" si="14"/>
        <v>1</v>
      </c>
      <c r="J12" s="69">
        <f>S7</f>
        <v>7.9633670258863862</v>
      </c>
      <c r="K12" s="15">
        <f t="shared" si="14"/>
        <v>1</v>
      </c>
      <c r="L12" s="69">
        <f>S8</f>
        <v>8.0415167037451667</v>
      </c>
      <c r="M12" s="15">
        <f t="shared" si="14"/>
        <v>1</v>
      </c>
      <c r="O12" s="4" t="s">
        <v>16</v>
      </c>
      <c r="P12" s="60">
        <f t="shared" si="13"/>
        <v>2.3510783387554988E-3</v>
      </c>
      <c r="Q12" s="61">
        <f t="shared" si="11"/>
        <v>1.5742285525650053E-2</v>
      </c>
      <c r="R12" s="61">
        <f t="shared" si="11"/>
        <v>0.98190663613559448</v>
      </c>
      <c r="S12" s="73">
        <f>AR32</f>
        <v>5.0904492719865679</v>
      </c>
      <c r="Z12" s="4">
        <v>0</v>
      </c>
      <c r="AA12" s="5">
        <v>0</v>
      </c>
      <c r="AB12" s="66">
        <f>-$S$6</f>
        <v>-8.031965975731735</v>
      </c>
      <c r="AC12" s="5">
        <f>$S$12*$V$7+$S$7</f>
        <v>45.862181763142402</v>
      </c>
      <c r="AD12" s="5">
        <f>-$S$13*$V$8</f>
        <v>-37.62343719276307</v>
      </c>
      <c r="AE12" s="12">
        <v>0</v>
      </c>
      <c r="AH12" s="4">
        <v>1.3011525859391742E-4</v>
      </c>
      <c r="AI12" s="5">
        <v>1.1028792689656429E-3</v>
      </c>
      <c r="AJ12" s="5">
        <v>6.2707517504300252E-3</v>
      </c>
      <c r="AK12" s="5">
        <v>3.1491548641606942E-2</v>
      </c>
      <c r="AL12" s="6">
        <v>2.5945943252357884E-2</v>
      </c>
      <c r="AN12">
        <v>2.1144214621840181E-3</v>
      </c>
    </row>
    <row r="13" spans="1:51" ht="15.75" thickBot="1" x14ac:dyDescent="0.3">
      <c r="O13" s="4" t="s">
        <v>17</v>
      </c>
      <c r="P13" s="60">
        <f t="shared" si="13"/>
        <v>1.9816874811763585E-3</v>
      </c>
      <c r="Q13" s="61">
        <f t="shared" si="11"/>
        <v>2.7628341060818178E-3</v>
      </c>
      <c r="R13" s="61">
        <f t="shared" si="11"/>
        <v>0.99525547841274187</v>
      </c>
      <c r="S13" s="73">
        <f>AR33</f>
        <v>5.0218503221412192</v>
      </c>
      <c r="V13" s="57"/>
      <c r="Z13" s="7">
        <v>0</v>
      </c>
      <c r="AA13" s="8">
        <v>0</v>
      </c>
      <c r="AB13" s="8">
        <v>0</v>
      </c>
      <c r="AC13" s="65">
        <f>-$S$7</f>
        <v>-7.9633670258863862</v>
      </c>
      <c r="AD13" s="8">
        <f>$S$13*$V$8+$S$8</f>
        <v>45.664953896508237</v>
      </c>
      <c r="AE13" s="13">
        <f>$S$14*$Q$14</f>
        <v>1.8696577105816596E-6</v>
      </c>
      <c r="AH13" s="7">
        <v>2.2690388830781495E-5</v>
      </c>
      <c r="AI13" s="8">
        <v>1.9232763103011139E-4</v>
      </c>
      <c r="AJ13" s="8">
        <v>1.0935365845340789E-3</v>
      </c>
      <c r="AK13" s="8">
        <v>5.4917116661284023E-3</v>
      </c>
      <c r="AL13" s="9">
        <v>2.6423262611540922E-2</v>
      </c>
      <c r="AN13">
        <v>3.687682209568797E-4</v>
      </c>
      <c r="AO13" s="5"/>
      <c r="AP13" s="5"/>
      <c r="AQ13" s="5"/>
      <c r="AR13" s="5"/>
      <c r="AS13" s="5"/>
    </row>
    <row r="14" spans="1:51" ht="15.75" thickBot="1" x14ac:dyDescent="0.3">
      <c r="B14" s="114" t="s">
        <v>13</v>
      </c>
      <c r="C14" s="115"/>
      <c r="D14" s="116" t="s">
        <v>14</v>
      </c>
      <c r="E14" s="117"/>
      <c r="F14" s="116" t="s">
        <v>15</v>
      </c>
      <c r="G14" s="117"/>
      <c r="H14" s="116" t="s">
        <v>16</v>
      </c>
      <c r="I14" s="117"/>
      <c r="J14" s="116" t="s">
        <v>17</v>
      </c>
      <c r="K14" s="117"/>
      <c r="L14" s="114" t="s">
        <v>18</v>
      </c>
      <c r="M14" s="115"/>
      <c r="O14" s="7" t="s">
        <v>18</v>
      </c>
      <c r="P14" s="62">
        <f>AQ25</f>
        <v>1.9999633400448923E-2</v>
      </c>
      <c r="Q14" s="62">
        <f t="shared" ref="Q14:R14" si="15">AR25</f>
        <v>3.6659955109444309E-7</v>
      </c>
      <c r="R14" s="62">
        <f t="shared" si="15"/>
        <v>0.98</v>
      </c>
      <c r="S14" s="74">
        <f>AP25</f>
        <v>5.0999999999999996</v>
      </c>
      <c r="T14" t="s">
        <v>65</v>
      </c>
      <c r="U14" t="s">
        <v>65</v>
      </c>
      <c r="V14" t="s">
        <v>65</v>
      </c>
    </row>
    <row r="15" spans="1:51" ht="15.75" thickBot="1" x14ac:dyDescent="0.3">
      <c r="A15" s="19" t="s">
        <v>6</v>
      </c>
      <c r="B15" s="19" t="s">
        <v>25</v>
      </c>
      <c r="C15" s="22" t="s">
        <v>26</v>
      </c>
      <c r="D15" s="19" t="s">
        <v>25</v>
      </c>
      <c r="E15" s="22" t="s">
        <v>26</v>
      </c>
      <c r="F15" s="19" t="s">
        <v>25</v>
      </c>
      <c r="G15" s="22" t="s">
        <v>26</v>
      </c>
      <c r="H15" s="19" t="s">
        <v>25</v>
      </c>
      <c r="I15" s="22" t="s">
        <v>26</v>
      </c>
      <c r="J15" s="19" t="s">
        <v>25</v>
      </c>
      <c r="K15" s="22" t="s">
        <v>26</v>
      </c>
      <c r="L15" s="19" t="s">
        <v>25</v>
      </c>
      <c r="M15" s="22" t="s">
        <v>26</v>
      </c>
      <c r="Z15">
        <v>1</v>
      </c>
      <c r="AA15">
        <v>2</v>
      </c>
      <c r="AB15">
        <v>3</v>
      </c>
      <c r="AC15">
        <v>4</v>
      </c>
      <c r="AD15">
        <v>5</v>
      </c>
      <c r="AE15" s="17" t="s">
        <v>24</v>
      </c>
      <c r="AG15" s="17" t="s">
        <v>27</v>
      </c>
      <c r="AN15" s="17" t="s">
        <v>30</v>
      </c>
    </row>
    <row r="16" spans="1:51" ht="15.75" thickBot="1" x14ac:dyDescent="0.3">
      <c r="A16" s="20" t="s">
        <v>0</v>
      </c>
      <c r="B16" s="91">
        <f t="shared" ref="B16:B17" si="16">$B$19*C16</f>
        <v>0.79470098137362644</v>
      </c>
      <c r="C16" s="89">
        <v>3.6027000165897785E-2</v>
      </c>
      <c r="D16" s="91">
        <f t="shared" ref="D16:D17" si="17">$D$19*E16</f>
        <v>5.6415004976648919E-2</v>
      </c>
      <c r="E16" s="89">
        <v>7.6255514339521949E-3</v>
      </c>
      <c r="F16" s="91">
        <f t="shared" ref="F16:F17" si="18">$F$19*G16</f>
        <v>1.250567991986332E-2</v>
      </c>
      <c r="G16" s="89">
        <v>2.3027478243016564E-3</v>
      </c>
      <c r="H16" s="91">
        <f t="shared" ref="H16:H17" si="19">$H$19*I16</f>
        <v>9.9104623946883481E-3</v>
      </c>
      <c r="I16" s="89">
        <v>1.9468738150927004E-3</v>
      </c>
      <c r="J16" s="91">
        <f t="shared" ref="J16:J17" si="20">$J$19*K16</f>
        <v>9.6024230081474034E-3</v>
      </c>
      <c r="K16" s="89">
        <v>1.9121284769899548E-3</v>
      </c>
      <c r="L16" s="4">
        <f t="shared" ref="L16:L17" si="21">$L$19*M16</f>
        <v>0</v>
      </c>
      <c r="M16" s="90">
        <v>0</v>
      </c>
      <c r="P16" t="s">
        <v>3</v>
      </c>
      <c r="Q16" t="s">
        <v>66</v>
      </c>
      <c r="R16" t="s">
        <v>67</v>
      </c>
      <c r="Y16" s="17" t="s">
        <v>21</v>
      </c>
      <c r="Z16" s="1">
        <f>S$9*$W$4+S$4</f>
        <v>2498.9566975937378</v>
      </c>
      <c r="AA16" s="2">
        <f>-$S$10*$W$5</f>
        <v>-7294.0278872414392</v>
      </c>
      <c r="AB16" s="2">
        <v>0</v>
      </c>
      <c r="AC16" s="2">
        <v>0</v>
      </c>
      <c r="AD16" s="2">
        <v>0</v>
      </c>
      <c r="AE16" s="11">
        <f>$S$3*$R$3</f>
        <v>0</v>
      </c>
      <c r="AH16" s="1">
        <f t="array" ref="AH16:AL20">MINVERSE(Z16:AD20)</f>
        <v>4.0182960626505598E-4</v>
      </c>
      <c r="AI16" s="2">
        <v>4.01829606264854E-4</v>
      </c>
      <c r="AJ16" s="2">
        <v>4.0182960608885221E-4</v>
      </c>
      <c r="AK16" s="2">
        <v>4.0182938734541868E-4</v>
      </c>
      <c r="AL16" s="3">
        <v>4.0153397575070303E-4</v>
      </c>
      <c r="AN16">
        <f t="array" ref="AN16:AN20">MMULT(AH16:AL20,AE16:AE20)</f>
        <v>2.0068668108020136E-3</v>
      </c>
    </row>
    <row r="17" spans="1:51" x14ac:dyDescent="0.25">
      <c r="A17" s="20" t="s">
        <v>1</v>
      </c>
      <c r="B17" s="91">
        <f t="shared" si="16"/>
        <v>13.172674363515307</v>
      </c>
      <c r="C17" s="89">
        <v>0.59717044851183443</v>
      </c>
      <c r="D17" s="91">
        <f t="shared" si="17"/>
        <v>0.93706166977851113</v>
      </c>
      <c r="E17" s="89">
        <v>0.12666154975327659</v>
      </c>
      <c r="F17" s="91">
        <f t="shared" si="18"/>
        <v>7.6758485272531804E-2</v>
      </c>
      <c r="G17" s="89">
        <v>1.413401239202236E-2</v>
      </c>
      <c r="H17" s="91">
        <f t="shared" si="19"/>
        <v>7.4406082076381433E-3</v>
      </c>
      <c r="I17" s="89">
        <v>1.4616800620300488E-3</v>
      </c>
      <c r="J17" s="91">
        <f t="shared" si="20"/>
        <v>6.9018430736211714E-4</v>
      </c>
      <c r="K17" s="89">
        <v>1.3743625617814831E-4</v>
      </c>
      <c r="L17" s="4">
        <f t="shared" si="21"/>
        <v>0</v>
      </c>
      <c r="M17" s="6">
        <v>0</v>
      </c>
      <c r="Z17" s="64">
        <f>-$S$4</f>
        <v>-10.339670852370451</v>
      </c>
      <c r="AA17" s="5">
        <f>$S$10*$W$5+$S$5</f>
        <v>7302.4001679167695</v>
      </c>
      <c r="AB17" s="5">
        <f>-$S$11*$W$6</f>
        <v>-9982.5138105035294</v>
      </c>
      <c r="AC17" s="5">
        <v>0</v>
      </c>
      <c r="AD17" s="5">
        <v>0</v>
      </c>
      <c r="AE17" s="12">
        <v>0</v>
      </c>
      <c r="AH17" s="4">
        <v>5.6961474945601316E-7</v>
      </c>
      <c r="AI17" s="5">
        <v>1.3766807604663234E-4</v>
      </c>
      <c r="AJ17" s="5">
        <v>1.3766807598633357E-4</v>
      </c>
      <c r="AK17" s="5">
        <v>1.3766800104415117E-4</v>
      </c>
      <c r="AL17" s="6">
        <v>1.375667921106821E-4</v>
      </c>
      <c r="AN17">
        <v>6.875588269691891E-4</v>
      </c>
    </row>
    <row r="18" spans="1:51" ht="15.75" thickBot="1" x14ac:dyDescent="0.3">
      <c r="A18" s="20" t="s">
        <v>2</v>
      </c>
      <c r="B18" s="91">
        <f>$B$19*C18</f>
        <v>8.0911079513659008</v>
      </c>
      <c r="C18" s="89">
        <v>0.3668025513222678</v>
      </c>
      <c r="D18" s="91">
        <f>$D$19*E18</f>
        <v>6.4046774738701249</v>
      </c>
      <c r="E18" s="89">
        <v>0.86571289881277125</v>
      </c>
      <c r="F18" s="91">
        <f>$F$19*G18</f>
        <v>5.3414998063926653</v>
      </c>
      <c r="G18" s="89">
        <v>0.98356323978367599</v>
      </c>
      <c r="H18" s="91">
        <f>$H$19*I18</f>
        <v>5.0730982013842416</v>
      </c>
      <c r="I18" s="89">
        <v>0.9965914461228772</v>
      </c>
      <c r="J18" s="91">
        <f>$J$19*K18</f>
        <v>5.0115577148257096</v>
      </c>
      <c r="K18" s="89">
        <v>0.99795043526683191</v>
      </c>
      <c r="L18" s="4">
        <f>$L$19*M18</f>
        <v>5.0999999999999996</v>
      </c>
      <c r="M18" s="6">
        <v>1</v>
      </c>
      <c r="Z18" s="4">
        <v>0</v>
      </c>
      <c r="AA18" s="66">
        <f>-$S$5</f>
        <v>-8.3722806753302272</v>
      </c>
      <c r="AB18" s="5">
        <f>$S$11*$W$6+$S$6</f>
        <v>9990.5457764792609</v>
      </c>
      <c r="AC18" s="5">
        <f>-$S$12*$W$7</f>
        <v>-10754.475748805819</v>
      </c>
      <c r="AD18" s="5">
        <v>0</v>
      </c>
      <c r="AE18" s="12">
        <v>0</v>
      </c>
      <c r="AH18" s="4">
        <v>4.7773282839307992E-10</v>
      </c>
      <c r="AI18" s="5">
        <v>1.1546147534276597E-7</v>
      </c>
      <c r="AJ18" s="5">
        <v>1.0029062962880941E-4</v>
      </c>
      <c r="AK18" s="5">
        <v>1.002905750337364E-4</v>
      </c>
      <c r="AL18" s="6">
        <v>1.0021684474013746E-4</v>
      </c>
      <c r="AN18">
        <v>5.0088379001120699E-4</v>
      </c>
    </row>
    <row r="19" spans="1:51" ht="15.75" thickBot="1" x14ac:dyDescent="0.3">
      <c r="A19" s="21" t="s">
        <v>119</v>
      </c>
      <c r="B19" s="69">
        <f>S9</f>
        <v>22.058483296254835</v>
      </c>
      <c r="C19" s="15">
        <f t="shared" ref="C19:M19" si="22">SUM(C16:C18)</f>
        <v>1</v>
      </c>
      <c r="D19" s="69">
        <f>S10</f>
        <v>7.3981541486252844</v>
      </c>
      <c r="E19" s="15">
        <f t="shared" si="22"/>
        <v>1</v>
      </c>
      <c r="F19" s="69">
        <f>S11</f>
        <v>5.4307639715850602</v>
      </c>
      <c r="G19" s="15">
        <f t="shared" si="22"/>
        <v>1</v>
      </c>
      <c r="H19" s="69">
        <f>S12</f>
        <v>5.0904492719865679</v>
      </c>
      <c r="I19" s="15">
        <f t="shared" si="22"/>
        <v>1</v>
      </c>
      <c r="J19" s="69">
        <f>S13</f>
        <v>5.0218503221412192</v>
      </c>
      <c r="K19" s="15">
        <f t="shared" si="22"/>
        <v>1</v>
      </c>
      <c r="L19" s="69">
        <f>S14</f>
        <v>5.0999999999999996</v>
      </c>
      <c r="M19" s="15">
        <f t="shared" si="22"/>
        <v>1</v>
      </c>
      <c r="Z19" s="4">
        <v>0</v>
      </c>
      <c r="AA19" s="5">
        <v>0</v>
      </c>
      <c r="AB19" s="5">
        <f>-$S$6</f>
        <v>-8.031965975731735</v>
      </c>
      <c r="AC19" s="5">
        <f>$S$12*$W$7+$S$7</f>
        <v>10762.439115831705</v>
      </c>
      <c r="AD19" s="5">
        <f>-$S$13*$W$8</f>
        <v>-10930.316314190261</v>
      </c>
      <c r="AE19" s="12">
        <v>0</v>
      </c>
      <c r="AH19" s="4">
        <v>3.5679393621340269E-13</v>
      </c>
      <c r="AI19" s="5">
        <v>8.6232203064462748E-11</v>
      </c>
      <c r="AJ19" s="5">
        <v>7.4901883194723614E-8</v>
      </c>
      <c r="AK19" s="5">
        <v>9.3059393042970787E-5</v>
      </c>
      <c r="AL19" s="6">
        <v>9.299097887375411E-5</v>
      </c>
      <c r="AN19">
        <v>4.6476891241102299E-4</v>
      </c>
    </row>
    <row r="20" spans="1:51" ht="15.75" thickBot="1" x14ac:dyDescent="0.3">
      <c r="Z20" s="7">
        <v>0</v>
      </c>
      <c r="AA20" s="8">
        <v>0</v>
      </c>
      <c r="AB20" s="8">
        <v>0</v>
      </c>
      <c r="AC20" s="65">
        <f>-$S$7</f>
        <v>-7.9633670258863862</v>
      </c>
      <c r="AD20" s="8">
        <f>$S$13*$W$8+$S$8</f>
        <v>10938.357830894005</v>
      </c>
      <c r="AE20" s="13">
        <f>$S$14*$R$14</f>
        <v>4.9979999999999993</v>
      </c>
      <c r="AH20" s="7">
        <v>2.5975389638956435E-16</v>
      </c>
      <c r="AI20" s="8">
        <v>6.2778955769172985E-14</v>
      </c>
      <c r="AJ20" s="8">
        <v>5.4530231688434851E-11</v>
      </c>
      <c r="AK20" s="8">
        <v>6.774930144581185E-8</v>
      </c>
      <c r="AL20" s="9">
        <v>9.1489100719342295E-5</v>
      </c>
      <c r="AN20">
        <v>4.5726252539527275E-4</v>
      </c>
      <c r="AO20" s="5"/>
      <c r="AP20" s="5"/>
      <c r="AQ20" s="5"/>
      <c r="AR20" s="5"/>
      <c r="AS20" s="5"/>
    </row>
    <row r="22" spans="1:51" ht="15.75" thickBot="1" x14ac:dyDescent="0.3">
      <c r="B22" t="s">
        <v>124</v>
      </c>
    </row>
    <row r="23" spans="1:51" ht="15.75" thickBot="1" x14ac:dyDescent="0.3">
      <c r="B23">
        <f>L10/L9</f>
        <v>1.8330313548994588E-5</v>
      </c>
      <c r="Y23" s="5"/>
      <c r="Z23" s="5"/>
      <c r="AA23" s="5"/>
      <c r="AB23" s="5"/>
      <c r="AC23" s="5"/>
      <c r="AD23" s="5"/>
      <c r="AE23" s="51"/>
      <c r="AF23" s="5"/>
      <c r="AG23" s="5"/>
      <c r="AH23" s="5"/>
      <c r="AI23" s="5"/>
      <c r="AJ23" s="5"/>
      <c r="AK23" s="5"/>
      <c r="AL23" s="5"/>
      <c r="AO23" s="18"/>
      <c r="AP23" s="19" t="s">
        <v>116</v>
      </c>
      <c r="AQ23" s="78" t="s">
        <v>28</v>
      </c>
      <c r="AR23" s="78" t="s">
        <v>29</v>
      </c>
      <c r="AS23" s="22" t="s">
        <v>30</v>
      </c>
      <c r="AU23" s="79" t="s">
        <v>121</v>
      </c>
      <c r="AV23" s="79" t="s">
        <v>115</v>
      </c>
      <c r="AW23" s="79" t="s">
        <v>122</v>
      </c>
      <c r="AX23" s="79" t="s">
        <v>114</v>
      </c>
      <c r="AY23" s="79" t="s">
        <v>123</v>
      </c>
    </row>
    <row r="24" spans="1:51" ht="15.75" thickBot="1" x14ac:dyDescent="0.3">
      <c r="A24" t="s">
        <v>128</v>
      </c>
      <c r="G24" s="27" t="s">
        <v>77</v>
      </c>
      <c r="H24" s="28" t="s">
        <v>78</v>
      </c>
      <c r="I24" s="28" t="s">
        <v>79</v>
      </c>
      <c r="J24" s="28" t="s">
        <v>80</v>
      </c>
      <c r="K24" s="28" t="s">
        <v>81</v>
      </c>
      <c r="L24" s="28" t="s">
        <v>82</v>
      </c>
      <c r="M24" s="28" t="s">
        <v>83</v>
      </c>
      <c r="N24" s="28" t="s">
        <v>84</v>
      </c>
      <c r="O24" s="28" t="s">
        <v>85</v>
      </c>
      <c r="P24" s="28" t="s">
        <v>86</v>
      </c>
      <c r="Q24" s="28" t="s">
        <v>87</v>
      </c>
      <c r="R24" s="29" t="s">
        <v>88</v>
      </c>
      <c r="Y24" s="51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O24" s="76" t="s">
        <v>7</v>
      </c>
      <c r="AP24" s="1">
        <v>25</v>
      </c>
      <c r="AQ24" s="2">
        <v>0.35</v>
      </c>
      <c r="AR24" s="2">
        <v>0.65</v>
      </c>
      <c r="AS24" s="3">
        <v>0</v>
      </c>
      <c r="AU24">
        <f>AP25</f>
        <v>5.0999999999999996</v>
      </c>
      <c r="AV24">
        <f>AP25/AP24</f>
        <v>0.20399999999999999</v>
      </c>
      <c r="AW24">
        <f>AR29*AM29/AP24/AQ24</f>
        <v>9.3385601350494327E-2</v>
      </c>
      <c r="AX24">
        <v>0.998</v>
      </c>
      <c r="AY24">
        <f>AQ33*AK33/AP25/AS25</f>
        <v>7.357111321875091E-4</v>
      </c>
    </row>
    <row r="25" spans="1:51" ht="15.75" thickBot="1" x14ac:dyDescent="0.3">
      <c r="B25" t="s">
        <v>125</v>
      </c>
      <c r="C25" t="s">
        <v>126</v>
      </c>
      <c r="D25" t="s">
        <v>127</v>
      </c>
      <c r="G25">
        <f>B31/$B$39/$B$40</f>
        <v>2.1071800296631609</v>
      </c>
      <c r="H25">
        <f>C31/$B$39/$B$40</f>
        <v>2.8350922655412045</v>
      </c>
      <c r="I25">
        <f>B32/$B$39/$B$40</f>
        <v>7.2849444468829168</v>
      </c>
      <c r="J25">
        <f>C32/$B$39/$B$40</f>
        <v>6.1290709297054313</v>
      </c>
      <c r="K25">
        <f>B33/$B$39/$B$40</f>
        <v>4.0246507210259157</v>
      </c>
      <c r="L25">
        <f>C33/$B$39/$B$40</f>
        <v>0.21292207917654202</v>
      </c>
      <c r="M25">
        <f>EXP(-$E$31*G25)</f>
        <v>0.43047242445194145</v>
      </c>
      <c r="N25">
        <f t="shared" ref="N25:R25" si="23">EXP(-$E$31*H25)</f>
        <v>0.32173183009668638</v>
      </c>
      <c r="O25">
        <f t="shared" si="23"/>
        <v>5.425946787469077E-2</v>
      </c>
      <c r="P25">
        <f t="shared" si="23"/>
        <v>8.6153182795249569E-2</v>
      </c>
      <c r="Q25">
        <f t="shared" si="23"/>
        <v>0.19991554264238187</v>
      </c>
      <c r="R25">
        <f t="shared" si="23"/>
        <v>0.91835722352796123</v>
      </c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O25" s="77" t="s">
        <v>18</v>
      </c>
      <c r="AP25" s="92">
        <v>5.0999999999999996</v>
      </c>
      <c r="AQ25" s="8">
        <v>1.9999633400448923E-2</v>
      </c>
      <c r="AR25" s="8">
        <v>3.6659955109444309E-7</v>
      </c>
      <c r="AS25" s="9">
        <v>0.98</v>
      </c>
    </row>
    <row r="26" spans="1:51" ht="15.75" thickBot="1" x14ac:dyDescent="0.3">
      <c r="B26">
        <f>(1-D26)/(1+B23)</f>
        <v>1.9999633400448923E-2</v>
      </c>
      <c r="C26">
        <f>1-D26-B26</f>
        <v>3.6659955109444309E-7</v>
      </c>
      <c r="D26">
        <v>0.98</v>
      </c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W26" s="32"/>
    </row>
    <row r="27" spans="1:51" ht="15.75" thickBot="1" x14ac:dyDescent="0.3"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Q27" s="19" t="s">
        <v>117</v>
      </c>
      <c r="AR27" s="22" t="s">
        <v>118</v>
      </c>
    </row>
    <row r="28" spans="1:51" ht="15.75" thickBot="1" x14ac:dyDescent="0.3">
      <c r="Y28" s="5"/>
      <c r="Z28" s="5"/>
      <c r="AA28" s="51" t="s">
        <v>110</v>
      </c>
      <c r="AB28" s="51" t="s">
        <v>111</v>
      </c>
      <c r="AC28" s="51" t="s">
        <v>112</v>
      </c>
      <c r="AD28" s="79" t="s">
        <v>113</v>
      </c>
      <c r="AG28" s="5"/>
      <c r="AH28" s="17" t="s">
        <v>6</v>
      </c>
      <c r="AI28" s="80" t="s">
        <v>68</v>
      </c>
      <c r="AJ28" s="81" t="s">
        <v>69</v>
      </c>
      <c r="AK28" s="81" t="s">
        <v>70</v>
      </c>
      <c r="AL28" s="82" t="s">
        <v>74</v>
      </c>
      <c r="AM28" s="80" t="s">
        <v>71</v>
      </c>
      <c r="AN28" s="81" t="s">
        <v>72</v>
      </c>
      <c r="AO28" s="81" t="s">
        <v>73</v>
      </c>
      <c r="AP28" s="86" t="s">
        <v>75</v>
      </c>
      <c r="AQ28" s="80">
        <f>AP24</f>
        <v>25</v>
      </c>
      <c r="AR28" s="3"/>
      <c r="AS28" s="78" t="s">
        <v>62</v>
      </c>
      <c r="AT28" s="78" t="s">
        <v>63</v>
      </c>
      <c r="AU28" s="22" t="s">
        <v>64</v>
      </c>
    </row>
    <row r="29" spans="1:51" ht="15.75" thickBot="1" x14ac:dyDescent="0.3">
      <c r="AA29" s="32">
        <f>SUM(AB29:AD29)</f>
        <v>1.0000001383245358</v>
      </c>
      <c r="AB29" s="98">
        <f>AN2</f>
        <v>0.78781482649240298</v>
      </c>
      <c r="AC29" s="99">
        <f>AN9</f>
        <v>0.21017844502133079</v>
      </c>
      <c r="AD29" s="100">
        <f>AN16</f>
        <v>2.0068668108020136E-3</v>
      </c>
      <c r="AH29" s="83">
        <v>1</v>
      </c>
      <c r="AI29" s="98">
        <f>I37</f>
        <v>0.78781482649240286</v>
      </c>
      <c r="AJ29" s="99">
        <f t="shared" ref="AJ29:AO33" si="24">J37</f>
        <v>0.21017830228116824</v>
      </c>
      <c r="AK29" s="99">
        <f t="shared" si="24"/>
        <v>2.0068712264288916E-3</v>
      </c>
      <c r="AL29" s="93">
        <f>L37</f>
        <v>1</v>
      </c>
      <c r="AM29" s="99">
        <f t="shared" si="24"/>
        <v>3.7043526558127385E-2</v>
      </c>
      <c r="AN29" s="99">
        <f t="shared" si="24"/>
        <v>0.73654317759137211</v>
      </c>
      <c r="AO29" s="100">
        <f t="shared" si="24"/>
        <v>0.22641329585050052</v>
      </c>
      <c r="AP29" s="54">
        <f>SUM(AM29:AO29)</f>
        <v>1</v>
      </c>
      <c r="AQ29" s="91">
        <f>(AR31*(AM30-AM31)+AQ30*(AI30-AM30))/(AI29-AM30)</f>
        <v>10.339670852370451</v>
      </c>
      <c r="AR29" s="97">
        <f>AQ28+AR34-AQ33</f>
        <v>22.058483296254835</v>
      </c>
      <c r="AS29" s="1">
        <f>AM29/AI29</f>
        <v>4.7020600923514871E-2</v>
      </c>
      <c r="AT29" s="2">
        <f>AN29/AJ29</f>
        <v>3.5043730470619834</v>
      </c>
      <c r="AU29" s="3">
        <f>AO29/AK29</f>
        <v>112.8190453222998</v>
      </c>
      <c r="AW29" t="s">
        <v>114</v>
      </c>
      <c r="AX29" s="88">
        <f>(AR29*AN29-AP25*AR25)/AP24/AR24</f>
        <v>0.9998168313976632</v>
      </c>
      <c r="AY29">
        <f>(AX24-AX29)^2</f>
        <v>3.3008763275348126E-6</v>
      </c>
    </row>
    <row r="30" spans="1:51" ht="15.75" thickBot="1" x14ac:dyDescent="0.3">
      <c r="A30" s="107" t="s">
        <v>76</v>
      </c>
      <c r="B30" s="107"/>
      <c r="C30" s="107"/>
      <c r="D30" s="107"/>
      <c r="E30" s="107"/>
      <c r="J30" s="32">
        <f>(J37+J50)/2</f>
        <v>0.21017871653257486</v>
      </c>
      <c r="K30" s="32">
        <f>(K37+K50)/2</f>
        <v>2.0068756519275926E-3</v>
      </c>
      <c r="L30" s="57">
        <f>SUM(I37:K37)</f>
        <v>0.99999999999999989</v>
      </c>
      <c r="M30" s="32">
        <f t="shared" ref="M30:N34" si="25">(M37+M50)/2</f>
        <v>3.7043498750503979E-2</v>
      </c>
      <c r="N30" s="32">
        <f t="shared" si="25"/>
        <v>0.73654172590563038</v>
      </c>
      <c r="T30" s="24"/>
      <c r="U30" s="24"/>
      <c r="V30" s="24"/>
      <c r="W30" s="24"/>
      <c r="X30" s="24"/>
      <c r="Y30" s="24"/>
      <c r="Z30" s="24"/>
      <c r="AA30" s="32">
        <f t="shared" ref="AA30:AA33" si="26">SUM(AB30:AD30)</f>
        <v>0.99999977176227317</v>
      </c>
      <c r="AB30" s="98">
        <f>AN3</f>
        <v>0.95051959078067516</v>
      </c>
      <c r="AC30" s="99">
        <f>AN10</f>
        <v>4.8792622154628859E-2</v>
      </c>
      <c r="AD30" s="100">
        <f>AN17</f>
        <v>6.875588269691891E-4</v>
      </c>
      <c r="AH30" s="84">
        <v>2</v>
      </c>
      <c r="AI30" s="91">
        <f t="shared" ref="AI30:AI33" si="27">I38</f>
        <v>0.95051959078067516</v>
      </c>
      <c r="AJ30" s="102">
        <f t="shared" si="24"/>
        <v>4.8792851996183453E-2</v>
      </c>
      <c r="AK30" s="102">
        <f t="shared" si="24"/>
        <v>6.87557223141431E-4</v>
      </c>
      <c r="AL30" s="94">
        <f t="shared" si="24"/>
        <v>1</v>
      </c>
      <c r="AM30" s="102">
        <f t="shared" si="24"/>
        <v>2.877339483459708E-2</v>
      </c>
      <c r="AN30" s="102">
        <f t="shared" si="24"/>
        <v>0.29334649359733367</v>
      </c>
      <c r="AO30" s="97">
        <f t="shared" si="24"/>
        <v>0.67788011156806927</v>
      </c>
      <c r="AP30" s="55">
        <f t="shared" ref="AP30:AP33" si="28">SUM(AM30:AO30)</f>
        <v>1</v>
      </c>
      <c r="AQ30" s="91">
        <f>(AR32*(AM31-AM32)+AQ31*(AI31-AM31))/(AI30-AM31)</f>
        <v>8.3722806753302272</v>
      </c>
      <c r="AR30" s="97">
        <f t="shared" ref="AR30:AR32" si="29">AR31+AQ29-AQ30</f>
        <v>7.3981541486252844</v>
      </c>
      <c r="AS30" s="4">
        <f>AM30/AI30</f>
        <v>3.0271227561932821E-2</v>
      </c>
      <c r="AT30" s="5">
        <f>AN30/AJ30</f>
        <v>6.0120792615336169</v>
      </c>
      <c r="AU30" s="6">
        <f>AO30/AK30</f>
        <v>985.92537283057368</v>
      </c>
      <c r="AW30" t="s">
        <v>129</v>
      </c>
      <c r="AX30">
        <f>AX24*AR24*AP24</f>
        <v>16.217500000000001</v>
      </c>
    </row>
    <row r="31" spans="1:51" ht="15.75" thickBot="1" x14ac:dyDescent="0.3">
      <c r="A31" s="25" t="s">
        <v>33</v>
      </c>
      <c r="B31" s="26">
        <v>5.5736999999999997</v>
      </c>
      <c r="C31" s="26">
        <v>7.4991000000000003</v>
      </c>
      <c r="D31" s="25">
        <v>6.4999999999999997E-3</v>
      </c>
      <c r="E31" s="25">
        <v>0.4</v>
      </c>
      <c r="J31" s="32">
        <f t="shared" ref="J31:K31" si="30">(J38+J51)/2</f>
        <v>4.8792850910237516E-2</v>
      </c>
      <c r="K31" s="32">
        <f t="shared" si="30"/>
        <v>6.875572212377718E-4</v>
      </c>
      <c r="L31" s="57">
        <f t="shared" ref="L31:L34" si="31">SUM(I38:K38)</f>
        <v>1</v>
      </c>
      <c r="M31" s="32">
        <f t="shared" si="25"/>
        <v>2.8773310808483173E-2</v>
      </c>
      <c r="N31" s="32">
        <f t="shared" si="25"/>
        <v>0.29334650012612701</v>
      </c>
      <c r="T31" s="24"/>
      <c r="U31" s="24"/>
      <c r="V31" s="24"/>
      <c r="W31" s="24"/>
      <c r="X31" s="24"/>
      <c r="Y31" s="24"/>
      <c r="Z31" s="24"/>
      <c r="AA31" s="32">
        <f t="shared" si="26"/>
        <v>0.99999984965713462</v>
      </c>
      <c r="AB31" s="98">
        <f>AN4</f>
        <v>0.98915309865680512</v>
      </c>
      <c r="AC31" s="99">
        <f>AN11</f>
        <v>1.0345867210318233E-2</v>
      </c>
      <c r="AD31" s="100">
        <f>AN18</f>
        <v>5.0088379001120699E-4</v>
      </c>
      <c r="AH31" s="84">
        <v>3</v>
      </c>
      <c r="AI31" s="91">
        <f t="shared" si="27"/>
        <v>0.98915309865680534</v>
      </c>
      <c r="AJ31" s="102">
        <f t="shared" si="24"/>
        <v>1.0346017958230615E-2</v>
      </c>
      <c r="AK31" s="102">
        <f t="shared" si="24"/>
        <v>5.0088338496402879E-4</v>
      </c>
      <c r="AL31" s="94">
        <f t="shared" si="24"/>
        <v>1</v>
      </c>
      <c r="AM31" s="102">
        <f t="shared" si="24"/>
        <v>4.6293326987159487E-3</v>
      </c>
      <c r="AN31" s="102">
        <f t="shared" si="24"/>
        <v>7.4676022124904567E-2</v>
      </c>
      <c r="AO31" s="97">
        <f t="shared" si="24"/>
        <v>0.92069464517637956</v>
      </c>
      <c r="AP31" s="55">
        <f t="shared" si="28"/>
        <v>1</v>
      </c>
      <c r="AQ31" s="91">
        <f>(AR33*(AM32-AM33)+AQ32*(AI32-AM32))/(AI31-AM32)</f>
        <v>8.031965975731735</v>
      </c>
      <c r="AR31" s="97">
        <f t="shared" si="29"/>
        <v>5.4307639715850602</v>
      </c>
      <c r="AS31" s="4">
        <f>AM31/AI31</f>
        <v>4.6800972518836878E-3</v>
      </c>
      <c r="AT31" s="5">
        <f>AN31/AJ31</f>
        <v>7.2178515856428804</v>
      </c>
      <c r="AU31" s="6">
        <f>AO31/AK31</f>
        <v>1838.1417168439311</v>
      </c>
      <c r="AW31" t="s">
        <v>121</v>
      </c>
      <c r="AX31">
        <f>(AR29*AN29-AX30)/AR25</f>
        <v>80538.505248012414</v>
      </c>
    </row>
    <row r="32" spans="1:51" ht="15.75" thickBot="1" x14ac:dyDescent="0.3">
      <c r="A32" s="30" t="s">
        <v>34</v>
      </c>
      <c r="B32" s="31">
        <v>19.269400000000001</v>
      </c>
      <c r="C32" s="31">
        <v>16.212</v>
      </c>
      <c r="D32" s="30"/>
      <c r="E32" s="30"/>
      <c r="J32" s="32">
        <f t="shared" ref="J32:K32" si="32">(J39+J52)/2</f>
        <v>1.034601796204572E-2</v>
      </c>
      <c r="K32" s="32">
        <f t="shared" si="32"/>
        <v>5.00883385138787E-4</v>
      </c>
      <c r="L32" s="57">
        <f t="shared" si="31"/>
        <v>1</v>
      </c>
      <c r="M32" s="32">
        <f t="shared" si="25"/>
        <v>4.6293326091557847E-3</v>
      </c>
      <c r="N32" s="32">
        <f t="shared" si="25"/>
        <v>7.4676022097367706E-2</v>
      </c>
      <c r="T32" s="32"/>
      <c r="U32" s="32"/>
      <c r="V32" s="32"/>
      <c r="W32" s="32"/>
      <c r="X32" s="32"/>
      <c r="Y32" s="32"/>
      <c r="Z32" s="32"/>
      <c r="AA32" s="32">
        <f t="shared" si="26"/>
        <v>0.99999996732475738</v>
      </c>
      <c r="AB32" s="98">
        <f>AN5</f>
        <v>0.9974207769501624</v>
      </c>
      <c r="AC32" s="99">
        <f>AN12</f>
        <v>2.1144214621840181E-3</v>
      </c>
      <c r="AD32" s="100">
        <f>AN19</f>
        <v>4.6476891241102299E-4</v>
      </c>
      <c r="AH32" s="84">
        <v>4</v>
      </c>
      <c r="AI32" s="91">
        <f t="shared" si="27"/>
        <v>0.99742077695016251</v>
      </c>
      <c r="AJ32" s="102">
        <f t="shared" si="24"/>
        <v>2.1144541445163945E-3</v>
      </c>
      <c r="AK32" s="102">
        <f t="shared" si="24"/>
        <v>4.6476890532113897E-4</v>
      </c>
      <c r="AL32" s="94">
        <f t="shared" si="24"/>
        <v>1</v>
      </c>
      <c r="AM32" s="102">
        <f t="shared" si="24"/>
        <v>2.3510783387554988E-3</v>
      </c>
      <c r="AN32" s="102">
        <f t="shared" si="24"/>
        <v>1.5742285525650053E-2</v>
      </c>
      <c r="AO32" s="97">
        <f t="shared" si="24"/>
        <v>0.98190663613559448</v>
      </c>
      <c r="AP32" s="55">
        <f t="shared" si="28"/>
        <v>1</v>
      </c>
      <c r="AQ32" s="91">
        <f>(AR34*(AM33-AM34)+AQ33*(AI33-AM33))/(AI32-AM33)</f>
        <v>7.9633670258863862</v>
      </c>
      <c r="AR32" s="97">
        <f t="shared" si="29"/>
        <v>5.0904492719865679</v>
      </c>
      <c r="AS32" s="4">
        <f>AM32/AI32</f>
        <v>2.3571579749365637E-3</v>
      </c>
      <c r="AT32" s="5">
        <f>AN32/AJ32</f>
        <v>7.4450824892447764</v>
      </c>
      <c r="AU32" s="6">
        <f>AO32/AK32</f>
        <v>2112.6771281248507</v>
      </c>
    </row>
    <row r="33" spans="1:47" ht="15.75" thickBot="1" x14ac:dyDescent="0.3">
      <c r="A33" s="33" t="s">
        <v>35</v>
      </c>
      <c r="B33" s="34">
        <v>10.6456</v>
      </c>
      <c r="C33" s="34">
        <v>0.56320000000000003</v>
      </c>
      <c r="D33" s="35"/>
      <c r="E33" s="35"/>
      <c r="J33" s="32">
        <f t="shared" ref="J33:K33" si="33">(J40+J53)/2</f>
        <v>2.1144541445470874E-3</v>
      </c>
      <c r="K33" s="32">
        <f t="shared" si="33"/>
        <v>4.6476890532809456E-4</v>
      </c>
      <c r="L33" s="57">
        <f t="shared" si="31"/>
        <v>1</v>
      </c>
      <c r="M33" s="32">
        <f t="shared" si="25"/>
        <v>2.3510783366973453E-3</v>
      </c>
      <c r="N33" s="32">
        <f t="shared" si="25"/>
        <v>1.5742285525421541E-2</v>
      </c>
      <c r="T33" s="32"/>
      <c r="U33" s="32"/>
      <c r="V33" s="32"/>
      <c r="W33" s="32"/>
      <c r="X33" s="32"/>
      <c r="Y33" s="32"/>
      <c r="Z33" s="32"/>
      <c r="AA33" s="32">
        <f t="shared" si="26"/>
        <v>0.9999999943822655</v>
      </c>
      <c r="AB33" s="98">
        <f>AN6</f>
        <v>0.99917396363591338</v>
      </c>
      <c r="AC33" s="99">
        <f>AN13</f>
        <v>3.687682209568797E-4</v>
      </c>
      <c r="AD33" s="100">
        <f>AN20</f>
        <v>4.5726252539527275E-4</v>
      </c>
      <c r="AH33" s="85">
        <v>5</v>
      </c>
      <c r="AI33" s="103">
        <f t="shared" si="27"/>
        <v>0.9991739636359136</v>
      </c>
      <c r="AJ33" s="104">
        <f t="shared" si="24"/>
        <v>3.6877383835410215E-4</v>
      </c>
      <c r="AK33" s="104">
        <f t="shared" si="24"/>
        <v>4.5726252573232183E-4</v>
      </c>
      <c r="AL33" s="95">
        <f t="shared" si="24"/>
        <v>1</v>
      </c>
      <c r="AM33" s="104">
        <f t="shared" si="24"/>
        <v>1.9816874811763585E-3</v>
      </c>
      <c r="AN33" s="104">
        <f t="shared" si="24"/>
        <v>2.7628341060818178E-3</v>
      </c>
      <c r="AO33" s="105">
        <f t="shared" si="24"/>
        <v>0.99525547841274187</v>
      </c>
      <c r="AP33" s="56">
        <f t="shared" si="28"/>
        <v>1</v>
      </c>
      <c r="AQ33" s="91">
        <f>(AP24*AQ24+AP25*AQ25-(AP24+AP25)*AM29)/(AI33-AM29)</f>
        <v>8.0415167037451667</v>
      </c>
      <c r="AR33" s="97">
        <f>AR34+AQ32-AQ33</f>
        <v>5.0218503221412192</v>
      </c>
      <c r="AS33" s="7">
        <f t="shared" ref="AS30:AS33" si="34">AM33/AI33</f>
        <v>1.9833257803927931E-3</v>
      </c>
      <c r="AT33" s="8">
        <f>AN33/AJ33</f>
        <v>7.4919471468279788</v>
      </c>
      <c r="AU33" s="9">
        <f>AO33/AK33</f>
        <v>2176.5515921489646</v>
      </c>
    </row>
    <row r="34" spans="1:47" ht="15.75" thickBot="1" x14ac:dyDescent="0.3">
      <c r="J34" s="32">
        <f t="shared" ref="J34:K34" si="35">(J41+J54)/2</f>
        <v>3.6877383835472942E-4</v>
      </c>
      <c r="K34" s="32">
        <f t="shared" si="35"/>
        <v>4.572625257331733E-4</v>
      </c>
      <c r="L34" s="57">
        <f t="shared" si="31"/>
        <v>1</v>
      </c>
      <c r="M34" s="32">
        <f t="shared" si="25"/>
        <v>1.9816874809611951E-3</v>
      </c>
      <c r="N34" s="32">
        <f t="shared" si="25"/>
        <v>2.7628341060771189E-3</v>
      </c>
      <c r="T34" s="32"/>
      <c r="U34" s="32"/>
      <c r="V34" s="32"/>
      <c r="W34" s="32"/>
      <c r="X34" s="32"/>
      <c r="Y34" s="32"/>
      <c r="Z34" s="32"/>
      <c r="AM34" s="68">
        <f>AQ25</f>
        <v>1.9999633400448923E-2</v>
      </c>
      <c r="AN34" s="68">
        <f t="shared" ref="AN34:AO34" si="36">AR25</f>
        <v>3.6659955109444309E-7</v>
      </c>
      <c r="AO34" s="68">
        <f t="shared" si="36"/>
        <v>0.98</v>
      </c>
      <c r="AQ34" s="103"/>
      <c r="AR34" s="106">
        <f>AP25</f>
        <v>5.0999999999999996</v>
      </c>
    </row>
    <row r="35" spans="1:47" ht="26.25" thickBot="1" x14ac:dyDescent="0.3">
      <c r="A35" s="108" t="s">
        <v>89</v>
      </c>
      <c r="B35" s="36" t="s">
        <v>90</v>
      </c>
      <c r="C35" s="36" t="s">
        <v>91</v>
      </c>
      <c r="D35" s="108" t="s">
        <v>36</v>
      </c>
      <c r="E35" s="108" t="s">
        <v>37</v>
      </c>
    </row>
    <row r="36" spans="1:47" ht="15.75" thickBot="1" x14ac:dyDescent="0.3">
      <c r="A36" s="109"/>
      <c r="B36" s="110" t="s">
        <v>38</v>
      </c>
      <c r="C36" s="110"/>
      <c r="D36" s="109"/>
      <c r="E36" s="109"/>
      <c r="I36" s="37" t="s">
        <v>39</v>
      </c>
      <c r="J36" s="38" t="s">
        <v>40</v>
      </c>
      <c r="K36" s="39" t="s">
        <v>41</v>
      </c>
      <c r="L36" s="40"/>
      <c r="M36" s="37" t="s">
        <v>42</v>
      </c>
      <c r="N36" s="38" t="s">
        <v>43</v>
      </c>
      <c r="O36" s="39" t="s">
        <v>44</v>
      </c>
      <c r="P36" s="41" t="s">
        <v>92</v>
      </c>
      <c r="Q36" s="42" t="s">
        <v>93</v>
      </c>
      <c r="R36" s="43" t="s">
        <v>94</v>
      </c>
      <c r="S36" s="41" t="s">
        <v>95</v>
      </c>
      <c r="T36" s="42" t="s">
        <v>96</v>
      </c>
      <c r="U36" s="43" t="s">
        <v>97</v>
      </c>
      <c r="V36" s="44" t="s">
        <v>45</v>
      </c>
      <c r="W36" s="45" t="s">
        <v>46</v>
      </c>
      <c r="X36" s="46" t="s">
        <v>47</v>
      </c>
      <c r="Y36" s="41" t="s">
        <v>98</v>
      </c>
      <c r="Z36" s="42" t="s">
        <v>99</v>
      </c>
      <c r="AA36" s="42" t="s">
        <v>100</v>
      </c>
      <c r="AB36" s="19" t="s">
        <v>48</v>
      </c>
      <c r="AC36" s="78" t="s">
        <v>49</v>
      </c>
      <c r="AD36" s="22" t="s">
        <v>50</v>
      </c>
      <c r="AH36" s="96"/>
    </row>
    <row r="37" spans="1:47" x14ac:dyDescent="0.25">
      <c r="I37" s="32">
        <f>1-J37-K37</f>
        <v>0.78781482649240286</v>
      </c>
      <c r="J37" s="32">
        <v>0.21017830228116824</v>
      </c>
      <c r="K37" s="97">
        <v>2.0068712264288916E-3</v>
      </c>
      <c r="L37" s="67">
        <v>1</v>
      </c>
      <c r="M37" s="47">
        <v>3.7043526558127385E-2</v>
      </c>
      <c r="N37" s="47">
        <v>0.73654317759137211</v>
      </c>
      <c r="O37" s="32">
        <f>1-M37-N37</f>
        <v>0.22641329585050052</v>
      </c>
      <c r="P37">
        <f>I37+$N$25*J37+$P$25*K37</f>
        <v>0.85560877467555463</v>
      </c>
      <c r="Q37">
        <f>$M$25*I37+J37+$R$25*K37</f>
        <v>0.5511538853480199</v>
      </c>
      <c r="R37">
        <f>$O$25*I37+$Q$25*J37+K37</f>
        <v>8.6771193847892836E-2</v>
      </c>
      <c r="S37">
        <f>J37*$H$25*$N$25+K37*$J$25*$P$25</f>
        <v>0.19277162159949898</v>
      </c>
      <c r="T37">
        <f>I37*$G$25*$M$25+K37*$L$25*$R$25</f>
        <v>0.7150057750740173</v>
      </c>
      <c r="U37">
        <f>I37*$I$25*$O$25+J37*$K$25*$Q$25</f>
        <v>0.48051265514043834</v>
      </c>
      <c r="V37">
        <f>S37/P37-I37*S37/P37^2+J37*$M$25/Q37*($G$25-T37/Q37)+K37*$O$25/R37*($I$25-U37/R37)</f>
        <v>0.15299413328404177</v>
      </c>
      <c r="W37">
        <f>T37/Q37-J37*T37/Q37^2+(I37*$N$25/P37)*($H$25-S37/P37)+(K37*$Q$25/R37)*($K$25-U37/R37)</f>
        <v>1.5687043011768838</v>
      </c>
      <c r="X37">
        <f>U37/R37-K37*U37/R37^2+I37*$P$25/P37*($J$25-S37/P37)+J37*$R$25/Q37*($L$25-T37/Q37)</f>
        <v>5.4981931565038575</v>
      </c>
      <c r="Y37">
        <f>EXP(V37)</f>
        <v>1.1653181423321417</v>
      </c>
      <c r="Z37">
        <f t="shared" ref="Z37:AA41" si="37">EXP(W37)</f>
        <v>4.8004242584109802</v>
      </c>
      <c r="AA37">
        <f t="shared" si="37"/>
        <v>244.25021141824232</v>
      </c>
      <c r="AB37">
        <f>Y37/Y43</f>
        <v>4.7020530329201407E-2</v>
      </c>
      <c r="AC37">
        <f t="shared" ref="AC37:AD41" si="38">Z37/Z43</f>
        <v>3.5043592332122571</v>
      </c>
      <c r="AD37">
        <f t="shared" si="38"/>
        <v>112.81854775341753</v>
      </c>
      <c r="AQ37" s="32">
        <f>AQ33+AR29</f>
        <v>30.1</v>
      </c>
    </row>
    <row r="38" spans="1:47" x14ac:dyDescent="0.25">
      <c r="I38" s="32">
        <f t="shared" ref="I38:I41" si="39">1-J38-K38</f>
        <v>0.95051959078067516</v>
      </c>
      <c r="J38" s="32">
        <v>4.8792851996183453E-2</v>
      </c>
      <c r="K38" s="32">
        <v>6.87557223141431E-4</v>
      </c>
      <c r="L38" s="57">
        <v>1</v>
      </c>
      <c r="M38" s="47">
        <v>2.877339483459708E-2</v>
      </c>
      <c r="N38" s="32">
        <v>0.29334649359733367</v>
      </c>
      <c r="O38" s="32">
        <f t="shared" ref="O38:O41" si="40">1-M38-N38</f>
        <v>0.67788011156806927</v>
      </c>
      <c r="P38">
        <f t="shared" ref="P38:P41" si="41">I38+$N$25*J38+$P$25*K38</f>
        <v>0.96627703959217148</v>
      </c>
      <c r="Q38">
        <f t="shared" ref="Q38:Q41" si="42">$M$25*I38+J38+$R$25*K38</f>
        <v>0.45859674787106869</v>
      </c>
      <c r="R38">
        <f t="shared" ref="R38:R41" si="43">$O$25*I38+$Q$25*J38+K38</f>
        <v>6.2016693907256136E-2</v>
      </c>
      <c r="S38">
        <f t="shared" ref="S38:S41" si="44">J38*$H$25*$N$25+K38*$J$25*$P$25</f>
        <v>4.4868940877163324E-2</v>
      </c>
      <c r="T38">
        <f t="shared" ref="T38:T41" si="45">I38*$G$25*$M$25+K38*$L$25*$R$25</f>
        <v>0.86233450715799209</v>
      </c>
      <c r="U38">
        <f t="shared" ref="U38:U41" si="46">I38*$I$25*$O$25+J38*$K$25*$Q$25</f>
        <v>0.41497698326756077</v>
      </c>
      <c r="V38">
        <f t="shared" ref="V38:V41" si="47">S38/P38-I38*S38/P38^2+J38*$M$25/Q38*($G$25-T38/Q38)+K38*$O$25/R38*($I$25-U38/R38)</f>
        <v>1.1502023265827116E-2</v>
      </c>
      <c r="W38">
        <f t="shared" ref="W38:W41" si="48">T38/Q38-J38*T38/Q38^2+(I38*$N$25/P38)*($H$25-S38/P38)+(K38*$Q$25/R38)*($K$25-U38/R38)</f>
        <v>2.5569702729605703</v>
      </c>
      <c r="X38">
        <f t="shared" ref="X38:X41" si="49">U38/R38-K38*U38/R38^2+I38*$P$25/P38*($J$25-S38/P38)+J38*$R$25/Q38*($L$25-T38/Q38)</f>
        <v>6.9697571312405158</v>
      </c>
      <c r="Y38">
        <f t="shared" ref="Y38:Y41" si="50">EXP(V38)</f>
        <v>1.011568425879356</v>
      </c>
      <c r="Z38">
        <f t="shared" si="37"/>
        <v>12.896684630655857</v>
      </c>
      <c r="AA38">
        <f t="shared" si="37"/>
        <v>1063.9643154630264</v>
      </c>
      <c r="AB38">
        <f>Y38/Y44</f>
        <v>3.0271050761549699E-2</v>
      </c>
      <c r="AC38">
        <f t="shared" si="38"/>
        <v>6.0120795291463125</v>
      </c>
      <c r="AD38">
        <f t="shared" si="38"/>
        <v>985.92537829009268</v>
      </c>
    </row>
    <row r="39" spans="1:47" x14ac:dyDescent="0.25">
      <c r="A39" s="48" t="s">
        <v>57</v>
      </c>
      <c r="B39">
        <f>8.314/1000</f>
        <v>8.3140000000000002E-3</v>
      </c>
      <c r="C39" t="s">
        <v>58</v>
      </c>
      <c r="I39" s="32">
        <f t="shared" si="39"/>
        <v>0.98915309865680534</v>
      </c>
      <c r="J39" s="32">
        <v>1.0346017958230615E-2</v>
      </c>
      <c r="K39" s="32">
        <v>5.0088338496402879E-4</v>
      </c>
      <c r="L39" s="57">
        <v>1</v>
      </c>
      <c r="M39" s="47">
        <v>4.6293326987159487E-3</v>
      </c>
      <c r="N39" s="32">
        <v>7.4676022124904567E-2</v>
      </c>
      <c r="O39" s="32">
        <f t="shared" si="40"/>
        <v>0.92069464517637956</v>
      </c>
      <c r="P39">
        <f t="shared" si="41"/>
        <v>0.99252489464654403</v>
      </c>
      <c r="Q39">
        <f t="shared" si="42"/>
        <v>0.43660914036590287</v>
      </c>
      <c r="R39">
        <f t="shared" si="43"/>
        <v>5.6240133958991287E-2</v>
      </c>
      <c r="S39">
        <f t="shared" si="44"/>
        <v>9.7014967974239173E-3</v>
      </c>
      <c r="T39">
        <f t="shared" si="45"/>
        <v>0.89734179944196579</v>
      </c>
      <c r="U39">
        <f t="shared" si="46"/>
        <v>0.39931398129129148</v>
      </c>
      <c r="V39">
        <f t="shared" si="47"/>
        <v>6.5219892622441259E-4</v>
      </c>
      <c r="W39">
        <f t="shared" si="48"/>
        <v>2.9069808527531267</v>
      </c>
      <c r="X39">
        <f t="shared" si="49"/>
        <v>7.5222391405917026</v>
      </c>
      <c r="Y39">
        <f t="shared" si="50"/>
        <v>1.0006524116541886</v>
      </c>
      <c r="Z39">
        <f t="shared" si="37"/>
        <v>18.301460268434006</v>
      </c>
      <c r="AA39">
        <f t="shared" si="37"/>
        <v>1848.7021671089769</v>
      </c>
      <c r="AB39">
        <f>Y39/Y45</f>
        <v>4.6800970707991524E-3</v>
      </c>
      <c r="AC39">
        <f t="shared" si="38"/>
        <v>7.2178515803197012</v>
      </c>
      <c r="AD39">
        <f t="shared" si="38"/>
        <v>1838.1417155612758</v>
      </c>
    </row>
    <row r="40" spans="1:47" x14ac:dyDescent="0.25">
      <c r="A40" s="48" t="s">
        <v>59</v>
      </c>
      <c r="B40">
        <v>318.14999999999998</v>
      </c>
      <c r="C40" t="s">
        <v>60</v>
      </c>
      <c r="I40" s="32">
        <f t="shared" si="39"/>
        <v>0.99742077695016251</v>
      </c>
      <c r="J40" s="32">
        <v>2.1144541445163945E-3</v>
      </c>
      <c r="K40" s="32">
        <v>4.6476890532113897E-4</v>
      </c>
      <c r="L40" s="57">
        <v>1</v>
      </c>
      <c r="M40" s="47">
        <v>2.3510783387554988E-3</v>
      </c>
      <c r="N40" s="32">
        <v>1.5742285525650053E-2</v>
      </c>
      <c r="O40" s="32">
        <f t="shared" si="40"/>
        <v>0.98190663613559448</v>
      </c>
      <c r="P40">
        <f t="shared" si="41"/>
        <v>0.99814110547219093</v>
      </c>
      <c r="Q40">
        <f t="shared" si="42"/>
        <v>0.43190341807846483</v>
      </c>
      <c r="R40">
        <f t="shared" si="43"/>
        <v>5.5007001757491021E-2</v>
      </c>
      <c r="S40">
        <f t="shared" si="44"/>
        <v>2.1740930767241836E-3</v>
      </c>
      <c r="T40">
        <f t="shared" si="45"/>
        <v>0.90483420724029917</v>
      </c>
      <c r="U40">
        <f t="shared" si="46"/>
        <v>0.39595897024801213</v>
      </c>
      <c r="V40">
        <f t="shared" si="47"/>
        <v>6.6962677029288779E-5</v>
      </c>
      <c r="W40">
        <f t="shared" si="48"/>
        <v>2.9901557120959805</v>
      </c>
      <c r="X40">
        <f t="shared" si="49"/>
        <v>7.6565255903810918</v>
      </c>
      <c r="Y40">
        <f t="shared" si="50"/>
        <v>1.0000669649190794</v>
      </c>
      <c r="Z40">
        <f t="shared" si="37"/>
        <v>19.888779173954688</v>
      </c>
      <c r="AA40">
        <f t="shared" si="37"/>
        <v>2114.3983657618683</v>
      </c>
      <c r="AB40">
        <f>Y40/Y46</f>
        <v>2.3571579708096119E-3</v>
      </c>
      <c r="AC40">
        <f t="shared" si="38"/>
        <v>7.4450824890286347</v>
      </c>
      <c r="AD40">
        <f t="shared" si="38"/>
        <v>2112.6771280616149</v>
      </c>
    </row>
    <row r="41" spans="1:47" ht="15.75" thickBot="1" x14ac:dyDescent="0.3">
      <c r="I41" s="32">
        <f t="shared" si="39"/>
        <v>0.9991739636359136</v>
      </c>
      <c r="J41" s="32">
        <v>3.6877383835410215E-4</v>
      </c>
      <c r="K41" s="32">
        <v>4.5726252573232183E-4</v>
      </c>
      <c r="L41" s="57">
        <v>1</v>
      </c>
      <c r="M41" s="47">
        <v>1.9816874811763585E-3</v>
      </c>
      <c r="N41" s="32">
        <v>2.7628341060818178E-3</v>
      </c>
      <c r="O41" s="32">
        <f t="shared" si="40"/>
        <v>0.99525547841274187</v>
      </c>
      <c r="P41">
        <f t="shared" si="41"/>
        <v>0.99933200453978388</v>
      </c>
      <c r="Q41">
        <f t="shared" si="42"/>
        <v>0.43090554275751675</v>
      </c>
      <c r="R41">
        <f t="shared" si="43"/>
        <v>5.4745633728869487E-2</v>
      </c>
      <c r="S41">
        <f t="shared" si="44"/>
        <v>5.7782558843674867E-4</v>
      </c>
      <c r="T41">
        <f t="shared" si="45"/>
        <v>0.90642302511023298</v>
      </c>
      <c r="U41">
        <f t="shared" si="46"/>
        <v>0.39524740766433614</v>
      </c>
      <c r="V41">
        <f t="shared" si="47"/>
        <v>3.1001834790755785E-5</v>
      </c>
      <c r="W41">
        <f t="shared" si="48"/>
        <v>3.008204534063728</v>
      </c>
      <c r="X41">
        <f t="shared" si="49"/>
        <v>7.6858236991642119</v>
      </c>
      <c r="Y41">
        <f t="shared" si="50"/>
        <v>1.0000310023153527</v>
      </c>
      <c r="Z41">
        <f t="shared" si="37"/>
        <v>20.251007270402258</v>
      </c>
      <c r="AA41">
        <f t="shared" si="37"/>
        <v>2177.2626446150125</v>
      </c>
      <c r="AB41">
        <f>Y41/Y47</f>
        <v>1.9833257799621103E-3</v>
      </c>
      <c r="AC41">
        <f t="shared" si="38"/>
        <v>7.4919471468024934</v>
      </c>
      <c r="AD41">
        <f t="shared" si="38"/>
        <v>2176.5515921408582</v>
      </c>
    </row>
    <row r="42" spans="1:47" ht="15.75" thickBot="1" x14ac:dyDescent="0.3">
      <c r="P42" s="41" t="s">
        <v>101</v>
      </c>
      <c r="Q42" s="42" t="s">
        <v>102</v>
      </c>
      <c r="R42" s="43" t="s">
        <v>103</v>
      </c>
      <c r="S42" s="41" t="s">
        <v>104</v>
      </c>
      <c r="T42" s="42" t="s">
        <v>105</v>
      </c>
      <c r="U42" s="43" t="s">
        <v>106</v>
      </c>
      <c r="V42" s="44" t="s">
        <v>51</v>
      </c>
      <c r="W42" s="45" t="s">
        <v>52</v>
      </c>
      <c r="X42" s="46" t="s">
        <v>53</v>
      </c>
      <c r="Y42" s="41" t="s">
        <v>107</v>
      </c>
      <c r="Z42" s="42" t="s">
        <v>108</v>
      </c>
      <c r="AA42" s="42" t="s">
        <v>109</v>
      </c>
      <c r="AB42" s="19" t="s">
        <v>54</v>
      </c>
      <c r="AC42" s="78" t="s">
        <v>55</v>
      </c>
      <c r="AD42" s="22" t="s">
        <v>56</v>
      </c>
    </row>
    <row r="43" spans="1:47" x14ac:dyDescent="0.25">
      <c r="P43">
        <f>M37+$N$25*N37+$P$25*O37</f>
        <v>0.29351913709451133</v>
      </c>
      <c r="Q43">
        <f>$M$25*M37+N37+$R$25*O37</f>
        <v>0.96041768002617967</v>
      </c>
      <c r="R43">
        <f>$O$25*M37+$Q$25*N37+O37</f>
        <v>0.37566968691746988</v>
      </c>
      <c r="S43">
        <f>N37*$H$25*$N$25+O37*$J$25*$P$25</f>
        <v>0.79138511220709062</v>
      </c>
      <c r="T43">
        <f>M37*$G$25*$M$25+O37*$L$25*$R$25</f>
        <v>7.787407227394226E-2</v>
      </c>
      <c r="U43">
        <f>M37*$I$25*$O$25+N37*$K$25*$Q$25</f>
        <v>0.60725790855116868</v>
      </c>
      <c r="V43">
        <f>S43/P43-M37*S43/P43^2+N37*$M$25/Q43*($G$25-T43/Q43)+O37*$O$25/R43*($I$25-U43/R43)</f>
        <v>3.2101650904173202</v>
      </c>
      <c r="W43">
        <f>T43/Q43-N37*T43/Q43^2+(M37*$N$25/P43)*($H$25-S43/P43)+(O37*$Q$25/R43)*($K$25-U43/R43)</f>
        <v>0.31469661246373748</v>
      </c>
      <c r="X43">
        <f>U43/R43-O37*U43/R43^2+M37*$P$25/P43*($J$25-S43/P43)+N37*$R$25/Q43*($L$25-T43/Q43)</f>
        <v>0.77241240051900317</v>
      </c>
      <c r="Y43">
        <f>EXP(V43)</f>
        <v>24.783177351966998</v>
      </c>
      <c r="Z43">
        <f t="shared" ref="Z43:AA47" si="51">EXP(W43)</f>
        <v>1.3698436544162997</v>
      </c>
      <c r="AA43">
        <f t="shared" si="51"/>
        <v>2.1649827646433555</v>
      </c>
      <c r="AB43">
        <f>Y43/Y37</f>
        <v>21.267305855522533</v>
      </c>
      <c r="AC43">
        <f>Z43/Z37</f>
        <v>0.28535887260717674</v>
      </c>
      <c r="AD43">
        <f>AA43/AA37</f>
        <v>8.8637907499541247E-3</v>
      </c>
    </row>
    <row r="44" spans="1:47" x14ac:dyDescent="0.25">
      <c r="H44">
        <v>0.21223879360464554</v>
      </c>
      <c r="I44">
        <v>2.0287935536859722E-3</v>
      </c>
      <c r="J44">
        <v>1</v>
      </c>
      <c r="K44">
        <v>3.6570025254961586E-2</v>
      </c>
      <c r="L44">
        <v>0.70753467764989075</v>
      </c>
      <c r="P44">
        <f>M38+$N$25*N38+$P$25*O38</f>
        <v>0.18155382823730118</v>
      </c>
      <c r="Q44">
        <f t="shared" ref="Q44:Q47" si="52">$M$25*M38+N38+$R$25*O38</f>
        <v>0.92826874377597224</v>
      </c>
      <c r="R44">
        <f t="shared" ref="R44:R47" si="53">$O$25*M38+$Q$25*N38+O38</f>
        <v>0.73808586411049382</v>
      </c>
      <c r="S44">
        <f t="shared" ref="S44:S47" si="54">N38*$H$25*$N$25+O38*$J$25*$P$25</f>
        <v>0.62552001609073371</v>
      </c>
      <c r="T44">
        <f t="shared" ref="T44:T47" si="55">M38*$G$25*$M$25+O38*$L$25*$R$25</f>
        <v>0.15865153448438959</v>
      </c>
      <c r="U44">
        <f t="shared" ref="U44:U47" si="56">M38*$I$25*$O$25+N38*$K$25*$Q$25</f>
        <v>0.24739719079524611</v>
      </c>
      <c r="V44">
        <f t="shared" ref="V44:V47" si="57">S44/P44-M38*S44/P44^2+N38*$M$25/Q44*($G$25-T44/Q44)+O38*$O$25/R44*($I$25-U44/R44)</f>
        <v>3.5090654668485426</v>
      </c>
      <c r="W44">
        <f t="shared" ref="W44:W47" si="58">T44/Q44-N38*T44/Q44^2+(M38*$N$25/P44)*($H$25-S44/P44)+(O38*$Q$25/R44)*($K$25-U44/R44)</f>
        <v>0.7631995727564197</v>
      </c>
      <c r="X44">
        <f t="shared" ref="X44:X47" si="59">U44/R44-O38*U44/R44^2+M38*$P$25/P44*($J$25-S44/P44)+N38*$R$25/Q44*($L$25-T44/Q44)</f>
        <v>7.6176460749220895E-2</v>
      </c>
      <c r="Y44">
        <f t="shared" ref="Y44:Y47" si="60">EXP(V44)</f>
        <v>33.417023870352416</v>
      </c>
      <c r="Z44">
        <f t="shared" si="51"/>
        <v>2.1451287475711629</v>
      </c>
      <c r="AA44">
        <f t="shared" si="51"/>
        <v>1.0791529855010711</v>
      </c>
      <c r="AB44">
        <f t="shared" ref="AB44:AD47" si="61">Y44/Y38</f>
        <v>33.034862511948226</v>
      </c>
      <c r="AC44">
        <f t="shared" si="61"/>
        <v>0.16633179836561399</v>
      </c>
      <c r="AD44">
        <f t="shared" si="61"/>
        <v>1.0142755445998531E-3</v>
      </c>
    </row>
    <row r="45" spans="1:47" x14ac:dyDescent="0.25">
      <c r="H45">
        <v>4.2464385842739788E-2</v>
      </c>
      <c r="I45">
        <v>6.5447884168593374E-4</v>
      </c>
      <c r="J45">
        <v>1</v>
      </c>
      <c r="K45">
        <v>2.2593637308625687E-2</v>
      </c>
      <c r="L45">
        <v>0.2642715583206563</v>
      </c>
      <c r="P45">
        <f t="shared" ref="P45:P47" si="62">M39+$N$25*N39+$P$25*O39</f>
        <v>0.10797576002579021</v>
      </c>
      <c r="Q45">
        <f t="shared" si="52"/>
        <v>0.92219540025655677</v>
      </c>
      <c r="R45">
        <f t="shared" si="53"/>
        <v>0.93587472779070158</v>
      </c>
      <c r="S45">
        <f t="shared" si="54"/>
        <v>0.55427759417971934</v>
      </c>
      <c r="T45">
        <f t="shared" si="55"/>
        <v>0.18423046551130745</v>
      </c>
      <c r="U45">
        <f t="shared" si="56"/>
        <v>6.1913467738573404E-2</v>
      </c>
      <c r="V45">
        <f t="shared" si="57"/>
        <v>5.3650886265701603</v>
      </c>
      <c r="W45">
        <f t="shared" si="58"/>
        <v>0.93042350918232963</v>
      </c>
      <c r="X45">
        <f t="shared" si="59"/>
        <v>5.7287375138288018E-3</v>
      </c>
      <c r="Y45">
        <f t="shared" si="60"/>
        <v>213.81018310445467</v>
      </c>
      <c r="Z45">
        <f t="shared" si="51"/>
        <v>2.535582792854183</v>
      </c>
      <c r="AA45">
        <f t="shared" si="51"/>
        <v>1.0057451781102071</v>
      </c>
      <c r="AB45">
        <f t="shared" si="61"/>
        <v>213.67078179625119</v>
      </c>
      <c r="AC45">
        <f t="shared" si="61"/>
        <v>0.13854538138836417</v>
      </c>
      <c r="AD45">
        <f t="shared" si="61"/>
        <v>5.4402769467350371E-4</v>
      </c>
    </row>
    <row r="46" spans="1:47" x14ac:dyDescent="0.25">
      <c r="H46">
        <v>7.681238719382851E-3</v>
      </c>
      <c r="I46">
        <v>4.8906105818833224E-4</v>
      </c>
      <c r="J46">
        <v>1</v>
      </c>
      <c r="K46">
        <v>3.7925433143225851E-3</v>
      </c>
      <c r="L46">
        <v>5.6016948068447286E-2</v>
      </c>
      <c r="P46">
        <f t="shared" si="62"/>
        <v>9.2010254581685949E-2</v>
      </c>
      <c r="Q46">
        <f t="shared" si="52"/>
        <v>0.91849541204337526</v>
      </c>
      <c r="R46">
        <f t="shared" si="53"/>
        <v>0.98518133194847868</v>
      </c>
      <c r="S46">
        <f t="shared" si="54"/>
        <v>0.53284412622365585</v>
      </c>
      <c r="T46">
        <f t="shared" si="55"/>
        <v>0.19413320264586961</v>
      </c>
      <c r="U46">
        <f t="shared" si="56"/>
        <v>1.3595416860833265E-2</v>
      </c>
      <c r="V46">
        <f t="shared" si="57"/>
        <v>6.0503655979698774</v>
      </c>
      <c r="W46">
        <f t="shared" si="58"/>
        <v>0.98260196623245188</v>
      </c>
      <c r="X46">
        <f t="shared" si="59"/>
        <v>8.1438706164535643E-4</v>
      </c>
      <c r="Y46">
        <f t="shared" si="60"/>
        <v>424.26811325487313</v>
      </c>
      <c r="Z46">
        <f t="shared" si="51"/>
        <v>2.671398094415149</v>
      </c>
      <c r="AA46">
        <f t="shared" si="51"/>
        <v>1.0008147187648273</v>
      </c>
      <c r="AB46">
        <f t="shared" si="61"/>
        <v>424.23970407741928</v>
      </c>
      <c r="AC46">
        <f t="shared" si="61"/>
        <v>0.13431684625034568</v>
      </c>
      <c r="AD46">
        <f t="shared" si="61"/>
        <v>4.7333309321973953E-4</v>
      </c>
    </row>
    <row r="47" spans="1:47" ht="21" x14ac:dyDescent="0.35">
      <c r="H47">
        <v>1.3437775894087024E-3</v>
      </c>
      <c r="I47">
        <v>4.6144849517382614E-4</v>
      </c>
      <c r="J47">
        <v>1</v>
      </c>
      <c r="K47">
        <v>2.1832666387173998E-3</v>
      </c>
      <c r="L47">
        <v>1.0032397446633812E-2</v>
      </c>
      <c r="P47">
        <f t="shared" si="62"/>
        <v>8.8615006314046119E-2</v>
      </c>
      <c r="Q47">
        <f t="shared" si="52"/>
        <v>0.91761595377672822</v>
      </c>
      <c r="R47">
        <f t="shared" si="53"/>
        <v>0.99591533720051262</v>
      </c>
      <c r="S47">
        <f t="shared" si="54"/>
        <v>0.52805376579615937</v>
      </c>
      <c r="T47">
        <f t="shared" si="55"/>
        <v>0.19640834750584615</v>
      </c>
      <c r="U47">
        <f t="shared" si="56"/>
        <v>3.0062652337458757E-3</v>
      </c>
      <c r="V47">
        <f t="shared" si="57"/>
        <v>6.2230111583572167</v>
      </c>
      <c r="W47">
        <f t="shared" si="58"/>
        <v>0.99437580412469662</v>
      </c>
      <c r="X47">
        <f t="shared" si="59"/>
        <v>3.2663427597497114E-4</v>
      </c>
      <c r="Y47">
        <f t="shared" si="60"/>
        <v>504.21923237162656</v>
      </c>
      <c r="Z47">
        <f t="shared" si="51"/>
        <v>2.7030365903001914</v>
      </c>
      <c r="AA47">
        <f t="shared" si="51"/>
        <v>1.0003266876267587</v>
      </c>
      <c r="AB47">
        <f t="shared" si="61"/>
        <v>504.20360089258975</v>
      </c>
      <c r="AC47">
        <f t="shared" si="61"/>
        <v>0.13347664904801051</v>
      </c>
      <c r="AD47">
        <f t="shared" si="61"/>
        <v>4.5944235992880791E-4</v>
      </c>
      <c r="AN47" s="101">
        <f>AX29</f>
        <v>0.9998168313976632</v>
      </c>
    </row>
    <row r="48" spans="1:47" ht="15.75" thickBot="1" x14ac:dyDescent="0.3">
      <c r="H48">
        <v>2.0407032676323091E-4</v>
      </c>
      <c r="I48">
        <v>4.5655703437245997E-4</v>
      </c>
      <c r="J48">
        <v>1</v>
      </c>
      <c r="K48">
        <v>1.9488066923802438E-3</v>
      </c>
      <c r="L48">
        <v>1.5297827839119539E-3</v>
      </c>
    </row>
    <row r="49" spans="8:16" ht="15.75" thickBot="1" x14ac:dyDescent="0.3">
      <c r="H49" s="49" t="s">
        <v>61</v>
      </c>
      <c r="I49" s="37" t="s">
        <v>39</v>
      </c>
      <c r="J49" s="38" t="s">
        <v>40</v>
      </c>
      <c r="K49" s="39" t="s">
        <v>41</v>
      </c>
      <c r="L49" s="40"/>
      <c r="M49" s="37" t="s">
        <v>42</v>
      </c>
      <c r="N49" s="38" t="s">
        <v>43</v>
      </c>
      <c r="O49" s="39" t="s">
        <v>44</v>
      </c>
      <c r="P49" s="49" t="s">
        <v>61</v>
      </c>
    </row>
    <row r="50" spans="8:16" x14ac:dyDescent="0.25">
      <c r="H50" s="50">
        <f>SUM(I50:K50)</f>
        <v>1.0000020201402748</v>
      </c>
      <c r="I50" s="32">
        <f t="shared" ref="I50:K54" si="63">M37*AB43</f>
        <v>0.78781600927886697</v>
      </c>
      <c r="J50" s="32">
        <f t="shared" si="63"/>
        <v>0.21017913078398151</v>
      </c>
      <c r="K50" s="32">
        <f t="shared" si="63"/>
        <v>2.0068800774262932E-3</v>
      </c>
      <c r="L50" s="32"/>
      <c r="M50" s="32">
        <f t="shared" ref="M50:O54" si="64">I37*AB37</f>
        <v>3.7043470942880574E-2</v>
      </c>
      <c r="N50" s="32">
        <f t="shared" si="64"/>
        <v>0.73654027421988866</v>
      </c>
      <c r="O50" s="32">
        <f t="shared" si="64"/>
        <v>0.22641229729382753</v>
      </c>
      <c r="P50" s="50">
        <f>SUM(M50:O50)</f>
        <v>0.99999604245659668</v>
      </c>
    </row>
    <row r="51" spans="8:16" x14ac:dyDescent="0.25">
      <c r="H51" s="50">
        <f>SUM(I51:K51)</f>
        <v>1.0000055494065416</v>
      </c>
      <c r="I51" s="32">
        <f t="shared" si="63"/>
        <v>0.95052514236291585</v>
      </c>
      <c r="J51" s="32">
        <f t="shared" si="63"/>
        <v>4.8792849824291579E-2</v>
      </c>
      <c r="K51" s="32">
        <f t="shared" si="63"/>
        <v>6.875572193341126E-4</v>
      </c>
      <c r="L51" s="32"/>
      <c r="M51" s="32">
        <f t="shared" si="64"/>
        <v>2.8773226782369266E-2</v>
      </c>
      <c r="N51" s="32">
        <f t="shared" si="64"/>
        <v>0.29334650665492035</v>
      </c>
      <c r="O51" s="32">
        <f t="shared" si="64"/>
        <v>0.67788011532180104</v>
      </c>
      <c r="P51" s="50">
        <f>SUM(M51:O51)</f>
        <v>0.99999984875909065</v>
      </c>
    </row>
    <row r="52" spans="8:16" x14ac:dyDescent="0.25">
      <c r="H52" s="50">
        <f>SUM(I52:K52)</f>
        <v>1.0000000382807606</v>
      </c>
      <c r="I52" s="32">
        <f t="shared" si="63"/>
        <v>0.98915313692958617</v>
      </c>
      <c r="J52" s="32">
        <f t="shared" si="63"/>
        <v>1.0346017965860824E-2</v>
      </c>
      <c r="K52" s="32">
        <f t="shared" si="63"/>
        <v>5.0088338531354521E-4</v>
      </c>
      <c r="L52" s="32"/>
      <c r="M52" s="32">
        <f t="shared" si="64"/>
        <v>4.6293325195956199E-3</v>
      </c>
      <c r="N52" s="32">
        <f t="shared" si="64"/>
        <v>7.4676022069830858E-2</v>
      </c>
      <c r="O52" s="32">
        <f t="shared" si="64"/>
        <v>0.9206946445339188</v>
      </c>
      <c r="P52" s="50">
        <f>SUM(M52:O52)</f>
        <v>0.99999999912334525</v>
      </c>
    </row>
    <row r="53" spans="8:16" x14ac:dyDescent="0.25">
      <c r="H53" s="50">
        <f>SUM(I53:K53)</f>
        <v>1.0000000017463762</v>
      </c>
      <c r="I53" s="32">
        <f t="shared" si="63"/>
        <v>0.99742077869646339</v>
      </c>
      <c r="J53" s="32">
        <f t="shared" si="63"/>
        <v>2.1144541445777803E-3</v>
      </c>
      <c r="K53" s="32">
        <f t="shared" si="63"/>
        <v>4.6476890533505021E-4</v>
      </c>
      <c r="L53" s="32"/>
      <c r="M53" s="32">
        <f t="shared" si="64"/>
        <v>2.3510783346391917E-3</v>
      </c>
      <c r="N53" s="32">
        <f t="shared" si="64"/>
        <v>1.574228552519303E-2</v>
      </c>
      <c r="O53" s="32">
        <f t="shared" si="64"/>
        <v>0.98190663610620443</v>
      </c>
      <c r="P53" s="50">
        <f>SUM(M53:O53)</f>
        <v>0.99999999996603661</v>
      </c>
    </row>
    <row r="54" spans="8:16" x14ac:dyDescent="0.25">
      <c r="H54" s="50">
        <f>SUM(I54:K54)</f>
        <v>1.0000000002169755</v>
      </c>
      <c r="I54" s="32">
        <f>M41*AB47</f>
        <v>0.99917396385288615</v>
      </c>
      <c r="J54" s="32">
        <f t="shared" si="63"/>
        <v>3.6877383835535668E-4</v>
      </c>
      <c r="K54" s="32">
        <f t="shared" si="63"/>
        <v>4.5726252573402484E-4</v>
      </c>
      <c r="L54" s="32"/>
      <c r="M54" s="32">
        <f t="shared" si="64"/>
        <v>1.9816874807460317E-3</v>
      </c>
      <c r="N54" s="32">
        <f t="shared" si="64"/>
        <v>2.7628341060724195E-3</v>
      </c>
      <c r="O54" s="32">
        <f t="shared" si="64"/>
        <v>0.99525547840903528</v>
      </c>
      <c r="P54" s="50">
        <f>SUM(M54:O54)</f>
        <v>0.99999999999585376</v>
      </c>
    </row>
    <row r="56" spans="8:16" x14ac:dyDescent="0.25">
      <c r="H56" s="50"/>
      <c r="I56" s="32"/>
      <c r="J56" s="57"/>
      <c r="K56" s="32"/>
      <c r="L56" s="32"/>
      <c r="M56" s="32"/>
      <c r="N56" s="32"/>
      <c r="O56" s="32"/>
      <c r="P56" s="50"/>
    </row>
  </sheetData>
  <mergeCells count="18">
    <mergeCell ref="P1:R1"/>
    <mergeCell ref="L14:M14"/>
    <mergeCell ref="B7:C7"/>
    <mergeCell ref="D7:E7"/>
    <mergeCell ref="F7:G7"/>
    <mergeCell ref="H7:I7"/>
    <mergeCell ref="J7:K7"/>
    <mergeCell ref="L7:M7"/>
    <mergeCell ref="B14:C14"/>
    <mergeCell ref="D14:E14"/>
    <mergeCell ref="F14:G14"/>
    <mergeCell ref="H14:I14"/>
    <mergeCell ref="J14:K14"/>
    <mergeCell ref="A30:E30"/>
    <mergeCell ref="A35:A36"/>
    <mergeCell ref="D35:D36"/>
    <mergeCell ref="E35:E36"/>
    <mergeCell ref="B36:C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NRTL_5">
                <anchor moveWithCells="1" sizeWithCells="1">
                  <from>
                    <xdr:col>16</xdr:col>
                    <xdr:colOff>76200</xdr:colOff>
                    <xdr:row>32</xdr:row>
                    <xdr:rowOff>9525</xdr:rowOff>
                  </from>
                  <to>
                    <xdr:col>18</xdr:col>
                    <xdr:colOff>38100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MB 5 PTE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2024-10-15T20:32:20Z</dcterms:modified>
</cp:coreProperties>
</file>