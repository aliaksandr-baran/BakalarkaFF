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Workbook________" defaultThemeVersion="124226"/>
  <bookViews>
    <workbookView xWindow="240" yWindow="105" windowWidth="14805" windowHeight="8010"/>
  </bookViews>
  <sheets>
    <sheet name="Ventil ext" sheetId="1" r:id="rId1"/>
    <sheet name="Лист3" sheetId="3" r:id="rId2"/>
    <sheet name="Ventil Raf" sheetId="2" r:id="rId3"/>
    <sheet name="Raf-REG.IL" sheetId="10" r:id="rId4"/>
  </sheets>
  <definedNames>
    <definedName name="solver_adj" localSheetId="3" hidden="1">'Raf-REG.IL'!$C$19:$C$20</definedName>
    <definedName name="solver_adj" localSheetId="0" hidden="1">'Ventil ext'!$B$10</definedName>
    <definedName name="solver_adj" localSheetId="2" hidden="1">'Ventil Raf'!$B$10</definedName>
    <definedName name="solver_adj" localSheetId="1" hidden="1">Лист3!$C$19:$C$20</definedName>
    <definedName name="solver_cvg" localSheetId="0" hidden="1">0.0001</definedName>
    <definedName name="solver_drv" localSheetId="0" hidden="1">1</definedName>
    <definedName name="solver_eng" localSheetId="3" hidden="1">1</definedName>
    <definedName name="solver_eng" localSheetId="0" hidden="1">1</definedName>
    <definedName name="solver_eng" localSheetId="2" hidden="1">1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3" hidden="1">'Raf-REG.IL'!$F$25</definedName>
    <definedName name="solver_opt" localSheetId="0" hidden="1">'Ventil ext'!$L$10</definedName>
    <definedName name="solver_opt" localSheetId="2" hidden="1">'Ventil Raf'!$L$10</definedName>
    <definedName name="solver_opt" localSheetId="1" hidden="1">Лист3!$F$25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3" hidden="1">2</definedName>
    <definedName name="solver_typ" localSheetId="0" hidden="1">3</definedName>
    <definedName name="solver_typ" localSheetId="2" hidden="1">3</definedName>
    <definedName name="solver_typ" localSheetId="1" hidden="1">2</definedName>
    <definedName name="solver_val" localSheetId="3" hidden="1">1</definedName>
    <definedName name="solver_val" localSheetId="0" hidden="1">1</definedName>
    <definedName name="solver_val" localSheetId="2" hidden="1">1</definedName>
    <definedName name="solver_val" localSheetId="1" hidden="1">1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A34" i="10" l="1"/>
  <c r="A36" i="10" s="1"/>
  <c r="D32" i="10"/>
  <c r="D34" i="10" s="1"/>
  <c r="D36" i="10" s="1"/>
  <c r="C32" i="10"/>
  <c r="C34" i="10" s="1"/>
  <c r="C36" i="10" s="1"/>
  <c r="B32" i="10"/>
  <c r="B34" i="10" s="1"/>
  <c r="B36" i="10" s="1"/>
  <c r="T20" i="10"/>
  <c r="C18" i="10"/>
  <c r="C17" i="10"/>
  <c r="S16" i="10" s="1"/>
  <c r="S22" i="10" s="1"/>
  <c r="B17" i="10"/>
  <c r="D16" i="10"/>
  <c r="D17" i="10" s="1"/>
  <c r="C16" i="10"/>
  <c r="H10" i="10"/>
  <c r="G10" i="10"/>
  <c r="F10" i="10"/>
  <c r="E10" i="10"/>
  <c r="D10" i="10"/>
  <c r="C10" i="10"/>
  <c r="J2" i="10"/>
  <c r="E13" i="10" s="1"/>
  <c r="K13" i="10" s="1"/>
  <c r="T18" i="10" l="1"/>
  <c r="T16" i="10"/>
  <c r="S20" i="10"/>
  <c r="S24" i="10" s="1"/>
  <c r="B22" i="10" s="1"/>
  <c r="B23" i="10" s="1"/>
  <c r="B13" i="10"/>
  <c r="H13" i="10" s="1"/>
  <c r="D13" i="10"/>
  <c r="J13" i="10" s="1"/>
  <c r="F13" i="10"/>
  <c r="L13" i="10" s="1"/>
  <c r="D18" i="10"/>
  <c r="A13" i="10"/>
  <c r="G13" i="10" s="1"/>
  <c r="Q13" i="10" s="1"/>
  <c r="C13" i="10"/>
  <c r="I13" i="10" s="1"/>
  <c r="R13" i="10" s="1"/>
  <c r="C18" i="3"/>
  <c r="P13" i="10" l="1"/>
  <c r="N13" i="10"/>
  <c r="D21" i="10"/>
  <c r="O13" i="10"/>
  <c r="D19" i="10"/>
  <c r="M13" i="10"/>
  <c r="A10" i="3"/>
  <c r="D16" i="3" s="1"/>
  <c r="D17" i="3" s="1"/>
  <c r="G10" i="3"/>
  <c r="A34" i="3"/>
  <c r="A36" i="3" s="1"/>
  <c r="D32" i="3"/>
  <c r="D34" i="3" s="1"/>
  <c r="D36" i="3" s="1"/>
  <c r="C32" i="3"/>
  <c r="C34" i="3" s="1"/>
  <c r="C36" i="3" s="1"/>
  <c r="B32" i="3"/>
  <c r="B34" i="3" s="1"/>
  <c r="B36" i="3" s="1"/>
  <c r="C21" i="3"/>
  <c r="D10" i="3" s="1"/>
  <c r="T20" i="3"/>
  <c r="D18" i="3"/>
  <c r="B17" i="3"/>
  <c r="E10" i="3"/>
  <c r="C10" i="3"/>
  <c r="J2" i="3"/>
  <c r="U13" i="10" l="1"/>
  <c r="K10" i="10" s="1"/>
  <c r="T13" i="10"/>
  <c r="J10" i="10" s="1"/>
  <c r="E21" i="10" s="1"/>
  <c r="F21" i="10" s="1"/>
  <c r="S13" i="10"/>
  <c r="I10" i="10" s="1"/>
  <c r="T22" i="10"/>
  <c r="D22" i="10" s="1"/>
  <c r="D23" i="10" s="1"/>
  <c r="E23" i="10" s="1"/>
  <c r="F23" i="10" s="1"/>
  <c r="T16" i="3"/>
  <c r="T18" i="3"/>
  <c r="E13" i="3"/>
  <c r="K13" i="3" s="1"/>
  <c r="F10" i="3"/>
  <c r="C16" i="3"/>
  <c r="B13" i="3"/>
  <c r="H13" i="3" s="1"/>
  <c r="D13" i="3"/>
  <c r="J13" i="3" s="1"/>
  <c r="F13" i="3"/>
  <c r="L13" i="3" s="1"/>
  <c r="D19" i="3"/>
  <c r="D21" i="3"/>
  <c r="A13" i="3"/>
  <c r="G13" i="3" s="1"/>
  <c r="C13" i="3"/>
  <c r="I13" i="3" s="1"/>
  <c r="E19" i="10" l="1"/>
  <c r="F19" i="10" s="1"/>
  <c r="F25" i="10" s="1"/>
  <c r="L10" i="10"/>
  <c r="C17" i="3"/>
  <c r="S16" i="3" s="1"/>
  <c r="T22" i="3"/>
  <c r="D22" i="3" s="1"/>
  <c r="D23" i="3" s="1"/>
  <c r="R13" i="3"/>
  <c r="Q13" i="3"/>
  <c r="N13" i="3"/>
  <c r="P13" i="3"/>
  <c r="O13" i="3"/>
  <c r="M13" i="3"/>
  <c r="S22" i="3" l="1"/>
  <c r="S20" i="3"/>
  <c r="S13" i="3"/>
  <c r="I10" i="3" s="1"/>
  <c r="E19" i="3" s="1"/>
  <c r="F19" i="3" s="1"/>
  <c r="U13" i="3"/>
  <c r="T13" i="3"/>
  <c r="J10" i="3" s="1"/>
  <c r="E21" i="3" s="1"/>
  <c r="F21" i="3" s="1"/>
  <c r="S24" i="3" l="1"/>
  <c r="B22" i="3" s="1"/>
  <c r="L10" i="3"/>
  <c r="B23" i="3" l="1"/>
  <c r="E23" i="3" s="1"/>
  <c r="F23" i="3" s="1"/>
  <c r="F25" i="3" s="1"/>
  <c r="T16" i="2"/>
  <c r="T18" i="2"/>
  <c r="C18" i="1" l="1"/>
  <c r="D18" i="1" l="1"/>
  <c r="D19" i="1" s="1"/>
  <c r="A34" i="2"/>
  <c r="A36" i="2" s="1"/>
  <c r="D32" i="2"/>
  <c r="D34" i="2" s="1"/>
  <c r="D36" i="2" s="1"/>
  <c r="C32" i="2"/>
  <c r="C34" i="2" s="1"/>
  <c r="C36" i="2" s="1"/>
  <c r="B32" i="2"/>
  <c r="B34" i="2" s="1"/>
  <c r="B36" i="2" s="1"/>
  <c r="C21" i="2"/>
  <c r="D10" i="2" s="1"/>
  <c r="T20" i="2"/>
  <c r="C18" i="2"/>
  <c r="B17" i="2"/>
  <c r="D16" i="2"/>
  <c r="D17" i="2" s="1"/>
  <c r="C16" i="2"/>
  <c r="C17" i="2" s="1"/>
  <c r="E10" i="2"/>
  <c r="C10" i="2"/>
  <c r="J2" i="2"/>
  <c r="B36" i="1"/>
  <c r="C36" i="1"/>
  <c r="D36" i="1"/>
  <c r="A36" i="1"/>
  <c r="D32" i="1"/>
  <c r="D34" i="1" s="1"/>
  <c r="C32" i="1"/>
  <c r="B32" i="1"/>
  <c r="B34" i="1"/>
  <c r="C34" i="1"/>
  <c r="A34" i="1"/>
  <c r="S16" i="2" l="1"/>
  <c r="S20" i="2" s="1"/>
  <c r="H10" i="2"/>
  <c r="G10" i="2"/>
  <c r="C13" i="2"/>
  <c r="I13" i="2" s="1"/>
  <c r="S22" i="2"/>
  <c r="A13" i="2"/>
  <c r="G13" i="2" s="1"/>
  <c r="E13" i="2"/>
  <c r="K13" i="2" s="1"/>
  <c r="F10" i="2"/>
  <c r="B13" i="2"/>
  <c r="D13" i="2"/>
  <c r="J13" i="2" s="1"/>
  <c r="F13" i="2"/>
  <c r="L13" i="2" s="1"/>
  <c r="D18" i="2"/>
  <c r="D21" i="2" s="1"/>
  <c r="J2" i="1"/>
  <c r="R13" i="2" l="1"/>
  <c r="O13" i="2"/>
  <c r="D19" i="2"/>
  <c r="T22" i="2" s="1"/>
  <c r="D22" i="2" s="1"/>
  <c r="D23" i="2" s="1"/>
  <c r="Q13" i="2"/>
  <c r="H13" i="2"/>
  <c r="P13" i="2" s="1"/>
  <c r="N13" i="2"/>
  <c r="S24" i="2"/>
  <c r="B22" i="2" s="1"/>
  <c r="C21" i="1"/>
  <c r="D21" i="1" s="1"/>
  <c r="T20" i="1"/>
  <c r="B17" i="1"/>
  <c r="E10" i="1"/>
  <c r="C10" i="1"/>
  <c r="B23" i="2" l="1"/>
  <c r="E23" i="2" s="1"/>
  <c r="F23" i="2" s="1"/>
  <c r="M13" i="2"/>
  <c r="T13" i="2" s="1"/>
  <c r="J10" i="2" s="1"/>
  <c r="E21" i="2" s="1"/>
  <c r="F21" i="2" s="1"/>
  <c r="D10" i="1"/>
  <c r="S13" i="2" l="1"/>
  <c r="I10" i="2" s="1"/>
  <c r="E19" i="2" s="1"/>
  <c r="F19" i="2" s="1"/>
  <c r="F25" i="2" s="1"/>
  <c r="U13" i="2"/>
  <c r="K10" i="2" s="1"/>
  <c r="L10" i="2" l="1"/>
  <c r="E13" i="1" l="1"/>
  <c r="K13" i="1" s="1"/>
  <c r="F13" i="1"/>
  <c r="L13" i="1" s="1"/>
  <c r="D13" i="1"/>
  <c r="J13" i="1" s="1"/>
  <c r="A13" i="1"/>
  <c r="G13" i="1" s="1"/>
  <c r="C13" i="1"/>
  <c r="I13" i="1" s="1"/>
  <c r="B13" i="1"/>
  <c r="H13" i="1" s="1"/>
  <c r="G10" i="1"/>
  <c r="A10" i="1"/>
  <c r="D16" i="1" s="1"/>
  <c r="D17" i="1" s="1"/>
  <c r="F10" i="1"/>
  <c r="T18" i="1" l="1"/>
  <c r="T16" i="1"/>
  <c r="Q13" i="1"/>
  <c r="R13" i="1"/>
  <c r="N13" i="1"/>
  <c r="P13" i="1"/>
  <c r="M13" i="1"/>
  <c r="O13" i="1"/>
  <c r="C16" i="1"/>
  <c r="C17" i="1" s="1"/>
  <c r="S16" i="1" s="1"/>
  <c r="T22" i="1" l="1"/>
  <c r="D22" i="1" s="1"/>
  <c r="D23" i="1" s="1"/>
  <c r="U13" i="1"/>
  <c r="T13" i="1"/>
  <c r="J10" i="1" s="1"/>
  <c r="E21" i="1" s="1"/>
  <c r="F21" i="1" s="1"/>
  <c r="S22" i="1"/>
  <c r="S20" i="1"/>
  <c r="S13" i="1"/>
  <c r="I10" i="1" s="1"/>
  <c r="E19" i="1" l="1"/>
  <c r="F19" i="1" s="1"/>
  <c r="L10" i="1"/>
  <c r="S24" i="1"/>
  <c r="B22" i="1" s="1"/>
  <c r="B23" i="1" s="1"/>
  <c r="E23" i="1" l="1"/>
  <c r="F23" i="1" s="1"/>
  <c r="F25" i="1" s="1"/>
</calcChain>
</file>

<file path=xl/sharedStrings.xml><?xml version="1.0" encoding="utf-8"?>
<sst xmlns="http://schemas.openxmlformats.org/spreadsheetml/2006/main" count="498" uniqueCount="99">
  <si>
    <t>A</t>
  </si>
  <si>
    <t>NRTL parameters:</t>
  </si>
  <si>
    <t>R</t>
  </si>
  <si>
    <t>B</t>
  </si>
  <si>
    <t>alphaAB</t>
  </si>
  <si>
    <t>gAB</t>
  </si>
  <si>
    <t>C</t>
  </si>
  <si>
    <t>gBA</t>
  </si>
  <si>
    <t>P - ventil</t>
  </si>
  <si>
    <t>gAC</t>
  </si>
  <si>
    <t>gCA</t>
  </si>
  <si>
    <t>P - pred</t>
  </si>
  <si>
    <t>gBC</t>
  </si>
  <si>
    <t>gCB</t>
  </si>
  <si>
    <t>t</t>
  </si>
  <si>
    <t>T</t>
  </si>
  <si>
    <t>xA</t>
  </si>
  <si>
    <t>xB</t>
  </si>
  <si>
    <t>xC</t>
  </si>
  <si>
    <t>PA0</t>
  </si>
  <si>
    <t>PB0</t>
  </si>
  <si>
    <t>PC0</t>
  </si>
  <si>
    <t>yA</t>
  </si>
  <si>
    <t>yB</t>
  </si>
  <si>
    <t>yC</t>
  </si>
  <si>
    <t>SUMy</t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</si>
  <si>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AB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</si>
  <si>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BA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</si>
  <si>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AC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</si>
  <si>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CA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</si>
  <si>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BC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</si>
  <si>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CB</t>
    </r>
  </si>
  <si>
    <t>GAB</t>
  </si>
  <si>
    <t>GBA</t>
  </si>
  <si>
    <t>GAC</t>
  </si>
  <si>
    <t>GCA</t>
  </si>
  <si>
    <t>GBC</t>
  </si>
  <si>
    <t>GCB</t>
  </si>
  <si>
    <t>θ1</t>
  </si>
  <si>
    <t>θ2</t>
  </si>
  <si>
    <t>θ3</t>
  </si>
  <si>
    <t>φ1</t>
  </si>
  <si>
    <t>φ2</t>
  </si>
  <si>
    <t>φ3</t>
  </si>
  <si>
    <t>γA</t>
  </si>
  <si>
    <t>γB</t>
  </si>
  <si>
    <t>γC</t>
  </si>
  <si>
    <t>VSTUP</t>
  </si>
  <si>
    <t>L</t>
  </si>
  <si>
    <t>G</t>
  </si>
  <si>
    <t>Stred. T</t>
  </si>
  <si>
    <t>a</t>
  </si>
  <si>
    <t>vypB</t>
  </si>
  <si>
    <t>odchylka</t>
  </si>
  <si>
    <t>b</t>
  </si>
  <si>
    <t>c</t>
  </si>
  <si>
    <t>cpB</t>
  </si>
  <si>
    <t>vypC</t>
  </si>
  <si>
    <t>cpC</t>
  </si>
  <si>
    <t>vypZ</t>
  </si>
  <si>
    <t>alpha</t>
  </si>
  <si>
    <t>H</t>
  </si>
  <si>
    <t>beta</t>
  </si>
  <si>
    <t>cpZ</t>
  </si>
  <si>
    <t>SUMA</t>
  </si>
  <si>
    <t>Referenčný stav</t>
  </si>
  <si>
    <t>teplota L a G</t>
  </si>
  <si>
    <t>cp</t>
  </si>
  <si>
    <t>Antoine equation parameters (Pa)</t>
  </si>
  <si>
    <t>MTBE</t>
  </si>
  <si>
    <t>Metanol</t>
  </si>
  <si>
    <t>[BMIM][HSO4]</t>
  </si>
  <si>
    <t>kPa</t>
  </si>
  <si>
    <t>d</t>
  </si>
  <si>
    <t>kcal/kg/K</t>
  </si>
  <si>
    <t>kg/kmol</t>
  </si>
  <si>
    <t>kJ/kg/K</t>
  </si>
  <si>
    <t>1kcal</t>
  </si>
  <si>
    <t>=</t>
  </si>
  <si>
    <t>4,1868kJ</t>
  </si>
  <si>
    <t>kJ/kmol/K</t>
  </si>
  <si>
    <t>A [kJ/mol]</t>
  </si>
  <si>
    <t>Tc [K]</t>
  </si>
  <si>
    <t>vypA [kJ/kmol]</t>
  </si>
  <si>
    <t>NIST</t>
  </si>
  <si>
    <r>
      <t>Majer, V.</t>
    </r>
    <r>
      <rPr>
        <sz val="12"/>
        <color rgb="FF000000"/>
        <rFont val="Arial"/>
        <family val="2"/>
      </rPr>
      <t>; </t>
    </r>
    <r>
      <rPr>
        <sz val="12"/>
        <color theme="1"/>
        <rFont val="Arial"/>
        <family val="2"/>
      </rPr>
      <t>Svoboda, V.</t>
    </r>
    <r>
      <rPr>
        <sz val="12"/>
        <color rgb="FF000000"/>
        <rFont val="Arial"/>
        <family val="2"/>
      </rPr>
      <t>, </t>
    </r>
    <r>
      <rPr>
        <b/>
        <sz val="12"/>
        <color rgb="FF000000"/>
        <rFont val="Arial"/>
        <family val="2"/>
      </rPr>
      <t>Enthalpies of Vaporization of Organic Compounds: A Critical Review and Data Compilation</t>
    </r>
    <r>
      <rPr>
        <sz val="12"/>
        <color rgb="FF000000"/>
        <rFont val="Arial"/>
        <family val="2"/>
      </rPr>
      <t>, Blackwell Scientific Publications, Oxford, 1985, 300. </t>
    </r>
  </si>
  <si>
    <t>M</t>
  </si>
  <si>
    <r>
      <t>Andon, R.J.L.</t>
    </r>
    <r>
      <rPr>
        <sz val="12"/>
        <color rgb="FF000000"/>
        <rFont val="Arial"/>
        <family val="2"/>
      </rPr>
      <t>; </t>
    </r>
    <r>
      <rPr>
        <sz val="12"/>
        <color theme="1"/>
        <rFont val="Arial"/>
        <family val="2"/>
      </rPr>
      <t>Martin, J.F.</t>
    </r>
    <r>
      <rPr>
        <sz val="12"/>
        <color rgb="FF000000"/>
        <rFont val="Arial"/>
        <family val="2"/>
      </rPr>
      <t>, </t>
    </r>
    <r>
      <rPr>
        <i/>
        <sz val="12"/>
        <color rgb="FF000000"/>
        <rFont val="Arial"/>
        <family val="2"/>
      </rPr>
      <t>Thermodynamic properties of organic oxygen compounds. 40. Heat capacity and entropy of six ethers</t>
    </r>
    <r>
      <rPr>
        <sz val="12"/>
        <color rgb="FF000000"/>
        <rFont val="Arial"/>
        <family val="2"/>
      </rPr>
      <t>, </t>
    </r>
    <r>
      <rPr>
        <b/>
        <sz val="12"/>
        <color rgb="FF000000"/>
        <rFont val="Arial"/>
        <family val="2"/>
      </rPr>
      <t>J. Chem. Thermodynam.</t>
    </r>
    <r>
      <rPr>
        <sz val="12"/>
        <color rgb="FF000000"/>
        <rFont val="Arial"/>
        <family val="2"/>
      </rPr>
      <t>, 1975, 7, 593-606.</t>
    </r>
  </si>
  <si>
    <t>cpA [kJ/kmol/K]</t>
  </si>
  <si>
    <t>[EMIM][HSO4]</t>
  </si>
  <si>
    <t>Ficke, L. E.; Novak, R.; Brennecke, J. F. (2010) J. Chem. Eng. Data 55(11),</t>
  </si>
  <si>
    <t>cp[J/mol/K]</t>
  </si>
  <si>
    <t>J/mol/K</t>
  </si>
  <si>
    <t>h[kJ/kmol/h]</t>
  </si>
  <si>
    <t>n[kmol]</t>
  </si>
  <si>
    <t>MACRO</t>
  </si>
  <si>
    <t>CTRL+Q</t>
  </si>
  <si>
    <t>kJ/s</t>
  </si>
  <si>
    <t>kJ/h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</si>
</sst>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b/>
      <i/>
      <sz val="11"/>
      <color theme="1"/>
      <name val="Calibri"/>
      <family val="2"/>
      <charset val="238"/>
      <scheme val="minor"/>
    </font>
    <font>
      <sz val="11"/>
      <color rgb="FF1F1F1F"/>
      <name val="Georgia"/>
      <family val="1"/>
    </font>
    <font>
      <b/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i/>
      <sz val="1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8E8E8E"/>
      </top>
      <bottom/>
      <diagonal/>
    </border>
    <border>
      <left/>
      <right/>
      <top/>
      <bottom style="medium">
        <color rgb="FF8E8E8E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3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2" xfId="0" applyBorder="1"/>
    <xf numFmtId="0" fontId="3" fillId="0" borderId="4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3" fillId="0" borderId="4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7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164" fontId="4" fillId="0" borderId="16" xfId="0" applyNumberFormat="1" applyFont="1" applyBorder="1" applyAlignment="1">
      <alignment horizontal="left" vertical="center"/>
    </xf>
    <xf numFmtId="164" fontId="4" fillId="0" borderId="0" xfId="0" applyNumberFormat="1" applyFont="1" applyAlignment="1">
      <alignment horizontal="left" vertical="center"/>
    </xf>
    <xf numFmtId="164" fontId="4" fillId="0" borderId="17" xfId="0" applyNumberFormat="1" applyFont="1" applyBorder="1" applyAlignment="1">
      <alignment horizontal="left" vertical="center"/>
    </xf>
    <xf numFmtId="0" fontId="0" fillId="0" borderId="1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0" xfId="0" quotePrefix="1"/>
    <xf numFmtId="0" fontId="1" fillId="0" borderId="12" xfId="0" applyFont="1" applyFill="1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/>
    <xf numFmtId="0" fontId="1" fillId="0" borderId="0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6" fillId="0" borderId="0" xfId="0" applyFont="1"/>
    <xf numFmtId="0" fontId="5" fillId="0" borderId="7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2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5" xfId="0" quotePrefix="1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7" fillId="0" borderId="0" xfId="0" applyFont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11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50144"/>
        <c:axId val="151751680"/>
      </c:scatterChart>
      <c:valAx>
        <c:axId val="151750144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51751680"/>
        <c:crosses val="autoZero"/>
        <c:crossBetween val="midCat"/>
      </c:valAx>
      <c:valAx>
        <c:axId val="15175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175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391680"/>
        <c:axId val="152393216"/>
      </c:scatterChart>
      <c:valAx>
        <c:axId val="152391680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52393216"/>
        <c:crosses val="autoZero"/>
        <c:crossBetween val="midCat"/>
      </c:valAx>
      <c:valAx>
        <c:axId val="152393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39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32768"/>
        <c:axId val="151285760"/>
      </c:scatterChart>
      <c:valAx>
        <c:axId val="144832768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51285760"/>
        <c:crosses val="autoZero"/>
        <c:crossBetween val="midCat"/>
      </c:valAx>
      <c:valAx>
        <c:axId val="151285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4832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476096"/>
        <c:axId val="151477632"/>
      </c:scatterChart>
      <c:valAx>
        <c:axId val="151476096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51477632"/>
        <c:crosses val="autoZero"/>
        <c:crossBetween val="midCat"/>
      </c:valAx>
      <c:valAx>
        <c:axId val="151477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147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19</xdr:row>
      <xdr:rowOff>180975</xdr:rowOff>
    </xdr:from>
    <xdr:to>
      <xdr:col>17</xdr:col>
      <xdr:colOff>132804</xdr:colOff>
      <xdr:row>23</xdr:row>
      <xdr:rowOff>190399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3981450"/>
          <a:ext cx="4371429" cy="8095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12</xdr:col>
      <xdr:colOff>533179</xdr:colOff>
      <xdr:row>16</xdr:row>
      <xdr:rowOff>38064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050" y="2952750"/>
          <a:ext cx="1771429" cy="285714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19</xdr:col>
      <xdr:colOff>161221</xdr:colOff>
      <xdr:row>27</xdr:row>
      <xdr:rowOff>184986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5625" y="5010150"/>
          <a:ext cx="5638096" cy="571429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353786</xdr:colOff>
      <xdr:row>16</xdr:row>
      <xdr:rowOff>27216</xdr:rowOff>
    </xdr:from>
    <xdr:to>
      <xdr:col>17</xdr:col>
      <xdr:colOff>481105</xdr:colOff>
      <xdr:row>20</xdr:row>
      <xdr:rowOff>137169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90857" y="3292930"/>
          <a:ext cx="3188927" cy="9263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19</xdr:row>
      <xdr:rowOff>180975</xdr:rowOff>
    </xdr:from>
    <xdr:to>
      <xdr:col>17</xdr:col>
      <xdr:colOff>75654</xdr:colOff>
      <xdr:row>23</xdr:row>
      <xdr:rowOff>190399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3981450"/>
          <a:ext cx="4371429" cy="8095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12</xdr:col>
      <xdr:colOff>476029</xdr:colOff>
      <xdr:row>16</xdr:row>
      <xdr:rowOff>19014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050" y="2952750"/>
          <a:ext cx="1771429" cy="285714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19</xdr:col>
      <xdr:colOff>104071</xdr:colOff>
      <xdr:row>27</xdr:row>
      <xdr:rowOff>184986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5625" y="5010150"/>
          <a:ext cx="5638096" cy="575511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353786</xdr:colOff>
      <xdr:row>16</xdr:row>
      <xdr:rowOff>27216</xdr:rowOff>
    </xdr:from>
    <xdr:to>
      <xdr:col>17</xdr:col>
      <xdr:colOff>481105</xdr:colOff>
      <xdr:row>20</xdr:row>
      <xdr:rowOff>137169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9086" y="3227616"/>
          <a:ext cx="3175319" cy="9100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19</xdr:row>
      <xdr:rowOff>180975</xdr:rowOff>
    </xdr:from>
    <xdr:to>
      <xdr:col>17</xdr:col>
      <xdr:colOff>75654</xdr:colOff>
      <xdr:row>23</xdr:row>
      <xdr:rowOff>190399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3981450"/>
          <a:ext cx="4371429" cy="8095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12</xdr:col>
      <xdr:colOff>476029</xdr:colOff>
      <xdr:row>16</xdr:row>
      <xdr:rowOff>19014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050" y="2952750"/>
          <a:ext cx="1771429" cy="285714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19</xdr:col>
      <xdr:colOff>104071</xdr:colOff>
      <xdr:row>27</xdr:row>
      <xdr:rowOff>184986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5625" y="5010150"/>
          <a:ext cx="5638096" cy="571429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19</xdr:row>
      <xdr:rowOff>180975</xdr:rowOff>
    </xdr:from>
    <xdr:to>
      <xdr:col>17</xdr:col>
      <xdr:colOff>18504</xdr:colOff>
      <xdr:row>23</xdr:row>
      <xdr:rowOff>190399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3981450"/>
          <a:ext cx="4314279" cy="8095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12</xdr:col>
      <xdr:colOff>418879</xdr:colOff>
      <xdr:row>15</xdr:row>
      <xdr:rowOff>199989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050" y="2952750"/>
          <a:ext cx="1714279" cy="266664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19</xdr:col>
      <xdr:colOff>46921</xdr:colOff>
      <xdr:row>27</xdr:row>
      <xdr:rowOff>184986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5625" y="5010150"/>
          <a:ext cx="5580946" cy="575511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"/>
  <dimension ref="A1:AA206"/>
  <sheetViews>
    <sheetView tabSelected="1" zoomScale="70" zoomScaleNormal="70" workbookViewId="0">
      <selection activeCell="A10" sqref="A10"/>
    </sheetView>
  </sheetViews>
  <sheetFormatPr defaultRowHeight="15" x14ac:dyDescent="0.25"/>
  <cols>
    <col min="3" max="3" width="9.85546875" customWidth="1"/>
    <col min="4" max="4" width="11.28515625" customWidth="1"/>
    <col min="5" max="6" width="10.7109375" customWidth="1"/>
    <col min="7" max="7" width="12.7109375" bestFit="1" customWidth="1"/>
    <col min="9" max="9" width="10.7109375" customWidth="1"/>
    <col min="11" max="11" width="10" customWidth="1"/>
    <col min="24" max="24" width="10.7109375" customWidth="1"/>
    <col min="25" max="25" width="11" customWidth="1"/>
  </cols>
  <sheetData>
    <row r="1" spans="1:21" ht="15.75" thickBot="1" x14ac:dyDescent="0.3">
      <c r="A1" s="1" t="s">
        <v>0</v>
      </c>
      <c r="B1" s="105" t="s">
        <v>69</v>
      </c>
      <c r="C1" s="106"/>
      <c r="E1" s="97" t="s">
        <v>1</v>
      </c>
      <c r="F1" s="98"/>
      <c r="G1" s="98"/>
      <c r="H1" s="99"/>
      <c r="J1" s="2" t="s">
        <v>2</v>
      </c>
      <c r="L1" s="107" t="s">
        <v>68</v>
      </c>
      <c r="M1" s="108"/>
      <c r="N1" s="108"/>
      <c r="O1" s="109"/>
    </row>
    <row r="2" spans="1:21" ht="15.75" thickBot="1" x14ac:dyDescent="0.3">
      <c r="A2" s="3" t="s">
        <v>3</v>
      </c>
      <c r="B2" s="110" t="s">
        <v>70</v>
      </c>
      <c r="C2" s="111"/>
      <c r="E2" s="1" t="s">
        <v>4</v>
      </c>
      <c r="F2" s="4">
        <v>0.4</v>
      </c>
      <c r="G2" s="1" t="s">
        <v>5</v>
      </c>
      <c r="H2" s="5">
        <v>5.5736999999999997</v>
      </c>
      <c r="J2" s="6">
        <f>8.314/1000</f>
        <v>8.3140000000000002E-3</v>
      </c>
      <c r="L2" s="2"/>
      <c r="M2" s="7" t="s">
        <v>0</v>
      </c>
      <c r="N2" s="7" t="s">
        <v>3</v>
      </c>
      <c r="O2" s="8" t="s">
        <v>6</v>
      </c>
      <c r="R2" s="52" t="s">
        <v>95</v>
      </c>
    </row>
    <row r="3" spans="1:21" ht="15.75" thickBot="1" x14ac:dyDescent="0.3">
      <c r="A3" s="9" t="s">
        <v>6</v>
      </c>
      <c r="B3" s="112" t="s">
        <v>71</v>
      </c>
      <c r="C3" s="113"/>
      <c r="E3" s="46"/>
      <c r="F3" s="4"/>
      <c r="G3" s="3" t="s">
        <v>7</v>
      </c>
      <c r="H3" s="11">
        <v>7.4991000000000003</v>
      </c>
      <c r="J3" s="2" t="s">
        <v>8</v>
      </c>
      <c r="K3" t="s">
        <v>72</v>
      </c>
      <c r="L3" s="3" t="s">
        <v>0</v>
      </c>
      <c r="M3" s="12">
        <v>20.840540000000001</v>
      </c>
      <c r="N3" s="1">
        <v>-2624.5250000000001</v>
      </c>
      <c r="O3" s="13">
        <v>-46.151710000000001</v>
      </c>
      <c r="R3" t="s">
        <v>96</v>
      </c>
    </row>
    <row r="4" spans="1:21" ht="15.75" thickBot="1" x14ac:dyDescent="0.3">
      <c r="E4" s="46"/>
      <c r="F4" s="4"/>
      <c r="G4" s="3" t="s">
        <v>9</v>
      </c>
      <c r="H4" s="11">
        <v>19.269400000000001</v>
      </c>
      <c r="J4" s="6">
        <v>2.6</v>
      </c>
      <c r="L4" s="3" t="s">
        <v>3</v>
      </c>
      <c r="M4" s="12">
        <v>23.534700000000001</v>
      </c>
      <c r="N4" s="3">
        <v>-3661.4679999999998</v>
      </c>
      <c r="O4" s="13">
        <v>-32.770009999999999</v>
      </c>
    </row>
    <row r="5" spans="1:21" ht="15.75" thickBot="1" x14ac:dyDescent="0.3">
      <c r="E5" s="46"/>
      <c r="F5" s="4"/>
      <c r="G5" s="3" t="s">
        <v>10</v>
      </c>
      <c r="H5" s="11">
        <v>16.212</v>
      </c>
      <c r="J5" s="2" t="s">
        <v>11</v>
      </c>
      <c r="K5" t="s">
        <v>72</v>
      </c>
      <c r="L5" s="9" t="s">
        <v>6</v>
      </c>
      <c r="M5" s="14">
        <v>0</v>
      </c>
      <c r="N5" s="9">
        <v>0</v>
      </c>
      <c r="O5" s="15">
        <v>0</v>
      </c>
      <c r="Q5" s="39"/>
      <c r="R5" s="39"/>
    </row>
    <row r="6" spans="1:21" ht="15.75" thickBot="1" x14ac:dyDescent="0.3">
      <c r="E6" s="46"/>
      <c r="F6" s="4"/>
      <c r="G6" s="3" t="s">
        <v>12</v>
      </c>
      <c r="H6" s="11">
        <v>10.6456</v>
      </c>
      <c r="J6" s="16">
        <v>101.325</v>
      </c>
      <c r="Q6" s="40"/>
      <c r="R6" s="40"/>
    </row>
    <row r="7" spans="1:21" ht="15.75" thickBot="1" x14ac:dyDescent="0.3">
      <c r="E7" s="46"/>
      <c r="F7" s="4"/>
      <c r="G7" s="9" t="s">
        <v>13</v>
      </c>
      <c r="H7" s="17">
        <v>0.56320000000000003</v>
      </c>
      <c r="Q7" s="41"/>
      <c r="R7" s="41"/>
    </row>
    <row r="8" spans="1:21" ht="15.75" thickBot="1" x14ac:dyDescent="0.3"/>
    <row r="9" spans="1:21" ht="15.75" thickBot="1" x14ac:dyDescent="0.3">
      <c r="A9" s="2" t="s">
        <v>14</v>
      </c>
      <c r="B9" s="8" t="s">
        <v>15</v>
      </c>
      <c r="C9" s="2" t="s">
        <v>16</v>
      </c>
      <c r="D9" s="2" t="s">
        <v>17</v>
      </c>
      <c r="E9" s="2" t="s">
        <v>18</v>
      </c>
      <c r="F9" s="18" t="s">
        <v>19</v>
      </c>
      <c r="G9" s="2" t="s">
        <v>20</v>
      </c>
      <c r="H9" s="8" t="s">
        <v>21</v>
      </c>
      <c r="I9" s="18" t="s">
        <v>22</v>
      </c>
      <c r="J9" s="2" t="s">
        <v>23</v>
      </c>
      <c r="K9" s="8" t="s">
        <v>24</v>
      </c>
      <c r="L9" s="2" t="s">
        <v>25</v>
      </c>
      <c r="M9" s="10"/>
      <c r="N9" s="10"/>
      <c r="O9" s="10"/>
      <c r="P9" s="10"/>
      <c r="Q9" s="10"/>
      <c r="R9" s="10"/>
      <c r="S9" s="10"/>
      <c r="T9" s="10"/>
      <c r="U9" s="10"/>
    </row>
    <row r="10" spans="1:21" ht="15.75" thickBot="1" x14ac:dyDescent="0.3">
      <c r="A10" s="19">
        <f>B10-273.15</f>
        <v>-4.6496565829730798</v>
      </c>
      <c r="B10" s="20">
        <v>268.5003434170269</v>
      </c>
      <c r="C10" s="16">
        <f>C19</f>
        <v>2.567508682121256E-4</v>
      </c>
      <c r="D10" s="16">
        <f>C21</f>
        <v>0.39476361086144085</v>
      </c>
      <c r="E10" s="16">
        <f>C20</f>
        <v>0.60497963827034706</v>
      </c>
      <c r="F10" s="21">
        <f>EXP(M3+N3/(B10+O3))/1000</f>
        <v>8.4076056492281896</v>
      </c>
      <c r="G10" s="16">
        <f>EXP(M4+N4/(B10+O4))/1000</f>
        <v>2.9876931914251328</v>
      </c>
      <c r="H10" s="17">
        <v>0</v>
      </c>
      <c r="I10" s="22">
        <f>(C10*F10*S13)/J4</f>
        <v>0.11069696216000374</v>
      </c>
      <c r="J10" s="19">
        <f>(D10*G10*T13)/J4</f>
        <v>0.88930388332562393</v>
      </c>
      <c r="K10" s="23">
        <v>0</v>
      </c>
      <c r="L10" s="19">
        <f>SUM(I10:K10)</f>
        <v>1.0000008454856277</v>
      </c>
      <c r="M10" s="10"/>
      <c r="N10" s="10"/>
      <c r="O10" s="10"/>
      <c r="P10" s="10"/>
      <c r="Q10" s="10"/>
      <c r="R10" s="10"/>
      <c r="S10" s="10"/>
      <c r="T10" s="10"/>
      <c r="U10" s="10"/>
    </row>
    <row r="11" spans="1:21" ht="15.75" thickBot="1" x14ac:dyDescent="0.3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1" ht="15.75" thickBot="1" x14ac:dyDescent="0.3">
      <c r="A12" s="2" t="s">
        <v>26</v>
      </c>
      <c r="B12" s="8" t="s">
        <v>27</v>
      </c>
      <c r="C12" s="8" t="s">
        <v>28</v>
      </c>
      <c r="D12" s="8" t="s">
        <v>29</v>
      </c>
      <c r="E12" s="8" t="s">
        <v>30</v>
      </c>
      <c r="F12" s="8" t="s">
        <v>31</v>
      </c>
      <c r="G12" s="2" t="s">
        <v>32</v>
      </c>
      <c r="H12" s="8" t="s">
        <v>33</v>
      </c>
      <c r="I12" s="8" t="s">
        <v>34</v>
      </c>
      <c r="J12" s="8" t="s">
        <v>35</v>
      </c>
      <c r="K12" s="8" t="s">
        <v>36</v>
      </c>
      <c r="L12" s="8" t="s">
        <v>37</v>
      </c>
      <c r="M12" s="24" t="s">
        <v>38</v>
      </c>
      <c r="N12" s="25" t="s">
        <v>39</v>
      </c>
      <c r="O12" s="25" t="s">
        <v>40</v>
      </c>
      <c r="P12" s="24" t="s">
        <v>41</v>
      </c>
      <c r="Q12" s="25" t="s">
        <v>42</v>
      </c>
      <c r="R12" s="25" t="s">
        <v>43</v>
      </c>
      <c r="S12" s="24" t="s">
        <v>44</v>
      </c>
      <c r="T12" s="25" t="s">
        <v>45</v>
      </c>
      <c r="U12" s="25" t="s">
        <v>46</v>
      </c>
    </row>
    <row r="13" spans="1:21" ht="15.75" thickBot="1" x14ac:dyDescent="0.3">
      <c r="A13" s="22">
        <f>H2/(J2*B10)</f>
        <v>2.4968285623236235</v>
      </c>
      <c r="B13" s="19">
        <f>H3/(J2*B10)</f>
        <v>3.3593424604340183</v>
      </c>
      <c r="C13" s="23">
        <f>H4/(J2*B10)</f>
        <v>8.6320376587973584</v>
      </c>
      <c r="D13" s="19">
        <f>H5/(J2*B10)</f>
        <v>7.2624261536126076</v>
      </c>
      <c r="E13" s="23">
        <f>H6/(J2*B10)</f>
        <v>4.7688677437020957</v>
      </c>
      <c r="F13" s="19">
        <f>H7/(J2*B10)</f>
        <v>0.25229449850201213</v>
      </c>
      <c r="G13" s="23">
        <f t="shared" ref="G13:L13" si="0">EXP(-$F$2*A13)</f>
        <v>0.36834641999570289</v>
      </c>
      <c r="H13" s="23">
        <f t="shared" si="0"/>
        <v>0.26086898152956273</v>
      </c>
      <c r="I13" s="23">
        <f t="shared" si="0"/>
        <v>3.1656396062725148E-2</v>
      </c>
      <c r="J13" s="23">
        <f t="shared" si="0"/>
        <v>5.4750407825535398E-2</v>
      </c>
      <c r="K13" s="23">
        <f t="shared" si="0"/>
        <v>0.14844405919315307</v>
      </c>
      <c r="L13" s="23">
        <f t="shared" si="0"/>
        <v>0.90400733977679326</v>
      </c>
      <c r="M13" s="23">
        <f>D10*B13*H13+E10*D13*J13</f>
        <v>0.58650288201598555</v>
      </c>
      <c r="N13" s="19">
        <f>C10*A13*G13+E10*F13*L13</f>
        <v>0.13821751665201273</v>
      </c>
      <c r="O13" s="23">
        <f>C10*C13*I13+D10*E13*K13</f>
        <v>0.27952730110630691</v>
      </c>
      <c r="P13" s="19">
        <f>C10+H13*D10+J13*E10</f>
        <v>0.13636121390001521</v>
      </c>
      <c r="Q13" s="23">
        <f>G13*C10+D10+L13*E10</f>
        <v>0.94176421753648065</v>
      </c>
      <c r="R13" s="19">
        <f>I13*C10+K13*D10+E10</f>
        <v>0.66358807889553917</v>
      </c>
      <c r="S13" s="23">
        <f>EXP(M13/P13-(C10*M13)/P13^2+D10*G13/Q13*(A13-N13/Q13)+E10*I13/R13*(C13-O13/R13))</f>
        <v>133.32905364730399</v>
      </c>
      <c r="T13" s="19">
        <f>EXP(N13/Q13-D10*N13/Q13^2+C10*H13/P13*(B13-M13/P13)+E10*K13/R13*(E13-O13/R13))</f>
        <v>1.9604258776435102</v>
      </c>
      <c r="U13" s="20">
        <f>EXP(O13/R13-E10*O13/R13^2+C10*J13/P13*(D13-M13/P13)+D10*L13/Q13*(F13-N13/Q13))</f>
        <v>1.080580392714775</v>
      </c>
    </row>
    <row r="14" spans="1:21" ht="15.75" thickBot="1" x14ac:dyDescent="0.3"/>
    <row r="15" spans="1:21" ht="15.75" thickBot="1" x14ac:dyDescent="0.3">
      <c r="A15" s="26"/>
      <c r="B15" s="27" t="s">
        <v>47</v>
      </c>
      <c r="C15" s="28" t="s">
        <v>48</v>
      </c>
      <c r="D15" s="29" t="s">
        <v>49</v>
      </c>
      <c r="I15" s="49" t="s">
        <v>70</v>
      </c>
      <c r="K15" s="51"/>
      <c r="L15" s="51"/>
      <c r="N15" s="51"/>
      <c r="O15" s="51"/>
      <c r="P15" s="51"/>
      <c r="Q15" s="51"/>
      <c r="S15" s="28" t="s">
        <v>50</v>
      </c>
      <c r="T15" s="28" t="s">
        <v>83</v>
      </c>
    </row>
    <row r="16" spans="1:21" ht="15.75" thickBot="1" x14ac:dyDescent="0.3">
      <c r="A16" s="30" t="s">
        <v>14</v>
      </c>
      <c r="B16" s="10">
        <v>45</v>
      </c>
      <c r="C16" s="31">
        <f>A10</f>
        <v>-4.6496565829730798</v>
      </c>
      <c r="D16" s="11">
        <f>A10</f>
        <v>-4.6496565829730798</v>
      </c>
      <c r="I16" s="1" t="s">
        <v>81</v>
      </c>
      <c r="J16" s="31">
        <v>45.3</v>
      </c>
      <c r="K16" s="46"/>
      <c r="L16" s="46"/>
      <c r="N16" s="50"/>
      <c r="O16" s="46"/>
      <c r="P16" s="46"/>
      <c r="Q16" s="46"/>
      <c r="S16" s="19">
        <f>(B17+C17)/2</f>
        <v>293.32517170851344</v>
      </c>
      <c r="T16" s="19">
        <f>J22*1000*EXP(-J23*D17/J24)*(1-D17/J24)^J23</f>
        <v>31583.492708895959</v>
      </c>
    </row>
    <row r="17" spans="1:27" ht="15.75" thickBot="1" x14ac:dyDescent="0.3">
      <c r="A17" s="28" t="s">
        <v>15</v>
      </c>
      <c r="B17" s="4">
        <f>B16+273.15</f>
        <v>318.14999999999998</v>
      </c>
      <c r="C17" s="19">
        <f>C16+273.15</f>
        <v>268.5003434170269</v>
      </c>
      <c r="D17" s="20">
        <f>D16+273.15</f>
        <v>268.5003434170269</v>
      </c>
      <c r="I17" s="53" t="s">
        <v>60</v>
      </c>
      <c r="J17" s="6">
        <v>-0.31</v>
      </c>
      <c r="K17" s="45"/>
      <c r="L17" s="45"/>
      <c r="N17" s="46"/>
      <c r="O17" s="45"/>
      <c r="P17" s="45"/>
      <c r="Q17" s="45"/>
      <c r="S17" s="2" t="s">
        <v>88</v>
      </c>
      <c r="T17" s="2" t="s">
        <v>52</v>
      </c>
    </row>
    <row r="18" spans="1:27" ht="15.75" thickBot="1" x14ac:dyDescent="0.3">
      <c r="A18" s="32" t="s">
        <v>94</v>
      </c>
      <c r="B18" s="36">
        <v>20.690942281580988</v>
      </c>
      <c r="C18" s="33">
        <f>(B18*B20)/C20</f>
        <v>13.958238865997179</v>
      </c>
      <c r="D18" s="11">
        <f>B18-C18</f>
        <v>6.7327034155838081</v>
      </c>
      <c r="F18" s="2" t="s">
        <v>53</v>
      </c>
      <c r="I18" s="3" t="s">
        <v>62</v>
      </c>
      <c r="J18" s="6">
        <v>0.42409999999999998</v>
      </c>
      <c r="L18" s="45"/>
      <c r="N18" s="46"/>
      <c r="O18" s="45"/>
      <c r="P18" s="45"/>
      <c r="Q18" s="45"/>
      <c r="S18" s="19">
        <v>187.5</v>
      </c>
      <c r="T18" s="19">
        <f>J16*1000*EXP(-J17*D17/J19)*(1-D17/J19)</f>
        <v>25375.041411547816</v>
      </c>
    </row>
    <row r="19" spans="1:27" ht="15.75" thickBot="1" x14ac:dyDescent="0.3">
      <c r="A19" s="28" t="s">
        <v>16</v>
      </c>
      <c r="B19" s="36">
        <v>3.6193341415735866E-2</v>
      </c>
      <c r="C19" s="47">
        <v>2.567508682121256E-4</v>
      </c>
      <c r="D19" s="20">
        <f>(B18*B19-C18*C19)/D18</f>
        <v>0.11069707103656259</v>
      </c>
      <c r="E19" s="10">
        <f>I10</f>
        <v>0.11069696216000374</v>
      </c>
      <c r="F19" s="10">
        <f>(D19-E19)^2</f>
        <v>1.1854105067440977E-14</v>
      </c>
      <c r="I19" s="9" t="s">
        <v>82</v>
      </c>
      <c r="J19" s="16">
        <v>512.6</v>
      </c>
      <c r="K19" s="45"/>
      <c r="L19" s="45" t="s">
        <v>84</v>
      </c>
      <c r="N19" s="46"/>
      <c r="O19" s="45"/>
      <c r="P19" s="45"/>
      <c r="Q19" s="45"/>
      <c r="S19" s="2" t="s">
        <v>56</v>
      </c>
      <c r="T19" s="2" t="s">
        <v>57</v>
      </c>
    </row>
    <row r="20" spans="1:27" ht="15.75" thickBot="1" x14ac:dyDescent="0.3">
      <c r="A20" s="28" t="s">
        <v>18</v>
      </c>
      <c r="B20" s="36">
        <v>0.40812304172146363</v>
      </c>
      <c r="C20" s="47">
        <v>0.60497963827034706</v>
      </c>
      <c r="D20" s="20">
        <v>0</v>
      </c>
      <c r="S20" s="19">
        <f>A36+B36*S16+C36*S16^2+D36*S16^3</f>
        <v>80.485531281113751</v>
      </c>
      <c r="T20" s="19">
        <f>0</f>
        <v>0</v>
      </c>
    </row>
    <row r="21" spans="1:27" ht="15.75" thickBot="1" x14ac:dyDescent="0.3">
      <c r="A21" s="28" t="s">
        <v>17</v>
      </c>
      <c r="B21" s="36">
        <v>0.55568361686280054</v>
      </c>
      <c r="C21" s="19">
        <f>1-C19-C20</f>
        <v>0.39476361086144085</v>
      </c>
      <c r="D21" s="20">
        <f>(B18*B21-C18*C21)/D18</f>
        <v>0.88930292896343754</v>
      </c>
      <c r="E21" s="10">
        <f>J10</f>
        <v>0.88930388332562393</v>
      </c>
      <c r="F21" s="10">
        <f>(D21-E21)^2</f>
        <v>9.1080718281004327E-13</v>
      </c>
      <c r="I21" s="49" t="s">
        <v>69</v>
      </c>
      <c r="S21" s="2" t="s">
        <v>58</v>
      </c>
      <c r="T21" s="2" t="s">
        <v>59</v>
      </c>
    </row>
    <row r="22" spans="1:27" ht="15.75" thickBot="1" x14ac:dyDescent="0.3">
      <c r="A22" s="32" t="s">
        <v>93</v>
      </c>
      <c r="B22" s="10">
        <f>S24*(B17-C17)</f>
        <v>8480.5043104321758</v>
      </c>
      <c r="C22" s="6">
        <v>0</v>
      </c>
      <c r="D22" s="11">
        <f>T22</f>
        <v>26062.298785837407</v>
      </c>
      <c r="F22" s="2" t="s">
        <v>53</v>
      </c>
      <c r="I22" s="1" t="s">
        <v>81</v>
      </c>
      <c r="J22" s="31">
        <v>46.23</v>
      </c>
      <c r="S22" s="19">
        <f>D43+E43*S16+S16^2*F43</f>
        <v>292.30441039706022</v>
      </c>
      <c r="T22" s="19">
        <f>D19*T16+D21*T18</f>
        <v>26062.298785837407</v>
      </c>
    </row>
    <row r="23" spans="1:27" ht="15.75" thickBot="1" x14ac:dyDescent="0.3">
      <c r="A23" s="28" t="s">
        <v>61</v>
      </c>
      <c r="B23" s="23">
        <f>B18*B22</f>
        <v>175469.62520585093</v>
      </c>
      <c r="C23" s="19">
        <v>0</v>
      </c>
      <c r="D23" s="20">
        <f>D18*D22</f>
        <v>175469.72805337326</v>
      </c>
      <c r="E23">
        <f>(B23-D23)/B23</f>
        <v>-5.8612721265985541E-7</v>
      </c>
      <c r="F23">
        <f>E23^2</f>
        <v>3.4354510942041137E-13</v>
      </c>
      <c r="I23" s="3" t="s">
        <v>62</v>
      </c>
      <c r="J23" s="6">
        <v>0.2893</v>
      </c>
      <c r="S23" s="2" t="s">
        <v>63</v>
      </c>
    </row>
    <row r="24" spans="1:27" ht="15.75" thickBot="1" x14ac:dyDescent="0.3">
      <c r="A24" s="82" t="s">
        <v>98</v>
      </c>
      <c r="F24" s="2" t="s">
        <v>64</v>
      </c>
      <c r="I24" s="9" t="s">
        <v>82</v>
      </c>
      <c r="J24" s="16">
        <v>497.1</v>
      </c>
      <c r="S24" s="19">
        <f>S18*B19+S20*B21+S22*B20</f>
        <v>170.80690772271106</v>
      </c>
    </row>
    <row r="25" spans="1:27" ht="16.5" thickBot="1" x14ac:dyDescent="0.3">
      <c r="A25" s="97" t="s">
        <v>65</v>
      </c>
      <c r="B25" s="98"/>
      <c r="C25" s="98"/>
      <c r="D25" s="99"/>
      <c r="F25" s="19">
        <f>F19+F21+F23</f>
        <v>1.2662063972978956E-12</v>
      </c>
      <c r="K25" s="54" t="s">
        <v>85</v>
      </c>
    </row>
    <row r="26" spans="1:27" ht="15.75" thickBot="1" x14ac:dyDescent="0.3">
      <c r="A26" s="100" t="s">
        <v>48</v>
      </c>
      <c r="B26" s="101"/>
      <c r="C26" s="102" t="s">
        <v>66</v>
      </c>
      <c r="D26" s="101"/>
      <c r="I26" s="46"/>
      <c r="J26" s="46"/>
    </row>
    <row r="27" spans="1:27" x14ac:dyDescent="0.25">
      <c r="I27" s="50"/>
      <c r="J27" s="50"/>
    </row>
    <row r="28" spans="1:27" ht="15.75" thickBot="1" x14ac:dyDescent="0.3">
      <c r="E28" s="60"/>
      <c r="N28" s="103"/>
      <c r="O28" s="103"/>
      <c r="X28" s="104"/>
      <c r="Y28" s="104"/>
    </row>
    <row r="29" spans="1:27" ht="16.5" thickBot="1" x14ac:dyDescent="0.3">
      <c r="A29" s="56" t="s">
        <v>70</v>
      </c>
      <c r="B29" s="45"/>
      <c r="C29" s="57" t="s">
        <v>86</v>
      </c>
      <c r="D29" s="59">
        <v>32.04</v>
      </c>
      <c r="E29" s="58" t="s">
        <v>75</v>
      </c>
      <c r="K29" s="54" t="s">
        <v>87</v>
      </c>
      <c r="N29" s="45"/>
      <c r="O29" s="45"/>
      <c r="X29" s="10"/>
      <c r="Y29" s="10"/>
      <c r="Z29" s="10"/>
      <c r="AA29" s="10"/>
    </row>
    <row r="30" spans="1:27" ht="15.75" thickBot="1" x14ac:dyDescent="0.3">
      <c r="A30" s="57" t="s">
        <v>67</v>
      </c>
      <c r="B30" s="58" t="s">
        <v>74</v>
      </c>
      <c r="C30" s="45"/>
      <c r="D30" s="45"/>
      <c r="E30" s="57" t="s">
        <v>77</v>
      </c>
      <c r="F30" s="65" t="s">
        <v>78</v>
      </c>
      <c r="G30" s="66" t="s">
        <v>79</v>
      </c>
      <c r="N30" s="45"/>
      <c r="O30" s="45"/>
      <c r="X30" s="10"/>
      <c r="Y30" s="10"/>
      <c r="Z30" s="10"/>
      <c r="AA30" s="10"/>
    </row>
    <row r="31" spans="1:27" ht="15.75" thickBot="1" x14ac:dyDescent="0.3">
      <c r="A31" s="61" t="s">
        <v>51</v>
      </c>
      <c r="B31" s="62" t="s">
        <v>54</v>
      </c>
      <c r="C31" s="62" t="s">
        <v>55</v>
      </c>
      <c r="D31" s="63" t="s">
        <v>73</v>
      </c>
      <c r="E31" s="45"/>
      <c r="N31" s="45"/>
      <c r="O31" s="45"/>
      <c r="X31" s="10"/>
      <c r="Y31" s="10"/>
      <c r="Z31" s="10"/>
      <c r="AA31" s="10"/>
    </row>
    <row r="32" spans="1:27" ht="15.75" thickBot="1" x14ac:dyDescent="0.3">
      <c r="A32" s="22">
        <v>0.83819999999999995</v>
      </c>
      <c r="B32" s="23">
        <f>-3.231*10^-3</f>
        <v>-3.2309999999999999E-3</v>
      </c>
      <c r="C32" s="23">
        <f>8.296*10^-6</f>
        <v>8.2959999999999982E-6</v>
      </c>
      <c r="D32" s="20">
        <f>-0.1689*10^-9</f>
        <v>-1.6890000000000001E-10</v>
      </c>
      <c r="E32" s="45"/>
      <c r="N32" s="45"/>
      <c r="O32" s="45"/>
      <c r="X32" s="10"/>
      <c r="Y32" s="10"/>
      <c r="Z32" s="10"/>
      <c r="AA32" s="10"/>
    </row>
    <row r="33" spans="1:27" ht="15.75" thickBot="1" x14ac:dyDescent="0.3">
      <c r="A33" s="45"/>
      <c r="B33" s="64" t="s">
        <v>76</v>
      </c>
      <c r="C33" s="45"/>
      <c r="D33" s="45"/>
      <c r="E33" s="45"/>
      <c r="N33" s="45"/>
      <c r="O33" s="45"/>
      <c r="X33" s="10"/>
      <c r="Y33" s="10"/>
      <c r="Z33" s="10"/>
      <c r="AA33" s="10"/>
    </row>
    <row r="34" spans="1:27" ht="15.75" thickBot="1" x14ac:dyDescent="0.3">
      <c r="A34" s="22">
        <f>A32*4.1868</f>
        <v>3.5093757599999997</v>
      </c>
      <c r="B34" s="23">
        <f t="shared" ref="B34:D34" si="1">B32*4.1868</f>
        <v>-1.35275508E-2</v>
      </c>
      <c r="C34" s="23">
        <f t="shared" si="1"/>
        <v>3.4733692799999993E-5</v>
      </c>
      <c r="D34" s="20">
        <f t="shared" si="1"/>
        <v>-7.0715052000000002E-10</v>
      </c>
      <c r="E34" s="45"/>
      <c r="N34" s="45"/>
      <c r="O34" s="45"/>
      <c r="X34" s="10"/>
      <c r="Y34" s="10"/>
      <c r="Z34" s="10"/>
      <c r="AA34" s="10"/>
    </row>
    <row r="35" spans="1:27" ht="15.75" thickBot="1" x14ac:dyDescent="0.3">
      <c r="A35" s="45"/>
      <c r="B35" s="64" t="s">
        <v>80</v>
      </c>
      <c r="C35" s="45"/>
      <c r="D35" s="45"/>
      <c r="E35" s="45"/>
      <c r="N35" s="45"/>
      <c r="O35" s="45"/>
      <c r="X35" s="10"/>
      <c r="Y35" s="10"/>
      <c r="Z35" s="10"/>
      <c r="AA35" s="10"/>
    </row>
    <row r="36" spans="1:27" ht="15.75" thickBot="1" x14ac:dyDescent="0.3">
      <c r="A36" s="22">
        <f>A34*$D$29</f>
        <v>112.44039935039999</v>
      </c>
      <c r="B36" s="23">
        <f t="shared" ref="B36:D36" si="2">B34*$D$29</f>
        <v>-0.43342272763199996</v>
      </c>
      <c r="C36" s="23">
        <f t="shared" si="2"/>
        <v>1.1128675173119997E-3</v>
      </c>
      <c r="D36" s="20">
        <f t="shared" si="2"/>
        <v>-2.26571026608E-8</v>
      </c>
      <c r="E36" s="45"/>
      <c r="N36" s="45"/>
      <c r="O36" s="45"/>
      <c r="X36" s="10"/>
      <c r="Y36" s="10"/>
      <c r="Z36" s="10"/>
      <c r="AA36" s="10"/>
    </row>
    <row r="37" spans="1:27" x14ac:dyDescent="0.25">
      <c r="A37" s="45"/>
      <c r="B37" s="45"/>
      <c r="C37" s="45"/>
      <c r="D37" s="45"/>
      <c r="E37" s="45"/>
      <c r="N37" s="45"/>
      <c r="O37" s="45"/>
    </row>
    <row r="38" spans="1:27" x14ac:dyDescent="0.25">
      <c r="A38" s="45"/>
      <c r="B38" s="45"/>
      <c r="C38" s="45"/>
      <c r="D38" s="45"/>
      <c r="E38" s="45"/>
      <c r="N38" s="45"/>
      <c r="O38" s="45"/>
    </row>
    <row r="39" spans="1:27" x14ac:dyDescent="0.25">
      <c r="A39" s="45" t="s">
        <v>89</v>
      </c>
      <c r="B39" s="45"/>
      <c r="C39" s="45"/>
      <c r="D39" s="45"/>
      <c r="E39" s="45"/>
      <c r="F39" t="s">
        <v>92</v>
      </c>
      <c r="G39" s="48" t="s">
        <v>78</v>
      </c>
      <c r="H39" t="s">
        <v>80</v>
      </c>
      <c r="N39" s="45"/>
      <c r="O39" s="45"/>
    </row>
    <row r="40" spans="1:27" ht="16.5" thickBot="1" x14ac:dyDescent="0.3">
      <c r="A40" s="67" t="s">
        <v>90</v>
      </c>
      <c r="B40" s="45"/>
      <c r="C40" s="45"/>
      <c r="D40" s="45"/>
      <c r="E40" s="45"/>
    </row>
    <row r="41" spans="1:27" ht="15.75" thickBot="1" x14ac:dyDescent="0.3">
      <c r="A41" s="57" t="s">
        <v>15</v>
      </c>
      <c r="B41" s="58" t="s">
        <v>91</v>
      </c>
      <c r="C41" s="45"/>
      <c r="E41" s="55" t="s">
        <v>67</v>
      </c>
      <c r="F41" s="45"/>
    </row>
    <row r="42" spans="1:27" ht="15.75" thickBot="1" x14ac:dyDescent="0.3">
      <c r="A42" s="45">
        <v>283.14999999999998</v>
      </c>
      <c r="B42" s="45">
        <v>290</v>
      </c>
      <c r="C42" s="45"/>
      <c r="D42" s="57" t="s">
        <v>51</v>
      </c>
      <c r="E42" s="59" t="s">
        <v>54</v>
      </c>
      <c r="F42" s="58" t="s">
        <v>55</v>
      </c>
    </row>
    <row r="43" spans="1:27" ht="15.75" thickBot="1" x14ac:dyDescent="0.3">
      <c r="A43" s="45">
        <v>293.14999999999998</v>
      </c>
      <c r="B43" s="45">
        <v>294</v>
      </c>
      <c r="C43" s="45"/>
      <c r="D43" s="22">
        <v>753.28</v>
      </c>
      <c r="E43" s="23">
        <v>-3.4195000000000002</v>
      </c>
      <c r="F43" s="20">
        <v>6.3E-3</v>
      </c>
    </row>
    <row r="44" spans="1:27" x14ac:dyDescent="0.25">
      <c r="A44" s="45">
        <v>303.14999999999998</v>
      </c>
      <c r="B44" s="45">
        <v>297</v>
      </c>
      <c r="C44" s="45"/>
      <c r="D44" s="45"/>
      <c r="E44" s="45"/>
    </row>
    <row r="45" spans="1:27" x14ac:dyDescent="0.25">
      <c r="A45" s="45">
        <v>313.14999999999998</v>
      </c>
      <c r="B45" s="45">
        <v>302</v>
      </c>
      <c r="C45" s="45"/>
      <c r="D45" s="45"/>
      <c r="E45" s="45"/>
    </row>
    <row r="46" spans="1:27" x14ac:dyDescent="0.25">
      <c r="A46" s="45">
        <v>323.14999999999998</v>
      </c>
      <c r="B46" s="45">
        <v>306</v>
      </c>
      <c r="C46" s="45"/>
      <c r="D46" s="45"/>
      <c r="E46" s="45"/>
    </row>
    <row r="47" spans="1:27" x14ac:dyDescent="0.25">
      <c r="A47" s="45">
        <v>333.15</v>
      </c>
      <c r="B47" s="45">
        <v>313</v>
      </c>
      <c r="C47" s="45"/>
      <c r="D47" s="45"/>
      <c r="E47" s="45"/>
    </row>
    <row r="48" spans="1:27" x14ac:dyDescent="0.25">
      <c r="A48" s="45">
        <v>343.15</v>
      </c>
      <c r="B48" s="45">
        <v>324</v>
      </c>
      <c r="C48" s="45"/>
      <c r="D48" s="45"/>
      <c r="E48" s="45"/>
    </row>
    <row r="49" spans="1:5" x14ac:dyDescent="0.25">
      <c r="A49" s="45"/>
      <c r="B49" s="45"/>
      <c r="C49" s="45"/>
      <c r="D49" s="45"/>
      <c r="E49" s="45"/>
    </row>
    <row r="50" spans="1:5" x14ac:dyDescent="0.25">
      <c r="D50" s="45"/>
      <c r="E50" s="45"/>
    </row>
    <row r="51" spans="1:5" x14ac:dyDescent="0.25">
      <c r="D51" s="45"/>
      <c r="E51" s="45"/>
    </row>
    <row r="52" spans="1:5" x14ac:dyDescent="0.25">
      <c r="D52" s="45"/>
      <c r="E52" s="45"/>
    </row>
    <row r="53" spans="1:5" x14ac:dyDescent="0.25">
      <c r="A53" s="45"/>
      <c r="B53" s="45"/>
      <c r="C53" s="45"/>
      <c r="D53" s="45"/>
      <c r="E53" s="45"/>
    </row>
    <row r="54" spans="1:5" x14ac:dyDescent="0.25">
      <c r="A54" s="45"/>
      <c r="B54" s="45"/>
      <c r="C54" s="45"/>
      <c r="D54" s="45"/>
      <c r="E54" s="45"/>
    </row>
    <row r="55" spans="1:5" x14ac:dyDescent="0.25">
      <c r="A55" s="45"/>
      <c r="B55" s="45"/>
      <c r="C55" s="45"/>
      <c r="D55" s="45"/>
      <c r="E55" s="45"/>
    </row>
    <row r="56" spans="1:5" x14ac:dyDescent="0.25">
      <c r="A56" s="45"/>
      <c r="B56" s="45"/>
      <c r="C56" s="45"/>
      <c r="D56" s="45"/>
      <c r="E56" s="45"/>
    </row>
    <row r="57" spans="1:5" x14ac:dyDescent="0.25">
      <c r="A57" s="45"/>
      <c r="B57" s="45"/>
      <c r="C57" s="45"/>
      <c r="D57" s="45"/>
      <c r="E57" s="45"/>
    </row>
    <row r="58" spans="1:5" x14ac:dyDescent="0.25">
      <c r="A58" s="45"/>
      <c r="B58" s="45"/>
      <c r="C58" s="45"/>
      <c r="D58" s="45"/>
      <c r="E58" s="45"/>
    </row>
    <row r="59" spans="1:5" x14ac:dyDescent="0.25">
      <c r="A59" s="45"/>
      <c r="B59" s="45"/>
      <c r="C59" s="45"/>
      <c r="D59" s="45"/>
      <c r="E59" s="45"/>
    </row>
    <row r="60" spans="1:5" x14ac:dyDescent="0.25">
      <c r="A60" s="45"/>
      <c r="B60" s="45"/>
      <c r="C60" s="45"/>
      <c r="D60" s="45"/>
      <c r="E60" s="45"/>
    </row>
    <row r="61" spans="1:5" x14ac:dyDescent="0.25">
      <c r="A61" s="45"/>
      <c r="B61" s="45"/>
      <c r="C61" s="45"/>
      <c r="D61" s="45"/>
      <c r="E61" s="45"/>
    </row>
    <row r="62" spans="1:5" x14ac:dyDescent="0.25">
      <c r="A62" s="45"/>
      <c r="B62" s="45"/>
      <c r="C62" s="45"/>
      <c r="D62" s="45"/>
      <c r="E62" s="45"/>
    </row>
    <row r="63" spans="1:5" x14ac:dyDescent="0.25">
      <c r="A63" s="45"/>
      <c r="B63" s="45"/>
      <c r="C63" s="45"/>
      <c r="D63" s="45"/>
      <c r="E63" s="45"/>
    </row>
    <row r="64" spans="1:5" x14ac:dyDescent="0.25">
      <c r="A64" s="45"/>
      <c r="B64" s="45"/>
      <c r="C64" s="45"/>
      <c r="D64" s="45"/>
      <c r="E64" s="45"/>
    </row>
    <row r="65" spans="1:5" x14ac:dyDescent="0.25">
      <c r="A65" s="45"/>
      <c r="B65" s="45"/>
      <c r="C65" s="45"/>
      <c r="D65" s="45"/>
      <c r="E65" s="45"/>
    </row>
    <row r="66" spans="1:5" x14ac:dyDescent="0.25">
      <c r="A66" s="45"/>
      <c r="B66" s="45"/>
      <c r="C66" s="45"/>
      <c r="D66" s="45"/>
      <c r="E66" s="45"/>
    </row>
    <row r="67" spans="1:5" x14ac:dyDescent="0.25">
      <c r="A67" s="45"/>
      <c r="B67" s="45"/>
      <c r="C67" s="45"/>
      <c r="D67" s="45"/>
      <c r="E67" s="45"/>
    </row>
    <row r="68" spans="1:5" x14ac:dyDescent="0.25">
      <c r="A68" s="45"/>
      <c r="B68" s="45"/>
      <c r="C68" s="45"/>
      <c r="D68" s="45"/>
      <c r="E68" s="45"/>
    </row>
    <row r="69" spans="1:5" x14ac:dyDescent="0.25">
      <c r="A69" s="45"/>
      <c r="B69" s="45"/>
      <c r="C69" s="45"/>
      <c r="D69" s="45"/>
      <c r="E69" s="45"/>
    </row>
    <row r="70" spans="1:5" x14ac:dyDescent="0.25">
      <c r="A70" s="45"/>
      <c r="B70" s="45"/>
      <c r="C70" s="45"/>
      <c r="D70" s="45"/>
      <c r="E70" s="45"/>
    </row>
    <row r="71" spans="1:5" x14ac:dyDescent="0.25">
      <c r="A71" s="45"/>
      <c r="B71" s="45"/>
      <c r="C71" s="45"/>
      <c r="D71" s="45"/>
      <c r="E71" s="45"/>
    </row>
    <row r="72" spans="1:5" x14ac:dyDescent="0.25">
      <c r="A72" s="45"/>
      <c r="B72" s="45"/>
      <c r="C72" s="45"/>
      <c r="D72" s="45"/>
      <c r="E72" s="45"/>
    </row>
    <row r="73" spans="1:5" x14ac:dyDescent="0.25">
      <c r="A73" s="45"/>
      <c r="B73" s="45"/>
      <c r="C73" s="45"/>
      <c r="D73" s="45"/>
      <c r="E73" s="45"/>
    </row>
    <row r="74" spans="1:5" x14ac:dyDescent="0.25">
      <c r="A74" s="45"/>
      <c r="B74" s="45"/>
      <c r="C74" s="45"/>
      <c r="D74" s="45"/>
      <c r="E74" s="45"/>
    </row>
    <row r="75" spans="1:5" x14ac:dyDescent="0.25">
      <c r="A75" s="45"/>
      <c r="B75" s="45"/>
      <c r="C75" s="45"/>
      <c r="D75" s="45"/>
      <c r="E75" s="45"/>
    </row>
    <row r="76" spans="1:5" x14ac:dyDescent="0.25">
      <c r="A76" s="45"/>
      <c r="B76" s="45"/>
      <c r="C76" s="45"/>
      <c r="D76" s="45"/>
      <c r="E76" s="45"/>
    </row>
    <row r="77" spans="1:5" x14ac:dyDescent="0.25">
      <c r="A77" s="45"/>
      <c r="B77" s="45"/>
      <c r="C77" s="45"/>
      <c r="D77" s="45"/>
      <c r="E77" s="45"/>
    </row>
    <row r="78" spans="1:5" x14ac:dyDescent="0.25">
      <c r="A78" s="45"/>
      <c r="B78" s="45"/>
      <c r="C78" s="45"/>
      <c r="D78" s="45"/>
      <c r="E78" s="45"/>
    </row>
    <row r="79" spans="1:5" x14ac:dyDescent="0.25">
      <c r="A79" s="45"/>
      <c r="B79" s="45"/>
      <c r="C79" s="45"/>
      <c r="D79" s="45"/>
      <c r="E79" s="45"/>
    </row>
    <row r="80" spans="1:5" x14ac:dyDescent="0.25">
      <c r="A80" s="45"/>
      <c r="B80" s="45"/>
      <c r="C80" s="45"/>
      <c r="D80" s="45"/>
      <c r="E80" s="45"/>
    </row>
    <row r="81" spans="1:5" x14ac:dyDescent="0.25">
      <c r="A81" s="45"/>
      <c r="B81" s="45"/>
      <c r="C81" s="45"/>
      <c r="D81" s="45"/>
      <c r="E81" s="45"/>
    </row>
    <row r="82" spans="1:5" x14ac:dyDescent="0.25">
      <c r="A82" s="45"/>
      <c r="B82" s="45"/>
      <c r="C82" s="45"/>
      <c r="D82" s="45"/>
      <c r="E82" s="45"/>
    </row>
    <row r="83" spans="1:5" x14ac:dyDescent="0.25">
      <c r="A83" s="45"/>
      <c r="B83" s="45"/>
      <c r="C83" s="45"/>
      <c r="D83" s="45"/>
      <c r="E83" s="45"/>
    </row>
    <row r="84" spans="1:5" x14ac:dyDescent="0.25">
      <c r="A84" s="45"/>
      <c r="B84" s="45"/>
      <c r="C84" s="45"/>
      <c r="D84" s="45"/>
      <c r="E84" s="45"/>
    </row>
    <row r="85" spans="1:5" x14ac:dyDescent="0.25">
      <c r="A85" s="45"/>
      <c r="B85" s="45"/>
      <c r="C85" s="45"/>
      <c r="D85" s="45"/>
      <c r="E85" s="45"/>
    </row>
    <row r="86" spans="1:5" x14ac:dyDescent="0.25">
      <c r="A86" s="45"/>
      <c r="B86" s="45"/>
      <c r="C86" s="45"/>
      <c r="D86" s="45"/>
      <c r="E86" s="45"/>
    </row>
    <row r="87" spans="1:5" x14ac:dyDescent="0.25">
      <c r="A87" s="45"/>
      <c r="B87" s="45"/>
      <c r="C87" s="45"/>
      <c r="D87" s="45"/>
      <c r="E87" s="45"/>
    </row>
    <row r="88" spans="1:5" x14ac:dyDescent="0.25">
      <c r="A88" s="45"/>
      <c r="B88" s="45"/>
      <c r="C88" s="45"/>
      <c r="D88" s="45"/>
      <c r="E88" s="45"/>
    </row>
    <row r="89" spans="1:5" x14ac:dyDescent="0.25">
      <c r="A89" s="45"/>
      <c r="B89" s="45"/>
      <c r="C89" s="45"/>
      <c r="D89" s="45"/>
      <c r="E89" s="45"/>
    </row>
    <row r="90" spans="1:5" x14ac:dyDescent="0.25">
      <c r="A90" s="45"/>
      <c r="B90" s="45"/>
      <c r="C90" s="45"/>
      <c r="D90" s="45"/>
      <c r="E90" s="45"/>
    </row>
    <row r="91" spans="1:5" x14ac:dyDescent="0.25">
      <c r="A91" s="45"/>
      <c r="B91" s="45"/>
      <c r="C91" s="45"/>
      <c r="D91" s="45"/>
      <c r="E91" s="45"/>
    </row>
    <row r="92" spans="1:5" x14ac:dyDescent="0.25">
      <c r="A92" s="45"/>
      <c r="B92" s="45"/>
      <c r="C92" s="45"/>
      <c r="D92" s="45"/>
      <c r="E92" s="45"/>
    </row>
    <row r="93" spans="1:5" x14ac:dyDescent="0.25">
      <c r="A93" s="45"/>
      <c r="B93" s="45"/>
      <c r="C93" s="45"/>
      <c r="D93" s="45"/>
      <c r="E93" s="45"/>
    </row>
    <row r="94" spans="1:5" x14ac:dyDescent="0.25">
      <c r="A94" s="45"/>
      <c r="B94" s="45"/>
      <c r="C94" s="45"/>
      <c r="D94" s="45"/>
      <c r="E94" s="45"/>
    </row>
    <row r="95" spans="1:5" x14ac:dyDescent="0.25">
      <c r="A95" s="45"/>
      <c r="B95" s="45"/>
      <c r="C95" s="45"/>
      <c r="D95" s="45"/>
      <c r="E95" s="45"/>
    </row>
    <row r="96" spans="1:5" x14ac:dyDescent="0.25">
      <c r="A96" s="45"/>
      <c r="B96" s="45"/>
      <c r="C96" s="45"/>
      <c r="D96" s="45"/>
      <c r="E96" s="45"/>
    </row>
    <row r="97" spans="1:5" x14ac:dyDescent="0.25">
      <c r="A97" s="45"/>
      <c r="B97" s="45"/>
      <c r="C97" s="45"/>
      <c r="D97" s="45"/>
      <c r="E97" s="45"/>
    </row>
    <row r="98" spans="1:5" x14ac:dyDescent="0.25">
      <c r="A98" s="45"/>
      <c r="B98" s="45"/>
      <c r="C98" s="45"/>
      <c r="D98" s="45"/>
      <c r="E98" s="45"/>
    </row>
    <row r="99" spans="1:5" x14ac:dyDescent="0.25">
      <c r="A99" s="45"/>
      <c r="B99" s="45"/>
      <c r="C99" s="45"/>
      <c r="D99" s="45"/>
      <c r="E99" s="45"/>
    </row>
    <row r="100" spans="1:5" x14ac:dyDescent="0.25">
      <c r="A100" s="45"/>
      <c r="B100" s="45"/>
      <c r="C100" s="45"/>
      <c r="D100" s="45"/>
      <c r="E100" s="45"/>
    </row>
    <row r="101" spans="1:5" x14ac:dyDescent="0.25">
      <c r="A101" s="45"/>
      <c r="B101" s="45"/>
      <c r="C101" s="45"/>
      <c r="D101" s="45"/>
      <c r="E101" s="45"/>
    </row>
    <row r="102" spans="1:5" x14ac:dyDescent="0.25">
      <c r="A102" s="45"/>
      <c r="B102" s="45"/>
      <c r="C102" s="45"/>
      <c r="D102" s="45"/>
      <c r="E102" s="45"/>
    </row>
    <row r="103" spans="1:5" x14ac:dyDescent="0.25">
      <c r="A103" s="45"/>
      <c r="B103" s="45"/>
      <c r="C103" s="45"/>
      <c r="D103" s="45"/>
      <c r="E103" s="45"/>
    </row>
    <row r="104" spans="1:5" x14ac:dyDescent="0.25">
      <c r="A104" s="45"/>
      <c r="B104" s="45"/>
      <c r="C104" s="45"/>
      <c r="D104" s="45"/>
      <c r="E104" s="45"/>
    </row>
    <row r="105" spans="1:5" x14ac:dyDescent="0.25">
      <c r="A105" s="45"/>
      <c r="B105" s="45"/>
      <c r="C105" s="45"/>
      <c r="D105" s="45"/>
      <c r="E105" s="45"/>
    </row>
    <row r="106" spans="1:5" x14ac:dyDescent="0.25">
      <c r="A106" s="45"/>
      <c r="B106" s="45"/>
      <c r="C106" s="45"/>
      <c r="D106" s="45"/>
      <c r="E106" s="45"/>
    </row>
    <row r="107" spans="1:5" x14ac:dyDescent="0.25">
      <c r="A107" s="45"/>
      <c r="B107" s="45"/>
      <c r="C107" s="45"/>
      <c r="D107" s="45"/>
      <c r="E107" s="45"/>
    </row>
    <row r="108" spans="1:5" x14ac:dyDescent="0.25">
      <c r="A108" s="45"/>
      <c r="B108" s="45"/>
      <c r="C108" s="45"/>
      <c r="D108" s="45"/>
      <c r="E108" s="45"/>
    </row>
    <row r="109" spans="1:5" x14ac:dyDescent="0.25">
      <c r="A109" s="45"/>
      <c r="B109" s="45"/>
      <c r="C109" s="45"/>
      <c r="D109" s="45"/>
      <c r="E109" s="45"/>
    </row>
    <row r="110" spans="1:5" x14ac:dyDescent="0.25">
      <c r="A110" s="45"/>
      <c r="B110" s="45"/>
      <c r="C110" s="45"/>
      <c r="D110" s="45"/>
      <c r="E110" s="45"/>
    </row>
    <row r="111" spans="1:5" x14ac:dyDescent="0.25">
      <c r="A111" s="45"/>
      <c r="B111" s="45"/>
      <c r="C111" s="45"/>
      <c r="D111" s="45"/>
      <c r="E111" s="45"/>
    </row>
    <row r="112" spans="1:5" x14ac:dyDescent="0.25">
      <c r="A112" s="45"/>
      <c r="B112" s="45"/>
      <c r="C112" s="45"/>
      <c r="D112" s="45"/>
      <c r="E112" s="45"/>
    </row>
    <row r="113" spans="1:5" x14ac:dyDescent="0.25">
      <c r="A113" s="45"/>
      <c r="B113" s="45"/>
      <c r="C113" s="45"/>
      <c r="D113" s="45"/>
      <c r="E113" s="45"/>
    </row>
    <row r="114" spans="1:5" x14ac:dyDescent="0.25">
      <c r="A114" s="45"/>
      <c r="B114" s="45"/>
      <c r="C114" s="45"/>
      <c r="D114" s="45"/>
      <c r="E114" s="45"/>
    </row>
    <row r="115" spans="1:5" x14ac:dyDescent="0.25">
      <c r="A115" s="45"/>
      <c r="B115" s="45"/>
      <c r="C115" s="45"/>
      <c r="D115" s="45"/>
      <c r="E115" s="45"/>
    </row>
    <row r="116" spans="1:5" x14ac:dyDescent="0.25">
      <c r="A116" s="45"/>
      <c r="B116" s="45"/>
      <c r="C116" s="45"/>
      <c r="D116" s="45"/>
      <c r="E116" s="45"/>
    </row>
    <row r="117" spans="1:5" x14ac:dyDescent="0.25">
      <c r="A117" s="45"/>
      <c r="B117" s="45"/>
      <c r="C117" s="45"/>
      <c r="D117" s="45"/>
      <c r="E117" s="45"/>
    </row>
    <row r="118" spans="1:5" x14ac:dyDescent="0.25">
      <c r="A118" s="45"/>
      <c r="B118" s="45"/>
      <c r="C118" s="45"/>
      <c r="D118" s="45"/>
      <c r="E118" s="45"/>
    </row>
    <row r="119" spans="1:5" x14ac:dyDescent="0.25">
      <c r="A119" s="45"/>
      <c r="B119" s="45"/>
      <c r="C119" s="45"/>
      <c r="D119" s="45"/>
      <c r="E119" s="45"/>
    </row>
    <row r="120" spans="1:5" x14ac:dyDescent="0.25">
      <c r="A120" s="45"/>
      <c r="B120" s="45"/>
      <c r="C120" s="45"/>
      <c r="D120" s="45"/>
      <c r="E120" s="45"/>
    </row>
    <row r="121" spans="1:5" x14ac:dyDescent="0.25">
      <c r="A121" s="45"/>
      <c r="B121" s="45"/>
      <c r="C121" s="45"/>
      <c r="D121" s="45"/>
      <c r="E121" s="45"/>
    </row>
    <row r="122" spans="1:5" x14ac:dyDescent="0.25">
      <c r="A122" s="45"/>
      <c r="B122" s="45"/>
      <c r="C122" s="45"/>
      <c r="D122" s="45"/>
      <c r="E122" s="45"/>
    </row>
    <row r="123" spans="1:5" x14ac:dyDescent="0.25">
      <c r="A123" s="45"/>
      <c r="B123" s="45"/>
      <c r="C123" s="45"/>
      <c r="D123" s="45"/>
      <c r="E123" s="45"/>
    </row>
    <row r="124" spans="1:5" x14ac:dyDescent="0.25">
      <c r="A124" s="45"/>
      <c r="B124" s="45"/>
      <c r="C124" s="45"/>
      <c r="D124" s="45"/>
      <c r="E124" s="45"/>
    </row>
    <row r="125" spans="1:5" x14ac:dyDescent="0.25">
      <c r="A125" s="45"/>
      <c r="B125" s="45"/>
      <c r="C125" s="45"/>
      <c r="D125" s="45"/>
      <c r="E125" s="45"/>
    </row>
    <row r="126" spans="1:5" x14ac:dyDescent="0.25">
      <c r="A126" s="45"/>
      <c r="B126" s="45"/>
      <c r="C126" s="45"/>
      <c r="D126" s="45"/>
      <c r="E126" s="45"/>
    </row>
    <row r="127" spans="1:5" x14ac:dyDescent="0.25">
      <c r="A127" s="45"/>
      <c r="B127" s="45"/>
      <c r="C127" s="45"/>
      <c r="D127" s="45"/>
      <c r="E127" s="45"/>
    </row>
    <row r="128" spans="1:5" x14ac:dyDescent="0.25">
      <c r="A128" s="45"/>
      <c r="B128" s="45"/>
      <c r="C128" s="45"/>
      <c r="D128" s="45"/>
      <c r="E128" s="45"/>
    </row>
    <row r="129" spans="1:5" x14ac:dyDescent="0.25">
      <c r="A129" s="45"/>
      <c r="B129" s="45"/>
      <c r="C129" s="45"/>
      <c r="D129" s="45"/>
      <c r="E129" s="45"/>
    </row>
    <row r="130" spans="1:5" x14ac:dyDescent="0.25">
      <c r="A130" s="45"/>
      <c r="B130" s="45"/>
      <c r="C130" s="45"/>
      <c r="D130" s="45"/>
      <c r="E130" s="45"/>
    </row>
    <row r="131" spans="1:5" x14ac:dyDescent="0.25">
      <c r="A131" s="45"/>
      <c r="B131" s="45"/>
      <c r="C131" s="45"/>
      <c r="D131" s="45"/>
      <c r="E131" s="45"/>
    </row>
    <row r="132" spans="1:5" x14ac:dyDescent="0.25">
      <c r="A132" s="45"/>
      <c r="B132" s="45"/>
      <c r="C132" s="45"/>
      <c r="D132" s="45"/>
      <c r="E132" s="45"/>
    </row>
    <row r="133" spans="1:5" x14ac:dyDescent="0.25">
      <c r="A133" s="45"/>
      <c r="B133" s="45"/>
      <c r="C133" s="45"/>
      <c r="D133" s="45"/>
      <c r="E133" s="45"/>
    </row>
    <row r="134" spans="1:5" x14ac:dyDescent="0.25">
      <c r="A134" s="45"/>
      <c r="B134" s="45"/>
      <c r="C134" s="45"/>
      <c r="D134" s="45"/>
      <c r="E134" s="45"/>
    </row>
    <row r="135" spans="1:5" x14ac:dyDescent="0.25">
      <c r="A135" s="45"/>
      <c r="B135" s="45"/>
      <c r="C135" s="45"/>
      <c r="D135" s="45"/>
      <c r="E135" s="45"/>
    </row>
    <row r="136" spans="1:5" x14ac:dyDescent="0.25">
      <c r="A136" s="45"/>
      <c r="B136" s="45"/>
      <c r="C136" s="45"/>
      <c r="D136" s="45"/>
      <c r="E136" s="45"/>
    </row>
    <row r="137" spans="1:5" x14ac:dyDescent="0.25">
      <c r="A137" s="45"/>
      <c r="B137" s="45"/>
      <c r="C137" s="45"/>
      <c r="D137" s="45"/>
      <c r="E137" s="45"/>
    </row>
    <row r="138" spans="1:5" x14ac:dyDescent="0.25">
      <c r="A138" s="45"/>
      <c r="B138" s="45"/>
      <c r="C138" s="45"/>
      <c r="D138" s="45"/>
      <c r="E138" s="45"/>
    </row>
    <row r="139" spans="1:5" x14ac:dyDescent="0.25">
      <c r="A139" s="45"/>
      <c r="B139" s="45"/>
      <c r="C139" s="45"/>
      <c r="D139" s="45"/>
      <c r="E139" s="45"/>
    </row>
    <row r="140" spans="1:5" x14ac:dyDescent="0.25">
      <c r="A140" s="45"/>
      <c r="B140" s="45"/>
      <c r="C140" s="45"/>
      <c r="D140" s="45"/>
      <c r="E140" s="45"/>
    </row>
    <row r="141" spans="1:5" x14ac:dyDescent="0.25">
      <c r="A141" s="45"/>
      <c r="B141" s="45"/>
      <c r="C141" s="45"/>
      <c r="D141" s="45"/>
      <c r="E141" s="45"/>
    </row>
    <row r="142" spans="1:5" x14ac:dyDescent="0.25">
      <c r="A142" s="45"/>
      <c r="B142" s="45"/>
      <c r="C142" s="45"/>
      <c r="D142" s="45"/>
      <c r="E142" s="45"/>
    </row>
    <row r="143" spans="1:5" x14ac:dyDescent="0.25">
      <c r="A143" s="45"/>
      <c r="B143" s="45"/>
      <c r="C143" s="45"/>
      <c r="D143" s="45"/>
      <c r="E143" s="45"/>
    </row>
    <row r="144" spans="1:5" x14ac:dyDescent="0.25">
      <c r="A144" s="45"/>
      <c r="B144" s="45"/>
      <c r="C144" s="45"/>
      <c r="D144" s="45"/>
      <c r="E144" s="45"/>
    </row>
    <row r="145" spans="1:5" x14ac:dyDescent="0.25">
      <c r="A145" s="45"/>
      <c r="B145" s="45"/>
      <c r="C145" s="45"/>
      <c r="D145" s="45"/>
      <c r="E145" s="45"/>
    </row>
    <row r="146" spans="1:5" x14ac:dyDescent="0.25">
      <c r="A146" s="45"/>
      <c r="B146" s="45"/>
      <c r="C146" s="45"/>
      <c r="D146" s="45"/>
      <c r="E146" s="45"/>
    </row>
    <row r="147" spans="1:5" x14ac:dyDescent="0.25">
      <c r="A147" s="45"/>
      <c r="B147" s="45"/>
      <c r="C147" s="45"/>
      <c r="D147" s="45"/>
      <c r="E147" s="45"/>
    </row>
    <row r="148" spans="1:5" x14ac:dyDescent="0.25">
      <c r="A148" s="45"/>
      <c r="B148" s="45"/>
      <c r="C148" s="45"/>
      <c r="D148" s="45"/>
      <c r="E148" s="45"/>
    </row>
    <row r="149" spans="1:5" x14ac:dyDescent="0.25">
      <c r="A149" s="45"/>
      <c r="B149" s="45"/>
      <c r="C149" s="45"/>
      <c r="D149" s="45"/>
      <c r="E149" s="45"/>
    </row>
    <row r="150" spans="1:5" x14ac:dyDescent="0.25">
      <c r="A150" s="45"/>
      <c r="B150" s="45"/>
      <c r="C150" s="45"/>
      <c r="D150" s="45"/>
      <c r="E150" s="45"/>
    </row>
    <row r="151" spans="1:5" x14ac:dyDescent="0.25">
      <c r="A151" s="45"/>
      <c r="B151" s="45"/>
      <c r="C151" s="45"/>
      <c r="D151" s="45"/>
      <c r="E151" s="45"/>
    </row>
    <row r="152" spans="1:5" x14ac:dyDescent="0.25">
      <c r="A152" s="45"/>
      <c r="B152" s="45"/>
      <c r="C152" s="45"/>
      <c r="D152" s="45"/>
      <c r="E152" s="45"/>
    </row>
    <row r="153" spans="1:5" x14ac:dyDescent="0.25">
      <c r="A153" s="45"/>
      <c r="B153" s="45"/>
      <c r="C153" s="45"/>
      <c r="D153" s="45"/>
      <c r="E153" s="45"/>
    </row>
    <row r="154" spans="1:5" x14ac:dyDescent="0.25">
      <c r="A154" s="45"/>
      <c r="B154" s="45"/>
      <c r="C154" s="45"/>
      <c r="D154" s="45"/>
      <c r="E154" s="45"/>
    </row>
    <row r="155" spans="1:5" x14ac:dyDescent="0.25">
      <c r="A155" s="45"/>
      <c r="B155" s="45"/>
      <c r="C155" s="45"/>
      <c r="D155" s="45"/>
      <c r="E155" s="45"/>
    </row>
    <row r="156" spans="1:5" x14ac:dyDescent="0.25">
      <c r="A156" s="45"/>
      <c r="B156" s="45"/>
      <c r="C156" s="45"/>
      <c r="D156" s="45"/>
      <c r="E156" s="45"/>
    </row>
    <row r="157" spans="1:5" x14ac:dyDescent="0.25">
      <c r="A157" s="45"/>
      <c r="B157" s="45"/>
      <c r="C157" s="45"/>
      <c r="D157" s="45"/>
      <c r="E157" s="45"/>
    </row>
    <row r="158" spans="1:5" x14ac:dyDescent="0.25">
      <c r="A158" s="45"/>
      <c r="B158" s="45"/>
      <c r="C158" s="45"/>
      <c r="D158" s="45"/>
      <c r="E158" s="45"/>
    </row>
    <row r="159" spans="1:5" x14ac:dyDescent="0.25">
      <c r="A159" s="45"/>
      <c r="B159" s="45"/>
      <c r="C159" s="45"/>
      <c r="D159" s="45"/>
      <c r="E159" s="45"/>
    </row>
    <row r="160" spans="1:5" x14ac:dyDescent="0.25">
      <c r="A160" s="45"/>
      <c r="B160" s="45"/>
      <c r="C160" s="45"/>
      <c r="D160" s="45"/>
      <c r="E160" s="45"/>
    </row>
    <row r="161" spans="1:5" x14ac:dyDescent="0.25">
      <c r="A161" s="45"/>
      <c r="B161" s="45"/>
      <c r="C161" s="45"/>
      <c r="D161" s="45"/>
      <c r="E161" s="45"/>
    </row>
    <row r="162" spans="1:5" x14ac:dyDescent="0.25">
      <c r="A162" s="45"/>
      <c r="B162" s="45"/>
      <c r="C162" s="45"/>
      <c r="D162" s="45"/>
      <c r="E162" s="45"/>
    </row>
    <row r="163" spans="1:5" x14ac:dyDescent="0.25">
      <c r="A163" s="45"/>
      <c r="B163" s="45"/>
      <c r="C163" s="45"/>
      <c r="D163" s="45"/>
      <c r="E163" s="45"/>
    </row>
    <row r="164" spans="1:5" x14ac:dyDescent="0.25">
      <c r="A164" s="45"/>
      <c r="B164" s="45"/>
      <c r="C164" s="45"/>
      <c r="D164" s="45"/>
      <c r="E164" s="45"/>
    </row>
    <row r="165" spans="1:5" x14ac:dyDescent="0.25">
      <c r="A165" s="45"/>
      <c r="B165" s="45"/>
      <c r="C165" s="45"/>
      <c r="D165" s="45"/>
      <c r="E165" s="45"/>
    </row>
    <row r="166" spans="1:5" x14ac:dyDescent="0.25">
      <c r="A166" s="45"/>
      <c r="B166" s="45"/>
      <c r="C166" s="45"/>
      <c r="D166" s="45"/>
      <c r="E166" s="45"/>
    </row>
    <row r="167" spans="1:5" x14ac:dyDescent="0.25">
      <c r="A167" s="45"/>
      <c r="B167" s="45"/>
      <c r="C167" s="45"/>
      <c r="D167" s="45"/>
      <c r="E167" s="45"/>
    </row>
    <row r="168" spans="1:5" x14ac:dyDescent="0.25">
      <c r="A168" s="45"/>
      <c r="B168" s="45"/>
      <c r="C168" s="45"/>
      <c r="D168" s="45"/>
      <c r="E168" s="45"/>
    </row>
    <row r="169" spans="1:5" x14ac:dyDescent="0.25">
      <c r="A169" s="45"/>
      <c r="B169" s="45"/>
      <c r="C169" s="45"/>
      <c r="D169" s="45"/>
      <c r="E169" s="45"/>
    </row>
    <row r="170" spans="1:5" x14ac:dyDescent="0.25">
      <c r="A170" s="45"/>
      <c r="B170" s="45"/>
      <c r="C170" s="45"/>
      <c r="D170" s="45"/>
      <c r="E170" s="45"/>
    </row>
    <row r="171" spans="1:5" x14ac:dyDescent="0.25">
      <c r="A171" s="45"/>
      <c r="B171" s="45"/>
      <c r="C171" s="45"/>
      <c r="D171" s="45"/>
      <c r="E171" s="45"/>
    </row>
    <row r="172" spans="1:5" x14ac:dyDescent="0.25">
      <c r="A172" s="45"/>
      <c r="B172" s="45"/>
      <c r="C172" s="45"/>
      <c r="D172" s="45"/>
      <c r="E172" s="45"/>
    </row>
    <row r="173" spans="1:5" x14ac:dyDescent="0.25">
      <c r="A173" s="45"/>
      <c r="B173" s="45"/>
      <c r="C173" s="45"/>
      <c r="D173" s="45"/>
      <c r="E173" s="45"/>
    </row>
    <row r="174" spans="1:5" x14ac:dyDescent="0.25">
      <c r="A174" s="45"/>
      <c r="B174" s="45"/>
      <c r="C174" s="45"/>
      <c r="D174" s="45"/>
      <c r="E174" s="45"/>
    </row>
    <row r="175" spans="1:5" x14ac:dyDescent="0.25">
      <c r="A175" s="45"/>
      <c r="B175" s="45"/>
      <c r="C175" s="45"/>
      <c r="D175" s="45"/>
      <c r="E175" s="45"/>
    </row>
    <row r="176" spans="1:5" x14ac:dyDescent="0.25">
      <c r="A176" s="45"/>
      <c r="B176" s="45"/>
      <c r="C176" s="45"/>
      <c r="D176" s="45"/>
      <c r="E176" s="45"/>
    </row>
    <row r="177" spans="1:5" x14ac:dyDescent="0.25">
      <c r="A177" s="45"/>
      <c r="B177" s="45"/>
      <c r="C177" s="45"/>
      <c r="D177" s="45"/>
      <c r="E177" s="45"/>
    </row>
    <row r="178" spans="1:5" x14ac:dyDescent="0.25">
      <c r="A178" s="45"/>
      <c r="B178" s="45"/>
      <c r="C178" s="45"/>
      <c r="D178" s="45"/>
      <c r="E178" s="45"/>
    </row>
    <row r="179" spans="1:5" x14ac:dyDescent="0.25">
      <c r="A179" s="45"/>
      <c r="B179" s="45"/>
      <c r="C179" s="45"/>
      <c r="D179" s="45"/>
      <c r="E179" s="45"/>
    </row>
    <row r="180" spans="1:5" x14ac:dyDescent="0.25">
      <c r="A180" s="45"/>
      <c r="B180" s="45"/>
      <c r="C180" s="45"/>
      <c r="D180" s="45"/>
      <c r="E180" s="45"/>
    </row>
    <row r="181" spans="1:5" x14ac:dyDescent="0.25">
      <c r="A181" s="45"/>
      <c r="B181" s="45"/>
      <c r="C181" s="45"/>
      <c r="D181" s="45"/>
      <c r="E181" s="45"/>
    </row>
    <row r="182" spans="1:5" x14ac:dyDescent="0.25">
      <c r="A182" s="45"/>
      <c r="B182" s="45"/>
      <c r="C182" s="45"/>
      <c r="D182" s="45"/>
      <c r="E182" s="45"/>
    </row>
    <row r="183" spans="1:5" x14ac:dyDescent="0.25">
      <c r="A183" s="45"/>
      <c r="B183" s="45"/>
      <c r="C183" s="45"/>
      <c r="D183" s="45"/>
      <c r="E183" s="45"/>
    </row>
    <row r="184" spans="1:5" x14ac:dyDescent="0.25">
      <c r="A184" s="45"/>
      <c r="B184" s="45"/>
      <c r="C184" s="45"/>
      <c r="D184" s="45"/>
      <c r="E184" s="45"/>
    </row>
    <row r="185" spans="1:5" x14ac:dyDescent="0.25">
      <c r="A185" s="45"/>
      <c r="B185" s="45"/>
      <c r="C185" s="45"/>
      <c r="D185" s="45"/>
      <c r="E185" s="45"/>
    </row>
    <row r="186" spans="1:5" x14ac:dyDescent="0.25">
      <c r="A186" s="45"/>
      <c r="B186" s="45"/>
      <c r="C186" s="45"/>
      <c r="D186" s="45"/>
      <c r="E186" s="45"/>
    </row>
    <row r="187" spans="1:5" x14ac:dyDescent="0.25">
      <c r="A187" s="45"/>
      <c r="B187" s="45"/>
      <c r="C187" s="45"/>
      <c r="D187" s="45"/>
      <c r="E187" s="45"/>
    </row>
    <row r="188" spans="1:5" x14ac:dyDescent="0.25">
      <c r="A188" s="45"/>
      <c r="B188" s="45"/>
      <c r="C188" s="45"/>
      <c r="D188" s="45"/>
      <c r="E188" s="45"/>
    </row>
    <row r="189" spans="1:5" x14ac:dyDescent="0.25">
      <c r="A189" s="45"/>
      <c r="B189" s="45"/>
      <c r="C189" s="45"/>
      <c r="D189" s="45"/>
      <c r="E189" s="45"/>
    </row>
    <row r="190" spans="1:5" x14ac:dyDescent="0.25">
      <c r="A190" s="45"/>
      <c r="B190" s="45"/>
      <c r="C190" s="45"/>
      <c r="D190" s="45"/>
      <c r="E190" s="45"/>
    </row>
    <row r="191" spans="1:5" x14ac:dyDescent="0.25">
      <c r="A191" s="45"/>
      <c r="B191" s="45"/>
      <c r="C191" s="45"/>
      <c r="D191" s="45"/>
      <c r="E191" s="45"/>
    </row>
    <row r="192" spans="1:5" x14ac:dyDescent="0.25">
      <c r="A192" s="45"/>
      <c r="B192" s="45"/>
      <c r="C192" s="45"/>
      <c r="D192" s="45"/>
      <c r="E192" s="45"/>
    </row>
    <row r="193" spans="1:5" x14ac:dyDescent="0.25">
      <c r="A193" s="45"/>
      <c r="B193" s="45"/>
      <c r="C193" s="45"/>
      <c r="D193" s="45"/>
      <c r="E193" s="45"/>
    </row>
    <row r="194" spans="1:5" x14ac:dyDescent="0.25">
      <c r="A194" s="45"/>
      <c r="B194" s="45"/>
      <c r="C194" s="45"/>
      <c r="D194" s="45"/>
      <c r="E194" s="45"/>
    </row>
    <row r="195" spans="1:5" x14ac:dyDescent="0.25">
      <c r="A195" s="45"/>
      <c r="B195" s="45"/>
      <c r="C195" s="45"/>
      <c r="D195" s="45"/>
      <c r="E195" s="45"/>
    </row>
    <row r="196" spans="1:5" x14ac:dyDescent="0.25">
      <c r="A196" s="45"/>
      <c r="B196" s="45"/>
      <c r="C196" s="45"/>
      <c r="D196" s="45"/>
      <c r="E196" s="45"/>
    </row>
    <row r="197" spans="1:5" x14ac:dyDescent="0.25">
      <c r="A197" s="45"/>
      <c r="B197" s="45"/>
      <c r="C197" s="45"/>
      <c r="D197" s="45"/>
      <c r="E197" s="45"/>
    </row>
    <row r="198" spans="1:5" x14ac:dyDescent="0.25">
      <c r="A198" s="45"/>
      <c r="B198" s="45"/>
      <c r="C198" s="45"/>
      <c r="D198" s="45"/>
      <c r="E198" s="45"/>
    </row>
    <row r="199" spans="1:5" x14ac:dyDescent="0.25">
      <c r="A199" s="45"/>
      <c r="B199" s="45"/>
      <c r="C199" s="45"/>
      <c r="D199" s="45"/>
      <c r="E199" s="45"/>
    </row>
    <row r="200" spans="1:5" x14ac:dyDescent="0.25">
      <c r="A200" s="45"/>
      <c r="B200" s="45"/>
      <c r="C200" s="45"/>
      <c r="D200" s="45"/>
      <c r="E200" s="45"/>
    </row>
    <row r="201" spans="1:5" x14ac:dyDescent="0.25">
      <c r="A201" s="45"/>
      <c r="B201" s="45"/>
      <c r="C201" s="45"/>
      <c r="D201" s="45"/>
      <c r="E201" s="45"/>
    </row>
    <row r="202" spans="1:5" x14ac:dyDescent="0.25">
      <c r="A202" s="45"/>
      <c r="B202" s="45"/>
      <c r="C202" s="45"/>
      <c r="D202" s="45"/>
      <c r="E202" s="45"/>
    </row>
    <row r="203" spans="1:5" x14ac:dyDescent="0.25">
      <c r="A203" s="45"/>
      <c r="B203" s="45"/>
      <c r="C203" s="45"/>
      <c r="D203" s="45"/>
      <c r="E203" s="45"/>
    </row>
    <row r="204" spans="1:5" x14ac:dyDescent="0.25">
      <c r="A204" s="45"/>
      <c r="B204" s="45"/>
      <c r="C204" s="45"/>
      <c r="D204" s="45"/>
      <c r="E204" s="45"/>
    </row>
    <row r="205" spans="1:5" x14ac:dyDescent="0.25">
      <c r="A205" s="45"/>
      <c r="B205" s="45"/>
      <c r="C205" s="45"/>
      <c r="D205" s="45"/>
      <c r="E205" s="45"/>
    </row>
    <row r="206" spans="1:5" x14ac:dyDescent="0.25">
      <c r="A206" s="45"/>
      <c r="B206" s="45"/>
      <c r="C206" s="45"/>
      <c r="D206" s="45"/>
      <c r="E206" s="45"/>
    </row>
  </sheetData>
  <mergeCells count="10">
    <mergeCell ref="B1:C1"/>
    <mergeCell ref="E1:H1"/>
    <mergeCell ref="L1:O1"/>
    <mergeCell ref="B2:C2"/>
    <mergeCell ref="B3:C3"/>
    <mergeCell ref="A25:D25"/>
    <mergeCell ref="A26:B26"/>
    <mergeCell ref="C26:D26"/>
    <mergeCell ref="N28:O28"/>
    <mergeCell ref="X28:Y2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"/>
  <dimension ref="A1:AA206"/>
  <sheetViews>
    <sheetView zoomScale="70" zoomScaleNormal="70" workbookViewId="0">
      <selection activeCell="F25" sqref="F25"/>
    </sheetView>
  </sheetViews>
  <sheetFormatPr defaultRowHeight="15" x14ac:dyDescent="0.25"/>
  <cols>
    <col min="3" max="3" width="9.85546875" customWidth="1"/>
    <col min="4" max="4" width="11.28515625" customWidth="1"/>
    <col min="5" max="6" width="10.7109375" customWidth="1"/>
    <col min="7" max="7" width="12.7109375" bestFit="1" customWidth="1"/>
    <col min="9" max="9" width="10.7109375" customWidth="1"/>
    <col min="11" max="11" width="10" customWidth="1"/>
    <col min="24" max="24" width="10.7109375" customWidth="1"/>
    <col min="25" max="25" width="11" customWidth="1"/>
  </cols>
  <sheetData>
    <row r="1" spans="1:21" ht="15.75" thickBot="1" x14ac:dyDescent="0.3">
      <c r="A1" s="1" t="s">
        <v>0</v>
      </c>
      <c r="B1" s="105" t="s">
        <v>69</v>
      </c>
      <c r="C1" s="106"/>
      <c r="E1" s="97" t="s">
        <v>1</v>
      </c>
      <c r="F1" s="98"/>
      <c r="G1" s="98"/>
      <c r="H1" s="99"/>
      <c r="J1" s="2" t="s">
        <v>2</v>
      </c>
      <c r="L1" s="107" t="s">
        <v>68</v>
      </c>
      <c r="M1" s="108"/>
      <c r="N1" s="108"/>
      <c r="O1" s="109"/>
    </row>
    <row r="2" spans="1:21" ht="15.75" thickBot="1" x14ac:dyDescent="0.3">
      <c r="A2" s="3" t="s">
        <v>3</v>
      </c>
      <c r="B2" s="110" t="s">
        <v>70</v>
      </c>
      <c r="C2" s="111"/>
      <c r="E2" s="1" t="s">
        <v>4</v>
      </c>
      <c r="F2" s="4">
        <v>0.4</v>
      </c>
      <c r="G2" s="1" t="s">
        <v>5</v>
      </c>
      <c r="H2" s="75">
        <v>5.5736999999999997</v>
      </c>
      <c r="J2" s="6">
        <f>8.314/1000</f>
        <v>8.3140000000000002E-3</v>
      </c>
      <c r="L2" s="2"/>
      <c r="M2" s="69" t="s">
        <v>0</v>
      </c>
      <c r="N2" s="69" t="s">
        <v>3</v>
      </c>
      <c r="O2" s="70" t="s">
        <v>6</v>
      </c>
      <c r="R2" s="52" t="s">
        <v>95</v>
      </c>
    </row>
    <row r="3" spans="1:21" ht="15.75" thickBot="1" x14ac:dyDescent="0.3">
      <c r="A3" s="9" t="s">
        <v>6</v>
      </c>
      <c r="B3" s="112" t="s">
        <v>71</v>
      </c>
      <c r="C3" s="113"/>
      <c r="E3" s="81"/>
      <c r="F3" s="4"/>
      <c r="G3" s="3" t="s">
        <v>7</v>
      </c>
      <c r="H3" s="78">
        <v>7.4991000000000003</v>
      </c>
      <c r="J3" s="2" t="s">
        <v>8</v>
      </c>
      <c r="K3" t="s">
        <v>72</v>
      </c>
      <c r="L3" s="3" t="s">
        <v>0</v>
      </c>
      <c r="M3" s="12">
        <v>20.840540000000001</v>
      </c>
      <c r="N3" s="1">
        <v>-2624.5250000000001</v>
      </c>
      <c r="O3" s="13">
        <v>-46.151710000000001</v>
      </c>
      <c r="R3" t="s">
        <v>96</v>
      </c>
    </row>
    <row r="4" spans="1:21" ht="15.75" thickBot="1" x14ac:dyDescent="0.3">
      <c r="E4" s="81"/>
      <c r="F4" s="4"/>
      <c r="G4" s="3" t="s">
        <v>9</v>
      </c>
      <c r="H4" s="78">
        <v>19.269400000000001</v>
      </c>
      <c r="J4" s="6">
        <v>2.6</v>
      </c>
      <c r="L4" s="3" t="s">
        <v>3</v>
      </c>
      <c r="M4" s="12">
        <v>23.534700000000001</v>
      </c>
      <c r="N4" s="3">
        <v>-3661.4679999999998</v>
      </c>
      <c r="O4" s="13">
        <v>-32.770009999999999</v>
      </c>
    </row>
    <row r="5" spans="1:21" ht="15.75" thickBot="1" x14ac:dyDescent="0.3">
      <c r="E5" s="81"/>
      <c r="F5" s="4"/>
      <c r="G5" s="3" t="s">
        <v>10</v>
      </c>
      <c r="H5" s="78">
        <v>16.212</v>
      </c>
      <c r="J5" s="2" t="s">
        <v>11</v>
      </c>
      <c r="K5" t="s">
        <v>72</v>
      </c>
      <c r="L5" s="9" t="s">
        <v>6</v>
      </c>
      <c r="M5" s="76">
        <v>0</v>
      </c>
      <c r="N5" s="9">
        <v>0</v>
      </c>
      <c r="O5" s="77">
        <v>0</v>
      </c>
      <c r="Q5" s="39"/>
      <c r="R5" s="39"/>
    </row>
    <row r="6" spans="1:21" ht="15.75" thickBot="1" x14ac:dyDescent="0.3">
      <c r="E6" s="81"/>
      <c r="F6" s="4"/>
      <c r="G6" s="3" t="s">
        <v>12</v>
      </c>
      <c r="H6" s="78">
        <v>10.6456</v>
      </c>
      <c r="J6" s="16">
        <v>101.325</v>
      </c>
      <c r="Q6" s="40"/>
      <c r="R6" s="40"/>
    </row>
    <row r="7" spans="1:21" ht="15.75" thickBot="1" x14ac:dyDescent="0.3">
      <c r="E7" s="81"/>
      <c r="F7" s="4"/>
      <c r="G7" s="9" t="s">
        <v>13</v>
      </c>
      <c r="H7" s="80">
        <v>0.56320000000000003</v>
      </c>
      <c r="Q7" s="41"/>
      <c r="R7" s="41"/>
    </row>
    <row r="8" spans="1:21" ht="15.75" thickBot="1" x14ac:dyDescent="0.3"/>
    <row r="9" spans="1:21" ht="15.75" thickBot="1" x14ac:dyDescent="0.3">
      <c r="A9" s="2" t="s">
        <v>14</v>
      </c>
      <c r="B9" s="70" t="s">
        <v>15</v>
      </c>
      <c r="C9" s="2" t="s">
        <v>16</v>
      </c>
      <c r="D9" s="2" t="s">
        <v>17</v>
      </c>
      <c r="E9" s="2" t="s">
        <v>18</v>
      </c>
      <c r="F9" s="68" t="s">
        <v>19</v>
      </c>
      <c r="G9" s="2" t="s">
        <v>20</v>
      </c>
      <c r="H9" s="70" t="s">
        <v>21</v>
      </c>
      <c r="I9" s="68" t="s">
        <v>22</v>
      </c>
      <c r="J9" s="2" t="s">
        <v>23</v>
      </c>
      <c r="K9" s="70" t="s">
        <v>24</v>
      </c>
      <c r="L9" s="2" t="s">
        <v>25</v>
      </c>
      <c r="M9" s="74"/>
      <c r="N9" s="74"/>
      <c r="O9" s="74"/>
      <c r="P9" s="74"/>
      <c r="Q9" s="74"/>
      <c r="R9" s="74"/>
      <c r="S9" s="74"/>
      <c r="T9" s="74"/>
      <c r="U9" s="74"/>
    </row>
    <row r="10" spans="1:21" ht="15.75" thickBot="1" x14ac:dyDescent="0.3">
      <c r="A10" s="19">
        <f>B10-273.15</f>
        <v>16.195569171072748</v>
      </c>
      <c r="B10" s="20">
        <v>289.34556917107273</v>
      </c>
      <c r="C10" s="16">
        <f>C19</f>
        <v>1.7503395929574948E-5</v>
      </c>
      <c r="D10" s="16">
        <f>C21</f>
        <v>9.1925840888707921E-2</v>
      </c>
      <c r="E10" s="16">
        <f>C20</f>
        <v>0.90805665571536254</v>
      </c>
      <c r="F10" s="79">
        <f>EXP(M3+N3/(B10+O3))/1000</f>
        <v>23.1242031128475</v>
      </c>
      <c r="G10" s="16">
        <f>EXP(M4+N4/(B10+O4))/1000</f>
        <v>10.553097874316109</v>
      </c>
      <c r="H10" s="80">
        <v>0</v>
      </c>
      <c r="I10" s="22">
        <f>(C10*F10*S13)/J4</f>
        <v>6.5768164173832577E-2</v>
      </c>
      <c r="J10" s="19">
        <f>(D10*G10*T13)/J4</f>
        <v>0.93423183498736495</v>
      </c>
      <c r="K10" s="23">
        <v>0</v>
      </c>
      <c r="L10" s="19">
        <f>SUM(I10:K10)</f>
        <v>0.99999999916119753</v>
      </c>
      <c r="M10" s="74"/>
      <c r="N10" s="74"/>
      <c r="O10" s="74"/>
      <c r="P10" s="74"/>
      <c r="Q10" s="74"/>
      <c r="R10" s="74"/>
      <c r="S10" s="74"/>
      <c r="T10" s="74"/>
      <c r="U10" s="74"/>
    </row>
    <row r="11" spans="1:21" ht="15.75" thickBot="1" x14ac:dyDescent="0.3">
      <c r="A11" s="7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</row>
    <row r="12" spans="1:21" ht="15.75" thickBot="1" x14ac:dyDescent="0.3">
      <c r="A12" s="2" t="s">
        <v>26</v>
      </c>
      <c r="B12" s="70" t="s">
        <v>27</v>
      </c>
      <c r="C12" s="70" t="s">
        <v>28</v>
      </c>
      <c r="D12" s="70" t="s">
        <v>29</v>
      </c>
      <c r="E12" s="70" t="s">
        <v>30</v>
      </c>
      <c r="F12" s="70" t="s">
        <v>31</v>
      </c>
      <c r="G12" s="2" t="s">
        <v>32</v>
      </c>
      <c r="H12" s="70" t="s">
        <v>33</v>
      </c>
      <c r="I12" s="70" t="s">
        <v>34</v>
      </c>
      <c r="J12" s="70" t="s">
        <v>35</v>
      </c>
      <c r="K12" s="70" t="s">
        <v>36</v>
      </c>
      <c r="L12" s="70" t="s">
        <v>37</v>
      </c>
      <c r="M12" s="24" t="s">
        <v>38</v>
      </c>
      <c r="N12" s="25" t="s">
        <v>39</v>
      </c>
      <c r="O12" s="25" t="s">
        <v>40</v>
      </c>
      <c r="P12" s="24" t="s">
        <v>41</v>
      </c>
      <c r="Q12" s="25" t="s">
        <v>42</v>
      </c>
      <c r="R12" s="25" t="s">
        <v>43</v>
      </c>
      <c r="S12" s="24" t="s">
        <v>44</v>
      </c>
      <c r="T12" s="25" t="s">
        <v>45</v>
      </c>
      <c r="U12" s="25" t="s">
        <v>46</v>
      </c>
    </row>
    <row r="13" spans="1:21" ht="15.75" thickBot="1" x14ac:dyDescent="0.3">
      <c r="A13" s="22">
        <f>H2/(J2*B10)</f>
        <v>2.3169503799830697</v>
      </c>
      <c r="B13" s="19">
        <f>H3/(J2*B10)</f>
        <v>3.1173264787360355</v>
      </c>
      <c r="C13" s="23">
        <f>H4/(J2*B10)</f>
        <v>8.0101626661007543</v>
      </c>
      <c r="D13" s="19">
        <f>H5/(J2*B10)</f>
        <v>6.7392216230305779</v>
      </c>
      <c r="E13" s="23">
        <f>H6/(J2*B10)</f>
        <v>4.4253058049675742</v>
      </c>
      <c r="F13" s="19">
        <f>H7/(J2*B10)</f>
        <v>0.23411853060022339</v>
      </c>
      <c r="G13" s="23">
        <f t="shared" ref="G13:L13" si="0">EXP(-$F$2*A13)</f>
        <v>0.39582616079865568</v>
      </c>
      <c r="H13" s="23">
        <f t="shared" si="0"/>
        <v>0.28738554812178796</v>
      </c>
      <c r="I13" s="23">
        <f t="shared" si="0"/>
        <v>4.0596839247966705E-2</v>
      </c>
      <c r="J13" s="23">
        <f t="shared" si="0"/>
        <v>6.7495884778120893E-2</v>
      </c>
      <c r="K13" s="23">
        <f t="shared" si="0"/>
        <v>0.17031215463002566</v>
      </c>
      <c r="L13" s="23">
        <f t="shared" si="0"/>
        <v>0.91060377338976606</v>
      </c>
      <c r="M13" s="23">
        <f>D10*B13*H13+E10*D13*J13</f>
        <v>0.49540150630898677</v>
      </c>
      <c r="N13" s="19">
        <f>C10*A13*G13+E10*F13*L13</f>
        <v>0.19360394030520528</v>
      </c>
      <c r="O13" s="23">
        <f>C10*C13*I13+D10*E13*K13</f>
        <v>6.9288669114914145E-2</v>
      </c>
      <c r="P13" s="19">
        <f>C10+H13*D10+J13*E10</f>
        <v>8.7725748972457079E-2</v>
      </c>
      <c r="Q13" s="23">
        <f>G13*C10+D10+L13*E10</f>
        <v>0.9188125863368205</v>
      </c>
      <c r="R13" s="19">
        <f>I13*C10+K13*D10+E10</f>
        <v>0.92371345432584617</v>
      </c>
      <c r="S13" s="23">
        <f>EXP(M13/P13-(C10*M13)/P13^2+D10*G13/Q13*(A13-N13/Q13)+E10*I13/R13*(C13-O13/R13))</f>
        <v>422.47398885905642</v>
      </c>
      <c r="T13" s="19">
        <f>EXP(N13/Q13-D10*N13/Q13^2+C10*H13/P13*(B13-M13/P13)+E10*K13/R13*(E13-O13/R13))</f>
        <v>2.5038622528806633</v>
      </c>
      <c r="U13" s="20">
        <f>EXP(O13/R13-E10*O13/R13^2+C10*J13/P13*(D13-M13/P13)+D10*L13/Q13*(F13-N13/Q13))</f>
        <v>1.0034245125028765</v>
      </c>
    </row>
    <row r="14" spans="1:21" ht="15.75" thickBot="1" x14ac:dyDescent="0.3"/>
    <row r="15" spans="1:21" ht="15.75" thickBot="1" x14ac:dyDescent="0.3">
      <c r="A15" s="26"/>
      <c r="B15" s="71" t="s">
        <v>47</v>
      </c>
      <c r="C15" s="28" t="s">
        <v>48</v>
      </c>
      <c r="D15" s="72" t="s">
        <v>49</v>
      </c>
      <c r="I15" s="49" t="s">
        <v>70</v>
      </c>
      <c r="K15" s="51"/>
      <c r="L15" s="51"/>
      <c r="N15" s="51"/>
      <c r="O15" s="51"/>
      <c r="P15" s="51"/>
      <c r="Q15" s="51"/>
      <c r="S15" s="28" t="s">
        <v>50</v>
      </c>
      <c r="T15" s="28" t="s">
        <v>83</v>
      </c>
    </row>
    <row r="16" spans="1:21" ht="15.75" thickBot="1" x14ac:dyDescent="0.3">
      <c r="A16" s="30" t="s">
        <v>14</v>
      </c>
      <c r="B16" s="74">
        <v>90</v>
      </c>
      <c r="C16" s="31">
        <f>A10</f>
        <v>16.195569171072748</v>
      </c>
      <c r="D16" s="78">
        <f>A10</f>
        <v>16.195569171072748</v>
      </c>
      <c r="I16" s="1" t="s">
        <v>81</v>
      </c>
      <c r="J16" s="31">
        <v>45.3</v>
      </c>
      <c r="K16" s="81"/>
      <c r="L16" s="81"/>
      <c r="N16" s="50"/>
      <c r="O16" s="81"/>
      <c r="P16" s="81"/>
      <c r="Q16" s="81"/>
      <c r="S16" s="19">
        <f>(B17+C17)/2</f>
        <v>326.24778458553635</v>
      </c>
      <c r="T16" s="19">
        <f>J22*1000*EXP(-J23*D17/J24)*(1-D17/J24)^J23</f>
        <v>30351.369226292296</v>
      </c>
    </row>
    <row r="17" spans="1:27" ht="15.75" thickBot="1" x14ac:dyDescent="0.3">
      <c r="A17" s="28" t="s">
        <v>15</v>
      </c>
      <c r="B17" s="4">
        <f>B16+273.15</f>
        <v>363.15</v>
      </c>
      <c r="C17" s="19">
        <f>C16+273.15</f>
        <v>289.34556917107273</v>
      </c>
      <c r="D17" s="20">
        <f>D16+273.15</f>
        <v>289.34556917107273</v>
      </c>
      <c r="I17" s="53" t="s">
        <v>60</v>
      </c>
      <c r="J17" s="6">
        <v>-0.31</v>
      </c>
      <c r="K17" s="73"/>
      <c r="L17" s="73"/>
      <c r="N17" s="81"/>
      <c r="O17" s="73"/>
      <c r="P17" s="73"/>
      <c r="Q17" s="73"/>
      <c r="S17" s="2" t="s">
        <v>88</v>
      </c>
      <c r="T17" s="2" t="s">
        <v>52</v>
      </c>
    </row>
    <row r="18" spans="1:27" ht="15.75" thickBot="1" x14ac:dyDescent="0.3">
      <c r="A18" s="32" t="s">
        <v>94</v>
      </c>
      <c r="B18" s="36">
        <v>20.690942281580998</v>
      </c>
      <c r="C18" s="33">
        <f>(B18*B20)/C20</f>
        <v>9.2994751449617219</v>
      </c>
      <c r="D18" s="78">
        <f>B18-C18</f>
        <v>11.391467136619276</v>
      </c>
      <c r="F18" s="2" t="s">
        <v>53</v>
      </c>
      <c r="I18" s="3" t="s">
        <v>62</v>
      </c>
      <c r="J18" s="6">
        <v>0.42409999999999998</v>
      </c>
      <c r="L18" s="73"/>
      <c r="N18" s="81"/>
      <c r="O18" s="73"/>
      <c r="P18" s="73"/>
      <c r="Q18" s="73"/>
      <c r="S18" s="19">
        <v>187.5</v>
      </c>
      <c r="T18" s="19">
        <f>J16*1000*EXP(-J17*D17/J19)*(1-D17/J19)</f>
        <v>23502.526476645573</v>
      </c>
    </row>
    <row r="19" spans="1:27" ht="15.75" thickBot="1" x14ac:dyDescent="0.3">
      <c r="A19" s="28" t="s">
        <v>16</v>
      </c>
      <c r="B19" s="36">
        <v>3.6193341415735866E-2</v>
      </c>
      <c r="C19" s="47">
        <v>1.7503395929574948E-5</v>
      </c>
      <c r="D19" s="20">
        <f>(B18*B19-C18*C19)/D18</f>
        <v>6.5725648578515469E-2</v>
      </c>
      <c r="E19" s="74">
        <f>I10</f>
        <v>6.5768164173832577E-2</v>
      </c>
      <c r="F19" s="74">
        <f>(D19-E19)^2</f>
        <v>1.8075758451680977E-9</v>
      </c>
      <c r="I19" s="9" t="s">
        <v>82</v>
      </c>
      <c r="J19" s="16">
        <v>512.6</v>
      </c>
      <c r="K19" s="73"/>
      <c r="L19" s="73" t="s">
        <v>84</v>
      </c>
      <c r="N19" s="81"/>
      <c r="O19" s="73"/>
      <c r="P19" s="73"/>
      <c r="Q19" s="73"/>
      <c r="S19" s="2" t="s">
        <v>56</v>
      </c>
      <c r="T19" s="2" t="s">
        <v>57</v>
      </c>
    </row>
    <row r="20" spans="1:27" ht="15.75" thickBot="1" x14ac:dyDescent="0.3">
      <c r="A20" s="28" t="s">
        <v>18</v>
      </c>
      <c r="B20" s="36">
        <v>0.40812304172146363</v>
      </c>
      <c r="C20" s="47">
        <v>0.90805665571536254</v>
      </c>
      <c r="D20" s="20">
        <v>0</v>
      </c>
      <c r="S20" s="19">
        <f>A36+B36*S16+C36*S16^2+D36*S16^3</f>
        <v>88.701392469830381</v>
      </c>
      <c r="T20" s="19">
        <f>0</f>
        <v>0</v>
      </c>
    </row>
    <row r="21" spans="1:27" ht="15.75" thickBot="1" x14ac:dyDescent="0.3">
      <c r="A21" s="28" t="s">
        <v>17</v>
      </c>
      <c r="B21" s="36">
        <v>0.55568361686280054</v>
      </c>
      <c r="C21" s="19">
        <f>1-C19-C20</f>
        <v>9.1925840888707921E-2</v>
      </c>
      <c r="D21" s="20">
        <f>(B18*B21-C18*C21)/D18</f>
        <v>0.93427435142148452</v>
      </c>
      <c r="E21" s="74">
        <f>J10</f>
        <v>0.93423183498736495</v>
      </c>
      <c r="F21" s="74">
        <f>(D21-E21)^2</f>
        <v>1.8076471702434019E-9</v>
      </c>
      <c r="I21" s="49" t="s">
        <v>69</v>
      </c>
      <c r="S21" s="2" t="s">
        <v>58</v>
      </c>
      <c r="T21" s="2" t="s">
        <v>59</v>
      </c>
    </row>
    <row r="22" spans="1:27" ht="15.75" thickBot="1" x14ac:dyDescent="0.3">
      <c r="A22" s="32" t="s">
        <v>93</v>
      </c>
      <c r="B22" s="74">
        <f>S24*(B17-C17)</f>
        <v>13423.035021935153</v>
      </c>
      <c r="C22" s="6">
        <v>0</v>
      </c>
      <c r="D22" s="78">
        <f>T22</f>
        <v>23952.671108378367</v>
      </c>
      <c r="F22" s="2" t="s">
        <v>53</v>
      </c>
      <c r="I22" s="1" t="s">
        <v>81</v>
      </c>
      <c r="J22" s="31">
        <v>46.23</v>
      </c>
      <c r="S22" s="19">
        <f>D43+E43*S16+S16^2*F43</f>
        <v>308.23268737567287</v>
      </c>
      <c r="T22" s="19">
        <f>D19*T16+D21*T18</f>
        <v>23952.671108378367</v>
      </c>
    </row>
    <row r="23" spans="1:27" ht="15.75" thickBot="1" x14ac:dyDescent="0.3">
      <c r="A23" s="28" t="s">
        <v>61</v>
      </c>
      <c r="B23" s="23">
        <f>B18*B22/3600</f>
        <v>77.148678578472385</v>
      </c>
      <c r="C23" s="19">
        <v>0</v>
      </c>
      <c r="D23" s="20">
        <f>D18*D22/3600</f>
        <v>75.793351601483934</v>
      </c>
      <c r="E23">
        <f>(B23-D23)/B23</f>
        <v>1.7567727691017668E-2</v>
      </c>
      <c r="F23">
        <f>E23^2</f>
        <v>3.0862505622574897E-4</v>
      </c>
      <c r="I23" s="3" t="s">
        <v>62</v>
      </c>
      <c r="J23" s="6">
        <v>0.2893</v>
      </c>
      <c r="S23" s="2" t="s">
        <v>63</v>
      </c>
    </row>
    <row r="24" spans="1:27" ht="15.75" thickBot="1" x14ac:dyDescent="0.3">
      <c r="A24" s="82" t="s">
        <v>97</v>
      </c>
      <c r="F24" s="2" t="s">
        <v>64</v>
      </c>
      <c r="I24" s="9" t="s">
        <v>82</v>
      </c>
      <c r="J24" s="16">
        <v>497.1</v>
      </c>
      <c r="S24" s="19">
        <f>S18*B19+S20*B21+S22*B20</f>
        <v>181.8730240335932</v>
      </c>
    </row>
    <row r="25" spans="1:27" ht="16.5" thickBot="1" x14ac:dyDescent="0.3">
      <c r="A25" s="97" t="s">
        <v>65</v>
      </c>
      <c r="B25" s="98"/>
      <c r="C25" s="98"/>
      <c r="D25" s="99"/>
      <c r="F25" s="19">
        <f>F19+F21+F23</f>
        <v>3.086286714487644E-4</v>
      </c>
      <c r="K25" s="54" t="s">
        <v>85</v>
      </c>
    </row>
    <row r="26" spans="1:27" ht="15.75" thickBot="1" x14ac:dyDescent="0.3">
      <c r="A26" s="100" t="s">
        <v>48</v>
      </c>
      <c r="B26" s="101"/>
      <c r="C26" s="102" t="s">
        <v>66</v>
      </c>
      <c r="D26" s="101"/>
      <c r="I26" s="81"/>
      <c r="J26" s="81"/>
    </row>
    <row r="27" spans="1:27" x14ac:dyDescent="0.25">
      <c r="I27" s="50"/>
      <c r="J27" s="50"/>
    </row>
    <row r="28" spans="1:27" ht="15.75" thickBot="1" x14ac:dyDescent="0.3">
      <c r="E28" s="60"/>
      <c r="N28" s="103"/>
      <c r="O28" s="103"/>
      <c r="X28" s="104"/>
      <c r="Y28" s="104"/>
    </row>
    <row r="29" spans="1:27" ht="16.5" thickBot="1" x14ac:dyDescent="0.3">
      <c r="A29" s="56" t="s">
        <v>70</v>
      </c>
      <c r="B29" s="73"/>
      <c r="C29" s="57" t="s">
        <v>86</v>
      </c>
      <c r="D29" s="59">
        <v>32.04</v>
      </c>
      <c r="E29" s="58" t="s">
        <v>75</v>
      </c>
      <c r="K29" s="54" t="s">
        <v>87</v>
      </c>
      <c r="N29" s="73"/>
      <c r="O29" s="73"/>
      <c r="X29" s="74"/>
      <c r="Y29" s="74"/>
      <c r="Z29" s="74"/>
      <c r="AA29" s="74"/>
    </row>
    <row r="30" spans="1:27" ht="15.75" thickBot="1" x14ac:dyDescent="0.3">
      <c r="A30" s="57" t="s">
        <v>67</v>
      </c>
      <c r="B30" s="58" t="s">
        <v>74</v>
      </c>
      <c r="C30" s="73"/>
      <c r="D30" s="73"/>
      <c r="E30" s="57" t="s">
        <v>77</v>
      </c>
      <c r="F30" s="65" t="s">
        <v>78</v>
      </c>
      <c r="G30" s="66" t="s">
        <v>79</v>
      </c>
      <c r="N30" s="73"/>
      <c r="O30" s="73"/>
      <c r="X30" s="74"/>
      <c r="Y30" s="74"/>
      <c r="Z30" s="74"/>
      <c r="AA30" s="74"/>
    </row>
    <row r="31" spans="1:27" ht="15.75" thickBot="1" x14ac:dyDescent="0.3">
      <c r="A31" s="61" t="s">
        <v>51</v>
      </c>
      <c r="B31" s="62" t="s">
        <v>54</v>
      </c>
      <c r="C31" s="62" t="s">
        <v>55</v>
      </c>
      <c r="D31" s="63" t="s">
        <v>73</v>
      </c>
      <c r="E31" s="73"/>
      <c r="N31" s="73"/>
      <c r="O31" s="73"/>
      <c r="X31" s="74"/>
      <c r="Y31" s="74"/>
      <c r="Z31" s="74"/>
      <c r="AA31" s="74"/>
    </row>
    <row r="32" spans="1:27" ht="15.75" thickBot="1" x14ac:dyDescent="0.3">
      <c r="A32" s="22">
        <v>0.83819999999999995</v>
      </c>
      <c r="B32" s="23">
        <f>-3.231*10^-3</f>
        <v>-3.2309999999999999E-3</v>
      </c>
      <c r="C32" s="23">
        <f>8.296*10^-6</f>
        <v>8.2959999999999982E-6</v>
      </c>
      <c r="D32" s="20">
        <f>-0.1689*10^-9</f>
        <v>-1.6890000000000001E-10</v>
      </c>
      <c r="E32" s="73"/>
      <c r="N32" s="73"/>
      <c r="O32" s="73"/>
      <c r="X32" s="74"/>
      <c r="Y32" s="74"/>
      <c r="Z32" s="74"/>
      <c r="AA32" s="74"/>
    </row>
    <row r="33" spans="1:27" ht="15.75" thickBot="1" x14ac:dyDescent="0.3">
      <c r="A33" s="73"/>
      <c r="B33" s="64" t="s">
        <v>76</v>
      </c>
      <c r="C33" s="73"/>
      <c r="D33" s="73"/>
      <c r="E33" s="73"/>
      <c r="N33" s="73"/>
      <c r="O33" s="73"/>
      <c r="X33" s="74"/>
      <c r="Y33" s="74"/>
      <c r="Z33" s="74"/>
      <c r="AA33" s="74"/>
    </row>
    <row r="34" spans="1:27" ht="15.75" thickBot="1" x14ac:dyDescent="0.3">
      <c r="A34" s="22">
        <f>A32*4.1868</f>
        <v>3.5093757599999997</v>
      </c>
      <c r="B34" s="23">
        <f t="shared" ref="B34:D34" si="1">B32*4.1868</f>
        <v>-1.35275508E-2</v>
      </c>
      <c r="C34" s="23">
        <f t="shared" si="1"/>
        <v>3.4733692799999993E-5</v>
      </c>
      <c r="D34" s="20">
        <f t="shared" si="1"/>
        <v>-7.0715052000000002E-10</v>
      </c>
      <c r="E34" s="73"/>
      <c r="N34" s="73"/>
      <c r="O34" s="73"/>
      <c r="X34" s="74"/>
      <c r="Y34" s="74"/>
      <c r="Z34" s="74"/>
      <c r="AA34" s="74"/>
    </row>
    <row r="35" spans="1:27" ht="15.75" thickBot="1" x14ac:dyDescent="0.3">
      <c r="A35" s="73"/>
      <c r="B35" s="64" t="s">
        <v>80</v>
      </c>
      <c r="C35" s="73"/>
      <c r="D35" s="73"/>
      <c r="E35" s="73"/>
      <c r="N35" s="73"/>
      <c r="O35" s="73"/>
      <c r="X35" s="74"/>
      <c r="Y35" s="74"/>
      <c r="Z35" s="74"/>
      <c r="AA35" s="74"/>
    </row>
    <row r="36" spans="1:27" ht="15.75" thickBot="1" x14ac:dyDescent="0.3">
      <c r="A36" s="22">
        <f>A34*$D$29</f>
        <v>112.44039935039999</v>
      </c>
      <c r="B36" s="23">
        <f t="shared" ref="B36:D36" si="2">B34*$D$29</f>
        <v>-0.43342272763199996</v>
      </c>
      <c r="C36" s="23">
        <f t="shared" si="2"/>
        <v>1.1128675173119997E-3</v>
      </c>
      <c r="D36" s="20">
        <f t="shared" si="2"/>
        <v>-2.26571026608E-8</v>
      </c>
      <c r="E36" s="73"/>
      <c r="N36" s="73"/>
      <c r="O36" s="73"/>
      <c r="X36" s="74"/>
      <c r="Y36" s="74"/>
      <c r="Z36" s="74"/>
      <c r="AA36" s="74"/>
    </row>
    <row r="37" spans="1:27" x14ac:dyDescent="0.25">
      <c r="A37" s="73"/>
      <c r="B37" s="73"/>
      <c r="C37" s="73"/>
      <c r="D37" s="73"/>
      <c r="E37" s="73"/>
      <c r="N37" s="73"/>
      <c r="O37" s="73"/>
    </row>
    <row r="38" spans="1:27" x14ac:dyDescent="0.25">
      <c r="A38" s="73"/>
      <c r="B38" s="73"/>
      <c r="C38" s="73"/>
      <c r="D38" s="73"/>
      <c r="E38" s="73"/>
      <c r="N38" s="73"/>
      <c r="O38" s="73"/>
    </row>
    <row r="39" spans="1:27" x14ac:dyDescent="0.25">
      <c r="A39" s="73" t="s">
        <v>89</v>
      </c>
      <c r="B39" s="73"/>
      <c r="C39" s="73"/>
      <c r="D39" s="73"/>
      <c r="E39" s="73"/>
      <c r="F39" t="s">
        <v>92</v>
      </c>
      <c r="G39" s="48" t="s">
        <v>78</v>
      </c>
      <c r="H39" t="s">
        <v>80</v>
      </c>
      <c r="N39" s="73"/>
      <c r="O39" s="73"/>
    </row>
    <row r="40" spans="1:27" ht="16.5" thickBot="1" x14ac:dyDescent="0.3">
      <c r="A40" s="67" t="s">
        <v>90</v>
      </c>
      <c r="B40" s="73"/>
      <c r="C40" s="73"/>
      <c r="D40" s="73"/>
      <c r="E40" s="73"/>
    </row>
    <row r="41" spans="1:27" ht="15.75" thickBot="1" x14ac:dyDescent="0.3">
      <c r="A41" s="57" t="s">
        <v>15</v>
      </c>
      <c r="B41" s="58" t="s">
        <v>91</v>
      </c>
      <c r="C41" s="73"/>
      <c r="E41" s="55" t="s">
        <v>67</v>
      </c>
      <c r="F41" s="73"/>
    </row>
    <row r="42" spans="1:27" ht="15.75" thickBot="1" x14ac:dyDescent="0.3">
      <c r="A42" s="73">
        <v>283.14999999999998</v>
      </c>
      <c r="B42" s="73">
        <v>290</v>
      </c>
      <c r="C42" s="73"/>
      <c r="D42" s="57" t="s">
        <v>51</v>
      </c>
      <c r="E42" s="59" t="s">
        <v>54</v>
      </c>
      <c r="F42" s="58" t="s">
        <v>55</v>
      </c>
    </row>
    <row r="43" spans="1:27" ht="15.75" thickBot="1" x14ac:dyDescent="0.3">
      <c r="A43" s="73">
        <v>293.14999999999998</v>
      </c>
      <c r="B43" s="73">
        <v>294</v>
      </c>
      <c r="C43" s="73"/>
      <c r="D43" s="22">
        <v>753.28</v>
      </c>
      <c r="E43" s="23">
        <v>-3.4195000000000002</v>
      </c>
      <c r="F43" s="20">
        <v>6.3E-3</v>
      </c>
    </row>
    <row r="44" spans="1:27" x14ac:dyDescent="0.25">
      <c r="A44" s="73">
        <v>303.14999999999998</v>
      </c>
      <c r="B44" s="73">
        <v>297</v>
      </c>
      <c r="C44" s="73"/>
      <c r="D44" s="73"/>
      <c r="E44" s="73"/>
    </row>
    <row r="45" spans="1:27" x14ac:dyDescent="0.25">
      <c r="A45" s="73">
        <v>313.14999999999998</v>
      </c>
      <c r="B45" s="73">
        <v>302</v>
      </c>
      <c r="C45" s="73"/>
      <c r="D45" s="73"/>
      <c r="E45" s="73"/>
    </row>
    <row r="46" spans="1:27" x14ac:dyDescent="0.25">
      <c r="A46" s="73">
        <v>323.14999999999998</v>
      </c>
      <c r="B46" s="73">
        <v>306</v>
      </c>
      <c r="C46" s="73"/>
      <c r="D46" s="73"/>
      <c r="E46" s="73"/>
    </row>
    <row r="47" spans="1:27" x14ac:dyDescent="0.25">
      <c r="A47" s="73">
        <v>333.15</v>
      </c>
      <c r="B47" s="73">
        <v>313</v>
      </c>
      <c r="C47" s="73"/>
      <c r="D47" s="73"/>
      <c r="E47" s="73"/>
    </row>
    <row r="48" spans="1:27" x14ac:dyDescent="0.25">
      <c r="A48" s="73">
        <v>343.15</v>
      </c>
      <c r="B48" s="73">
        <v>324</v>
      </c>
      <c r="C48" s="73"/>
      <c r="D48" s="73"/>
      <c r="E48" s="73"/>
    </row>
    <row r="49" spans="1:5" x14ac:dyDescent="0.25">
      <c r="A49" s="73"/>
      <c r="B49" s="73"/>
      <c r="C49" s="73"/>
      <c r="D49" s="73"/>
      <c r="E49" s="73"/>
    </row>
    <row r="50" spans="1:5" x14ac:dyDescent="0.25">
      <c r="D50" s="73"/>
      <c r="E50" s="73"/>
    </row>
    <row r="51" spans="1:5" x14ac:dyDescent="0.25">
      <c r="D51" s="73"/>
      <c r="E51" s="73"/>
    </row>
    <row r="52" spans="1:5" x14ac:dyDescent="0.25">
      <c r="D52" s="73"/>
      <c r="E52" s="73"/>
    </row>
    <row r="53" spans="1:5" x14ac:dyDescent="0.25">
      <c r="A53" s="73"/>
      <c r="B53" s="73"/>
      <c r="C53" s="73"/>
      <c r="D53" s="73"/>
      <c r="E53" s="73"/>
    </row>
    <row r="54" spans="1:5" x14ac:dyDescent="0.25">
      <c r="A54" s="73"/>
      <c r="B54" s="73"/>
      <c r="C54" s="73"/>
      <c r="D54" s="73"/>
      <c r="E54" s="73"/>
    </row>
    <row r="55" spans="1:5" x14ac:dyDescent="0.25">
      <c r="A55" s="73"/>
      <c r="B55" s="73"/>
      <c r="C55" s="73"/>
      <c r="D55" s="73"/>
      <c r="E55" s="73"/>
    </row>
    <row r="56" spans="1:5" x14ac:dyDescent="0.25">
      <c r="A56" s="73"/>
      <c r="B56" s="73"/>
      <c r="C56" s="73"/>
      <c r="D56" s="73"/>
      <c r="E56" s="73"/>
    </row>
    <row r="57" spans="1:5" x14ac:dyDescent="0.25">
      <c r="A57" s="73"/>
      <c r="B57" s="73"/>
      <c r="C57" s="73"/>
      <c r="D57" s="73"/>
      <c r="E57" s="73"/>
    </row>
    <row r="58" spans="1:5" x14ac:dyDescent="0.25">
      <c r="A58" s="73"/>
      <c r="B58" s="73"/>
      <c r="C58" s="73"/>
      <c r="D58" s="73"/>
      <c r="E58" s="73"/>
    </row>
    <row r="59" spans="1:5" x14ac:dyDescent="0.25">
      <c r="A59" s="73"/>
      <c r="B59" s="73"/>
      <c r="C59" s="73"/>
      <c r="D59" s="73"/>
      <c r="E59" s="73"/>
    </row>
    <row r="60" spans="1:5" x14ac:dyDescent="0.25">
      <c r="A60" s="73"/>
      <c r="B60" s="73"/>
      <c r="C60" s="73"/>
      <c r="D60" s="73"/>
      <c r="E60" s="73"/>
    </row>
    <row r="61" spans="1:5" x14ac:dyDescent="0.25">
      <c r="A61" s="73"/>
      <c r="B61" s="73"/>
      <c r="C61" s="73"/>
      <c r="D61" s="73"/>
      <c r="E61" s="73"/>
    </row>
    <row r="62" spans="1:5" x14ac:dyDescent="0.25">
      <c r="A62" s="73"/>
      <c r="B62" s="73"/>
      <c r="C62" s="73"/>
      <c r="D62" s="73"/>
      <c r="E62" s="73"/>
    </row>
    <row r="63" spans="1:5" x14ac:dyDescent="0.25">
      <c r="A63" s="73"/>
      <c r="B63" s="73"/>
      <c r="C63" s="73"/>
      <c r="D63" s="73"/>
      <c r="E63" s="73"/>
    </row>
    <row r="64" spans="1:5" x14ac:dyDescent="0.25">
      <c r="A64" s="73"/>
      <c r="B64" s="73"/>
      <c r="C64" s="73"/>
      <c r="D64" s="73"/>
      <c r="E64" s="73"/>
    </row>
    <row r="65" spans="1:5" x14ac:dyDescent="0.25">
      <c r="A65" s="73"/>
      <c r="B65" s="73"/>
      <c r="C65" s="73"/>
      <c r="D65" s="73"/>
      <c r="E65" s="73"/>
    </row>
    <row r="66" spans="1:5" x14ac:dyDescent="0.25">
      <c r="A66" s="73"/>
      <c r="B66" s="73"/>
      <c r="C66" s="73"/>
      <c r="D66" s="73"/>
      <c r="E66" s="73"/>
    </row>
    <row r="67" spans="1:5" x14ac:dyDescent="0.25">
      <c r="A67" s="73"/>
      <c r="B67" s="73"/>
      <c r="C67" s="73"/>
      <c r="D67" s="73"/>
      <c r="E67" s="73"/>
    </row>
    <row r="68" spans="1:5" x14ac:dyDescent="0.25">
      <c r="A68" s="73"/>
      <c r="B68" s="73"/>
      <c r="C68" s="73"/>
      <c r="D68" s="73"/>
      <c r="E68" s="73"/>
    </row>
    <row r="69" spans="1:5" x14ac:dyDescent="0.25">
      <c r="A69" s="73"/>
      <c r="B69" s="73"/>
      <c r="C69" s="73"/>
      <c r="D69" s="73"/>
      <c r="E69" s="73"/>
    </row>
    <row r="70" spans="1:5" x14ac:dyDescent="0.25">
      <c r="A70" s="73"/>
      <c r="B70" s="73"/>
      <c r="C70" s="73"/>
      <c r="D70" s="73"/>
      <c r="E70" s="73"/>
    </row>
    <row r="71" spans="1:5" x14ac:dyDescent="0.25">
      <c r="A71" s="73"/>
      <c r="B71" s="73"/>
      <c r="C71" s="73"/>
      <c r="D71" s="73"/>
      <c r="E71" s="73"/>
    </row>
    <row r="72" spans="1:5" x14ac:dyDescent="0.25">
      <c r="A72" s="73"/>
      <c r="B72" s="73"/>
      <c r="C72" s="73"/>
      <c r="D72" s="73"/>
      <c r="E72" s="73"/>
    </row>
    <row r="73" spans="1:5" x14ac:dyDescent="0.25">
      <c r="A73" s="73"/>
      <c r="B73" s="73"/>
      <c r="C73" s="73"/>
      <c r="D73" s="73"/>
      <c r="E73" s="73"/>
    </row>
    <row r="74" spans="1:5" x14ac:dyDescent="0.25">
      <c r="A74" s="73"/>
      <c r="B74" s="73"/>
      <c r="C74" s="73"/>
      <c r="D74" s="73"/>
      <c r="E74" s="73"/>
    </row>
    <row r="75" spans="1:5" x14ac:dyDescent="0.25">
      <c r="A75" s="73"/>
      <c r="B75" s="73"/>
      <c r="C75" s="73"/>
      <c r="D75" s="73"/>
      <c r="E75" s="73"/>
    </row>
    <row r="76" spans="1:5" x14ac:dyDescent="0.25">
      <c r="A76" s="73"/>
      <c r="B76" s="73"/>
      <c r="C76" s="73"/>
      <c r="D76" s="73"/>
      <c r="E76" s="73"/>
    </row>
    <row r="77" spans="1:5" x14ac:dyDescent="0.25">
      <c r="A77" s="73"/>
      <c r="B77" s="73"/>
      <c r="C77" s="73"/>
      <c r="D77" s="73"/>
      <c r="E77" s="73"/>
    </row>
    <row r="78" spans="1:5" x14ac:dyDescent="0.25">
      <c r="A78" s="73"/>
      <c r="B78" s="73"/>
      <c r="C78" s="73"/>
      <c r="D78" s="73"/>
      <c r="E78" s="73"/>
    </row>
    <row r="79" spans="1:5" x14ac:dyDescent="0.25">
      <c r="A79" s="73"/>
      <c r="B79" s="73"/>
      <c r="C79" s="73"/>
      <c r="D79" s="73"/>
      <c r="E79" s="73"/>
    </row>
    <row r="80" spans="1:5" x14ac:dyDescent="0.25">
      <c r="A80" s="73"/>
      <c r="B80" s="73"/>
      <c r="C80" s="73"/>
      <c r="D80" s="73"/>
      <c r="E80" s="73"/>
    </row>
    <row r="81" spans="1:5" x14ac:dyDescent="0.25">
      <c r="A81" s="73"/>
      <c r="B81" s="73"/>
      <c r="C81" s="73"/>
      <c r="D81" s="73"/>
      <c r="E81" s="73"/>
    </row>
    <row r="82" spans="1:5" x14ac:dyDescent="0.25">
      <c r="A82" s="73"/>
      <c r="B82" s="73"/>
      <c r="C82" s="73"/>
      <c r="D82" s="73"/>
      <c r="E82" s="73"/>
    </row>
    <row r="83" spans="1:5" x14ac:dyDescent="0.25">
      <c r="A83" s="73"/>
      <c r="B83" s="73"/>
      <c r="C83" s="73"/>
      <c r="D83" s="73"/>
      <c r="E83" s="73"/>
    </row>
    <row r="84" spans="1:5" x14ac:dyDescent="0.25">
      <c r="A84" s="73"/>
      <c r="B84" s="73"/>
      <c r="C84" s="73"/>
      <c r="D84" s="73"/>
      <c r="E84" s="73"/>
    </row>
    <row r="85" spans="1:5" x14ac:dyDescent="0.25">
      <c r="A85" s="73"/>
      <c r="B85" s="73"/>
      <c r="C85" s="73"/>
      <c r="D85" s="73"/>
      <c r="E85" s="73"/>
    </row>
    <row r="86" spans="1:5" x14ac:dyDescent="0.25">
      <c r="A86" s="73"/>
      <c r="B86" s="73"/>
      <c r="C86" s="73"/>
      <c r="D86" s="73"/>
      <c r="E86" s="73"/>
    </row>
    <row r="87" spans="1:5" x14ac:dyDescent="0.25">
      <c r="A87" s="73"/>
      <c r="B87" s="73"/>
      <c r="C87" s="73"/>
      <c r="D87" s="73"/>
      <c r="E87" s="73"/>
    </row>
    <row r="88" spans="1:5" x14ac:dyDescent="0.25">
      <c r="A88" s="73"/>
      <c r="B88" s="73"/>
      <c r="C88" s="73"/>
      <c r="D88" s="73"/>
      <c r="E88" s="73"/>
    </row>
    <row r="89" spans="1:5" x14ac:dyDescent="0.25">
      <c r="A89" s="73"/>
      <c r="B89" s="73"/>
      <c r="C89" s="73"/>
      <c r="D89" s="73"/>
      <c r="E89" s="73"/>
    </row>
    <row r="90" spans="1:5" x14ac:dyDescent="0.25">
      <c r="A90" s="73"/>
      <c r="B90" s="73"/>
      <c r="C90" s="73"/>
      <c r="D90" s="73"/>
      <c r="E90" s="73"/>
    </row>
    <row r="91" spans="1:5" x14ac:dyDescent="0.25">
      <c r="A91" s="73"/>
      <c r="B91" s="73"/>
      <c r="C91" s="73"/>
      <c r="D91" s="73"/>
      <c r="E91" s="73"/>
    </row>
    <row r="92" spans="1:5" x14ac:dyDescent="0.25">
      <c r="A92" s="73"/>
      <c r="B92" s="73"/>
      <c r="C92" s="73"/>
      <c r="D92" s="73"/>
      <c r="E92" s="73"/>
    </row>
    <row r="93" spans="1:5" x14ac:dyDescent="0.25">
      <c r="A93" s="73"/>
      <c r="B93" s="73"/>
      <c r="C93" s="73"/>
      <c r="D93" s="73"/>
      <c r="E93" s="73"/>
    </row>
    <row r="94" spans="1:5" x14ac:dyDescent="0.25">
      <c r="A94" s="73"/>
      <c r="B94" s="73"/>
      <c r="C94" s="73"/>
      <c r="D94" s="73"/>
      <c r="E94" s="73"/>
    </row>
    <row r="95" spans="1:5" x14ac:dyDescent="0.25">
      <c r="A95" s="73"/>
      <c r="B95" s="73"/>
      <c r="C95" s="73"/>
      <c r="D95" s="73"/>
      <c r="E95" s="73"/>
    </row>
    <row r="96" spans="1:5" x14ac:dyDescent="0.25">
      <c r="A96" s="73"/>
      <c r="B96" s="73"/>
      <c r="C96" s="73"/>
      <c r="D96" s="73"/>
      <c r="E96" s="73"/>
    </row>
    <row r="97" spans="1:5" x14ac:dyDescent="0.25">
      <c r="A97" s="73"/>
      <c r="B97" s="73"/>
      <c r="C97" s="73"/>
      <c r="D97" s="73"/>
      <c r="E97" s="73"/>
    </row>
    <row r="98" spans="1:5" x14ac:dyDescent="0.25">
      <c r="A98" s="73"/>
      <c r="B98" s="73"/>
      <c r="C98" s="73"/>
      <c r="D98" s="73"/>
      <c r="E98" s="73"/>
    </row>
    <row r="99" spans="1:5" x14ac:dyDescent="0.25">
      <c r="A99" s="73"/>
      <c r="B99" s="73"/>
      <c r="C99" s="73"/>
      <c r="D99" s="73"/>
      <c r="E99" s="73"/>
    </row>
    <row r="100" spans="1:5" x14ac:dyDescent="0.25">
      <c r="A100" s="73"/>
      <c r="B100" s="73"/>
      <c r="C100" s="73"/>
      <c r="D100" s="73"/>
      <c r="E100" s="73"/>
    </row>
    <row r="101" spans="1:5" x14ac:dyDescent="0.25">
      <c r="A101" s="73"/>
      <c r="B101" s="73"/>
      <c r="C101" s="73"/>
      <c r="D101" s="73"/>
      <c r="E101" s="73"/>
    </row>
    <row r="102" spans="1:5" x14ac:dyDescent="0.25">
      <c r="A102" s="73"/>
      <c r="B102" s="73"/>
      <c r="C102" s="73"/>
      <c r="D102" s="73"/>
      <c r="E102" s="73"/>
    </row>
    <row r="103" spans="1:5" x14ac:dyDescent="0.25">
      <c r="A103" s="73"/>
      <c r="B103" s="73"/>
      <c r="C103" s="73"/>
      <c r="D103" s="73"/>
      <c r="E103" s="73"/>
    </row>
    <row r="104" spans="1:5" x14ac:dyDescent="0.25">
      <c r="A104" s="73"/>
      <c r="B104" s="73"/>
      <c r="C104" s="73"/>
      <c r="D104" s="73"/>
      <c r="E104" s="73"/>
    </row>
    <row r="105" spans="1:5" x14ac:dyDescent="0.25">
      <c r="A105" s="73"/>
      <c r="B105" s="73"/>
      <c r="C105" s="73"/>
      <c r="D105" s="73"/>
      <c r="E105" s="73"/>
    </row>
    <row r="106" spans="1:5" x14ac:dyDescent="0.25">
      <c r="A106" s="73"/>
      <c r="B106" s="73"/>
      <c r="C106" s="73"/>
      <c r="D106" s="73"/>
      <c r="E106" s="73"/>
    </row>
    <row r="107" spans="1:5" x14ac:dyDescent="0.25">
      <c r="A107" s="73"/>
      <c r="B107" s="73"/>
      <c r="C107" s="73"/>
      <c r="D107" s="73"/>
      <c r="E107" s="73"/>
    </row>
    <row r="108" spans="1:5" x14ac:dyDescent="0.25">
      <c r="A108" s="73"/>
      <c r="B108" s="73"/>
      <c r="C108" s="73"/>
      <c r="D108" s="73"/>
      <c r="E108" s="73"/>
    </row>
    <row r="109" spans="1:5" x14ac:dyDescent="0.25">
      <c r="A109" s="73"/>
      <c r="B109" s="73"/>
      <c r="C109" s="73"/>
      <c r="D109" s="73"/>
      <c r="E109" s="73"/>
    </row>
    <row r="110" spans="1:5" x14ac:dyDescent="0.25">
      <c r="A110" s="73"/>
      <c r="B110" s="73"/>
      <c r="C110" s="73"/>
      <c r="D110" s="73"/>
      <c r="E110" s="73"/>
    </row>
    <row r="111" spans="1:5" x14ac:dyDescent="0.25">
      <c r="A111" s="73"/>
      <c r="B111" s="73"/>
      <c r="C111" s="73"/>
      <c r="D111" s="73"/>
      <c r="E111" s="73"/>
    </row>
    <row r="112" spans="1:5" x14ac:dyDescent="0.25">
      <c r="A112" s="73"/>
      <c r="B112" s="73"/>
      <c r="C112" s="73"/>
      <c r="D112" s="73"/>
      <c r="E112" s="73"/>
    </row>
    <row r="113" spans="1:5" x14ac:dyDescent="0.25">
      <c r="A113" s="73"/>
      <c r="B113" s="73"/>
      <c r="C113" s="73"/>
      <c r="D113" s="73"/>
      <c r="E113" s="73"/>
    </row>
    <row r="114" spans="1:5" x14ac:dyDescent="0.25">
      <c r="A114" s="73"/>
      <c r="B114" s="73"/>
      <c r="C114" s="73"/>
      <c r="D114" s="73"/>
      <c r="E114" s="73"/>
    </row>
    <row r="115" spans="1:5" x14ac:dyDescent="0.25">
      <c r="A115" s="73"/>
      <c r="B115" s="73"/>
      <c r="C115" s="73"/>
      <c r="D115" s="73"/>
      <c r="E115" s="73"/>
    </row>
    <row r="116" spans="1:5" x14ac:dyDescent="0.25">
      <c r="A116" s="73"/>
      <c r="B116" s="73"/>
      <c r="C116" s="73"/>
      <c r="D116" s="73"/>
      <c r="E116" s="73"/>
    </row>
    <row r="117" spans="1:5" x14ac:dyDescent="0.25">
      <c r="A117" s="73"/>
      <c r="B117" s="73"/>
      <c r="C117" s="73"/>
      <c r="D117" s="73"/>
      <c r="E117" s="73"/>
    </row>
    <row r="118" spans="1:5" x14ac:dyDescent="0.25">
      <c r="A118" s="73"/>
      <c r="B118" s="73"/>
      <c r="C118" s="73"/>
      <c r="D118" s="73"/>
      <c r="E118" s="73"/>
    </row>
    <row r="119" spans="1:5" x14ac:dyDescent="0.25">
      <c r="A119" s="73"/>
      <c r="B119" s="73"/>
      <c r="C119" s="73"/>
      <c r="D119" s="73"/>
      <c r="E119" s="73"/>
    </row>
    <row r="120" spans="1:5" x14ac:dyDescent="0.25">
      <c r="A120" s="73"/>
      <c r="B120" s="73"/>
      <c r="C120" s="73"/>
      <c r="D120" s="73"/>
      <c r="E120" s="73"/>
    </row>
    <row r="121" spans="1:5" x14ac:dyDescent="0.25">
      <c r="A121" s="73"/>
      <c r="B121" s="73"/>
      <c r="C121" s="73"/>
      <c r="D121" s="73"/>
      <c r="E121" s="73"/>
    </row>
    <row r="122" spans="1:5" x14ac:dyDescent="0.25">
      <c r="A122" s="73"/>
      <c r="B122" s="73"/>
      <c r="C122" s="73"/>
      <c r="D122" s="73"/>
      <c r="E122" s="73"/>
    </row>
    <row r="123" spans="1:5" x14ac:dyDescent="0.25">
      <c r="A123" s="73"/>
      <c r="B123" s="73"/>
      <c r="C123" s="73"/>
      <c r="D123" s="73"/>
      <c r="E123" s="73"/>
    </row>
    <row r="124" spans="1:5" x14ac:dyDescent="0.25">
      <c r="A124" s="73"/>
      <c r="B124" s="73"/>
      <c r="C124" s="73"/>
      <c r="D124" s="73"/>
      <c r="E124" s="73"/>
    </row>
    <row r="125" spans="1:5" x14ac:dyDescent="0.25">
      <c r="A125" s="73"/>
      <c r="B125" s="73"/>
      <c r="C125" s="73"/>
      <c r="D125" s="73"/>
      <c r="E125" s="73"/>
    </row>
    <row r="126" spans="1:5" x14ac:dyDescent="0.25">
      <c r="A126" s="73"/>
      <c r="B126" s="73"/>
      <c r="C126" s="73"/>
      <c r="D126" s="73"/>
      <c r="E126" s="73"/>
    </row>
    <row r="127" spans="1:5" x14ac:dyDescent="0.25">
      <c r="A127" s="73"/>
      <c r="B127" s="73"/>
      <c r="C127" s="73"/>
      <c r="D127" s="73"/>
      <c r="E127" s="73"/>
    </row>
    <row r="128" spans="1:5" x14ac:dyDescent="0.25">
      <c r="A128" s="73"/>
      <c r="B128" s="73"/>
      <c r="C128" s="73"/>
      <c r="D128" s="73"/>
      <c r="E128" s="73"/>
    </row>
    <row r="129" spans="1:5" x14ac:dyDescent="0.25">
      <c r="A129" s="73"/>
      <c r="B129" s="73"/>
      <c r="C129" s="73"/>
      <c r="D129" s="73"/>
      <c r="E129" s="73"/>
    </row>
    <row r="130" spans="1:5" x14ac:dyDescent="0.25">
      <c r="A130" s="73"/>
      <c r="B130" s="73"/>
      <c r="C130" s="73"/>
      <c r="D130" s="73"/>
      <c r="E130" s="73"/>
    </row>
    <row r="131" spans="1:5" x14ac:dyDescent="0.25">
      <c r="A131" s="73"/>
      <c r="B131" s="73"/>
      <c r="C131" s="73"/>
      <c r="D131" s="73"/>
      <c r="E131" s="73"/>
    </row>
    <row r="132" spans="1:5" x14ac:dyDescent="0.25">
      <c r="A132" s="73"/>
      <c r="B132" s="73"/>
      <c r="C132" s="73"/>
      <c r="D132" s="73"/>
      <c r="E132" s="73"/>
    </row>
    <row r="133" spans="1:5" x14ac:dyDescent="0.25">
      <c r="A133" s="73"/>
      <c r="B133" s="73"/>
      <c r="C133" s="73"/>
      <c r="D133" s="73"/>
      <c r="E133" s="73"/>
    </row>
    <row r="134" spans="1:5" x14ac:dyDescent="0.25">
      <c r="A134" s="73"/>
      <c r="B134" s="73"/>
      <c r="C134" s="73"/>
      <c r="D134" s="73"/>
      <c r="E134" s="73"/>
    </row>
    <row r="135" spans="1:5" x14ac:dyDescent="0.25">
      <c r="A135" s="73"/>
      <c r="B135" s="73"/>
      <c r="C135" s="73"/>
      <c r="D135" s="73"/>
      <c r="E135" s="73"/>
    </row>
    <row r="136" spans="1:5" x14ac:dyDescent="0.25">
      <c r="A136" s="73"/>
      <c r="B136" s="73"/>
      <c r="C136" s="73"/>
      <c r="D136" s="73"/>
      <c r="E136" s="73"/>
    </row>
    <row r="137" spans="1:5" x14ac:dyDescent="0.25">
      <c r="A137" s="73"/>
      <c r="B137" s="73"/>
      <c r="C137" s="73"/>
      <c r="D137" s="73"/>
      <c r="E137" s="73"/>
    </row>
    <row r="138" spans="1:5" x14ac:dyDescent="0.25">
      <c r="A138" s="73"/>
      <c r="B138" s="73"/>
      <c r="C138" s="73"/>
      <c r="D138" s="73"/>
      <c r="E138" s="73"/>
    </row>
    <row r="139" spans="1:5" x14ac:dyDescent="0.25">
      <c r="A139" s="73"/>
      <c r="B139" s="73"/>
      <c r="C139" s="73"/>
      <c r="D139" s="73"/>
      <c r="E139" s="73"/>
    </row>
    <row r="140" spans="1:5" x14ac:dyDescent="0.25">
      <c r="A140" s="73"/>
      <c r="B140" s="73"/>
      <c r="C140" s="73"/>
      <c r="D140" s="73"/>
      <c r="E140" s="73"/>
    </row>
    <row r="141" spans="1:5" x14ac:dyDescent="0.25">
      <c r="A141" s="73"/>
      <c r="B141" s="73"/>
      <c r="C141" s="73"/>
      <c r="D141" s="73"/>
      <c r="E141" s="73"/>
    </row>
    <row r="142" spans="1:5" x14ac:dyDescent="0.25">
      <c r="A142" s="73"/>
      <c r="B142" s="73"/>
      <c r="C142" s="73"/>
      <c r="D142" s="73"/>
      <c r="E142" s="73"/>
    </row>
    <row r="143" spans="1:5" x14ac:dyDescent="0.25">
      <c r="A143" s="73"/>
      <c r="B143" s="73"/>
      <c r="C143" s="73"/>
      <c r="D143" s="73"/>
      <c r="E143" s="73"/>
    </row>
    <row r="144" spans="1:5" x14ac:dyDescent="0.25">
      <c r="A144" s="73"/>
      <c r="B144" s="73"/>
      <c r="C144" s="73"/>
      <c r="D144" s="73"/>
      <c r="E144" s="73"/>
    </row>
    <row r="145" spans="1:5" x14ac:dyDescent="0.25">
      <c r="A145" s="73"/>
      <c r="B145" s="73"/>
      <c r="C145" s="73"/>
      <c r="D145" s="73"/>
      <c r="E145" s="73"/>
    </row>
    <row r="146" spans="1:5" x14ac:dyDescent="0.25">
      <c r="A146" s="73"/>
      <c r="B146" s="73"/>
      <c r="C146" s="73"/>
      <c r="D146" s="73"/>
      <c r="E146" s="73"/>
    </row>
    <row r="147" spans="1:5" x14ac:dyDescent="0.25">
      <c r="A147" s="73"/>
      <c r="B147" s="73"/>
      <c r="C147" s="73"/>
      <c r="D147" s="73"/>
      <c r="E147" s="73"/>
    </row>
    <row r="148" spans="1:5" x14ac:dyDescent="0.25">
      <c r="A148" s="73"/>
      <c r="B148" s="73"/>
      <c r="C148" s="73"/>
      <c r="D148" s="73"/>
      <c r="E148" s="73"/>
    </row>
    <row r="149" spans="1:5" x14ac:dyDescent="0.25">
      <c r="A149" s="73"/>
      <c r="B149" s="73"/>
      <c r="C149" s="73"/>
      <c r="D149" s="73"/>
      <c r="E149" s="73"/>
    </row>
    <row r="150" spans="1:5" x14ac:dyDescent="0.25">
      <c r="A150" s="73"/>
      <c r="B150" s="73"/>
      <c r="C150" s="73"/>
      <c r="D150" s="73"/>
      <c r="E150" s="73"/>
    </row>
    <row r="151" spans="1:5" x14ac:dyDescent="0.25">
      <c r="A151" s="73"/>
      <c r="B151" s="73"/>
      <c r="C151" s="73"/>
      <c r="D151" s="73"/>
      <c r="E151" s="73"/>
    </row>
    <row r="152" spans="1:5" x14ac:dyDescent="0.25">
      <c r="A152" s="73"/>
      <c r="B152" s="73"/>
      <c r="C152" s="73"/>
      <c r="D152" s="73"/>
      <c r="E152" s="73"/>
    </row>
    <row r="153" spans="1:5" x14ac:dyDescent="0.25">
      <c r="A153" s="73"/>
      <c r="B153" s="73"/>
      <c r="C153" s="73"/>
      <c r="D153" s="73"/>
      <c r="E153" s="73"/>
    </row>
    <row r="154" spans="1:5" x14ac:dyDescent="0.25">
      <c r="A154" s="73"/>
      <c r="B154" s="73"/>
      <c r="C154" s="73"/>
      <c r="D154" s="73"/>
      <c r="E154" s="73"/>
    </row>
    <row r="155" spans="1:5" x14ac:dyDescent="0.25">
      <c r="A155" s="73"/>
      <c r="B155" s="73"/>
      <c r="C155" s="73"/>
      <c r="D155" s="73"/>
      <c r="E155" s="73"/>
    </row>
    <row r="156" spans="1:5" x14ac:dyDescent="0.25">
      <c r="A156" s="73"/>
      <c r="B156" s="73"/>
      <c r="C156" s="73"/>
      <c r="D156" s="73"/>
      <c r="E156" s="73"/>
    </row>
    <row r="157" spans="1:5" x14ac:dyDescent="0.25">
      <c r="A157" s="73"/>
      <c r="B157" s="73"/>
      <c r="C157" s="73"/>
      <c r="D157" s="73"/>
      <c r="E157" s="73"/>
    </row>
    <row r="158" spans="1:5" x14ac:dyDescent="0.25">
      <c r="A158" s="73"/>
      <c r="B158" s="73"/>
      <c r="C158" s="73"/>
      <c r="D158" s="73"/>
      <c r="E158" s="73"/>
    </row>
    <row r="159" spans="1:5" x14ac:dyDescent="0.25">
      <c r="A159" s="73"/>
      <c r="B159" s="73"/>
      <c r="C159" s="73"/>
      <c r="D159" s="73"/>
      <c r="E159" s="73"/>
    </row>
    <row r="160" spans="1:5" x14ac:dyDescent="0.25">
      <c r="A160" s="73"/>
      <c r="B160" s="73"/>
      <c r="C160" s="73"/>
      <c r="D160" s="73"/>
      <c r="E160" s="73"/>
    </row>
    <row r="161" spans="1:5" x14ac:dyDescent="0.25">
      <c r="A161" s="73"/>
      <c r="B161" s="73"/>
      <c r="C161" s="73"/>
      <c r="D161" s="73"/>
      <c r="E161" s="73"/>
    </row>
    <row r="162" spans="1:5" x14ac:dyDescent="0.25">
      <c r="A162" s="73"/>
      <c r="B162" s="73"/>
      <c r="C162" s="73"/>
      <c r="D162" s="73"/>
      <c r="E162" s="73"/>
    </row>
    <row r="163" spans="1:5" x14ac:dyDescent="0.25">
      <c r="A163" s="73"/>
      <c r="B163" s="73"/>
      <c r="C163" s="73"/>
      <c r="D163" s="73"/>
      <c r="E163" s="73"/>
    </row>
    <row r="164" spans="1:5" x14ac:dyDescent="0.25">
      <c r="A164" s="73"/>
      <c r="B164" s="73"/>
      <c r="C164" s="73"/>
      <c r="D164" s="73"/>
      <c r="E164" s="73"/>
    </row>
    <row r="165" spans="1:5" x14ac:dyDescent="0.25">
      <c r="A165" s="73"/>
      <c r="B165" s="73"/>
      <c r="C165" s="73"/>
      <c r="D165" s="73"/>
      <c r="E165" s="73"/>
    </row>
    <row r="166" spans="1:5" x14ac:dyDescent="0.25">
      <c r="A166" s="73"/>
      <c r="B166" s="73"/>
      <c r="C166" s="73"/>
      <c r="D166" s="73"/>
      <c r="E166" s="73"/>
    </row>
    <row r="167" spans="1:5" x14ac:dyDescent="0.25">
      <c r="A167" s="73"/>
      <c r="B167" s="73"/>
      <c r="C167" s="73"/>
      <c r="D167" s="73"/>
      <c r="E167" s="73"/>
    </row>
    <row r="168" spans="1:5" x14ac:dyDescent="0.25">
      <c r="A168" s="73"/>
      <c r="B168" s="73"/>
      <c r="C168" s="73"/>
      <c r="D168" s="73"/>
      <c r="E168" s="73"/>
    </row>
    <row r="169" spans="1:5" x14ac:dyDescent="0.25">
      <c r="A169" s="73"/>
      <c r="B169" s="73"/>
      <c r="C169" s="73"/>
      <c r="D169" s="73"/>
      <c r="E169" s="73"/>
    </row>
    <row r="170" spans="1:5" x14ac:dyDescent="0.25">
      <c r="A170" s="73"/>
      <c r="B170" s="73"/>
      <c r="C170" s="73"/>
      <c r="D170" s="73"/>
      <c r="E170" s="73"/>
    </row>
    <row r="171" spans="1:5" x14ac:dyDescent="0.25">
      <c r="A171" s="73"/>
      <c r="B171" s="73"/>
      <c r="C171" s="73"/>
      <c r="D171" s="73"/>
      <c r="E171" s="73"/>
    </row>
    <row r="172" spans="1:5" x14ac:dyDescent="0.25">
      <c r="A172" s="73"/>
      <c r="B172" s="73"/>
      <c r="C172" s="73"/>
      <c r="D172" s="73"/>
      <c r="E172" s="73"/>
    </row>
    <row r="173" spans="1:5" x14ac:dyDescent="0.25">
      <c r="A173" s="73"/>
      <c r="B173" s="73"/>
      <c r="C173" s="73"/>
      <c r="D173" s="73"/>
      <c r="E173" s="73"/>
    </row>
    <row r="174" spans="1:5" x14ac:dyDescent="0.25">
      <c r="A174" s="73"/>
      <c r="B174" s="73"/>
      <c r="C174" s="73"/>
      <c r="D174" s="73"/>
      <c r="E174" s="73"/>
    </row>
    <row r="175" spans="1:5" x14ac:dyDescent="0.25">
      <c r="A175" s="73"/>
      <c r="B175" s="73"/>
      <c r="C175" s="73"/>
      <c r="D175" s="73"/>
      <c r="E175" s="73"/>
    </row>
    <row r="176" spans="1:5" x14ac:dyDescent="0.25">
      <c r="A176" s="73"/>
      <c r="B176" s="73"/>
      <c r="C176" s="73"/>
      <c r="D176" s="73"/>
      <c r="E176" s="73"/>
    </row>
    <row r="177" spans="1:5" x14ac:dyDescent="0.25">
      <c r="A177" s="73"/>
      <c r="B177" s="73"/>
      <c r="C177" s="73"/>
      <c r="D177" s="73"/>
      <c r="E177" s="73"/>
    </row>
    <row r="178" spans="1:5" x14ac:dyDescent="0.25">
      <c r="A178" s="73"/>
      <c r="B178" s="73"/>
      <c r="C178" s="73"/>
      <c r="D178" s="73"/>
      <c r="E178" s="73"/>
    </row>
    <row r="179" spans="1:5" x14ac:dyDescent="0.25">
      <c r="A179" s="73"/>
      <c r="B179" s="73"/>
      <c r="C179" s="73"/>
      <c r="D179" s="73"/>
      <c r="E179" s="73"/>
    </row>
    <row r="180" spans="1:5" x14ac:dyDescent="0.25">
      <c r="A180" s="73"/>
      <c r="B180" s="73"/>
      <c r="C180" s="73"/>
      <c r="D180" s="73"/>
      <c r="E180" s="73"/>
    </row>
    <row r="181" spans="1:5" x14ac:dyDescent="0.25">
      <c r="A181" s="73"/>
      <c r="B181" s="73"/>
      <c r="C181" s="73"/>
      <c r="D181" s="73"/>
      <c r="E181" s="73"/>
    </row>
    <row r="182" spans="1:5" x14ac:dyDescent="0.25">
      <c r="A182" s="73"/>
      <c r="B182" s="73"/>
      <c r="C182" s="73"/>
      <c r="D182" s="73"/>
      <c r="E182" s="73"/>
    </row>
    <row r="183" spans="1:5" x14ac:dyDescent="0.25">
      <c r="A183" s="73"/>
      <c r="B183" s="73"/>
      <c r="C183" s="73"/>
      <c r="D183" s="73"/>
      <c r="E183" s="73"/>
    </row>
    <row r="184" spans="1:5" x14ac:dyDescent="0.25">
      <c r="A184" s="73"/>
      <c r="B184" s="73"/>
      <c r="C184" s="73"/>
      <c r="D184" s="73"/>
      <c r="E184" s="73"/>
    </row>
    <row r="185" spans="1:5" x14ac:dyDescent="0.25">
      <c r="A185" s="73"/>
      <c r="B185" s="73"/>
      <c r="C185" s="73"/>
      <c r="D185" s="73"/>
      <c r="E185" s="73"/>
    </row>
    <row r="186" spans="1:5" x14ac:dyDescent="0.25">
      <c r="A186" s="73"/>
      <c r="B186" s="73"/>
      <c r="C186" s="73"/>
      <c r="D186" s="73"/>
      <c r="E186" s="73"/>
    </row>
    <row r="187" spans="1:5" x14ac:dyDescent="0.25">
      <c r="A187" s="73"/>
      <c r="B187" s="73"/>
      <c r="C187" s="73"/>
      <c r="D187" s="73"/>
      <c r="E187" s="73"/>
    </row>
    <row r="188" spans="1:5" x14ac:dyDescent="0.25">
      <c r="A188" s="73"/>
      <c r="B188" s="73"/>
      <c r="C188" s="73"/>
      <c r="D188" s="73"/>
      <c r="E188" s="73"/>
    </row>
    <row r="189" spans="1:5" x14ac:dyDescent="0.25">
      <c r="A189" s="73"/>
      <c r="B189" s="73"/>
      <c r="C189" s="73"/>
      <c r="D189" s="73"/>
      <c r="E189" s="73"/>
    </row>
    <row r="190" spans="1:5" x14ac:dyDescent="0.25">
      <c r="A190" s="73"/>
      <c r="B190" s="73"/>
      <c r="C190" s="73"/>
      <c r="D190" s="73"/>
      <c r="E190" s="73"/>
    </row>
    <row r="191" spans="1:5" x14ac:dyDescent="0.25">
      <c r="A191" s="73"/>
      <c r="B191" s="73"/>
      <c r="C191" s="73"/>
      <c r="D191" s="73"/>
      <c r="E191" s="73"/>
    </row>
    <row r="192" spans="1:5" x14ac:dyDescent="0.25">
      <c r="A192" s="73"/>
      <c r="B192" s="73"/>
      <c r="C192" s="73"/>
      <c r="D192" s="73"/>
      <c r="E192" s="73"/>
    </row>
    <row r="193" spans="1:5" x14ac:dyDescent="0.25">
      <c r="A193" s="73"/>
      <c r="B193" s="73"/>
      <c r="C193" s="73"/>
      <c r="D193" s="73"/>
      <c r="E193" s="73"/>
    </row>
    <row r="194" spans="1:5" x14ac:dyDescent="0.25">
      <c r="A194" s="73"/>
      <c r="B194" s="73"/>
      <c r="C194" s="73"/>
      <c r="D194" s="73"/>
      <c r="E194" s="73"/>
    </row>
    <row r="195" spans="1:5" x14ac:dyDescent="0.25">
      <c r="A195" s="73"/>
      <c r="B195" s="73"/>
      <c r="C195" s="73"/>
      <c r="D195" s="73"/>
      <c r="E195" s="73"/>
    </row>
    <row r="196" spans="1:5" x14ac:dyDescent="0.25">
      <c r="A196" s="73"/>
      <c r="B196" s="73"/>
      <c r="C196" s="73"/>
      <c r="D196" s="73"/>
      <c r="E196" s="73"/>
    </row>
    <row r="197" spans="1:5" x14ac:dyDescent="0.25">
      <c r="A197" s="73"/>
      <c r="B197" s="73"/>
      <c r="C197" s="73"/>
      <c r="D197" s="73"/>
      <c r="E197" s="73"/>
    </row>
    <row r="198" spans="1:5" x14ac:dyDescent="0.25">
      <c r="A198" s="73"/>
      <c r="B198" s="73"/>
      <c r="C198" s="73"/>
      <c r="D198" s="73"/>
      <c r="E198" s="73"/>
    </row>
    <row r="199" spans="1:5" x14ac:dyDescent="0.25">
      <c r="A199" s="73"/>
      <c r="B199" s="73"/>
      <c r="C199" s="73"/>
      <c r="D199" s="73"/>
      <c r="E199" s="73"/>
    </row>
    <row r="200" spans="1:5" x14ac:dyDescent="0.25">
      <c r="A200" s="73"/>
      <c r="B200" s="73"/>
      <c r="C200" s="73"/>
      <c r="D200" s="73"/>
      <c r="E200" s="73"/>
    </row>
    <row r="201" spans="1:5" x14ac:dyDescent="0.25">
      <c r="A201" s="73"/>
      <c r="B201" s="73"/>
      <c r="C201" s="73"/>
      <c r="D201" s="73"/>
      <c r="E201" s="73"/>
    </row>
    <row r="202" spans="1:5" x14ac:dyDescent="0.25">
      <c r="A202" s="73"/>
      <c r="B202" s="73"/>
      <c r="C202" s="73"/>
      <c r="D202" s="73"/>
      <c r="E202" s="73"/>
    </row>
    <row r="203" spans="1:5" x14ac:dyDescent="0.25">
      <c r="A203" s="73"/>
      <c r="B203" s="73"/>
      <c r="C203" s="73"/>
      <c r="D203" s="73"/>
      <c r="E203" s="73"/>
    </row>
    <row r="204" spans="1:5" x14ac:dyDescent="0.25">
      <c r="A204" s="73"/>
      <c r="B204" s="73"/>
      <c r="C204" s="73"/>
      <c r="D204" s="73"/>
      <c r="E204" s="73"/>
    </row>
    <row r="205" spans="1:5" x14ac:dyDescent="0.25">
      <c r="A205" s="73"/>
      <c r="B205" s="73"/>
      <c r="C205" s="73"/>
      <c r="D205" s="73"/>
      <c r="E205" s="73"/>
    </row>
    <row r="206" spans="1:5" x14ac:dyDescent="0.25">
      <c r="A206" s="73"/>
      <c r="B206" s="73"/>
      <c r="C206" s="73"/>
      <c r="D206" s="73"/>
      <c r="E206" s="73"/>
    </row>
  </sheetData>
  <mergeCells count="10">
    <mergeCell ref="A26:B26"/>
    <mergeCell ref="C26:D26"/>
    <mergeCell ref="N28:O28"/>
    <mergeCell ref="X28:Y28"/>
    <mergeCell ref="B1:C1"/>
    <mergeCell ref="E1:H1"/>
    <mergeCell ref="L1:O1"/>
    <mergeCell ref="B2:C2"/>
    <mergeCell ref="B3:C3"/>
    <mergeCell ref="A25:D2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/>
  <dimension ref="A1:AA206"/>
  <sheetViews>
    <sheetView zoomScale="70" zoomScaleNormal="70" workbookViewId="0">
      <selection activeCell="L10" sqref="L10"/>
    </sheetView>
  </sheetViews>
  <sheetFormatPr defaultRowHeight="15" x14ac:dyDescent="0.25"/>
  <cols>
    <col min="3" max="3" width="9.85546875" customWidth="1"/>
    <col min="4" max="4" width="11.28515625" customWidth="1"/>
    <col min="5" max="6" width="10.7109375" customWidth="1"/>
    <col min="7" max="7" width="12.7109375" bestFit="1" customWidth="1"/>
    <col min="9" max="9" width="10.7109375" customWidth="1"/>
    <col min="11" max="11" width="10" customWidth="1"/>
    <col min="24" max="24" width="10.7109375" customWidth="1"/>
    <col min="25" max="25" width="11" customWidth="1"/>
  </cols>
  <sheetData>
    <row r="1" spans="1:21" ht="15.75" thickBot="1" x14ac:dyDescent="0.3">
      <c r="A1" s="1" t="s">
        <v>0</v>
      </c>
      <c r="B1" s="105" t="s">
        <v>69</v>
      </c>
      <c r="C1" s="106"/>
      <c r="E1" s="97" t="s">
        <v>1</v>
      </c>
      <c r="F1" s="98"/>
      <c r="G1" s="98"/>
      <c r="H1" s="99"/>
      <c r="J1" s="2" t="s">
        <v>2</v>
      </c>
      <c r="L1" s="107" t="s">
        <v>68</v>
      </c>
      <c r="M1" s="108"/>
      <c r="N1" s="108"/>
      <c r="O1" s="109"/>
    </row>
    <row r="2" spans="1:21" ht="15.75" thickBot="1" x14ac:dyDescent="0.3">
      <c r="A2" s="3" t="s">
        <v>3</v>
      </c>
      <c r="B2" s="110" t="s">
        <v>70</v>
      </c>
      <c r="C2" s="111"/>
      <c r="E2" s="1" t="s">
        <v>4</v>
      </c>
      <c r="F2" s="4">
        <v>0.4</v>
      </c>
      <c r="G2" s="1" t="s">
        <v>5</v>
      </c>
      <c r="H2" s="37">
        <v>5.5736999999999997</v>
      </c>
      <c r="J2" s="6">
        <f>8.314/1000</f>
        <v>8.3140000000000002E-3</v>
      </c>
      <c r="L2" s="2"/>
      <c r="M2" s="7" t="s">
        <v>0</v>
      </c>
      <c r="N2" s="7" t="s">
        <v>3</v>
      </c>
      <c r="O2" s="8" t="s">
        <v>6</v>
      </c>
      <c r="R2" s="52" t="s">
        <v>95</v>
      </c>
    </row>
    <row r="3" spans="1:21" ht="15.75" thickBot="1" x14ac:dyDescent="0.3">
      <c r="A3" s="9" t="s">
        <v>6</v>
      </c>
      <c r="B3" s="112" t="s">
        <v>71</v>
      </c>
      <c r="C3" s="113"/>
      <c r="E3" s="46"/>
      <c r="F3" s="4"/>
      <c r="G3" s="3" t="s">
        <v>7</v>
      </c>
      <c r="H3" s="42">
        <v>7.4991000000000003</v>
      </c>
      <c r="J3" s="2" t="s">
        <v>8</v>
      </c>
      <c r="K3" t="s">
        <v>72</v>
      </c>
      <c r="L3" s="3" t="s">
        <v>0</v>
      </c>
      <c r="M3" s="12">
        <v>20.840540000000001</v>
      </c>
      <c r="N3" s="1">
        <v>-2624.5250000000001</v>
      </c>
      <c r="O3" s="13">
        <v>-46.151710000000001</v>
      </c>
      <c r="R3" t="s">
        <v>96</v>
      </c>
    </row>
    <row r="4" spans="1:21" ht="15.75" thickBot="1" x14ac:dyDescent="0.3">
      <c r="E4" s="46"/>
      <c r="F4" s="4"/>
      <c r="G4" s="3" t="s">
        <v>9</v>
      </c>
      <c r="H4" s="42">
        <v>19.269400000000001</v>
      </c>
      <c r="J4" s="6">
        <v>73</v>
      </c>
      <c r="L4" s="3" t="s">
        <v>3</v>
      </c>
      <c r="M4" s="12">
        <v>23.534700000000001</v>
      </c>
      <c r="N4" s="3">
        <v>-3661.4679999999998</v>
      </c>
      <c r="O4" s="13">
        <v>-32.770009999999999</v>
      </c>
    </row>
    <row r="5" spans="1:21" ht="15.75" thickBot="1" x14ac:dyDescent="0.3">
      <c r="E5" s="46"/>
      <c r="F5" s="4"/>
      <c r="G5" s="3" t="s">
        <v>10</v>
      </c>
      <c r="H5" s="42">
        <v>16.212</v>
      </c>
      <c r="J5" s="2" t="s">
        <v>11</v>
      </c>
      <c r="K5" t="s">
        <v>72</v>
      </c>
      <c r="L5" s="9" t="s">
        <v>6</v>
      </c>
      <c r="M5" s="14">
        <v>0</v>
      </c>
      <c r="N5" s="9">
        <v>0</v>
      </c>
      <c r="O5" s="15">
        <v>0</v>
      </c>
      <c r="Q5" s="39"/>
      <c r="R5" s="39"/>
    </row>
    <row r="6" spans="1:21" ht="15.75" thickBot="1" x14ac:dyDescent="0.3">
      <c r="E6" s="46"/>
      <c r="F6" s="4"/>
      <c r="G6" s="3" t="s">
        <v>12</v>
      </c>
      <c r="H6" s="42">
        <v>10.6456</v>
      </c>
      <c r="J6" s="16">
        <v>101.325</v>
      </c>
      <c r="Q6" s="40"/>
      <c r="R6" s="40"/>
    </row>
    <row r="7" spans="1:21" ht="15.75" thickBot="1" x14ac:dyDescent="0.3">
      <c r="E7" s="46"/>
      <c r="F7" s="4"/>
      <c r="G7" s="9" t="s">
        <v>13</v>
      </c>
      <c r="H7" s="44">
        <v>0.56320000000000003</v>
      </c>
      <c r="Q7" s="41"/>
      <c r="R7" s="41"/>
    </row>
    <row r="8" spans="1:21" ht="15.75" thickBot="1" x14ac:dyDescent="0.3"/>
    <row r="9" spans="1:21" ht="15.75" thickBot="1" x14ac:dyDescent="0.3">
      <c r="A9" s="2" t="s">
        <v>14</v>
      </c>
      <c r="B9" s="8" t="s">
        <v>15</v>
      </c>
      <c r="C9" s="2" t="s">
        <v>16</v>
      </c>
      <c r="D9" s="2" t="s">
        <v>17</v>
      </c>
      <c r="E9" s="2" t="s">
        <v>18</v>
      </c>
      <c r="F9" s="18" t="s">
        <v>19</v>
      </c>
      <c r="G9" s="2" t="s">
        <v>20</v>
      </c>
      <c r="H9" s="8" t="s">
        <v>21</v>
      </c>
      <c r="I9" s="18" t="s">
        <v>22</v>
      </c>
      <c r="J9" s="2" t="s">
        <v>23</v>
      </c>
      <c r="K9" s="8" t="s">
        <v>24</v>
      </c>
      <c r="L9" s="2" t="s">
        <v>25</v>
      </c>
      <c r="M9" s="38"/>
      <c r="N9" s="38"/>
      <c r="O9" s="38"/>
      <c r="P9" s="38"/>
      <c r="Q9" s="38"/>
      <c r="R9" s="38"/>
      <c r="S9" s="38"/>
      <c r="T9" s="38"/>
      <c r="U9" s="38"/>
    </row>
    <row r="10" spans="1:21" ht="15.75" thickBot="1" x14ac:dyDescent="0.3">
      <c r="A10" s="19">
        <v>34.860332460729332</v>
      </c>
      <c r="B10" s="20">
        <v>318.31479157087881</v>
      </c>
      <c r="C10" s="16">
        <f>C19</f>
        <v>0.99939639062174024</v>
      </c>
      <c r="D10" s="16">
        <f>C21</f>
        <v>1.153369292318133E-4</v>
      </c>
      <c r="E10" s="16">
        <f>C20</f>
        <v>4.8827244902794849E-4</v>
      </c>
      <c r="F10" s="43">
        <f>EXP(M3+N3/(B10+O3))/1000</f>
        <v>72.935644936027984</v>
      </c>
      <c r="G10" s="16">
        <f>EXP(M4+N4/(B10+O4))/1000</f>
        <v>44.88929921117974</v>
      </c>
      <c r="H10" s="44">
        <f>EXP(M5+N5/(B10+O5))/1000</f>
        <v>1E-3</v>
      </c>
      <c r="I10" s="22">
        <f>(C10*F10*S13)/J4</f>
        <v>0.9985476729018139</v>
      </c>
      <c r="J10" s="19">
        <f>(D10*G10*T13)/J4</f>
        <v>1.4378645466087405E-3</v>
      </c>
      <c r="K10" s="23">
        <f>(E10*H10*U13)/J4</f>
        <v>1.4457934525609237E-5</v>
      </c>
      <c r="L10" s="19">
        <f>SUM(I10:K10)</f>
        <v>0.99999999538294826</v>
      </c>
      <c r="M10" s="38"/>
      <c r="N10" s="38"/>
      <c r="O10" s="38"/>
      <c r="P10" s="38"/>
      <c r="Q10" s="38"/>
      <c r="R10" s="38"/>
      <c r="S10" s="38"/>
      <c r="T10" s="38"/>
      <c r="U10" s="38"/>
    </row>
    <row r="11" spans="1:21" ht="15.75" thickBot="1" x14ac:dyDescent="0.3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</row>
    <row r="12" spans="1:21" ht="15.75" thickBot="1" x14ac:dyDescent="0.3">
      <c r="A12" s="2" t="s">
        <v>26</v>
      </c>
      <c r="B12" s="8" t="s">
        <v>27</v>
      </c>
      <c r="C12" s="8" t="s">
        <v>28</v>
      </c>
      <c r="D12" s="8" t="s">
        <v>29</v>
      </c>
      <c r="E12" s="8" t="s">
        <v>30</v>
      </c>
      <c r="F12" s="8" t="s">
        <v>31</v>
      </c>
      <c r="G12" s="2" t="s">
        <v>32</v>
      </c>
      <c r="H12" s="8" t="s">
        <v>33</v>
      </c>
      <c r="I12" s="8" t="s">
        <v>34</v>
      </c>
      <c r="J12" s="8" t="s">
        <v>35</v>
      </c>
      <c r="K12" s="8" t="s">
        <v>36</v>
      </c>
      <c r="L12" s="8" t="s">
        <v>37</v>
      </c>
      <c r="M12" s="24" t="s">
        <v>38</v>
      </c>
      <c r="N12" s="25" t="s">
        <v>39</v>
      </c>
      <c r="O12" s="25" t="s">
        <v>40</v>
      </c>
      <c r="P12" s="24" t="s">
        <v>41</v>
      </c>
      <c r="Q12" s="25" t="s">
        <v>42</v>
      </c>
      <c r="R12" s="25" t="s">
        <v>43</v>
      </c>
      <c r="S12" s="24" t="s">
        <v>44</v>
      </c>
      <c r="T12" s="25" t="s">
        <v>45</v>
      </c>
      <c r="U12" s="25" t="s">
        <v>46</v>
      </c>
    </row>
    <row r="13" spans="1:21" ht="15.75" thickBot="1" x14ac:dyDescent="0.3">
      <c r="A13" s="22">
        <f>H2/(J2*B10)</f>
        <v>2.1060891425400738</v>
      </c>
      <c r="B13" s="19">
        <f>H3/(J2*B10)</f>
        <v>2.8336245382460969</v>
      </c>
      <c r="C13" s="23">
        <f>H4/(J2*B10)</f>
        <v>7.2811730310676399</v>
      </c>
      <c r="D13" s="19">
        <f>H5/(J2*B10)</f>
        <v>6.1258979096219175</v>
      </c>
      <c r="E13" s="23">
        <f>H6/(J2*B10)</f>
        <v>4.0225671593061367</v>
      </c>
      <c r="F13" s="19">
        <f>H7/(J2*B10)</f>
        <v>0.21281184941395659</v>
      </c>
      <c r="G13" s="23">
        <f t="shared" ref="G13:L13" si="0">EXP(-$F$2*A13)</f>
        <v>0.43066030416994483</v>
      </c>
      <c r="H13" s="23">
        <f t="shared" si="0"/>
        <v>0.32192077138961306</v>
      </c>
      <c r="I13" s="23">
        <f t="shared" si="0"/>
        <v>5.4341383652956411E-2</v>
      </c>
      <c r="J13" s="23">
        <f t="shared" si="0"/>
        <v>8.6262598527932138E-2</v>
      </c>
      <c r="K13" s="23">
        <f t="shared" si="0"/>
        <v>0.20008222664074873</v>
      </c>
      <c r="L13" s="23">
        <f t="shared" si="0"/>
        <v>0.91839771654014901</v>
      </c>
      <c r="M13" s="23">
        <f>D10*B13*H13+E10*D13*J13</f>
        <v>3.6323132377216603E-4</v>
      </c>
      <c r="N13" s="19">
        <f>C10*A13*G13+E10*F13*L13</f>
        <v>0.90655694245868135</v>
      </c>
      <c r="O13" s="23">
        <f>C10*C13*I13+D10*E13*K13</f>
        <v>0.39552301585323407</v>
      </c>
      <c r="P13" s="19">
        <f>C10+H13*D10+J13*E10</f>
        <v>0.99947563962521091</v>
      </c>
      <c r="Q13" s="23">
        <f>G13*C10+D10+L13*E10</f>
        <v>0.4309641188029722</v>
      </c>
      <c r="R13" s="19">
        <f>I13*C10+K13*D10+E10</f>
        <v>5.481993200279843E-2</v>
      </c>
      <c r="S13" s="23">
        <f>EXP(M13/P13-(C10*M13)/P13^2+D10*G13/Q13*(A13-N13/Q13)+E10*I13/R13*(C13-O13/R13))</f>
        <v>1.0000323744360138</v>
      </c>
      <c r="T13" s="19">
        <f>EXP(N13/Q13-D10*N13/Q13^2+C10*H13/P13*(B13-M13/P13)+E10*K13/R13*(E13-O13/R13))</f>
        <v>20.273541746072269</v>
      </c>
      <c r="U13" s="20">
        <f>EXP(O13/R13-E10*O13/R13^2+C10*J13/P13*(D13-M13/P13)+D10*L13/Q13*(F13-N13/Q13))</f>
        <v>2161.5580040828022</v>
      </c>
    </row>
    <row r="14" spans="1:21" ht="15.75" thickBot="1" x14ac:dyDescent="0.3"/>
    <row r="15" spans="1:21" ht="15.75" thickBot="1" x14ac:dyDescent="0.3">
      <c r="A15" s="26"/>
      <c r="B15" s="34" t="s">
        <v>47</v>
      </c>
      <c r="C15" s="28" t="s">
        <v>48</v>
      </c>
      <c r="D15" s="35" t="s">
        <v>49</v>
      </c>
      <c r="I15" s="49" t="s">
        <v>70</v>
      </c>
      <c r="K15" s="51"/>
      <c r="L15" s="51"/>
      <c r="N15" s="114"/>
      <c r="O15" s="114"/>
      <c r="P15" s="114"/>
      <c r="Q15" s="114"/>
      <c r="S15" s="28" t="s">
        <v>50</v>
      </c>
      <c r="T15" s="28" t="s">
        <v>83</v>
      </c>
    </row>
    <row r="16" spans="1:21" ht="15.75" thickBot="1" x14ac:dyDescent="0.3">
      <c r="A16" s="30" t="s">
        <v>14</v>
      </c>
      <c r="B16" s="38">
        <v>45</v>
      </c>
      <c r="C16" s="31">
        <f>A10</f>
        <v>34.860332460729332</v>
      </c>
      <c r="D16" s="42">
        <f>A10</f>
        <v>34.860332460729332</v>
      </c>
      <c r="I16" s="1" t="s">
        <v>81</v>
      </c>
      <c r="J16" s="31">
        <v>45.3</v>
      </c>
      <c r="K16" s="46"/>
      <c r="L16" s="46"/>
      <c r="N16" s="50"/>
      <c r="O16" s="46"/>
      <c r="P16" s="46"/>
      <c r="Q16" s="46"/>
      <c r="S16" s="19">
        <f>(B17+C17)/2</f>
        <v>313.08016623036463</v>
      </c>
      <c r="T16" s="19">
        <f>J22*1000*EXP(-J23*D17/J24)*(1-D17/J24)^J23</f>
        <v>29216.856431710177</v>
      </c>
    </row>
    <row r="17" spans="1:27" ht="15.75" thickBot="1" x14ac:dyDescent="0.3">
      <c r="A17" s="28" t="s">
        <v>15</v>
      </c>
      <c r="B17" s="4">
        <f>B16+273.15</f>
        <v>318.14999999999998</v>
      </c>
      <c r="C17" s="19">
        <f>C16+273.15</f>
        <v>308.01033246072933</v>
      </c>
      <c r="D17" s="20">
        <f>D16+273.15</f>
        <v>308.01033246072933</v>
      </c>
      <c r="I17" s="53" t="s">
        <v>60</v>
      </c>
      <c r="J17" s="6">
        <v>-0.31</v>
      </c>
      <c r="K17" s="45"/>
      <c r="L17" s="45"/>
      <c r="N17" s="46"/>
      <c r="O17" s="45"/>
      <c r="P17" s="45"/>
      <c r="Q17" s="45"/>
      <c r="S17" s="2" t="s">
        <v>88</v>
      </c>
      <c r="T17" s="2" t="s">
        <v>52</v>
      </c>
    </row>
    <row r="18" spans="1:27" ht="15.75" thickBot="1" x14ac:dyDescent="0.3">
      <c r="A18" s="32" t="s">
        <v>94</v>
      </c>
      <c r="B18" s="36">
        <v>12.759332433363101</v>
      </c>
      <c r="C18" s="33">
        <f>(B18*B20)/C20</f>
        <v>11.928616497190342</v>
      </c>
      <c r="D18" s="42">
        <f>B18-C18</f>
        <v>0.83071593617275852</v>
      </c>
      <c r="F18" s="2" t="s">
        <v>53</v>
      </c>
      <c r="I18" s="3" t="s">
        <v>62</v>
      </c>
      <c r="J18" s="6">
        <v>0.42409999999999998</v>
      </c>
      <c r="L18" s="45"/>
      <c r="N18" s="46"/>
      <c r="O18" s="45"/>
      <c r="P18" s="45"/>
      <c r="Q18" s="45"/>
      <c r="S18" s="19">
        <v>187.5</v>
      </c>
      <c r="T18" s="19">
        <f>J16*1000*EXP(-J17*D17/J19)*(1-D17/J19)</f>
        <v>21782.130092126627</v>
      </c>
    </row>
    <row r="19" spans="1:27" ht="15.75" thickBot="1" x14ac:dyDescent="0.3">
      <c r="A19" s="28" t="s">
        <v>16</v>
      </c>
      <c r="B19" s="36">
        <v>0.99935680243331804</v>
      </c>
      <c r="C19" s="47">
        <v>0.99939639062174024</v>
      </c>
      <c r="D19" s="20">
        <f>(B18*B19-C18*C19)/D18</f>
        <v>0.99878833817623058</v>
      </c>
      <c r="E19" s="38">
        <f>I10</f>
        <v>0.9985476729018139</v>
      </c>
      <c r="F19" s="38">
        <f>(D19-E19)^2</f>
        <v>5.7919774310058216E-8</v>
      </c>
      <c r="I19" s="9" t="s">
        <v>82</v>
      </c>
      <c r="J19" s="16">
        <v>512.6</v>
      </c>
      <c r="K19" s="45"/>
      <c r="L19" s="45" t="s">
        <v>84</v>
      </c>
      <c r="N19" s="46"/>
      <c r="O19" s="45"/>
      <c r="P19" s="45"/>
      <c r="Q19" s="45"/>
      <c r="S19" s="2" t="s">
        <v>56</v>
      </c>
      <c r="T19" s="2" t="s">
        <v>57</v>
      </c>
    </row>
    <row r="20" spans="1:27" ht="15.75" thickBot="1" x14ac:dyDescent="0.3">
      <c r="A20" s="28" t="s">
        <v>18</v>
      </c>
      <c r="B20" s="36">
        <v>4.5648272125653201E-4</v>
      </c>
      <c r="C20" s="47">
        <v>4.8827244902794849E-4</v>
      </c>
      <c r="D20" s="20">
        <v>0</v>
      </c>
      <c r="S20" s="19">
        <f>A36+B36*S16+C36*S16^2+D36*S16^3</f>
        <v>85.131414806053215</v>
      </c>
      <c r="T20" s="19">
        <f>0</f>
        <v>0</v>
      </c>
    </row>
    <row r="21" spans="1:27" ht="15.75" thickBot="1" x14ac:dyDescent="0.3">
      <c r="A21" s="28" t="s">
        <v>17</v>
      </c>
      <c r="B21" s="36">
        <v>1.8671484542498001E-4</v>
      </c>
      <c r="C21" s="19">
        <f>1-C19-C20</f>
        <v>1.153369292318133E-4</v>
      </c>
      <c r="D21" s="20">
        <f>(B18*B21-C18*C21)/D18</f>
        <v>1.2116618237622411E-3</v>
      </c>
      <c r="E21" s="38">
        <f>J10</f>
        <v>1.4378645466087405E-3</v>
      </c>
      <c r="F21" s="38">
        <f>(D21-E21)^2</f>
        <v>5.1167671823170245E-8</v>
      </c>
      <c r="I21" s="49" t="s">
        <v>69</v>
      </c>
      <c r="S21" s="2" t="s">
        <v>58</v>
      </c>
      <c r="T21" s="2" t="s">
        <v>59</v>
      </c>
    </row>
    <row r="22" spans="1:27" ht="15.75" thickBot="1" x14ac:dyDescent="0.3">
      <c r="A22" s="32" t="s">
        <v>93</v>
      </c>
      <c r="B22" s="38">
        <f>S24*(B17-C17)</f>
        <v>1901.5156057216825</v>
      </c>
      <c r="C22" s="6">
        <v>0</v>
      </c>
      <c r="D22" s="42">
        <f>T22</f>
        <v>29207.848057634175</v>
      </c>
      <c r="F22" s="2" t="s">
        <v>53</v>
      </c>
      <c r="I22" s="1" t="s">
        <v>81</v>
      </c>
      <c r="J22" s="31">
        <v>46.23</v>
      </c>
      <c r="S22" s="19">
        <f>D43+E43*S16+S16^2*F43</f>
        <v>300.22327164231422</v>
      </c>
      <c r="T22" s="19">
        <f>D19*T16+D21*T18+D20*T20</f>
        <v>29207.848057634175</v>
      </c>
    </row>
    <row r="23" spans="1:27" ht="15.75" thickBot="1" x14ac:dyDescent="0.3">
      <c r="A23" s="28" t="s">
        <v>61</v>
      </c>
      <c r="B23" s="23">
        <f>B18*B22</f>
        <v>24262.069740630744</v>
      </c>
      <c r="C23" s="19">
        <v>0</v>
      </c>
      <c r="D23" s="20">
        <f>D18*D22</f>
        <v>24263.42484278926</v>
      </c>
      <c r="E23">
        <f>(B23-D23)/B23</f>
        <v>-5.5852702304537029E-5</v>
      </c>
      <c r="F23">
        <f>E23^2</f>
        <v>3.1195243547192359E-9</v>
      </c>
      <c r="I23" s="3" t="s">
        <v>62</v>
      </c>
      <c r="J23" s="6">
        <v>0.2893</v>
      </c>
      <c r="S23" s="2" t="s">
        <v>63</v>
      </c>
    </row>
    <row r="24" spans="1:27" ht="15.75" thickBot="1" x14ac:dyDescent="0.3">
      <c r="F24" s="2" t="s">
        <v>64</v>
      </c>
      <c r="I24" s="9" t="s">
        <v>82</v>
      </c>
      <c r="J24" s="16">
        <v>497.1</v>
      </c>
      <c r="S24" s="19">
        <f>S18*B19+S20*B21+S22*B20</f>
        <v>187.53234249122727</v>
      </c>
    </row>
    <row r="25" spans="1:27" ht="16.5" thickBot="1" x14ac:dyDescent="0.3">
      <c r="A25" s="97" t="s">
        <v>65</v>
      </c>
      <c r="B25" s="98"/>
      <c r="C25" s="98"/>
      <c r="D25" s="99"/>
      <c r="F25" s="19">
        <f>F19+F21+F23</f>
        <v>1.1220697048794771E-7</v>
      </c>
      <c r="K25" s="54" t="s">
        <v>85</v>
      </c>
    </row>
    <row r="26" spans="1:27" ht="15.75" thickBot="1" x14ac:dyDescent="0.3">
      <c r="A26" s="100" t="s">
        <v>48</v>
      </c>
      <c r="B26" s="101"/>
      <c r="C26" s="102" t="s">
        <v>66</v>
      </c>
      <c r="D26" s="101"/>
      <c r="I26" s="46"/>
      <c r="J26" s="46"/>
    </row>
    <row r="27" spans="1:27" x14ac:dyDescent="0.25">
      <c r="I27" s="50"/>
      <c r="J27" s="50"/>
    </row>
    <row r="28" spans="1:27" ht="15.75" thickBot="1" x14ac:dyDescent="0.3">
      <c r="E28" s="60"/>
      <c r="N28" s="103"/>
      <c r="O28" s="103"/>
      <c r="X28" s="104"/>
      <c r="Y28" s="104"/>
    </row>
    <row r="29" spans="1:27" ht="16.5" thickBot="1" x14ac:dyDescent="0.3">
      <c r="A29" s="56" t="s">
        <v>70</v>
      </c>
      <c r="B29" s="45"/>
      <c r="C29" s="57" t="s">
        <v>86</v>
      </c>
      <c r="D29" s="59">
        <v>32.04</v>
      </c>
      <c r="E29" s="58" t="s">
        <v>75</v>
      </c>
      <c r="K29" s="54" t="s">
        <v>87</v>
      </c>
      <c r="N29" s="45"/>
      <c r="O29" s="45"/>
      <c r="X29" s="38"/>
      <c r="Y29" s="38"/>
      <c r="Z29" s="38"/>
      <c r="AA29" s="38"/>
    </row>
    <row r="30" spans="1:27" ht="15.75" thickBot="1" x14ac:dyDescent="0.3">
      <c r="A30" s="57" t="s">
        <v>67</v>
      </c>
      <c r="B30" s="58" t="s">
        <v>74</v>
      </c>
      <c r="C30" s="45"/>
      <c r="D30" s="45"/>
      <c r="E30" s="57" t="s">
        <v>77</v>
      </c>
      <c r="F30" s="65" t="s">
        <v>78</v>
      </c>
      <c r="G30" s="66" t="s">
        <v>79</v>
      </c>
      <c r="N30" s="45"/>
      <c r="O30" s="45"/>
      <c r="X30" s="38"/>
      <c r="Y30" s="38"/>
      <c r="Z30" s="38"/>
      <c r="AA30" s="38"/>
    </row>
    <row r="31" spans="1:27" ht="15.75" thickBot="1" x14ac:dyDescent="0.3">
      <c r="A31" s="61" t="s">
        <v>51</v>
      </c>
      <c r="B31" s="62" t="s">
        <v>54</v>
      </c>
      <c r="C31" s="62" t="s">
        <v>55</v>
      </c>
      <c r="D31" s="63" t="s">
        <v>73</v>
      </c>
      <c r="E31" s="45"/>
      <c r="N31" s="45"/>
      <c r="O31" s="45"/>
      <c r="X31" s="38"/>
      <c r="Y31" s="38"/>
      <c r="Z31" s="38"/>
      <c r="AA31" s="38"/>
    </row>
    <row r="32" spans="1:27" ht="15.75" thickBot="1" x14ac:dyDescent="0.3">
      <c r="A32" s="22">
        <v>0.83819999999999995</v>
      </c>
      <c r="B32" s="23">
        <f>-3.231*10^-3</f>
        <v>-3.2309999999999999E-3</v>
      </c>
      <c r="C32" s="23">
        <f>8.296*10^-6</f>
        <v>8.2959999999999982E-6</v>
      </c>
      <c r="D32" s="20">
        <f>-0.1689*10^-9</f>
        <v>-1.6890000000000001E-10</v>
      </c>
      <c r="E32" s="45"/>
      <c r="N32" s="45"/>
      <c r="O32" s="45"/>
      <c r="X32" s="38"/>
      <c r="Y32" s="38"/>
      <c r="Z32" s="38"/>
      <c r="AA32" s="38"/>
    </row>
    <row r="33" spans="1:27" ht="15.75" thickBot="1" x14ac:dyDescent="0.3">
      <c r="A33" s="45"/>
      <c r="B33" s="64" t="s">
        <v>76</v>
      </c>
      <c r="C33" s="45"/>
      <c r="D33" s="45"/>
      <c r="E33" s="45"/>
      <c r="N33" s="45"/>
      <c r="O33" s="45"/>
      <c r="X33" s="38"/>
      <c r="Y33" s="38"/>
      <c r="Z33" s="38"/>
      <c r="AA33" s="38"/>
    </row>
    <row r="34" spans="1:27" ht="15.75" thickBot="1" x14ac:dyDescent="0.3">
      <c r="A34" s="22">
        <f>A32*4.1868</f>
        <v>3.5093757599999997</v>
      </c>
      <c r="B34" s="23">
        <f t="shared" ref="B34:D34" si="1">B32*4.1868</f>
        <v>-1.35275508E-2</v>
      </c>
      <c r="C34" s="23">
        <f t="shared" si="1"/>
        <v>3.4733692799999993E-5</v>
      </c>
      <c r="D34" s="20">
        <f t="shared" si="1"/>
        <v>-7.0715052000000002E-10</v>
      </c>
      <c r="E34" s="45"/>
      <c r="N34" s="45"/>
      <c r="O34" s="45"/>
      <c r="X34" s="38"/>
      <c r="Y34" s="38"/>
      <c r="Z34" s="38"/>
      <c r="AA34" s="38"/>
    </row>
    <row r="35" spans="1:27" ht="15.75" thickBot="1" x14ac:dyDescent="0.3">
      <c r="A35" s="45"/>
      <c r="B35" s="64" t="s">
        <v>80</v>
      </c>
      <c r="C35" s="45"/>
      <c r="D35" s="45"/>
      <c r="E35" s="45"/>
      <c r="N35" s="45"/>
      <c r="O35" s="45"/>
      <c r="X35" s="38"/>
      <c r="Y35" s="38"/>
      <c r="Z35" s="38"/>
      <c r="AA35" s="38"/>
    </row>
    <row r="36" spans="1:27" ht="15.75" thickBot="1" x14ac:dyDescent="0.3">
      <c r="A36" s="22">
        <f>A34*$D$29</f>
        <v>112.44039935039999</v>
      </c>
      <c r="B36" s="23">
        <f t="shared" ref="B36:D36" si="2">B34*$D$29</f>
        <v>-0.43342272763199996</v>
      </c>
      <c r="C36" s="23">
        <f t="shared" si="2"/>
        <v>1.1128675173119997E-3</v>
      </c>
      <c r="D36" s="20">
        <f t="shared" si="2"/>
        <v>-2.26571026608E-8</v>
      </c>
      <c r="E36" s="45"/>
      <c r="N36" s="45"/>
      <c r="O36" s="45"/>
      <c r="X36" s="38"/>
      <c r="Y36" s="38"/>
      <c r="Z36" s="38"/>
      <c r="AA36" s="38"/>
    </row>
    <row r="37" spans="1:27" x14ac:dyDescent="0.25">
      <c r="A37" s="45"/>
      <c r="B37" s="45"/>
      <c r="C37" s="45"/>
      <c r="D37" s="45"/>
      <c r="E37" s="45"/>
      <c r="N37" s="45"/>
      <c r="O37" s="45"/>
    </row>
    <row r="38" spans="1:27" x14ac:dyDescent="0.25">
      <c r="A38" s="45"/>
      <c r="B38" s="45"/>
      <c r="C38" s="45"/>
      <c r="D38" s="45"/>
      <c r="E38" s="45"/>
      <c r="N38" s="45"/>
      <c r="O38" s="45"/>
    </row>
    <row r="39" spans="1:27" x14ac:dyDescent="0.25">
      <c r="A39" s="45" t="s">
        <v>89</v>
      </c>
      <c r="B39" s="45"/>
      <c r="C39" s="45"/>
      <c r="D39" s="45"/>
      <c r="E39" s="45"/>
      <c r="F39" t="s">
        <v>92</v>
      </c>
      <c r="G39" s="48" t="s">
        <v>78</v>
      </c>
      <c r="H39" t="s">
        <v>80</v>
      </c>
      <c r="N39" s="45"/>
      <c r="O39" s="45"/>
    </row>
    <row r="40" spans="1:27" ht="16.5" thickBot="1" x14ac:dyDescent="0.3">
      <c r="A40" s="67" t="s">
        <v>90</v>
      </c>
      <c r="B40" s="45"/>
      <c r="C40" s="45"/>
      <c r="D40" s="45"/>
      <c r="E40" s="45"/>
    </row>
    <row r="41" spans="1:27" ht="15.75" thickBot="1" x14ac:dyDescent="0.3">
      <c r="A41" s="57" t="s">
        <v>15</v>
      </c>
      <c r="B41" s="58" t="s">
        <v>91</v>
      </c>
      <c r="C41" s="45"/>
      <c r="E41" s="55" t="s">
        <v>67</v>
      </c>
      <c r="F41" s="45"/>
    </row>
    <row r="42" spans="1:27" ht="15.75" thickBot="1" x14ac:dyDescent="0.3">
      <c r="A42" s="45">
        <v>283.14999999999998</v>
      </c>
      <c r="B42" s="45">
        <v>290</v>
      </c>
      <c r="C42" s="45"/>
      <c r="D42" s="57" t="s">
        <v>51</v>
      </c>
      <c r="E42" s="59" t="s">
        <v>54</v>
      </c>
      <c r="F42" s="58" t="s">
        <v>55</v>
      </c>
    </row>
    <row r="43" spans="1:27" ht="15.75" thickBot="1" x14ac:dyDescent="0.3">
      <c r="A43" s="45">
        <v>293.14999999999998</v>
      </c>
      <c r="B43" s="45">
        <v>294</v>
      </c>
      <c r="C43" s="45"/>
      <c r="D43" s="22">
        <v>753.28</v>
      </c>
      <c r="E43" s="23">
        <v>-3.4195000000000002</v>
      </c>
      <c r="F43" s="20">
        <v>6.3E-3</v>
      </c>
    </row>
    <row r="44" spans="1:27" x14ac:dyDescent="0.25">
      <c r="A44" s="45">
        <v>303.14999999999998</v>
      </c>
      <c r="B44" s="45">
        <v>297</v>
      </c>
      <c r="C44" s="45"/>
      <c r="D44" s="45"/>
      <c r="E44" s="45"/>
    </row>
    <row r="45" spans="1:27" x14ac:dyDescent="0.25">
      <c r="A45" s="45">
        <v>313.14999999999998</v>
      </c>
      <c r="B45" s="45">
        <v>302</v>
      </c>
      <c r="C45" s="45"/>
      <c r="D45" s="45"/>
      <c r="E45" s="45"/>
    </row>
    <row r="46" spans="1:27" x14ac:dyDescent="0.25">
      <c r="A46" s="45">
        <v>323.14999999999998</v>
      </c>
      <c r="B46" s="45">
        <v>306</v>
      </c>
      <c r="C46" s="45"/>
      <c r="D46" s="45"/>
      <c r="E46" s="45"/>
    </row>
    <row r="47" spans="1:27" x14ac:dyDescent="0.25">
      <c r="A47" s="45">
        <v>333.15</v>
      </c>
      <c r="B47" s="45">
        <v>313</v>
      </c>
      <c r="C47" s="45"/>
      <c r="D47" s="45"/>
      <c r="E47" s="45"/>
    </row>
    <row r="48" spans="1:27" x14ac:dyDescent="0.25">
      <c r="A48" s="45">
        <v>343.15</v>
      </c>
      <c r="B48" s="45">
        <v>324</v>
      </c>
      <c r="C48" s="45"/>
      <c r="D48" s="45"/>
      <c r="E48" s="45"/>
    </row>
    <row r="49" spans="1:5" x14ac:dyDescent="0.25">
      <c r="A49" s="45"/>
      <c r="B49" s="45"/>
      <c r="C49" s="45"/>
      <c r="D49" s="45"/>
      <c r="E49" s="45"/>
    </row>
    <row r="50" spans="1:5" x14ac:dyDescent="0.25">
      <c r="D50" s="45"/>
      <c r="E50" s="45"/>
    </row>
    <row r="51" spans="1:5" x14ac:dyDescent="0.25">
      <c r="D51" s="45"/>
      <c r="E51" s="45"/>
    </row>
    <row r="52" spans="1:5" x14ac:dyDescent="0.25">
      <c r="D52" s="45"/>
      <c r="E52" s="45"/>
    </row>
    <row r="53" spans="1:5" x14ac:dyDescent="0.25">
      <c r="A53" s="45"/>
      <c r="B53" s="45"/>
      <c r="C53" s="45"/>
      <c r="D53" s="45"/>
      <c r="E53" s="45"/>
    </row>
    <row r="54" spans="1:5" x14ac:dyDescent="0.25">
      <c r="A54" s="45"/>
      <c r="B54" s="45"/>
      <c r="C54" s="45"/>
      <c r="D54" s="45"/>
      <c r="E54" s="45"/>
    </row>
    <row r="55" spans="1:5" x14ac:dyDescent="0.25">
      <c r="A55" s="45"/>
      <c r="B55" s="45"/>
      <c r="C55" s="45"/>
      <c r="D55" s="45"/>
      <c r="E55" s="45"/>
    </row>
    <row r="56" spans="1:5" x14ac:dyDescent="0.25">
      <c r="A56" s="45"/>
      <c r="B56" s="45"/>
      <c r="C56" s="45"/>
      <c r="D56" s="45"/>
      <c r="E56" s="45"/>
    </row>
    <row r="57" spans="1:5" x14ac:dyDescent="0.25">
      <c r="A57" s="45"/>
      <c r="B57" s="45"/>
      <c r="C57" s="45"/>
      <c r="D57" s="45"/>
      <c r="E57" s="45"/>
    </row>
    <row r="58" spans="1:5" x14ac:dyDescent="0.25">
      <c r="A58" s="45"/>
      <c r="B58" s="45"/>
      <c r="C58" s="45"/>
      <c r="D58" s="45"/>
      <c r="E58" s="45"/>
    </row>
    <row r="59" spans="1:5" x14ac:dyDescent="0.25">
      <c r="A59" s="45"/>
      <c r="B59" s="45"/>
      <c r="C59" s="45"/>
      <c r="D59" s="45"/>
      <c r="E59" s="45"/>
    </row>
    <row r="60" spans="1:5" x14ac:dyDescent="0.25">
      <c r="A60" s="45"/>
      <c r="B60" s="45"/>
      <c r="C60" s="45"/>
      <c r="D60" s="45"/>
      <c r="E60" s="45"/>
    </row>
    <row r="61" spans="1:5" x14ac:dyDescent="0.25">
      <c r="A61" s="45"/>
      <c r="B61" s="45"/>
      <c r="C61" s="45"/>
      <c r="D61" s="45"/>
      <c r="E61" s="45"/>
    </row>
    <row r="62" spans="1:5" x14ac:dyDescent="0.25">
      <c r="A62" s="45"/>
      <c r="B62" s="45"/>
      <c r="C62" s="45"/>
      <c r="D62" s="45"/>
      <c r="E62" s="45"/>
    </row>
    <row r="63" spans="1:5" x14ac:dyDescent="0.25">
      <c r="A63" s="45"/>
      <c r="B63" s="45"/>
      <c r="C63" s="45"/>
      <c r="D63" s="45"/>
      <c r="E63" s="45"/>
    </row>
    <row r="64" spans="1:5" x14ac:dyDescent="0.25">
      <c r="A64" s="45"/>
      <c r="B64" s="45"/>
      <c r="C64" s="45"/>
      <c r="D64" s="45"/>
      <c r="E64" s="45"/>
    </row>
    <row r="65" spans="1:5" x14ac:dyDescent="0.25">
      <c r="A65" s="45"/>
      <c r="B65" s="45"/>
      <c r="C65" s="45"/>
      <c r="D65" s="45"/>
      <c r="E65" s="45"/>
    </row>
    <row r="66" spans="1:5" x14ac:dyDescent="0.25">
      <c r="A66" s="45"/>
      <c r="B66" s="45"/>
      <c r="C66" s="45"/>
      <c r="D66" s="45"/>
      <c r="E66" s="45"/>
    </row>
    <row r="67" spans="1:5" x14ac:dyDescent="0.25">
      <c r="A67" s="45"/>
      <c r="B67" s="45"/>
      <c r="C67" s="45"/>
      <c r="D67" s="45"/>
      <c r="E67" s="45"/>
    </row>
    <row r="68" spans="1:5" x14ac:dyDescent="0.25">
      <c r="A68" s="45"/>
      <c r="B68" s="45"/>
      <c r="C68" s="45"/>
      <c r="D68" s="45"/>
      <c r="E68" s="45"/>
    </row>
    <row r="69" spans="1:5" x14ac:dyDescent="0.25">
      <c r="A69" s="45"/>
      <c r="B69" s="45"/>
      <c r="C69" s="45"/>
      <c r="D69" s="45"/>
      <c r="E69" s="45"/>
    </row>
    <row r="70" spans="1:5" x14ac:dyDescent="0.25">
      <c r="A70" s="45"/>
      <c r="B70" s="45"/>
      <c r="C70" s="45"/>
      <c r="D70" s="45"/>
      <c r="E70" s="45"/>
    </row>
    <row r="71" spans="1:5" x14ac:dyDescent="0.25">
      <c r="A71" s="45"/>
      <c r="B71" s="45"/>
      <c r="C71" s="45"/>
      <c r="D71" s="45"/>
      <c r="E71" s="45"/>
    </row>
    <row r="72" spans="1:5" x14ac:dyDescent="0.25">
      <c r="A72" s="45"/>
      <c r="B72" s="45"/>
      <c r="C72" s="45"/>
      <c r="D72" s="45"/>
      <c r="E72" s="45"/>
    </row>
    <row r="73" spans="1:5" x14ac:dyDescent="0.25">
      <c r="A73" s="45"/>
      <c r="B73" s="45"/>
      <c r="C73" s="45"/>
      <c r="D73" s="45"/>
      <c r="E73" s="45"/>
    </row>
    <row r="74" spans="1:5" x14ac:dyDescent="0.25">
      <c r="A74" s="45"/>
      <c r="B74" s="45"/>
      <c r="C74" s="45"/>
      <c r="D74" s="45"/>
      <c r="E74" s="45"/>
    </row>
    <row r="75" spans="1:5" x14ac:dyDescent="0.25">
      <c r="A75" s="45"/>
      <c r="B75" s="45"/>
      <c r="C75" s="45"/>
      <c r="D75" s="45"/>
      <c r="E75" s="45"/>
    </row>
    <row r="76" spans="1:5" x14ac:dyDescent="0.25">
      <c r="A76" s="45"/>
      <c r="B76" s="45"/>
      <c r="C76" s="45"/>
      <c r="D76" s="45"/>
      <c r="E76" s="45"/>
    </row>
    <row r="77" spans="1:5" x14ac:dyDescent="0.25">
      <c r="A77" s="45"/>
      <c r="B77" s="45"/>
      <c r="C77" s="45"/>
      <c r="D77" s="45"/>
      <c r="E77" s="45"/>
    </row>
    <row r="78" spans="1:5" x14ac:dyDescent="0.25">
      <c r="A78" s="45"/>
      <c r="B78" s="45"/>
      <c r="C78" s="45"/>
      <c r="D78" s="45"/>
      <c r="E78" s="45"/>
    </row>
    <row r="79" spans="1:5" x14ac:dyDescent="0.25">
      <c r="A79" s="45"/>
      <c r="B79" s="45"/>
      <c r="C79" s="45"/>
      <c r="D79" s="45"/>
      <c r="E79" s="45"/>
    </row>
    <row r="80" spans="1:5" x14ac:dyDescent="0.25">
      <c r="A80" s="45"/>
      <c r="B80" s="45"/>
      <c r="C80" s="45"/>
      <c r="D80" s="45"/>
      <c r="E80" s="45"/>
    </row>
    <row r="81" spans="1:5" x14ac:dyDescent="0.25">
      <c r="A81" s="45"/>
      <c r="B81" s="45"/>
      <c r="C81" s="45"/>
      <c r="D81" s="45"/>
      <c r="E81" s="45"/>
    </row>
    <row r="82" spans="1:5" x14ac:dyDescent="0.25">
      <c r="A82" s="45"/>
      <c r="B82" s="45"/>
      <c r="C82" s="45"/>
      <c r="D82" s="45"/>
      <c r="E82" s="45"/>
    </row>
    <row r="83" spans="1:5" x14ac:dyDescent="0.25">
      <c r="A83" s="45"/>
      <c r="B83" s="45"/>
      <c r="C83" s="45"/>
      <c r="D83" s="45"/>
      <c r="E83" s="45"/>
    </row>
    <row r="84" spans="1:5" x14ac:dyDescent="0.25">
      <c r="A84" s="45"/>
      <c r="B84" s="45"/>
      <c r="C84" s="45"/>
      <c r="D84" s="45"/>
      <c r="E84" s="45"/>
    </row>
    <row r="85" spans="1:5" x14ac:dyDescent="0.25">
      <c r="A85" s="45"/>
      <c r="B85" s="45"/>
      <c r="C85" s="45"/>
      <c r="D85" s="45"/>
      <c r="E85" s="45"/>
    </row>
    <row r="86" spans="1:5" x14ac:dyDescent="0.25">
      <c r="A86" s="45"/>
      <c r="B86" s="45"/>
      <c r="C86" s="45"/>
      <c r="D86" s="45"/>
      <c r="E86" s="45"/>
    </row>
    <row r="87" spans="1:5" x14ac:dyDescent="0.25">
      <c r="A87" s="45"/>
      <c r="B87" s="45"/>
      <c r="C87" s="45"/>
      <c r="D87" s="45"/>
      <c r="E87" s="45"/>
    </row>
    <row r="88" spans="1:5" x14ac:dyDescent="0.25">
      <c r="A88" s="45"/>
      <c r="B88" s="45"/>
      <c r="C88" s="45"/>
      <c r="D88" s="45"/>
      <c r="E88" s="45"/>
    </row>
    <row r="89" spans="1:5" x14ac:dyDescent="0.25">
      <c r="A89" s="45"/>
      <c r="B89" s="45"/>
      <c r="C89" s="45"/>
      <c r="D89" s="45"/>
      <c r="E89" s="45"/>
    </row>
    <row r="90" spans="1:5" x14ac:dyDescent="0.25">
      <c r="A90" s="45"/>
      <c r="B90" s="45"/>
      <c r="C90" s="45"/>
      <c r="D90" s="45"/>
      <c r="E90" s="45"/>
    </row>
    <row r="91" spans="1:5" x14ac:dyDescent="0.25">
      <c r="A91" s="45"/>
      <c r="B91" s="45"/>
      <c r="C91" s="45"/>
      <c r="D91" s="45"/>
      <c r="E91" s="45"/>
    </row>
    <row r="92" spans="1:5" x14ac:dyDescent="0.25">
      <c r="A92" s="45"/>
      <c r="B92" s="45"/>
      <c r="C92" s="45"/>
      <c r="D92" s="45"/>
      <c r="E92" s="45"/>
    </row>
    <row r="93" spans="1:5" x14ac:dyDescent="0.25">
      <c r="A93" s="45"/>
      <c r="B93" s="45"/>
      <c r="C93" s="45"/>
      <c r="D93" s="45"/>
      <c r="E93" s="45"/>
    </row>
    <row r="94" spans="1:5" x14ac:dyDescent="0.25">
      <c r="A94" s="45"/>
      <c r="B94" s="45"/>
      <c r="C94" s="45"/>
      <c r="D94" s="45"/>
      <c r="E94" s="45"/>
    </row>
    <row r="95" spans="1:5" x14ac:dyDescent="0.25">
      <c r="A95" s="45"/>
      <c r="B95" s="45"/>
      <c r="C95" s="45"/>
      <c r="D95" s="45"/>
      <c r="E95" s="45"/>
    </row>
    <row r="96" spans="1:5" x14ac:dyDescent="0.25">
      <c r="A96" s="45"/>
      <c r="B96" s="45"/>
      <c r="C96" s="45"/>
      <c r="D96" s="45"/>
      <c r="E96" s="45"/>
    </row>
    <row r="97" spans="1:5" x14ac:dyDescent="0.25">
      <c r="A97" s="45"/>
      <c r="B97" s="45"/>
      <c r="C97" s="45"/>
      <c r="D97" s="45"/>
      <c r="E97" s="45"/>
    </row>
    <row r="98" spans="1:5" x14ac:dyDescent="0.25">
      <c r="A98" s="45"/>
      <c r="B98" s="45"/>
      <c r="C98" s="45"/>
      <c r="D98" s="45"/>
      <c r="E98" s="45"/>
    </row>
    <row r="99" spans="1:5" x14ac:dyDescent="0.25">
      <c r="A99" s="45"/>
      <c r="B99" s="45"/>
      <c r="C99" s="45"/>
      <c r="D99" s="45"/>
      <c r="E99" s="45"/>
    </row>
    <row r="100" spans="1:5" x14ac:dyDescent="0.25">
      <c r="A100" s="45"/>
      <c r="B100" s="45"/>
      <c r="C100" s="45"/>
      <c r="D100" s="45"/>
      <c r="E100" s="45"/>
    </row>
    <row r="101" spans="1:5" x14ac:dyDescent="0.25">
      <c r="A101" s="45"/>
      <c r="B101" s="45"/>
      <c r="C101" s="45"/>
      <c r="D101" s="45"/>
      <c r="E101" s="45"/>
    </row>
    <row r="102" spans="1:5" x14ac:dyDescent="0.25">
      <c r="A102" s="45"/>
      <c r="B102" s="45"/>
      <c r="C102" s="45"/>
      <c r="D102" s="45"/>
      <c r="E102" s="45"/>
    </row>
    <row r="103" spans="1:5" x14ac:dyDescent="0.25">
      <c r="A103" s="45"/>
      <c r="B103" s="45"/>
      <c r="C103" s="45"/>
      <c r="D103" s="45"/>
      <c r="E103" s="45"/>
    </row>
    <row r="104" spans="1:5" x14ac:dyDescent="0.25">
      <c r="A104" s="45"/>
      <c r="B104" s="45"/>
      <c r="C104" s="45"/>
      <c r="D104" s="45"/>
      <c r="E104" s="45"/>
    </row>
    <row r="105" spans="1:5" x14ac:dyDescent="0.25">
      <c r="A105" s="45"/>
      <c r="B105" s="45"/>
      <c r="C105" s="45"/>
      <c r="D105" s="45"/>
      <c r="E105" s="45"/>
    </row>
    <row r="106" spans="1:5" x14ac:dyDescent="0.25">
      <c r="A106" s="45"/>
      <c r="B106" s="45"/>
      <c r="C106" s="45"/>
      <c r="D106" s="45"/>
      <c r="E106" s="45"/>
    </row>
    <row r="107" spans="1:5" x14ac:dyDescent="0.25">
      <c r="A107" s="45"/>
      <c r="B107" s="45"/>
      <c r="C107" s="45"/>
      <c r="D107" s="45"/>
      <c r="E107" s="45"/>
    </row>
    <row r="108" spans="1:5" x14ac:dyDescent="0.25">
      <c r="A108" s="45"/>
      <c r="B108" s="45"/>
      <c r="C108" s="45"/>
      <c r="D108" s="45"/>
      <c r="E108" s="45"/>
    </row>
    <row r="109" spans="1:5" x14ac:dyDescent="0.25">
      <c r="A109" s="45"/>
      <c r="B109" s="45"/>
      <c r="C109" s="45"/>
      <c r="D109" s="45"/>
      <c r="E109" s="45"/>
    </row>
    <row r="110" spans="1:5" x14ac:dyDescent="0.25">
      <c r="A110" s="45"/>
      <c r="B110" s="45"/>
      <c r="C110" s="45"/>
      <c r="D110" s="45"/>
      <c r="E110" s="45"/>
    </row>
    <row r="111" spans="1:5" x14ac:dyDescent="0.25">
      <c r="A111" s="45"/>
      <c r="B111" s="45"/>
      <c r="C111" s="45"/>
      <c r="D111" s="45"/>
      <c r="E111" s="45"/>
    </row>
    <row r="112" spans="1:5" x14ac:dyDescent="0.25">
      <c r="A112" s="45"/>
      <c r="B112" s="45"/>
      <c r="C112" s="45"/>
      <c r="D112" s="45"/>
      <c r="E112" s="45"/>
    </row>
    <row r="113" spans="1:5" x14ac:dyDescent="0.25">
      <c r="A113" s="45"/>
      <c r="B113" s="45"/>
      <c r="C113" s="45"/>
      <c r="D113" s="45"/>
      <c r="E113" s="45"/>
    </row>
    <row r="114" spans="1:5" x14ac:dyDescent="0.25">
      <c r="A114" s="45"/>
      <c r="B114" s="45"/>
      <c r="C114" s="45"/>
      <c r="D114" s="45"/>
      <c r="E114" s="45"/>
    </row>
    <row r="115" spans="1:5" x14ac:dyDescent="0.25">
      <c r="A115" s="45"/>
      <c r="B115" s="45"/>
      <c r="C115" s="45"/>
      <c r="D115" s="45"/>
      <c r="E115" s="45"/>
    </row>
    <row r="116" spans="1:5" x14ac:dyDescent="0.25">
      <c r="A116" s="45"/>
      <c r="B116" s="45"/>
      <c r="C116" s="45"/>
      <c r="D116" s="45"/>
      <c r="E116" s="45"/>
    </row>
    <row r="117" spans="1:5" x14ac:dyDescent="0.25">
      <c r="A117" s="45"/>
      <c r="B117" s="45"/>
      <c r="C117" s="45"/>
      <c r="D117" s="45"/>
      <c r="E117" s="45"/>
    </row>
    <row r="118" spans="1:5" x14ac:dyDescent="0.25">
      <c r="A118" s="45"/>
      <c r="B118" s="45"/>
      <c r="C118" s="45"/>
      <c r="D118" s="45"/>
      <c r="E118" s="45"/>
    </row>
    <row r="119" spans="1:5" x14ac:dyDescent="0.25">
      <c r="A119" s="45"/>
      <c r="B119" s="45"/>
      <c r="C119" s="45"/>
      <c r="D119" s="45"/>
      <c r="E119" s="45"/>
    </row>
    <row r="120" spans="1:5" x14ac:dyDescent="0.25">
      <c r="A120" s="45"/>
      <c r="B120" s="45"/>
      <c r="C120" s="45"/>
      <c r="D120" s="45"/>
      <c r="E120" s="45"/>
    </row>
    <row r="121" spans="1:5" x14ac:dyDescent="0.25">
      <c r="A121" s="45"/>
      <c r="B121" s="45"/>
      <c r="C121" s="45"/>
      <c r="D121" s="45"/>
      <c r="E121" s="45"/>
    </row>
    <row r="122" spans="1:5" x14ac:dyDescent="0.25">
      <c r="A122" s="45"/>
      <c r="B122" s="45"/>
      <c r="C122" s="45"/>
      <c r="D122" s="45"/>
      <c r="E122" s="45"/>
    </row>
    <row r="123" spans="1:5" x14ac:dyDescent="0.25">
      <c r="A123" s="45"/>
      <c r="B123" s="45"/>
      <c r="C123" s="45"/>
      <c r="D123" s="45"/>
      <c r="E123" s="45"/>
    </row>
    <row r="124" spans="1:5" x14ac:dyDescent="0.25">
      <c r="A124" s="45"/>
      <c r="B124" s="45"/>
      <c r="C124" s="45"/>
      <c r="D124" s="45"/>
      <c r="E124" s="45"/>
    </row>
    <row r="125" spans="1:5" x14ac:dyDescent="0.25">
      <c r="A125" s="45"/>
      <c r="B125" s="45"/>
      <c r="C125" s="45"/>
      <c r="D125" s="45"/>
      <c r="E125" s="45"/>
    </row>
    <row r="126" spans="1:5" x14ac:dyDescent="0.25">
      <c r="A126" s="45"/>
      <c r="B126" s="45"/>
      <c r="C126" s="45"/>
      <c r="D126" s="45"/>
      <c r="E126" s="45"/>
    </row>
    <row r="127" spans="1:5" x14ac:dyDescent="0.25">
      <c r="A127" s="45"/>
      <c r="B127" s="45"/>
      <c r="C127" s="45"/>
      <c r="D127" s="45"/>
      <c r="E127" s="45"/>
    </row>
    <row r="128" spans="1:5" x14ac:dyDescent="0.25">
      <c r="A128" s="45"/>
      <c r="B128" s="45"/>
      <c r="C128" s="45"/>
      <c r="D128" s="45"/>
      <c r="E128" s="45"/>
    </row>
    <row r="129" spans="1:5" x14ac:dyDescent="0.25">
      <c r="A129" s="45"/>
      <c r="B129" s="45"/>
      <c r="C129" s="45"/>
      <c r="D129" s="45"/>
      <c r="E129" s="45"/>
    </row>
    <row r="130" spans="1:5" x14ac:dyDescent="0.25">
      <c r="A130" s="45"/>
      <c r="B130" s="45"/>
      <c r="C130" s="45"/>
      <c r="D130" s="45"/>
      <c r="E130" s="45"/>
    </row>
    <row r="131" spans="1:5" x14ac:dyDescent="0.25">
      <c r="A131" s="45"/>
      <c r="B131" s="45"/>
      <c r="C131" s="45"/>
      <c r="D131" s="45"/>
      <c r="E131" s="45"/>
    </row>
    <row r="132" spans="1:5" x14ac:dyDescent="0.25">
      <c r="A132" s="45"/>
      <c r="B132" s="45"/>
      <c r="C132" s="45"/>
      <c r="D132" s="45"/>
      <c r="E132" s="45"/>
    </row>
    <row r="133" spans="1:5" x14ac:dyDescent="0.25">
      <c r="A133" s="45"/>
      <c r="B133" s="45"/>
      <c r="C133" s="45"/>
      <c r="D133" s="45"/>
      <c r="E133" s="45"/>
    </row>
    <row r="134" spans="1:5" x14ac:dyDescent="0.25">
      <c r="A134" s="45"/>
      <c r="B134" s="45"/>
      <c r="C134" s="45"/>
      <c r="D134" s="45"/>
      <c r="E134" s="45"/>
    </row>
    <row r="135" spans="1:5" x14ac:dyDescent="0.25">
      <c r="A135" s="45"/>
      <c r="B135" s="45"/>
      <c r="C135" s="45"/>
      <c r="D135" s="45"/>
      <c r="E135" s="45"/>
    </row>
    <row r="136" spans="1:5" x14ac:dyDescent="0.25">
      <c r="A136" s="45"/>
      <c r="B136" s="45"/>
      <c r="C136" s="45"/>
      <c r="D136" s="45"/>
      <c r="E136" s="45"/>
    </row>
    <row r="137" spans="1:5" x14ac:dyDescent="0.25">
      <c r="A137" s="45"/>
      <c r="B137" s="45"/>
      <c r="C137" s="45"/>
      <c r="D137" s="45"/>
      <c r="E137" s="45"/>
    </row>
    <row r="138" spans="1:5" x14ac:dyDescent="0.25">
      <c r="A138" s="45"/>
      <c r="B138" s="45"/>
      <c r="C138" s="45"/>
      <c r="D138" s="45"/>
      <c r="E138" s="45"/>
    </row>
    <row r="139" spans="1:5" x14ac:dyDescent="0.25">
      <c r="A139" s="45"/>
      <c r="B139" s="45"/>
      <c r="C139" s="45"/>
      <c r="D139" s="45"/>
      <c r="E139" s="45"/>
    </row>
    <row r="140" spans="1:5" x14ac:dyDescent="0.25">
      <c r="A140" s="45"/>
      <c r="B140" s="45"/>
      <c r="C140" s="45"/>
      <c r="D140" s="45"/>
      <c r="E140" s="45"/>
    </row>
    <row r="141" spans="1:5" x14ac:dyDescent="0.25">
      <c r="A141" s="45"/>
      <c r="B141" s="45"/>
      <c r="C141" s="45"/>
      <c r="D141" s="45"/>
      <c r="E141" s="45"/>
    </row>
    <row r="142" spans="1:5" x14ac:dyDescent="0.25">
      <c r="A142" s="45"/>
      <c r="B142" s="45"/>
      <c r="C142" s="45"/>
      <c r="D142" s="45"/>
      <c r="E142" s="45"/>
    </row>
    <row r="143" spans="1:5" x14ac:dyDescent="0.25">
      <c r="A143" s="45"/>
      <c r="B143" s="45"/>
      <c r="C143" s="45"/>
      <c r="D143" s="45"/>
      <c r="E143" s="45"/>
    </row>
    <row r="144" spans="1:5" x14ac:dyDescent="0.25">
      <c r="A144" s="45"/>
      <c r="B144" s="45"/>
      <c r="C144" s="45"/>
      <c r="D144" s="45"/>
      <c r="E144" s="45"/>
    </row>
    <row r="145" spans="1:5" x14ac:dyDescent="0.25">
      <c r="A145" s="45"/>
      <c r="B145" s="45"/>
      <c r="C145" s="45"/>
      <c r="D145" s="45"/>
      <c r="E145" s="45"/>
    </row>
    <row r="146" spans="1:5" x14ac:dyDescent="0.25">
      <c r="A146" s="45"/>
      <c r="B146" s="45"/>
      <c r="C146" s="45"/>
      <c r="D146" s="45"/>
      <c r="E146" s="45"/>
    </row>
    <row r="147" spans="1:5" x14ac:dyDescent="0.25">
      <c r="A147" s="45"/>
      <c r="B147" s="45"/>
      <c r="C147" s="45"/>
      <c r="D147" s="45"/>
      <c r="E147" s="45"/>
    </row>
    <row r="148" spans="1:5" x14ac:dyDescent="0.25">
      <c r="A148" s="45"/>
      <c r="B148" s="45"/>
      <c r="C148" s="45"/>
      <c r="D148" s="45"/>
      <c r="E148" s="45"/>
    </row>
    <row r="149" spans="1:5" x14ac:dyDescent="0.25">
      <c r="A149" s="45"/>
      <c r="B149" s="45"/>
      <c r="C149" s="45"/>
      <c r="D149" s="45"/>
      <c r="E149" s="45"/>
    </row>
    <row r="150" spans="1:5" x14ac:dyDescent="0.25">
      <c r="A150" s="45"/>
      <c r="B150" s="45"/>
      <c r="C150" s="45"/>
      <c r="D150" s="45"/>
      <c r="E150" s="45"/>
    </row>
    <row r="151" spans="1:5" x14ac:dyDescent="0.25">
      <c r="A151" s="45"/>
      <c r="B151" s="45"/>
      <c r="C151" s="45"/>
      <c r="D151" s="45"/>
      <c r="E151" s="45"/>
    </row>
    <row r="152" spans="1:5" x14ac:dyDescent="0.25">
      <c r="A152" s="45"/>
      <c r="B152" s="45"/>
      <c r="C152" s="45"/>
      <c r="D152" s="45"/>
      <c r="E152" s="45"/>
    </row>
    <row r="153" spans="1:5" x14ac:dyDescent="0.25">
      <c r="A153" s="45"/>
      <c r="B153" s="45"/>
      <c r="C153" s="45"/>
      <c r="D153" s="45"/>
      <c r="E153" s="45"/>
    </row>
    <row r="154" spans="1:5" x14ac:dyDescent="0.25">
      <c r="A154" s="45"/>
      <c r="B154" s="45"/>
      <c r="C154" s="45"/>
      <c r="D154" s="45"/>
      <c r="E154" s="45"/>
    </row>
    <row r="155" spans="1:5" x14ac:dyDescent="0.25">
      <c r="A155" s="45"/>
      <c r="B155" s="45"/>
      <c r="C155" s="45"/>
      <c r="D155" s="45"/>
      <c r="E155" s="45"/>
    </row>
    <row r="156" spans="1:5" x14ac:dyDescent="0.25">
      <c r="A156" s="45"/>
      <c r="B156" s="45"/>
      <c r="C156" s="45"/>
      <c r="D156" s="45"/>
      <c r="E156" s="45"/>
    </row>
    <row r="157" spans="1:5" x14ac:dyDescent="0.25">
      <c r="A157" s="45"/>
      <c r="B157" s="45"/>
      <c r="C157" s="45"/>
      <c r="D157" s="45"/>
      <c r="E157" s="45"/>
    </row>
    <row r="158" spans="1:5" x14ac:dyDescent="0.25">
      <c r="A158" s="45"/>
      <c r="B158" s="45"/>
      <c r="C158" s="45"/>
      <c r="D158" s="45"/>
      <c r="E158" s="45"/>
    </row>
    <row r="159" spans="1:5" x14ac:dyDescent="0.25">
      <c r="A159" s="45"/>
      <c r="B159" s="45"/>
      <c r="C159" s="45"/>
      <c r="D159" s="45"/>
      <c r="E159" s="45"/>
    </row>
    <row r="160" spans="1:5" x14ac:dyDescent="0.25">
      <c r="A160" s="45"/>
      <c r="B160" s="45"/>
      <c r="C160" s="45"/>
      <c r="D160" s="45"/>
      <c r="E160" s="45"/>
    </row>
    <row r="161" spans="1:5" x14ac:dyDescent="0.25">
      <c r="A161" s="45"/>
      <c r="B161" s="45"/>
      <c r="C161" s="45"/>
      <c r="D161" s="45"/>
      <c r="E161" s="45"/>
    </row>
    <row r="162" spans="1:5" x14ac:dyDescent="0.25">
      <c r="A162" s="45"/>
      <c r="B162" s="45"/>
      <c r="C162" s="45"/>
      <c r="D162" s="45"/>
      <c r="E162" s="45"/>
    </row>
    <row r="163" spans="1:5" x14ac:dyDescent="0.25">
      <c r="A163" s="45"/>
      <c r="B163" s="45"/>
      <c r="C163" s="45"/>
      <c r="D163" s="45"/>
      <c r="E163" s="45"/>
    </row>
    <row r="164" spans="1:5" x14ac:dyDescent="0.25">
      <c r="A164" s="45"/>
      <c r="B164" s="45"/>
      <c r="C164" s="45"/>
      <c r="D164" s="45"/>
      <c r="E164" s="45"/>
    </row>
    <row r="165" spans="1:5" x14ac:dyDescent="0.25">
      <c r="A165" s="45"/>
      <c r="B165" s="45"/>
      <c r="C165" s="45"/>
      <c r="D165" s="45"/>
      <c r="E165" s="45"/>
    </row>
    <row r="166" spans="1:5" x14ac:dyDescent="0.25">
      <c r="A166" s="45"/>
      <c r="B166" s="45"/>
      <c r="C166" s="45"/>
      <c r="D166" s="45"/>
      <c r="E166" s="45"/>
    </row>
    <row r="167" spans="1:5" x14ac:dyDescent="0.25">
      <c r="A167" s="45"/>
      <c r="B167" s="45"/>
      <c r="C167" s="45"/>
      <c r="D167" s="45"/>
      <c r="E167" s="45"/>
    </row>
    <row r="168" spans="1:5" x14ac:dyDescent="0.25">
      <c r="A168" s="45"/>
      <c r="B168" s="45"/>
      <c r="C168" s="45"/>
      <c r="D168" s="45"/>
      <c r="E168" s="45"/>
    </row>
    <row r="169" spans="1:5" x14ac:dyDescent="0.25">
      <c r="A169" s="45"/>
      <c r="B169" s="45"/>
      <c r="C169" s="45"/>
      <c r="D169" s="45"/>
      <c r="E169" s="45"/>
    </row>
    <row r="170" spans="1:5" x14ac:dyDescent="0.25">
      <c r="A170" s="45"/>
      <c r="B170" s="45"/>
      <c r="C170" s="45"/>
      <c r="D170" s="45"/>
      <c r="E170" s="45"/>
    </row>
    <row r="171" spans="1:5" x14ac:dyDescent="0.25">
      <c r="A171" s="45"/>
      <c r="B171" s="45"/>
      <c r="C171" s="45"/>
      <c r="D171" s="45"/>
      <c r="E171" s="45"/>
    </row>
    <row r="172" spans="1:5" x14ac:dyDescent="0.25">
      <c r="A172" s="45"/>
      <c r="B172" s="45"/>
      <c r="C172" s="45"/>
      <c r="D172" s="45"/>
      <c r="E172" s="45"/>
    </row>
    <row r="173" spans="1:5" x14ac:dyDescent="0.25">
      <c r="A173" s="45"/>
      <c r="B173" s="45"/>
      <c r="C173" s="45"/>
      <c r="D173" s="45"/>
      <c r="E173" s="45"/>
    </row>
    <row r="174" spans="1:5" x14ac:dyDescent="0.25">
      <c r="A174" s="45"/>
      <c r="B174" s="45"/>
      <c r="C174" s="45"/>
      <c r="D174" s="45"/>
      <c r="E174" s="45"/>
    </row>
    <row r="175" spans="1:5" x14ac:dyDescent="0.25">
      <c r="A175" s="45"/>
      <c r="B175" s="45"/>
      <c r="C175" s="45"/>
      <c r="D175" s="45"/>
      <c r="E175" s="45"/>
    </row>
    <row r="176" spans="1:5" x14ac:dyDescent="0.25">
      <c r="A176" s="45"/>
      <c r="B176" s="45"/>
      <c r="C176" s="45"/>
      <c r="D176" s="45"/>
      <c r="E176" s="45"/>
    </row>
    <row r="177" spans="1:5" x14ac:dyDescent="0.25">
      <c r="A177" s="45"/>
      <c r="B177" s="45"/>
      <c r="C177" s="45"/>
      <c r="D177" s="45"/>
      <c r="E177" s="45"/>
    </row>
    <row r="178" spans="1:5" x14ac:dyDescent="0.25">
      <c r="A178" s="45"/>
      <c r="B178" s="45"/>
      <c r="C178" s="45"/>
      <c r="D178" s="45"/>
      <c r="E178" s="45"/>
    </row>
    <row r="179" spans="1:5" x14ac:dyDescent="0.25">
      <c r="A179" s="45"/>
      <c r="B179" s="45"/>
      <c r="C179" s="45"/>
      <c r="D179" s="45"/>
      <c r="E179" s="45"/>
    </row>
    <row r="180" spans="1:5" x14ac:dyDescent="0.25">
      <c r="A180" s="45"/>
      <c r="B180" s="45"/>
      <c r="C180" s="45"/>
      <c r="D180" s="45"/>
      <c r="E180" s="45"/>
    </row>
    <row r="181" spans="1:5" x14ac:dyDescent="0.25">
      <c r="A181" s="45"/>
      <c r="B181" s="45"/>
      <c r="C181" s="45"/>
      <c r="D181" s="45"/>
      <c r="E181" s="45"/>
    </row>
    <row r="182" spans="1:5" x14ac:dyDescent="0.25">
      <c r="A182" s="45"/>
      <c r="B182" s="45"/>
      <c r="C182" s="45"/>
      <c r="D182" s="45"/>
      <c r="E182" s="45"/>
    </row>
    <row r="183" spans="1:5" x14ac:dyDescent="0.25">
      <c r="A183" s="45"/>
      <c r="B183" s="45"/>
      <c r="C183" s="45"/>
      <c r="D183" s="45"/>
      <c r="E183" s="45"/>
    </row>
    <row r="184" spans="1:5" x14ac:dyDescent="0.25">
      <c r="A184" s="45"/>
      <c r="B184" s="45"/>
      <c r="C184" s="45"/>
      <c r="D184" s="45"/>
      <c r="E184" s="45"/>
    </row>
    <row r="185" spans="1:5" x14ac:dyDescent="0.25">
      <c r="A185" s="45"/>
      <c r="B185" s="45"/>
      <c r="C185" s="45"/>
      <c r="D185" s="45"/>
      <c r="E185" s="45"/>
    </row>
    <row r="186" spans="1:5" x14ac:dyDescent="0.25">
      <c r="A186" s="45"/>
      <c r="B186" s="45"/>
      <c r="C186" s="45"/>
      <c r="D186" s="45"/>
      <c r="E186" s="45"/>
    </row>
    <row r="187" spans="1:5" x14ac:dyDescent="0.25">
      <c r="A187" s="45"/>
      <c r="B187" s="45"/>
      <c r="C187" s="45"/>
      <c r="D187" s="45"/>
      <c r="E187" s="45"/>
    </row>
    <row r="188" spans="1:5" x14ac:dyDescent="0.25">
      <c r="A188" s="45"/>
      <c r="B188" s="45"/>
      <c r="C188" s="45"/>
      <c r="D188" s="45"/>
      <c r="E188" s="45"/>
    </row>
    <row r="189" spans="1:5" x14ac:dyDescent="0.25">
      <c r="A189" s="45"/>
      <c r="B189" s="45"/>
      <c r="C189" s="45"/>
      <c r="D189" s="45"/>
      <c r="E189" s="45"/>
    </row>
    <row r="190" spans="1:5" x14ac:dyDescent="0.25">
      <c r="A190" s="45"/>
      <c r="B190" s="45"/>
      <c r="C190" s="45"/>
      <c r="D190" s="45"/>
      <c r="E190" s="45"/>
    </row>
    <row r="191" spans="1:5" x14ac:dyDescent="0.25">
      <c r="A191" s="45"/>
      <c r="B191" s="45"/>
      <c r="C191" s="45"/>
      <c r="D191" s="45"/>
      <c r="E191" s="45"/>
    </row>
    <row r="192" spans="1:5" x14ac:dyDescent="0.25">
      <c r="A192" s="45"/>
      <c r="B192" s="45"/>
      <c r="C192" s="45"/>
      <c r="D192" s="45"/>
      <c r="E192" s="45"/>
    </row>
    <row r="193" spans="1:5" x14ac:dyDescent="0.25">
      <c r="A193" s="45"/>
      <c r="B193" s="45"/>
      <c r="C193" s="45"/>
      <c r="D193" s="45"/>
      <c r="E193" s="45"/>
    </row>
    <row r="194" spans="1:5" x14ac:dyDescent="0.25">
      <c r="A194" s="45"/>
      <c r="B194" s="45"/>
      <c r="C194" s="45"/>
      <c r="D194" s="45"/>
      <c r="E194" s="45"/>
    </row>
    <row r="195" spans="1:5" x14ac:dyDescent="0.25">
      <c r="A195" s="45"/>
      <c r="B195" s="45"/>
      <c r="C195" s="45"/>
      <c r="D195" s="45"/>
      <c r="E195" s="45"/>
    </row>
    <row r="196" spans="1:5" x14ac:dyDescent="0.25">
      <c r="A196" s="45"/>
      <c r="B196" s="45"/>
      <c r="C196" s="45"/>
      <c r="D196" s="45"/>
      <c r="E196" s="45"/>
    </row>
    <row r="197" spans="1:5" x14ac:dyDescent="0.25">
      <c r="A197" s="45"/>
      <c r="B197" s="45"/>
      <c r="C197" s="45"/>
      <c r="D197" s="45"/>
      <c r="E197" s="45"/>
    </row>
    <row r="198" spans="1:5" x14ac:dyDescent="0.25">
      <c r="A198" s="45"/>
      <c r="B198" s="45"/>
      <c r="C198" s="45"/>
      <c r="D198" s="45"/>
      <c r="E198" s="45"/>
    </row>
    <row r="199" spans="1:5" x14ac:dyDescent="0.25">
      <c r="A199" s="45"/>
      <c r="B199" s="45"/>
      <c r="C199" s="45"/>
      <c r="D199" s="45"/>
      <c r="E199" s="45"/>
    </row>
    <row r="200" spans="1:5" x14ac:dyDescent="0.25">
      <c r="A200" s="45"/>
      <c r="B200" s="45"/>
      <c r="C200" s="45"/>
      <c r="D200" s="45"/>
      <c r="E200" s="45"/>
    </row>
    <row r="201" spans="1:5" x14ac:dyDescent="0.25">
      <c r="A201" s="45"/>
      <c r="B201" s="45"/>
      <c r="C201" s="45"/>
      <c r="D201" s="45"/>
      <c r="E201" s="45"/>
    </row>
    <row r="202" spans="1:5" x14ac:dyDescent="0.25">
      <c r="A202" s="45"/>
      <c r="B202" s="45"/>
      <c r="C202" s="45"/>
      <c r="D202" s="45"/>
      <c r="E202" s="45"/>
    </row>
    <row r="203" spans="1:5" x14ac:dyDescent="0.25">
      <c r="A203" s="45"/>
      <c r="B203" s="45"/>
      <c r="C203" s="45"/>
      <c r="D203" s="45"/>
      <c r="E203" s="45"/>
    </row>
    <row r="204" spans="1:5" x14ac:dyDescent="0.25">
      <c r="A204" s="45"/>
      <c r="B204" s="45"/>
      <c r="C204" s="45"/>
      <c r="D204" s="45"/>
      <c r="E204" s="45"/>
    </row>
    <row r="205" spans="1:5" x14ac:dyDescent="0.25">
      <c r="A205" s="45"/>
      <c r="B205" s="45"/>
      <c r="C205" s="45"/>
      <c r="D205" s="45"/>
      <c r="E205" s="45"/>
    </row>
    <row r="206" spans="1:5" x14ac:dyDescent="0.25">
      <c r="A206" s="45"/>
      <c r="B206" s="45"/>
      <c r="C206" s="45"/>
      <c r="D206" s="45"/>
      <c r="E206" s="45"/>
    </row>
  </sheetData>
  <mergeCells count="11">
    <mergeCell ref="A25:D25"/>
    <mergeCell ref="A26:B26"/>
    <mergeCell ref="C26:D26"/>
    <mergeCell ref="N28:O28"/>
    <mergeCell ref="X28:Y28"/>
    <mergeCell ref="N15:Q15"/>
    <mergeCell ref="B1:C1"/>
    <mergeCell ref="E1:H1"/>
    <mergeCell ref="L1:O1"/>
    <mergeCell ref="B2:C2"/>
    <mergeCell ref="B3:C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1:AA206"/>
  <sheetViews>
    <sheetView zoomScale="70" zoomScaleNormal="70" workbookViewId="0">
      <selection activeCell="B16" sqref="B16:D21"/>
    </sheetView>
  </sheetViews>
  <sheetFormatPr defaultRowHeight="15" x14ac:dyDescent="0.25"/>
  <cols>
    <col min="3" max="3" width="9.85546875" customWidth="1"/>
    <col min="4" max="4" width="11.28515625" customWidth="1"/>
    <col min="5" max="6" width="10.7109375" customWidth="1"/>
    <col min="7" max="7" width="12.7109375" bestFit="1" customWidth="1"/>
    <col min="9" max="9" width="10.7109375" customWidth="1"/>
    <col min="11" max="11" width="10" customWidth="1"/>
    <col min="24" max="24" width="10.7109375" customWidth="1"/>
    <col min="25" max="25" width="11" customWidth="1"/>
  </cols>
  <sheetData>
    <row r="1" spans="1:21" ht="15.75" thickBot="1" x14ac:dyDescent="0.3">
      <c r="A1" s="1" t="s">
        <v>0</v>
      </c>
      <c r="B1" s="105" t="s">
        <v>69</v>
      </c>
      <c r="C1" s="106"/>
      <c r="E1" s="97" t="s">
        <v>1</v>
      </c>
      <c r="F1" s="98"/>
      <c r="G1" s="98"/>
      <c r="H1" s="99"/>
      <c r="J1" s="2" t="s">
        <v>2</v>
      </c>
      <c r="L1" s="107" t="s">
        <v>68</v>
      </c>
      <c r="M1" s="108"/>
      <c r="N1" s="108"/>
      <c r="O1" s="109"/>
    </row>
    <row r="2" spans="1:21" ht="15.75" thickBot="1" x14ac:dyDescent="0.3">
      <c r="A2" s="3" t="s">
        <v>3</v>
      </c>
      <c r="B2" s="110" t="s">
        <v>70</v>
      </c>
      <c r="C2" s="111"/>
      <c r="E2" s="1" t="s">
        <v>4</v>
      </c>
      <c r="F2" s="4">
        <v>0.4</v>
      </c>
      <c r="G2" s="1" t="s">
        <v>5</v>
      </c>
      <c r="H2" s="90">
        <v>5.5736999999999997</v>
      </c>
      <c r="J2" s="6">
        <f>8.314/1000</f>
        <v>8.3140000000000002E-3</v>
      </c>
      <c r="L2" s="2"/>
      <c r="M2" s="84" t="s">
        <v>0</v>
      </c>
      <c r="N2" s="84" t="s">
        <v>3</v>
      </c>
      <c r="O2" s="85" t="s">
        <v>6</v>
      </c>
      <c r="R2" s="52" t="s">
        <v>95</v>
      </c>
    </row>
    <row r="3" spans="1:21" ht="15.75" thickBot="1" x14ac:dyDescent="0.3">
      <c r="A3" s="9" t="s">
        <v>6</v>
      </c>
      <c r="B3" s="112" t="s">
        <v>71</v>
      </c>
      <c r="C3" s="113"/>
      <c r="E3" s="96"/>
      <c r="F3" s="4"/>
      <c r="G3" s="3" t="s">
        <v>7</v>
      </c>
      <c r="H3" s="93">
        <v>7.4991000000000003</v>
      </c>
      <c r="J3" s="2" t="s">
        <v>8</v>
      </c>
      <c r="K3" t="s">
        <v>72</v>
      </c>
      <c r="L3" s="3" t="s">
        <v>0</v>
      </c>
      <c r="M3" s="12">
        <v>20.840540000000001</v>
      </c>
      <c r="N3" s="1">
        <v>-2624.5250000000001</v>
      </c>
      <c r="O3" s="13">
        <v>-46.151710000000001</v>
      </c>
      <c r="R3" t="s">
        <v>96</v>
      </c>
    </row>
    <row r="4" spans="1:21" ht="15.75" thickBot="1" x14ac:dyDescent="0.3">
      <c r="E4" s="96"/>
      <c r="F4" s="4"/>
      <c r="G4" s="3" t="s">
        <v>9</v>
      </c>
      <c r="H4" s="93">
        <v>19.269400000000001</v>
      </c>
      <c r="J4" s="6">
        <v>74</v>
      </c>
      <c r="L4" s="3" t="s">
        <v>3</v>
      </c>
      <c r="M4" s="12">
        <v>23.534700000000001</v>
      </c>
      <c r="N4" s="3">
        <v>-3661.4679999999998</v>
      </c>
      <c r="O4" s="13">
        <v>-32.770009999999999</v>
      </c>
    </row>
    <row r="5" spans="1:21" ht="15.75" thickBot="1" x14ac:dyDescent="0.3">
      <c r="E5" s="96"/>
      <c r="F5" s="4"/>
      <c r="G5" s="3" t="s">
        <v>10</v>
      </c>
      <c r="H5" s="93">
        <v>16.212</v>
      </c>
      <c r="J5" s="2" t="s">
        <v>11</v>
      </c>
      <c r="K5" t="s">
        <v>72</v>
      </c>
      <c r="L5" s="9" t="s">
        <v>6</v>
      </c>
      <c r="M5" s="91">
        <v>0</v>
      </c>
      <c r="N5" s="9">
        <v>0</v>
      </c>
      <c r="O5" s="92">
        <v>0</v>
      </c>
      <c r="Q5" s="39"/>
      <c r="R5" s="39"/>
    </row>
    <row r="6" spans="1:21" ht="15.75" thickBot="1" x14ac:dyDescent="0.3">
      <c r="E6" s="96"/>
      <c r="F6" s="4"/>
      <c r="G6" s="3" t="s">
        <v>12</v>
      </c>
      <c r="H6" s="93">
        <v>10.6456</v>
      </c>
      <c r="J6" s="16">
        <v>101.325</v>
      </c>
      <c r="Q6" s="40"/>
      <c r="R6" s="40"/>
    </row>
    <row r="7" spans="1:21" ht="15.75" thickBot="1" x14ac:dyDescent="0.3">
      <c r="E7" s="96"/>
      <c r="F7" s="4"/>
      <c r="G7" s="9" t="s">
        <v>13</v>
      </c>
      <c r="H7" s="95">
        <v>0.56320000000000003</v>
      </c>
      <c r="Q7" s="41"/>
      <c r="R7" s="41"/>
    </row>
    <row r="8" spans="1:21" ht="15.75" thickBot="1" x14ac:dyDescent="0.3"/>
    <row r="9" spans="1:21" ht="15.75" thickBot="1" x14ac:dyDescent="0.3">
      <c r="A9" s="2" t="s">
        <v>14</v>
      </c>
      <c r="B9" s="85" t="s">
        <v>15</v>
      </c>
      <c r="C9" s="2" t="s">
        <v>16</v>
      </c>
      <c r="D9" s="2" t="s">
        <v>17</v>
      </c>
      <c r="E9" s="2" t="s">
        <v>18</v>
      </c>
      <c r="F9" s="83" t="s">
        <v>19</v>
      </c>
      <c r="G9" s="2" t="s">
        <v>20</v>
      </c>
      <c r="H9" s="85" t="s">
        <v>21</v>
      </c>
      <c r="I9" s="83" t="s">
        <v>22</v>
      </c>
      <c r="J9" s="2" t="s">
        <v>23</v>
      </c>
      <c r="K9" s="85" t="s">
        <v>24</v>
      </c>
      <c r="L9" s="2" t="s">
        <v>25</v>
      </c>
      <c r="M9" s="89"/>
      <c r="N9" s="89"/>
      <c r="O9" s="89"/>
      <c r="P9" s="89"/>
      <c r="Q9" s="89"/>
      <c r="R9" s="89"/>
      <c r="S9" s="89"/>
      <c r="T9" s="89"/>
      <c r="U9" s="89"/>
    </row>
    <row r="10" spans="1:21" ht="15.75" thickBot="1" x14ac:dyDescent="0.3">
      <c r="A10" s="19">
        <v>34.860332460729332</v>
      </c>
      <c r="B10" s="20">
        <v>318.78955676425414</v>
      </c>
      <c r="C10" s="16">
        <f>C19</f>
        <v>0.99593003006982017</v>
      </c>
      <c r="D10" s="16">
        <f>C21</f>
        <v>5.0000000000000002E-5</v>
      </c>
      <c r="E10" s="16">
        <f>C20</f>
        <v>3.0481352714410086E-3</v>
      </c>
      <c r="F10" s="94">
        <f>EXP(M3+N3/(B10+O3))/1000</f>
        <v>74.170754813796762</v>
      </c>
      <c r="G10" s="16">
        <f>EXP(M4+N4/(B10+O4))/1000</f>
        <v>45.854987744093179</v>
      </c>
      <c r="H10" s="95">
        <f>EXP(M5+N5/(B10+O5))/1000</f>
        <v>1E-3</v>
      </c>
      <c r="I10" s="22">
        <f>(C10*F10*S13)/J4</f>
        <v>0.99934794015060668</v>
      </c>
      <c r="J10" s="19">
        <f>(D10*G10*T13)/J4</f>
        <v>6.0469568021278436E-4</v>
      </c>
      <c r="K10" s="23">
        <f>(E10*H10*U13)/J4</f>
        <v>4.7363827083813533E-5</v>
      </c>
      <c r="L10" s="19">
        <f>SUM(I10:K10)</f>
        <v>0.99999999965790332</v>
      </c>
      <c r="M10" s="89"/>
      <c r="N10" s="89"/>
      <c r="O10" s="89"/>
      <c r="P10" s="89"/>
      <c r="Q10" s="89"/>
      <c r="R10" s="89"/>
      <c r="S10" s="89"/>
      <c r="T10" s="89"/>
      <c r="U10" s="89"/>
    </row>
    <row r="11" spans="1:21" ht="15.75" thickBot="1" x14ac:dyDescent="0.3">
      <c r="A11" s="89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</row>
    <row r="12" spans="1:21" ht="15.75" thickBot="1" x14ac:dyDescent="0.3">
      <c r="A12" s="2" t="s">
        <v>26</v>
      </c>
      <c r="B12" s="85" t="s">
        <v>27</v>
      </c>
      <c r="C12" s="85" t="s">
        <v>28</v>
      </c>
      <c r="D12" s="85" t="s">
        <v>29</v>
      </c>
      <c r="E12" s="85" t="s">
        <v>30</v>
      </c>
      <c r="F12" s="85" t="s">
        <v>31</v>
      </c>
      <c r="G12" s="2" t="s">
        <v>32</v>
      </c>
      <c r="H12" s="85" t="s">
        <v>33</v>
      </c>
      <c r="I12" s="85" t="s">
        <v>34</v>
      </c>
      <c r="J12" s="85" t="s">
        <v>35</v>
      </c>
      <c r="K12" s="85" t="s">
        <v>36</v>
      </c>
      <c r="L12" s="85" t="s">
        <v>37</v>
      </c>
      <c r="M12" s="24" t="s">
        <v>38</v>
      </c>
      <c r="N12" s="25" t="s">
        <v>39</v>
      </c>
      <c r="O12" s="25" t="s">
        <v>40</v>
      </c>
      <c r="P12" s="24" t="s">
        <v>41</v>
      </c>
      <c r="Q12" s="25" t="s">
        <v>42</v>
      </c>
      <c r="R12" s="25" t="s">
        <v>43</v>
      </c>
      <c r="S12" s="24" t="s">
        <v>44</v>
      </c>
      <c r="T12" s="25" t="s">
        <v>45</v>
      </c>
      <c r="U12" s="25" t="s">
        <v>46</v>
      </c>
    </row>
    <row r="13" spans="1:21" ht="15.75" thickBot="1" x14ac:dyDescent="0.3">
      <c r="A13" s="22">
        <f>H2/(J2*B10)</f>
        <v>2.102952597450038</v>
      </c>
      <c r="B13" s="19">
        <f>H3/(J2*B10)</f>
        <v>2.8294044931620972</v>
      </c>
      <c r="C13" s="23">
        <f>H4/(J2*B10)</f>
        <v>7.2703293649288208</v>
      </c>
      <c r="D13" s="19">
        <f>H5/(J2*B10)</f>
        <v>6.1167747653910363</v>
      </c>
      <c r="E13" s="23">
        <f>H6/(J2*B10)</f>
        <v>4.0165764521617824</v>
      </c>
      <c r="F13" s="19">
        <f>H7/(J2*B10)</f>
        <v>0.21249491412954796</v>
      </c>
      <c r="G13" s="23">
        <f t="shared" ref="G13:L13" si="0">EXP(-$F$2*A13)</f>
        <v>0.43120095744070552</v>
      </c>
      <c r="H13" s="23">
        <f t="shared" si="0"/>
        <v>0.32246463835659184</v>
      </c>
      <c r="I13" s="23">
        <f t="shared" si="0"/>
        <v>5.4577599500516202E-2</v>
      </c>
      <c r="J13" s="23">
        <f t="shared" si="0"/>
        <v>8.6577968061537322E-2</v>
      </c>
      <c r="K13" s="23">
        <f t="shared" si="0"/>
        <v>0.20056225516294576</v>
      </c>
      <c r="L13" s="23">
        <f t="shared" si="0"/>
        <v>0.91851415297715289</v>
      </c>
      <c r="M13" s="23">
        <f>D10*B13*H13+E10*D13*J13</f>
        <v>1.6598443130886114E-3</v>
      </c>
      <c r="N13" s="19">
        <f>C10*A13*G13+E10*F13*L13</f>
        <v>0.90369947816455409</v>
      </c>
      <c r="O13" s="23">
        <f>C10*C13*I13+D10*E13*K13</f>
        <v>0.39522245063314382</v>
      </c>
      <c r="P13" s="19">
        <f>C10+H13*D10+J13*E10</f>
        <v>0.99621005465991608</v>
      </c>
      <c r="Q13" s="23">
        <f>G13*C10+D10+L13*E10</f>
        <v>0.43229573789706455</v>
      </c>
      <c r="R13" s="19">
        <f>I13*C10+K13*D10+E10</f>
        <v>5.7413633695886861E-2</v>
      </c>
      <c r="S13" s="23">
        <f>EXP(M13/P13-(C10*M13)/P13^2+D10*G13/Q13*(A13-N13/Q13)+E10*I13/R13*(C13-O13/R13))</f>
        <v>1.0011217917046347</v>
      </c>
      <c r="T13" s="19">
        <f>EXP(N13/Q13-D10*N13/Q13^2+C10*H13/P13*(B13-M13/P13)+E10*K13/R13*(E13-O13/R13))</f>
        <v>19.516952260666645</v>
      </c>
      <c r="U13" s="20">
        <f>EXP(O13/R13-E10*O13/R13^2+C10*J13/P13*(D13-M13/P13)+D10*L13/Q13*(F13-N13/Q13))</f>
        <v>1149.8581565723118</v>
      </c>
    </row>
    <row r="14" spans="1:21" ht="15.75" thickBot="1" x14ac:dyDescent="0.3"/>
    <row r="15" spans="1:21" ht="15.75" thickBot="1" x14ac:dyDescent="0.3">
      <c r="A15" s="26"/>
      <c r="B15" s="86" t="s">
        <v>47</v>
      </c>
      <c r="C15" s="28" t="s">
        <v>48</v>
      </c>
      <c r="D15" s="87" t="s">
        <v>49</v>
      </c>
      <c r="I15" s="49" t="s">
        <v>70</v>
      </c>
      <c r="K15" s="51"/>
      <c r="L15" s="51"/>
      <c r="N15" s="114"/>
      <c r="O15" s="114"/>
      <c r="P15" s="114"/>
      <c r="Q15" s="114"/>
      <c r="S15" s="28" t="s">
        <v>50</v>
      </c>
      <c r="T15" s="28" t="s">
        <v>83</v>
      </c>
    </row>
    <row r="16" spans="1:21" ht="15.75" thickBot="1" x14ac:dyDescent="0.3">
      <c r="A16" s="30" t="s">
        <v>14</v>
      </c>
      <c r="B16" s="89">
        <v>45</v>
      </c>
      <c r="C16" s="31">
        <f>A10</f>
        <v>34.860332460729332</v>
      </c>
      <c r="D16" s="93">
        <f>A10</f>
        <v>34.860332460729332</v>
      </c>
      <c r="I16" s="1" t="s">
        <v>81</v>
      </c>
      <c r="J16" s="31">
        <v>45.3</v>
      </c>
      <c r="K16" s="96"/>
      <c r="L16" s="96"/>
      <c r="N16" s="50"/>
      <c r="O16" s="96"/>
      <c r="P16" s="96"/>
      <c r="Q16" s="96"/>
      <c r="S16" s="19">
        <f>(B17+C17)/2</f>
        <v>313.08016623036463</v>
      </c>
      <c r="T16" s="19">
        <f>J22*1000*EXP(-J23*D17/J24)*(1-D17/J24)^J23</f>
        <v>29216.856431710177</v>
      </c>
    </row>
    <row r="17" spans="1:27" ht="15.75" thickBot="1" x14ac:dyDescent="0.3">
      <c r="A17" s="28" t="s">
        <v>15</v>
      </c>
      <c r="B17" s="4">
        <f>B16+273.15</f>
        <v>318.14999999999998</v>
      </c>
      <c r="C17" s="19">
        <f>C16+273.15</f>
        <v>308.01033246072933</v>
      </c>
      <c r="D17" s="20">
        <f>D16+273.15</f>
        <v>308.01033246072933</v>
      </c>
      <c r="I17" s="53" t="s">
        <v>60</v>
      </c>
      <c r="J17" s="6">
        <v>-0.31</v>
      </c>
      <c r="K17" s="88"/>
      <c r="L17" s="88"/>
      <c r="N17" s="96"/>
      <c r="O17" s="88"/>
      <c r="P17" s="88"/>
      <c r="Q17" s="88"/>
      <c r="S17" s="2" t="s">
        <v>88</v>
      </c>
      <c r="T17" s="2" t="s">
        <v>52</v>
      </c>
    </row>
    <row r="18" spans="1:27" ht="15.75" thickBot="1" x14ac:dyDescent="0.3">
      <c r="A18" s="32" t="s">
        <v>94</v>
      </c>
      <c r="B18" s="36">
        <v>12.802468396553602</v>
      </c>
      <c r="C18" s="33">
        <f>(B18*B20)/C20</f>
        <v>11.978644894856123</v>
      </c>
      <c r="D18" s="93">
        <f>B18-C18</f>
        <v>0.82382350169747909</v>
      </c>
      <c r="F18" s="2" t="s">
        <v>53</v>
      </c>
      <c r="I18" s="3" t="s">
        <v>62</v>
      </c>
      <c r="J18" s="6">
        <v>0.42409999999999998</v>
      </c>
      <c r="L18" s="88"/>
      <c r="N18" s="96"/>
      <c r="O18" s="88"/>
      <c r="P18" s="88"/>
      <c r="Q18" s="88"/>
      <c r="S18" s="19">
        <v>187.5</v>
      </c>
      <c r="T18" s="19">
        <f>J16*1000*EXP(-J17*D17/J19)*(1-D17/J19)</f>
        <v>21782.130092126627</v>
      </c>
    </row>
    <row r="19" spans="1:27" ht="15.75" thickBot="1" x14ac:dyDescent="0.3">
      <c r="A19" s="28" t="s">
        <v>16</v>
      </c>
      <c r="B19" s="36">
        <v>0.99668005240521662</v>
      </c>
      <c r="C19" s="47">
        <v>0.99593003006982017</v>
      </c>
      <c r="D19" s="20">
        <f>(B18*B19-C18*C19)/D18</f>
        <v>1.0075856058404029</v>
      </c>
      <c r="E19" s="89">
        <f>I10</f>
        <v>0.99934794015060668</v>
      </c>
      <c r="F19" s="89">
        <f>(D19-E19)^2</f>
        <v>6.7859136016845914E-5</v>
      </c>
      <c r="I19" s="9" t="s">
        <v>82</v>
      </c>
      <c r="J19" s="16">
        <v>512.6</v>
      </c>
      <c r="K19" s="88"/>
      <c r="L19" s="88" t="s">
        <v>84</v>
      </c>
      <c r="N19" s="96"/>
      <c r="O19" s="88"/>
      <c r="P19" s="88"/>
      <c r="Q19" s="88"/>
      <c r="S19" s="2" t="s">
        <v>56</v>
      </c>
      <c r="T19" s="2" t="s">
        <v>57</v>
      </c>
    </row>
    <row r="20" spans="1:27" ht="15.75" thickBot="1" x14ac:dyDescent="0.3">
      <c r="A20" s="28" t="s">
        <v>18</v>
      </c>
      <c r="B20" s="36">
        <v>2.8519914189287761E-3</v>
      </c>
      <c r="C20" s="47">
        <v>3.0481352714410086E-3</v>
      </c>
      <c r="D20" s="20">
        <v>0</v>
      </c>
      <c r="S20" s="19">
        <f>A36+B36*S16+C36*S16^2+D36*S16^3</f>
        <v>85.131414806053215</v>
      </c>
      <c r="T20" s="19">
        <f>0</f>
        <v>0</v>
      </c>
    </row>
    <row r="21" spans="1:27" ht="15.75" thickBot="1" x14ac:dyDescent="0.3">
      <c r="A21" s="28" t="s">
        <v>17</v>
      </c>
      <c r="B21" s="36">
        <v>4.679561758545622E-4</v>
      </c>
      <c r="C21" s="19">
        <v>5.0000000000000002E-5</v>
      </c>
      <c r="D21" s="20">
        <f>(B18*B21-C18*C21)/D18</f>
        <v>6.5451664057859758E-3</v>
      </c>
      <c r="E21" s="89">
        <f>J10</f>
        <v>6.0469568021278436E-4</v>
      </c>
      <c r="F21" s="89">
        <f>(D21-E21)^2</f>
        <v>3.528919244139208E-5</v>
      </c>
      <c r="I21" s="49" t="s">
        <v>69</v>
      </c>
      <c r="S21" s="2" t="s">
        <v>58</v>
      </c>
      <c r="T21" s="2" t="s">
        <v>59</v>
      </c>
    </row>
    <row r="22" spans="1:27" ht="15.75" thickBot="1" x14ac:dyDescent="0.3">
      <c r="A22" s="32" t="s">
        <v>93</v>
      </c>
      <c r="B22" s="89">
        <f>S24*(B17-C17)</f>
        <v>1903.9616920267183</v>
      </c>
      <c r="C22" s="6">
        <v>0</v>
      </c>
      <c r="D22" s="93">
        <f>T22</f>
        <v>29581.051654622217</v>
      </c>
      <c r="F22" s="2" t="s">
        <v>53</v>
      </c>
      <c r="I22" s="1" t="s">
        <v>81</v>
      </c>
      <c r="J22" s="31">
        <v>46.23</v>
      </c>
      <c r="S22" s="19">
        <f>D43+E43*S16+S16^2*F43</f>
        <v>300.22327164231422</v>
      </c>
      <c r="T22" s="19">
        <f>D19*T16+D21*T18+D20*T20</f>
        <v>29581.051654622217</v>
      </c>
    </row>
    <row r="23" spans="1:27" ht="15.75" thickBot="1" x14ac:dyDescent="0.3">
      <c r="A23" s="28" t="s">
        <v>61</v>
      </c>
      <c r="B23" s="23">
        <f>B18*B22</f>
        <v>24375.409390420784</v>
      </c>
      <c r="C23" s="19">
        <v>0</v>
      </c>
      <c r="D23" s="20">
        <f>D18*D22</f>
        <v>24369.565558004884</v>
      </c>
      <c r="E23">
        <f>(B23-D23)/B23</f>
        <v>2.3974294430501828E-4</v>
      </c>
      <c r="F23">
        <f>E23^2</f>
        <v>5.7476679344039094E-8</v>
      </c>
      <c r="I23" s="3" t="s">
        <v>62</v>
      </c>
      <c r="J23" s="6">
        <v>0.2893</v>
      </c>
      <c r="S23" s="2" t="s">
        <v>63</v>
      </c>
    </row>
    <row r="24" spans="1:27" ht="15.75" thickBot="1" x14ac:dyDescent="0.3">
      <c r="F24" s="2" t="s">
        <v>64</v>
      </c>
      <c r="I24" s="9" t="s">
        <v>82</v>
      </c>
      <c r="J24" s="16">
        <v>497.1</v>
      </c>
      <c r="S24" s="19">
        <f>S18*B19+S20*B21+S22*B20</f>
        <v>187.77358179178245</v>
      </c>
    </row>
    <row r="25" spans="1:27" ht="16.5" thickBot="1" x14ac:dyDescent="0.3">
      <c r="A25" s="97" t="s">
        <v>65</v>
      </c>
      <c r="B25" s="98"/>
      <c r="C25" s="98"/>
      <c r="D25" s="99"/>
      <c r="F25" s="19">
        <f>F19+F21+F23</f>
        <v>1.0320580513758204E-4</v>
      </c>
      <c r="K25" s="54" t="s">
        <v>85</v>
      </c>
    </row>
    <row r="26" spans="1:27" ht="15.75" thickBot="1" x14ac:dyDescent="0.3">
      <c r="A26" s="100" t="s">
        <v>48</v>
      </c>
      <c r="B26" s="101"/>
      <c r="C26" s="102" t="s">
        <v>66</v>
      </c>
      <c r="D26" s="101"/>
      <c r="I26" s="96"/>
      <c r="J26" s="96"/>
    </row>
    <row r="27" spans="1:27" x14ac:dyDescent="0.25">
      <c r="I27" s="50"/>
      <c r="J27" s="50"/>
    </row>
    <row r="28" spans="1:27" ht="15.75" thickBot="1" x14ac:dyDescent="0.3">
      <c r="E28" s="60"/>
      <c r="N28" s="103"/>
      <c r="O28" s="103"/>
      <c r="X28" s="104"/>
      <c r="Y28" s="104"/>
    </row>
    <row r="29" spans="1:27" ht="16.5" thickBot="1" x14ac:dyDescent="0.3">
      <c r="A29" s="56" t="s">
        <v>70</v>
      </c>
      <c r="B29" s="88"/>
      <c r="C29" s="57" t="s">
        <v>86</v>
      </c>
      <c r="D29" s="59">
        <v>32.04</v>
      </c>
      <c r="E29" s="58" t="s">
        <v>75</v>
      </c>
      <c r="K29" s="54" t="s">
        <v>87</v>
      </c>
      <c r="N29" s="88"/>
      <c r="O29" s="88"/>
      <c r="X29" s="89"/>
      <c r="Y29" s="89"/>
      <c r="Z29" s="89"/>
      <c r="AA29" s="89"/>
    </row>
    <row r="30" spans="1:27" ht="15.75" thickBot="1" x14ac:dyDescent="0.3">
      <c r="A30" s="57" t="s">
        <v>67</v>
      </c>
      <c r="B30" s="58" t="s">
        <v>74</v>
      </c>
      <c r="C30" s="88"/>
      <c r="D30" s="88"/>
      <c r="E30" s="57" t="s">
        <v>77</v>
      </c>
      <c r="F30" s="65" t="s">
        <v>78</v>
      </c>
      <c r="G30" s="66" t="s">
        <v>79</v>
      </c>
      <c r="N30" s="88"/>
      <c r="O30" s="88"/>
      <c r="X30" s="89"/>
      <c r="Y30" s="89"/>
      <c r="Z30" s="89"/>
      <c r="AA30" s="89"/>
    </row>
    <row r="31" spans="1:27" ht="15.75" thickBot="1" x14ac:dyDescent="0.3">
      <c r="A31" s="61" t="s">
        <v>51</v>
      </c>
      <c r="B31" s="62" t="s">
        <v>54</v>
      </c>
      <c r="C31" s="62" t="s">
        <v>55</v>
      </c>
      <c r="D31" s="63" t="s">
        <v>73</v>
      </c>
      <c r="E31" s="88"/>
      <c r="N31" s="88"/>
      <c r="O31" s="88"/>
      <c r="X31" s="89"/>
      <c r="Y31" s="89"/>
      <c r="Z31" s="89"/>
      <c r="AA31" s="89"/>
    </row>
    <row r="32" spans="1:27" ht="15.75" thickBot="1" x14ac:dyDescent="0.3">
      <c r="A32" s="22">
        <v>0.83819999999999995</v>
      </c>
      <c r="B32" s="23">
        <f>-3.231*10^-3</f>
        <v>-3.2309999999999999E-3</v>
      </c>
      <c r="C32" s="23">
        <f>8.296*10^-6</f>
        <v>8.2959999999999982E-6</v>
      </c>
      <c r="D32" s="20">
        <f>-0.1689*10^-9</f>
        <v>-1.6890000000000001E-10</v>
      </c>
      <c r="E32" s="88"/>
      <c r="N32" s="88"/>
      <c r="O32" s="88"/>
      <c r="X32" s="89"/>
      <c r="Y32" s="89"/>
      <c r="Z32" s="89"/>
      <c r="AA32" s="89"/>
    </row>
    <row r="33" spans="1:27" ht="15.75" thickBot="1" x14ac:dyDescent="0.3">
      <c r="A33" s="88"/>
      <c r="B33" s="64" t="s">
        <v>76</v>
      </c>
      <c r="C33" s="88"/>
      <c r="D33" s="88"/>
      <c r="E33" s="88"/>
      <c r="N33" s="88"/>
      <c r="O33" s="88"/>
      <c r="X33" s="89"/>
      <c r="Y33" s="89"/>
      <c r="Z33" s="89"/>
      <c r="AA33" s="89"/>
    </row>
    <row r="34" spans="1:27" ht="15.75" thickBot="1" x14ac:dyDescent="0.3">
      <c r="A34" s="22">
        <f>A32*4.1868</f>
        <v>3.5093757599999997</v>
      </c>
      <c r="B34" s="23">
        <f t="shared" ref="B34:D34" si="1">B32*4.1868</f>
        <v>-1.35275508E-2</v>
      </c>
      <c r="C34" s="23">
        <f t="shared" si="1"/>
        <v>3.4733692799999993E-5</v>
      </c>
      <c r="D34" s="20">
        <f t="shared" si="1"/>
        <v>-7.0715052000000002E-10</v>
      </c>
      <c r="E34" s="88"/>
      <c r="N34" s="88"/>
      <c r="O34" s="88"/>
      <c r="X34" s="89"/>
      <c r="Y34" s="89"/>
      <c r="Z34" s="89"/>
      <c r="AA34" s="89"/>
    </row>
    <row r="35" spans="1:27" ht="15.75" thickBot="1" x14ac:dyDescent="0.3">
      <c r="A35" s="88"/>
      <c r="B35" s="64" t="s">
        <v>80</v>
      </c>
      <c r="C35" s="88"/>
      <c r="D35" s="88"/>
      <c r="E35" s="88"/>
      <c r="N35" s="88"/>
      <c r="O35" s="88"/>
      <c r="X35" s="89"/>
      <c r="Y35" s="89"/>
      <c r="Z35" s="89"/>
      <c r="AA35" s="89"/>
    </row>
    <row r="36" spans="1:27" ht="15.75" thickBot="1" x14ac:dyDescent="0.3">
      <c r="A36" s="22">
        <f>A34*$D$29</f>
        <v>112.44039935039999</v>
      </c>
      <c r="B36" s="23">
        <f t="shared" ref="B36:D36" si="2">B34*$D$29</f>
        <v>-0.43342272763199996</v>
      </c>
      <c r="C36" s="23">
        <f t="shared" si="2"/>
        <v>1.1128675173119997E-3</v>
      </c>
      <c r="D36" s="20">
        <f t="shared" si="2"/>
        <v>-2.26571026608E-8</v>
      </c>
      <c r="E36" s="88"/>
      <c r="N36" s="88"/>
      <c r="O36" s="88"/>
      <c r="X36" s="89"/>
      <c r="Y36" s="89"/>
      <c r="Z36" s="89"/>
      <c r="AA36" s="89"/>
    </row>
    <row r="37" spans="1:27" x14ac:dyDescent="0.25">
      <c r="A37" s="88"/>
      <c r="B37" s="88"/>
      <c r="C37" s="88"/>
      <c r="D37" s="88"/>
      <c r="E37" s="88"/>
      <c r="N37" s="88"/>
      <c r="O37" s="88"/>
    </row>
    <row r="38" spans="1:27" x14ac:dyDescent="0.25">
      <c r="A38" s="88"/>
      <c r="B38" s="88"/>
      <c r="C38" s="88"/>
      <c r="D38" s="88"/>
      <c r="E38" s="88"/>
      <c r="N38" s="88"/>
      <c r="O38" s="88"/>
    </row>
    <row r="39" spans="1:27" x14ac:dyDescent="0.25">
      <c r="A39" s="88" t="s">
        <v>89</v>
      </c>
      <c r="B39" s="88"/>
      <c r="C39" s="88"/>
      <c r="D39" s="88"/>
      <c r="E39" s="88"/>
      <c r="F39" t="s">
        <v>92</v>
      </c>
      <c r="G39" s="48" t="s">
        <v>78</v>
      </c>
      <c r="H39" t="s">
        <v>80</v>
      </c>
      <c r="N39" s="88"/>
      <c r="O39" s="88"/>
    </row>
    <row r="40" spans="1:27" ht="16.5" thickBot="1" x14ac:dyDescent="0.3">
      <c r="A40" s="67" t="s">
        <v>90</v>
      </c>
      <c r="B40" s="88"/>
      <c r="C40" s="88"/>
      <c r="D40" s="88"/>
      <c r="E40" s="88"/>
    </row>
    <row r="41" spans="1:27" ht="15.75" thickBot="1" x14ac:dyDescent="0.3">
      <c r="A41" s="57" t="s">
        <v>15</v>
      </c>
      <c r="B41" s="58" t="s">
        <v>91</v>
      </c>
      <c r="C41" s="88"/>
      <c r="E41" s="55" t="s">
        <v>67</v>
      </c>
      <c r="F41" s="88"/>
    </row>
    <row r="42" spans="1:27" ht="15.75" thickBot="1" x14ac:dyDescent="0.3">
      <c r="A42" s="88">
        <v>283.14999999999998</v>
      </c>
      <c r="B42" s="88">
        <v>290</v>
      </c>
      <c r="C42" s="88"/>
      <c r="D42" s="57" t="s">
        <v>51</v>
      </c>
      <c r="E42" s="59" t="s">
        <v>54</v>
      </c>
      <c r="F42" s="58" t="s">
        <v>55</v>
      </c>
    </row>
    <row r="43" spans="1:27" ht="15.75" thickBot="1" x14ac:dyDescent="0.3">
      <c r="A43" s="88">
        <v>293.14999999999998</v>
      </c>
      <c r="B43" s="88">
        <v>294</v>
      </c>
      <c r="C43" s="88"/>
      <c r="D43" s="22">
        <v>753.28</v>
      </c>
      <c r="E43" s="23">
        <v>-3.4195000000000002</v>
      </c>
      <c r="F43" s="20">
        <v>6.3E-3</v>
      </c>
    </row>
    <row r="44" spans="1:27" x14ac:dyDescent="0.25">
      <c r="A44" s="88">
        <v>303.14999999999998</v>
      </c>
      <c r="B44" s="88">
        <v>297</v>
      </c>
      <c r="C44" s="88"/>
      <c r="D44" s="88"/>
      <c r="E44" s="88"/>
    </row>
    <row r="45" spans="1:27" x14ac:dyDescent="0.25">
      <c r="A45" s="88">
        <v>313.14999999999998</v>
      </c>
      <c r="B45" s="88">
        <v>302</v>
      </c>
      <c r="C45" s="88"/>
      <c r="D45" s="88"/>
      <c r="E45" s="88"/>
    </row>
    <row r="46" spans="1:27" x14ac:dyDescent="0.25">
      <c r="A46" s="88">
        <v>323.14999999999998</v>
      </c>
      <c r="B46" s="88">
        <v>306</v>
      </c>
      <c r="C46" s="88"/>
      <c r="D46" s="88"/>
      <c r="E46" s="88"/>
    </row>
    <row r="47" spans="1:27" x14ac:dyDescent="0.25">
      <c r="A47" s="88">
        <v>333.15</v>
      </c>
      <c r="B47" s="88">
        <v>313</v>
      </c>
      <c r="C47" s="88"/>
      <c r="D47" s="88"/>
      <c r="E47" s="88"/>
    </row>
    <row r="48" spans="1:27" x14ac:dyDescent="0.25">
      <c r="A48" s="88">
        <v>343.15</v>
      </c>
      <c r="B48" s="88">
        <v>324</v>
      </c>
      <c r="C48" s="88"/>
      <c r="D48" s="88"/>
      <c r="E48" s="88"/>
    </row>
    <row r="49" spans="1:5" x14ac:dyDescent="0.25">
      <c r="A49" s="88"/>
      <c r="B49" s="88"/>
      <c r="C49" s="88"/>
      <c r="D49" s="88"/>
      <c r="E49" s="88"/>
    </row>
    <row r="50" spans="1:5" x14ac:dyDescent="0.25">
      <c r="D50" s="88"/>
      <c r="E50" s="88"/>
    </row>
    <row r="51" spans="1:5" x14ac:dyDescent="0.25">
      <c r="D51" s="88"/>
      <c r="E51" s="88"/>
    </row>
    <row r="52" spans="1:5" x14ac:dyDescent="0.25">
      <c r="D52" s="88"/>
      <c r="E52" s="88"/>
    </row>
    <row r="53" spans="1:5" x14ac:dyDescent="0.25">
      <c r="A53" s="88"/>
      <c r="B53" s="88"/>
      <c r="C53" s="88"/>
      <c r="D53" s="88"/>
      <c r="E53" s="88"/>
    </row>
    <row r="54" spans="1:5" x14ac:dyDescent="0.25">
      <c r="A54" s="88"/>
      <c r="B54" s="88"/>
      <c r="C54" s="88"/>
      <c r="D54" s="88"/>
      <c r="E54" s="88"/>
    </row>
    <row r="55" spans="1:5" x14ac:dyDescent="0.25">
      <c r="A55" s="88"/>
      <c r="B55" s="88"/>
      <c r="C55" s="88"/>
      <c r="D55" s="88"/>
      <c r="E55" s="88"/>
    </row>
    <row r="56" spans="1:5" x14ac:dyDescent="0.25">
      <c r="A56" s="88"/>
      <c r="B56" s="88"/>
      <c r="C56" s="88"/>
      <c r="D56" s="88"/>
      <c r="E56" s="88"/>
    </row>
    <row r="57" spans="1:5" x14ac:dyDescent="0.25">
      <c r="A57" s="88"/>
      <c r="B57" s="88"/>
      <c r="C57" s="88"/>
      <c r="D57" s="88"/>
      <c r="E57" s="88"/>
    </row>
    <row r="58" spans="1:5" x14ac:dyDescent="0.25">
      <c r="A58" s="88"/>
      <c r="B58" s="88"/>
      <c r="C58" s="88"/>
      <c r="D58" s="88"/>
      <c r="E58" s="88"/>
    </row>
    <row r="59" spans="1:5" x14ac:dyDescent="0.25">
      <c r="A59" s="88"/>
      <c r="B59" s="88"/>
      <c r="C59" s="88"/>
      <c r="D59" s="88"/>
      <c r="E59" s="88"/>
    </row>
    <row r="60" spans="1:5" x14ac:dyDescent="0.25">
      <c r="A60" s="88"/>
      <c r="B60" s="88"/>
      <c r="C60" s="88"/>
      <c r="D60" s="88"/>
      <c r="E60" s="88"/>
    </row>
    <row r="61" spans="1:5" x14ac:dyDescent="0.25">
      <c r="A61" s="88"/>
      <c r="B61" s="88"/>
      <c r="C61" s="88"/>
      <c r="D61" s="88"/>
      <c r="E61" s="88"/>
    </row>
    <row r="62" spans="1:5" x14ac:dyDescent="0.25">
      <c r="A62" s="88"/>
      <c r="B62" s="88"/>
      <c r="C62" s="88"/>
      <c r="D62" s="88"/>
      <c r="E62" s="88"/>
    </row>
    <row r="63" spans="1:5" x14ac:dyDescent="0.25">
      <c r="A63" s="88"/>
      <c r="B63" s="88"/>
      <c r="C63" s="88"/>
      <c r="D63" s="88"/>
      <c r="E63" s="88"/>
    </row>
    <row r="64" spans="1:5" x14ac:dyDescent="0.25">
      <c r="A64" s="88"/>
      <c r="B64" s="88"/>
      <c r="C64" s="88"/>
      <c r="D64" s="88"/>
      <c r="E64" s="88"/>
    </row>
    <row r="65" spans="1:5" x14ac:dyDescent="0.25">
      <c r="A65" s="88"/>
      <c r="B65" s="88"/>
      <c r="C65" s="88"/>
      <c r="D65" s="88"/>
      <c r="E65" s="88"/>
    </row>
    <row r="66" spans="1:5" x14ac:dyDescent="0.25">
      <c r="A66" s="88"/>
      <c r="B66" s="88"/>
      <c r="C66" s="88"/>
      <c r="D66" s="88"/>
      <c r="E66" s="88"/>
    </row>
    <row r="67" spans="1:5" x14ac:dyDescent="0.25">
      <c r="A67" s="88"/>
      <c r="B67" s="88"/>
      <c r="C67" s="88"/>
      <c r="D67" s="88"/>
      <c r="E67" s="88"/>
    </row>
    <row r="68" spans="1:5" x14ac:dyDescent="0.25">
      <c r="A68" s="88"/>
      <c r="B68" s="88"/>
      <c r="C68" s="88"/>
      <c r="D68" s="88"/>
      <c r="E68" s="88"/>
    </row>
    <row r="69" spans="1:5" x14ac:dyDescent="0.25">
      <c r="A69" s="88"/>
      <c r="B69" s="88"/>
      <c r="C69" s="88"/>
      <c r="D69" s="88"/>
      <c r="E69" s="88"/>
    </row>
    <row r="70" spans="1:5" x14ac:dyDescent="0.25">
      <c r="A70" s="88"/>
      <c r="B70" s="88"/>
      <c r="C70" s="88"/>
      <c r="D70" s="88"/>
      <c r="E70" s="88"/>
    </row>
    <row r="71" spans="1:5" x14ac:dyDescent="0.25">
      <c r="A71" s="88"/>
      <c r="B71" s="88"/>
      <c r="C71" s="88"/>
      <c r="D71" s="88"/>
      <c r="E71" s="88"/>
    </row>
    <row r="72" spans="1:5" x14ac:dyDescent="0.25">
      <c r="A72" s="88"/>
      <c r="B72" s="88"/>
      <c r="C72" s="88"/>
      <c r="D72" s="88"/>
      <c r="E72" s="88"/>
    </row>
    <row r="73" spans="1:5" x14ac:dyDescent="0.25">
      <c r="A73" s="88"/>
      <c r="B73" s="88"/>
      <c r="C73" s="88"/>
      <c r="D73" s="88"/>
      <c r="E73" s="88"/>
    </row>
    <row r="74" spans="1:5" x14ac:dyDescent="0.25">
      <c r="A74" s="88"/>
      <c r="B74" s="88"/>
      <c r="C74" s="88"/>
      <c r="D74" s="88"/>
      <c r="E74" s="88"/>
    </row>
    <row r="75" spans="1:5" x14ac:dyDescent="0.25">
      <c r="A75" s="88"/>
      <c r="B75" s="88"/>
      <c r="C75" s="88"/>
      <c r="D75" s="88"/>
      <c r="E75" s="88"/>
    </row>
    <row r="76" spans="1:5" x14ac:dyDescent="0.25">
      <c r="A76" s="88"/>
      <c r="B76" s="88"/>
      <c r="C76" s="88"/>
      <c r="D76" s="88"/>
      <c r="E76" s="88"/>
    </row>
    <row r="77" spans="1:5" x14ac:dyDescent="0.25">
      <c r="A77" s="88"/>
      <c r="B77" s="88"/>
      <c r="C77" s="88"/>
      <c r="D77" s="88"/>
      <c r="E77" s="88"/>
    </row>
    <row r="78" spans="1:5" x14ac:dyDescent="0.25">
      <c r="A78" s="88"/>
      <c r="B78" s="88"/>
      <c r="C78" s="88"/>
      <c r="D78" s="88"/>
      <c r="E78" s="88"/>
    </row>
    <row r="79" spans="1:5" x14ac:dyDescent="0.25">
      <c r="A79" s="88"/>
      <c r="B79" s="88"/>
      <c r="C79" s="88"/>
      <c r="D79" s="88"/>
      <c r="E79" s="88"/>
    </row>
    <row r="80" spans="1:5" x14ac:dyDescent="0.25">
      <c r="A80" s="88"/>
      <c r="B80" s="88"/>
      <c r="C80" s="88"/>
      <c r="D80" s="88"/>
      <c r="E80" s="88"/>
    </row>
    <row r="81" spans="1:5" x14ac:dyDescent="0.25">
      <c r="A81" s="88"/>
      <c r="B81" s="88"/>
      <c r="C81" s="88"/>
      <c r="D81" s="88"/>
      <c r="E81" s="88"/>
    </row>
    <row r="82" spans="1:5" x14ac:dyDescent="0.25">
      <c r="A82" s="88"/>
      <c r="B82" s="88"/>
      <c r="C82" s="88"/>
      <c r="D82" s="88"/>
      <c r="E82" s="88"/>
    </row>
    <row r="83" spans="1:5" x14ac:dyDescent="0.25">
      <c r="A83" s="88"/>
      <c r="B83" s="88"/>
      <c r="C83" s="88"/>
      <c r="D83" s="88"/>
      <c r="E83" s="88"/>
    </row>
    <row r="84" spans="1:5" x14ac:dyDescent="0.25">
      <c r="A84" s="88"/>
      <c r="B84" s="88"/>
      <c r="C84" s="88"/>
      <c r="D84" s="88"/>
      <c r="E84" s="88"/>
    </row>
    <row r="85" spans="1:5" x14ac:dyDescent="0.25">
      <c r="A85" s="88"/>
      <c r="B85" s="88"/>
      <c r="C85" s="88"/>
      <c r="D85" s="88"/>
      <c r="E85" s="88"/>
    </row>
    <row r="86" spans="1:5" x14ac:dyDescent="0.25">
      <c r="A86" s="88"/>
      <c r="B86" s="88"/>
      <c r="C86" s="88"/>
      <c r="D86" s="88"/>
      <c r="E86" s="88"/>
    </row>
    <row r="87" spans="1:5" x14ac:dyDescent="0.25">
      <c r="A87" s="88"/>
      <c r="B87" s="88"/>
      <c r="C87" s="88"/>
      <c r="D87" s="88"/>
      <c r="E87" s="88"/>
    </row>
    <row r="88" spans="1:5" x14ac:dyDescent="0.25">
      <c r="A88" s="88"/>
      <c r="B88" s="88"/>
      <c r="C88" s="88"/>
      <c r="D88" s="88"/>
      <c r="E88" s="88"/>
    </row>
    <row r="89" spans="1:5" x14ac:dyDescent="0.25">
      <c r="A89" s="88"/>
      <c r="B89" s="88"/>
      <c r="C89" s="88"/>
      <c r="D89" s="88"/>
      <c r="E89" s="88"/>
    </row>
    <row r="90" spans="1:5" x14ac:dyDescent="0.25">
      <c r="A90" s="88"/>
      <c r="B90" s="88"/>
      <c r="C90" s="88"/>
      <c r="D90" s="88"/>
      <c r="E90" s="88"/>
    </row>
    <row r="91" spans="1:5" x14ac:dyDescent="0.25">
      <c r="A91" s="88"/>
      <c r="B91" s="88"/>
      <c r="C91" s="88"/>
      <c r="D91" s="88"/>
      <c r="E91" s="88"/>
    </row>
    <row r="92" spans="1:5" x14ac:dyDescent="0.25">
      <c r="A92" s="88"/>
      <c r="B92" s="88"/>
      <c r="C92" s="88"/>
      <c r="D92" s="88"/>
      <c r="E92" s="88"/>
    </row>
    <row r="93" spans="1:5" x14ac:dyDescent="0.25">
      <c r="A93" s="88"/>
      <c r="B93" s="88"/>
      <c r="C93" s="88"/>
      <c r="D93" s="88"/>
      <c r="E93" s="88"/>
    </row>
    <row r="94" spans="1:5" x14ac:dyDescent="0.25">
      <c r="A94" s="88"/>
      <c r="B94" s="88"/>
      <c r="C94" s="88"/>
      <c r="D94" s="88"/>
      <c r="E94" s="88"/>
    </row>
    <row r="95" spans="1:5" x14ac:dyDescent="0.25">
      <c r="A95" s="88"/>
      <c r="B95" s="88"/>
      <c r="C95" s="88"/>
      <c r="D95" s="88"/>
      <c r="E95" s="88"/>
    </row>
    <row r="96" spans="1:5" x14ac:dyDescent="0.25">
      <c r="A96" s="88"/>
      <c r="B96" s="88"/>
      <c r="C96" s="88"/>
      <c r="D96" s="88"/>
      <c r="E96" s="88"/>
    </row>
    <row r="97" spans="1:5" x14ac:dyDescent="0.25">
      <c r="A97" s="88"/>
      <c r="B97" s="88"/>
      <c r="C97" s="88"/>
      <c r="D97" s="88"/>
      <c r="E97" s="88"/>
    </row>
    <row r="98" spans="1:5" x14ac:dyDescent="0.25">
      <c r="A98" s="88"/>
      <c r="B98" s="88"/>
      <c r="C98" s="88"/>
      <c r="D98" s="88"/>
      <c r="E98" s="88"/>
    </row>
    <row r="99" spans="1:5" x14ac:dyDescent="0.25">
      <c r="A99" s="88"/>
      <c r="B99" s="88"/>
      <c r="C99" s="88"/>
      <c r="D99" s="88"/>
      <c r="E99" s="88"/>
    </row>
    <row r="100" spans="1:5" x14ac:dyDescent="0.25">
      <c r="A100" s="88"/>
      <c r="B100" s="88"/>
      <c r="C100" s="88"/>
      <c r="D100" s="88"/>
      <c r="E100" s="88"/>
    </row>
    <row r="101" spans="1:5" x14ac:dyDescent="0.25">
      <c r="A101" s="88"/>
      <c r="B101" s="88"/>
      <c r="C101" s="88"/>
      <c r="D101" s="88"/>
      <c r="E101" s="88"/>
    </row>
    <row r="102" spans="1:5" x14ac:dyDescent="0.25">
      <c r="A102" s="88"/>
      <c r="B102" s="88"/>
      <c r="C102" s="88"/>
      <c r="D102" s="88"/>
      <c r="E102" s="88"/>
    </row>
    <row r="103" spans="1:5" x14ac:dyDescent="0.25">
      <c r="A103" s="88"/>
      <c r="B103" s="88"/>
      <c r="C103" s="88"/>
      <c r="D103" s="88"/>
      <c r="E103" s="88"/>
    </row>
    <row r="104" spans="1:5" x14ac:dyDescent="0.25">
      <c r="A104" s="88"/>
      <c r="B104" s="88"/>
      <c r="C104" s="88"/>
      <c r="D104" s="88"/>
      <c r="E104" s="88"/>
    </row>
    <row r="105" spans="1:5" x14ac:dyDescent="0.25">
      <c r="A105" s="88"/>
      <c r="B105" s="88"/>
      <c r="C105" s="88"/>
      <c r="D105" s="88"/>
      <c r="E105" s="88"/>
    </row>
    <row r="106" spans="1:5" x14ac:dyDescent="0.25">
      <c r="A106" s="88"/>
      <c r="B106" s="88"/>
      <c r="C106" s="88"/>
      <c r="D106" s="88"/>
      <c r="E106" s="88"/>
    </row>
    <row r="107" spans="1:5" x14ac:dyDescent="0.25">
      <c r="A107" s="88"/>
      <c r="B107" s="88"/>
      <c r="C107" s="88"/>
      <c r="D107" s="88"/>
      <c r="E107" s="88"/>
    </row>
    <row r="108" spans="1:5" x14ac:dyDescent="0.25">
      <c r="A108" s="88"/>
      <c r="B108" s="88"/>
      <c r="C108" s="88"/>
      <c r="D108" s="88"/>
      <c r="E108" s="88"/>
    </row>
    <row r="109" spans="1:5" x14ac:dyDescent="0.25">
      <c r="A109" s="88"/>
      <c r="B109" s="88"/>
      <c r="C109" s="88"/>
      <c r="D109" s="88"/>
      <c r="E109" s="88"/>
    </row>
    <row r="110" spans="1:5" x14ac:dyDescent="0.25">
      <c r="A110" s="88"/>
      <c r="B110" s="88"/>
      <c r="C110" s="88"/>
      <c r="D110" s="88"/>
      <c r="E110" s="88"/>
    </row>
    <row r="111" spans="1:5" x14ac:dyDescent="0.25">
      <c r="A111" s="88"/>
      <c r="B111" s="88"/>
      <c r="C111" s="88"/>
      <c r="D111" s="88"/>
      <c r="E111" s="88"/>
    </row>
    <row r="112" spans="1:5" x14ac:dyDescent="0.25">
      <c r="A112" s="88"/>
      <c r="B112" s="88"/>
      <c r="C112" s="88"/>
      <c r="D112" s="88"/>
      <c r="E112" s="88"/>
    </row>
    <row r="113" spans="1:5" x14ac:dyDescent="0.25">
      <c r="A113" s="88"/>
      <c r="B113" s="88"/>
      <c r="C113" s="88"/>
      <c r="D113" s="88"/>
      <c r="E113" s="88"/>
    </row>
    <row r="114" spans="1:5" x14ac:dyDescent="0.25">
      <c r="A114" s="88"/>
      <c r="B114" s="88"/>
      <c r="C114" s="88"/>
      <c r="D114" s="88"/>
      <c r="E114" s="88"/>
    </row>
    <row r="115" spans="1:5" x14ac:dyDescent="0.25">
      <c r="A115" s="88"/>
      <c r="B115" s="88"/>
      <c r="C115" s="88"/>
      <c r="D115" s="88"/>
      <c r="E115" s="88"/>
    </row>
    <row r="116" spans="1:5" x14ac:dyDescent="0.25">
      <c r="A116" s="88"/>
      <c r="B116" s="88"/>
      <c r="C116" s="88"/>
      <c r="D116" s="88"/>
      <c r="E116" s="88"/>
    </row>
    <row r="117" spans="1:5" x14ac:dyDescent="0.25">
      <c r="A117" s="88"/>
      <c r="B117" s="88"/>
      <c r="C117" s="88"/>
      <c r="D117" s="88"/>
      <c r="E117" s="88"/>
    </row>
    <row r="118" spans="1:5" x14ac:dyDescent="0.25">
      <c r="A118" s="88"/>
      <c r="B118" s="88"/>
      <c r="C118" s="88"/>
      <c r="D118" s="88"/>
      <c r="E118" s="88"/>
    </row>
    <row r="119" spans="1:5" x14ac:dyDescent="0.25">
      <c r="A119" s="88"/>
      <c r="B119" s="88"/>
      <c r="C119" s="88"/>
      <c r="D119" s="88"/>
      <c r="E119" s="88"/>
    </row>
    <row r="120" spans="1:5" x14ac:dyDescent="0.25">
      <c r="A120" s="88"/>
      <c r="B120" s="88"/>
      <c r="C120" s="88"/>
      <c r="D120" s="88"/>
      <c r="E120" s="88"/>
    </row>
    <row r="121" spans="1:5" x14ac:dyDescent="0.25">
      <c r="A121" s="88"/>
      <c r="B121" s="88"/>
      <c r="C121" s="88"/>
      <c r="D121" s="88"/>
      <c r="E121" s="88"/>
    </row>
    <row r="122" spans="1:5" x14ac:dyDescent="0.25">
      <c r="A122" s="88"/>
      <c r="B122" s="88"/>
      <c r="C122" s="88"/>
      <c r="D122" s="88"/>
      <c r="E122" s="88"/>
    </row>
    <row r="123" spans="1:5" x14ac:dyDescent="0.25">
      <c r="A123" s="88"/>
      <c r="B123" s="88"/>
      <c r="C123" s="88"/>
      <c r="D123" s="88"/>
      <c r="E123" s="88"/>
    </row>
    <row r="124" spans="1:5" x14ac:dyDescent="0.25">
      <c r="A124" s="88"/>
      <c r="B124" s="88"/>
      <c r="C124" s="88"/>
      <c r="D124" s="88"/>
      <c r="E124" s="88"/>
    </row>
    <row r="125" spans="1:5" x14ac:dyDescent="0.25">
      <c r="A125" s="88"/>
      <c r="B125" s="88"/>
      <c r="C125" s="88"/>
      <c r="D125" s="88"/>
      <c r="E125" s="88"/>
    </row>
    <row r="126" spans="1:5" x14ac:dyDescent="0.25">
      <c r="A126" s="88"/>
      <c r="B126" s="88"/>
      <c r="C126" s="88"/>
      <c r="D126" s="88"/>
      <c r="E126" s="88"/>
    </row>
    <row r="127" spans="1:5" x14ac:dyDescent="0.25">
      <c r="A127" s="88"/>
      <c r="B127" s="88"/>
      <c r="C127" s="88"/>
      <c r="D127" s="88"/>
      <c r="E127" s="88"/>
    </row>
    <row r="128" spans="1:5" x14ac:dyDescent="0.25">
      <c r="A128" s="88"/>
      <c r="B128" s="88"/>
      <c r="C128" s="88"/>
      <c r="D128" s="88"/>
      <c r="E128" s="88"/>
    </row>
    <row r="129" spans="1:5" x14ac:dyDescent="0.25">
      <c r="A129" s="88"/>
      <c r="B129" s="88"/>
      <c r="C129" s="88"/>
      <c r="D129" s="88"/>
      <c r="E129" s="88"/>
    </row>
    <row r="130" spans="1:5" x14ac:dyDescent="0.25">
      <c r="A130" s="88"/>
      <c r="B130" s="88"/>
      <c r="C130" s="88"/>
      <c r="D130" s="88"/>
      <c r="E130" s="88"/>
    </row>
    <row r="131" spans="1:5" x14ac:dyDescent="0.25">
      <c r="A131" s="88"/>
      <c r="B131" s="88"/>
      <c r="C131" s="88"/>
      <c r="D131" s="88"/>
      <c r="E131" s="88"/>
    </row>
    <row r="132" spans="1:5" x14ac:dyDescent="0.25">
      <c r="A132" s="88"/>
      <c r="B132" s="88"/>
      <c r="C132" s="88"/>
      <c r="D132" s="88"/>
      <c r="E132" s="88"/>
    </row>
    <row r="133" spans="1:5" x14ac:dyDescent="0.25">
      <c r="A133" s="88"/>
      <c r="B133" s="88"/>
      <c r="C133" s="88"/>
      <c r="D133" s="88"/>
      <c r="E133" s="88"/>
    </row>
    <row r="134" spans="1:5" x14ac:dyDescent="0.25">
      <c r="A134" s="88"/>
      <c r="B134" s="88"/>
      <c r="C134" s="88"/>
      <c r="D134" s="88"/>
      <c r="E134" s="88"/>
    </row>
    <row r="135" spans="1:5" x14ac:dyDescent="0.25">
      <c r="A135" s="88"/>
      <c r="B135" s="88"/>
      <c r="C135" s="88"/>
      <c r="D135" s="88"/>
      <c r="E135" s="88"/>
    </row>
    <row r="136" spans="1:5" x14ac:dyDescent="0.25">
      <c r="A136" s="88"/>
      <c r="B136" s="88"/>
      <c r="C136" s="88"/>
      <c r="D136" s="88"/>
      <c r="E136" s="88"/>
    </row>
    <row r="137" spans="1:5" x14ac:dyDescent="0.25">
      <c r="A137" s="88"/>
      <c r="B137" s="88"/>
      <c r="C137" s="88"/>
      <c r="D137" s="88"/>
      <c r="E137" s="88"/>
    </row>
    <row r="138" spans="1:5" x14ac:dyDescent="0.25">
      <c r="A138" s="88"/>
      <c r="B138" s="88"/>
      <c r="C138" s="88"/>
      <c r="D138" s="88"/>
      <c r="E138" s="88"/>
    </row>
    <row r="139" spans="1:5" x14ac:dyDescent="0.25">
      <c r="A139" s="88"/>
      <c r="B139" s="88"/>
      <c r="C139" s="88"/>
      <c r="D139" s="88"/>
      <c r="E139" s="88"/>
    </row>
    <row r="140" spans="1:5" x14ac:dyDescent="0.25">
      <c r="A140" s="88"/>
      <c r="B140" s="88"/>
      <c r="C140" s="88"/>
      <c r="D140" s="88"/>
      <c r="E140" s="88"/>
    </row>
    <row r="141" spans="1:5" x14ac:dyDescent="0.25">
      <c r="A141" s="88"/>
      <c r="B141" s="88"/>
      <c r="C141" s="88"/>
      <c r="D141" s="88"/>
      <c r="E141" s="88"/>
    </row>
    <row r="142" spans="1:5" x14ac:dyDescent="0.25">
      <c r="A142" s="88"/>
      <c r="B142" s="88"/>
      <c r="C142" s="88"/>
      <c r="D142" s="88"/>
      <c r="E142" s="88"/>
    </row>
    <row r="143" spans="1:5" x14ac:dyDescent="0.25">
      <c r="A143" s="88"/>
      <c r="B143" s="88"/>
      <c r="C143" s="88"/>
      <c r="D143" s="88"/>
      <c r="E143" s="88"/>
    </row>
    <row r="144" spans="1:5" x14ac:dyDescent="0.25">
      <c r="A144" s="88"/>
      <c r="B144" s="88"/>
      <c r="C144" s="88"/>
      <c r="D144" s="88"/>
      <c r="E144" s="88"/>
    </row>
    <row r="145" spans="1:5" x14ac:dyDescent="0.25">
      <c r="A145" s="88"/>
      <c r="B145" s="88"/>
      <c r="C145" s="88"/>
      <c r="D145" s="88"/>
      <c r="E145" s="88"/>
    </row>
    <row r="146" spans="1:5" x14ac:dyDescent="0.25">
      <c r="A146" s="88"/>
      <c r="B146" s="88"/>
      <c r="C146" s="88"/>
      <c r="D146" s="88"/>
      <c r="E146" s="88"/>
    </row>
    <row r="147" spans="1:5" x14ac:dyDescent="0.25">
      <c r="A147" s="88"/>
      <c r="B147" s="88"/>
      <c r="C147" s="88"/>
      <c r="D147" s="88"/>
      <c r="E147" s="88"/>
    </row>
    <row r="148" spans="1:5" x14ac:dyDescent="0.25">
      <c r="A148" s="88"/>
      <c r="B148" s="88"/>
      <c r="C148" s="88"/>
      <c r="D148" s="88"/>
      <c r="E148" s="88"/>
    </row>
    <row r="149" spans="1:5" x14ac:dyDescent="0.25">
      <c r="A149" s="88"/>
      <c r="B149" s="88"/>
      <c r="C149" s="88"/>
      <c r="D149" s="88"/>
      <c r="E149" s="88"/>
    </row>
    <row r="150" spans="1:5" x14ac:dyDescent="0.25">
      <c r="A150" s="88"/>
      <c r="B150" s="88"/>
      <c r="C150" s="88"/>
      <c r="D150" s="88"/>
      <c r="E150" s="88"/>
    </row>
    <row r="151" spans="1:5" x14ac:dyDescent="0.25">
      <c r="A151" s="88"/>
      <c r="B151" s="88"/>
      <c r="C151" s="88"/>
      <c r="D151" s="88"/>
      <c r="E151" s="88"/>
    </row>
    <row r="152" spans="1:5" x14ac:dyDescent="0.25">
      <c r="A152" s="88"/>
      <c r="B152" s="88"/>
      <c r="C152" s="88"/>
      <c r="D152" s="88"/>
      <c r="E152" s="88"/>
    </row>
    <row r="153" spans="1:5" x14ac:dyDescent="0.25">
      <c r="A153" s="88"/>
      <c r="B153" s="88"/>
      <c r="C153" s="88"/>
      <c r="D153" s="88"/>
      <c r="E153" s="88"/>
    </row>
    <row r="154" spans="1:5" x14ac:dyDescent="0.25">
      <c r="A154" s="88"/>
      <c r="B154" s="88"/>
      <c r="C154" s="88"/>
      <c r="D154" s="88"/>
      <c r="E154" s="88"/>
    </row>
    <row r="155" spans="1:5" x14ac:dyDescent="0.25">
      <c r="A155" s="88"/>
      <c r="B155" s="88"/>
      <c r="C155" s="88"/>
      <c r="D155" s="88"/>
      <c r="E155" s="88"/>
    </row>
    <row r="156" spans="1:5" x14ac:dyDescent="0.25">
      <c r="A156" s="88"/>
      <c r="B156" s="88"/>
      <c r="C156" s="88"/>
      <c r="D156" s="88"/>
      <c r="E156" s="88"/>
    </row>
    <row r="157" spans="1:5" x14ac:dyDescent="0.25">
      <c r="A157" s="88"/>
      <c r="B157" s="88"/>
      <c r="C157" s="88"/>
      <c r="D157" s="88"/>
      <c r="E157" s="88"/>
    </row>
    <row r="158" spans="1:5" x14ac:dyDescent="0.25">
      <c r="A158" s="88"/>
      <c r="B158" s="88"/>
      <c r="C158" s="88"/>
      <c r="D158" s="88"/>
      <c r="E158" s="88"/>
    </row>
    <row r="159" spans="1:5" x14ac:dyDescent="0.25">
      <c r="A159" s="88"/>
      <c r="B159" s="88"/>
      <c r="C159" s="88"/>
      <c r="D159" s="88"/>
      <c r="E159" s="88"/>
    </row>
    <row r="160" spans="1:5" x14ac:dyDescent="0.25">
      <c r="A160" s="88"/>
      <c r="B160" s="88"/>
      <c r="C160" s="88"/>
      <c r="D160" s="88"/>
      <c r="E160" s="88"/>
    </row>
    <row r="161" spans="1:5" x14ac:dyDescent="0.25">
      <c r="A161" s="88"/>
      <c r="B161" s="88"/>
      <c r="C161" s="88"/>
      <c r="D161" s="88"/>
      <c r="E161" s="88"/>
    </row>
    <row r="162" spans="1:5" x14ac:dyDescent="0.25">
      <c r="A162" s="88"/>
      <c r="B162" s="88"/>
      <c r="C162" s="88"/>
      <c r="D162" s="88"/>
      <c r="E162" s="88"/>
    </row>
    <row r="163" spans="1:5" x14ac:dyDescent="0.25">
      <c r="A163" s="88"/>
      <c r="B163" s="88"/>
      <c r="C163" s="88"/>
      <c r="D163" s="88"/>
      <c r="E163" s="88"/>
    </row>
    <row r="164" spans="1:5" x14ac:dyDescent="0.25">
      <c r="A164" s="88"/>
      <c r="B164" s="88"/>
      <c r="C164" s="88"/>
      <c r="D164" s="88"/>
      <c r="E164" s="88"/>
    </row>
    <row r="165" spans="1:5" x14ac:dyDescent="0.25">
      <c r="A165" s="88"/>
      <c r="B165" s="88"/>
      <c r="C165" s="88"/>
      <c r="D165" s="88"/>
      <c r="E165" s="88"/>
    </row>
    <row r="166" spans="1:5" x14ac:dyDescent="0.25">
      <c r="A166" s="88"/>
      <c r="B166" s="88"/>
      <c r="C166" s="88"/>
      <c r="D166" s="88"/>
      <c r="E166" s="88"/>
    </row>
    <row r="167" spans="1:5" x14ac:dyDescent="0.25">
      <c r="A167" s="88"/>
      <c r="B167" s="88"/>
      <c r="C167" s="88"/>
      <c r="D167" s="88"/>
      <c r="E167" s="88"/>
    </row>
    <row r="168" spans="1:5" x14ac:dyDescent="0.25">
      <c r="A168" s="88"/>
      <c r="B168" s="88"/>
      <c r="C168" s="88"/>
      <c r="D168" s="88"/>
      <c r="E168" s="88"/>
    </row>
    <row r="169" spans="1:5" x14ac:dyDescent="0.25">
      <c r="A169" s="88"/>
      <c r="B169" s="88"/>
      <c r="C169" s="88"/>
      <c r="D169" s="88"/>
      <c r="E169" s="88"/>
    </row>
    <row r="170" spans="1:5" x14ac:dyDescent="0.25">
      <c r="A170" s="88"/>
      <c r="B170" s="88"/>
      <c r="C170" s="88"/>
      <c r="D170" s="88"/>
      <c r="E170" s="88"/>
    </row>
    <row r="171" spans="1:5" x14ac:dyDescent="0.25">
      <c r="A171" s="88"/>
      <c r="B171" s="88"/>
      <c r="C171" s="88"/>
      <c r="D171" s="88"/>
      <c r="E171" s="88"/>
    </row>
    <row r="172" spans="1:5" x14ac:dyDescent="0.25">
      <c r="A172" s="88"/>
      <c r="B172" s="88"/>
      <c r="C172" s="88"/>
      <c r="D172" s="88"/>
      <c r="E172" s="88"/>
    </row>
    <row r="173" spans="1:5" x14ac:dyDescent="0.25">
      <c r="A173" s="88"/>
      <c r="B173" s="88"/>
      <c r="C173" s="88"/>
      <c r="D173" s="88"/>
      <c r="E173" s="88"/>
    </row>
    <row r="174" spans="1:5" x14ac:dyDescent="0.25">
      <c r="A174" s="88"/>
      <c r="B174" s="88"/>
      <c r="C174" s="88"/>
      <c r="D174" s="88"/>
      <c r="E174" s="88"/>
    </row>
    <row r="175" spans="1:5" x14ac:dyDescent="0.25">
      <c r="A175" s="88"/>
      <c r="B175" s="88"/>
      <c r="C175" s="88"/>
      <c r="D175" s="88"/>
      <c r="E175" s="88"/>
    </row>
    <row r="176" spans="1:5" x14ac:dyDescent="0.25">
      <c r="A176" s="88"/>
      <c r="B176" s="88"/>
      <c r="C176" s="88"/>
      <c r="D176" s="88"/>
      <c r="E176" s="88"/>
    </row>
    <row r="177" spans="1:5" x14ac:dyDescent="0.25">
      <c r="A177" s="88"/>
      <c r="B177" s="88"/>
      <c r="C177" s="88"/>
      <c r="D177" s="88"/>
      <c r="E177" s="88"/>
    </row>
    <row r="178" spans="1:5" x14ac:dyDescent="0.25">
      <c r="A178" s="88"/>
      <c r="B178" s="88"/>
      <c r="C178" s="88"/>
      <c r="D178" s="88"/>
      <c r="E178" s="88"/>
    </row>
    <row r="179" spans="1:5" x14ac:dyDescent="0.25">
      <c r="A179" s="88"/>
      <c r="B179" s="88"/>
      <c r="C179" s="88"/>
      <c r="D179" s="88"/>
      <c r="E179" s="88"/>
    </row>
    <row r="180" spans="1:5" x14ac:dyDescent="0.25">
      <c r="A180" s="88"/>
      <c r="B180" s="88"/>
      <c r="C180" s="88"/>
      <c r="D180" s="88"/>
      <c r="E180" s="88"/>
    </row>
    <row r="181" spans="1:5" x14ac:dyDescent="0.25">
      <c r="A181" s="88"/>
      <c r="B181" s="88"/>
      <c r="C181" s="88"/>
      <c r="D181" s="88"/>
      <c r="E181" s="88"/>
    </row>
    <row r="182" spans="1:5" x14ac:dyDescent="0.25">
      <c r="A182" s="88"/>
      <c r="B182" s="88"/>
      <c r="C182" s="88"/>
      <c r="D182" s="88"/>
      <c r="E182" s="88"/>
    </row>
    <row r="183" spans="1:5" x14ac:dyDescent="0.25">
      <c r="A183" s="88"/>
      <c r="B183" s="88"/>
      <c r="C183" s="88"/>
      <c r="D183" s="88"/>
      <c r="E183" s="88"/>
    </row>
    <row r="184" spans="1:5" x14ac:dyDescent="0.25">
      <c r="A184" s="88"/>
      <c r="B184" s="88"/>
      <c r="C184" s="88"/>
      <c r="D184" s="88"/>
      <c r="E184" s="88"/>
    </row>
    <row r="185" spans="1:5" x14ac:dyDescent="0.25">
      <c r="A185" s="88"/>
      <c r="B185" s="88"/>
      <c r="C185" s="88"/>
      <c r="D185" s="88"/>
      <c r="E185" s="88"/>
    </row>
    <row r="186" spans="1:5" x14ac:dyDescent="0.25">
      <c r="A186" s="88"/>
      <c r="B186" s="88"/>
      <c r="C186" s="88"/>
      <c r="D186" s="88"/>
      <c r="E186" s="88"/>
    </row>
    <row r="187" spans="1:5" x14ac:dyDescent="0.25">
      <c r="A187" s="88"/>
      <c r="B187" s="88"/>
      <c r="C187" s="88"/>
      <c r="D187" s="88"/>
      <c r="E187" s="88"/>
    </row>
    <row r="188" spans="1:5" x14ac:dyDescent="0.25">
      <c r="A188" s="88"/>
      <c r="B188" s="88"/>
      <c r="C188" s="88"/>
      <c r="D188" s="88"/>
      <c r="E188" s="88"/>
    </row>
    <row r="189" spans="1:5" x14ac:dyDescent="0.25">
      <c r="A189" s="88"/>
      <c r="B189" s="88"/>
      <c r="C189" s="88"/>
      <c r="D189" s="88"/>
      <c r="E189" s="88"/>
    </row>
    <row r="190" spans="1:5" x14ac:dyDescent="0.25">
      <c r="A190" s="88"/>
      <c r="B190" s="88"/>
      <c r="C190" s="88"/>
      <c r="D190" s="88"/>
      <c r="E190" s="88"/>
    </row>
    <row r="191" spans="1:5" x14ac:dyDescent="0.25">
      <c r="A191" s="88"/>
      <c r="B191" s="88"/>
      <c r="C191" s="88"/>
      <c r="D191" s="88"/>
      <c r="E191" s="88"/>
    </row>
    <row r="192" spans="1:5" x14ac:dyDescent="0.25">
      <c r="A192" s="88"/>
      <c r="B192" s="88"/>
      <c r="C192" s="88"/>
      <c r="D192" s="88"/>
      <c r="E192" s="88"/>
    </row>
    <row r="193" spans="1:5" x14ac:dyDescent="0.25">
      <c r="A193" s="88"/>
      <c r="B193" s="88"/>
      <c r="C193" s="88"/>
      <c r="D193" s="88"/>
      <c r="E193" s="88"/>
    </row>
    <row r="194" spans="1:5" x14ac:dyDescent="0.25">
      <c r="A194" s="88"/>
      <c r="B194" s="88"/>
      <c r="C194" s="88"/>
      <c r="D194" s="88"/>
      <c r="E194" s="88"/>
    </row>
    <row r="195" spans="1:5" x14ac:dyDescent="0.25">
      <c r="A195" s="88"/>
      <c r="B195" s="88"/>
      <c r="C195" s="88"/>
      <c r="D195" s="88"/>
      <c r="E195" s="88"/>
    </row>
    <row r="196" spans="1:5" x14ac:dyDescent="0.25">
      <c r="A196" s="88"/>
      <c r="B196" s="88"/>
      <c r="C196" s="88"/>
      <c r="D196" s="88"/>
      <c r="E196" s="88"/>
    </row>
    <row r="197" spans="1:5" x14ac:dyDescent="0.25">
      <c r="A197" s="88"/>
      <c r="B197" s="88"/>
      <c r="C197" s="88"/>
      <c r="D197" s="88"/>
      <c r="E197" s="88"/>
    </row>
    <row r="198" spans="1:5" x14ac:dyDescent="0.25">
      <c r="A198" s="88"/>
      <c r="B198" s="88"/>
      <c r="C198" s="88"/>
      <c r="D198" s="88"/>
      <c r="E198" s="88"/>
    </row>
    <row r="199" spans="1:5" x14ac:dyDescent="0.25">
      <c r="A199" s="88"/>
      <c r="B199" s="88"/>
      <c r="C199" s="88"/>
      <c r="D199" s="88"/>
      <c r="E199" s="88"/>
    </row>
    <row r="200" spans="1:5" x14ac:dyDescent="0.25">
      <c r="A200" s="88"/>
      <c r="B200" s="88"/>
      <c r="C200" s="88"/>
      <c r="D200" s="88"/>
      <c r="E200" s="88"/>
    </row>
    <row r="201" spans="1:5" x14ac:dyDescent="0.25">
      <c r="A201" s="88"/>
      <c r="B201" s="88"/>
      <c r="C201" s="88"/>
      <c r="D201" s="88"/>
      <c r="E201" s="88"/>
    </row>
    <row r="202" spans="1:5" x14ac:dyDescent="0.25">
      <c r="A202" s="88"/>
      <c r="B202" s="88"/>
      <c r="C202" s="88"/>
      <c r="D202" s="88"/>
      <c r="E202" s="88"/>
    </row>
    <row r="203" spans="1:5" x14ac:dyDescent="0.25">
      <c r="A203" s="88"/>
      <c r="B203" s="88"/>
      <c r="C203" s="88"/>
      <c r="D203" s="88"/>
      <c r="E203" s="88"/>
    </row>
    <row r="204" spans="1:5" x14ac:dyDescent="0.25">
      <c r="A204" s="88"/>
      <c r="B204" s="88"/>
      <c r="C204" s="88"/>
      <c r="D204" s="88"/>
      <c r="E204" s="88"/>
    </row>
    <row r="205" spans="1:5" x14ac:dyDescent="0.25">
      <c r="A205" s="88"/>
      <c r="B205" s="88"/>
      <c r="C205" s="88"/>
      <c r="D205" s="88"/>
      <c r="E205" s="88"/>
    </row>
    <row r="206" spans="1:5" x14ac:dyDescent="0.25">
      <c r="A206" s="88"/>
      <c r="B206" s="88"/>
      <c r="C206" s="88"/>
      <c r="D206" s="88"/>
      <c r="E206" s="88"/>
    </row>
  </sheetData>
  <mergeCells count="11">
    <mergeCell ref="N15:Q15"/>
    <mergeCell ref="B1:C1"/>
    <mergeCell ref="E1:H1"/>
    <mergeCell ref="L1:O1"/>
    <mergeCell ref="B2:C2"/>
    <mergeCell ref="B3:C3"/>
    <mergeCell ref="A25:D25"/>
    <mergeCell ref="A26:B26"/>
    <mergeCell ref="C26:D26"/>
    <mergeCell ref="N28:O28"/>
    <mergeCell ref="X28:Y2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Ventil ext</vt:lpstr>
      <vt:lpstr>Лист3</vt:lpstr>
      <vt:lpstr>Ventil Raf</vt:lpstr>
      <vt:lpstr>Raf-REG.IL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2025-04-14T17:29:50Z</dcterms:modified>
</cp:coreProperties>
</file>