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filterPrivacy="1" defaultThemeVersion="124226"/>
  <bookViews>
    <workbookView xWindow="240" yWindow="105" windowWidth="14805" windowHeight="8010"/>
  </bookViews>
  <sheets>
    <sheet name="Regenovana IL" sheetId="2" r:id="rId1"/>
    <sheet name="Cista IL" sheetId="1" r:id="rId2"/>
    <sheet name="Parametre" sheetId="3" r:id="rId3"/>
    <sheet name="Zariadenia" sheetId="4" r:id="rId4"/>
    <sheet name="Лист1" sheetId="5" r:id="rId5"/>
  </sheets>
  <externalReferences>
    <externalReference r:id="rId6"/>
  </externalReferences>
  <calcPr calcId="145621"/>
</workbook>
</file>

<file path=xl/calcChain.xml><?xml version="1.0" encoding="utf-8"?>
<calcChain xmlns="http://schemas.openxmlformats.org/spreadsheetml/2006/main">
  <c r="L38" i="2" l="1"/>
  <c r="M38" i="2"/>
  <c r="L39" i="2" l="1"/>
  <c r="M39" i="2" s="1"/>
  <c r="K39" i="2"/>
  <c r="K38" i="2"/>
  <c r="J39" i="2"/>
  <c r="J38" i="2"/>
  <c r="E61" i="2" l="1"/>
  <c r="E63" i="2" l="1"/>
  <c r="E58" i="2" l="1"/>
  <c r="B61" i="2"/>
  <c r="B63" i="2" s="1"/>
  <c r="E62" i="2"/>
  <c r="B58" i="2"/>
  <c r="B57" i="2"/>
  <c r="B56" i="2"/>
  <c r="C64" i="2" l="1"/>
  <c r="D23" i="3"/>
  <c r="C23" i="3"/>
  <c r="B23" i="3"/>
</calcChain>
</file>

<file path=xl/sharedStrings.xml><?xml version="1.0" encoding="utf-8"?>
<sst xmlns="http://schemas.openxmlformats.org/spreadsheetml/2006/main" count="268" uniqueCount="149">
  <si>
    <t>Extraktor</t>
  </si>
  <si>
    <t>F</t>
  </si>
  <si>
    <t>S</t>
  </si>
  <si>
    <t>n [kmol/h]</t>
  </si>
  <si>
    <t>xA</t>
  </si>
  <si>
    <t>xB</t>
  </si>
  <si>
    <t>xC</t>
  </si>
  <si>
    <t>Cislo prudu</t>
  </si>
  <si>
    <t>R5</t>
  </si>
  <si>
    <t>E1</t>
  </si>
  <si>
    <t>Separator Faz</t>
  </si>
  <si>
    <t>info</t>
  </si>
  <si>
    <t>Extraktor - 5 kontaktov</t>
  </si>
  <si>
    <t>Odparka Extraktora</t>
  </si>
  <si>
    <t>Odparka Rafinata</t>
  </si>
  <si>
    <t>2,3</t>
  </si>
  <si>
    <t>Materialova Bilancia</t>
  </si>
  <si>
    <t>Kontakt</t>
  </si>
  <si>
    <t>nR [kmol/h]</t>
  </si>
  <si>
    <t>n[kmol/h]</t>
  </si>
  <si>
    <t>nE [kmol/h]</t>
  </si>
  <si>
    <t>L</t>
  </si>
  <si>
    <t xml:space="preserve"> Tlak [kPa]</t>
  </si>
  <si>
    <t>Teplota [C]</t>
  </si>
  <si>
    <t>G-L</t>
  </si>
  <si>
    <t>G</t>
  </si>
  <si>
    <t>A</t>
  </si>
  <si>
    <t>MTBE</t>
  </si>
  <si>
    <t>B</t>
  </si>
  <si>
    <t>Metanol</t>
  </si>
  <si>
    <t>C</t>
  </si>
  <si>
    <t>[BMIM][HSO4]</t>
  </si>
  <si>
    <t>t=45C</t>
  </si>
  <si>
    <t>p=101.325kPa</t>
  </si>
  <si>
    <t>Zariadenie</t>
  </si>
  <si>
    <t>Tlak [kPa]</t>
  </si>
  <si>
    <t>a</t>
  </si>
  <si>
    <t>b</t>
  </si>
  <si>
    <t>c</t>
  </si>
  <si>
    <t>d</t>
  </si>
  <si>
    <t>cp</t>
  </si>
  <si>
    <t>kcal/kg/K</t>
  </si>
  <si>
    <t>kJ/kmol/K</t>
  </si>
  <si>
    <t>M [kg/kmol]</t>
  </si>
  <si>
    <t>[EMIM][HSO4]</t>
  </si>
  <si>
    <t>J/mol/K</t>
  </si>
  <si>
    <t>=</t>
  </si>
  <si>
    <t>Ficke, L. E.; Novak, R.; Brennecke, J. F. (2010) J. Chem. Eng. Data 55(11),</t>
  </si>
  <si>
    <t>T</t>
  </si>
  <si>
    <t>cp[J/mol/K]</t>
  </si>
  <si>
    <t>z ILThermo</t>
  </si>
  <si>
    <t>A [kJ/mol]</t>
  </si>
  <si>
    <t>alpha</t>
  </si>
  <si>
    <t>beta</t>
  </si>
  <si>
    <t>Tc [K]</t>
  </si>
  <si>
    <t>NIST</t>
  </si>
  <si>
    <r>
      <t>Majer, V.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Svoboda, V.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Enthalpies of Vaporization of Organic Compounds: A Critical Review and Data Compilation</t>
    </r>
    <r>
      <rPr>
        <sz val="12"/>
        <color rgb="FF000000"/>
        <rFont val="Arial"/>
        <family val="2"/>
      </rPr>
      <t>, Blackwell Scientific Publications, Oxford, 1985, 300. </t>
    </r>
  </si>
  <si>
    <r>
      <t>Andon, R.J.L.</t>
    </r>
    <r>
      <rPr>
        <sz val="12"/>
        <color rgb="FF000000"/>
        <rFont val="Arial"/>
        <family val="2"/>
      </rPr>
      <t>; </t>
    </r>
    <r>
      <rPr>
        <sz val="12"/>
        <color theme="1"/>
        <rFont val="Arial"/>
        <family val="2"/>
      </rPr>
      <t>Martin, J.F.</t>
    </r>
    <r>
      <rPr>
        <sz val="12"/>
        <color rgb="FF000000"/>
        <rFont val="Arial"/>
        <family val="2"/>
      </rPr>
      <t>, </t>
    </r>
    <r>
      <rPr>
        <i/>
        <sz val="12"/>
        <color rgb="FF000000"/>
        <rFont val="Arial"/>
        <family val="2"/>
      </rPr>
      <t>Thermodynamic properties of organic oxygen compounds. 40. Heat capacity and entropy of six ethers</t>
    </r>
    <r>
      <rPr>
        <sz val="12"/>
        <color rgb="FF000000"/>
        <rFont val="Arial"/>
        <family val="2"/>
      </rPr>
      <t>, </t>
    </r>
    <r>
      <rPr>
        <b/>
        <sz val="12"/>
        <color rgb="FF000000"/>
        <rFont val="Arial"/>
        <family val="2"/>
      </rPr>
      <t>J. Chem. Thermodynam.</t>
    </r>
    <r>
      <rPr>
        <sz val="12"/>
        <color rgb="FF000000"/>
        <rFont val="Arial"/>
        <family val="2"/>
      </rPr>
      <t>, 1975, 7, 593-606.</t>
    </r>
  </si>
  <si>
    <t>Tabulka CHI</t>
  </si>
  <si>
    <r>
      <t>i</t>
    </r>
    <r>
      <rPr>
        <b/>
        <sz val="11"/>
        <color rgb="FF1F1F1F"/>
        <rFont val="Georgia"/>
        <family val="1"/>
      </rPr>
      <t>–</t>
    </r>
    <r>
      <rPr>
        <b/>
        <i/>
        <sz val="11"/>
        <color rgb="FF1F1F1F"/>
        <rFont val="Georgia"/>
        <family val="1"/>
      </rPr>
      <t>j</t>
    </r>
  </si>
  <si>
    <r>
      <t>Δgij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</si>
  <si>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r>
      <t>Δgji</t>
    </r>
    <r>
      <rPr>
        <b/>
        <sz val="11"/>
        <color rgb="FF1F1F1F"/>
        <rFont val="Georgia"/>
        <family val="1"/>
      </rPr>
      <t>(kJ·mol</t>
    </r>
    <r>
      <rPr>
        <b/>
        <sz val="8"/>
        <color rgb="FF1F1F1F"/>
        <rFont val="Georgia"/>
        <family val="1"/>
      </rPr>
      <t>−1</t>
    </r>
    <r>
      <rPr>
        <b/>
        <sz val="11"/>
        <color rgb="FF1F1F1F"/>
        <rFont val="Georgia"/>
        <family val="1"/>
      </rPr>
      <t>)</t>
    </r>
  </si>
  <si>
    <t>rmsd</t>
  </si>
  <si>
    <t>α</t>
  </si>
  <si>
    <t>NRTL parameters</t>
  </si>
  <si>
    <r>
      <t>MTBE (1) + methanol (2) + [BMIM][HSO</t>
    </r>
    <r>
      <rPr>
        <b/>
        <sz val="8"/>
        <color rgb="FF1F1F1F"/>
        <rFont val="Georgia"/>
        <family val="1"/>
      </rPr>
      <t>4</t>
    </r>
    <r>
      <rPr>
        <b/>
        <sz val="11"/>
        <color rgb="FF1F1F1F"/>
        <rFont val="Georgia"/>
        <family val="1"/>
      </rPr>
      <t>] (3) at 318.15 K</t>
    </r>
  </si>
  <si>
    <t>1–2</t>
  </si>
  <si>
    <t>1–3</t>
  </si>
  <si>
    <t>2–3</t>
  </si>
  <si>
    <r>
      <t>τ</t>
    </r>
    <r>
      <rPr>
        <b/>
        <vertAlign val="subscript"/>
        <sz val="11"/>
        <color rgb="FF000000"/>
        <rFont val="Calibri"/>
        <family val="2"/>
      </rPr>
      <t>12</t>
    </r>
  </si>
  <si>
    <r>
      <t>τ</t>
    </r>
    <r>
      <rPr>
        <b/>
        <vertAlign val="subscript"/>
        <sz val="11"/>
        <color rgb="FF000000"/>
        <rFont val="Calibri"/>
        <family val="2"/>
      </rPr>
      <t>21</t>
    </r>
  </si>
  <si>
    <r>
      <t>τ</t>
    </r>
    <r>
      <rPr>
        <b/>
        <vertAlign val="subscript"/>
        <sz val="11"/>
        <color rgb="FF000000"/>
        <rFont val="Calibri"/>
        <family val="2"/>
      </rPr>
      <t>13</t>
    </r>
  </si>
  <si>
    <r>
      <t>τ</t>
    </r>
    <r>
      <rPr>
        <b/>
        <vertAlign val="subscript"/>
        <sz val="11"/>
        <color rgb="FF000000"/>
        <rFont val="Calibri"/>
        <family val="2"/>
      </rPr>
      <t>31</t>
    </r>
  </si>
  <si>
    <r>
      <t>τ</t>
    </r>
    <r>
      <rPr>
        <b/>
        <vertAlign val="subscript"/>
        <sz val="11"/>
        <color rgb="FF000000"/>
        <rFont val="Calibri"/>
        <family val="2"/>
      </rPr>
      <t>23</t>
    </r>
  </si>
  <si>
    <r>
      <t>τ</t>
    </r>
    <r>
      <rPr>
        <b/>
        <vertAlign val="subscript"/>
        <sz val="11"/>
        <color rgb="FF000000"/>
        <rFont val="Calibri"/>
        <family val="2"/>
      </rPr>
      <t>32</t>
    </r>
  </si>
  <si>
    <r>
      <t>G</t>
    </r>
    <r>
      <rPr>
        <b/>
        <vertAlign val="subscript"/>
        <sz val="11"/>
        <color rgb="FF000000"/>
        <rFont val="Calibri"/>
        <family val="2"/>
      </rPr>
      <t>12</t>
    </r>
  </si>
  <si>
    <r>
      <t>G</t>
    </r>
    <r>
      <rPr>
        <b/>
        <vertAlign val="subscript"/>
        <sz val="11"/>
        <color rgb="FF000000"/>
        <rFont val="Calibri"/>
        <family val="2"/>
      </rPr>
      <t>21</t>
    </r>
  </si>
  <si>
    <r>
      <t>G</t>
    </r>
    <r>
      <rPr>
        <b/>
        <vertAlign val="subscript"/>
        <sz val="11"/>
        <color rgb="FF000000"/>
        <rFont val="Calibri"/>
        <family val="2"/>
      </rPr>
      <t>13</t>
    </r>
  </si>
  <si>
    <r>
      <t>G</t>
    </r>
    <r>
      <rPr>
        <b/>
        <vertAlign val="subscript"/>
        <sz val="11"/>
        <color rgb="FF000000"/>
        <rFont val="Calibri"/>
        <family val="2"/>
      </rPr>
      <t>31</t>
    </r>
  </si>
  <si>
    <r>
      <t>G</t>
    </r>
    <r>
      <rPr>
        <b/>
        <vertAlign val="subscript"/>
        <sz val="11"/>
        <color rgb="FF000000"/>
        <rFont val="Calibri"/>
        <family val="2"/>
      </rPr>
      <t>23</t>
    </r>
  </si>
  <si>
    <r>
      <t>G</t>
    </r>
    <r>
      <rPr>
        <b/>
        <vertAlign val="subscript"/>
        <sz val="11"/>
        <color rgb="FF000000"/>
        <rFont val="Calibri"/>
        <family val="2"/>
      </rPr>
      <t>32</t>
    </r>
  </si>
  <si>
    <t>The Journal of Chemical Thermodynamics</t>
  </si>
  <si>
    <t>Volume 132, May 2019, Pages 76-82</t>
  </si>
  <si>
    <t>Antoine equation parameters (Pa)</t>
  </si>
  <si>
    <t>Odparka</t>
  </si>
  <si>
    <t>Cerpadla</t>
  </si>
  <si>
    <t>Mixer</t>
  </si>
  <si>
    <t>Ohrievac</t>
  </si>
  <si>
    <t>Kondenzator</t>
  </si>
  <si>
    <t>Skr.ventil</t>
  </si>
  <si>
    <t>SF</t>
  </si>
  <si>
    <t>D-1, D-2</t>
  </si>
  <si>
    <t>P-1, P-2, P-3, P-4, P-5</t>
  </si>
  <si>
    <t>M-1, M-2</t>
  </si>
  <si>
    <t>H-1, H-2</t>
  </si>
  <si>
    <t>K-1, K-2, K-3</t>
  </si>
  <si>
    <t>V-1, V-2, V-3</t>
  </si>
  <si>
    <t>Skratka</t>
  </si>
  <si>
    <t>Odparky</t>
  </si>
  <si>
    <t>D-1</t>
  </si>
  <si>
    <t>D-2</t>
  </si>
  <si>
    <t>Vstup</t>
  </si>
  <si>
    <t>Vystup</t>
  </si>
  <si>
    <t>P-1</t>
  </si>
  <si>
    <t>P-2</t>
  </si>
  <si>
    <t>P-3</t>
  </si>
  <si>
    <t>P-4</t>
  </si>
  <si>
    <t>P-5</t>
  </si>
  <si>
    <t>P-6</t>
  </si>
  <si>
    <t>pred</t>
  </si>
  <si>
    <t>za</t>
  </si>
  <si>
    <t>dz</t>
  </si>
  <si>
    <t>vyska [m]</t>
  </si>
  <si>
    <t>z</t>
  </si>
  <si>
    <t>do</t>
  </si>
  <si>
    <t>2,18</t>
  </si>
  <si>
    <t>10,11</t>
  </si>
  <si>
    <t>14,15</t>
  </si>
  <si>
    <t>16,17</t>
  </si>
  <si>
    <t>21,22</t>
  </si>
  <si>
    <t>23,24</t>
  </si>
  <si>
    <t>Ohrievace</t>
  </si>
  <si>
    <t>H-1</t>
  </si>
  <si>
    <t>H-2</t>
  </si>
  <si>
    <t>Prudy</t>
  </si>
  <si>
    <t>Kondenzatore</t>
  </si>
  <si>
    <t>K-1</t>
  </si>
  <si>
    <t>K-2</t>
  </si>
  <si>
    <t>K-3</t>
  </si>
  <si>
    <t>40-42</t>
  </si>
  <si>
    <t>Ventil</t>
  </si>
  <si>
    <t>V-1</t>
  </si>
  <si>
    <t>V-2</t>
  </si>
  <si>
    <t>V-3</t>
  </si>
  <si>
    <t>t/rok</t>
  </si>
  <si>
    <t>rok=dni</t>
  </si>
  <si>
    <t>hodin</t>
  </si>
  <si>
    <t>t/h</t>
  </si>
  <si>
    <t>kg/h</t>
  </si>
  <si>
    <t>Rocna celosvetova vyroba za 2022 MTBE</t>
  </si>
  <si>
    <t>kg/s</t>
  </si>
  <si>
    <t>teraz</t>
  </si>
  <si>
    <t>kmol/h</t>
  </si>
  <si>
    <t>chceme vyroba</t>
  </si>
  <si>
    <t>1% je</t>
  </si>
  <si>
    <t>koef nasobenia</t>
  </si>
  <si>
    <t>kg/kmol</t>
  </si>
  <si>
    <t>xi</t>
  </si>
  <si>
    <t>skupenstvo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</si>
</sst>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43" formatCode="_(* #,##0.00_);_(* \(#,##0.00\);_(* &quot;-&quot;??_);_(@_)"/>
    <numFmt numFmtId="164" formatCode="_(* #,##0.0000_);_(* \(#,##0.0000\);_(* &quot;-&quot;??_);_(@_)"/>
    <numFmt numFmtId="165" formatCode="0.0000"/>
    <numFmt numFmtId="166" formatCode="0.0"/>
    <numFmt numFmtId="167" formatCode="_(* #,##0.000_);_(* \(#,##0.000\);_(* &quot;-&quot;??_);_(@_)"/>
    <numFmt numFmtId="168" formatCode="0.00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38"/>
      <scheme val="minor"/>
    </font>
    <font>
      <sz val="12"/>
      <color rgb="FF000000"/>
      <name val="Arial"/>
      <family val="2"/>
    </font>
    <font>
      <sz val="12"/>
      <color theme="1"/>
      <name val="Arial"/>
      <family val="2"/>
    </font>
    <font>
      <b/>
      <sz val="12"/>
      <color rgb="FF000000"/>
      <name val="Arial"/>
      <family val="2"/>
    </font>
    <font>
      <i/>
      <sz val="12"/>
      <color rgb="FF000000"/>
      <name val="Arial"/>
      <family val="2"/>
    </font>
    <font>
      <b/>
      <i/>
      <sz val="11"/>
      <color rgb="FF1F1F1F"/>
      <name val="Georgia"/>
      <family val="1"/>
    </font>
    <font>
      <b/>
      <sz val="11"/>
      <color rgb="FF1F1F1F"/>
      <name val="Georgia"/>
      <family val="1"/>
    </font>
    <font>
      <sz val="10"/>
      <color rgb="FF1F1F1F"/>
      <name val="Georgia"/>
      <family val="1"/>
    </font>
    <font>
      <b/>
      <sz val="8"/>
      <color rgb="FF1F1F1F"/>
      <name val="Georgia"/>
      <family val="1"/>
    </font>
    <font>
      <sz val="11"/>
      <color rgb="FF1F1F1F"/>
      <name val="Georgia"/>
      <family val="1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vertAlign val="subscript"/>
      <sz val="11"/>
      <color rgb="FF000000"/>
      <name val="Calibri"/>
      <family val="2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9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rgb="FF8E8E8E"/>
      </top>
      <bottom/>
      <diagonal/>
    </border>
    <border>
      <left/>
      <right/>
      <top style="medium">
        <color rgb="FF8E8E8E"/>
      </top>
      <bottom style="medium">
        <color rgb="FF8E8E8E"/>
      </bottom>
      <diagonal/>
    </border>
    <border>
      <left/>
      <right/>
      <top/>
      <bottom style="medium">
        <color rgb="FF8E8E8E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13" fillId="0" borderId="0"/>
  </cellStyleXfs>
  <cellXfs count="241">
    <xf numFmtId="0" fontId="0" fillId="0" borderId="0" xfId="0"/>
    <xf numFmtId="0" fontId="0" fillId="0" borderId="0" xfId="0" applyAlignment="1">
      <alignment horizontal="center"/>
    </xf>
    <xf numFmtId="43" fontId="0" fillId="0" borderId="0" xfId="0" applyNumberFormat="1"/>
    <xf numFmtId="0" fontId="0" fillId="0" borderId="1" xfId="0" applyBorder="1" applyAlignment="1">
      <alignment horizontal="center"/>
    </xf>
    <xf numFmtId="0" fontId="0" fillId="0" borderId="2" xfId="0" applyBorder="1"/>
    <xf numFmtId="0" fontId="2" fillId="0" borderId="3" xfId="0" applyFont="1" applyBorder="1"/>
    <xf numFmtId="0" fontId="2" fillId="0" borderId="4" xfId="0" applyFont="1" applyBorder="1"/>
    <xf numFmtId="0" fontId="2" fillId="0" borderId="2" xfId="0" applyFont="1" applyBorder="1"/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0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2" fillId="0" borderId="5" xfId="0" applyFont="1" applyBorder="1"/>
    <xf numFmtId="0" fontId="2" fillId="0" borderId="11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164" fontId="0" fillId="0" borderId="0" xfId="1" applyNumberFormat="1" applyFont="1" applyBorder="1" applyAlignment="1">
      <alignment horizontal="right"/>
    </xf>
    <xf numFmtId="164" fontId="0" fillId="0" borderId="12" xfId="1" applyNumberFormat="1" applyFont="1" applyBorder="1" applyAlignment="1">
      <alignment horizontal="right"/>
    </xf>
    <xf numFmtId="164" fontId="0" fillId="0" borderId="14" xfId="1" applyNumberFormat="1" applyFont="1" applyBorder="1" applyAlignment="1">
      <alignment horizontal="right"/>
    </xf>
    <xf numFmtId="164" fontId="0" fillId="0" borderId="15" xfId="1" applyNumberFormat="1" applyFont="1" applyBorder="1" applyAlignment="1">
      <alignment horizontal="right"/>
    </xf>
    <xf numFmtId="0" fontId="0" fillId="0" borderId="1" xfId="0" applyBorder="1"/>
    <xf numFmtId="0" fontId="0" fillId="0" borderId="6" xfId="0" applyBorder="1"/>
    <xf numFmtId="0" fontId="0" fillId="0" borderId="7" xfId="0" applyBorder="1"/>
    <xf numFmtId="165" fontId="0" fillId="0" borderId="8" xfId="0" applyNumberFormat="1" applyBorder="1"/>
    <xf numFmtId="165" fontId="0" fillId="0" borderId="9" xfId="0" applyNumberFormat="1" applyBorder="1"/>
    <xf numFmtId="165" fontId="0" fillId="0" borderId="10" xfId="0" applyNumberFormat="1" applyBorder="1"/>
    <xf numFmtId="165" fontId="0" fillId="0" borderId="11" xfId="0" applyNumberFormat="1" applyBorder="1"/>
    <xf numFmtId="165" fontId="0" fillId="0" borderId="0" xfId="0" applyNumberFormat="1" applyBorder="1"/>
    <xf numFmtId="165" fontId="0" fillId="0" borderId="12" xfId="0" applyNumberFormat="1" applyBorder="1"/>
    <xf numFmtId="165" fontId="0" fillId="0" borderId="13" xfId="0" applyNumberFormat="1" applyBorder="1"/>
    <xf numFmtId="165" fontId="0" fillId="0" borderId="14" xfId="0" applyNumberFormat="1" applyBorder="1"/>
    <xf numFmtId="165" fontId="0" fillId="0" borderId="15" xfId="0" applyNumberFormat="1" applyBorder="1"/>
    <xf numFmtId="0" fontId="0" fillId="0" borderId="0" xfId="0" applyBorder="1"/>
    <xf numFmtId="0" fontId="0" fillId="0" borderId="1" xfId="1" quotePrefix="1" applyNumberFormat="1" applyFont="1" applyBorder="1" applyAlignment="1">
      <alignment horizontal="center"/>
    </xf>
    <xf numFmtId="11" fontId="0" fillId="0" borderId="13" xfId="1" applyNumberFormat="1" applyFont="1" applyBorder="1" applyAlignment="1">
      <alignment horizontal="center"/>
    </xf>
    <xf numFmtId="11" fontId="0" fillId="0" borderId="14" xfId="1" applyNumberFormat="1" applyFont="1" applyBorder="1" applyAlignment="1">
      <alignment horizontal="center"/>
    </xf>
    <xf numFmtId="43" fontId="0" fillId="0" borderId="0" xfId="0" applyNumberFormat="1" applyAlignment="1">
      <alignment horizontal="center"/>
    </xf>
    <xf numFmtId="11" fontId="0" fillId="0" borderId="11" xfId="1" applyNumberFormat="1" applyFont="1" applyBorder="1" applyAlignment="1">
      <alignment horizontal="right"/>
    </xf>
    <xf numFmtId="164" fontId="0" fillId="0" borderId="11" xfId="1" applyNumberFormat="1" applyFont="1" applyBorder="1" applyAlignment="1">
      <alignment horizontal="right"/>
    </xf>
    <xf numFmtId="164" fontId="0" fillId="0" borderId="13" xfId="1" applyNumberFormat="1" applyFont="1" applyBorder="1" applyAlignment="1">
      <alignment horizontal="righ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2" fontId="0" fillId="0" borderId="1" xfId="0" applyNumberFormat="1" applyBorder="1"/>
    <xf numFmtId="2" fontId="0" fillId="0" borderId="6" xfId="0" applyNumberFormat="1" applyBorder="1"/>
    <xf numFmtId="2" fontId="0" fillId="0" borderId="7" xfId="0" applyNumberFormat="1" applyBorder="1"/>
    <xf numFmtId="2" fontId="0" fillId="0" borderId="6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3" fillId="0" borderId="6" xfId="0" applyFont="1" applyBorder="1" applyAlignment="1">
      <alignment horizontal="center"/>
    </xf>
    <xf numFmtId="0" fontId="3" fillId="0" borderId="7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0" xfId="0" applyBorder="1" applyAlignment="1">
      <alignment horizontal="center"/>
    </xf>
    <xf numFmtId="0" fontId="2" fillId="0" borderId="3" xfId="0" applyFont="1" applyFill="1" applyBorder="1" applyAlignment="1">
      <alignment horizontal="center"/>
    </xf>
    <xf numFmtId="0" fontId="0" fillId="0" borderId="0" xfId="0" quotePrefix="1"/>
    <xf numFmtId="0" fontId="4" fillId="0" borderId="0" xfId="0" applyFont="1"/>
    <xf numFmtId="0" fontId="2" fillId="0" borderId="2" xfId="0" applyFont="1" applyBorder="1" applyAlignment="1">
      <alignment horizontal="center"/>
    </xf>
    <xf numFmtId="0" fontId="0" fillId="2" borderId="0" xfId="0" applyFill="1"/>
    <xf numFmtId="0" fontId="3" fillId="0" borderId="11" xfId="0" applyFont="1" applyFill="1" applyBorder="1" applyAlignment="1">
      <alignment horizontal="center"/>
    </xf>
    <xf numFmtId="0" fontId="3" fillId="0" borderId="0" xfId="0" applyFont="1" applyBorder="1" applyAlignment="1"/>
    <xf numFmtId="0" fontId="3" fillId="0" borderId="0" xfId="0" applyFont="1" applyBorder="1" applyAlignment="1">
      <alignment horizontal="center"/>
    </xf>
    <xf numFmtId="0" fontId="3" fillId="0" borderId="6" xfId="0" applyFont="1" applyFill="1" applyBorder="1" applyAlignment="1">
      <alignment horizontal="center"/>
    </xf>
    <xf numFmtId="0" fontId="5" fillId="0" borderId="0" xfId="0" applyFont="1"/>
    <xf numFmtId="0" fontId="10" fillId="0" borderId="17" xfId="0" applyFont="1" applyBorder="1" applyAlignment="1">
      <alignment horizontal="left" vertical="center"/>
    </xf>
    <xf numFmtId="0" fontId="12" fillId="0" borderId="16" xfId="0" applyFont="1" applyBorder="1" applyAlignment="1">
      <alignment horizontal="left" vertical="center"/>
    </xf>
    <xf numFmtId="165" fontId="12" fillId="0" borderId="16" xfId="0" applyNumberFormat="1" applyFont="1" applyBorder="1" applyAlignment="1">
      <alignment horizontal="left" vertical="center"/>
    </xf>
    <xf numFmtId="0" fontId="12" fillId="0" borderId="0" xfId="0" applyFont="1" applyAlignment="1">
      <alignment horizontal="left" vertical="center"/>
    </xf>
    <xf numFmtId="165" fontId="12" fillId="0" borderId="0" xfId="0" applyNumberFormat="1" applyFont="1" applyAlignment="1">
      <alignment horizontal="left" vertical="center"/>
    </xf>
    <xf numFmtId="0" fontId="12" fillId="0" borderId="18" xfId="0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0" fontId="0" fillId="0" borderId="18" xfId="0" applyBorder="1" applyAlignment="1"/>
    <xf numFmtId="0" fontId="14" fillId="0" borderId="3" xfId="2" applyFont="1" applyBorder="1" applyAlignment="1">
      <alignment horizontal="center"/>
    </xf>
    <xf numFmtId="0" fontId="14" fillId="0" borderId="4" xfId="2" applyFont="1" applyBorder="1" applyAlignment="1">
      <alignment horizontal="center"/>
    </xf>
    <xf numFmtId="0" fontId="14" fillId="0" borderId="5" xfId="2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3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/>
    </xf>
    <xf numFmtId="0" fontId="3" fillId="0" borderId="0" xfId="0" applyFont="1" applyAlignment="1">
      <alignment horizontal="center"/>
    </xf>
    <xf numFmtId="0" fontId="3" fillId="0" borderId="12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" xfId="0" applyFont="1" applyBorder="1" applyAlignment="1">
      <alignment horizontal="center"/>
    </xf>
    <xf numFmtId="0" fontId="0" fillId="0" borderId="6" xfId="0" applyFont="1" applyBorder="1" applyAlignment="1">
      <alignment horizontal="center"/>
    </xf>
    <xf numFmtId="2" fontId="0" fillId="0" borderId="1" xfId="1" applyNumberFormat="1" applyFont="1" applyBorder="1" applyAlignment="1">
      <alignment horizontal="right"/>
    </xf>
    <xf numFmtId="2" fontId="0" fillId="0" borderId="6" xfId="0" applyNumberFormat="1" applyBorder="1" applyAlignment="1">
      <alignment horizontal="right"/>
    </xf>
    <xf numFmtId="2" fontId="0" fillId="0" borderId="7" xfId="0" applyNumberFormat="1" applyBorder="1" applyAlignment="1">
      <alignment horizontal="right"/>
    </xf>
    <xf numFmtId="166" fontId="0" fillId="0" borderId="12" xfId="0" applyNumberFormat="1" applyFont="1" applyBorder="1" applyAlignment="1">
      <alignment horizontal="center"/>
    </xf>
    <xf numFmtId="166" fontId="0" fillId="0" borderId="15" xfId="0" applyNumberFormat="1" applyFont="1" applyBorder="1" applyAlignment="1">
      <alignment horizontal="center"/>
    </xf>
    <xf numFmtId="0" fontId="0" fillId="0" borderId="0" xfId="0" applyFont="1" applyBorder="1"/>
    <xf numFmtId="0" fontId="2" fillId="0" borderId="0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166" fontId="0" fillId="0" borderId="0" xfId="0" applyNumberFormat="1" applyBorder="1" applyAlignment="1">
      <alignment horizontal="center"/>
    </xf>
    <xf numFmtId="0" fontId="0" fillId="0" borderId="0" xfId="0" applyFont="1" applyBorder="1" applyAlignment="1"/>
    <xf numFmtId="0" fontId="0" fillId="0" borderId="8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166" fontId="0" fillId="0" borderId="0" xfId="0" applyNumberFormat="1" applyFont="1" applyBorder="1" applyAlignment="1">
      <alignment horizontal="center" vertical="center"/>
    </xf>
    <xf numFmtId="0" fontId="0" fillId="0" borderId="11" xfId="0" applyFont="1" applyBorder="1" applyAlignment="1">
      <alignment horizontal="center" vertical="center"/>
    </xf>
    <xf numFmtId="0" fontId="0" fillId="0" borderId="12" xfId="0" applyFont="1" applyBorder="1" applyAlignment="1">
      <alignment horizontal="center" vertical="center"/>
    </xf>
    <xf numFmtId="0" fontId="0" fillId="0" borderId="15" xfId="0" applyFont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6" xfId="0" applyFont="1" applyBorder="1" applyAlignment="1">
      <alignment horizontal="center" vertical="center"/>
    </xf>
    <xf numFmtId="0" fontId="0" fillId="0" borderId="7" xfId="0" applyFont="1" applyFill="1" applyBorder="1" applyAlignment="1">
      <alignment horizontal="center" vertical="center"/>
    </xf>
    <xf numFmtId="0" fontId="0" fillId="0" borderId="7" xfId="0" applyFont="1" applyBorder="1" applyAlignment="1">
      <alignment horizontal="center" vertical="center"/>
    </xf>
    <xf numFmtId="0" fontId="0" fillId="0" borderId="6" xfId="0" applyFill="1" applyBorder="1" applyAlignment="1">
      <alignment horizontal="center" vertical="center"/>
    </xf>
    <xf numFmtId="0" fontId="0" fillId="0" borderId="7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0" fillId="0" borderId="6" xfId="0" applyFont="1" applyFill="1" applyBorder="1" applyAlignment="1">
      <alignment horizontal="center"/>
    </xf>
    <xf numFmtId="0" fontId="0" fillId="0" borderId="7" xfId="0" applyFont="1" applyFill="1" applyBorder="1" applyAlignment="1">
      <alignment horizontal="center"/>
    </xf>
    <xf numFmtId="167" fontId="0" fillId="0" borderId="0" xfId="0" applyNumberFormat="1"/>
    <xf numFmtId="168" fontId="0" fillId="0" borderId="0" xfId="0" applyNumberFormat="1"/>
    <xf numFmtId="2" fontId="0" fillId="0" borderId="0" xfId="0" applyNumberFormat="1"/>
    <xf numFmtId="43" fontId="0" fillId="0" borderId="0" xfId="1" applyFont="1"/>
    <xf numFmtId="2" fontId="0" fillId="0" borderId="1" xfId="1" applyNumberFormat="1" applyFont="1" applyBorder="1" applyAlignment="1">
      <alignment horizontal="center"/>
    </xf>
    <xf numFmtId="2" fontId="0" fillId="0" borderId="6" xfId="1" applyNumberFormat="1" applyFont="1" applyBorder="1" applyAlignment="1">
      <alignment horizontal="center"/>
    </xf>
    <xf numFmtId="2" fontId="0" fillId="0" borderId="7" xfId="1" applyNumberFormat="1" applyFont="1" applyBorder="1" applyAlignment="1">
      <alignment horizontal="center"/>
    </xf>
    <xf numFmtId="2" fontId="0" fillId="0" borderId="0" xfId="0" applyNumberFormat="1" applyAlignment="1">
      <alignment horizontal="center"/>
    </xf>
    <xf numFmtId="165" fontId="0" fillId="0" borderId="8" xfId="1" applyNumberFormat="1" applyFont="1" applyBorder="1" applyAlignment="1">
      <alignment horizontal="center"/>
    </xf>
    <xf numFmtId="165" fontId="0" fillId="0" borderId="9" xfId="1" applyNumberFormat="1" applyFont="1" applyBorder="1" applyAlignment="1">
      <alignment horizontal="center"/>
    </xf>
    <xf numFmtId="165" fontId="0" fillId="0" borderId="10" xfId="1" applyNumberFormat="1" applyFont="1" applyBorder="1" applyAlignment="1">
      <alignment horizontal="center"/>
    </xf>
    <xf numFmtId="165" fontId="0" fillId="0" borderId="11" xfId="1" applyNumberFormat="1" applyFont="1" applyBorder="1" applyAlignment="1">
      <alignment horizontal="center"/>
    </xf>
    <xf numFmtId="165" fontId="0" fillId="0" borderId="0" xfId="1" applyNumberFormat="1" applyFont="1" applyBorder="1" applyAlignment="1">
      <alignment horizontal="center"/>
    </xf>
    <xf numFmtId="165" fontId="0" fillId="0" borderId="12" xfId="1" applyNumberFormat="1" applyFont="1" applyBorder="1" applyAlignment="1">
      <alignment horizontal="center"/>
    </xf>
    <xf numFmtId="165" fontId="0" fillId="0" borderId="13" xfId="1" applyNumberFormat="1" applyFont="1" applyBorder="1" applyAlignment="1">
      <alignment horizontal="center"/>
    </xf>
    <xf numFmtId="165" fontId="0" fillId="0" borderId="14" xfId="1" applyNumberFormat="1" applyFont="1" applyBorder="1" applyAlignment="1">
      <alignment horizontal="center"/>
    </xf>
    <xf numFmtId="165" fontId="0" fillId="0" borderId="15" xfId="1" applyNumberFormat="1" applyFont="1" applyBorder="1" applyAlignment="1">
      <alignment horizontal="center"/>
    </xf>
    <xf numFmtId="165" fontId="0" fillId="0" borderId="0" xfId="0" applyNumberFormat="1"/>
    <xf numFmtId="0" fontId="0" fillId="0" borderId="10" xfId="1" applyNumberFormat="1" applyFont="1" applyBorder="1" applyAlignment="1">
      <alignment horizontal="right"/>
    </xf>
    <xf numFmtId="0" fontId="0" fillId="0" borderId="0" xfId="1" applyNumberFormat="1" applyFont="1" applyBorder="1" applyAlignment="1">
      <alignment horizontal="right"/>
    </xf>
    <xf numFmtId="0" fontId="0" fillId="0" borderId="12" xfId="1" applyNumberFormat="1" applyFont="1" applyBorder="1" applyAlignment="1">
      <alignment horizontal="right"/>
    </xf>
    <xf numFmtId="165" fontId="0" fillId="0" borderId="9" xfId="1" applyNumberFormat="1" applyFont="1" applyBorder="1" applyAlignment="1">
      <alignment horizontal="right"/>
    </xf>
    <xf numFmtId="165" fontId="0" fillId="0" borderId="0" xfId="1" applyNumberFormat="1" applyFont="1" applyBorder="1" applyAlignment="1">
      <alignment horizontal="right"/>
    </xf>
    <xf numFmtId="165" fontId="0" fillId="0" borderId="14" xfId="1" applyNumberFormat="1" applyFont="1" applyBorder="1" applyAlignment="1">
      <alignment horizontal="right"/>
    </xf>
    <xf numFmtId="165" fontId="0" fillId="0" borderId="12" xfId="1" applyNumberFormat="1" applyFont="1" applyBorder="1" applyAlignment="1">
      <alignment horizontal="right"/>
    </xf>
    <xf numFmtId="165" fontId="0" fillId="0" borderId="15" xfId="1" applyNumberFormat="1" applyFont="1" applyBorder="1" applyAlignment="1">
      <alignment horizontal="right"/>
    </xf>
    <xf numFmtId="2" fontId="0" fillId="0" borderId="6" xfId="0" applyNumberFormat="1" applyFont="1" applyBorder="1" applyAlignment="1">
      <alignment horizontal="center" vertical="center"/>
    </xf>
    <xf numFmtId="11" fontId="0" fillId="0" borderId="0" xfId="1" applyNumberFormat="1" applyFont="1" applyBorder="1" applyAlignment="1">
      <alignment horizontal="right"/>
    </xf>
    <xf numFmtId="166" fontId="0" fillId="0" borderId="6" xfId="0" applyNumberFormat="1" applyFont="1" applyBorder="1" applyAlignment="1">
      <alignment horizontal="center" vertical="center"/>
    </xf>
    <xf numFmtId="168" fontId="0" fillId="0" borderId="1" xfId="0" applyNumberFormat="1" applyFont="1" applyBorder="1" applyAlignment="1">
      <alignment horizontal="center" vertical="center"/>
    </xf>
    <xf numFmtId="168" fontId="0" fillId="0" borderId="6" xfId="0" applyNumberFormat="1" applyFont="1" applyBorder="1" applyAlignment="1">
      <alignment horizontal="center" vertical="center"/>
    </xf>
    <xf numFmtId="168" fontId="0" fillId="0" borderId="7" xfId="0" applyNumberFormat="1" applyFont="1" applyBorder="1" applyAlignment="1">
      <alignment horizontal="center" vertical="center"/>
    </xf>
    <xf numFmtId="0" fontId="0" fillId="0" borderId="1" xfId="0" applyNumberFormat="1" applyBorder="1" applyAlignment="1">
      <alignment horizontal="center"/>
    </xf>
    <xf numFmtId="0" fontId="0" fillId="0" borderId="6" xfId="0" applyNumberFormat="1" applyBorder="1" applyAlignment="1">
      <alignment horizontal="center"/>
    </xf>
    <xf numFmtId="0" fontId="0" fillId="0" borderId="7" xfId="0" applyNumberFormat="1" applyBorder="1" applyAlignment="1">
      <alignment horizontal="center"/>
    </xf>
    <xf numFmtId="166" fontId="0" fillId="0" borderId="10" xfId="0" applyNumberFormat="1" applyFont="1" applyBorder="1" applyAlignment="1">
      <alignment horizontal="center"/>
    </xf>
    <xf numFmtId="0" fontId="0" fillId="0" borderId="6" xfId="0" applyNumberFormat="1" applyBorder="1" applyAlignment="1">
      <alignment horizontal="right"/>
    </xf>
    <xf numFmtId="0" fontId="16" fillId="0" borderId="8" xfId="0" applyFont="1" applyBorder="1" applyAlignment="1">
      <alignment horizontal="left"/>
    </xf>
    <xf numFmtId="0" fontId="16" fillId="0" borderId="9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7" fillId="0" borderId="1" xfId="0" applyNumberFormat="1" applyFont="1" applyBorder="1" applyAlignment="1">
      <alignment horizontal="left"/>
    </xf>
    <xf numFmtId="0" fontId="17" fillId="0" borderId="1" xfId="0" applyFont="1" applyBorder="1" applyAlignment="1">
      <alignment horizontal="left"/>
    </xf>
    <xf numFmtId="168" fontId="17" fillId="0" borderId="1" xfId="0" applyNumberFormat="1" applyFont="1" applyBorder="1" applyAlignment="1">
      <alignment horizontal="left" vertical="center"/>
    </xf>
    <xf numFmtId="2" fontId="17" fillId="0" borderId="1" xfId="1" applyNumberFormat="1" applyFont="1" applyBorder="1" applyAlignment="1">
      <alignment horizontal="left"/>
    </xf>
    <xf numFmtId="165" fontId="17" fillId="0" borderId="9" xfId="1" applyNumberFormat="1" applyFont="1" applyBorder="1" applyAlignment="1">
      <alignment horizontal="left"/>
    </xf>
    <xf numFmtId="0" fontId="17" fillId="0" borderId="10" xfId="1" applyNumberFormat="1" applyFont="1" applyBorder="1" applyAlignment="1">
      <alignment horizontal="left"/>
    </xf>
    <xf numFmtId="0" fontId="17" fillId="0" borderId="6" xfId="0" applyNumberFormat="1" applyFont="1" applyBorder="1" applyAlignment="1">
      <alignment horizontal="left"/>
    </xf>
    <xf numFmtId="0" fontId="17" fillId="0" borderId="6" xfId="0" applyFont="1" applyBorder="1" applyAlignment="1">
      <alignment horizontal="left"/>
    </xf>
    <xf numFmtId="168" fontId="17" fillId="0" borderId="6" xfId="0" applyNumberFormat="1" applyFont="1" applyBorder="1" applyAlignment="1">
      <alignment horizontal="left" vertical="center"/>
    </xf>
    <xf numFmtId="2" fontId="17" fillId="0" borderId="6" xfId="0" applyNumberFormat="1" applyFont="1" applyBorder="1" applyAlignment="1">
      <alignment horizontal="left"/>
    </xf>
    <xf numFmtId="165" fontId="17" fillId="0" borderId="0" xfId="1" applyNumberFormat="1" applyFont="1" applyBorder="1" applyAlignment="1">
      <alignment horizontal="left"/>
    </xf>
    <xf numFmtId="0" fontId="17" fillId="0" borderId="12" xfId="1" applyNumberFormat="1" applyFont="1" applyBorder="1" applyAlignment="1">
      <alignment horizontal="left"/>
    </xf>
    <xf numFmtId="0" fontId="17" fillId="0" borderId="0" xfId="1" applyNumberFormat="1" applyFont="1" applyBorder="1" applyAlignment="1">
      <alignment horizontal="left"/>
    </xf>
    <xf numFmtId="165" fontId="17" fillId="0" borderId="12" xfId="1" applyNumberFormat="1" applyFont="1" applyBorder="1" applyAlignment="1">
      <alignment horizontal="left"/>
    </xf>
    <xf numFmtId="166" fontId="17" fillId="0" borderId="6" xfId="0" applyNumberFormat="1" applyFont="1" applyBorder="1" applyAlignment="1">
      <alignment horizontal="left" vertical="center"/>
    </xf>
    <xf numFmtId="2" fontId="17" fillId="0" borderId="6" xfId="0" applyNumberFormat="1" applyFont="1" applyBorder="1" applyAlignment="1">
      <alignment horizontal="left" vertical="center"/>
    </xf>
    <xf numFmtId="11" fontId="17" fillId="0" borderId="0" xfId="1" applyNumberFormat="1" applyFont="1" applyBorder="1" applyAlignment="1">
      <alignment horizontal="left"/>
    </xf>
    <xf numFmtId="0" fontId="17" fillId="0" borderId="6" xfId="0" applyFont="1" applyFill="1" applyBorder="1" applyAlignment="1">
      <alignment horizontal="left"/>
    </xf>
    <xf numFmtId="0" fontId="17" fillId="0" borderId="7" xfId="0" applyNumberFormat="1" applyFont="1" applyBorder="1" applyAlignment="1">
      <alignment horizontal="left"/>
    </xf>
    <xf numFmtId="0" fontId="17" fillId="0" borderId="7" xfId="0" applyFont="1" applyFill="1" applyBorder="1" applyAlignment="1">
      <alignment horizontal="left"/>
    </xf>
    <xf numFmtId="168" fontId="17" fillId="0" borderId="7" xfId="0" applyNumberFormat="1" applyFont="1" applyBorder="1" applyAlignment="1">
      <alignment horizontal="left" vertical="center"/>
    </xf>
    <xf numFmtId="2" fontId="17" fillId="0" borderId="7" xfId="0" applyNumberFormat="1" applyFont="1" applyBorder="1" applyAlignment="1">
      <alignment horizontal="left"/>
    </xf>
    <xf numFmtId="165" fontId="17" fillId="0" borderId="14" xfId="1" applyNumberFormat="1" applyFont="1" applyBorder="1" applyAlignment="1">
      <alignment horizontal="left"/>
    </xf>
    <xf numFmtId="165" fontId="17" fillId="0" borderId="15" xfId="1" applyNumberFormat="1" applyFont="1" applyBorder="1" applyAlignment="1">
      <alignment horizontal="left"/>
    </xf>
    <xf numFmtId="1" fontId="17" fillId="0" borderId="10" xfId="0" applyNumberFormat="1" applyFont="1" applyBorder="1" applyAlignment="1">
      <alignment horizontal="left"/>
    </xf>
    <xf numFmtId="1" fontId="17" fillId="0" borderId="12" xfId="0" applyNumberFormat="1" applyFont="1" applyBorder="1" applyAlignment="1">
      <alignment horizontal="left"/>
    </xf>
    <xf numFmtId="1" fontId="17" fillId="0" borderId="15" xfId="0" applyNumberFormat="1" applyFont="1" applyBorder="1" applyAlignment="1">
      <alignment horizontal="left"/>
    </xf>
    <xf numFmtId="0" fontId="2" fillId="0" borderId="3" xfId="0" applyFont="1" applyBorder="1" applyAlignment="1">
      <alignment horizontal="center"/>
    </xf>
    <xf numFmtId="0" fontId="2" fillId="0" borderId="4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0" borderId="8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1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2" fillId="0" borderId="8" xfId="0" applyFont="1" applyBorder="1" applyAlignment="1">
      <alignment horizontal="center" wrapText="1"/>
    </xf>
    <xf numFmtId="0" fontId="2" fillId="0" borderId="13" xfId="0" applyFont="1" applyBorder="1" applyAlignment="1">
      <alignment horizontal="center" wrapText="1"/>
    </xf>
    <xf numFmtId="0" fontId="2" fillId="0" borderId="10" xfId="0" applyFont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9" fillId="0" borderId="17" xfId="0" applyFont="1" applyBorder="1" applyAlignment="1">
      <alignment horizontal="left" vertical="center" wrapText="1"/>
    </xf>
    <xf numFmtId="0" fontId="0" fillId="0" borderId="0" xfId="0" applyBorder="1" applyAlignment="1">
      <alignment horizontal="center"/>
    </xf>
    <xf numFmtId="0" fontId="3" fillId="0" borderId="13" xfId="0" applyFont="1" applyBorder="1" applyAlignment="1">
      <alignment horizontal="center"/>
    </xf>
    <xf numFmtId="0" fontId="3" fillId="0" borderId="14" xfId="0" applyFont="1" applyBorder="1" applyAlignment="1">
      <alignment horizontal="center"/>
    </xf>
    <xf numFmtId="0" fontId="3" fillId="0" borderId="15" xfId="0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8" fillId="0" borderId="16" xfId="0" applyFont="1" applyBorder="1" applyAlignment="1">
      <alignment horizontal="left" vertical="center"/>
    </xf>
    <xf numFmtId="0" fontId="8" fillId="0" borderId="18" xfId="0" applyFont="1" applyBorder="1" applyAlignment="1">
      <alignment horizontal="left" vertical="center"/>
    </xf>
    <xf numFmtId="0" fontId="9" fillId="0" borderId="17" xfId="0" applyFont="1" applyBorder="1" applyAlignment="1">
      <alignment horizontal="left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17" fillId="0" borderId="4" xfId="0" applyFont="1" applyBorder="1" applyAlignment="1">
      <alignment horizontal="left"/>
    </xf>
    <xf numFmtId="0" fontId="16" fillId="0" borderId="8" xfId="0" applyFont="1" applyBorder="1" applyAlignment="1">
      <alignment horizontal="left" wrapText="1"/>
    </xf>
    <xf numFmtId="0" fontId="16" fillId="0" borderId="13" xfId="0" applyFont="1" applyBorder="1" applyAlignment="1">
      <alignment horizontal="left" wrapText="1"/>
    </xf>
    <xf numFmtId="0" fontId="16" fillId="0" borderId="9" xfId="0" applyFont="1" applyBorder="1" applyAlignment="1">
      <alignment horizontal="left"/>
    </xf>
    <xf numFmtId="0" fontId="16" fillId="0" borderId="14" xfId="0" applyFont="1" applyBorder="1" applyAlignment="1">
      <alignment horizontal="left"/>
    </xf>
    <xf numFmtId="0" fontId="16" fillId="0" borderId="10" xfId="0" applyFont="1" applyBorder="1" applyAlignment="1">
      <alignment horizontal="left"/>
    </xf>
    <xf numFmtId="0" fontId="16" fillId="0" borderId="15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  <xf numFmtId="0" fontId="16" fillId="0" borderId="7" xfId="0" applyFont="1" applyBorder="1" applyAlignment="1">
      <alignment horizontal="left" wrapText="1"/>
    </xf>
  </cellXfs>
  <cellStyles count="3">
    <cellStyle name="Normal 2" xfId="2"/>
    <cellStyle name="Обычный" xfId="0" builtinId="0"/>
    <cellStyle name="Финансовый" xfId="1" builtinId="3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6180358705161852"/>
                  <c:y val="-6.5799066783318752E-4"/>
                </c:manualLayout>
              </c:layout>
              <c:numFmt formatCode="General" sourceLinked="0"/>
            </c:trendlineLbl>
          </c:trendline>
          <c:xVal>
            <c:numRef>
              <c:f>'[1]Ventil ext'!$A$42:$A$48</c:f>
              <c:numCache>
                <c:formatCode>General</c:formatCode>
                <c:ptCount val="7"/>
                <c:pt idx="0">
                  <c:v>283.14999999999998</c:v>
                </c:pt>
                <c:pt idx="1">
                  <c:v>293.14999999999998</c:v>
                </c:pt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'[1]Ventil ext'!$B$42:$B$48</c:f>
              <c:numCache>
                <c:formatCode>General</c:formatCode>
                <c:ptCount val="7"/>
                <c:pt idx="0">
                  <c:v>290</c:v>
                </c:pt>
                <c:pt idx="1">
                  <c:v>294</c:v>
                </c:pt>
                <c:pt idx="2">
                  <c:v>297</c:v>
                </c:pt>
                <c:pt idx="3">
                  <c:v>302</c:v>
                </c:pt>
                <c:pt idx="4">
                  <c:v>306</c:v>
                </c:pt>
                <c:pt idx="5">
                  <c:v>313</c:v>
                </c:pt>
                <c:pt idx="6">
                  <c:v>324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6513792"/>
        <c:axId val="145199104"/>
      </c:scatterChart>
      <c:valAx>
        <c:axId val="136513792"/>
        <c:scaling>
          <c:orientation val="minMax"/>
          <c:max val="350"/>
          <c:min val="280"/>
        </c:scaling>
        <c:delete val="0"/>
        <c:axPos val="b"/>
        <c:numFmt formatCode="General" sourceLinked="1"/>
        <c:majorTickMark val="out"/>
        <c:minorTickMark val="none"/>
        <c:tickLblPos val="nextTo"/>
        <c:crossAx val="145199104"/>
        <c:crosses val="autoZero"/>
        <c:crossBetween val="midCat"/>
      </c:valAx>
      <c:valAx>
        <c:axId val="145199104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365137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sk-SK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smoothMarker"/>
        <c:varyColors val="0"/>
        <c:ser>
          <c:idx val="0"/>
          <c:order val="0"/>
          <c:trendline>
            <c:trendlineType val="poly"/>
            <c:order val="2"/>
            <c:dispRSqr val="0"/>
            <c:dispEq val="1"/>
            <c:trendlineLbl>
              <c:layout>
                <c:manualLayout>
                  <c:x val="-0.36180358705161852"/>
                  <c:y val="-6.5799066783318752E-4"/>
                </c:manualLayout>
              </c:layout>
              <c:numFmt formatCode="General" sourceLinked="0"/>
            </c:trendlineLbl>
          </c:trendline>
          <c:xVal>
            <c:numRef>
              <c:f>'[1]Ventil ext'!$A$42:$A$48</c:f>
              <c:numCache>
                <c:formatCode>General</c:formatCode>
                <c:ptCount val="7"/>
                <c:pt idx="0">
                  <c:v>283.14999999999998</c:v>
                </c:pt>
                <c:pt idx="1">
                  <c:v>293.14999999999998</c:v>
                </c:pt>
                <c:pt idx="2">
                  <c:v>303.14999999999998</c:v>
                </c:pt>
                <c:pt idx="3">
                  <c:v>313.14999999999998</c:v>
                </c:pt>
                <c:pt idx="4">
                  <c:v>323.14999999999998</c:v>
                </c:pt>
                <c:pt idx="5">
                  <c:v>333.15</c:v>
                </c:pt>
                <c:pt idx="6">
                  <c:v>343.15</c:v>
                </c:pt>
              </c:numCache>
            </c:numRef>
          </c:xVal>
          <c:yVal>
            <c:numRef>
              <c:f>'[1]Ventil ext'!$B$42:$B$48</c:f>
              <c:numCache>
                <c:formatCode>General</c:formatCode>
                <c:ptCount val="7"/>
                <c:pt idx="0">
                  <c:v>290</c:v>
                </c:pt>
                <c:pt idx="1">
                  <c:v>294</c:v>
                </c:pt>
                <c:pt idx="2">
                  <c:v>297</c:v>
                </c:pt>
                <c:pt idx="3">
                  <c:v>302</c:v>
                </c:pt>
                <c:pt idx="4">
                  <c:v>306</c:v>
                </c:pt>
                <c:pt idx="5">
                  <c:v>313</c:v>
                </c:pt>
                <c:pt idx="6">
                  <c:v>324</c:v>
                </c:pt>
              </c:numCache>
            </c:numRef>
          </c:yVal>
          <c:smooth val="1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5211392"/>
        <c:axId val="145212928"/>
      </c:scatterChart>
      <c:valAx>
        <c:axId val="145211392"/>
        <c:scaling>
          <c:orientation val="minMax"/>
          <c:max val="350"/>
          <c:min val="280"/>
        </c:scaling>
        <c:delete val="0"/>
        <c:axPos val="b"/>
        <c:numFmt formatCode="General" sourceLinked="1"/>
        <c:majorTickMark val="out"/>
        <c:minorTickMark val="none"/>
        <c:tickLblPos val="nextTo"/>
        <c:crossAx val="145212928"/>
        <c:crosses val="autoZero"/>
        <c:crossBetween val="midCat"/>
      </c:valAx>
      <c:valAx>
        <c:axId val="145212928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145211392"/>
        <c:crosses val="autoZero"/>
        <c:crossBetween val="midCat"/>
      </c:valAx>
    </c:plotArea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7" Type="http://schemas.openxmlformats.org/officeDocument/2006/relationships/image" Target="../media/image6.png"/><Relationship Id="rId2" Type="http://schemas.openxmlformats.org/officeDocument/2006/relationships/image" Target="../media/image2.png"/><Relationship Id="rId1" Type="http://schemas.openxmlformats.org/officeDocument/2006/relationships/chart" Target="../charts/chart1.xml"/><Relationship Id="rId6" Type="http://schemas.openxmlformats.org/officeDocument/2006/relationships/chart" Target="../charts/chart2.xml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228600</xdr:colOff>
      <xdr:row>7</xdr:row>
      <xdr:rowOff>87403</xdr:rowOff>
    </xdr:from>
    <xdr:to>
      <xdr:col>26</xdr:col>
      <xdr:colOff>360506</xdr:colOff>
      <xdr:row>35</xdr:row>
      <xdr:rowOff>132610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10350" y="1449478"/>
          <a:ext cx="10590356" cy="541730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180975</xdr:colOff>
      <xdr:row>0</xdr:row>
      <xdr:rowOff>0</xdr:rowOff>
    </xdr:from>
    <xdr:to>
      <xdr:col>20</xdr:col>
      <xdr:colOff>370030</xdr:colOff>
      <xdr:row>21</xdr:row>
      <xdr:rowOff>196485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4657725" y="0"/>
          <a:ext cx="8113855" cy="431128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709612</xdr:colOff>
      <xdr:row>22</xdr:row>
      <xdr:rowOff>14287</xdr:rowOff>
    </xdr:from>
    <xdr:to>
      <xdr:col>19</xdr:col>
      <xdr:colOff>509587</xdr:colOff>
      <xdr:row>36</xdr:row>
      <xdr:rowOff>90487</xdr:rowOff>
    </xdr:to>
    <xdr:graphicFrame macro="">
      <xdr:nvGraphicFramePr>
        <xdr:cNvPr id="3" name="Диаграмма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2</xdr:col>
      <xdr:colOff>85725</xdr:colOff>
      <xdr:row>35</xdr:row>
      <xdr:rowOff>180975</xdr:rowOff>
    </xdr:from>
    <xdr:to>
      <xdr:col>8</xdr:col>
      <xdr:colOff>351879</xdr:colOff>
      <xdr:row>39</xdr:row>
      <xdr:rowOff>152299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24675" y="3981450"/>
          <a:ext cx="3799929" cy="73332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30</xdr:row>
      <xdr:rowOff>152399</xdr:rowOff>
    </xdr:from>
    <xdr:to>
      <xdr:col>5</xdr:col>
      <xdr:colOff>57150</xdr:colOff>
      <xdr:row>33</xdr:row>
      <xdr:rowOff>172727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" y="5981699"/>
          <a:ext cx="1666875" cy="601353"/>
        </a:xfrm>
        <a:prstGeom prst="rect">
          <a:avLst/>
        </a:prstGeom>
      </xdr:spPr>
    </xdr:pic>
    <xdr:clientData/>
  </xdr:twoCellAnchor>
  <xdr:twoCellAnchor editAs="oneCell">
    <xdr:from>
      <xdr:col>5</xdr:col>
      <xdr:colOff>96611</xdr:colOff>
      <xdr:row>31</xdr:row>
      <xdr:rowOff>17691</xdr:rowOff>
    </xdr:from>
    <xdr:to>
      <xdr:col>10</xdr:col>
      <xdr:colOff>223930</xdr:colOff>
      <xdr:row>35</xdr:row>
      <xdr:rowOff>89544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516086" y="6047016"/>
          <a:ext cx="3175319" cy="843378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41</xdr:row>
      <xdr:rowOff>19050</xdr:rowOff>
    </xdr:from>
    <xdr:to>
      <xdr:col>8</xdr:col>
      <xdr:colOff>608896</xdr:colOff>
      <xdr:row>44</xdr:row>
      <xdr:rowOff>8093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7991475"/>
          <a:ext cx="5085646" cy="560543"/>
        </a:xfrm>
        <a:prstGeom prst="rect">
          <a:avLst/>
        </a:prstGeom>
      </xdr:spPr>
    </xdr:pic>
    <xdr:clientData/>
  </xdr:twoCellAnchor>
  <xdr:twoCellAnchor>
    <xdr:from>
      <xdr:col>12</xdr:col>
      <xdr:colOff>709612</xdr:colOff>
      <xdr:row>22</xdr:row>
      <xdr:rowOff>14287</xdr:rowOff>
    </xdr:from>
    <xdr:to>
      <xdr:col>19</xdr:col>
      <xdr:colOff>509587</xdr:colOff>
      <xdr:row>36</xdr:row>
      <xdr:rowOff>90487</xdr:rowOff>
    </xdr:to>
    <xdr:graphicFrame macro="">
      <xdr:nvGraphicFramePr>
        <xdr:cNvPr id="9" name="Диаграмма 8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 editAs="oneCell">
    <xdr:from>
      <xdr:col>2</xdr:col>
      <xdr:colOff>85725</xdr:colOff>
      <xdr:row>35</xdr:row>
      <xdr:rowOff>180975</xdr:rowOff>
    </xdr:from>
    <xdr:to>
      <xdr:col>9</xdr:col>
      <xdr:colOff>104229</xdr:colOff>
      <xdr:row>39</xdr:row>
      <xdr:rowOff>142774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76400" y="6981825"/>
          <a:ext cx="3923754" cy="733324"/>
        </a:xfrm>
        <a:prstGeom prst="rect">
          <a:avLst/>
        </a:prstGeom>
      </xdr:spPr>
    </xdr:pic>
    <xdr:clientData/>
  </xdr:twoCellAnchor>
  <xdr:twoCellAnchor editAs="oneCell">
    <xdr:from>
      <xdr:col>2</xdr:col>
      <xdr:colOff>38100</xdr:colOff>
      <xdr:row>30</xdr:row>
      <xdr:rowOff>152399</xdr:rowOff>
    </xdr:from>
    <xdr:to>
      <xdr:col>5</xdr:col>
      <xdr:colOff>419100</xdr:colOff>
      <xdr:row>33</xdr:row>
      <xdr:rowOff>163202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1628775" y="5981699"/>
          <a:ext cx="1847850" cy="591828"/>
        </a:xfrm>
        <a:prstGeom prst="rect">
          <a:avLst/>
        </a:prstGeom>
      </xdr:spPr>
    </xdr:pic>
    <xdr:clientData/>
  </xdr:twoCellAnchor>
  <xdr:twoCellAnchor editAs="oneCell">
    <xdr:from>
      <xdr:col>5</xdr:col>
      <xdr:colOff>96611</xdr:colOff>
      <xdr:row>31</xdr:row>
      <xdr:rowOff>17691</xdr:rowOff>
    </xdr:from>
    <xdr:to>
      <xdr:col>10</xdr:col>
      <xdr:colOff>223930</xdr:colOff>
      <xdr:row>35</xdr:row>
      <xdr:rowOff>80019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3335111" y="6047016"/>
          <a:ext cx="3175319" cy="833853"/>
        </a:xfrm>
        <a:prstGeom prst="rect">
          <a:avLst/>
        </a:prstGeom>
      </xdr:spPr>
    </xdr:pic>
    <xdr:clientData/>
  </xdr:twoCellAnchor>
  <xdr:twoCellAnchor editAs="oneCell">
    <xdr:from>
      <xdr:col>0</xdr:col>
      <xdr:colOff>590550</xdr:colOff>
      <xdr:row>41</xdr:row>
      <xdr:rowOff>19050</xdr:rowOff>
    </xdr:from>
    <xdr:to>
      <xdr:col>8</xdr:col>
      <xdr:colOff>599371</xdr:colOff>
      <xdr:row>44</xdr:row>
      <xdr:rowOff>8093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590550" y="7991475"/>
          <a:ext cx="4895146" cy="560543"/>
        </a:xfrm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47</xdr:row>
      <xdr:rowOff>0</xdr:rowOff>
    </xdr:from>
    <xdr:to>
      <xdr:col>19</xdr:col>
      <xdr:colOff>540024</xdr:colOff>
      <xdr:row>49</xdr:row>
      <xdr:rowOff>17261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8724900" y="9134475"/>
          <a:ext cx="3588024" cy="417311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188137</xdr:colOff>
      <xdr:row>0</xdr:row>
      <xdr:rowOff>0</xdr:rowOff>
    </xdr:from>
    <xdr:to>
      <xdr:col>13</xdr:col>
      <xdr:colOff>542924</xdr:colOff>
      <xdr:row>11</xdr:row>
      <xdr:rowOff>38100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350312" y="0"/>
          <a:ext cx="7060387" cy="21526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Sasha/Desktop/bak24-25/ventil%20ILcista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Ventil ext"/>
      <sheetName val="Лист3"/>
      <sheetName val="Ventil Raf"/>
      <sheetName val="Raf-REG.IL"/>
    </sheetNames>
    <sheetDataSet>
      <sheetData sheetId="0">
        <row r="42">
          <cell r="A42">
            <v>283.14999999999998</v>
          </cell>
          <cell r="B42">
            <v>290</v>
          </cell>
        </row>
        <row r="43">
          <cell r="A43">
            <v>293.14999999999998</v>
          </cell>
          <cell r="B43">
            <v>294</v>
          </cell>
        </row>
        <row r="44">
          <cell r="A44">
            <v>303.14999999999998</v>
          </cell>
          <cell r="B44">
            <v>297</v>
          </cell>
        </row>
        <row r="45">
          <cell r="A45">
            <v>313.14999999999998</v>
          </cell>
          <cell r="B45">
            <v>302</v>
          </cell>
        </row>
        <row r="46">
          <cell r="A46">
            <v>323.14999999999998</v>
          </cell>
          <cell r="B46">
            <v>306</v>
          </cell>
        </row>
        <row r="47">
          <cell r="A47">
            <v>333.15</v>
          </cell>
          <cell r="B47">
            <v>313</v>
          </cell>
        </row>
        <row r="48">
          <cell r="A48">
            <v>343.15</v>
          </cell>
          <cell r="B48">
            <v>324</v>
          </cell>
        </row>
      </sheetData>
      <sheetData sheetId="1"/>
      <sheetData sheetId="2"/>
      <sheetData sheetId="3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6"/>
  <sheetViews>
    <sheetView tabSelected="1" topLeftCell="A9" workbookViewId="0">
      <selection activeCell="E32" sqref="E32"/>
    </sheetView>
  </sheetViews>
  <sheetFormatPr defaultRowHeight="15" x14ac:dyDescent="0.25"/>
  <cols>
    <col min="1" max="1" width="11.140625" bestFit="1" customWidth="1"/>
    <col min="2" max="2" width="10.7109375" customWidth="1"/>
    <col min="3" max="3" width="10" customWidth="1"/>
    <col min="4" max="4" width="11" bestFit="1" customWidth="1"/>
    <col min="5" max="5" width="10.42578125" bestFit="1" customWidth="1"/>
    <col min="6" max="6" width="8.28515625" customWidth="1"/>
    <col min="7" max="8" width="6.5703125" customWidth="1"/>
    <col min="12" max="12" width="10.5703125" bestFit="1" customWidth="1"/>
  </cols>
  <sheetData>
    <row r="1" spans="1:8" x14ac:dyDescent="0.25">
      <c r="A1" s="50" t="s">
        <v>26</v>
      </c>
      <c r="B1" s="200" t="s">
        <v>27</v>
      </c>
      <c r="C1" s="201"/>
    </row>
    <row r="2" spans="1:8" x14ac:dyDescent="0.25">
      <c r="A2" s="51" t="s">
        <v>28</v>
      </c>
      <c r="B2" s="202" t="s">
        <v>29</v>
      </c>
      <c r="C2" s="203"/>
    </row>
    <row r="3" spans="1:8" ht="15.75" thickBot="1" x14ac:dyDescent="0.3">
      <c r="A3" s="52" t="s">
        <v>30</v>
      </c>
      <c r="B3" s="204" t="s">
        <v>31</v>
      </c>
      <c r="C3" s="205"/>
    </row>
    <row r="6" spans="1:8" ht="15.75" thickBot="1" x14ac:dyDescent="0.3"/>
    <row r="7" spans="1:8" ht="15.75" thickBot="1" x14ac:dyDescent="0.3">
      <c r="A7" s="198" t="s">
        <v>16</v>
      </c>
      <c r="B7" s="199"/>
      <c r="C7" s="199"/>
      <c r="D7" s="199"/>
      <c r="E7" s="199"/>
      <c r="F7" s="199"/>
      <c r="G7" s="199"/>
      <c r="H7" s="206"/>
    </row>
    <row r="8" spans="1:8" ht="15.75" thickBot="1" x14ac:dyDescent="0.3">
      <c r="A8" s="212" t="s">
        <v>148</v>
      </c>
      <c r="B8" s="209" t="s">
        <v>23</v>
      </c>
      <c r="C8" s="214" t="s">
        <v>22</v>
      </c>
      <c r="D8" s="207" t="s">
        <v>7</v>
      </c>
      <c r="E8" s="209" t="s">
        <v>3</v>
      </c>
      <c r="F8" s="211" t="s">
        <v>147</v>
      </c>
      <c r="G8" s="211"/>
      <c r="H8" s="211"/>
    </row>
    <row r="9" spans="1:8" ht="15.75" thickBot="1" x14ac:dyDescent="0.3">
      <c r="A9" s="213"/>
      <c r="B9" s="210"/>
      <c r="C9" s="215"/>
      <c r="D9" s="208"/>
      <c r="E9" s="210"/>
      <c r="F9" s="13" t="s">
        <v>26</v>
      </c>
      <c r="G9" s="11" t="s">
        <v>28</v>
      </c>
      <c r="H9" s="12" t="s">
        <v>30</v>
      </c>
    </row>
    <row r="10" spans="1:8" x14ac:dyDescent="0.25">
      <c r="A10" s="90" t="s">
        <v>21</v>
      </c>
      <c r="B10" s="166">
        <v>25</v>
      </c>
      <c r="C10" s="160">
        <v>101.325</v>
      </c>
      <c r="D10" s="163">
        <v>1</v>
      </c>
      <c r="E10" s="92">
        <v>531.13269542899855</v>
      </c>
      <c r="F10" s="152">
        <v>0.54</v>
      </c>
      <c r="G10" s="152">
        <v>0.46</v>
      </c>
      <c r="H10" s="149">
        <v>0</v>
      </c>
    </row>
    <row r="11" spans="1:8" x14ac:dyDescent="0.25">
      <c r="A11" s="91" t="s">
        <v>21</v>
      </c>
      <c r="B11" s="95">
        <v>45</v>
      </c>
      <c r="C11" s="161">
        <v>101.325</v>
      </c>
      <c r="D11" s="164" t="s">
        <v>15</v>
      </c>
      <c r="E11" s="93">
        <v>647.97596426495704</v>
      </c>
      <c r="F11" s="153">
        <v>0.47577271586918651</v>
      </c>
      <c r="G11" s="153">
        <v>0.52422728413081354</v>
      </c>
      <c r="H11" s="151">
        <v>0</v>
      </c>
    </row>
    <row r="12" spans="1:8" x14ac:dyDescent="0.25">
      <c r="A12" s="91" t="s">
        <v>21</v>
      </c>
      <c r="B12" s="95">
        <v>45</v>
      </c>
      <c r="C12" s="161">
        <v>101.325</v>
      </c>
      <c r="D12" s="164">
        <v>4</v>
      </c>
      <c r="E12" s="167">
        <v>0</v>
      </c>
      <c r="F12" s="150">
        <v>0</v>
      </c>
      <c r="G12" s="150">
        <v>0</v>
      </c>
      <c r="H12" s="155">
        <v>1</v>
      </c>
    </row>
    <row r="13" spans="1:8" x14ac:dyDescent="0.25">
      <c r="A13" s="91" t="s">
        <v>21</v>
      </c>
      <c r="B13" s="95">
        <v>45</v>
      </c>
      <c r="C13" s="161">
        <v>101.325</v>
      </c>
      <c r="D13" s="164">
        <v>5</v>
      </c>
      <c r="E13" s="93">
        <v>258.37838717826224</v>
      </c>
      <c r="F13" s="153">
        <v>1.5585105279960303E-3</v>
      </c>
      <c r="G13" s="153">
        <v>1.9958851973193654E-2</v>
      </c>
      <c r="H13" s="155">
        <v>0.97848264184845424</v>
      </c>
    </row>
    <row r="14" spans="1:8" x14ac:dyDescent="0.25">
      <c r="A14" s="91" t="s">
        <v>21</v>
      </c>
      <c r="B14" s="95">
        <v>45</v>
      </c>
      <c r="C14" s="161">
        <v>101.325</v>
      </c>
      <c r="D14" s="164">
        <v>6</v>
      </c>
      <c r="E14" s="93">
        <v>619.13025109462865</v>
      </c>
      <c r="F14" s="153">
        <v>3.619337502365353E-2</v>
      </c>
      <c r="G14" s="155">
        <v>0.55567800775251652</v>
      </c>
      <c r="H14" s="153">
        <v>0.40812861722382998</v>
      </c>
    </row>
    <row r="15" spans="1:8" x14ac:dyDescent="0.25">
      <c r="A15" s="91" t="s">
        <v>21</v>
      </c>
      <c r="B15" s="95">
        <v>68</v>
      </c>
      <c r="C15" s="161">
        <v>101.325</v>
      </c>
      <c r="D15" s="164">
        <v>7</v>
      </c>
      <c r="E15" s="93">
        <v>619.13025109462865</v>
      </c>
      <c r="F15" s="153">
        <v>3.619337502365353E-2</v>
      </c>
      <c r="G15" s="155">
        <v>0.55567800775251652</v>
      </c>
      <c r="H15" s="153">
        <v>0.40812861722382998</v>
      </c>
    </row>
    <row r="16" spans="1:8" x14ac:dyDescent="0.25">
      <c r="A16" s="91" t="s">
        <v>24</v>
      </c>
      <c r="B16" s="95">
        <v>45.114108710372932</v>
      </c>
      <c r="C16" s="159">
        <v>50</v>
      </c>
      <c r="D16" s="164">
        <v>8</v>
      </c>
      <c r="E16" s="93">
        <v>619.13025109462865</v>
      </c>
      <c r="F16" s="153">
        <v>3.619337502365353E-2</v>
      </c>
      <c r="G16" s="155">
        <v>0.55567800775251652</v>
      </c>
      <c r="H16" s="153">
        <v>0.40812861722382998</v>
      </c>
    </row>
    <row r="17" spans="1:10" x14ac:dyDescent="0.25">
      <c r="A17" s="91" t="s">
        <v>25</v>
      </c>
      <c r="B17" s="95">
        <v>45.114108710372932</v>
      </c>
      <c r="C17" s="159">
        <v>50</v>
      </c>
      <c r="D17" s="164">
        <v>9</v>
      </c>
      <c r="E17" s="93">
        <v>116.82450029521388</v>
      </c>
      <c r="F17" s="153">
        <v>0.18383745092159098</v>
      </c>
      <c r="G17" s="153">
        <v>0.81616254907840946</v>
      </c>
      <c r="H17" s="155">
        <v>0</v>
      </c>
    </row>
    <row r="18" spans="1:10" x14ac:dyDescent="0.25">
      <c r="A18" s="91" t="s">
        <v>21</v>
      </c>
      <c r="B18" s="95">
        <v>37.645679363418935</v>
      </c>
      <c r="C18" s="159">
        <v>50</v>
      </c>
      <c r="D18" s="164">
        <v>10</v>
      </c>
      <c r="E18" s="93">
        <v>116.82450029521398</v>
      </c>
      <c r="F18" s="153">
        <v>0.18383745092159098</v>
      </c>
      <c r="G18" s="153">
        <v>0.81616254907840946</v>
      </c>
      <c r="H18" s="155">
        <v>0</v>
      </c>
    </row>
    <row r="19" spans="1:10" x14ac:dyDescent="0.25">
      <c r="A19" s="91" t="s">
        <v>21</v>
      </c>
      <c r="B19" s="95">
        <v>37.645679363418935</v>
      </c>
      <c r="C19" s="161">
        <v>101.325</v>
      </c>
      <c r="D19" s="164">
        <v>11</v>
      </c>
      <c r="E19" s="93">
        <v>116.82450029521388</v>
      </c>
      <c r="F19" s="153">
        <v>0.18383745092159098</v>
      </c>
      <c r="G19" s="153">
        <v>0.81616254907840946</v>
      </c>
      <c r="H19" s="155">
        <v>0</v>
      </c>
    </row>
    <row r="20" spans="1:10" x14ac:dyDescent="0.25">
      <c r="A20" s="91" t="s">
        <v>21</v>
      </c>
      <c r="B20" s="95">
        <v>45.114108710372932</v>
      </c>
      <c r="C20" s="161">
        <v>50</v>
      </c>
      <c r="D20" s="164">
        <v>12</v>
      </c>
      <c r="E20" s="93">
        <v>502.29606364564887</v>
      </c>
      <c r="F20" s="153">
        <v>1.8542191593732282E-3</v>
      </c>
      <c r="G20" s="155">
        <v>0.50305889548351301</v>
      </c>
      <c r="H20" s="153">
        <v>0.49508688535711376</v>
      </c>
    </row>
    <row r="21" spans="1:10" x14ac:dyDescent="0.25">
      <c r="A21" s="91" t="s">
        <v>25</v>
      </c>
      <c r="B21" s="95">
        <v>45.124084580926265</v>
      </c>
      <c r="C21" s="157">
        <v>2.4500000000000002</v>
      </c>
      <c r="D21" s="164">
        <v>13</v>
      </c>
      <c r="E21" s="93">
        <v>244.45473407085652</v>
      </c>
      <c r="F21" s="153">
        <v>3.8097301446824673E-3</v>
      </c>
      <c r="G21" s="153">
        <v>0.99619026018736678</v>
      </c>
      <c r="H21" s="155">
        <v>0</v>
      </c>
    </row>
    <row r="22" spans="1:10" x14ac:dyDescent="0.25">
      <c r="A22" s="91" t="s">
        <v>21</v>
      </c>
      <c r="B22" s="95">
        <v>25</v>
      </c>
      <c r="C22" s="157">
        <v>2.4500000000000002</v>
      </c>
      <c r="D22" s="164">
        <v>14</v>
      </c>
      <c r="E22" s="93">
        <v>244.45473407085652</v>
      </c>
      <c r="F22" s="153">
        <v>3.8097301446824673E-3</v>
      </c>
      <c r="G22" s="153">
        <v>0.99619026018736678</v>
      </c>
      <c r="H22" s="155">
        <v>0</v>
      </c>
    </row>
    <row r="23" spans="1:10" x14ac:dyDescent="0.25">
      <c r="A23" s="91" t="s">
        <v>21</v>
      </c>
      <c r="B23" s="95">
        <v>25</v>
      </c>
      <c r="C23" s="161">
        <v>101.325</v>
      </c>
      <c r="D23" s="164">
        <v>15</v>
      </c>
      <c r="E23" s="93">
        <v>244.45473407085652</v>
      </c>
      <c r="F23" s="153">
        <v>3.8097301446824673E-3</v>
      </c>
      <c r="G23" s="153">
        <v>0.99619026018736678</v>
      </c>
      <c r="H23" s="155">
        <v>0</v>
      </c>
    </row>
    <row r="24" spans="1:10" x14ac:dyDescent="0.25">
      <c r="A24" s="91" t="s">
        <v>21</v>
      </c>
      <c r="B24" s="95">
        <v>45.124084580926265</v>
      </c>
      <c r="C24" s="157">
        <v>2.4500000000000002</v>
      </c>
      <c r="D24" s="164">
        <v>16</v>
      </c>
      <c r="E24" s="93">
        <v>257.84154682791069</v>
      </c>
      <c r="F24" s="158">
        <v>2.3429567059790474E-7</v>
      </c>
      <c r="G24" s="153">
        <v>1.9999770315372596E-2</v>
      </c>
      <c r="H24" s="155">
        <v>0.98</v>
      </c>
    </row>
    <row r="25" spans="1:10" x14ac:dyDescent="0.25">
      <c r="A25" s="91" t="s">
        <v>21</v>
      </c>
      <c r="B25" s="95">
        <v>45.124084580926265</v>
      </c>
      <c r="C25" s="161">
        <v>101.325</v>
      </c>
      <c r="D25" s="164">
        <v>17</v>
      </c>
      <c r="E25" s="93">
        <v>257.84154682791069</v>
      </c>
      <c r="F25" s="158">
        <v>2.3429567059790474E-7</v>
      </c>
      <c r="G25" s="153">
        <v>1.9999770315372596E-2</v>
      </c>
      <c r="H25" s="155">
        <v>0.98</v>
      </c>
    </row>
    <row r="26" spans="1:10" x14ac:dyDescent="0.25">
      <c r="A26" s="91" t="s">
        <v>21</v>
      </c>
      <c r="B26" s="95">
        <v>45</v>
      </c>
      <c r="C26" s="161">
        <v>101.325</v>
      </c>
      <c r="D26" s="164">
        <v>18</v>
      </c>
      <c r="E26" s="93">
        <v>287.20555564572101</v>
      </c>
      <c r="F26" s="153">
        <v>0.99678660315262502</v>
      </c>
      <c r="G26" s="153">
        <v>4.6749714150626177E-4</v>
      </c>
      <c r="H26" s="155">
        <v>2.7458997058687415E-3</v>
      </c>
    </row>
    <row r="27" spans="1:10" x14ac:dyDescent="0.25">
      <c r="A27" s="91" t="s">
        <v>24</v>
      </c>
      <c r="B27" s="95">
        <v>44.566995134644401</v>
      </c>
      <c r="C27" s="157">
        <v>73.5</v>
      </c>
      <c r="D27" s="164">
        <v>19</v>
      </c>
      <c r="E27" s="93">
        <v>287.20555564572101</v>
      </c>
      <c r="F27" s="153">
        <v>0.99678660315262502</v>
      </c>
      <c r="G27" s="153">
        <v>4.6749714150626177E-4</v>
      </c>
      <c r="H27" s="155">
        <v>2.7458997058687415E-3</v>
      </c>
    </row>
    <row r="28" spans="1:10" x14ac:dyDescent="0.25">
      <c r="A28" s="129" t="s">
        <v>25</v>
      </c>
      <c r="B28" s="95">
        <v>45.043752878237385</v>
      </c>
      <c r="C28" s="157">
        <v>73.5</v>
      </c>
      <c r="D28" s="164">
        <v>20</v>
      </c>
      <c r="E28" s="93">
        <v>286.66480373900589</v>
      </c>
      <c r="F28" s="153">
        <v>0.99724955211397581</v>
      </c>
      <c r="G28" s="153">
        <v>2.7504509284019549E-3</v>
      </c>
      <c r="H28" s="155">
        <v>0</v>
      </c>
      <c r="J28" s="34"/>
    </row>
    <row r="29" spans="1:10" x14ac:dyDescent="0.25">
      <c r="A29" s="129" t="s">
        <v>21</v>
      </c>
      <c r="B29" s="95">
        <v>25</v>
      </c>
      <c r="C29" s="157">
        <v>73.5</v>
      </c>
      <c r="D29" s="164">
        <v>21</v>
      </c>
      <c r="E29" s="93">
        <v>286.66480373900589</v>
      </c>
      <c r="F29" s="153">
        <v>0.99724955211397581</v>
      </c>
      <c r="G29" s="153">
        <v>2.7504509284019549E-3</v>
      </c>
      <c r="H29" s="155">
        <v>0</v>
      </c>
    </row>
    <row r="30" spans="1:10" x14ac:dyDescent="0.25">
      <c r="A30" s="129" t="s">
        <v>21</v>
      </c>
      <c r="B30" s="95">
        <v>25</v>
      </c>
      <c r="C30" s="161">
        <v>101.325</v>
      </c>
      <c r="D30" s="164">
        <v>22</v>
      </c>
      <c r="E30" s="93">
        <v>286.66480373900589</v>
      </c>
      <c r="F30" s="153">
        <v>0.99724955211397581</v>
      </c>
      <c r="G30" s="153">
        <v>2.7504509284019549E-3</v>
      </c>
      <c r="H30" s="155">
        <v>0</v>
      </c>
    </row>
    <row r="31" spans="1:10" x14ac:dyDescent="0.25">
      <c r="A31" s="129" t="s">
        <v>21</v>
      </c>
      <c r="B31" s="95">
        <v>45.043752878237385</v>
      </c>
      <c r="C31" s="161">
        <v>73.5</v>
      </c>
      <c r="D31" s="164">
        <v>23</v>
      </c>
      <c r="E31" s="93">
        <v>0.53706418822652024</v>
      </c>
      <c r="F31" s="153">
        <v>0.74968562709155373</v>
      </c>
      <c r="G31" s="153">
        <v>3.1437214927404467E-4</v>
      </c>
      <c r="H31" s="155">
        <v>0.25</v>
      </c>
    </row>
    <row r="32" spans="1:10" ht="15.75" thickBot="1" x14ac:dyDescent="0.3">
      <c r="A32" s="130" t="s">
        <v>21</v>
      </c>
      <c r="B32" s="96">
        <v>45.043752878237385</v>
      </c>
      <c r="C32" s="162">
        <v>101.325</v>
      </c>
      <c r="D32" s="165">
        <v>24</v>
      </c>
      <c r="E32" s="94">
        <v>0.53706418822652024</v>
      </c>
      <c r="F32" s="154">
        <v>0.74968562709155373</v>
      </c>
      <c r="G32" s="154">
        <v>3.1437214927404467E-4</v>
      </c>
      <c r="H32" s="156">
        <v>0.25</v>
      </c>
    </row>
    <row r="35" spans="1:13" ht="15.75" thickBot="1" x14ac:dyDescent="0.3"/>
    <row r="36" spans="1:13" ht="15.75" thickBot="1" x14ac:dyDescent="0.3">
      <c r="A36" s="198" t="s">
        <v>0</v>
      </c>
      <c r="B36" s="199"/>
      <c r="C36" s="199"/>
      <c r="D36" s="199"/>
      <c r="E36" s="4" t="s">
        <v>32</v>
      </c>
      <c r="F36" s="4" t="s">
        <v>33</v>
      </c>
    </row>
    <row r="37" spans="1:13" ht="15.75" thickBot="1" x14ac:dyDescent="0.3">
      <c r="A37" s="42" t="s">
        <v>7</v>
      </c>
      <c r="B37" s="43"/>
      <c r="C37" s="7" t="s">
        <v>19</v>
      </c>
      <c r="D37" s="5" t="s">
        <v>4</v>
      </c>
      <c r="E37" s="6" t="s">
        <v>5</v>
      </c>
      <c r="F37" s="15" t="s">
        <v>6</v>
      </c>
      <c r="J37" t="s">
        <v>142</v>
      </c>
      <c r="K37" t="s">
        <v>146</v>
      </c>
      <c r="L37" t="s">
        <v>138</v>
      </c>
      <c r="M37" t="s">
        <v>140</v>
      </c>
    </row>
    <row r="38" spans="1:13" x14ac:dyDescent="0.25">
      <c r="A38" s="3" t="s">
        <v>15</v>
      </c>
      <c r="B38" s="13" t="s">
        <v>1</v>
      </c>
      <c r="C38" s="48">
        <v>647.97596426495704</v>
      </c>
      <c r="D38" s="40">
        <v>0.47601192833308825</v>
      </c>
      <c r="E38" s="18">
        <v>0.52378102889758571</v>
      </c>
      <c r="F38" s="19">
        <v>2.0704276869738049E-4</v>
      </c>
      <c r="J38" s="133">
        <f>E13</f>
        <v>258.37838717826224</v>
      </c>
      <c r="K38" s="134">
        <f>F13*88.15+G13*32.04+H13*236.29</f>
        <v>231.98252776263521</v>
      </c>
      <c r="L38" s="2">
        <f>J38*K38</f>
        <v>59939.271376846133</v>
      </c>
      <c r="M38" s="2">
        <f>L38/3600</f>
        <v>16.649797604679481</v>
      </c>
    </row>
    <row r="39" spans="1:13" x14ac:dyDescent="0.25">
      <c r="A39" s="8">
        <v>5</v>
      </c>
      <c r="B39" s="16" t="s">
        <v>2</v>
      </c>
      <c r="C39" s="48">
        <v>258.37838717826224</v>
      </c>
      <c r="D39" s="39">
        <v>2.3429567059790474E-7</v>
      </c>
      <c r="E39" s="18">
        <v>1.9999770315372596E-2</v>
      </c>
      <c r="F39" s="19">
        <v>0.98</v>
      </c>
      <c r="J39" s="133">
        <f>E11</f>
        <v>647.97596426495704</v>
      </c>
      <c r="K39" s="134">
        <f>F11*88.15+G11*32.04+H11*236.29</f>
        <v>58.735607087420057</v>
      </c>
      <c r="L39" s="2">
        <f>J39*K39</f>
        <v>38059.261639158656</v>
      </c>
      <c r="M39" s="2">
        <f>L39/3600</f>
        <v>10.572017121988516</v>
      </c>
    </row>
    <row r="40" spans="1:13" x14ac:dyDescent="0.25">
      <c r="A40" s="8">
        <v>18</v>
      </c>
      <c r="B40" s="16" t="s">
        <v>9</v>
      </c>
      <c r="C40" s="48">
        <v>287.20555564572101</v>
      </c>
      <c r="D40" s="40">
        <v>0.99678660315262502</v>
      </c>
      <c r="E40" s="18">
        <v>4.6749714150626177E-4</v>
      </c>
      <c r="F40" s="19">
        <v>2.7458997058687415E-3</v>
      </c>
    </row>
    <row r="41" spans="1:13" ht="15.75" thickBot="1" x14ac:dyDescent="0.3">
      <c r="A41" s="9">
        <v>6</v>
      </c>
      <c r="B41" s="17" t="s">
        <v>8</v>
      </c>
      <c r="C41" s="49">
        <v>619.13025109462865</v>
      </c>
      <c r="D41" s="41">
        <v>3.619337502365353E-2</v>
      </c>
      <c r="E41" s="20">
        <v>0.40812861722382998</v>
      </c>
      <c r="F41" s="21">
        <v>0.55567800775251652</v>
      </c>
    </row>
    <row r="42" spans="1:13" ht="15.75" thickBot="1" x14ac:dyDescent="0.3"/>
    <row r="43" spans="1:13" ht="15.75" thickBot="1" x14ac:dyDescent="0.3">
      <c r="A43" s="14" t="s">
        <v>17</v>
      </c>
      <c r="B43" s="11" t="s">
        <v>20</v>
      </c>
      <c r="C43" s="13" t="s">
        <v>4</v>
      </c>
      <c r="D43" s="11" t="s">
        <v>5</v>
      </c>
      <c r="E43" s="12" t="s">
        <v>6</v>
      </c>
      <c r="G43" s="14" t="s">
        <v>18</v>
      </c>
      <c r="H43" s="13" t="s">
        <v>4</v>
      </c>
      <c r="I43" s="11" t="s">
        <v>5</v>
      </c>
      <c r="J43" s="12" t="s">
        <v>6</v>
      </c>
    </row>
    <row r="44" spans="1:13" x14ac:dyDescent="0.25">
      <c r="A44" s="22">
        <v>1</v>
      </c>
      <c r="B44" s="45">
        <v>29.141976027033792</v>
      </c>
      <c r="C44" s="25">
        <v>3.619337502365353E-2</v>
      </c>
      <c r="D44" s="26">
        <v>0.55567800775251652</v>
      </c>
      <c r="E44" s="27">
        <v>0.40812861722382998</v>
      </c>
      <c r="G44" s="45">
        <v>15.777684098638993</v>
      </c>
      <c r="H44" s="25">
        <v>0.86351949643827497</v>
      </c>
      <c r="I44" s="26">
        <v>0.13520891974273205</v>
      </c>
      <c r="J44" s="27">
        <v>1.2715838189929006E-3</v>
      </c>
    </row>
    <row r="45" spans="1:13" x14ac:dyDescent="0.25">
      <c r="A45" s="23">
        <v>2</v>
      </c>
      <c r="B45" s="46">
        <v>14.395543200963093</v>
      </c>
      <c r="C45" s="28">
        <v>1.0367134815028911E-2</v>
      </c>
      <c r="D45" s="29">
        <v>0.16247304787227942</v>
      </c>
      <c r="E45" s="30">
        <v>0.82715981731269161</v>
      </c>
      <c r="G45" s="46">
        <v>13.853818269692621</v>
      </c>
      <c r="H45" s="28">
        <v>0.9756095143603315</v>
      </c>
      <c r="I45" s="29">
        <v>2.3827766291886758E-2</v>
      </c>
      <c r="J45" s="30">
        <v>5.6271934778170029E-4</v>
      </c>
    </row>
    <row r="46" spans="1:13" x14ac:dyDescent="0.25">
      <c r="A46" s="23">
        <v>3</v>
      </c>
      <c r="B46" s="46">
        <v>12.471677372016719</v>
      </c>
      <c r="C46" s="28">
        <v>3.2729858377936755E-3</v>
      </c>
      <c r="D46" s="29">
        <v>4.2954139298477398E-2</v>
      </c>
      <c r="E46" s="30">
        <v>0.95377287486372897</v>
      </c>
      <c r="G46" s="46">
        <v>13.592745899070595</v>
      </c>
      <c r="H46" s="28">
        <v>0.99366964074987096</v>
      </c>
      <c r="I46" s="29">
        <v>5.849352156483854E-3</v>
      </c>
      <c r="J46" s="30">
        <v>4.8100709364513801E-4</v>
      </c>
    </row>
    <row r="47" spans="1:13" x14ac:dyDescent="0.25">
      <c r="A47" s="23">
        <v>4</v>
      </c>
      <c r="B47" s="46">
        <v>12.210605001394693</v>
      </c>
      <c r="C47" s="28">
        <v>2.5880489632730775E-3</v>
      </c>
      <c r="D47" s="29">
        <v>2.3349654310433073E-2</v>
      </c>
      <c r="E47" s="30">
        <v>0.97406229672629385</v>
      </c>
      <c r="G47" s="46">
        <v>13.554488408805273</v>
      </c>
      <c r="H47" s="28">
        <v>0.99638269928568113</v>
      </c>
      <c r="I47" s="29">
        <v>3.1480623640698273E-3</v>
      </c>
      <c r="J47" s="30">
        <v>4.6923835024904209E-4</v>
      </c>
    </row>
    <row r="48" spans="1:13" ht="15.75" thickBot="1" x14ac:dyDescent="0.3">
      <c r="A48" s="24">
        <v>5</v>
      </c>
      <c r="B48" s="47">
        <v>12.17234751112937</v>
      </c>
      <c r="C48" s="31">
        <v>2.494215471185994E-3</v>
      </c>
      <c r="D48" s="32">
        <v>2.0396642786847559E-2</v>
      </c>
      <c r="E48" s="33">
        <v>0.97710914174196639</v>
      </c>
      <c r="G48" s="47">
        <v>13.518540569873203</v>
      </c>
      <c r="H48" s="31">
        <v>0.99678660315262502</v>
      </c>
      <c r="I48" s="32">
        <v>2.7458997058687415E-3</v>
      </c>
      <c r="J48" s="33">
        <v>4.6749714150626177E-4</v>
      </c>
    </row>
    <row r="52" spans="1:21" x14ac:dyDescent="0.25">
      <c r="A52" t="s">
        <v>139</v>
      </c>
    </row>
    <row r="53" spans="1:21" x14ac:dyDescent="0.25">
      <c r="A53">
        <v>17000000</v>
      </c>
      <c r="B53" t="s">
        <v>134</v>
      </c>
    </row>
    <row r="54" spans="1:21" x14ac:dyDescent="0.25">
      <c r="E54" s="1"/>
      <c r="F54" s="1"/>
    </row>
    <row r="55" spans="1:21" x14ac:dyDescent="0.25">
      <c r="A55" t="s">
        <v>135</v>
      </c>
      <c r="B55">
        <v>330</v>
      </c>
      <c r="E55" s="1"/>
      <c r="F55" s="1"/>
    </row>
    <row r="56" spans="1:21" x14ac:dyDescent="0.25">
      <c r="A56" t="s">
        <v>136</v>
      </c>
      <c r="B56">
        <f>B55*24</f>
        <v>7920</v>
      </c>
      <c r="E56" s="1"/>
      <c r="F56" s="1"/>
      <c r="Q56" s="89"/>
      <c r="R56" s="99"/>
      <c r="S56" s="99"/>
      <c r="T56" s="99"/>
      <c r="U56" s="99"/>
    </row>
    <row r="57" spans="1:21" x14ac:dyDescent="0.25">
      <c r="A57" t="s">
        <v>137</v>
      </c>
      <c r="B57">
        <f>A53/B56</f>
        <v>2146.4646464646466</v>
      </c>
      <c r="E57" s="1"/>
      <c r="F57" s="1"/>
      <c r="Q57" s="89"/>
      <c r="R57" s="89"/>
      <c r="S57" s="89"/>
      <c r="T57" s="89"/>
      <c r="U57" s="89"/>
    </row>
    <row r="58" spans="1:21" x14ac:dyDescent="0.25">
      <c r="A58" t="s">
        <v>138</v>
      </c>
      <c r="B58">
        <f>B57*1000</f>
        <v>2146464.6464646468</v>
      </c>
      <c r="D58" t="s">
        <v>144</v>
      </c>
      <c r="E58" s="1">
        <f>B58*0.01</f>
        <v>21464.64646464647</v>
      </c>
      <c r="F58" s="1"/>
      <c r="Q58" s="89"/>
      <c r="R58" s="89"/>
      <c r="S58" s="89"/>
      <c r="T58" s="89"/>
      <c r="U58" s="89"/>
    </row>
    <row r="59" spans="1:21" x14ac:dyDescent="0.25">
      <c r="E59" s="1"/>
      <c r="F59" s="1"/>
      <c r="Q59" s="89"/>
      <c r="R59" s="89"/>
      <c r="S59" s="89"/>
      <c r="T59" s="89"/>
      <c r="U59" s="89"/>
    </row>
    <row r="60" spans="1:21" x14ac:dyDescent="0.25">
      <c r="A60" t="s">
        <v>143</v>
      </c>
      <c r="D60" t="s">
        <v>141</v>
      </c>
      <c r="E60" s="1"/>
      <c r="F60" s="1"/>
      <c r="Q60" s="89"/>
      <c r="R60" s="89"/>
      <c r="S60" s="89"/>
      <c r="T60" s="89"/>
      <c r="U60" s="89"/>
    </row>
    <row r="61" spans="1:21" x14ac:dyDescent="0.25">
      <c r="A61" t="s">
        <v>138</v>
      </c>
      <c r="B61">
        <f>B62*3600</f>
        <v>25200</v>
      </c>
      <c r="D61" t="s">
        <v>138</v>
      </c>
      <c r="E61" s="38">
        <f>13.4930878011316*F30*88.15</f>
        <v>1186.1442638004944</v>
      </c>
      <c r="F61" s="1"/>
      <c r="Q61" s="89"/>
      <c r="R61" s="89"/>
      <c r="S61" s="89"/>
      <c r="T61" s="89"/>
      <c r="U61" s="89"/>
    </row>
    <row r="62" spans="1:21" x14ac:dyDescent="0.25">
      <c r="A62" t="s">
        <v>140</v>
      </c>
      <c r="B62">
        <v>7</v>
      </c>
      <c r="D62" t="s">
        <v>140</v>
      </c>
      <c r="E62" s="38">
        <f>E61/3600</f>
        <v>0.32948451772235954</v>
      </c>
      <c r="F62" s="1"/>
      <c r="Q62" s="89"/>
      <c r="R62" s="89"/>
      <c r="S62" s="89"/>
      <c r="T62" s="89"/>
      <c r="U62" s="89"/>
    </row>
    <row r="63" spans="1:21" x14ac:dyDescent="0.25">
      <c r="A63" t="s">
        <v>142</v>
      </c>
      <c r="B63">
        <f>B61/88.15</f>
        <v>285.87634713556434</v>
      </c>
      <c r="D63" t="s">
        <v>142</v>
      </c>
      <c r="E63" s="38">
        <f>E61/88.15</f>
        <v>13.455975766313038</v>
      </c>
      <c r="F63" s="1"/>
      <c r="Q63" s="89"/>
      <c r="R63" s="89"/>
      <c r="S63" s="89"/>
      <c r="T63" s="89"/>
      <c r="U63" s="89"/>
    </row>
    <row r="64" spans="1:21" x14ac:dyDescent="0.25">
      <c r="B64" t="s">
        <v>145</v>
      </c>
      <c r="C64" s="131">
        <f>B63/E63</f>
        <v>21.245307817159883</v>
      </c>
      <c r="E64" s="1"/>
      <c r="F64" s="1"/>
    </row>
    <row r="65" spans="3:6" x14ac:dyDescent="0.25">
      <c r="C65" s="132">
        <v>21.245307817159901</v>
      </c>
      <c r="E65" s="1"/>
      <c r="F65" s="1"/>
    </row>
    <row r="66" spans="3:6" x14ac:dyDescent="0.25">
      <c r="C66" s="2"/>
      <c r="E66" s="1"/>
      <c r="F66" s="1"/>
    </row>
    <row r="67" spans="3:6" x14ac:dyDescent="0.25">
      <c r="E67" s="1"/>
      <c r="F67" s="1"/>
    </row>
    <row r="68" spans="3:6" x14ac:dyDescent="0.25">
      <c r="E68" s="1"/>
      <c r="F68" s="1"/>
    </row>
    <row r="69" spans="3:6" x14ac:dyDescent="0.25">
      <c r="E69" s="1"/>
      <c r="F69" s="1"/>
    </row>
    <row r="70" spans="3:6" x14ac:dyDescent="0.25">
      <c r="E70" s="1"/>
      <c r="F70" s="1"/>
    </row>
    <row r="71" spans="3:6" x14ac:dyDescent="0.25">
      <c r="E71" s="1"/>
      <c r="F71" s="1"/>
    </row>
    <row r="72" spans="3:6" x14ac:dyDescent="0.25">
      <c r="E72" s="1"/>
      <c r="F72" s="1"/>
    </row>
    <row r="73" spans="3:6" x14ac:dyDescent="0.25">
      <c r="E73" s="1"/>
      <c r="F73" s="1"/>
    </row>
    <row r="74" spans="3:6" x14ac:dyDescent="0.25">
      <c r="E74" s="1"/>
      <c r="F74" s="1"/>
    </row>
    <row r="75" spans="3:6" x14ac:dyDescent="0.25">
      <c r="E75" s="1"/>
      <c r="F75" s="1"/>
    </row>
    <row r="76" spans="3:6" x14ac:dyDescent="0.25">
      <c r="E76" s="1"/>
      <c r="F76" s="1"/>
    </row>
  </sheetData>
  <mergeCells count="11">
    <mergeCell ref="A36:D36"/>
    <mergeCell ref="B1:C1"/>
    <mergeCell ref="B2:C2"/>
    <mergeCell ref="B3:C3"/>
    <mergeCell ref="A7:H7"/>
    <mergeCell ref="D8:D9"/>
    <mergeCell ref="E8:E9"/>
    <mergeCell ref="F8:H8"/>
    <mergeCell ref="A8:A9"/>
    <mergeCell ref="B8:B9"/>
    <mergeCell ref="C8:C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Views>
    <sheetView workbookViewId="0">
      <selection activeCell="A2" sqref="A2:F7"/>
    </sheetView>
  </sheetViews>
  <sheetFormatPr defaultRowHeight="15" x14ac:dyDescent="0.25"/>
  <cols>
    <col min="2" max="2" width="11" bestFit="1" customWidth="1"/>
    <col min="3" max="3" width="10.42578125" bestFit="1" customWidth="1"/>
  </cols>
  <sheetData>
    <row r="1" spans="1:7" ht="15.75" thickBot="1" x14ac:dyDescent="0.3"/>
    <row r="2" spans="1:7" ht="15.75" thickBot="1" x14ac:dyDescent="0.3">
      <c r="A2" s="198" t="s">
        <v>12</v>
      </c>
      <c r="B2" s="199"/>
      <c r="C2" s="206"/>
      <c r="G2" s="132">
        <v>21.245307817159944</v>
      </c>
    </row>
    <row r="3" spans="1:7" ht="15.75" thickBot="1" x14ac:dyDescent="0.3">
      <c r="A3" s="42" t="s">
        <v>11</v>
      </c>
      <c r="B3" s="43" t="s">
        <v>7</v>
      </c>
      <c r="C3" s="43" t="s">
        <v>3</v>
      </c>
      <c r="D3" s="43" t="s">
        <v>4</v>
      </c>
      <c r="E3" s="43" t="s">
        <v>5</v>
      </c>
      <c r="F3" s="44" t="s">
        <v>6</v>
      </c>
    </row>
    <row r="4" spans="1:7" x14ac:dyDescent="0.25">
      <c r="A4" s="8" t="s">
        <v>1</v>
      </c>
      <c r="B4" s="8">
        <v>1</v>
      </c>
      <c r="C4" s="135">
        <v>531.13269542899855</v>
      </c>
      <c r="D4" s="139">
        <v>0.54</v>
      </c>
      <c r="E4" s="140">
        <v>0.46</v>
      </c>
      <c r="F4" s="141">
        <v>0</v>
      </c>
      <c r="G4" s="2"/>
    </row>
    <row r="5" spans="1:7" x14ac:dyDescent="0.25">
      <c r="A5" s="8" t="s">
        <v>2</v>
      </c>
      <c r="B5" s="8">
        <v>4</v>
      </c>
      <c r="C5" s="136">
        <v>179.53765112162898</v>
      </c>
      <c r="D5" s="142">
        <v>0</v>
      </c>
      <c r="E5" s="143">
        <v>0</v>
      </c>
      <c r="F5" s="144">
        <v>1</v>
      </c>
      <c r="G5" s="2"/>
    </row>
    <row r="6" spans="1:7" x14ac:dyDescent="0.25">
      <c r="A6" s="8" t="s">
        <v>8</v>
      </c>
      <c r="B6" s="8">
        <v>18</v>
      </c>
      <c r="C6" s="136">
        <v>271.07556369257463</v>
      </c>
      <c r="D6" s="142">
        <v>0.99935684605831099</v>
      </c>
      <c r="E6" s="143">
        <v>1.8667140642403509E-4</v>
      </c>
      <c r="F6" s="144">
        <v>4.5648253526493472E-4</v>
      </c>
      <c r="G6" s="2"/>
    </row>
    <row r="7" spans="1:7" ht="15.75" thickBot="1" x14ac:dyDescent="0.3">
      <c r="A7" s="9" t="s">
        <v>9</v>
      </c>
      <c r="B7" s="9">
        <v>6</v>
      </c>
      <c r="C7" s="137">
        <v>439.59478285805289</v>
      </c>
      <c r="D7" s="145">
        <v>3.6193412153179866E-2</v>
      </c>
      <c r="E7" s="146">
        <v>0.55567183089309369</v>
      </c>
      <c r="F7" s="147">
        <v>0.40813475695372647</v>
      </c>
      <c r="G7" s="2"/>
    </row>
    <row r="8" spans="1:7" ht="15.75" thickBot="1" x14ac:dyDescent="0.3">
      <c r="A8" s="1"/>
      <c r="B8" s="1"/>
      <c r="C8" s="138"/>
      <c r="D8" s="138"/>
      <c r="E8" s="138"/>
      <c r="F8" s="138"/>
    </row>
    <row r="9" spans="1:7" ht="15.75" thickBot="1" x14ac:dyDescent="0.3">
      <c r="A9" s="198" t="s">
        <v>10</v>
      </c>
      <c r="B9" s="206"/>
      <c r="C9" s="133"/>
      <c r="D9" s="133"/>
      <c r="E9" s="133"/>
      <c r="F9" s="133"/>
    </row>
    <row r="10" spans="1:7" x14ac:dyDescent="0.25">
      <c r="B10" s="35">
        <v>8</v>
      </c>
      <c r="C10" s="135">
        <v>439.59478285805289</v>
      </c>
      <c r="D10" s="139">
        <v>3.6193412153179866E-2</v>
      </c>
      <c r="E10" s="140">
        <v>0.55567183089309369</v>
      </c>
      <c r="F10" s="141">
        <v>0.40813475695372647</v>
      </c>
      <c r="G10" s="2"/>
    </row>
    <row r="11" spans="1:7" x14ac:dyDescent="0.25">
      <c r="B11" s="8">
        <v>9</v>
      </c>
      <c r="C11" s="136">
        <v>82.953265846361049</v>
      </c>
      <c r="D11" s="142">
        <v>0.18382363130906945</v>
      </c>
      <c r="E11" s="143">
        <v>0.81617636869093058</v>
      </c>
      <c r="F11" s="144">
        <v>0</v>
      </c>
      <c r="G11" s="2"/>
    </row>
    <row r="12" spans="1:7" ht="15.75" thickBot="1" x14ac:dyDescent="0.3">
      <c r="B12" s="9">
        <v>12</v>
      </c>
      <c r="C12" s="137">
        <v>356.63217195291668</v>
      </c>
      <c r="D12" s="145">
        <v>1.8542782363381138E-3</v>
      </c>
      <c r="E12" s="146">
        <v>0.4950925479888969</v>
      </c>
      <c r="F12" s="147">
        <v>0.50305317377476499</v>
      </c>
      <c r="G12" s="2"/>
    </row>
    <row r="13" spans="1:7" ht="15.75" thickBot="1" x14ac:dyDescent="0.3">
      <c r="C13" s="133"/>
      <c r="D13" s="148"/>
      <c r="E13" s="148"/>
      <c r="F13" s="148"/>
      <c r="G13" s="2"/>
    </row>
    <row r="14" spans="1:7" ht="15.75" thickBot="1" x14ac:dyDescent="0.3">
      <c r="A14" s="198" t="s">
        <v>13</v>
      </c>
      <c r="B14" s="206"/>
      <c r="C14" s="133"/>
      <c r="D14" s="148"/>
      <c r="E14" s="148"/>
      <c r="F14" s="148"/>
    </row>
    <row r="15" spans="1:7" x14ac:dyDescent="0.25">
      <c r="B15" s="3">
        <v>12</v>
      </c>
      <c r="C15" s="135">
        <v>356.63217195291668</v>
      </c>
      <c r="D15" s="139">
        <v>1.8542782363381138E-3</v>
      </c>
      <c r="E15" s="140">
        <v>0.4950925479888969</v>
      </c>
      <c r="F15" s="141">
        <v>0.50305317377476499</v>
      </c>
      <c r="G15" s="2"/>
    </row>
    <row r="16" spans="1:7" x14ac:dyDescent="0.25">
      <c r="B16" s="8">
        <v>13</v>
      </c>
      <c r="C16" s="136">
        <v>173.56590055383253</v>
      </c>
      <c r="D16" s="142">
        <v>3.8098057526112562E-3</v>
      </c>
      <c r="E16" s="143">
        <v>0.99619015888234963</v>
      </c>
      <c r="F16" s="144">
        <v>0</v>
      </c>
      <c r="G16" s="2"/>
    </row>
    <row r="17" spans="1:9" ht="15.75" thickBot="1" x14ac:dyDescent="0.3">
      <c r="B17" s="9">
        <v>16</v>
      </c>
      <c r="C17" s="137">
        <v>183.06627139908417</v>
      </c>
      <c r="D17" s="36">
        <v>2.3430042830098394E-7</v>
      </c>
      <c r="E17" s="146">
        <v>1.9999783300896998E-2</v>
      </c>
      <c r="F17" s="147">
        <v>0.98</v>
      </c>
      <c r="G17" s="2"/>
    </row>
    <row r="18" spans="1:9" ht="15.75" thickBot="1" x14ac:dyDescent="0.3">
      <c r="C18" s="133"/>
      <c r="D18" s="148"/>
      <c r="E18" s="148"/>
      <c r="F18" s="148"/>
      <c r="G18" s="2"/>
    </row>
    <row r="19" spans="1:9" ht="15.75" thickBot="1" x14ac:dyDescent="0.3">
      <c r="A19" s="198" t="s">
        <v>14</v>
      </c>
      <c r="B19" s="206"/>
      <c r="C19" s="133"/>
      <c r="D19" s="148"/>
      <c r="E19" s="148"/>
      <c r="F19" s="148"/>
    </row>
    <row r="20" spans="1:9" x14ac:dyDescent="0.25">
      <c r="B20" s="3">
        <v>19</v>
      </c>
      <c r="C20" s="135">
        <v>271.07556369257463</v>
      </c>
      <c r="D20" s="139">
        <v>0.99935684605831099</v>
      </c>
      <c r="E20" s="140">
        <v>1.8667140642403509E-4</v>
      </c>
      <c r="F20" s="141">
        <v>4.5648253526493472E-4</v>
      </c>
      <c r="G20" s="2"/>
    </row>
    <row r="21" spans="1:9" x14ac:dyDescent="0.25">
      <c r="B21" s="8">
        <v>20</v>
      </c>
      <c r="C21" s="136">
        <v>270.58059865032357</v>
      </c>
      <c r="D21" s="142">
        <v>0.99981302404492778</v>
      </c>
      <c r="E21" s="143">
        <v>1.8697396210769102E-4</v>
      </c>
      <c r="F21" s="144">
        <v>0</v>
      </c>
      <c r="G21" s="2"/>
    </row>
    <row r="22" spans="1:9" ht="15.75" thickBot="1" x14ac:dyDescent="0.3">
      <c r="B22" s="9">
        <v>23</v>
      </c>
      <c r="C22" s="137">
        <v>0.494965042251031</v>
      </c>
      <c r="D22" s="145">
        <v>0.74997872622340034</v>
      </c>
      <c r="E22" s="37">
        <v>2.1274273930948376E-5</v>
      </c>
      <c r="F22" s="147">
        <v>0.25</v>
      </c>
      <c r="G22" s="2"/>
    </row>
    <row r="23" spans="1:9" ht="15.75" thickBot="1" x14ac:dyDescent="0.3">
      <c r="G23" s="2"/>
      <c r="I23" s="4"/>
    </row>
  </sheetData>
  <mergeCells count="4">
    <mergeCell ref="A2:C2"/>
    <mergeCell ref="A9:B9"/>
    <mergeCell ref="A14:B14"/>
    <mergeCell ref="A19:B19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1"/>
  <sheetViews>
    <sheetView topLeftCell="A43" workbookViewId="0">
      <selection activeCell="F53" sqref="F53"/>
    </sheetView>
  </sheetViews>
  <sheetFormatPr defaultRowHeight="15" x14ac:dyDescent="0.25"/>
  <cols>
    <col min="1" max="1" width="14.7109375" bestFit="1" customWidth="1"/>
    <col min="3" max="3" width="8.7109375" customWidth="1"/>
    <col min="5" max="5" width="6.85546875" bestFit="1" customWidth="1"/>
  </cols>
  <sheetData>
    <row r="1" spans="1:5" x14ac:dyDescent="0.25">
      <c r="A1" s="98"/>
      <c r="B1" s="221"/>
      <c r="C1" s="221"/>
      <c r="D1" s="221"/>
      <c r="E1" s="221"/>
    </row>
    <row r="2" spans="1:5" x14ac:dyDescent="0.25">
      <c r="A2" s="88"/>
      <c r="B2" s="98"/>
      <c r="C2" s="98"/>
      <c r="D2" s="98"/>
      <c r="E2" s="98"/>
    </row>
    <row r="3" spans="1:5" x14ac:dyDescent="0.25">
      <c r="A3" s="88"/>
      <c r="B3" s="88"/>
      <c r="C3" s="88"/>
      <c r="D3" s="88"/>
      <c r="E3" s="88"/>
    </row>
    <row r="4" spans="1:5" x14ac:dyDescent="0.25">
      <c r="A4" s="88"/>
      <c r="B4" s="88"/>
      <c r="C4" s="88"/>
      <c r="D4" s="88"/>
      <c r="E4" s="88"/>
    </row>
    <row r="5" spans="1:5" x14ac:dyDescent="0.25">
      <c r="A5" s="88"/>
      <c r="B5" s="88"/>
      <c r="C5" s="88"/>
      <c r="D5" s="88"/>
      <c r="E5" s="88"/>
    </row>
    <row r="6" spans="1:5" x14ac:dyDescent="0.25">
      <c r="A6" s="88"/>
      <c r="B6" s="88"/>
      <c r="C6" s="88"/>
      <c r="D6" s="88"/>
      <c r="E6" s="88"/>
    </row>
    <row r="7" spans="1:5" x14ac:dyDescent="0.25">
      <c r="A7" s="88"/>
      <c r="B7" s="88"/>
      <c r="C7" s="88"/>
      <c r="D7" s="88"/>
      <c r="E7" s="88"/>
    </row>
    <row r="8" spans="1:5" x14ac:dyDescent="0.25">
      <c r="A8" s="88"/>
      <c r="B8" s="88"/>
      <c r="C8" s="88"/>
      <c r="D8" s="88"/>
      <c r="E8" s="88"/>
    </row>
    <row r="9" spans="1:5" x14ac:dyDescent="0.25">
      <c r="A9" s="88"/>
      <c r="B9" s="88"/>
      <c r="C9" s="88"/>
      <c r="D9" s="88"/>
      <c r="E9" s="88"/>
    </row>
    <row r="10" spans="1:5" x14ac:dyDescent="0.25">
      <c r="A10" s="88"/>
      <c r="B10" s="88"/>
      <c r="C10" s="88"/>
      <c r="D10" s="88"/>
      <c r="E10" s="88"/>
    </row>
    <row r="11" spans="1:5" x14ac:dyDescent="0.25">
      <c r="A11" s="88"/>
      <c r="B11" s="88"/>
      <c r="C11" s="88"/>
      <c r="D11" s="88"/>
      <c r="E11" s="88"/>
    </row>
    <row r="12" spans="1:5" x14ac:dyDescent="0.25">
      <c r="A12" s="88"/>
      <c r="B12" s="88"/>
      <c r="C12" s="88"/>
      <c r="D12" s="88"/>
      <c r="E12" s="88"/>
    </row>
    <row r="13" spans="1:5" x14ac:dyDescent="0.25">
      <c r="A13" s="88"/>
      <c r="B13" s="88"/>
      <c r="C13" s="88"/>
      <c r="D13" s="88"/>
      <c r="E13" s="100"/>
    </row>
    <row r="14" spans="1:5" x14ac:dyDescent="0.25">
      <c r="A14" s="88"/>
      <c r="B14" s="88"/>
      <c r="C14" s="88"/>
      <c r="D14" s="88"/>
      <c r="E14" s="88"/>
    </row>
    <row r="15" spans="1:5" x14ac:dyDescent="0.25">
      <c r="A15" s="88"/>
      <c r="B15" s="88"/>
      <c r="C15" s="88"/>
      <c r="D15" s="88"/>
      <c r="E15" s="88"/>
    </row>
    <row r="16" spans="1:5" x14ac:dyDescent="0.25">
      <c r="A16" s="88"/>
      <c r="B16" s="88"/>
      <c r="C16" s="88"/>
      <c r="D16" s="88"/>
      <c r="E16" s="88"/>
    </row>
    <row r="17" spans="1:21" x14ac:dyDescent="0.25">
      <c r="A17" s="88"/>
      <c r="B17" s="88"/>
      <c r="C17" s="88"/>
      <c r="D17" s="100"/>
      <c r="E17" s="88"/>
    </row>
    <row r="18" spans="1:21" x14ac:dyDescent="0.25">
      <c r="A18" s="64"/>
      <c r="B18" s="64"/>
      <c r="C18" s="64"/>
      <c r="D18" s="64"/>
      <c r="E18" s="64"/>
      <c r="F18" s="64"/>
      <c r="G18" s="64"/>
      <c r="H18" s="64"/>
      <c r="I18" s="64"/>
      <c r="J18" s="64"/>
      <c r="K18" s="64"/>
      <c r="L18" s="64"/>
      <c r="M18" s="64"/>
      <c r="N18" s="64"/>
      <c r="O18" s="64"/>
      <c r="P18" s="64"/>
      <c r="Q18" s="64"/>
      <c r="R18" s="64"/>
      <c r="S18" s="64"/>
      <c r="T18" s="64"/>
      <c r="U18" s="64"/>
    </row>
    <row r="19" spans="1:21" ht="15.75" thickBot="1" x14ac:dyDescent="0.3">
      <c r="A19" t="s">
        <v>58</v>
      </c>
    </row>
    <row r="20" spans="1:21" ht="15.75" thickBot="1" x14ac:dyDescent="0.3">
      <c r="A20" s="14" t="s">
        <v>29</v>
      </c>
      <c r="B20" s="59"/>
      <c r="C20" s="53" t="s">
        <v>43</v>
      </c>
      <c r="D20" s="54">
        <v>32.04</v>
      </c>
      <c r="H20" s="59" t="s">
        <v>44</v>
      </c>
      <c r="I20" s="59" t="s">
        <v>50</v>
      </c>
      <c r="J20" s="59"/>
      <c r="K20" s="59"/>
      <c r="L20" s="59"/>
      <c r="M20" t="s">
        <v>45</v>
      </c>
      <c r="N20" s="61" t="s">
        <v>46</v>
      </c>
      <c r="O20" t="s">
        <v>42</v>
      </c>
      <c r="U20" s="59"/>
    </row>
    <row r="21" spans="1:21" ht="16.5" thickBot="1" x14ac:dyDescent="0.3">
      <c r="A21" s="53" t="s">
        <v>40</v>
      </c>
      <c r="B21" s="55" t="s">
        <v>41</v>
      </c>
      <c r="C21" s="59"/>
      <c r="D21" s="59"/>
      <c r="H21" s="62" t="s">
        <v>47</v>
      </c>
      <c r="I21" s="59"/>
      <c r="J21" s="59"/>
      <c r="K21" s="59"/>
      <c r="L21" s="59"/>
    </row>
    <row r="22" spans="1:21" ht="15.75" thickBot="1" x14ac:dyDescent="0.3">
      <c r="A22" s="13" t="s">
        <v>36</v>
      </c>
      <c r="B22" s="11" t="s">
        <v>37</v>
      </c>
      <c r="C22" s="11" t="s">
        <v>38</v>
      </c>
      <c r="D22" s="12" t="s">
        <v>39</v>
      </c>
      <c r="H22" s="53" t="s">
        <v>48</v>
      </c>
      <c r="I22" s="55" t="s">
        <v>49</v>
      </c>
      <c r="J22" s="59"/>
      <c r="L22" s="63" t="s">
        <v>40</v>
      </c>
      <c r="M22" s="59"/>
    </row>
    <row r="23" spans="1:21" ht="15.75" thickBot="1" x14ac:dyDescent="0.3">
      <c r="A23" s="56">
        <v>0.83819999999999995</v>
      </c>
      <c r="B23" s="57">
        <f>-3.231*10^-3</f>
        <v>-3.2309999999999999E-3</v>
      </c>
      <c r="C23" s="57">
        <f>8.296*10^-6</f>
        <v>8.2959999999999982E-6</v>
      </c>
      <c r="D23" s="58">
        <f>-0.1689*10^-9</f>
        <v>-1.6890000000000001E-10</v>
      </c>
      <c r="H23" s="59">
        <v>283.14999999999998</v>
      </c>
      <c r="I23" s="59">
        <v>290</v>
      </c>
      <c r="J23" s="59"/>
      <c r="K23" s="53" t="s">
        <v>36</v>
      </c>
      <c r="L23" s="54" t="s">
        <v>37</v>
      </c>
      <c r="M23" s="55" t="s">
        <v>38</v>
      </c>
    </row>
    <row r="24" spans="1:21" ht="15.75" thickBot="1" x14ac:dyDescent="0.3">
      <c r="A24" s="198" t="s">
        <v>42</v>
      </c>
      <c r="B24" s="199"/>
      <c r="C24" s="199"/>
      <c r="D24" s="206"/>
      <c r="H24" s="59">
        <v>293.14999999999998</v>
      </c>
      <c r="I24" s="59">
        <v>294</v>
      </c>
      <c r="J24" s="59"/>
      <c r="K24" s="56">
        <v>753.28</v>
      </c>
      <c r="L24" s="57">
        <v>-3.4195000000000002</v>
      </c>
      <c r="M24" s="58">
        <v>6.3E-3</v>
      </c>
    </row>
    <row r="25" spans="1:21" ht="15.75" thickBot="1" x14ac:dyDescent="0.3">
      <c r="A25" s="60" t="s">
        <v>36</v>
      </c>
      <c r="B25" s="6" t="s">
        <v>37</v>
      </c>
      <c r="C25" s="6" t="s">
        <v>38</v>
      </c>
      <c r="D25" s="15" t="s">
        <v>39</v>
      </c>
      <c r="H25" s="59">
        <v>303.14999999999998</v>
      </c>
      <c r="I25" s="59">
        <v>297</v>
      </c>
      <c r="J25" s="59"/>
      <c r="K25" s="59"/>
      <c r="L25" s="59"/>
    </row>
    <row r="26" spans="1:21" ht="15.75" thickBot="1" x14ac:dyDescent="0.3">
      <c r="A26" s="56">
        <v>112.44039935039999</v>
      </c>
      <c r="B26" s="57">
        <v>-0.43342272763199996</v>
      </c>
      <c r="C26" s="57">
        <v>1.1128675173119997E-3</v>
      </c>
      <c r="D26" s="58">
        <v>-2.26571026608E-8</v>
      </c>
      <c r="H26" s="59">
        <v>313.14999999999998</v>
      </c>
      <c r="I26" s="59">
        <v>302</v>
      </c>
      <c r="J26" s="59"/>
      <c r="K26" s="59"/>
      <c r="L26" s="59"/>
    </row>
    <row r="27" spans="1:21" x14ac:dyDescent="0.25">
      <c r="H27" s="59">
        <v>323.14999999999998</v>
      </c>
      <c r="I27" s="59">
        <v>306</v>
      </c>
      <c r="J27" s="59"/>
      <c r="K27" s="59"/>
      <c r="L27" s="59"/>
    </row>
    <row r="28" spans="1:21" x14ac:dyDescent="0.25">
      <c r="H28" s="59">
        <v>333.15</v>
      </c>
      <c r="I28" s="59">
        <v>313</v>
      </c>
      <c r="J28" s="59"/>
      <c r="K28" s="59"/>
      <c r="L28" s="59"/>
    </row>
    <row r="29" spans="1:21" x14ac:dyDescent="0.25">
      <c r="H29" s="59">
        <v>343.15</v>
      </c>
      <c r="I29" s="59">
        <v>324</v>
      </c>
      <c r="J29" s="59"/>
      <c r="K29" s="59"/>
      <c r="L29" s="59"/>
    </row>
    <row r="30" spans="1:21" x14ac:dyDescent="0.25">
      <c r="G30" s="59"/>
      <c r="H30" s="59"/>
      <c r="I30" s="59"/>
      <c r="J30" s="59"/>
      <c r="K30" s="59"/>
    </row>
    <row r="31" spans="1:21" ht="15.75" thickBot="1" x14ac:dyDescent="0.3">
      <c r="A31" s="65" t="s">
        <v>29</v>
      </c>
      <c r="C31" s="66"/>
      <c r="D31" s="66"/>
      <c r="F31" s="66"/>
      <c r="G31" s="66"/>
      <c r="H31" s="66"/>
      <c r="I31" s="66"/>
      <c r="J31" s="59"/>
      <c r="K31" s="59"/>
    </row>
    <row r="32" spans="1:21" x14ac:dyDescent="0.25">
      <c r="A32" s="50" t="s">
        <v>51</v>
      </c>
      <c r="B32" s="3">
        <v>45.3</v>
      </c>
      <c r="C32" s="67"/>
      <c r="D32" s="67"/>
      <c r="F32" s="34"/>
      <c r="G32" s="67"/>
      <c r="H32" s="67"/>
      <c r="I32" s="67"/>
      <c r="J32" s="59"/>
      <c r="K32" s="59"/>
    </row>
    <row r="33" spans="1:20" x14ac:dyDescent="0.25">
      <c r="A33" s="68" t="s">
        <v>52</v>
      </c>
      <c r="B33" s="8">
        <v>-0.31</v>
      </c>
      <c r="C33" s="59"/>
      <c r="D33" s="59"/>
      <c r="F33" s="67"/>
      <c r="G33" s="59"/>
      <c r="H33" s="59"/>
      <c r="I33" s="59"/>
      <c r="J33" s="59"/>
      <c r="K33" s="59"/>
    </row>
    <row r="34" spans="1:20" x14ac:dyDescent="0.25">
      <c r="A34" s="51" t="s">
        <v>53</v>
      </c>
      <c r="B34" s="8">
        <v>0.42409999999999998</v>
      </c>
      <c r="D34" s="59"/>
      <c r="F34" s="67"/>
      <c r="G34" s="59"/>
      <c r="H34" s="59"/>
      <c r="I34" s="59"/>
      <c r="J34" s="59"/>
      <c r="K34" s="59"/>
    </row>
    <row r="35" spans="1:20" ht="15.75" thickBot="1" x14ac:dyDescent="0.3">
      <c r="A35" s="52" t="s">
        <v>54</v>
      </c>
      <c r="B35" s="9">
        <v>512.6</v>
      </c>
      <c r="C35" s="59"/>
      <c r="D35" s="59" t="s">
        <v>55</v>
      </c>
      <c r="F35" s="67"/>
      <c r="G35" s="59"/>
      <c r="H35" s="59"/>
      <c r="I35" s="59"/>
      <c r="J35" s="59"/>
      <c r="K35" s="59"/>
    </row>
    <row r="36" spans="1:20" x14ac:dyDescent="0.25">
      <c r="J36" s="59"/>
      <c r="K36" s="59"/>
    </row>
    <row r="37" spans="1:20" ht="15.75" thickBot="1" x14ac:dyDescent="0.3">
      <c r="A37" s="65" t="s">
        <v>27</v>
      </c>
      <c r="J37" s="59"/>
      <c r="K37" s="59"/>
    </row>
    <row r="38" spans="1:20" x14ac:dyDescent="0.25">
      <c r="A38" s="50" t="s">
        <v>51</v>
      </c>
      <c r="B38" s="3">
        <v>46.23</v>
      </c>
    </row>
    <row r="39" spans="1:20" x14ac:dyDescent="0.25">
      <c r="A39" s="51" t="s">
        <v>53</v>
      </c>
      <c r="B39" s="8">
        <v>0.2893</v>
      </c>
    </row>
    <row r="40" spans="1:20" ht="15.75" thickBot="1" x14ac:dyDescent="0.3">
      <c r="A40" s="52" t="s">
        <v>54</v>
      </c>
      <c r="B40" s="9">
        <v>497.1</v>
      </c>
    </row>
    <row r="41" spans="1:20" ht="15.75" x14ac:dyDescent="0.25">
      <c r="C41" s="69" t="s">
        <v>56</v>
      </c>
    </row>
    <row r="42" spans="1:20" x14ac:dyDescent="0.25">
      <c r="A42" s="67"/>
      <c r="B42" s="67"/>
    </row>
    <row r="43" spans="1:20" x14ac:dyDescent="0.25">
      <c r="A43" s="34"/>
      <c r="B43" s="34"/>
    </row>
    <row r="44" spans="1:20" x14ac:dyDescent="0.25">
      <c r="F44" s="59"/>
      <c r="G44" s="59"/>
    </row>
    <row r="45" spans="1:20" ht="15.75" x14ac:dyDescent="0.25">
      <c r="C45" s="69" t="s">
        <v>57</v>
      </c>
      <c r="F45" s="59"/>
      <c r="G45" s="59"/>
    </row>
    <row r="46" spans="1:20" x14ac:dyDescent="0.25">
      <c r="A46" s="64"/>
      <c r="B46" s="64"/>
      <c r="C46" s="64"/>
      <c r="D46" s="64"/>
      <c r="E46" s="64"/>
      <c r="F46" s="64"/>
      <c r="G46" s="64"/>
      <c r="H46" s="64"/>
      <c r="I46" s="64"/>
      <c r="J46" s="64"/>
      <c r="K46" s="64"/>
      <c r="L46" s="64"/>
      <c r="M46" s="64"/>
      <c r="N46" s="64"/>
      <c r="O46" s="64"/>
      <c r="P46" s="64"/>
      <c r="Q46" s="64"/>
      <c r="R46" s="64"/>
      <c r="S46" s="64"/>
      <c r="T46" s="64"/>
    </row>
    <row r="47" spans="1:20" ht="15.75" thickBot="1" x14ac:dyDescent="0.3"/>
    <row r="48" spans="1:20" ht="15.75" thickBot="1" x14ac:dyDescent="0.3">
      <c r="A48" s="222" t="s">
        <v>59</v>
      </c>
      <c r="B48" s="70" t="s">
        <v>60</v>
      </c>
      <c r="C48" s="70" t="s">
        <v>61</v>
      </c>
      <c r="D48" s="222" t="s">
        <v>62</v>
      </c>
      <c r="E48" s="222" t="s">
        <v>63</v>
      </c>
      <c r="G48" s="67"/>
      <c r="H48" s="217"/>
      <c r="I48" s="217"/>
      <c r="J48" s="218" t="s">
        <v>83</v>
      </c>
      <c r="K48" s="219"/>
      <c r="L48" s="219"/>
      <c r="M48" s="220"/>
    </row>
    <row r="49" spans="1:13" ht="15.75" thickBot="1" x14ac:dyDescent="0.3">
      <c r="A49" s="223"/>
      <c r="B49" s="224" t="s">
        <v>64</v>
      </c>
      <c r="C49" s="224"/>
      <c r="D49" s="223"/>
      <c r="E49" s="223"/>
      <c r="G49" s="67"/>
      <c r="H49" s="217"/>
      <c r="I49" s="217"/>
      <c r="J49" s="81"/>
      <c r="K49" s="82" t="s">
        <v>26</v>
      </c>
      <c r="L49" s="82" t="s">
        <v>28</v>
      </c>
      <c r="M49" s="83" t="s">
        <v>30</v>
      </c>
    </row>
    <row r="50" spans="1:13" ht="36.75" customHeight="1" thickBot="1" x14ac:dyDescent="0.3">
      <c r="A50" s="216" t="s">
        <v>65</v>
      </c>
      <c r="B50" s="216"/>
      <c r="C50" s="216"/>
      <c r="D50" s="216"/>
      <c r="E50" s="216"/>
      <c r="G50" s="67"/>
      <c r="H50" s="217"/>
      <c r="I50" s="217"/>
      <c r="J50" s="51" t="s">
        <v>26</v>
      </c>
      <c r="K50" s="84">
        <v>20.840540000000001</v>
      </c>
      <c r="L50" s="50">
        <v>-2624.5250000000001</v>
      </c>
      <c r="M50" s="85">
        <v>-46.151710000000001</v>
      </c>
    </row>
    <row r="51" spans="1:13" ht="27" customHeight="1" x14ac:dyDescent="0.25">
      <c r="A51" s="71" t="s">
        <v>66</v>
      </c>
      <c r="B51" s="72">
        <v>5.5736999999999997</v>
      </c>
      <c r="C51" s="72">
        <v>7.4991000000000003</v>
      </c>
      <c r="D51" s="71">
        <v>6.4999999999999997E-3</v>
      </c>
      <c r="E51" s="71">
        <v>0.4</v>
      </c>
      <c r="J51" s="51" t="s">
        <v>28</v>
      </c>
      <c r="K51" s="84">
        <v>23.534700000000001</v>
      </c>
      <c r="L51" s="51">
        <v>-3661.4679999999998</v>
      </c>
      <c r="M51" s="85">
        <v>-32.770009999999999</v>
      </c>
    </row>
    <row r="52" spans="1:13" ht="26.25" customHeight="1" thickBot="1" x14ac:dyDescent="0.3">
      <c r="A52" s="73" t="s">
        <v>67</v>
      </c>
      <c r="B52" s="74">
        <v>19.269400000000001</v>
      </c>
      <c r="C52" s="74">
        <v>16.212</v>
      </c>
      <c r="D52" s="73"/>
      <c r="E52" s="73"/>
      <c r="J52" s="52" t="s">
        <v>30</v>
      </c>
      <c r="K52" s="86">
        <v>0</v>
      </c>
      <c r="L52" s="52">
        <v>0</v>
      </c>
      <c r="M52" s="87">
        <v>0</v>
      </c>
    </row>
    <row r="53" spans="1:13" ht="27.75" customHeight="1" thickBot="1" x14ac:dyDescent="0.3">
      <c r="A53" s="75" t="s">
        <v>68</v>
      </c>
      <c r="B53" s="76">
        <v>10.6456</v>
      </c>
      <c r="C53" s="76">
        <v>0.56320000000000003</v>
      </c>
      <c r="D53" s="77"/>
      <c r="E53" s="77"/>
    </row>
    <row r="54" spans="1:13" ht="15.75" thickBot="1" x14ac:dyDescent="0.3"/>
    <row r="55" spans="1:13" ht="18.75" thickBot="1" x14ac:dyDescent="0.4">
      <c r="A55" s="78" t="s">
        <v>69</v>
      </c>
      <c r="B55" s="79" t="s">
        <v>70</v>
      </c>
      <c r="C55" s="79" t="s">
        <v>71</v>
      </c>
      <c r="D55" s="79" t="s">
        <v>72</v>
      </c>
      <c r="E55" s="79" t="s">
        <v>73</v>
      </c>
      <c r="F55" s="80" t="s">
        <v>74</v>
      </c>
    </row>
    <row r="56" spans="1:13" ht="15.75" thickBot="1" x14ac:dyDescent="0.3">
      <c r="A56">
        <v>2.1071800296631609</v>
      </c>
      <c r="B56">
        <v>2.8350922655412045</v>
      </c>
      <c r="C56">
        <v>7.2849444468829168</v>
      </c>
      <c r="D56">
        <v>6.1290709297054313</v>
      </c>
      <c r="E56">
        <v>4.0246507210259157</v>
      </c>
      <c r="F56">
        <v>0.21292207917654202</v>
      </c>
    </row>
    <row r="57" spans="1:13" ht="18.75" thickBot="1" x14ac:dyDescent="0.4">
      <c r="A57" s="78" t="s">
        <v>75</v>
      </c>
      <c r="B57" s="79" t="s">
        <v>76</v>
      </c>
      <c r="C57" s="79" t="s">
        <v>77</v>
      </c>
      <c r="D57" s="79" t="s">
        <v>78</v>
      </c>
      <c r="E57" s="79" t="s">
        <v>79</v>
      </c>
      <c r="F57" s="80" t="s">
        <v>80</v>
      </c>
    </row>
    <row r="58" spans="1:13" x14ac:dyDescent="0.25">
      <c r="A58">
        <v>0.43047242445194145</v>
      </c>
      <c r="B58">
        <v>0.32173183009668638</v>
      </c>
      <c r="C58">
        <v>5.425946787469077E-2</v>
      </c>
      <c r="D58">
        <v>8.6153182795249569E-2</v>
      </c>
      <c r="E58">
        <v>0.19991554264238187</v>
      </c>
      <c r="F58">
        <v>0.91835722352796123</v>
      </c>
    </row>
    <row r="60" spans="1:13" x14ac:dyDescent="0.25">
      <c r="A60" t="s">
        <v>81</v>
      </c>
    </row>
    <row r="61" spans="1:13" x14ac:dyDescent="0.25">
      <c r="A61" t="s">
        <v>82</v>
      </c>
    </row>
  </sheetData>
  <mergeCells count="12">
    <mergeCell ref="A50:E50"/>
    <mergeCell ref="H50:I50"/>
    <mergeCell ref="J48:M48"/>
    <mergeCell ref="B1:C1"/>
    <mergeCell ref="D1:E1"/>
    <mergeCell ref="A24:D24"/>
    <mergeCell ref="A48:A49"/>
    <mergeCell ref="D48:D49"/>
    <mergeCell ref="E48:E49"/>
    <mergeCell ref="H48:I48"/>
    <mergeCell ref="B49:C49"/>
    <mergeCell ref="H49:I4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6"/>
  <sheetViews>
    <sheetView workbookViewId="0">
      <selection activeCell="E1" sqref="E1"/>
    </sheetView>
  </sheetViews>
  <sheetFormatPr defaultRowHeight="15" x14ac:dyDescent="0.25"/>
  <cols>
    <col min="1" max="1" width="12.85546875" bestFit="1" customWidth="1"/>
    <col min="2" max="2" width="19.5703125" bestFit="1" customWidth="1"/>
  </cols>
  <sheetData>
    <row r="1" spans="1:15" ht="15.75" thickBot="1" x14ac:dyDescent="0.3">
      <c r="A1" s="7" t="s">
        <v>34</v>
      </c>
      <c r="B1" s="15" t="s">
        <v>97</v>
      </c>
      <c r="C1" s="101"/>
      <c r="D1" s="101"/>
      <c r="E1" s="101"/>
      <c r="F1" s="97"/>
    </row>
    <row r="2" spans="1:15" x14ac:dyDescent="0.25">
      <c r="A2" s="23" t="s">
        <v>0</v>
      </c>
      <c r="B2" s="23"/>
      <c r="C2" s="10"/>
      <c r="D2" s="10"/>
      <c r="E2" s="10"/>
      <c r="F2" s="97"/>
    </row>
    <row r="3" spans="1:15" x14ac:dyDescent="0.25">
      <c r="A3" s="23" t="s">
        <v>10</v>
      </c>
      <c r="B3" s="8" t="s">
        <v>90</v>
      </c>
      <c r="C3" s="10"/>
      <c r="D3" s="10"/>
      <c r="E3" s="10"/>
      <c r="F3" s="97"/>
    </row>
    <row r="4" spans="1:15" x14ac:dyDescent="0.25">
      <c r="A4" s="23" t="s">
        <v>84</v>
      </c>
      <c r="B4" s="8" t="s">
        <v>91</v>
      </c>
      <c r="C4" s="10"/>
      <c r="D4" s="10"/>
      <c r="E4" s="10"/>
      <c r="F4" s="97"/>
    </row>
    <row r="5" spans="1:15" x14ac:dyDescent="0.25">
      <c r="A5" s="23" t="s">
        <v>85</v>
      </c>
      <c r="B5" s="8" t="s">
        <v>92</v>
      </c>
      <c r="C5" s="10"/>
      <c r="D5" s="10"/>
      <c r="E5" s="10"/>
      <c r="F5" s="97"/>
    </row>
    <row r="6" spans="1:15" x14ac:dyDescent="0.25">
      <c r="A6" s="23" t="s">
        <v>86</v>
      </c>
      <c r="B6" s="8" t="s">
        <v>93</v>
      </c>
      <c r="C6" s="10"/>
      <c r="D6" s="10"/>
      <c r="E6" s="10"/>
      <c r="F6" s="97"/>
    </row>
    <row r="7" spans="1:15" x14ac:dyDescent="0.25">
      <c r="A7" s="23" t="s">
        <v>87</v>
      </c>
      <c r="B7" s="8" t="s">
        <v>94</v>
      </c>
      <c r="C7" s="10"/>
      <c r="D7" s="10"/>
      <c r="E7" s="10"/>
      <c r="F7" s="97"/>
    </row>
    <row r="8" spans="1:15" x14ac:dyDescent="0.25">
      <c r="A8" s="23" t="s">
        <v>88</v>
      </c>
      <c r="B8" s="8" t="s">
        <v>95</v>
      </c>
      <c r="C8" s="10"/>
      <c r="D8" s="10"/>
      <c r="E8" s="10"/>
      <c r="F8" s="97"/>
    </row>
    <row r="9" spans="1:15" ht="15.75" thickBot="1" x14ac:dyDescent="0.3">
      <c r="A9" s="24" t="s">
        <v>89</v>
      </c>
      <c r="B9" s="9" t="s">
        <v>96</v>
      </c>
      <c r="C9" s="10"/>
      <c r="D9" s="10"/>
      <c r="E9" s="10"/>
      <c r="F9" s="97"/>
    </row>
    <row r="10" spans="1:15" x14ac:dyDescent="0.25">
      <c r="A10" s="10"/>
      <c r="B10" s="10"/>
      <c r="C10" s="10"/>
      <c r="D10" s="10"/>
      <c r="E10" s="10"/>
      <c r="F10" s="97"/>
    </row>
    <row r="11" spans="1:15" x14ac:dyDescent="0.25">
      <c r="A11" s="10"/>
      <c r="B11" s="10"/>
      <c r="C11" s="10"/>
      <c r="D11" s="10"/>
      <c r="E11" s="10"/>
      <c r="F11" s="97"/>
    </row>
    <row r="12" spans="1:15" ht="15.75" thickBot="1" x14ac:dyDescent="0.3">
      <c r="A12" s="10"/>
      <c r="B12" s="10"/>
      <c r="C12" s="10"/>
      <c r="D12" s="10"/>
      <c r="E12" s="10"/>
      <c r="F12" s="97"/>
    </row>
    <row r="13" spans="1:15" ht="15.75" thickBot="1" x14ac:dyDescent="0.3">
      <c r="A13" s="102"/>
      <c r="B13" s="122" t="s">
        <v>23</v>
      </c>
      <c r="C13" s="125" t="s">
        <v>35</v>
      </c>
      <c r="D13" s="103"/>
      <c r="E13" s="104"/>
      <c r="F13" s="103"/>
      <c r="G13" s="225" t="s">
        <v>85</v>
      </c>
      <c r="H13" s="225" t="s">
        <v>35</v>
      </c>
      <c r="I13" s="226"/>
      <c r="J13" s="123" t="s">
        <v>112</v>
      </c>
      <c r="K13" s="226" t="s">
        <v>124</v>
      </c>
      <c r="L13" s="112"/>
      <c r="M13" s="225" t="s">
        <v>130</v>
      </c>
      <c r="N13" s="225" t="s">
        <v>35</v>
      </c>
      <c r="O13" s="226"/>
    </row>
    <row r="14" spans="1:15" ht="15.75" thickBot="1" x14ac:dyDescent="0.3">
      <c r="A14" s="123" t="s">
        <v>0</v>
      </c>
      <c r="B14" s="116">
        <v>45</v>
      </c>
      <c r="C14" s="106">
        <v>101.325</v>
      </c>
      <c r="D14" s="103"/>
      <c r="E14" s="103"/>
      <c r="F14" s="103"/>
      <c r="G14" s="228"/>
      <c r="H14" s="126" t="s">
        <v>113</v>
      </c>
      <c r="I14" s="127" t="s">
        <v>114</v>
      </c>
      <c r="J14" s="124" t="s">
        <v>111</v>
      </c>
      <c r="K14" s="227"/>
      <c r="L14" s="112"/>
      <c r="M14" s="228"/>
      <c r="N14" s="126" t="s">
        <v>109</v>
      </c>
      <c r="O14" s="127" t="s">
        <v>110</v>
      </c>
    </row>
    <row r="15" spans="1:15" ht="15.75" thickBot="1" x14ac:dyDescent="0.3">
      <c r="A15" s="124" t="s">
        <v>90</v>
      </c>
      <c r="B15" s="118">
        <v>45.1</v>
      </c>
      <c r="C15" s="107">
        <v>50</v>
      </c>
      <c r="D15" s="103"/>
      <c r="E15" s="103"/>
      <c r="F15" s="103"/>
      <c r="G15" s="114" t="s">
        <v>103</v>
      </c>
      <c r="H15" s="114">
        <v>101.325</v>
      </c>
      <c r="I15" s="109">
        <v>101.325</v>
      </c>
      <c r="J15" s="121">
        <v>5</v>
      </c>
      <c r="K15" s="109" t="s">
        <v>115</v>
      </c>
      <c r="L15" s="112"/>
      <c r="M15" s="114" t="s">
        <v>131</v>
      </c>
      <c r="N15" s="114">
        <v>101.325</v>
      </c>
      <c r="O15" s="109">
        <v>50</v>
      </c>
    </row>
    <row r="16" spans="1:15" ht="15.75" thickBot="1" x14ac:dyDescent="0.3">
      <c r="A16" s="112"/>
      <c r="B16" s="112"/>
      <c r="C16" s="112"/>
      <c r="D16" s="103"/>
      <c r="E16" s="103"/>
      <c r="F16" s="103"/>
      <c r="G16" s="114" t="s">
        <v>104</v>
      </c>
      <c r="H16" s="114">
        <v>50</v>
      </c>
      <c r="I16" s="109">
        <v>101.325</v>
      </c>
      <c r="J16" s="121">
        <v>0</v>
      </c>
      <c r="K16" s="109" t="s">
        <v>116</v>
      </c>
      <c r="L16" s="112"/>
      <c r="M16" s="114" t="s">
        <v>132</v>
      </c>
      <c r="N16" s="114">
        <v>50</v>
      </c>
      <c r="O16" s="109">
        <v>2.4500000000000002</v>
      </c>
    </row>
    <row r="17" spans="1:15" ht="15.75" thickBot="1" x14ac:dyDescent="0.3">
      <c r="A17" s="225" t="s">
        <v>98</v>
      </c>
      <c r="B17" s="225" t="s">
        <v>23</v>
      </c>
      <c r="C17" s="226"/>
      <c r="D17" s="226" t="s">
        <v>35</v>
      </c>
      <c r="E17" s="103"/>
      <c r="F17" s="103"/>
      <c r="G17" s="114" t="s">
        <v>105</v>
      </c>
      <c r="H17" s="114">
        <v>2.4500000000000002</v>
      </c>
      <c r="I17" s="109">
        <v>101.325</v>
      </c>
      <c r="J17" s="121">
        <v>0</v>
      </c>
      <c r="K17" s="109" t="s">
        <v>117</v>
      </c>
      <c r="L17" s="112"/>
      <c r="M17" s="115" t="s">
        <v>133</v>
      </c>
      <c r="N17" s="115">
        <v>101.325</v>
      </c>
      <c r="O17" s="111">
        <v>73.5</v>
      </c>
    </row>
    <row r="18" spans="1:15" ht="15.75" thickBot="1" x14ac:dyDescent="0.3">
      <c r="A18" s="228"/>
      <c r="B18" s="126" t="s">
        <v>101</v>
      </c>
      <c r="C18" s="127" t="s">
        <v>102</v>
      </c>
      <c r="D18" s="227"/>
      <c r="E18" s="112"/>
      <c r="F18" s="112"/>
      <c r="G18" s="114" t="s">
        <v>106</v>
      </c>
      <c r="H18" s="114">
        <v>2.4500000000000002</v>
      </c>
      <c r="I18" s="109">
        <v>101.325</v>
      </c>
      <c r="J18" s="121">
        <v>5</v>
      </c>
      <c r="K18" s="109" t="s">
        <v>118</v>
      </c>
      <c r="L18" s="112"/>
      <c r="M18" s="112"/>
      <c r="N18" s="112"/>
      <c r="O18" s="112"/>
    </row>
    <row r="19" spans="1:15" x14ac:dyDescent="0.25">
      <c r="A19" s="116" t="s">
        <v>99</v>
      </c>
      <c r="B19" s="105">
        <v>45.1</v>
      </c>
      <c r="C19" s="109">
        <v>45.1</v>
      </c>
      <c r="D19" s="106">
        <v>2.4500000000000002</v>
      </c>
      <c r="E19" s="112"/>
      <c r="F19" s="112"/>
      <c r="G19" s="114" t="s">
        <v>107</v>
      </c>
      <c r="H19" s="114">
        <v>73.5</v>
      </c>
      <c r="I19" s="109">
        <v>101.325</v>
      </c>
      <c r="J19" s="121">
        <v>0</v>
      </c>
      <c r="K19" s="109" t="s">
        <v>119</v>
      </c>
      <c r="L19" s="112"/>
      <c r="M19" s="112"/>
      <c r="N19" s="112"/>
      <c r="O19" s="112"/>
    </row>
    <row r="20" spans="1:15" ht="15.75" thickBot="1" x14ac:dyDescent="0.3">
      <c r="A20" s="117" t="s">
        <v>100</v>
      </c>
      <c r="B20" s="115">
        <v>44.6</v>
      </c>
      <c r="C20" s="111">
        <v>45</v>
      </c>
      <c r="D20" s="111">
        <v>73.5</v>
      </c>
      <c r="E20" s="112"/>
      <c r="F20" s="112"/>
      <c r="G20" s="115" t="s">
        <v>108</v>
      </c>
      <c r="H20" s="115">
        <v>73.5</v>
      </c>
      <c r="I20" s="111">
        <v>101.325</v>
      </c>
      <c r="J20" s="113">
        <v>0</v>
      </c>
      <c r="K20" s="111" t="s">
        <v>120</v>
      </c>
      <c r="L20" s="112"/>
      <c r="M20" s="112"/>
      <c r="N20" s="112"/>
      <c r="O20" s="112"/>
    </row>
    <row r="21" spans="1:15" ht="15.75" thickBot="1" x14ac:dyDescent="0.3">
      <c r="A21" s="112"/>
      <c r="B21" s="112"/>
      <c r="C21" s="112"/>
      <c r="D21" s="112"/>
      <c r="E21" s="112"/>
      <c r="F21" s="112"/>
      <c r="G21" s="112"/>
      <c r="H21" s="112"/>
      <c r="I21" s="112"/>
      <c r="J21" s="112"/>
      <c r="K21" s="112"/>
      <c r="L21" s="112"/>
      <c r="M21" s="112"/>
      <c r="N21" s="112"/>
      <c r="O21" s="112"/>
    </row>
    <row r="22" spans="1:15" x14ac:dyDescent="0.25">
      <c r="A22" s="225" t="s">
        <v>121</v>
      </c>
      <c r="B22" s="225" t="s">
        <v>23</v>
      </c>
      <c r="C22" s="226"/>
      <c r="D22" s="226" t="s">
        <v>35</v>
      </c>
      <c r="E22" s="112"/>
      <c r="F22" s="112"/>
      <c r="G22" s="229" t="s">
        <v>125</v>
      </c>
      <c r="H22" s="231" t="s">
        <v>23</v>
      </c>
      <c r="I22" s="231"/>
      <c r="J22" s="229" t="s">
        <v>35</v>
      </c>
      <c r="K22" s="112"/>
      <c r="L22" s="112"/>
      <c r="M22" s="112"/>
      <c r="N22" s="112"/>
      <c r="O22" s="112"/>
    </row>
    <row r="23" spans="1:15" ht="15.75" thickBot="1" x14ac:dyDescent="0.3">
      <c r="A23" s="228"/>
      <c r="B23" s="126" t="s">
        <v>101</v>
      </c>
      <c r="C23" s="127" t="s">
        <v>102</v>
      </c>
      <c r="D23" s="227"/>
      <c r="E23" s="112"/>
      <c r="F23" s="112"/>
      <c r="G23" s="230"/>
      <c r="H23" s="128" t="s">
        <v>101</v>
      </c>
      <c r="I23" s="128" t="s">
        <v>102</v>
      </c>
      <c r="J23" s="230"/>
      <c r="K23" s="112"/>
      <c r="L23" s="112"/>
      <c r="M23" s="112"/>
      <c r="N23" s="112"/>
      <c r="O23" s="112"/>
    </row>
    <row r="24" spans="1:15" x14ac:dyDescent="0.25">
      <c r="A24" s="119" t="s">
        <v>122</v>
      </c>
      <c r="B24" s="114" t="s">
        <v>129</v>
      </c>
      <c r="C24" s="109">
        <v>45</v>
      </c>
      <c r="D24" s="109">
        <v>101.325</v>
      </c>
      <c r="E24" s="112"/>
      <c r="F24" s="112"/>
      <c r="G24" s="114" t="s">
        <v>126</v>
      </c>
      <c r="H24" s="108">
        <v>45.1</v>
      </c>
      <c r="I24" s="108">
        <v>37.6</v>
      </c>
      <c r="J24" s="109">
        <v>50</v>
      </c>
      <c r="K24" s="112"/>
      <c r="L24" s="112"/>
      <c r="M24" s="112"/>
      <c r="N24" s="112"/>
      <c r="O24" s="112"/>
    </row>
    <row r="25" spans="1:15" ht="15.75" thickBot="1" x14ac:dyDescent="0.3">
      <c r="A25" s="120" t="s">
        <v>123</v>
      </c>
      <c r="B25" s="115">
        <v>45</v>
      </c>
      <c r="C25" s="111">
        <v>68</v>
      </c>
      <c r="D25" s="111">
        <v>101.325</v>
      </c>
      <c r="E25" s="112"/>
      <c r="F25" s="112"/>
      <c r="G25" s="114" t="s">
        <v>127</v>
      </c>
      <c r="H25" s="108">
        <v>45.1</v>
      </c>
      <c r="I25" s="108">
        <v>25</v>
      </c>
      <c r="J25" s="109">
        <v>2.4500000000000002</v>
      </c>
      <c r="K25" s="112"/>
      <c r="L25" s="112"/>
      <c r="M25" s="112"/>
      <c r="N25" s="112"/>
      <c r="O25" s="112"/>
    </row>
    <row r="26" spans="1:15" ht="15.75" thickBot="1" x14ac:dyDescent="0.3">
      <c r="A26" s="112"/>
      <c r="B26" s="112"/>
      <c r="C26" s="112"/>
      <c r="D26" s="112"/>
      <c r="E26" s="112"/>
      <c r="F26" s="112"/>
      <c r="G26" s="115" t="s">
        <v>128</v>
      </c>
      <c r="H26" s="110">
        <v>45</v>
      </c>
      <c r="I26" s="110">
        <v>25</v>
      </c>
      <c r="J26" s="111">
        <v>73.5</v>
      </c>
      <c r="K26" s="112"/>
      <c r="L26" s="112"/>
      <c r="M26" s="112"/>
      <c r="N26" s="112"/>
      <c r="O26" s="112"/>
    </row>
  </sheetData>
  <mergeCells count="14">
    <mergeCell ref="N13:O13"/>
    <mergeCell ref="K13:K14"/>
    <mergeCell ref="D22:D23"/>
    <mergeCell ref="D17:D18"/>
    <mergeCell ref="A22:A23"/>
    <mergeCell ref="A17:A18"/>
    <mergeCell ref="G13:G14"/>
    <mergeCell ref="G22:G23"/>
    <mergeCell ref="M13:M14"/>
    <mergeCell ref="H13:I13"/>
    <mergeCell ref="B17:C17"/>
    <mergeCell ref="B22:C22"/>
    <mergeCell ref="H22:I22"/>
    <mergeCell ref="J22:J2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>
      <selection activeCell="H7" sqref="H7:H9"/>
    </sheetView>
  </sheetViews>
  <sheetFormatPr defaultRowHeight="15" x14ac:dyDescent="0.25"/>
  <cols>
    <col min="1" max="1" width="6.85546875" customWidth="1"/>
    <col min="2" max="2" width="11.140625" bestFit="1" customWidth="1"/>
    <col min="3" max="3" width="10.85546875" bestFit="1" customWidth="1"/>
    <col min="4" max="4" width="10.140625" bestFit="1" customWidth="1"/>
    <col min="5" max="5" width="10.5703125" bestFit="1" customWidth="1"/>
    <col min="6" max="6" width="8.5703125" bestFit="1" customWidth="1"/>
    <col min="7" max="8" width="6.7109375" bestFit="1" customWidth="1"/>
  </cols>
  <sheetData>
    <row r="1" spans="1:8" ht="15.75" thickBot="1" x14ac:dyDescent="0.3">
      <c r="A1" s="239" t="s">
        <v>7</v>
      </c>
      <c r="B1" s="233" t="s">
        <v>148</v>
      </c>
      <c r="C1" s="235" t="s">
        <v>23</v>
      </c>
      <c r="D1" s="237" t="s">
        <v>22</v>
      </c>
      <c r="E1" s="235" t="s">
        <v>3</v>
      </c>
      <c r="F1" s="232" t="s">
        <v>147</v>
      </c>
      <c r="G1" s="232"/>
      <c r="H1" s="232"/>
    </row>
    <row r="2" spans="1:8" ht="15.75" thickBot="1" x14ac:dyDescent="0.3">
      <c r="A2" s="240"/>
      <c r="B2" s="234"/>
      <c r="C2" s="236"/>
      <c r="D2" s="238"/>
      <c r="E2" s="236"/>
      <c r="F2" s="168" t="s">
        <v>26</v>
      </c>
      <c r="G2" s="169" t="s">
        <v>28</v>
      </c>
      <c r="H2" s="170" t="s">
        <v>30</v>
      </c>
    </row>
    <row r="3" spans="1:8" x14ac:dyDescent="0.25">
      <c r="A3" s="171">
        <v>1</v>
      </c>
      <c r="B3" s="172" t="s">
        <v>21</v>
      </c>
      <c r="C3" s="195">
        <v>25</v>
      </c>
      <c r="D3" s="173">
        <v>101.325</v>
      </c>
      <c r="E3" s="174">
        <v>531.13269542899855</v>
      </c>
      <c r="F3" s="175">
        <v>0.54</v>
      </c>
      <c r="G3" s="175">
        <v>0.46</v>
      </c>
      <c r="H3" s="176">
        <v>0</v>
      </c>
    </row>
    <row r="4" spans="1:8" x14ac:dyDescent="0.25">
      <c r="A4" s="177" t="s">
        <v>15</v>
      </c>
      <c r="B4" s="178" t="s">
        <v>21</v>
      </c>
      <c r="C4" s="196">
        <v>45</v>
      </c>
      <c r="D4" s="179">
        <v>101.325</v>
      </c>
      <c r="E4" s="180">
        <v>647.97596426495704</v>
      </c>
      <c r="F4" s="181">
        <v>0.47577271586918651</v>
      </c>
      <c r="G4" s="181">
        <v>0.52422728413081354</v>
      </c>
      <c r="H4" s="182">
        <v>0</v>
      </c>
    </row>
    <row r="5" spans="1:8" x14ac:dyDescent="0.25">
      <c r="A5" s="177">
        <v>4</v>
      </c>
      <c r="B5" s="178" t="s">
        <v>21</v>
      </c>
      <c r="C5" s="196">
        <v>45</v>
      </c>
      <c r="D5" s="179">
        <v>101.325</v>
      </c>
      <c r="E5" s="177">
        <v>0</v>
      </c>
      <c r="F5" s="183">
        <v>0</v>
      </c>
      <c r="G5" s="183">
        <v>0</v>
      </c>
      <c r="H5" s="184">
        <v>1</v>
      </c>
    </row>
    <row r="6" spans="1:8" x14ac:dyDescent="0.25">
      <c r="A6" s="177">
        <v>5</v>
      </c>
      <c r="B6" s="178" t="s">
        <v>21</v>
      </c>
      <c r="C6" s="196">
        <v>45</v>
      </c>
      <c r="D6" s="179">
        <v>101.325</v>
      </c>
      <c r="E6" s="180">
        <v>258.37838717826224</v>
      </c>
      <c r="F6" s="181">
        <v>1.5585105279960303E-3</v>
      </c>
      <c r="G6" s="181">
        <v>1.9958851973193654E-2</v>
      </c>
      <c r="H6" s="184">
        <v>0.97848264184845424</v>
      </c>
    </row>
    <row r="7" spans="1:8" x14ac:dyDescent="0.25">
      <c r="A7" s="177">
        <v>6</v>
      </c>
      <c r="B7" s="178" t="s">
        <v>21</v>
      </c>
      <c r="C7" s="196">
        <v>45</v>
      </c>
      <c r="D7" s="179">
        <v>101.325</v>
      </c>
      <c r="E7" s="180">
        <v>619.13025109462865</v>
      </c>
      <c r="F7" s="181">
        <v>3.619337502365353E-2</v>
      </c>
      <c r="G7" s="184">
        <v>0.55567800775251652</v>
      </c>
      <c r="H7" s="181">
        <v>0.40812861722382998</v>
      </c>
    </row>
    <row r="8" spans="1:8" x14ac:dyDescent="0.25">
      <c r="A8" s="177">
        <v>7</v>
      </c>
      <c r="B8" s="178" t="s">
        <v>21</v>
      </c>
      <c r="C8" s="196">
        <v>68</v>
      </c>
      <c r="D8" s="179">
        <v>101.325</v>
      </c>
      <c r="E8" s="180">
        <v>619.13025109462865</v>
      </c>
      <c r="F8" s="181">
        <v>3.619337502365353E-2</v>
      </c>
      <c r="G8" s="184">
        <v>0.55567800775251652</v>
      </c>
      <c r="H8" s="181">
        <v>0.40812861722382998</v>
      </c>
    </row>
    <row r="9" spans="1:8" x14ac:dyDescent="0.25">
      <c r="A9" s="177">
        <v>8</v>
      </c>
      <c r="B9" s="178" t="s">
        <v>24</v>
      </c>
      <c r="C9" s="196">
        <v>45.114108710372932</v>
      </c>
      <c r="D9" s="185">
        <v>50</v>
      </c>
      <c r="E9" s="180">
        <v>619.13025109462865</v>
      </c>
      <c r="F9" s="181">
        <v>3.619337502365353E-2</v>
      </c>
      <c r="G9" s="184">
        <v>0.55567800775251652</v>
      </c>
      <c r="H9" s="181">
        <v>0.40812861722382998</v>
      </c>
    </row>
    <row r="10" spans="1:8" x14ac:dyDescent="0.25">
      <c r="A10" s="177">
        <v>9</v>
      </c>
      <c r="B10" s="178" t="s">
        <v>25</v>
      </c>
      <c r="C10" s="196">
        <v>45.114108710372932</v>
      </c>
      <c r="D10" s="185">
        <v>50</v>
      </c>
      <c r="E10" s="180">
        <v>116.82450029521388</v>
      </c>
      <c r="F10" s="181">
        <v>0.18383745092159098</v>
      </c>
      <c r="G10" s="181">
        <v>0.81616254907840946</v>
      </c>
      <c r="H10" s="182">
        <v>0</v>
      </c>
    </row>
    <row r="11" spans="1:8" x14ac:dyDescent="0.25">
      <c r="A11" s="177">
        <v>10</v>
      </c>
      <c r="B11" s="178" t="s">
        <v>21</v>
      </c>
      <c r="C11" s="196">
        <v>37.645679363418935</v>
      </c>
      <c r="D11" s="185">
        <v>50</v>
      </c>
      <c r="E11" s="180">
        <v>116.82450029521398</v>
      </c>
      <c r="F11" s="181">
        <v>0.18383745092159098</v>
      </c>
      <c r="G11" s="181">
        <v>0.81616254907840946</v>
      </c>
      <c r="H11" s="182">
        <v>0</v>
      </c>
    </row>
    <row r="12" spans="1:8" x14ac:dyDescent="0.25">
      <c r="A12" s="177">
        <v>11</v>
      </c>
      <c r="B12" s="178" t="s">
        <v>21</v>
      </c>
      <c r="C12" s="196">
        <v>37.645679363418935</v>
      </c>
      <c r="D12" s="179">
        <v>101.325</v>
      </c>
      <c r="E12" s="180">
        <v>116.82450029521388</v>
      </c>
      <c r="F12" s="181">
        <v>0.18383745092159098</v>
      </c>
      <c r="G12" s="181">
        <v>0.81616254907840946</v>
      </c>
      <c r="H12" s="182">
        <v>0</v>
      </c>
    </row>
    <row r="13" spans="1:8" x14ac:dyDescent="0.25">
      <c r="A13" s="177">
        <v>12</v>
      </c>
      <c r="B13" s="178" t="s">
        <v>21</v>
      </c>
      <c r="C13" s="196">
        <v>45.114108710372932</v>
      </c>
      <c r="D13" s="179">
        <v>50</v>
      </c>
      <c r="E13" s="180">
        <v>502.29606364564887</v>
      </c>
      <c r="F13" s="181">
        <v>1.8542191593732282E-3</v>
      </c>
      <c r="G13" s="181">
        <v>0.49508688535711376</v>
      </c>
      <c r="H13" s="184">
        <v>0.50305889548351301</v>
      </c>
    </row>
    <row r="14" spans="1:8" x14ac:dyDescent="0.25">
      <c r="A14" s="177">
        <v>13</v>
      </c>
      <c r="B14" s="178" t="s">
        <v>25</v>
      </c>
      <c r="C14" s="196">
        <v>45.124084580926265</v>
      </c>
      <c r="D14" s="186">
        <v>2.4500000000000002</v>
      </c>
      <c r="E14" s="180">
        <v>244.45473407085652</v>
      </c>
      <c r="F14" s="181">
        <v>3.8097301446824673E-3</v>
      </c>
      <c r="G14" s="181">
        <v>0.99619026018736678</v>
      </c>
      <c r="H14" s="182">
        <v>0</v>
      </c>
    </row>
    <row r="15" spans="1:8" x14ac:dyDescent="0.25">
      <c r="A15" s="177">
        <v>14</v>
      </c>
      <c r="B15" s="178" t="s">
        <v>21</v>
      </c>
      <c r="C15" s="196">
        <v>25</v>
      </c>
      <c r="D15" s="186">
        <v>2.4500000000000002</v>
      </c>
      <c r="E15" s="180">
        <v>244.45473407085652</v>
      </c>
      <c r="F15" s="181">
        <v>3.8097301446824673E-3</v>
      </c>
      <c r="G15" s="181">
        <v>0.99619026018736678</v>
      </c>
      <c r="H15" s="182">
        <v>0</v>
      </c>
    </row>
    <row r="16" spans="1:8" x14ac:dyDescent="0.25">
      <c r="A16" s="177">
        <v>15</v>
      </c>
      <c r="B16" s="178" t="s">
        <v>21</v>
      </c>
      <c r="C16" s="196">
        <v>25</v>
      </c>
      <c r="D16" s="179">
        <v>101.325</v>
      </c>
      <c r="E16" s="180">
        <v>244.45473407085652</v>
      </c>
      <c r="F16" s="181">
        <v>3.8097301446824673E-3</v>
      </c>
      <c r="G16" s="181">
        <v>0.99619026018736678</v>
      </c>
      <c r="H16" s="182">
        <v>0</v>
      </c>
    </row>
    <row r="17" spans="1:8" x14ac:dyDescent="0.25">
      <c r="A17" s="177">
        <v>16</v>
      </c>
      <c r="B17" s="178" t="s">
        <v>21</v>
      </c>
      <c r="C17" s="196">
        <v>45.124084580926265</v>
      </c>
      <c r="D17" s="186">
        <v>2.4500000000000002</v>
      </c>
      <c r="E17" s="180">
        <v>257.84154682791069</v>
      </c>
      <c r="F17" s="187">
        <v>2.3429567059790474E-7</v>
      </c>
      <c r="G17" s="181">
        <v>1.9999770315372596E-2</v>
      </c>
      <c r="H17" s="184">
        <v>0.98</v>
      </c>
    </row>
    <row r="18" spans="1:8" x14ac:dyDescent="0.25">
      <c r="A18" s="177">
        <v>17</v>
      </c>
      <c r="B18" s="178" t="s">
        <v>21</v>
      </c>
      <c r="C18" s="196">
        <v>45.124084580926265</v>
      </c>
      <c r="D18" s="179">
        <v>101.325</v>
      </c>
      <c r="E18" s="180">
        <v>257.84154682791069</v>
      </c>
      <c r="F18" s="187">
        <v>2.3429567059790474E-7</v>
      </c>
      <c r="G18" s="181">
        <v>1.9999770315372596E-2</v>
      </c>
      <c r="H18" s="184">
        <v>0.98</v>
      </c>
    </row>
    <row r="19" spans="1:8" x14ac:dyDescent="0.25">
      <c r="A19" s="177">
        <v>18</v>
      </c>
      <c r="B19" s="178" t="s">
        <v>21</v>
      </c>
      <c r="C19" s="196">
        <v>45</v>
      </c>
      <c r="D19" s="179">
        <v>101.325</v>
      </c>
      <c r="E19" s="180">
        <v>287.20555564572101</v>
      </c>
      <c r="F19" s="181">
        <v>0.99678660315262502</v>
      </c>
      <c r="G19" s="181">
        <v>4.6749714150626177E-4</v>
      </c>
      <c r="H19" s="184">
        <v>2.7458997058687415E-3</v>
      </c>
    </row>
    <row r="20" spans="1:8" x14ac:dyDescent="0.25">
      <c r="A20" s="177">
        <v>19</v>
      </c>
      <c r="B20" s="178" t="s">
        <v>24</v>
      </c>
      <c r="C20" s="196">
        <v>44.566995134644401</v>
      </c>
      <c r="D20" s="186">
        <v>73.5</v>
      </c>
      <c r="E20" s="180">
        <v>287.20555564572101</v>
      </c>
      <c r="F20" s="181">
        <v>0.99678660315262502</v>
      </c>
      <c r="G20" s="181">
        <v>4.6749714150626177E-4</v>
      </c>
      <c r="H20" s="184">
        <v>2.7458997058687415E-3</v>
      </c>
    </row>
    <row r="21" spans="1:8" x14ac:dyDescent="0.25">
      <c r="A21" s="177">
        <v>20</v>
      </c>
      <c r="B21" s="188" t="s">
        <v>25</v>
      </c>
      <c r="C21" s="196">
        <v>45.043752878237385</v>
      </c>
      <c r="D21" s="186">
        <v>73.5</v>
      </c>
      <c r="E21" s="180">
        <v>286.66480373900589</v>
      </c>
      <c r="F21" s="181">
        <v>0.99724955211397581</v>
      </c>
      <c r="G21" s="181">
        <v>2.7504509284019549E-3</v>
      </c>
      <c r="H21" s="182">
        <v>0</v>
      </c>
    </row>
    <row r="22" spans="1:8" x14ac:dyDescent="0.25">
      <c r="A22" s="177">
        <v>21</v>
      </c>
      <c r="B22" s="188" t="s">
        <v>21</v>
      </c>
      <c r="C22" s="196">
        <v>25</v>
      </c>
      <c r="D22" s="186">
        <v>73.5</v>
      </c>
      <c r="E22" s="180">
        <v>286.66480373900589</v>
      </c>
      <c r="F22" s="181">
        <v>0.99724955211397581</v>
      </c>
      <c r="G22" s="181">
        <v>2.7504509284019549E-3</v>
      </c>
      <c r="H22" s="182">
        <v>0</v>
      </c>
    </row>
    <row r="23" spans="1:8" x14ac:dyDescent="0.25">
      <c r="A23" s="177">
        <v>22</v>
      </c>
      <c r="B23" s="188" t="s">
        <v>21</v>
      </c>
      <c r="C23" s="196">
        <v>25</v>
      </c>
      <c r="D23" s="179">
        <v>101.325</v>
      </c>
      <c r="E23" s="180">
        <v>286.66480373900589</v>
      </c>
      <c r="F23" s="181">
        <v>0.99724955211397581</v>
      </c>
      <c r="G23" s="181">
        <v>2.7504509284019549E-3</v>
      </c>
      <c r="H23" s="182">
        <v>0</v>
      </c>
    </row>
    <row r="24" spans="1:8" x14ac:dyDescent="0.25">
      <c r="A24" s="177">
        <v>23</v>
      </c>
      <c r="B24" s="188" t="s">
        <v>21</v>
      </c>
      <c r="C24" s="196">
        <v>45.043752878237385</v>
      </c>
      <c r="D24" s="179">
        <v>73.5</v>
      </c>
      <c r="E24" s="180">
        <v>0.53706418822652024</v>
      </c>
      <c r="F24" s="181">
        <v>0.74968562709155373</v>
      </c>
      <c r="G24" s="181">
        <v>3.1437214927404467E-4</v>
      </c>
      <c r="H24" s="184">
        <v>0.25</v>
      </c>
    </row>
    <row r="25" spans="1:8" ht="15.75" thickBot="1" x14ac:dyDescent="0.3">
      <c r="A25" s="189">
        <v>24</v>
      </c>
      <c r="B25" s="190" t="s">
        <v>21</v>
      </c>
      <c r="C25" s="197">
        <v>45.043752878237385</v>
      </c>
      <c r="D25" s="191">
        <v>101.325</v>
      </c>
      <c r="E25" s="192">
        <v>0.53706418822652024</v>
      </c>
      <c r="F25" s="193">
        <v>0.74968562709155373</v>
      </c>
      <c r="G25" s="193">
        <v>3.1437214927404467E-4</v>
      </c>
      <c r="H25" s="194">
        <v>0.25</v>
      </c>
    </row>
  </sheetData>
  <mergeCells count="6">
    <mergeCell ref="F1:H1"/>
    <mergeCell ref="B1:B2"/>
    <mergeCell ref="C1:C2"/>
    <mergeCell ref="D1:D2"/>
    <mergeCell ref="A1:A2"/>
    <mergeCell ref="E1:E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5</vt:i4>
      </vt:variant>
    </vt:vector>
  </HeadingPairs>
  <TitlesOfParts>
    <vt:vector size="5" baseType="lpstr">
      <vt:lpstr>Regenovana IL</vt:lpstr>
      <vt:lpstr>Cista IL</vt:lpstr>
      <vt:lpstr>Parametre</vt:lpstr>
      <vt:lpstr>Zariadenia</vt:lpstr>
      <vt:lpstr>Лист1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2025-06-19T07:14:14Z</dcterms:modified>
</cp:coreProperties>
</file>