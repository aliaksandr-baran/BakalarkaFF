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eg-IL" sheetId="1" r:id="rId1"/>
    <sheet name="Cista-IL" sheetId="2" r:id="rId2"/>
    <sheet name="Лист3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Q51" i="2" l="1"/>
  <c r="Q50" i="2"/>
  <c r="Q49" i="2"/>
  <c r="Q48" i="2"/>
  <c r="Q47" i="2"/>
  <c r="O45" i="2"/>
  <c r="I45" i="2"/>
  <c r="M51" i="2" s="1"/>
  <c r="C45" i="2"/>
  <c r="P45" i="2" s="1"/>
  <c r="O44" i="2"/>
  <c r="I44" i="2"/>
  <c r="N50" i="2" s="1"/>
  <c r="C44" i="2"/>
  <c r="O43" i="2"/>
  <c r="I43" i="2"/>
  <c r="C43" i="2"/>
  <c r="Q43" i="2" s="1"/>
  <c r="O42" i="2"/>
  <c r="I42" i="2"/>
  <c r="N48" i="2" s="1"/>
  <c r="C42" i="2"/>
  <c r="S32" i="2" s="1"/>
  <c r="B6" i="2" s="1"/>
  <c r="O41" i="2"/>
  <c r="I41" i="2"/>
  <c r="C41" i="2"/>
  <c r="Q41" i="2" s="1"/>
  <c r="X35" i="2"/>
  <c r="C14" i="2" s="1"/>
  <c r="W35" i="2"/>
  <c r="B14" i="2" s="1"/>
  <c r="U35" i="2"/>
  <c r="D9" i="2" s="1"/>
  <c r="T35" i="2"/>
  <c r="C9" i="2" s="1"/>
  <c r="X34" i="2"/>
  <c r="W34" i="2"/>
  <c r="U34" i="2"/>
  <c r="D8" i="2" s="1"/>
  <c r="T34" i="2"/>
  <c r="C8" i="2" s="1"/>
  <c r="S34" i="2"/>
  <c r="X33" i="2"/>
  <c r="C12" i="2" s="1"/>
  <c r="W33" i="2"/>
  <c r="U33" i="2"/>
  <c r="D7" i="2" s="1"/>
  <c r="T33" i="2"/>
  <c r="X32" i="2"/>
  <c r="C11" i="2" s="1"/>
  <c r="W32" i="2"/>
  <c r="U32" i="2"/>
  <c r="D6" i="2" s="1"/>
  <c r="T32" i="2"/>
  <c r="C6" i="2" s="1"/>
  <c r="X31" i="2"/>
  <c r="W31" i="2"/>
  <c r="B10" i="2" s="1"/>
  <c r="U31" i="2"/>
  <c r="D5" i="2" s="1"/>
  <c r="T31" i="2"/>
  <c r="C5" i="2" s="1"/>
  <c r="B13" i="2"/>
  <c r="AF10" i="2"/>
  <c r="Z27" i="2" s="1"/>
  <c r="AF9" i="2"/>
  <c r="Z26" i="2" s="1"/>
  <c r="Q51" i="1"/>
  <c r="Q50" i="1"/>
  <c r="Q49" i="1"/>
  <c r="Q48" i="1"/>
  <c r="Q47" i="1"/>
  <c r="O45" i="1"/>
  <c r="I45" i="1"/>
  <c r="C45" i="1"/>
  <c r="Q45" i="1" s="1"/>
  <c r="O44" i="1"/>
  <c r="I44" i="1"/>
  <c r="C44" i="1"/>
  <c r="O43" i="1"/>
  <c r="M43" i="1"/>
  <c r="I43" i="1"/>
  <c r="C43" i="1"/>
  <c r="Q43" i="1" s="1"/>
  <c r="O42" i="1"/>
  <c r="I42" i="1"/>
  <c r="C42" i="1"/>
  <c r="Q41" i="1"/>
  <c r="O41" i="1"/>
  <c r="M41" i="1"/>
  <c r="I41" i="1"/>
  <c r="C41" i="1"/>
  <c r="Y35" i="1"/>
  <c r="AE35" i="1" s="1"/>
  <c r="X35" i="1"/>
  <c r="AD35" i="1" s="1"/>
  <c r="W35" i="1"/>
  <c r="Z35" i="1" s="1"/>
  <c r="U35" i="1"/>
  <c r="T35" i="1"/>
  <c r="S35" i="1"/>
  <c r="V35" i="1" s="1"/>
  <c r="Y34" i="1"/>
  <c r="AE34" i="1" s="1"/>
  <c r="X34" i="1"/>
  <c r="AD34" i="1" s="1"/>
  <c r="W34" i="1"/>
  <c r="Z34" i="1" s="1"/>
  <c r="U34" i="1"/>
  <c r="T34" i="1"/>
  <c r="S34" i="1"/>
  <c r="V34" i="1" s="1"/>
  <c r="Y33" i="1"/>
  <c r="AE33" i="1" s="1"/>
  <c r="X33" i="1"/>
  <c r="AD33" i="1" s="1"/>
  <c r="W33" i="1"/>
  <c r="AC33" i="1" s="1"/>
  <c r="U33" i="1"/>
  <c r="T33" i="1"/>
  <c r="V33" i="1" s="1"/>
  <c r="S33" i="1"/>
  <c r="Y32" i="1"/>
  <c r="AE32" i="1" s="1"/>
  <c r="X32" i="1"/>
  <c r="AD32" i="1" s="1"/>
  <c r="W32" i="1"/>
  <c r="Z32" i="1" s="1"/>
  <c r="U32" i="1"/>
  <c r="T32" i="1"/>
  <c r="S32" i="1"/>
  <c r="V32" i="1" s="1"/>
  <c r="Y31" i="1"/>
  <c r="AE31" i="1" s="1"/>
  <c r="X31" i="1"/>
  <c r="AD31" i="1" s="1"/>
  <c r="W31" i="1"/>
  <c r="AC31" i="1" s="1"/>
  <c r="U31" i="1"/>
  <c r="T31" i="1"/>
  <c r="V31" i="1" s="1"/>
  <c r="S31" i="1"/>
  <c r="D14" i="1"/>
  <c r="C14" i="1"/>
  <c r="B14" i="1"/>
  <c r="D13" i="1"/>
  <c r="C13" i="1"/>
  <c r="B13" i="1"/>
  <c r="D12" i="1"/>
  <c r="C12" i="1"/>
  <c r="B12" i="1"/>
  <c r="D11" i="1"/>
  <c r="C11" i="1"/>
  <c r="B11" i="1"/>
  <c r="AI10" i="1"/>
  <c r="AC27" i="1" s="1"/>
  <c r="Y36" i="1" s="1"/>
  <c r="D15" i="1" s="1"/>
  <c r="AG10" i="1"/>
  <c r="AA27" i="1" s="1"/>
  <c r="W36" i="1" s="1"/>
  <c r="B15" i="1" s="1"/>
  <c r="AF10" i="1"/>
  <c r="Z27" i="1" s="1"/>
  <c r="D10" i="1"/>
  <c r="C10" i="1"/>
  <c r="B10" i="1"/>
  <c r="AI9" i="1"/>
  <c r="AC26" i="1" s="1"/>
  <c r="AG9" i="1"/>
  <c r="AA26" i="1" s="1"/>
  <c r="AF9" i="1"/>
  <c r="Z26" i="1" s="1"/>
  <c r="D9" i="1"/>
  <c r="I9" i="1" s="1"/>
  <c r="C9" i="1"/>
  <c r="H9" i="1" s="1"/>
  <c r="B9" i="1"/>
  <c r="G9" i="1" s="1"/>
  <c r="D8" i="1"/>
  <c r="I8" i="1" s="1"/>
  <c r="C8" i="1"/>
  <c r="H8" i="1" s="1"/>
  <c r="B8" i="1"/>
  <c r="G8" i="1" s="1"/>
  <c r="D7" i="1"/>
  <c r="I7" i="1" s="1"/>
  <c r="C7" i="1"/>
  <c r="H7" i="1" s="1"/>
  <c r="B7" i="1"/>
  <c r="G7" i="1" s="1"/>
  <c r="D6" i="1"/>
  <c r="I6" i="1" s="1"/>
  <c r="C6" i="1"/>
  <c r="H6" i="1" s="1"/>
  <c r="B6" i="1"/>
  <c r="G6" i="1" s="1"/>
  <c r="D5" i="1"/>
  <c r="I5" i="1" s="1"/>
  <c r="C5" i="1"/>
  <c r="H5" i="1" s="1"/>
  <c r="B5" i="1"/>
  <c r="G5" i="1" s="1"/>
  <c r="D4" i="1"/>
  <c r="B4" i="1"/>
  <c r="S35" i="2" l="1"/>
  <c r="B9" i="2" s="1"/>
  <c r="Y35" i="2"/>
  <c r="D14" i="2" s="1"/>
  <c r="I9" i="2" s="1"/>
  <c r="G9" i="2"/>
  <c r="V34" i="2"/>
  <c r="AD34" i="2"/>
  <c r="S31" i="2"/>
  <c r="B5" i="2" s="1"/>
  <c r="G5" i="2" s="1"/>
  <c r="AD31" i="2"/>
  <c r="H6" i="2"/>
  <c r="Y32" i="2"/>
  <c r="Z32" i="2" s="1"/>
  <c r="Y34" i="2"/>
  <c r="D13" i="2" s="1"/>
  <c r="I8" i="2" s="1"/>
  <c r="AE32" i="2"/>
  <c r="B8" i="2"/>
  <c r="B12" i="2"/>
  <c r="S33" i="2"/>
  <c r="B7" i="2" s="1"/>
  <c r="AD35" i="2"/>
  <c r="G8" i="2"/>
  <c r="O51" i="2"/>
  <c r="C7" i="2"/>
  <c r="H7" i="2" s="1"/>
  <c r="H9" i="2"/>
  <c r="C10" i="2"/>
  <c r="H5" i="2" s="1"/>
  <c r="B11" i="2"/>
  <c r="G6" i="2" s="1"/>
  <c r="C13" i="2"/>
  <c r="H8" i="2" s="1"/>
  <c r="M41" i="2"/>
  <c r="M43" i="2"/>
  <c r="N45" i="2"/>
  <c r="V32" i="2"/>
  <c r="AD32" i="2"/>
  <c r="AD33" i="2"/>
  <c r="AB36" i="2"/>
  <c r="AE26" i="2"/>
  <c r="AF26" i="2" s="1"/>
  <c r="AA30" i="2"/>
  <c r="AH9" i="2"/>
  <c r="AB26" i="2" s="1"/>
  <c r="C4" i="2" s="1"/>
  <c r="AH10" i="2"/>
  <c r="AB27" i="2" s="1"/>
  <c r="X36" i="2" s="1"/>
  <c r="C15" i="2" s="1"/>
  <c r="AG9" i="2"/>
  <c r="AA26" i="2" s="1"/>
  <c r="B4" i="2" s="1"/>
  <c r="AI9" i="2"/>
  <c r="AC26" i="2" s="1"/>
  <c r="D4" i="2" s="1"/>
  <c r="AG10" i="2"/>
  <c r="AA27" i="2" s="1"/>
  <c r="W36" i="2" s="1"/>
  <c r="B15" i="2" s="1"/>
  <c r="AI10" i="2"/>
  <c r="AC27" i="2" s="1"/>
  <c r="Y36" i="2" s="1"/>
  <c r="D15" i="2" s="1"/>
  <c r="AC32" i="2"/>
  <c r="AC34" i="2"/>
  <c r="P47" i="2"/>
  <c r="N47" i="2"/>
  <c r="L47" i="2"/>
  <c r="L42" i="2"/>
  <c r="N42" i="2"/>
  <c r="P42" i="2"/>
  <c r="P49" i="2"/>
  <c r="N49" i="2"/>
  <c r="L49" i="2"/>
  <c r="P44" i="2"/>
  <c r="N44" i="2"/>
  <c r="L44" i="2"/>
  <c r="M44" i="2"/>
  <c r="Q44" i="2"/>
  <c r="M47" i="2"/>
  <c r="M49" i="2"/>
  <c r="Y31" i="2"/>
  <c r="Z31" i="2" s="1"/>
  <c r="Y33" i="2"/>
  <c r="L41" i="2"/>
  <c r="N41" i="2"/>
  <c r="P41" i="2"/>
  <c r="O48" i="2"/>
  <c r="M48" i="2"/>
  <c r="M42" i="2"/>
  <c r="Q42" i="2"/>
  <c r="L43" i="2"/>
  <c r="N43" i="2"/>
  <c r="P43" i="2"/>
  <c r="O50" i="2"/>
  <c r="M50" i="2"/>
  <c r="Q45" i="2"/>
  <c r="M45" i="2"/>
  <c r="L45" i="2"/>
  <c r="O47" i="2"/>
  <c r="L48" i="2"/>
  <c r="P48" i="2"/>
  <c r="O49" i="2"/>
  <c r="L50" i="2"/>
  <c r="P50" i="2"/>
  <c r="L51" i="2"/>
  <c r="N51" i="2"/>
  <c r="P51" i="2"/>
  <c r="AA30" i="1"/>
  <c r="AH9" i="1"/>
  <c r="AB26" i="1" s="1"/>
  <c r="C4" i="1" s="1"/>
  <c r="AB36" i="1"/>
  <c r="AE26" i="1"/>
  <c r="AF26" i="1" s="1"/>
  <c r="AH10" i="1"/>
  <c r="AB27" i="1" s="1"/>
  <c r="X36" i="1" s="1"/>
  <c r="C15" i="1" s="1"/>
  <c r="Z31" i="1"/>
  <c r="AC32" i="1"/>
  <c r="Z33" i="1"/>
  <c r="AC34" i="1"/>
  <c r="AC35" i="1"/>
  <c r="P47" i="1"/>
  <c r="N47" i="1"/>
  <c r="L47" i="1"/>
  <c r="O47" i="1"/>
  <c r="R47" i="1" s="1"/>
  <c r="U47" i="1" s="1"/>
  <c r="M47" i="1"/>
  <c r="L42" i="1"/>
  <c r="N42" i="1"/>
  <c r="P42" i="1"/>
  <c r="P49" i="1"/>
  <c r="N49" i="1"/>
  <c r="L49" i="1"/>
  <c r="O49" i="1"/>
  <c r="R49" i="1" s="1"/>
  <c r="U49" i="1" s="1"/>
  <c r="M49" i="1"/>
  <c r="P44" i="1"/>
  <c r="N44" i="1"/>
  <c r="L44" i="1"/>
  <c r="R44" i="1" s="1"/>
  <c r="U44" i="1" s="1"/>
  <c r="Q44" i="1"/>
  <c r="M44" i="1"/>
  <c r="L41" i="1"/>
  <c r="R41" i="1" s="1"/>
  <c r="U41" i="1" s="1"/>
  <c r="X41" i="1" s="1"/>
  <c r="G50" i="1" s="1"/>
  <c r="N41" i="1"/>
  <c r="T41" i="1" s="1"/>
  <c r="W41" i="1" s="1"/>
  <c r="Z41" i="1" s="1"/>
  <c r="I50" i="1" s="1"/>
  <c r="I58" i="1" s="1"/>
  <c r="P41" i="1"/>
  <c r="O48" i="1"/>
  <c r="M48" i="1"/>
  <c r="P48" i="1"/>
  <c r="N48" i="1"/>
  <c r="T48" i="1" s="1"/>
  <c r="W48" i="1" s="1"/>
  <c r="Z48" i="1" s="1"/>
  <c r="E51" i="1" s="1"/>
  <c r="E59" i="1" s="1"/>
  <c r="L48" i="1"/>
  <c r="M42" i="1"/>
  <c r="Q42" i="1"/>
  <c r="T42" i="1" s="1"/>
  <c r="W42" i="1" s="1"/>
  <c r="L43" i="1"/>
  <c r="R43" i="1" s="1"/>
  <c r="U43" i="1" s="1"/>
  <c r="X43" i="1" s="1"/>
  <c r="G52" i="1" s="1"/>
  <c r="N43" i="1"/>
  <c r="T43" i="1" s="1"/>
  <c r="W43" i="1" s="1"/>
  <c r="Z43" i="1" s="1"/>
  <c r="I52" i="1" s="1"/>
  <c r="I60" i="1" s="1"/>
  <c r="P43" i="1"/>
  <c r="O50" i="1"/>
  <c r="M50" i="1"/>
  <c r="P50" i="1"/>
  <c r="N50" i="1"/>
  <c r="L50" i="1"/>
  <c r="T50" i="1" s="1"/>
  <c r="W50" i="1" s="1"/>
  <c r="T47" i="1"/>
  <c r="W47" i="1" s="1"/>
  <c r="T49" i="1"/>
  <c r="W49" i="1" s="1"/>
  <c r="L45" i="1"/>
  <c r="R45" i="1" s="1"/>
  <c r="U45" i="1" s="1"/>
  <c r="N45" i="1"/>
  <c r="T45" i="1" s="1"/>
  <c r="W45" i="1" s="1"/>
  <c r="P45" i="1"/>
  <c r="S45" i="1" s="1"/>
  <c r="V45" i="1" s="1"/>
  <c r="M51" i="1"/>
  <c r="O51" i="1"/>
  <c r="M45" i="1"/>
  <c r="L51" i="1"/>
  <c r="N51" i="1"/>
  <c r="T51" i="1" s="1"/>
  <c r="W51" i="1" s="1"/>
  <c r="Z51" i="1" s="1"/>
  <c r="E54" i="1" s="1"/>
  <c r="E62" i="1" s="1"/>
  <c r="P51" i="1"/>
  <c r="S51" i="1" s="1"/>
  <c r="V51" i="1" s="1"/>
  <c r="Y51" i="1" s="1"/>
  <c r="D54" i="1" s="1"/>
  <c r="D62" i="1" s="1"/>
  <c r="AE35" i="2" l="1"/>
  <c r="AC35" i="2"/>
  <c r="V35" i="2"/>
  <c r="V31" i="2"/>
  <c r="Z35" i="2"/>
  <c r="AC31" i="2"/>
  <c r="D11" i="2"/>
  <c r="I6" i="2" s="1"/>
  <c r="T51" i="2"/>
  <c r="W51" i="2" s="1"/>
  <c r="S50" i="2"/>
  <c r="V50" i="2" s="1"/>
  <c r="R49" i="2"/>
  <c r="U49" i="2" s="1"/>
  <c r="AE34" i="2"/>
  <c r="Z34" i="2"/>
  <c r="T48" i="2"/>
  <c r="W48" i="2" s="1"/>
  <c r="V33" i="2"/>
  <c r="G7" i="2"/>
  <c r="AC33" i="2"/>
  <c r="T49" i="2"/>
  <c r="W49" i="2" s="1"/>
  <c r="T50" i="2"/>
  <c r="W50" i="2" s="1"/>
  <c r="S48" i="2"/>
  <c r="V48" i="2" s="1"/>
  <c r="R47" i="2"/>
  <c r="U47" i="2" s="1"/>
  <c r="T41" i="2"/>
  <c r="W41" i="2" s="1"/>
  <c r="R44" i="2"/>
  <c r="U44" i="2" s="1"/>
  <c r="T47" i="2"/>
  <c r="W47" i="2" s="1"/>
  <c r="S45" i="2"/>
  <c r="V45" i="2" s="1"/>
  <c r="T43" i="2"/>
  <c r="W43" i="2" s="1"/>
  <c r="Z43" i="2" s="1"/>
  <c r="I52" i="2" s="1"/>
  <c r="I60" i="2" s="1"/>
  <c r="T42" i="2"/>
  <c r="W42" i="2" s="1"/>
  <c r="R41" i="2"/>
  <c r="U41" i="2" s="1"/>
  <c r="R43" i="2"/>
  <c r="U43" i="2" s="1"/>
  <c r="X43" i="2" s="1"/>
  <c r="G52" i="2" s="1"/>
  <c r="G60" i="2" s="1"/>
  <c r="R51" i="2"/>
  <c r="U51" i="2" s="1"/>
  <c r="R50" i="2"/>
  <c r="U50" i="2" s="1"/>
  <c r="AE33" i="2"/>
  <c r="D12" i="2"/>
  <c r="I7" i="2" s="1"/>
  <c r="S49" i="2"/>
  <c r="V49" i="2" s="1"/>
  <c r="Z33" i="2"/>
  <c r="E15" i="2"/>
  <c r="S51" i="2"/>
  <c r="V51" i="2" s="1"/>
  <c r="R45" i="2"/>
  <c r="U45" i="2" s="1"/>
  <c r="T45" i="2"/>
  <c r="W45" i="2" s="1"/>
  <c r="S43" i="2"/>
  <c r="V43" i="2" s="1"/>
  <c r="Y43" i="2" s="1"/>
  <c r="H52" i="2" s="1"/>
  <c r="H60" i="2" s="1"/>
  <c r="R48" i="2"/>
  <c r="U48" i="2" s="1"/>
  <c r="S41" i="2"/>
  <c r="V41" i="2" s="1"/>
  <c r="AE31" i="2"/>
  <c r="D10" i="2"/>
  <c r="I5" i="2" s="1"/>
  <c r="T44" i="2"/>
  <c r="W44" i="2" s="1"/>
  <c r="S44" i="2"/>
  <c r="V44" i="2" s="1"/>
  <c r="S42" i="2"/>
  <c r="V42" i="2" s="1"/>
  <c r="R42" i="2"/>
  <c r="U42" i="2" s="1"/>
  <c r="S47" i="2"/>
  <c r="V47" i="2" s="1"/>
  <c r="Q4" i="2"/>
  <c r="AA35" i="2"/>
  <c r="AB31" i="2" s="1"/>
  <c r="AH35" i="2" s="1"/>
  <c r="AH38" i="2" s="1"/>
  <c r="E4" i="2"/>
  <c r="Q11" i="2" s="1"/>
  <c r="Z45" i="1"/>
  <c r="I54" i="1" s="1"/>
  <c r="I62" i="1" s="1"/>
  <c r="G60" i="1"/>
  <c r="G58" i="1"/>
  <c r="Y45" i="1"/>
  <c r="H54" i="1" s="1"/>
  <c r="H62" i="1" s="1"/>
  <c r="S50" i="1"/>
  <c r="V50" i="1" s="1"/>
  <c r="Z47" i="1"/>
  <c r="E50" i="1" s="1"/>
  <c r="E58" i="1" s="1"/>
  <c r="S43" i="1"/>
  <c r="V43" i="1" s="1"/>
  <c r="R48" i="1"/>
  <c r="U48" i="1" s="1"/>
  <c r="S41" i="1"/>
  <c r="V41" i="1" s="1"/>
  <c r="T44" i="1"/>
  <c r="W44" i="1" s="1"/>
  <c r="Z44" i="1" s="1"/>
  <c r="I53" i="1" s="1"/>
  <c r="I61" i="1" s="1"/>
  <c r="S49" i="1"/>
  <c r="V49" i="1" s="1"/>
  <c r="Y49" i="1" s="1"/>
  <c r="D52" i="1" s="1"/>
  <c r="D60" i="1" s="1"/>
  <c r="S47" i="1"/>
  <c r="V47" i="1" s="1"/>
  <c r="Y47" i="1" s="1"/>
  <c r="D50" i="1" s="1"/>
  <c r="D58" i="1" s="1"/>
  <c r="E15" i="1"/>
  <c r="AA35" i="1"/>
  <c r="E4" i="1"/>
  <c r="R51" i="1"/>
  <c r="U51" i="1" s="1"/>
  <c r="X51" i="1" s="1"/>
  <c r="C54" i="1" s="1"/>
  <c r="Z49" i="1"/>
  <c r="E52" i="1" s="1"/>
  <c r="E60" i="1" s="1"/>
  <c r="R50" i="1"/>
  <c r="U50" i="1" s="1"/>
  <c r="X50" i="1" s="1"/>
  <c r="C53" i="1" s="1"/>
  <c r="Z42" i="1"/>
  <c r="I51" i="1" s="1"/>
  <c r="I59" i="1" s="1"/>
  <c r="S48" i="1"/>
  <c r="V48" i="1" s="1"/>
  <c r="Y48" i="1" s="1"/>
  <c r="D51" i="1" s="1"/>
  <c r="D59" i="1" s="1"/>
  <c r="S44" i="1"/>
  <c r="V44" i="1" s="1"/>
  <c r="Y44" i="1" s="1"/>
  <c r="H53" i="1" s="1"/>
  <c r="H61" i="1" s="1"/>
  <c r="X49" i="1"/>
  <c r="C52" i="1" s="1"/>
  <c r="S42" i="1"/>
  <c r="V42" i="1" s="1"/>
  <c r="R42" i="1"/>
  <c r="U42" i="1" s="1"/>
  <c r="X42" i="1" s="1"/>
  <c r="G51" i="1" s="1"/>
  <c r="X47" i="1"/>
  <c r="C50" i="1" s="1"/>
  <c r="Q11" i="1"/>
  <c r="X45" i="2" l="1"/>
  <c r="G54" i="2" s="1"/>
  <c r="G62" i="2" s="1"/>
  <c r="Z47" i="2"/>
  <c r="E50" i="2" s="1"/>
  <c r="E58" i="2" s="1"/>
  <c r="Y44" i="2"/>
  <c r="H53" i="2" s="1"/>
  <c r="H61" i="2" s="1"/>
  <c r="Z44" i="2"/>
  <c r="I53" i="2" s="1"/>
  <c r="I61" i="2" s="1"/>
  <c r="Z45" i="2"/>
  <c r="I54" i="2" s="1"/>
  <c r="I62" i="2" s="1"/>
  <c r="Y51" i="2"/>
  <c r="D54" i="2" s="1"/>
  <c r="D62" i="2" s="1"/>
  <c r="X47" i="2"/>
  <c r="C50" i="2" s="1"/>
  <c r="C58" i="2" s="1"/>
  <c r="Z49" i="2"/>
  <c r="E52" i="2" s="1"/>
  <c r="E60" i="2" s="1"/>
  <c r="Z42" i="2"/>
  <c r="I51" i="2" s="1"/>
  <c r="I59" i="2" s="1"/>
  <c r="Y42" i="2"/>
  <c r="H51" i="2" s="1"/>
  <c r="H59" i="2" s="1"/>
  <c r="Z48" i="2"/>
  <c r="E51" i="2" s="1"/>
  <c r="E59" i="2" s="1"/>
  <c r="X42" i="2"/>
  <c r="G51" i="2" s="1"/>
  <c r="G59" i="2" s="1"/>
  <c r="X50" i="2"/>
  <c r="C53" i="2" s="1"/>
  <c r="X41" i="2"/>
  <c r="G50" i="2" s="1"/>
  <c r="G58" i="2" s="1"/>
  <c r="Y41" i="2"/>
  <c r="H50" i="2" s="1"/>
  <c r="H58" i="2" s="1"/>
  <c r="Z41" i="2"/>
  <c r="I50" i="2" s="1"/>
  <c r="I58" i="2" s="1"/>
  <c r="X49" i="2"/>
  <c r="C52" i="2" s="1"/>
  <c r="C60" i="2" s="1"/>
  <c r="AH34" i="2"/>
  <c r="AG38" i="2" s="1"/>
  <c r="AI38" i="2" s="1"/>
  <c r="Q15" i="2"/>
  <c r="Q22" i="2"/>
  <c r="Q8" i="2"/>
  <c r="Q18" i="2"/>
  <c r="Y49" i="2"/>
  <c r="D52" i="2" s="1"/>
  <c r="D60" i="2" s="1"/>
  <c r="C61" i="2"/>
  <c r="X51" i="2"/>
  <c r="C54" i="2" s="1"/>
  <c r="Y45" i="2"/>
  <c r="H54" i="2" s="1"/>
  <c r="H62" i="2" s="1"/>
  <c r="AG26" i="2"/>
  <c r="E10" i="2"/>
  <c r="AH26" i="2"/>
  <c r="AI26" i="2"/>
  <c r="E9" i="2"/>
  <c r="Y47" i="2"/>
  <c r="D50" i="2" s="1"/>
  <c r="D58" i="2" s="1"/>
  <c r="X48" i="2"/>
  <c r="C51" i="2" s="1"/>
  <c r="Y50" i="2"/>
  <c r="D53" i="2" s="1"/>
  <c r="D61" i="2" s="1"/>
  <c r="AA34" i="2"/>
  <c r="X44" i="2"/>
  <c r="G53" i="2" s="1"/>
  <c r="Y48" i="2"/>
  <c r="D51" i="2" s="1"/>
  <c r="D59" i="2" s="1"/>
  <c r="Z50" i="2"/>
  <c r="E53" i="2" s="1"/>
  <c r="E61" i="2" s="1"/>
  <c r="J52" i="2"/>
  <c r="Z51" i="2"/>
  <c r="E54" i="2" s="1"/>
  <c r="E62" i="2" s="1"/>
  <c r="G59" i="1"/>
  <c r="B52" i="1"/>
  <c r="C60" i="1"/>
  <c r="C61" i="1"/>
  <c r="B54" i="1"/>
  <c r="C62" i="1"/>
  <c r="Q18" i="1"/>
  <c r="Q4" i="1"/>
  <c r="AI26" i="1"/>
  <c r="E9" i="1"/>
  <c r="AA34" i="1"/>
  <c r="Y41" i="1"/>
  <c r="H50" i="1" s="1"/>
  <c r="Y43" i="1"/>
  <c r="H52" i="1" s="1"/>
  <c r="Y50" i="1"/>
  <c r="D53" i="1" s="1"/>
  <c r="D61" i="1" s="1"/>
  <c r="X45" i="1"/>
  <c r="G54" i="1" s="1"/>
  <c r="Z50" i="1"/>
  <c r="E53" i="1" s="1"/>
  <c r="E61" i="1" s="1"/>
  <c r="B50" i="1"/>
  <c r="C58" i="1"/>
  <c r="Y42" i="1"/>
  <c r="H51" i="1" s="1"/>
  <c r="H59" i="1" s="1"/>
  <c r="AB31" i="1"/>
  <c r="Q22" i="1"/>
  <c r="Q15" i="1"/>
  <c r="Q8" i="1"/>
  <c r="X48" i="1"/>
  <c r="C51" i="1" s="1"/>
  <c r="X44" i="1"/>
  <c r="G53" i="1" s="1"/>
  <c r="B52" i="2" l="1"/>
  <c r="J51" i="2"/>
  <c r="J50" i="2"/>
  <c r="B54" i="2"/>
  <c r="C62" i="2"/>
  <c r="B50" i="2"/>
  <c r="B53" i="2"/>
  <c r="J54" i="2"/>
  <c r="G61" i="2"/>
  <c r="J53" i="2"/>
  <c r="AB35" i="2"/>
  <c r="E8" i="2"/>
  <c r="B51" i="2"/>
  <c r="C59" i="2"/>
  <c r="B51" i="1"/>
  <c r="C59" i="1"/>
  <c r="AG26" i="1"/>
  <c r="AH26" i="1"/>
  <c r="E10" i="1"/>
  <c r="AH35" i="1"/>
  <c r="AH38" i="1" s="1"/>
  <c r="AH34" i="1"/>
  <c r="AG38" i="1" s="1"/>
  <c r="H58" i="1"/>
  <c r="J50" i="1"/>
  <c r="J51" i="1"/>
  <c r="G61" i="1"/>
  <c r="J53" i="1"/>
  <c r="G62" i="1"/>
  <c r="J54" i="1"/>
  <c r="H60" i="1"/>
  <c r="J52" i="1"/>
  <c r="AB35" i="1"/>
  <c r="E8" i="1"/>
  <c r="B53" i="1"/>
  <c r="O15" i="2" l="1"/>
  <c r="O22" i="2"/>
  <c r="O8" i="2"/>
  <c r="AA33" i="2"/>
  <c r="E14" i="2"/>
  <c r="AA33" i="1"/>
  <c r="E14" i="1"/>
  <c r="O22" i="1"/>
  <c r="O15" i="1"/>
  <c r="O8" i="1"/>
  <c r="AI38" i="1"/>
  <c r="P21" i="2" l="1"/>
  <c r="P14" i="2"/>
  <c r="P7" i="2"/>
  <c r="P22" i="2"/>
  <c r="P15" i="2"/>
  <c r="P8" i="2"/>
  <c r="AB34" i="2"/>
  <c r="E7" i="2"/>
  <c r="P21" i="1"/>
  <c r="P14" i="1"/>
  <c r="P7" i="1"/>
  <c r="P15" i="1"/>
  <c r="P22" i="1"/>
  <c r="P8" i="1"/>
  <c r="AB34" i="1"/>
  <c r="E7" i="1"/>
  <c r="N21" i="2" l="1"/>
  <c r="N14" i="2"/>
  <c r="N7" i="2"/>
  <c r="AA32" i="2"/>
  <c r="E13" i="2"/>
  <c r="N21" i="1"/>
  <c r="N14" i="1"/>
  <c r="N7" i="1"/>
  <c r="AA32" i="1"/>
  <c r="E13" i="1"/>
  <c r="O13" i="2" l="1"/>
  <c r="O20" i="2"/>
  <c r="O6" i="2"/>
  <c r="O21" i="2"/>
  <c r="O14" i="2"/>
  <c r="O7" i="2"/>
  <c r="AB33" i="2"/>
  <c r="E6" i="2"/>
  <c r="O20" i="1"/>
  <c r="O13" i="1"/>
  <c r="O6" i="1"/>
  <c r="O7" i="1"/>
  <c r="O21" i="1"/>
  <c r="O14" i="1"/>
  <c r="AB33" i="1"/>
  <c r="E6" i="1"/>
  <c r="M13" i="2" l="1"/>
  <c r="M20" i="2"/>
  <c r="M6" i="2"/>
  <c r="AA31" i="2"/>
  <c r="E12" i="2"/>
  <c r="M20" i="1"/>
  <c r="M13" i="1"/>
  <c r="M6" i="1"/>
  <c r="AA31" i="1"/>
  <c r="E12" i="1"/>
  <c r="N5" i="2" l="1"/>
  <c r="N12" i="2"/>
  <c r="N19" i="2"/>
  <c r="N6" i="2"/>
  <c r="N13" i="2"/>
  <c r="N20" i="2"/>
  <c r="AB32" i="2"/>
  <c r="E11" i="2" s="1"/>
  <c r="E5" i="2"/>
  <c r="N12" i="1"/>
  <c r="N5" i="1"/>
  <c r="N19" i="1"/>
  <c r="N6" i="1"/>
  <c r="N20" i="1"/>
  <c r="N13" i="1"/>
  <c r="AB32" i="1"/>
  <c r="E11" i="1" s="1"/>
  <c r="E5" i="1"/>
  <c r="L19" i="2" l="1"/>
  <c r="L12" i="2"/>
  <c r="L5" i="2"/>
  <c r="L18" i="2"/>
  <c r="L4" i="2"/>
  <c r="L11" i="2"/>
  <c r="M18" i="2"/>
  <c r="M11" i="2"/>
  <c r="M4" i="2"/>
  <c r="M5" i="2"/>
  <c r="M12" i="2"/>
  <c r="M19" i="2"/>
  <c r="L19" i="1"/>
  <c r="L12" i="1"/>
  <c r="L5" i="1"/>
  <c r="L18" i="1"/>
  <c r="L4" i="1"/>
  <c r="L11" i="1"/>
  <c r="M18" i="1"/>
  <c r="M11" i="1"/>
  <c r="M4" i="1"/>
  <c r="M5" i="1"/>
  <c r="M12" i="1"/>
  <c r="M19" i="1"/>
  <c r="T11" i="2" l="1" a="1"/>
  <c r="T18" i="2" a="1"/>
  <c r="T4" i="2" a="1"/>
  <c r="T11" i="1" a="1"/>
  <c r="T18" i="1" a="1"/>
  <c r="T4" i="1" a="1"/>
  <c r="W22" i="2" l="1"/>
  <c r="U22" i="2"/>
  <c r="X21" i="2"/>
  <c r="V21" i="2"/>
  <c r="T21" i="2"/>
  <c r="W20" i="2"/>
  <c r="U20" i="2"/>
  <c r="X19" i="2"/>
  <c r="V19" i="2"/>
  <c r="T19" i="2"/>
  <c r="W18" i="2"/>
  <c r="U18" i="2"/>
  <c r="X22" i="2"/>
  <c r="T22" i="2"/>
  <c r="U21" i="2"/>
  <c r="V20" i="2"/>
  <c r="W19" i="2"/>
  <c r="X18" i="2"/>
  <c r="T18" i="2"/>
  <c r="V22" i="2"/>
  <c r="W21" i="2"/>
  <c r="X20" i="2"/>
  <c r="T20" i="2"/>
  <c r="U19" i="2"/>
  <c r="V18" i="2"/>
  <c r="W8" i="2"/>
  <c r="U8" i="2"/>
  <c r="X7" i="2"/>
  <c r="V7" i="2"/>
  <c r="T7" i="2"/>
  <c r="W6" i="2"/>
  <c r="U6" i="2"/>
  <c r="X5" i="2"/>
  <c r="V5" i="2"/>
  <c r="T5" i="2"/>
  <c r="W4" i="2"/>
  <c r="U4" i="2"/>
  <c r="V8" i="2"/>
  <c r="T8" i="2"/>
  <c r="W7" i="2"/>
  <c r="X6" i="2"/>
  <c r="V6" i="2"/>
  <c r="W5" i="2"/>
  <c r="U5" i="2"/>
  <c r="X4" i="2"/>
  <c r="T4" i="2"/>
  <c r="X8" i="2"/>
  <c r="U7" i="2"/>
  <c r="T6" i="2"/>
  <c r="V4" i="2"/>
  <c r="W15" i="2"/>
  <c r="U15" i="2"/>
  <c r="X14" i="2"/>
  <c r="V14" i="2"/>
  <c r="T14" i="2"/>
  <c r="W13" i="2"/>
  <c r="U13" i="2"/>
  <c r="X12" i="2"/>
  <c r="V12" i="2"/>
  <c r="T12" i="2"/>
  <c r="W11" i="2"/>
  <c r="U11" i="2"/>
  <c r="X15" i="2"/>
  <c r="V15" i="2"/>
  <c r="T15" i="2"/>
  <c r="W14" i="2"/>
  <c r="U14" i="2"/>
  <c r="X13" i="2"/>
  <c r="V13" i="2"/>
  <c r="T13" i="2"/>
  <c r="W12" i="2"/>
  <c r="U12" i="2"/>
  <c r="X11" i="2"/>
  <c r="V11" i="2"/>
  <c r="T11" i="2"/>
  <c r="X22" i="1"/>
  <c r="V22" i="1"/>
  <c r="T22" i="1"/>
  <c r="W21" i="1"/>
  <c r="U21" i="1"/>
  <c r="X20" i="1"/>
  <c r="V20" i="1"/>
  <c r="T20" i="1"/>
  <c r="W19" i="1"/>
  <c r="U19" i="1"/>
  <c r="X18" i="1"/>
  <c r="V18" i="1"/>
  <c r="T18" i="1"/>
  <c r="U22" i="1"/>
  <c r="V21" i="1"/>
  <c r="W20" i="1"/>
  <c r="X19" i="1"/>
  <c r="T19" i="1"/>
  <c r="U18" i="1"/>
  <c r="W22" i="1"/>
  <c r="X21" i="1"/>
  <c r="T21" i="1"/>
  <c r="U20" i="1"/>
  <c r="V19" i="1"/>
  <c r="W18" i="1"/>
  <c r="X8" i="1"/>
  <c r="V8" i="1"/>
  <c r="T8" i="1"/>
  <c r="W7" i="1"/>
  <c r="U7" i="1"/>
  <c r="X6" i="1"/>
  <c r="V6" i="1"/>
  <c r="T6" i="1"/>
  <c r="W5" i="1"/>
  <c r="U5" i="1"/>
  <c r="X4" i="1"/>
  <c r="V4" i="1"/>
  <c r="T4" i="1"/>
  <c r="W8" i="1"/>
  <c r="U8" i="1"/>
  <c r="X7" i="1"/>
  <c r="V7" i="1"/>
  <c r="T7" i="1"/>
  <c r="W6" i="1"/>
  <c r="U6" i="1"/>
  <c r="X5" i="1"/>
  <c r="V5" i="1"/>
  <c r="T5" i="1"/>
  <c r="W4" i="1"/>
  <c r="U4" i="1"/>
  <c r="W15" i="1"/>
  <c r="U15" i="1"/>
  <c r="X14" i="1"/>
  <c r="V14" i="1"/>
  <c r="T14" i="1"/>
  <c r="W13" i="1"/>
  <c r="U13" i="1"/>
  <c r="X12" i="1"/>
  <c r="V12" i="1"/>
  <c r="T12" i="1"/>
  <c r="W11" i="1"/>
  <c r="U11" i="1"/>
  <c r="X15" i="1"/>
  <c r="V15" i="1"/>
  <c r="T15" i="1"/>
  <c r="W14" i="1"/>
  <c r="U14" i="1"/>
  <c r="X13" i="1"/>
  <c r="V13" i="1"/>
  <c r="T13" i="1"/>
  <c r="W12" i="1"/>
  <c r="U12" i="1"/>
  <c r="X11" i="1"/>
  <c r="V11" i="1"/>
  <c r="T11" i="1"/>
  <c r="Z4" i="2" l="1" a="1"/>
  <c r="Z11" i="2" a="1"/>
  <c r="Z18" i="2" a="1"/>
  <c r="Z4" i="1" a="1"/>
  <c r="Z11" i="1" a="1"/>
  <c r="Z18" i="1" a="1"/>
  <c r="Z14" i="2" l="1"/>
  <c r="M31" i="2" s="1"/>
  <c r="Z12" i="2"/>
  <c r="M29" i="2" s="1"/>
  <c r="Z15" i="2"/>
  <c r="M32" i="2" s="1"/>
  <c r="Z13" i="2"/>
  <c r="M30" i="2" s="1"/>
  <c r="Z11" i="2"/>
  <c r="M28" i="2" s="1"/>
  <c r="Z21" i="2"/>
  <c r="N31" i="2" s="1"/>
  <c r="Z19" i="2"/>
  <c r="N29" i="2" s="1"/>
  <c r="Z20" i="2"/>
  <c r="N30" i="2" s="1"/>
  <c r="Z22" i="2"/>
  <c r="N32" i="2" s="1"/>
  <c r="Z18" i="2"/>
  <c r="N28" i="2" s="1"/>
  <c r="Z7" i="2"/>
  <c r="L31" i="2" s="1"/>
  <c r="Z5" i="2"/>
  <c r="L29" i="2" s="1"/>
  <c r="Z6" i="2"/>
  <c r="L30" i="2" s="1"/>
  <c r="Z8" i="2"/>
  <c r="L32" i="2" s="1"/>
  <c r="Z4" i="2"/>
  <c r="L28" i="2" s="1"/>
  <c r="Z14" i="1"/>
  <c r="M31" i="1" s="1"/>
  <c r="Z12" i="1"/>
  <c r="M29" i="1" s="1"/>
  <c r="Z15" i="1"/>
  <c r="M32" i="1" s="1"/>
  <c r="Z13" i="1"/>
  <c r="M30" i="1" s="1"/>
  <c r="Z11" i="1"/>
  <c r="M28" i="1" s="1"/>
  <c r="Z21" i="1"/>
  <c r="N31" i="1" s="1"/>
  <c r="Z19" i="1"/>
  <c r="N29" i="1" s="1"/>
  <c r="Z22" i="1"/>
  <c r="N32" i="1" s="1"/>
  <c r="Z20" i="1"/>
  <c r="N30" i="1" s="1"/>
  <c r="Z18" i="1"/>
  <c r="N28" i="1" s="1"/>
  <c r="Z8" i="1"/>
  <c r="L32" i="1" s="1"/>
  <c r="O32" i="1" s="1"/>
  <c r="Z6" i="1"/>
  <c r="L30" i="1" s="1"/>
  <c r="O30" i="1" s="1"/>
  <c r="Z4" i="1"/>
  <c r="L28" i="1" s="1"/>
  <c r="O28" i="1" s="1"/>
  <c r="Z7" i="1"/>
  <c r="L31" i="1" s="1"/>
  <c r="O31" i="1" s="1"/>
  <c r="Z5" i="1"/>
  <c r="L29" i="1" s="1"/>
  <c r="O29" i="1" s="1"/>
  <c r="O28" i="2" l="1"/>
  <c r="O30" i="2"/>
  <c r="O31" i="2"/>
  <c r="O32" i="2"/>
  <c r="O29" i="2"/>
</calcChain>
</file>

<file path=xl/sharedStrings.xml><?xml version="1.0" encoding="utf-8"?>
<sst xmlns="http://schemas.openxmlformats.org/spreadsheetml/2006/main" count="320" uniqueCount="123">
  <si>
    <t>xi</t>
  </si>
  <si>
    <t>n [kmol/h]</t>
  </si>
  <si>
    <t>'=xe/xr</t>
  </si>
  <si>
    <t>Vstupne prudy</t>
  </si>
  <si>
    <t>A</t>
  </si>
  <si>
    <t>B</t>
  </si>
  <si>
    <t>C</t>
  </si>
  <si>
    <t>A+B+C</t>
  </si>
  <si>
    <t>kA</t>
  </si>
  <si>
    <t>kB</t>
  </si>
  <si>
    <t>kC</t>
  </si>
  <si>
    <t>psA</t>
  </si>
  <si>
    <t>inverz</t>
  </si>
  <si>
    <t>xA</t>
  </si>
  <si>
    <t>n</t>
  </si>
  <si>
    <t>xB</t>
  </si>
  <si>
    <t>xC</t>
  </si>
  <si>
    <t>F</t>
  </si>
  <si>
    <t>-</t>
  </si>
  <si>
    <t>A(zlozka A)</t>
  </si>
  <si>
    <t>Surovina</t>
  </si>
  <si>
    <t>R1</t>
  </si>
  <si>
    <t>W z Raffinatu</t>
  </si>
  <si>
    <t>R2</t>
  </si>
  <si>
    <t>S</t>
  </si>
  <si>
    <t>Cista IL</t>
  </si>
  <si>
    <t>R3</t>
  </si>
  <si>
    <t>W z Extraktu</t>
  </si>
  <si>
    <t>R4</t>
  </si>
  <si>
    <t>R5</t>
  </si>
  <si>
    <t xml:space="preserve">vysledne </t>
  </si>
  <si>
    <t>E1</t>
  </si>
  <si>
    <t>psB</t>
  </si>
  <si>
    <t>E2</t>
  </si>
  <si>
    <t>A(zlozka B)</t>
  </si>
  <si>
    <t>E3</t>
  </si>
  <si>
    <t>E4</t>
  </si>
  <si>
    <t>E5</t>
  </si>
  <si>
    <t>psC</t>
  </si>
  <si>
    <t>MTBE</t>
  </si>
  <si>
    <t>A(zlozka C)</t>
  </si>
  <si>
    <t>Methanol</t>
  </si>
  <si>
    <t>[BMIM][HSO4]</t>
  </si>
  <si>
    <t>n[kmol/h]</t>
  </si>
  <si>
    <t>ns</t>
  </si>
  <si>
    <t>ns/nf</t>
  </si>
  <si>
    <t>Ya(straty</t>
  </si>
  <si>
    <t>Yb</t>
  </si>
  <si>
    <t>Yc(straty)</t>
  </si>
  <si>
    <t>Raf</t>
  </si>
  <si>
    <t>∑xRi</t>
  </si>
  <si>
    <t>nR [kmol/h][mol.h-1]</t>
  </si>
  <si>
    <t>nE [kmol/h]</t>
  </si>
  <si>
    <t>Kontakt</t>
  </si>
  <si>
    <t>xRA</t>
  </si>
  <si>
    <t>xRB</t>
  </si>
  <si>
    <t>xRC</t>
  </si>
  <si>
    <t>xEA</t>
  </si>
  <si>
    <t>xEB</t>
  </si>
  <si>
    <t>xEC</t>
  </si>
  <si>
    <t>∑xEi</t>
  </si>
  <si>
    <t>Ziadane</t>
  </si>
  <si>
    <t>xEB1</t>
  </si>
  <si>
    <t>xRB5</t>
  </si>
  <si>
    <t xml:space="preserve">Vypocitane 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</si>
  <si>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</si>
  <si>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</si>
  <si>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</si>
  <si>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</si>
  <si>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</si>
  <si>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</si>
  <si>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</si>
  <si>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</si>
  <si>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</si>
  <si>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</si>
  <si>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</si>
  <si>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</si>
  <si>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xEBreg-xEB</t>
  </si>
  <si>
    <t>xRBreg-xRB</t>
  </si>
  <si>
    <t>sum</t>
  </si>
  <si>
    <t>x1.1</t>
  </si>
  <si>
    <t>x2.1</t>
  </si>
  <si>
    <t>x3.1</t>
  </si>
  <si>
    <t>x1.2</t>
  </si>
  <si>
    <t>x2.2</t>
  </si>
  <si>
    <t>x3.2</t>
  </si>
  <si>
    <t>φ1.1</t>
  </si>
  <si>
    <t>φ2.1</t>
  </si>
  <si>
    <t>φ3.1</t>
  </si>
  <si>
    <t>θ1.1</t>
  </si>
  <si>
    <t>θ2.1</t>
  </si>
  <si>
    <t>θ3.1</t>
  </si>
  <si>
    <t>lnγ1.1</t>
  </si>
  <si>
    <t>lnγ2.1</t>
  </si>
  <si>
    <t>lnγ3.1</t>
  </si>
  <si>
    <t>γ1.1</t>
  </si>
  <si>
    <t>γ2.1</t>
  </si>
  <si>
    <t>γ3.1</t>
  </si>
  <si>
    <t>γ1.1/γ1.2</t>
  </si>
  <si>
    <t>γ2.1/γ2.2</t>
  </si>
  <si>
    <t>γ3.1/γ3.2</t>
  </si>
  <si>
    <t>φ1.2</t>
  </si>
  <si>
    <t>φ2.2</t>
  </si>
  <si>
    <t>φ3.2</t>
  </si>
  <si>
    <t>θ1.2</t>
  </si>
  <si>
    <t>θ2.2</t>
  </si>
  <si>
    <t>θ3.2</t>
  </si>
  <si>
    <t>lnγ1.2</t>
  </si>
  <si>
    <t>lnγ2.2</t>
  </si>
  <si>
    <t>lnγ3.2</t>
  </si>
  <si>
    <t>γ1.2</t>
  </si>
  <si>
    <t>γ2.2</t>
  </si>
  <si>
    <t>γ3.2</t>
  </si>
  <si>
    <t>γ1.2/γ1.1</t>
  </si>
  <si>
    <t>γ2.2/γ2.1</t>
  </si>
  <si>
    <t>γ3.2/γ3.1</t>
  </si>
  <si>
    <t>Nove</t>
  </si>
  <si>
    <t>Σxi</t>
  </si>
  <si>
    <t>x3.3</t>
  </si>
  <si>
    <t>Step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</si>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</sst>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_(* #,##0.0000_);_(* \(#,##0.0000\);_(* &quot;-&quot;????_);_(@_)"/>
    <numFmt numFmtId="167" formatCode="0.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0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0" fillId="0" borderId="0" xfId="0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8" xfId="0" applyFont="1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0" xfId="0" applyFont="1"/>
    <xf numFmtId="164" fontId="5" fillId="0" borderId="0" xfId="0" applyNumberFormat="1" applyFont="1"/>
    <xf numFmtId="0" fontId="0" fillId="0" borderId="0" xfId="0" applyAlignment="1">
      <alignment horizontal="center" vertical="center"/>
    </xf>
    <xf numFmtId="0" fontId="3" fillId="0" borderId="9" xfId="0" applyFont="1" applyBorder="1"/>
    <xf numFmtId="165" fontId="0" fillId="0" borderId="9" xfId="0" applyNumberFormat="1" applyBorder="1"/>
    <xf numFmtId="165" fontId="0" fillId="0" borderId="0" xfId="0" applyNumberFormat="1" applyBorder="1"/>
    <xf numFmtId="165" fontId="0" fillId="0" borderId="10" xfId="0" applyNumberFormat="1" applyBorder="1"/>
    <xf numFmtId="0" fontId="0" fillId="0" borderId="14" xfId="0" applyBorder="1"/>
    <xf numFmtId="2" fontId="0" fillId="0" borderId="9" xfId="0" applyNumberFormat="1" applyBorder="1"/>
    <xf numFmtId="2" fontId="0" fillId="0" borderId="0" xfId="0" applyNumberFormat="1" applyBorder="1"/>
    <xf numFmtId="43" fontId="0" fillId="0" borderId="0" xfId="0" applyNumberFormat="1"/>
    <xf numFmtId="2" fontId="0" fillId="0" borderId="12" xfId="0" applyNumberFormat="1" applyBorder="1"/>
    <xf numFmtId="0" fontId="0" fillId="0" borderId="15" xfId="0" applyBorder="1"/>
    <xf numFmtId="0" fontId="3" fillId="0" borderId="11" xfId="0" applyFon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6" fontId="0" fillId="0" borderId="15" xfId="0" applyNumberFormat="1" applyBorder="1"/>
    <xf numFmtId="0" fontId="3" fillId="0" borderId="0" xfId="0" applyFont="1" applyFill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14" xfId="0" applyFont="1" applyBorder="1"/>
    <xf numFmtId="164" fontId="0" fillId="0" borderId="0" xfId="0" applyNumberFormat="1"/>
    <xf numFmtId="167" fontId="0" fillId="0" borderId="0" xfId="0" applyNumberFormat="1"/>
    <xf numFmtId="166" fontId="0" fillId="0" borderId="0" xfId="0" applyNumberFormat="1"/>
    <xf numFmtId="0" fontId="6" fillId="0" borderId="8" xfId="0" applyFont="1" applyBorder="1"/>
    <xf numFmtId="0" fontId="2" fillId="0" borderId="0" xfId="0" applyFont="1" applyBorder="1"/>
    <xf numFmtId="0" fontId="3" fillId="0" borderId="15" xfId="0" applyFont="1" applyBorder="1"/>
    <xf numFmtId="0" fontId="7" fillId="0" borderId="0" xfId="0" applyFont="1"/>
    <xf numFmtId="0" fontId="6" fillId="0" borderId="6" xfId="0" applyFont="1" applyBorder="1"/>
    <xf numFmtId="0" fontId="6" fillId="0" borderId="5" xfId="0" applyFont="1" applyBorder="1"/>
    <xf numFmtId="2" fontId="3" fillId="0" borderId="4" xfId="0" applyNumberFormat="1" applyFont="1" applyBorder="1"/>
    <xf numFmtId="2" fontId="0" fillId="0" borderId="6" xfId="0" applyNumberFormat="1" applyBorder="1"/>
    <xf numFmtId="0" fontId="3" fillId="0" borderId="4" xfId="0" applyFont="1" applyBorder="1" applyAlignment="1">
      <alignment horizontal="left"/>
    </xf>
    <xf numFmtId="165" fontId="0" fillId="0" borderId="4" xfId="1" applyNumberFormat="1" applyFont="1" applyBorder="1"/>
    <xf numFmtId="165" fontId="0" fillId="0" borderId="5" xfId="1" applyNumberFormat="1" applyFont="1" applyBorder="1"/>
    <xf numFmtId="0" fontId="0" fillId="0" borderId="7" xfId="0" applyNumberFormat="1" applyBorder="1"/>
    <xf numFmtId="0" fontId="5" fillId="0" borderId="7" xfId="0" applyNumberFormat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9" xfId="0" applyFont="1" applyBorder="1" applyAlignment="1">
      <alignment horizontal="left"/>
    </xf>
    <xf numFmtId="165" fontId="0" fillId="0" borderId="9" xfId="1" applyNumberFormat="1" applyFont="1" applyBorder="1"/>
    <xf numFmtId="165" fontId="0" fillId="0" borderId="0" xfId="1" applyNumberFormat="1" applyFont="1" applyBorder="1"/>
    <xf numFmtId="0" fontId="0" fillId="0" borderId="14" xfId="0" applyNumberFormat="1" applyBorder="1"/>
    <xf numFmtId="0" fontId="5" fillId="0" borderId="14" xfId="0" applyNumberFormat="1" applyFont="1" applyBorder="1"/>
    <xf numFmtId="0" fontId="0" fillId="0" borderId="19" xfId="0" applyBorder="1"/>
    <xf numFmtId="0" fontId="0" fillId="0" borderId="20" xfId="0" applyBorder="1"/>
    <xf numFmtId="165" fontId="0" fillId="0" borderId="0" xfId="0" applyNumberFormat="1"/>
    <xf numFmtId="0" fontId="8" fillId="0" borderId="1" xfId="2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165" fontId="0" fillId="0" borderId="11" xfId="1" applyNumberFormat="1" applyFont="1" applyBorder="1"/>
    <xf numFmtId="165" fontId="0" fillId="0" borderId="12" xfId="1" applyNumberFormat="1" applyFont="1" applyBorder="1"/>
    <xf numFmtId="0" fontId="0" fillId="0" borderId="15" xfId="0" applyNumberFormat="1" applyBorder="1"/>
    <xf numFmtId="0" fontId="5" fillId="0" borderId="15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67" fontId="0" fillId="0" borderId="0" xfId="0" applyNumberFormat="1" applyBorder="1"/>
    <xf numFmtId="167" fontId="5" fillId="0" borderId="0" xfId="0" applyNumberFormat="1" applyFont="1" applyBorder="1"/>
    <xf numFmtId="2" fontId="0" fillId="0" borderId="11" xfId="0" applyNumberFormat="1" applyBorder="1"/>
    <xf numFmtId="2" fontId="3" fillId="0" borderId="13" xfId="0" applyNumberFormat="1" applyFont="1" applyBorder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11" xfId="0" applyFont="1" applyBorder="1"/>
  </cellXfs>
  <cellStyles count="3">
    <cellStyle name="Normal 2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Regenovana-IL/EXT.Ko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Regenovana-IL/EXT.Kol-Regenovana%20I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ytazky"/>
      <sheetName val="8PTK"/>
      <sheetName val="5PTK"/>
      <sheetName val="4PTK"/>
      <sheetName val="3PTK"/>
      <sheetName val="2PTK"/>
      <sheetName val="1PTK"/>
      <sheetName val="Vytazky 2 (bez RK)"/>
      <sheetName val="8.2"/>
      <sheetName val="5.2"/>
      <sheetName val="4.2"/>
      <sheetName val="3.2"/>
      <sheetName val="2.2"/>
      <sheetName val="1.2"/>
      <sheetName val="EXT.Kol"/>
    </sheetNames>
    <definedNames>
      <definedName name="ODLADENI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definedNames>
      <definedName name="ODLADENI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62"/>
  <sheetViews>
    <sheetView tabSelected="1" topLeftCell="E1" zoomScale="55" zoomScaleNormal="55" workbookViewId="0">
      <selection activeCell="AB20" sqref="AB20"/>
    </sheetView>
  </sheetViews>
  <sheetFormatPr defaultRowHeight="15" x14ac:dyDescent="0.25"/>
  <cols>
    <col min="5" max="5" width="13.5703125" bestFit="1" customWidth="1"/>
    <col min="7" max="9" width="9.28515625" bestFit="1" customWidth="1"/>
    <col min="12" max="17" width="9.28515625" bestFit="1" customWidth="1"/>
    <col min="20" max="24" width="13.85546875" bestFit="1" customWidth="1"/>
    <col min="25" max="25" width="16" bestFit="1" customWidth="1"/>
    <col min="26" max="26" width="9.28515625" bestFit="1" customWidth="1"/>
    <col min="33" max="34" width="15.7109375" bestFit="1" customWidth="1"/>
    <col min="35" max="35" width="18.5703125" bestFit="1" customWidth="1"/>
  </cols>
  <sheetData>
    <row r="1" spans="1:35" ht="15.75" thickBot="1" x14ac:dyDescent="0.3"/>
    <row r="2" spans="1:35" ht="15.75" thickBot="1" x14ac:dyDescent="0.3">
      <c r="B2" s="1" t="s">
        <v>0</v>
      </c>
      <c r="C2" s="2"/>
      <c r="D2" s="2"/>
      <c r="E2" s="3" t="s">
        <v>1</v>
      </c>
      <c r="G2" s="4" t="s">
        <v>2</v>
      </c>
      <c r="H2" s="4"/>
      <c r="I2" s="4"/>
      <c r="AE2" t="s">
        <v>3</v>
      </c>
    </row>
    <row r="3" spans="1:35" ht="15.75" thickBot="1" x14ac:dyDescent="0.3">
      <c r="B3" s="5" t="s">
        <v>4</v>
      </c>
      <c r="C3" s="6" t="s">
        <v>5</v>
      </c>
      <c r="D3" s="7" t="s">
        <v>6</v>
      </c>
      <c r="E3" s="8" t="s">
        <v>7</v>
      </c>
      <c r="G3" s="9" t="s">
        <v>8</v>
      </c>
      <c r="H3" s="10" t="s">
        <v>9</v>
      </c>
      <c r="I3" s="3" t="s">
        <v>10</v>
      </c>
      <c r="L3">
        <v>1</v>
      </c>
      <c r="M3">
        <v>2</v>
      </c>
      <c r="N3">
        <v>3</v>
      </c>
      <c r="O3">
        <v>4</v>
      </c>
      <c r="P3">
        <v>5</v>
      </c>
      <c r="Q3" s="8" t="s">
        <v>11</v>
      </c>
      <c r="S3" s="11" t="s">
        <v>12</v>
      </c>
      <c r="Z3" s="11" t="s">
        <v>13</v>
      </c>
      <c r="AF3" t="s">
        <v>14</v>
      </c>
      <c r="AG3" t="s">
        <v>13</v>
      </c>
      <c r="AH3" t="s">
        <v>15</v>
      </c>
      <c r="AI3" t="s">
        <v>16</v>
      </c>
    </row>
    <row r="4" spans="1:35" ht="15.75" thickBot="1" x14ac:dyDescent="0.3">
      <c r="A4" s="5" t="s">
        <v>17</v>
      </c>
      <c r="B4" s="12">
        <f>AA26</f>
        <v>0.54020079164524459</v>
      </c>
      <c r="C4" s="12">
        <f t="shared" ref="C4:D4" si="0">AB26</f>
        <v>0.4595597980766658</v>
      </c>
      <c r="D4" s="12">
        <f t="shared" si="0"/>
        <v>2.3941027720268706E-4</v>
      </c>
      <c r="E4" s="13">
        <f>AA30</f>
        <v>25.023963976609402</v>
      </c>
      <c r="G4" s="14" t="s">
        <v>18</v>
      </c>
      <c r="H4" s="15" t="s">
        <v>18</v>
      </c>
      <c r="I4" s="16" t="s">
        <v>18</v>
      </c>
      <c r="K4" s="11" t="s">
        <v>19</v>
      </c>
      <c r="L4" s="12">
        <f>E$10*$G$5+E$5</f>
        <v>15.828342307803817</v>
      </c>
      <c r="M4" s="17">
        <f>-$E$11*$G$6</f>
        <v>-0.15499342738904368</v>
      </c>
      <c r="N4" s="17">
        <v>0</v>
      </c>
      <c r="O4" s="17">
        <v>0</v>
      </c>
      <c r="P4" s="17">
        <v>0</v>
      </c>
      <c r="Q4" s="13">
        <f>$B$4*$E$4</f>
        <v>13.517965150266482</v>
      </c>
      <c r="T4" s="12">
        <f t="array" ref="T4:X8">MINVERSE(L4:P8)</f>
        <v>6.3880048435863854E-2</v>
      </c>
      <c r="U4" s="17">
        <v>7.4347201929341833E-4</v>
      </c>
      <c r="V4" s="17">
        <v>2.0652084808298801E-6</v>
      </c>
      <c r="W4" s="17">
        <v>3.8738222307023098E-9</v>
      </c>
      <c r="X4" s="18">
        <v>6.6838568782419704E-12</v>
      </c>
      <c r="Z4" s="22">
        <f t="array" ref="Z4:Z8">MMULT(T4:X8,Q4:Q8)</f>
        <v>0.86352826855334275</v>
      </c>
      <c r="AD4" s="24" t="s">
        <v>17</v>
      </c>
      <c r="AE4" t="s">
        <v>20</v>
      </c>
      <c r="AF4">
        <v>25</v>
      </c>
      <c r="AG4">
        <v>0.54</v>
      </c>
      <c r="AH4">
        <v>0.46</v>
      </c>
      <c r="AI4">
        <v>0</v>
      </c>
    </row>
    <row r="5" spans="1:35" x14ac:dyDescent="0.25">
      <c r="A5" s="25" t="s">
        <v>21</v>
      </c>
      <c r="B5" s="26">
        <f>S31</f>
        <v>0.86352826855334275</v>
      </c>
      <c r="C5" s="27">
        <f t="shared" ref="C5:D9" si="1">T31</f>
        <v>0.13520022027156783</v>
      </c>
      <c r="D5" s="28">
        <f t="shared" si="1"/>
        <v>1.2715111750893748E-3</v>
      </c>
      <c r="E5" s="29">
        <f t="shared" ref="E5:E9" si="2">AA31</f>
        <v>14.95049308312189</v>
      </c>
      <c r="G5" s="14">
        <f>B10/B5</f>
        <v>4.1913489877750405E-2</v>
      </c>
      <c r="H5" s="15">
        <f t="shared" ref="H5:I9" si="3">C10/C5</f>
        <v>4.1099043453968243</v>
      </c>
      <c r="I5" s="16">
        <f t="shared" si="3"/>
        <v>320.99328095596559</v>
      </c>
      <c r="L5" s="30">
        <f>-$E$5</f>
        <v>-14.95049308312189</v>
      </c>
      <c r="M5" s="15">
        <f>$E$6+$E$11*$G$6</f>
        <v>13.353893450561534</v>
      </c>
      <c r="N5" s="15">
        <f>-$G$7*$E$12</f>
        <v>-3.5848665131952118E-2</v>
      </c>
      <c r="O5" s="15">
        <v>0</v>
      </c>
      <c r="P5" s="15">
        <v>0</v>
      </c>
      <c r="Q5" s="29">
        <v>0</v>
      </c>
      <c r="T5" s="14">
        <v>7.1714481505340558E-2</v>
      </c>
      <c r="U5" s="15">
        <v>7.5925346099432162E-2</v>
      </c>
      <c r="V5" s="15">
        <v>2.1090459977701984E-4</v>
      </c>
      <c r="W5" s="15">
        <v>3.9560506106641983E-7</v>
      </c>
      <c r="X5" s="16">
        <v>6.8257329608972448E-10</v>
      </c>
      <c r="Z5" s="23">
        <v>0.96943386175864787</v>
      </c>
      <c r="AD5" s="24"/>
      <c r="AE5" t="s">
        <v>22</v>
      </c>
      <c r="AF5">
        <v>2.3963976609400448E-2</v>
      </c>
      <c r="AG5">
        <v>0.74967316816000285</v>
      </c>
      <c r="AH5">
        <v>3.2683091387313701E-4</v>
      </c>
      <c r="AI5">
        <v>0.25</v>
      </c>
    </row>
    <row r="6" spans="1:35" x14ac:dyDescent="0.25">
      <c r="A6" s="25" t="s">
        <v>23</v>
      </c>
      <c r="B6" s="26">
        <f t="shared" ref="B6:B9" si="4">S32</f>
        <v>0.96943386175864799</v>
      </c>
      <c r="C6" s="27">
        <f t="shared" si="1"/>
        <v>2.9974023045598208E-2</v>
      </c>
      <c r="D6" s="28">
        <f t="shared" si="1"/>
        <v>5.9211519575375093E-4</v>
      </c>
      <c r="E6" s="29">
        <f t="shared" si="2"/>
        <v>13.19890002317249</v>
      </c>
      <c r="G6" s="14">
        <f t="shared" ref="G6:G9" si="5">B11/B6</f>
        <v>1.4257721232310051E-2</v>
      </c>
      <c r="H6" s="15">
        <f t="shared" si="3"/>
        <v>6.6265627690404019</v>
      </c>
      <c r="I6" s="16">
        <f t="shared" si="3"/>
        <v>1330.0677684703287</v>
      </c>
      <c r="L6" s="14">
        <v>0</v>
      </c>
      <c r="M6" s="31">
        <f>-$E$6</f>
        <v>-13.19890002317249</v>
      </c>
      <c r="N6" s="15">
        <f>$E$7+$E$12*$G$7</f>
        <v>12.929652384238381</v>
      </c>
      <c r="O6" s="15">
        <f>-$E$13*$G$8</f>
        <v>-2.4079925952411003E-2</v>
      </c>
      <c r="P6" s="15">
        <v>0</v>
      </c>
      <c r="Q6" s="29">
        <v>0</v>
      </c>
      <c r="T6" s="14">
        <v>7.3345062780763956E-2</v>
      </c>
      <c r="U6" s="15">
        <v>7.7651670338010917E-2</v>
      </c>
      <c r="V6" s="15">
        <v>7.770224242087731E-2</v>
      </c>
      <c r="W6" s="15">
        <v>1.4575026049886225E-4</v>
      </c>
      <c r="X6" s="16">
        <v>2.5147614503835018E-7</v>
      </c>
      <c r="Z6" s="23">
        <v>0.99147600262335978</v>
      </c>
      <c r="AD6" s="24" t="s">
        <v>24</v>
      </c>
      <c r="AE6" t="s">
        <v>25</v>
      </c>
      <c r="AF6">
        <v>0</v>
      </c>
      <c r="AG6">
        <v>0</v>
      </c>
      <c r="AH6">
        <v>0</v>
      </c>
      <c r="AI6">
        <v>1</v>
      </c>
    </row>
    <row r="7" spans="1:35" x14ac:dyDescent="0.25">
      <c r="A7" s="25" t="s">
        <v>26</v>
      </c>
      <c r="B7" s="26">
        <f t="shared" si="4"/>
        <v>0.99147600262336011</v>
      </c>
      <c r="C7" s="27">
        <f t="shared" si="1"/>
        <v>8.0333813028200356E-3</v>
      </c>
      <c r="D7" s="28">
        <f t="shared" si="1"/>
        <v>4.9061607381980718E-4</v>
      </c>
      <c r="E7" s="29">
        <f t="shared" si="2"/>
        <v>12.893803719106428</v>
      </c>
      <c r="G7" s="14">
        <f t="shared" si="5"/>
        <v>3.9310986474849763E-3</v>
      </c>
      <c r="H7" s="15">
        <f t="shared" si="3"/>
        <v>7.2828820172586504</v>
      </c>
      <c r="I7" s="16">
        <f t="shared" si="3"/>
        <v>1911.0589559349471</v>
      </c>
      <c r="L7" s="14">
        <v>0</v>
      </c>
      <c r="M7" s="15">
        <v>0</v>
      </c>
      <c r="N7" s="31">
        <f>-$E$7</f>
        <v>-12.893803719106428</v>
      </c>
      <c r="O7" s="15">
        <f>$E$8+$E$13*$G$8</f>
        <v>12.859613890340311</v>
      </c>
      <c r="P7" s="15">
        <f>-$E$14*$G$9</f>
        <v>-2.2127416903303072E-2</v>
      </c>
      <c r="Q7" s="29">
        <v>0</v>
      </c>
      <c r="T7" s="14">
        <v>7.3666931380175868E-2</v>
      </c>
      <c r="U7" s="15">
        <v>7.7992438120136856E-2</v>
      </c>
      <c r="V7" s="15">
        <v>7.8043232134308041E-2</v>
      </c>
      <c r="W7" s="15">
        <v>7.8043373356994891E-2</v>
      </c>
      <c r="X7" s="16">
        <v>1.3465531114957401E-4</v>
      </c>
      <c r="Z7" s="23">
        <v>0.99582701588205746</v>
      </c>
      <c r="AD7" s="24"/>
      <c r="AE7" t="s">
        <v>27</v>
      </c>
      <c r="AF7" s="15">
        <v>8.7228043115167377</v>
      </c>
      <c r="AG7" s="32">
        <v>4.0506397868165211E-6</v>
      </c>
      <c r="AH7" s="32">
        <v>1.9995887431844498E-2</v>
      </c>
      <c r="AI7">
        <v>0.98</v>
      </c>
    </row>
    <row r="8" spans="1:35" ht="15.75" thickBot="1" x14ac:dyDescent="0.3">
      <c r="A8" s="25" t="s">
        <v>28</v>
      </c>
      <c r="B8" s="26">
        <f t="shared" si="4"/>
        <v>0.99582701588205769</v>
      </c>
      <c r="C8" s="27">
        <f t="shared" si="1"/>
        <v>3.7013456598318823E-3</v>
      </c>
      <c r="D8" s="28">
        <f t="shared" si="1"/>
        <v>4.7163845811042468E-4</v>
      </c>
      <c r="E8" s="29">
        <f t="shared" si="2"/>
        <v>12.835533964387901</v>
      </c>
      <c r="G8" s="14">
        <f t="shared" si="5"/>
        <v>2.7319616945891819E-3</v>
      </c>
      <c r="H8" s="15">
        <f t="shared" si="3"/>
        <v>7.4021375035175883</v>
      </c>
      <c r="I8" s="16">
        <f t="shared" si="3"/>
        <v>2056.4089983284848</v>
      </c>
      <c r="L8" s="19">
        <v>0</v>
      </c>
      <c r="M8" s="20">
        <v>0</v>
      </c>
      <c r="N8" s="20">
        <v>0</v>
      </c>
      <c r="O8" s="33">
        <f>-$E$8</f>
        <v>-12.835533964387901</v>
      </c>
      <c r="P8" s="20">
        <f>$E$9+$E$14*$G$9</f>
        <v>12.824583331081067</v>
      </c>
      <c r="Q8" s="34">
        <f>$E$15*$B$15</f>
        <v>3.5332938196844391E-5</v>
      </c>
      <c r="T8" s="19">
        <v>7.3729833973699435E-2</v>
      </c>
      <c r="U8" s="20">
        <v>7.8059034169966388E-2</v>
      </c>
      <c r="V8" s="20">
        <v>7.8109871556043625E-2</v>
      </c>
      <c r="W8" s="20">
        <v>7.811001289931746E-2</v>
      </c>
      <c r="X8" s="21">
        <v>7.8110013164482545E-2</v>
      </c>
      <c r="Z8" s="23">
        <v>0.99668008604767044</v>
      </c>
    </row>
    <row r="9" spans="1:35" ht="15.75" thickBot="1" x14ac:dyDescent="0.3">
      <c r="A9" s="35" t="s">
        <v>29</v>
      </c>
      <c r="B9" s="36">
        <f t="shared" si="4"/>
        <v>0.99668008604767033</v>
      </c>
      <c r="C9" s="37">
        <f t="shared" si="1"/>
        <v>2.8519578938199404E-3</v>
      </c>
      <c r="D9" s="38">
        <f t="shared" si="1"/>
        <v>4.6795605850970441E-4</v>
      </c>
      <c r="E9" s="34">
        <f t="shared" si="2"/>
        <v>12.802455914177765</v>
      </c>
      <c r="G9" s="19">
        <f t="shared" si="5"/>
        <v>2.5271487200450469E-3</v>
      </c>
      <c r="H9" s="20">
        <f t="shared" si="3"/>
        <v>7.4251679029746969</v>
      </c>
      <c r="I9" s="21">
        <f t="shared" si="3"/>
        <v>2086.3176301032472</v>
      </c>
      <c r="AD9" t="s">
        <v>30</v>
      </c>
      <c r="AE9" t="s">
        <v>17</v>
      </c>
      <c r="AF9">
        <f>AF4+AF5</f>
        <v>25.023963976609402</v>
      </c>
      <c r="AG9">
        <f>(AG4*$AF$4+AG5*$AF$5)/$AF$9</f>
        <v>0.54020079164524459</v>
      </c>
      <c r="AH9">
        <f t="shared" ref="AH9:AI9" si="6">(AH4*$AF$4+AH5*$AF$5)/$AF$9</f>
        <v>0.4595597980766658</v>
      </c>
      <c r="AI9">
        <f t="shared" si="6"/>
        <v>2.3941027720268706E-4</v>
      </c>
    </row>
    <row r="10" spans="1:35" ht="15.75" thickBot="1" x14ac:dyDescent="0.3">
      <c r="A10" s="5" t="s">
        <v>31</v>
      </c>
      <c r="B10" s="39">
        <f t="shared" ref="B10:D15" si="7">W31</f>
        <v>3.6193483343161865E-2</v>
      </c>
      <c r="C10" s="40">
        <f t="shared" si="7"/>
        <v>0.5556599727927245</v>
      </c>
      <c r="D10" s="41">
        <f t="shared" si="7"/>
        <v>0.40814654386411364</v>
      </c>
      <c r="E10" s="13">
        <f t="shared" ref="E10:E15" si="8">AB31</f>
        <v>20.944312373948378</v>
      </c>
      <c r="L10">
        <v>1</v>
      </c>
      <c r="M10">
        <v>2</v>
      </c>
      <c r="N10">
        <v>3</v>
      </c>
      <c r="O10">
        <v>4</v>
      </c>
      <c r="P10">
        <v>5</v>
      </c>
      <c r="Q10" s="11" t="s">
        <v>32</v>
      </c>
      <c r="S10" s="11" t="s">
        <v>12</v>
      </c>
      <c r="Z10" s="11" t="s">
        <v>15</v>
      </c>
      <c r="AE10" t="s">
        <v>24</v>
      </c>
      <c r="AF10">
        <f>AF6+AF7</f>
        <v>8.7228043115167377</v>
      </c>
      <c r="AG10">
        <f>(AG6*$AF$6+$AF$7*AG7)/$AF$10</f>
        <v>4.0506397868165211E-6</v>
      </c>
      <c r="AH10">
        <f>(AH6*$AF$6+$AF$7*AH7)/$AF$10</f>
        <v>1.9995887431844498E-2</v>
      </c>
      <c r="AI10">
        <f>(AI6*$AF$6+$AF$7*AI7)/$AF$10</f>
        <v>0.98000000000000009</v>
      </c>
    </row>
    <row r="11" spans="1:35" ht="15.75" thickBot="1" x14ac:dyDescent="0.3">
      <c r="A11" s="25" t="s">
        <v>33</v>
      </c>
      <c r="B11" s="26">
        <f t="shared" si="7"/>
        <v>1.3821917754116602E-2</v>
      </c>
      <c r="C11" s="27">
        <f t="shared" si="7"/>
        <v>0.19862474515232009</v>
      </c>
      <c r="D11" s="28">
        <f t="shared" si="7"/>
        <v>0.78755333709356334</v>
      </c>
      <c r="E11" s="29">
        <f t="shared" si="8"/>
        <v>10.870841480460863</v>
      </c>
      <c r="K11" s="11" t="s">
        <v>34</v>
      </c>
      <c r="L11" s="12">
        <f>E$10*$H$5+E$5</f>
        <v>101.02961352016079</v>
      </c>
      <c r="M11" s="17">
        <f>-$E$11*$H$6</f>
        <v>-72.036313422561989</v>
      </c>
      <c r="N11" s="17">
        <v>0</v>
      </c>
      <c r="O11" s="17">
        <v>0</v>
      </c>
      <c r="P11" s="17">
        <v>0</v>
      </c>
      <c r="Q11" s="13">
        <f>$C$4*$E$4</f>
        <v>11.500007832168375</v>
      </c>
      <c r="T11" s="12">
        <f t="array" ref="T11:X15">MINVERSE(L11:P15)</f>
        <v>1.1614985352388741E-2</v>
      </c>
      <c r="U11" s="17">
        <v>1.1602124440295899E-2</v>
      </c>
      <c r="V11" s="17">
        <v>1.153193278093082E-2</v>
      </c>
      <c r="W11" s="17">
        <v>1.1170384104639572E-2</v>
      </c>
      <c r="X11" s="18">
        <v>9.3326167808488493E-3</v>
      </c>
      <c r="Z11">
        <f t="array" ref="Z11:Z15">MMULT(T11:X15,Q11:Q15)</f>
        <v>0.13520021953071668</v>
      </c>
    </row>
    <row r="12" spans="1:35" x14ac:dyDescent="0.25">
      <c r="A12" s="25" t="s">
        <v>35</v>
      </c>
      <c r="B12" s="26">
        <f t="shared" si="7"/>
        <v>3.8975899729265014E-3</v>
      </c>
      <c r="C12" s="27">
        <f t="shared" si="7"/>
        <v>5.8506168228089905E-2</v>
      </c>
      <c r="D12" s="28">
        <f t="shared" si="7"/>
        <v>0.9375962417989836</v>
      </c>
      <c r="E12" s="29">
        <f t="shared" si="8"/>
        <v>9.1192484205114628</v>
      </c>
      <c r="L12" s="30">
        <f>-$E$5</f>
        <v>-14.95049308312189</v>
      </c>
      <c r="M12" s="15">
        <f>$E$6+$E$11*$H$6</f>
        <v>85.235213445734473</v>
      </c>
      <c r="N12" s="15">
        <f>-$H$7*$E$12</f>
        <v>-66.414410332657283</v>
      </c>
      <c r="O12" s="15">
        <v>0</v>
      </c>
      <c r="P12" s="15">
        <v>0</v>
      </c>
      <c r="Q12" s="29">
        <v>0</v>
      </c>
      <c r="T12" s="14">
        <v>2.4079172427476812E-3</v>
      </c>
      <c r="U12" s="15">
        <v>1.6271767564507027E-2</v>
      </c>
      <c r="V12" s="15">
        <v>1.6173325044601901E-2</v>
      </c>
      <c r="W12" s="15">
        <v>1.5666259631354502E-2</v>
      </c>
      <c r="X12" s="16">
        <v>1.3088824534510624E-2</v>
      </c>
      <c r="Z12">
        <v>2.9974022715389993E-2</v>
      </c>
    </row>
    <row r="13" spans="1:35" x14ac:dyDescent="0.25">
      <c r="A13" s="25" t="s">
        <v>36</v>
      </c>
      <c r="B13" s="26">
        <f t="shared" si="7"/>
        <v>2.7205612618268343E-3</v>
      </c>
      <c r="C13" s="27">
        <f t="shared" si="7"/>
        <v>2.7397869522123631E-2</v>
      </c>
      <c r="D13" s="28">
        <f t="shared" si="7"/>
        <v>0.96988156921604951</v>
      </c>
      <c r="E13" s="29">
        <f t="shared" si="8"/>
        <v>8.8141521164454009</v>
      </c>
      <c r="L13" s="14">
        <v>0</v>
      </c>
      <c r="M13" s="31">
        <f>-$E$6</f>
        <v>-13.19890002317249</v>
      </c>
      <c r="N13" s="15">
        <f>$E$7+$E$12*$H$7</f>
        <v>79.308214051763713</v>
      </c>
      <c r="O13" s="15">
        <f>-$E$13*$H$8</f>
        <v>-65.243565942849429</v>
      </c>
      <c r="P13" s="15">
        <v>0</v>
      </c>
      <c r="Q13" s="29">
        <v>0</v>
      </c>
      <c r="T13" s="14">
        <v>4.7564349085668021E-4</v>
      </c>
      <c r="U13" s="15">
        <v>3.2142135906460764E-3</v>
      </c>
      <c r="V13" s="15">
        <v>1.8160648042891317E-2</v>
      </c>
      <c r="W13" s="15">
        <v>1.7591276161765191E-2</v>
      </c>
      <c r="X13" s="16">
        <v>1.4697134634398807E-2</v>
      </c>
      <c r="Z13">
        <v>8.033381225108471E-3</v>
      </c>
    </row>
    <row r="14" spans="1:35" x14ac:dyDescent="0.25">
      <c r="A14" s="25" t="s">
        <v>37</v>
      </c>
      <c r="B14" s="26">
        <f t="shared" si="7"/>
        <v>2.5187588037497571E-3</v>
      </c>
      <c r="C14" s="27">
        <f t="shared" si="7"/>
        <v>2.1176266213827139E-2</v>
      </c>
      <c r="D14" s="28">
        <f>Y35</f>
        <v>0.97630497498242308</v>
      </c>
      <c r="E14" s="29">
        <f>AB35</f>
        <v>8.755882361726874</v>
      </c>
      <c r="L14" s="14">
        <v>0</v>
      </c>
      <c r="M14" s="15">
        <v>0</v>
      </c>
      <c r="N14" s="31">
        <f>-$E$7</f>
        <v>-12.893803719106428</v>
      </c>
      <c r="O14" s="15">
        <f>$E$8+$E$13*$H$8</f>
        <v>78.079099907237335</v>
      </c>
      <c r="P14" s="15">
        <f>-$E$14*$H$9</f>
        <v>-65.013896674516673</v>
      </c>
      <c r="Q14" s="29">
        <v>0</v>
      </c>
      <c r="T14" s="14">
        <v>9.1052301452891209E-5</v>
      </c>
      <c r="U14" s="15">
        <v>6.1529601564056825E-4</v>
      </c>
      <c r="V14" s="15">
        <v>3.4764878148610015E-3</v>
      </c>
      <c r="W14" s="15">
        <v>1.8214137800355662E-2</v>
      </c>
      <c r="X14" s="16">
        <v>1.5217522199052208E-2</v>
      </c>
      <c r="Z14">
        <v>3.7013456447049934E-3</v>
      </c>
    </row>
    <row r="15" spans="1:35" ht="15.75" thickBot="1" x14ac:dyDescent="0.3">
      <c r="A15" s="35" t="s">
        <v>24</v>
      </c>
      <c r="B15" s="36">
        <f t="shared" si="7"/>
        <v>4.0506397868165211E-6</v>
      </c>
      <c r="C15" s="37">
        <f t="shared" si="7"/>
        <v>1.9995887431844498E-2</v>
      </c>
      <c r="D15" s="38">
        <f>Y36</f>
        <v>0.98000000000000009</v>
      </c>
      <c r="E15" s="34">
        <f t="shared" si="8"/>
        <v>8.7228043115167377</v>
      </c>
      <c r="L15" s="19">
        <v>0</v>
      </c>
      <c r="M15" s="20">
        <v>0</v>
      </c>
      <c r="N15" s="20">
        <v>0</v>
      </c>
      <c r="O15" s="33">
        <f>-$E$8</f>
        <v>-12.835533964387901</v>
      </c>
      <c r="P15" s="20">
        <f>$E$9+$E$14*$H$9</f>
        <v>77.816352588694443</v>
      </c>
      <c r="Q15" s="34">
        <f>$E$15*$C$15</f>
        <v>0.17442021310309655</v>
      </c>
      <c r="T15" s="19">
        <v>1.5018757227180376E-5</v>
      </c>
      <c r="U15" s="20">
        <v>1.0149091603728642E-4</v>
      </c>
      <c r="V15" s="20">
        <v>5.7343445098597507E-4</v>
      </c>
      <c r="W15" s="20">
        <v>3.0043580377535272E-3</v>
      </c>
      <c r="X15" s="21">
        <v>1.5360846188175421E-2</v>
      </c>
      <c r="Z15">
        <v>2.851957891327455E-3</v>
      </c>
    </row>
    <row r="16" spans="1:35" ht="15.75" thickBot="1" x14ac:dyDescent="0.3"/>
    <row r="17" spans="1:35" ht="15.75" thickBot="1" x14ac:dyDescent="0.3">
      <c r="L17">
        <v>1</v>
      </c>
      <c r="M17">
        <v>2</v>
      </c>
      <c r="N17">
        <v>3</v>
      </c>
      <c r="O17">
        <v>4</v>
      </c>
      <c r="P17">
        <v>5</v>
      </c>
      <c r="Q17" s="11" t="s">
        <v>38</v>
      </c>
      <c r="S17" s="11" t="s">
        <v>12</v>
      </c>
      <c r="Z17" s="11" t="s">
        <v>16</v>
      </c>
    </row>
    <row r="18" spans="1:35" ht="15.75" thickBot="1" x14ac:dyDescent="0.3">
      <c r="A18" t="s">
        <v>4</v>
      </c>
      <c r="B18" t="s">
        <v>39</v>
      </c>
      <c r="K18" s="11" t="s">
        <v>40</v>
      </c>
      <c r="L18" s="12">
        <f>E$10*$I$5+E$5</f>
        <v>6737.9340393634402</v>
      </c>
      <c r="M18" s="17">
        <f>-$E$11*$I$6</f>
        <v>-14458.955869311263</v>
      </c>
      <c r="N18" s="17">
        <v>0</v>
      </c>
      <c r="O18" s="17">
        <v>0</v>
      </c>
      <c r="P18" s="17">
        <v>0</v>
      </c>
      <c r="Q18" s="13">
        <f>$D$4*$E$4</f>
        <v>5.990994152350112E-3</v>
      </c>
      <c r="T18" s="12">
        <f t="array" ref="T18:X22">MINVERSE(L18:P22)</f>
        <v>1.4874348466214493E-4</v>
      </c>
      <c r="U18" s="17">
        <v>1.4874348466209511E-4</v>
      </c>
      <c r="V18" s="17">
        <v>1.4874348460751699E-4</v>
      </c>
      <c r="W18" s="17">
        <v>1.4874341083912407E-4</v>
      </c>
      <c r="X18" s="18">
        <v>1.4863923993851941E-4</v>
      </c>
      <c r="Z18">
        <f t="array" ref="Z18:Z22">MMULT(T18:X22,Q18:Q22)</f>
        <v>1.2715111042831734E-3</v>
      </c>
    </row>
    <row r="19" spans="1:35" x14ac:dyDescent="0.25">
      <c r="A19" t="s">
        <v>5</v>
      </c>
      <c r="B19" t="s">
        <v>41</v>
      </c>
      <c r="L19" s="30">
        <f>-$E$5</f>
        <v>-14.95049308312189</v>
      </c>
      <c r="M19" s="15">
        <f>$E$6+$E$11*$I$6</f>
        <v>14472.154769334436</v>
      </c>
      <c r="N19" s="15">
        <f>-$I$7*$E$12</f>
        <v>-17427.421365414051</v>
      </c>
      <c r="O19" s="15">
        <v>0</v>
      </c>
      <c r="P19" s="15">
        <v>0</v>
      </c>
      <c r="Q19" s="29">
        <v>0</v>
      </c>
      <c r="T19" s="14">
        <v>1.5380007095256648E-7</v>
      </c>
      <c r="U19" s="15">
        <v>6.9315087306231902E-5</v>
      </c>
      <c r="V19" s="15">
        <v>6.9315087280798281E-5</v>
      </c>
      <c r="W19" s="15">
        <v>6.9315052904417971E-5</v>
      </c>
      <c r="X19" s="16">
        <v>6.9266508828107114E-5</v>
      </c>
      <c r="Z19">
        <v>5.9211515922786011E-4</v>
      </c>
    </row>
    <row r="20" spans="1:35" x14ac:dyDescent="0.25">
      <c r="A20" t="s">
        <v>6</v>
      </c>
      <c r="B20" t="s">
        <v>42</v>
      </c>
      <c r="L20" s="14">
        <v>0</v>
      </c>
      <c r="M20" s="31">
        <f>-$E$6</f>
        <v>-13.19890002317249</v>
      </c>
      <c r="N20" s="15">
        <f>$E$7+$E$12*$I$7</f>
        <v>17440.315169133159</v>
      </c>
      <c r="O20" s="15">
        <f>-$E$13*$I$8</f>
        <v>-18125.50172489438</v>
      </c>
      <c r="P20" s="15">
        <v>0</v>
      </c>
      <c r="Q20" s="29">
        <v>0</v>
      </c>
      <c r="T20" s="14">
        <v>1.1648262337557075E-10</v>
      </c>
      <c r="U20" s="15">
        <v>5.2496745670726783E-8</v>
      </c>
      <c r="V20" s="15">
        <v>5.74333323073395E-5</v>
      </c>
      <c r="W20" s="15">
        <v>5.7433303823640621E-5</v>
      </c>
      <c r="X20" s="16">
        <v>5.739308100670871E-5</v>
      </c>
      <c r="Z20">
        <v>4.9061604286526389E-4</v>
      </c>
    </row>
    <row r="21" spans="1:35" x14ac:dyDescent="0.25">
      <c r="L21" s="14">
        <v>0</v>
      </c>
      <c r="M21" s="15">
        <v>0</v>
      </c>
      <c r="N21" s="31">
        <f>-$E$7</f>
        <v>-12.893803719106428</v>
      </c>
      <c r="O21" s="15">
        <f>$E$8+$E$13*$I$8</f>
        <v>18138.33725885877</v>
      </c>
      <c r="P21" s="15">
        <f>-$E$14*$I$9</f>
        <v>-18267.551738380836</v>
      </c>
      <c r="Q21" s="29">
        <v>0</v>
      </c>
      <c r="T21" s="14">
        <v>8.2861338705376083E-14</v>
      </c>
      <c r="U21" s="15">
        <v>3.7344202061166568E-11</v>
      </c>
      <c r="V21" s="15">
        <v>4.0855903338926308E-8</v>
      </c>
      <c r="W21" s="15">
        <v>5.5211715108609945E-5</v>
      </c>
      <c r="X21" s="16">
        <v>5.5173048158226425E-5</v>
      </c>
      <c r="Z21">
        <v>4.7163842830751253E-4</v>
      </c>
    </row>
    <row r="22" spans="1:35" ht="15.75" thickBot="1" x14ac:dyDescent="0.3">
      <c r="L22" s="19">
        <v>0</v>
      </c>
      <c r="M22" s="20">
        <v>0</v>
      </c>
      <c r="N22" s="20">
        <v>0</v>
      </c>
      <c r="O22" s="33">
        <f>-$E$8</f>
        <v>-12.835533964387901</v>
      </c>
      <c r="P22" s="20">
        <f>$E$9+$E$14*$I$9</f>
        <v>18280.354194295014</v>
      </c>
      <c r="Q22" s="42">
        <f>$E$15*$D$15</f>
        <v>8.5483482252864036</v>
      </c>
      <c r="T22" s="19">
        <v>5.8181013123882831E-17</v>
      </c>
      <c r="U22" s="20">
        <v>2.6221197293795309E-14</v>
      </c>
      <c r="V22" s="20">
        <v>2.8686935131497411E-11</v>
      </c>
      <c r="W22" s="20">
        <v>3.8766855224820314E-8</v>
      </c>
      <c r="X22" s="21">
        <v>5.4742274952520216E-5</v>
      </c>
      <c r="Z22">
        <v>4.6795602893851684E-4</v>
      </c>
    </row>
    <row r="24" spans="1:35" ht="15.75" thickBot="1" x14ac:dyDescent="0.3"/>
    <row r="25" spans="1:35" ht="15.75" thickBot="1" x14ac:dyDescent="0.3">
      <c r="R25" s="15"/>
      <c r="S25" s="15"/>
      <c r="T25" s="15"/>
      <c r="Y25" s="8"/>
      <c r="Z25" s="9" t="s">
        <v>43</v>
      </c>
      <c r="AA25" s="10" t="s">
        <v>13</v>
      </c>
      <c r="AB25" s="10" t="s">
        <v>15</v>
      </c>
      <c r="AC25" s="3" t="s">
        <v>16</v>
      </c>
      <c r="AE25" s="43" t="s">
        <v>44</v>
      </c>
      <c r="AF25" s="43" t="s">
        <v>45</v>
      </c>
      <c r="AG25" s="43" t="s">
        <v>46</v>
      </c>
      <c r="AH25" s="43" t="s">
        <v>47</v>
      </c>
      <c r="AI25" s="43" t="s">
        <v>48</v>
      </c>
    </row>
    <row r="26" spans="1:35" ht="15.75" thickBot="1" x14ac:dyDescent="0.3">
      <c r="L26" s="44" t="s">
        <v>49</v>
      </c>
      <c r="M26" s="45"/>
      <c r="N26" s="46"/>
      <c r="R26" s="15"/>
      <c r="S26" s="15"/>
      <c r="T26" s="15"/>
      <c r="Y26" s="47" t="s">
        <v>17</v>
      </c>
      <c r="Z26" s="48">
        <f>AF9</f>
        <v>25.023963976609402</v>
      </c>
      <c r="AA26" s="48">
        <f t="shared" ref="AA26:AC27" si="9">AG9</f>
        <v>0.54020079164524459</v>
      </c>
      <c r="AB26" s="48">
        <f t="shared" si="9"/>
        <v>0.4595597980766658</v>
      </c>
      <c r="AC26" s="48">
        <f t="shared" si="9"/>
        <v>2.3941027720268706E-4</v>
      </c>
      <c r="AE26">
        <f>Z27</f>
        <v>8.7228043115167377</v>
      </c>
      <c r="AF26">
        <f>AE26/Z26</f>
        <v>0.3485780398209567</v>
      </c>
      <c r="AG26">
        <f>AB31*W31/Z26/AA26</f>
        <v>5.6077050992067105E-2</v>
      </c>
      <c r="AH26" s="49">
        <f>(X31*AB31-Z27*AB27)/Z26/AB26</f>
        <v>0.99682504551876383</v>
      </c>
      <c r="AI26" s="50">
        <f>AA35*U35/AB36/AC27</f>
        <v>7.0083560600880403E-4</v>
      </c>
    </row>
    <row r="27" spans="1:35" ht="15.75" thickBot="1" x14ac:dyDescent="0.3">
      <c r="L27" s="12" t="s">
        <v>4</v>
      </c>
      <c r="M27" s="17" t="s">
        <v>5</v>
      </c>
      <c r="N27" s="18" t="s">
        <v>6</v>
      </c>
      <c r="O27" s="51" t="s">
        <v>50</v>
      </c>
      <c r="R27" s="15"/>
      <c r="S27" s="15"/>
      <c r="T27" s="15"/>
      <c r="U27" s="15"/>
      <c r="V27" s="15"/>
      <c r="W27" s="52"/>
      <c r="Y27" s="53" t="s">
        <v>24</v>
      </c>
      <c r="Z27" s="48">
        <f>AF10</f>
        <v>8.7228043115167377</v>
      </c>
      <c r="AA27" s="48">
        <f>AG10</f>
        <v>4.0506397868165211E-6</v>
      </c>
      <c r="AB27" s="48">
        <f t="shared" si="9"/>
        <v>1.9995887431844498E-2</v>
      </c>
      <c r="AC27" s="48">
        <f t="shared" si="9"/>
        <v>0.98000000000000009</v>
      </c>
    </row>
    <row r="28" spans="1:35" ht="15.75" thickBot="1" x14ac:dyDescent="0.3">
      <c r="L28" s="12">
        <f>Z4</f>
        <v>0.86352826855334275</v>
      </c>
      <c r="M28" s="17">
        <f>Z11</f>
        <v>0.13520021953071668</v>
      </c>
      <c r="N28" s="18">
        <f>Z18</f>
        <v>1.2715111042831734E-3</v>
      </c>
      <c r="O28" s="13">
        <f>SUM(L28:N28)</f>
        <v>0.99999999918834259</v>
      </c>
      <c r="R28" s="15"/>
      <c r="S28" s="15"/>
      <c r="T28" s="15"/>
      <c r="U28" s="15"/>
      <c r="V28" s="15"/>
      <c r="AG28" s="48"/>
    </row>
    <row r="29" spans="1:35" ht="21.75" thickBot="1" x14ac:dyDescent="0.4">
      <c r="L29" s="14">
        <f>Z5</f>
        <v>0.96943386175864787</v>
      </c>
      <c r="M29" s="15">
        <f t="shared" ref="M29:M32" si="10">Z12</f>
        <v>2.9974022715389993E-2</v>
      </c>
      <c r="N29" s="16">
        <f>Z19</f>
        <v>5.9211515922786011E-4</v>
      </c>
      <c r="O29" s="29">
        <f t="shared" ref="O29:O32" si="11">SUM(L29:N29)</f>
        <v>0.99999999963326569</v>
      </c>
      <c r="R29" s="15"/>
      <c r="S29" s="15"/>
      <c r="T29" s="15"/>
      <c r="U29" s="15"/>
      <c r="V29" s="15"/>
      <c r="AA29" s="9" t="s">
        <v>51</v>
      </c>
      <c r="AB29" s="3" t="s">
        <v>52</v>
      </c>
      <c r="AG29" s="43"/>
      <c r="AI29" s="54"/>
    </row>
    <row r="30" spans="1:35" ht="15.75" thickBot="1" x14ac:dyDescent="0.3">
      <c r="L30" s="14">
        <f>Z6</f>
        <v>0.99147600262335978</v>
      </c>
      <c r="M30" s="15">
        <f t="shared" si="10"/>
        <v>8.033381225108471E-3</v>
      </c>
      <c r="N30" s="16">
        <f>Z20</f>
        <v>4.9061604286526389E-4</v>
      </c>
      <c r="O30" s="29">
        <f t="shared" si="11"/>
        <v>0.99999999989133348</v>
      </c>
      <c r="R30" s="11" t="s">
        <v>53</v>
      </c>
      <c r="S30" s="5" t="s">
        <v>54</v>
      </c>
      <c r="T30" s="6" t="s">
        <v>55</v>
      </c>
      <c r="U30" s="6" t="s">
        <v>56</v>
      </c>
      <c r="V30" s="55" t="s">
        <v>50</v>
      </c>
      <c r="W30" s="5" t="s">
        <v>57</v>
      </c>
      <c r="X30" s="6" t="s">
        <v>58</v>
      </c>
      <c r="Y30" s="6" t="s">
        <v>59</v>
      </c>
      <c r="Z30" s="56" t="s">
        <v>60</v>
      </c>
      <c r="AA30" s="57">
        <f>Z26</f>
        <v>25.023963976609402</v>
      </c>
      <c r="AB30" s="58"/>
      <c r="AC30" s="6" t="s">
        <v>8</v>
      </c>
      <c r="AD30" s="6" t="s">
        <v>9</v>
      </c>
      <c r="AE30" s="7" t="s">
        <v>10</v>
      </c>
      <c r="AG30" s="43" t="s">
        <v>61</v>
      </c>
    </row>
    <row r="31" spans="1:35" x14ac:dyDescent="0.25">
      <c r="L31" s="14">
        <f>Z7</f>
        <v>0.99582701588205746</v>
      </c>
      <c r="M31" s="15">
        <f t="shared" si="10"/>
        <v>3.7013456447049934E-3</v>
      </c>
      <c r="N31" s="16">
        <f>Z21</f>
        <v>4.7163842830751253E-4</v>
      </c>
      <c r="O31" s="29">
        <f t="shared" si="11"/>
        <v>0.99999999995507005</v>
      </c>
      <c r="R31" s="59">
        <v>1</v>
      </c>
      <c r="S31" s="60">
        <f>C41</f>
        <v>0.86352826855334275</v>
      </c>
      <c r="T31" s="61">
        <f t="shared" ref="T31:U35" si="12">D41</f>
        <v>0.13520022027156783</v>
      </c>
      <c r="U31" s="61">
        <f t="shared" si="12"/>
        <v>1.2715111750893748E-3</v>
      </c>
      <c r="V31" s="62">
        <f>SUM(S31:U31)</f>
        <v>1</v>
      </c>
      <c r="W31" s="61">
        <f>G41</f>
        <v>3.6193483343161865E-2</v>
      </c>
      <c r="X31" s="61">
        <f t="shared" ref="X31:Y35" si="13">H41</f>
        <v>0.5556599727927245</v>
      </c>
      <c r="Y31" s="61">
        <f t="shared" si="13"/>
        <v>0.40814654386411364</v>
      </c>
      <c r="Z31" s="63">
        <f>SUM(W31:Y31)</f>
        <v>1</v>
      </c>
      <c r="AA31" s="31">
        <f t="shared" ref="AA31:AA33" si="14">(AB33*(W32-W33)+AA32*(S32-W32))/(S31-W32)</f>
        <v>14.95049308312189</v>
      </c>
      <c r="AB31" s="31">
        <f>AA30+AB36-AA35</f>
        <v>20.944312373948378</v>
      </c>
      <c r="AC31" s="64">
        <f>W31/S31</f>
        <v>4.1913489877750405E-2</v>
      </c>
      <c r="AD31" s="65">
        <f t="shared" ref="AD31:AE35" si="15">X31/T31</f>
        <v>4.1099043453968243</v>
      </c>
      <c r="AE31" s="66">
        <f t="shared" si="15"/>
        <v>320.99328095596559</v>
      </c>
      <c r="AG31" t="s">
        <v>62</v>
      </c>
      <c r="AH31">
        <v>0.55567183919333374</v>
      </c>
    </row>
    <row r="32" spans="1:35" ht="15.75" thickBot="1" x14ac:dyDescent="0.3">
      <c r="L32" s="19">
        <f>Z8</f>
        <v>0.99668008604767044</v>
      </c>
      <c r="M32" s="20">
        <f t="shared" si="10"/>
        <v>2.851957891327455E-3</v>
      </c>
      <c r="N32" s="21">
        <f>Z22</f>
        <v>4.6795602893851684E-4</v>
      </c>
      <c r="O32" s="34">
        <f t="shared" si="11"/>
        <v>0.99999999996793643</v>
      </c>
      <c r="R32" s="67">
        <v>2</v>
      </c>
      <c r="S32" s="68">
        <f t="shared" ref="S32:S35" si="16">C42</f>
        <v>0.96943386175864799</v>
      </c>
      <c r="T32" s="69">
        <f t="shared" si="12"/>
        <v>2.9974023045598208E-2</v>
      </c>
      <c r="U32" s="69">
        <f t="shared" si="12"/>
        <v>5.9211519575375093E-4</v>
      </c>
      <c r="V32" s="70">
        <f t="shared" ref="V32:V35" si="17">SUM(S32:U32)</f>
        <v>1</v>
      </c>
      <c r="W32" s="69">
        <f t="shared" ref="W32:W35" si="18">G42</f>
        <v>1.3821917754116602E-2</v>
      </c>
      <c r="X32" s="69">
        <f t="shared" si="13"/>
        <v>0.19862474515232009</v>
      </c>
      <c r="Y32" s="69">
        <f t="shared" si="13"/>
        <v>0.78755333709356334</v>
      </c>
      <c r="Z32" s="71">
        <f t="shared" ref="Z32:Z35" si="19">SUM(W32:Y32)</f>
        <v>1</v>
      </c>
      <c r="AA32" s="31">
        <f t="shared" si="14"/>
        <v>13.19890002317249</v>
      </c>
      <c r="AB32" s="31">
        <f>AA31+AB33-AA32</f>
        <v>10.870841480460863</v>
      </c>
      <c r="AC32" s="72">
        <f t="shared" ref="AC32:AC35" si="20">W32/S32</f>
        <v>1.4257721232310051E-2</v>
      </c>
      <c r="AD32" s="15">
        <f t="shared" si="15"/>
        <v>6.6265627690404019</v>
      </c>
      <c r="AE32" s="73">
        <f t="shared" si="15"/>
        <v>1330.0677684703287</v>
      </c>
      <c r="AG32" s="32" t="s">
        <v>63</v>
      </c>
      <c r="AH32">
        <v>2.8203086494330174E-3</v>
      </c>
      <c r="AI32" s="48">
        <v>0.13520594401969205</v>
      </c>
    </row>
    <row r="33" spans="3:35" x14ac:dyDescent="0.25">
      <c r="R33" s="67">
        <v>3</v>
      </c>
      <c r="S33" s="68">
        <f t="shared" si="16"/>
        <v>0.99147600262336011</v>
      </c>
      <c r="T33" s="69">
        <f t="shared" si="12"/>
        <v>8.0333813028200356E-3</v>
      </c>
      <c r="U33" s="69">
        <f t="shared" si="12"/>
        <v>4.9061607381980718E-4</v>
      </c>
      <c r="V33" s="70">
        <f t="shared" si="17"/>
        <v>1</v>
      </c>
      <c r="W33" s="69">
        <f t="shared" si="18"/>
        <v>3.8975899729265014E-3</v>
      </c>
      <c r="X33" s="69">
        <f t="shared" si="13"/>
        <v>5.8506168228089905E-2</v>
      </c>
      <c r="Y33" s="69">
        <f t="shared" si="13"/>
        <v>0.9375962417989836</v>
      </c>
      <c r="Z33" s="71">
        <f t="shared" si="19"/>
        <v>1</v>
      </c>
      <c r="AA33" s="31">
        <f t="shared" si="14"/>
        <v>12.893803719106428</v>
      </c>
      <c r="AB33" s="31">
        <f>AA32+AB34-AA33</f>
        <v>9.1192484205114628</v>
      </c>
      <c r="AC33" s="72">
        <f t="shared" si="20"/>
        <v>3.9310986474849763E-3</v>
      </c>
      <c r="AD33" s="15">
        <f t="shared" si="15"/>
        <v>7.2828820172586504</v>
      </c>
      <c r="AE33" s="73">
        <f t="shared" si="15"/>
        <v>1911.0589559349471</v>
      </c>
      <c r="AG33" t="s">
        <v>64</v>
      </c>
    </row>
    <row r="34" spans="3:35" ht="15.75" thickBot="1" x14ac:dyDescent="0.3">
      <c r="R34" s="67">
        <v>4</v>
      </c>
      <c r="S34" s="68">
        <f t="shared" si="16"/>
        <v>0.99582701588205769</v>
      </c>
      <c r="T34" s="69">
        <f t="shared" si="12"/>
        <v>3.7013456598318823E-3</v>
      </c>
      <c r="U34" s="69">
        <f t="shared" si="12"/>
        <v>4.7163845811042468E-4</v>
      </c>
      <c r="V34" s="70">
        <f t="shared" si="17"/>
        <v>1</v>
      </c>
      <c r="W34" s="69">
        <f t="shared" si="18"/>
        <v>2.7205612618268343E-3</v>
      </c>
      <c r="X34" s="69">
        <f t="shared" si="13"/>
        <v>2.7397869522123631E-2</v>
      </c>
      <c r="Y34" s="69">
        <f t="shared" si="13"/>
        <v>0.96988156921604951</v>
      </c>
      <c r="Z34" s="71">
        <f t="shared" si="19"/>
        <v>1</v>
      </c>
      <c r="AA34" s="31">
        <f>(AB36*(W35-W36)+AA35*(S35-W35))/(S34-W35)</f>
        <v>12.835533964387901</v>
      </c>
      <c r="AB34" s="31">
        <f>AA33+AB35-AA34</f>
        <v>8.8141521164454009</v>
      </c>
      <c r="AC34" s="72">
        <f t="shared" si="20"/>
        <v>2.7319616945891819E-3</v>
      </c>
      <c r="AD34" s="15">
        <f t="shared" si="15"/>
        <v>7.4021375035175883</v>
      </c>
      <c r="AE34" s="73">
        <f t="shared" si="15"/>
        <v>2056.4089983284848</v>
      </c>
      <c r="AG34" t="s">
        <v>62</v>
      </c>
      <c r="AH34" s="74">
        <f>(Z26*AB26+Z27*AB27-AA35*T35)/AB31</f>
        <v>0.55565996974637344</v>
      </c>
    </row>
    <row r="35" spans="3:35" ht="18.75" thickBot="1" x14ac:dyDescent="0.4">
      <c r="C35" s="75" t="s">
        <v>65</v>
      </c>
      <c r="D35" s="76" t="s">
        <v>66</v>
      </c>
      <c r="E35" s="76" t="s">
        <v>67</v>
      </c>
      <c r="F35" s="76" t="s">
        <v>68</v>
      </c>
      <c r="G35" s="76" t="s">
        <v>69</v>
      </c>
      <c r="H35" s="77" t="s">
        <v>70</v>
      </c>
      <c r="J35" s="78"/>
      <c r="R35" s="79">
        <v>5</v>
      </c>
      <c r="S35" s="80">
        <f t="shared" si="16"/>
        <v>0.99668008604767033</v>
      </c>
      <c r="T35" s="81">
        <f t="shared" si="12"/>
        <v>2.8519578938199404E-3</v>
      </c>
      <c r="U35" s="81">
        <f t="shared" si="12"/>
        <v>4.6795605850970441E-4</v>
      </c>
      <c r="V35" s="82">
        <f t="shared" si="17"/>
        <v>1</v>
      </c>
      <c r="W35" s="81">
        <f t="shared" si="18"/>
        <v>2.5187588037497571E-3</v>
      </c>
      <c r="X35" s="81">
        <f>H45</f>
        <v>2.1176266213827139E-2</v>
      </c>
      <c r="Y35" s="81">
        <f t="shared" si="13"/>
        <v>0.97630497498242308</v>
      </c>
      <c r="Z35" s="83">
        <f t="shared" si="19"/>
        <v>1</v>
      </c>
      <c r="AA35" s="31">
        <f>(AA30*(AA26-W31)+AB36*(AA27-W31))/(S35-W31)</f>
        <v>12.802455914177765</v>
      </c>
      <c r="AB35" s="31">
        <f>AA34+AB36-AA35</f>
        <v>8.755882361726874</v>
      </c>
      <c r="AC35" s="84">
        <f t="shared" si="20"/>
        <v>2.5271487200450469E-3</v>
      </c>
      <c r="AD35" s="85">
        <f t="shared" si="15"/>
        <v>7.4251679029746969</v>
      </c>
      <c r="AE35" s="86">
        <f t="shared" si="15"/>
        <v>2086.3176301032472</v>
      </c>
      <c r="AG35" s="32" t="s">
        <v>63</v>
      </c>
      <c r="AH35" s="74">
        <f>(Z26*AB26+Z27*AB27-AB31*X31)/AA35</f>
        <v>2.8519529101099176E-3</v>
      </c>
    </row>
    <row r="36" spans="3:35" ht="15.75" thickBot="1" x14ac:dyDescent="0.3">
      <c r="C36">
        <v>2.1071800296631609</v>
      </c>
      <c r="D36">
        <v>2.8350922655412045</v>
      </c>
      <c r="E36">
        <v>7.2849444468829168</v>
      </c>
      <c r="F36">
        <v>6.1290709297054313</v>
      </c>
      <c r="G36">
        <v>4.0246507210259157</v>
      </c>
      <c r="H36">
        <v>0.21292207917654202</v>
      </c>
      <c r="V36" s="87"/>
      <c r="W36" s="48">
        <f>AA27</f>
        <v>4.0506397868165211E-6</v>
      </c>
      <c r="X36" s="48">
        <f>AB27</f>
        <v>1.9995887431844498E-2</v>
      </c>
      <c r="Y36" s="48">
        <f>AC27</f>
        <v>0.98000000000000009</v>
      </c>
      <c r="Z36" s="88"/>
      <c r="AA36" s="89"/>
      <c r="AB36" s="90">
        <f>Z27</f>
        <v>8.7228043115167377</v>
      </c>
    </row>
    <row r="37" spans="3:35" ht="18.75" thickBot="1" x14ac:dyDescent="0.4">
      <c r="C37" s="75" t="s">
        <v>71</v>
      </c>
      <c r="D37" s="76" t="s">
        <v>72</v>
      </c>
      <c r="E37" s="76" t="s">
        <v>73</v>
      </c>
      <c r="F37" s="76" t="s">
        <v>74</v>
      </c>
      <c r="G37" s="76" t="s">
        <v>75</v>
      </c>
      <c r="H37" s="77" t="s">
        <v>76</v>
      </c>
      <c r="AG37" s="15" t="s">
        <v>77</v>
      </c>
      <c r="AH37" s="15" t="s">
        <v>78</v>
      </c>
      <c r="AI37" t="s">
        <v>79</v>
      </c>
    </row>
    <row r="38" spans="3:35" x14ac:dyDescent="0.25">
      <c r="C38">
        <v>0.43047242445194145</v>
      </c>
      <c r="D38">
        <v>0.32173183009668638</v>
      </c>
      <c r="E38">
        <v>5.425946787469077E-2</v>
      </c>
      <c r="F38">
        <v>8.6153182795249569E-2</v>
      </c>
      <c r="G38">
        <v>0.19991554264238187</v>
      </c>
      <c r="H38">
        <v>0.91835722352796123</v>
      </c>
      <c r="AG38" s="15">
        <f>(AH34-AH31)^2</f>
        <v>1.4088377114336991E-10</v>
      </c>
      <c r="AH38" s="15">
        <f>(AH32-AH35)^2</f>
        <v>1.001359233787609E-9</v>
      </c>
      <c r="AI38">
        <f>AG38+AH38</f>
        <v>1.1422430049309788E-9</v>
      </c>
    </row>
    <row r="39" spans="3:35" ht="15.75" thickBot="1" x14ac:dyDescent="0.3"/>
    <row r="40" spans="3:35" ht="16.5" thickBot="1" x14ac:dyDescent="0.3">
      <c r="C40" s="9" t="s">
        <v>80</v>
      </c>
      <c r="D40" s="10" t="s">
        <v>81</v>
      </c>
      <c r="E40" s="3" t="s">
        <v>82</v>
      </c>
      <c r="G40" s="9" t="s">
        <v>83</v>
      </c>
      <c r="H40" s="10" t="s">
        <v>84</v>
      </c>
      <c r="I40" s="3" t="s">
        <v>85</v>
      </c>
      <c r="L40" s="91" t="s">
        <v>86</v>
      </c>
      <c r="M40" s="92" t="s">
        <v>87</v>
      </c>
      <c r="N40" s="92" t="s">
        <v>88</v>
      </c>
      <c r="O40" s="92" t="s">
        <v>89</v>
      </c>
      <c r="P40" s="92" t="s">
        <v>90</v>
      </c>
      <c r="Q40" s="92" t="s">
        <v>91</v>
      </c>
      <c r="R40" s="92" t="s">
        <v>92</v>
      </c>
      <c r="S40" s="92" t="s">
        <v>93</v>
      </c>
      <c r="T40" s="92" t="s">
        <v>94</v>
      </c>
      <c r="U40" s="92" t="s">
        <v>95</v>
      </c>
      <c r="V40" s="92" t="s">
        <v>96</v>
      </c>
      <c r="W40" s="92" t="s">
        <v>97</v>
      </c>
      <c r="X40" s="92" t="s">
        <v>98</v>
      </c>
      <c r="Y40" s="92" t="s">
        <v>99</v>
      </c>
      <c r="Z40" s="93" t="s">
        <v>100</v>
      </c>
    </row>
    <row r="41" spans="3:35" x14ac:dyDescent="0.25">
      <c r="C41">
        <f>1-D41-E41</f>
        <v>0.86352826855334275</v>
      </c>
      <c r="D41" s="48">
        <v>0.13520022027156783</v>
      </c>
      <c r="E41" s="48">
        <v>1.2715111750893748E-3</v>
      </c>
      <c r="F41" s="48"/>
      <c r="G41" s="48">
        <v>3.6193483343161865E-2</v>
      </c>
      <c r="H41" s="48">
        <v>0.5556599727927245</v>
      </c>
      <c r="I41">
        <f>1-G41-H41</f>
        <v>0.40814654386411364</v>
      </c>
      <c r="L41">
        <f>$C41+$D$38*$D41+$F$38*$E41</f>
        <v>0.90713602758548306</v>
      </c>
      <c r="M41">
        <f>$C$38*$C41+$D41+$H$38*$E41</f>
        <v>0.50809302909095233</v>
      </c>
      <c r="N41">
        <f>$E$38*$C41+$G$38*$D41+$E41</f>
        <v>7.5154720922506857E-2</v>
      </c>
      <c r="O41">
        <f>$D41*$D$36*$D$38+$E41*$F$36*$F$38</f>
        <v>0.12399285836845811</v>
      </c>
      <c r="P41">
        <f>$C41*$C$36*$C$38+$E41*$H$36*$H$38</f>
        <v>0.78354035215124584</v>
      </c>
      <c r="Q41">
        <f>$C41*$E$36*$E$38+$D41*$G$36*$G$38</f>
        <v>0.4501138207540456</v>
      </c>
      <c r="R41">
        <f>(O41/L41)-(C41*O41/L41^2)+(D41*$C$38/M41)*($C$36-P41/M41)+(E41*$E$38/N41)*($E$36-Q41/N41)</f>
        <v>7.2485597188914605E-2</v>
      </c>
      <c r="S41">
        <f>(P41/M41)-(D41*P41/M41^2)+(C41*$D$38/L41)*($D$36-O41/L41)+(E41*$G$38/N41)*($G$36-Q41/N41)</f>
        <v>1.9515562508131068</v>
      </c>
      <c r="T41">
        <f>(Q41/N41)-(E41*Q41/N41^2)+(C41*$F$38/L41)*($F$36-O41/L41)+(D41*$H$38/M41)*($H$36-P41/M41)</f>
        <v>6.0544649441149483</v>
      </c>
      <c r="U41">
        <f>EXP(R41)</f>
        <v>1.0751773204028074</v>
      </c>
      <c r="V41">
        <f>EXP(S41)</f>
        <v>7.039634497216233</v>
      </c>
      <c r="W41">
        <f>EXP(T41)</f>
        <v>426.01090482178557</v>
      </c>
      <c r="X41">
        <f>U41/U47</f>
        <v>4.191348987732333E-2</v>
      </c>
      <c r="Y41">
        <f>V41/V47</f>
        <v>4.1099043446624588</v>
      </c>
      <c r="Z41">
        <f>W41/W47</f>
        <v>320.9932804067177</v>
      </c>
    </row>
    <row r="42" spans="3:35" x14ac:dyDescent="0.25">
      <c r="C42">
        <f t="shared" ref="C42:C45" si="21">1-D42-E42</f>
        <v>0.96943386175864799</v>
      </c>
      <c r="D42">
        <v>2.9974023045598208E-2</v>
      </c>
      <c r="E42" s="48">
        <v>5.9211519575375093E-4</v>
      </c>
      <c r="G42" s="48">
        <v>1.3821917754116602E-2</v>
      </c>
      <c r="H42">
        <v>0.19862474515232009</v>
      </c>
      <c r="I42">
        <f t="shared" ref="I42:I45" si="22">1-G42-H42</f>
        <v>0.78755333709356334</v>
      </c>
      <c r="L42">
        <f>$C42+$D$38*$D42+$F$38*$E42</f>
        <v>0.97912847165716421</v>
      </c>
      <c r="M42">
        <f t="shared" ref="M42:M45" si="23">$C$38*$C42+$D42+$H$38*$E42</f>
        <v>0.44783234112983278</v>
      </c>
      <c r="N42">
        <f t="shared" ref="N42:N45" si="24">$E$38*$C42+$G$38*$D42+$E42</f>
        <v>5.9185353756820547E-2</v>
      </c>
      <c r="O42">
        <f t="shared" ref="O42:O45" si="25">$D42*$D$36*$D$38+$E42*$F$36*$F$38</f>
        <v>2.7653147985369157E-2</v>
      </c>
      <c r="P42">
        <f t="shared" ref="P42:P45" si="26">$C42*$C$36*$C$38+$E42*$H$36*$H$38</f>
        <v>0.87947265626111604</v>
      </c>
      <c r="Q42">
        <f t="shared" ref="Q42:Q45" si="27">$C42*$E$36*$E$38+$D42*$G$36*$G$38</f>
        <v>0.40731191754636764</v>
      </c>
      <c r="R42">
        <f>(O42/L42)-(C42*O42/L42^2)+(D42*$C$38/M42)*($C$36-P42/M42)+(E42*$E$38/N42)*($E$36-Q42/N42)</f>
        <v>4.6282101739177385E-3</v>
      </c>
      <c r="S42">
        <f>(P42/M42)-(D42*P42/M42^2)+(C42*$D$38/L42)*($D$36-O42/L42)+(E42*$G$38/N42)*($G$36-Q42/N42)</f>
        <v>2.7207976100014237</v>
      </c>
      <c r="T42">
        <f>(Q42/N42)-(E42*Q42/N42^2)+(C42*$F$38/L42)*($F$36-O42/L42)+(D42*$H$38/M42)*($H$36-P42/M42)</f>
        <v>7.2258992762664427</v>
      </c>
      <c r="U42">
        <f t="shared" ref="U42:W45" si="28">EXP(R42)</f>
        <v>1.0046389368807247</v>
      </c>
      <c r="V42">
        <f t="shared" si="28"/>
        <v>15.19243505180709</v>
      </c>
      <c r="W42">
        <f t="shared" si="28"/>
        <v>1374.5741819264717</v>
      </c>
      <c r="X42">
        <f t="shared" ref="X42:Z45" si="29">U42/U48</f>
        <v>1.425772120918857E-2</v>
      </c>
      <c r="Y42">
        <f t="shared" si="29"/>
        <v>6.6265627688290785</v>
      </c>
      <c r="Z42">
        <f t="shared" si="29"/>
        <v>1330.0677669914767</v>
      </c>
    </row>
    <row r="43" spans="3:35" x14ac:dyDescent="0.25">
      <c r="C43">
        <f t="shared" si="21"/>
        <v>0.99147600262336011</v>
      </c>
      <c r="D43">
        <v>8.0333813028200356E-3</v>
      </c>
      <c r="E43" s="48">
        <v>4.9061607381980718E-4</v>
      </c>
      <c r="G43" s="48">
        <v>3.8975899729265014E-3</v>
      </c>
      <c r="H43">
        <v>5.8506168228089905E-2</v>
      </c>
      <c r="I43">
        <f t="shared" si="22"/>
        <v>0.9375962417989836</v>
      </c>
      <c r="L43">
        <f t="shared" ref="L43:L45" si="30">$C43+$D$38*$D43+$F$38*$E43</f>
        <v>0.9941028652280709</v>
      </c>
      <c r="M43">
        <f t="shared" si="23"/>
        <v>0.43528702075338871</v>
      </c>
      <c r="N43">
        <f t="shared" si="24"/>
        <v>5.5893574169095267E-2</v>
      </c>
      <c r="O43">
        <f t="shared" si="25"/>
        <v>7.5866281923687613E-3</v>
      </c>
      <c r="P43">
        <f t="shared" si="26"/>
        <v>0.89944685824444781</v>
      </c>
      <c r="Q43">
        <f t="shared" si="27"/>
        <v>0.39837144742334402</v>
      </c>
      <c r="R43">
        <f>(O43/L43)-(C43*O43/L43^2)+(D43*$C$38/M43)*($C$36-P43/M43)+(E43*$E$38/N43)*($E$36-Q43/N43)</f>
        <v>4.1976780751000952E-4</v>
      </c>
      <c r="S43">
        <f>(P43/M43)-(D43*P43/M43^2)+(C43*$D$38/L43)*($D$36-O43/L43)+(E43*$G$38/N43)*($G$36-Q43/N43)</f>
        <v>2.930031381185477</v>
      </c>
      <c r="T43">
        <f>(Q43/N43)-(E43*Q43/N43^2)+(C43*$F$38/L43)*($F$36-O43/L43)+(D43*$H$38/M43)*($H$36-P43/M43)</f>
        <v>7.5593348687270092</v>
      </c>
      <c r="U43">
        <f t="shared" si="28"/>
        <v>1.0004198559223449</v>
      </c>
      <c r="V43">
        <f t="shared" si="28"/>
        <v>18.728218201140461</v>
      </c>
      <c r="W43">
        <f t="shared" si="28"/>
        <v>1918.5689886586197</v>
      </c>
      <c r="X43">
        <f t="shared" si="29"/>
        <v>3.9310986461705919E-3</v>
      </c>
      <c r="Y43">
        <f t="shared" si="29"/>
        <v>7.2828820171613682</v>
      </c>
      <c r="Z43">
        <f t="shared" si="29"/>
        <v>1911.058954027882</v>
      </c>
    </row>
    <row r="44" spans="3:35" x14ac:dyDescent="0.25">
      <c r="C44">
        <f t="shared" si="21"/>
        <v>0.99582701588205769</v>
      </c>
      <c r="D44">
        <v>3.7013456598318823E-3</v>
      </c>
      <c r="E44" s="48">
        <v>4.7163845811042468E-4</v>
      </c>
      <c r="G44" s="48">
        <v>2.7205612618268343E-3</v>
      </c>
      <c r="H44">
        <v>2.7397869522123631E-2</v>
      </c>
      <c r="I44">
        <f t="shared" si="22"/>
        <v>0.96988156921604951</v>
      </c>
      <c r="L44">
        <f t="shared" si="30"/>
        <v>0.99705848974931066</v>
      </c>
      <c r="M44">
        <f t="shared" si="23"/>
        <v>0.43281054810622255</v>
      </c>
      <c r="N44">
        <f t="shared" si="24"/>
        <v>5.5244638961204427E-2</v>
      </c>
      <c r="O44">
        <f t="shared" si="25"/>
        <v>3.6251867795700364E-3</v>
      </c>
      <c r="P44">
        <f t="shared" si="26"/>
        <v>0.90338987709716034</v>
      </c>
      <c r="Q44">
        <f t="shared" si="27"/>
        <v>0.3966057902347041</v>
      </c>
      <c r="R44">
        <f>(O44/L44)-(C44*O44/L44^2)+(D44*$C$38/M44)*($C$36-P44/M44)+(E44*$E$38/N44)*($E$36-Q44/N44)</f>
        <v>1.268470256011754E-4</v>
      </c>
      <c r="S44">
        <f>(P44/M44)-(D44*P44/M44^2)+(C44*$D$38/L44)*($D$36-O44/L44)+(E44*$G$38/N44)*($G$36-Q44/N44)</f>
        <v>2.973874689716645</v>
      </c>
      <c r="T44">
        <f>(Q44/N44)-(E44*Q44/N44^2)+(C44*$F$38/L44)*($F$36-O44/L44)+(D44*$H$38/M44)*($H$36-P44/M44)</f>
        <v>7.6301456157948531</v>
      </c>
      <c r="U44">
        <f t="shared" si="28"/>
        <v>1.0001268550710254</v>
      </c>
      <c r="V44">
        <f t="shared" si="28"/>
        <v>19.567591243852455</v>
      </c>
      <c r="W44">
        <f t="shared" si="28"/>
        <v>2059.3498718736914</v>
      </c>
      <c r="X44">
        <f t="shared" si="29"/>
        <v>2.7319616944071279E-3</v>
      </c>
      <c r="Y44">
        <f t="shared" si="29"/>
        <v>7.4021375034606498</v>
      </c>
      <c r="Z44">
        <f t="shared" si="29"/>
        <v>2056.4089963270335</v>
      </c>
    </row>
    <row r="45" spans="3:35" ht="15.75" thickBot="1" x14ac:dyDescent="0.3">
      <c r="C45">
        <f t="shared" si="21"/>
        <v>0.99668008604767033</v>
      </c>
      <c r="D45">
        <v>2.8519578938199404E-3</v>
      </c>
      <c r="E45" s="48">
        <v>4.6795605850970441E-4</v>
      </c>
      <c r="G45" s="48">
        <v>2.5187588037497571E-3</v>
      </c>
      <c r="H45">
        <v>2.1176266213827139E-2</v>
      </c>
      <c r="I45">
        <f t="shared" si="22"/>
        <v>0.97630497498242308</v>
      </c>
      <c r="L45">
        <f t="shared" si="30"/>
        <v>0.99763796758405665</v>
      </c>
      <c r="M45">
        <f t="shared" si="23"/>
        <v>0.43232500176435623</v>
      </c>
      <c r="N45">
        <f t="shared" si="24"/>
        <v>5.5117437878693547E-2</v>
      </c>
      <c r="O45">
        <f t="shared" si="25"/>
        <v>2.848482262218433E-3</v>
      </c>
      <c r="P45">
        <f t="shared" si="26"/>
        <v>0.90416296240257998</v>
      </c>
      <c r="Q45">
        <f t="shared" si="27"/>
        <v>0.39625958032857911</v>
      </c>
      <c r="R45">
        <f>(O45/L45)-(C45*O45/L45^2)+(D45*$C$38/M45)*($C$36-P45/M45)+(E45*$E$38/N45)*($E$36-Q45/N45)</f>
        <v>9.1591798979309767E-5</v>
      </c>
      <c r="S45">
        <f>(P45/M45)-(D45*P45/M45^2)+(C45*$D$38/L45)*($D$36-O45/L45)+(E45*$G$38/N45)*($G$36-Q45/N45)</f>
        <v>2.9825742896620482</v>
      </c>
      <c r="T45">
        <f>(Q45/N45)-(E45*Q45/N45^2)+(C45*$F$38/L45)*($F$36-O45/L45)+(D45*$H$38/M45)*($H$36-P45/M45)</f>
        <v>7.6442357685854043</v>
      </c>
      <c r="U45">
        <f t="shared" si="28"/>
        <v>1.0000915959936363</v>
      </c>
      <c r="V45">
        <f t="shared" si="28"/>
        <v>19.738564078891709</v>
      </c>
      <c r="W45">
        <f t="shared" si="28"/>
        <v>2088.5718135723473</v>
      </c>
      <c r="X45">
        <f t="shared" si="29"/>
        <v>2.5271487199995664E-3</v>
      </c>
      <c r="Y45">
        <f t="shared" si="29"/>
        <v>7.42516790292468</v>
      </c>
      <c r="Z45">
        <f t="shared" si="29"/>
        <v>2086.3176280829603</v>
      </c>
    </row>
    <row r="46" spans="3:35" ht="16.5" thickBot="1" x14ac:dyDescent="0.3">
      <c r="L46" s="91" t="s">
        <v>101</v>
      </c>
      <c r="M46" s="92" t="s">
        <v>102</v>
      </c>
      <c r="N46" s="92" t="s">
        <v>103</v>
      </c>
      <c r="O46" s="92" t="s">
        <v>104</v>
      </c>
      <c r="P46" s="92" t="s">
        <v>105</v>
      </c>
      <c r="Q46" s="92" t="s">
        <v>106</v>
      </c>
      <c r="R46" s="92" t="s">
        <v>107</v>
      </c>
      <c r="S46" s="92" t="s">
        <v>108</v>
      </c>
      <c r="T46" s="92" t="s">
        <v>109</v>
      </c>
      <c r="U46" s="92" t="s">
        <v>110</v>
      </c>
      <c r="V46" s="92" t="s">
        <v>111</v>
      </c>
      <c r="W46" s="92" t="s">
        <v>112</v>
      </c>
      <c r="X46" s="92" t="s">
        <v>113</v>
      </c>
      <c r="Y46" s="92" t="s">
        <v>114</v>
      </c>
      <c r="Z46" s="93" t="s">
        <v>115</v>
      </c>
    </row>
    <row r="47" spans="3:35" ht="15.75" thickBot="1" x14ac:dyDescent="0.3">
      <c r="L47">
        <f>$G41+$D$38*$H41+$F$38*$I41</f>
        <v>0.25013010710201439</v>
      </c>
      <c r="M47">
        <f>$C$38*$G41+$H41+$H$38*$I41</f>
        <v>0.94606459613239702</v>
      </c>
      <c r="N47">
        <f>$E$38*$G41+$G$38*$H41+$I41</f>
        <v>0.52119544799635376</v>
      </c>
      <c r="O47">
        <f>$H41*$D$36*$D$38+$I41*$F$36*$F$38</f>
        <v>0.72235664689983747</v>
      </c>
      <c r="P47">
        <f>$G41*$C$36*$C$38+$I41*$H$36*$H$38</f>
        <v>0.11263886468331782</v>
      </c>
      <c r="Q47">
        <f>$G41*$E$36*$E$38+$H41*$G$36*$G$38</f>
        <v>0.46138504597569069</v>
      </c>
      <c r="R47">
        <f>(O47/L47)-(G41*O47/L47^2)+(H41*$C$38/M47)*($C$36-P47/M47)+(I41*$E$38/N47)*($E$36-Q47/N47)</f>
        <v>3.244633146946335</v>
      </c>
      <c r="S47">
        <f>(P47/M47)-(H41*P47/M47^2)+(G41*$D$38/L47)*($D$36-O47/L47)+(I41*$G$38/N47)*($G$36-Q47/N47)</f>
        <v>0.5381564963805574</v>
      </c>
      <c r="T47">
        <f>(Q47/N47)-(I41*Q47/N47^2)+(G41*$F$38/L47)*($F$36-O47/L47)+(H41*$H$38/M47)*($H$36-P47/M47)</f>
        <v>0.28304475451644318</v>
      </c>
      <c r="U47">
        <f>EXP(R47)</f>
        <v>25.652297710110656</v>
      </c>
      <c r="V47">
        <f>EXP(S47)</f>
        <v>1.7128463114618766</v>
      </c>
      <c r="W47">
        <f>EXP(T47)</f>
        <v>1.3271645570960371</v>
      </c>
      <c r="X47">
        <f>U47/U41</f>
        <v>23.858667052705506</v>
      </c>
      <c r="Y47">
        <f>V47/V41</f>
        <v>0.24331466529110396</v>
      </c>
      <c r="Z47">
        <f>W47/W41</f>
        <v>3.11533001168417E-3</v>
      </c>
    </row>
    <row r="48" spans="3:35" ht="15.75" thickBot="1" x14ac:dyDescent="0.3">
      <c r="C48" s="94" t="s">
        <v>116</v>
      </c>
      <c r="D48" s="95"/>
      <c r="E48" s="95"/>
      <c r="F48" s="95"/>
      <c r="G48" s="95"/>
      <c r="H48" s="95"/>
      <c r="I48" s="96"/>
      <c r="L48">
        <f t="shared" ref="L48:L51" si="31">$G42+$D$38*$H42+$F$38*$I42</f>
        <v>0.14557604712609107</v>
      </c>
      <c r="M48">
        <f t="shared" ref="M48:M51" si="32">$C$38*$G42+$H42+$H$38*$I42</f>
        <v>0.92782999563193536</v>
      </c>
      <c r="N48">
        <f t="shared" ref="N48:N51" si="33">$E$38*$G42+$G$38*$H42+$I42</f>
        <v>0.82801148070524033</v>
      </c>
      <c r="O48">
        <f t="shared" ref="O48:O51" si="34">$H42*$D$36*$D$38+$I42*$F$36*$F$38</f>
        <v>0.59703231195301887</v>
      </c>
      <c r="P48">
        <f t="shared" ref="P48:P51" si="35">$G42*$C$36*$C$38+$I42*$H$36*$H$38</f>
        <v>0.16653464659329922</v>
      </c>
      <c r="Q48">
        <f t="shared" ref="Q48:Q51" si="36">$G42*$E$36*$E$38+$H42*$G$36*$G$38</f>
        <v>0.16527501902530642</v>
      </c>
      <c r="R48">
        <f>(O48/L48)-(G42*O48/L48^2)+(H42*$C$38/M48)*($C$36-P48/M48)+(I42*$E$38/N48)*($E$36-Q48/N48)</f>
        <v>4.2550848899419691</v>
      </c>
      <c r="S48">
        <f>(P48/M48)-(H42*P48/M48^2)+(G42*$D$38/L48)*($D$36-O48/L48)+(I42*$G$38/N48)*($G$36-Q48/N48)</f>
        <v>0.82971137631214531</v>
      </c>
      <c r="T48">
        <f>(Q48/N48)-(I42*Q48/N48^2)+(G42*$F$38/L48)*($F$36-O48/L48)+(H42*$H$38/M48)*($H$36-P48/M48)</f>
        <v>3.2914103723513624E-2</v>
      </c>
      <c r="U48">
        <f t="shared" ref="U48:W51" si="37">EXP(R48)</f>
        <v>70.462798517428737</v>
      </c>
      <c r="V48">
        <f t="shared" si="37"/>
        <v>2.2926569296636439</v>
      </c>
      <c r="W48">
        <f t="shared" si="37"/>
        <v>1.033461764911171</v>
      </c>
      <c r="X48">
        <f t="shared" ref="X48:Z51" si="38">U48/U42</f>
        <v>70.13743538171704</v>
      </c>
      <c r="Y48">
        <f t="shared" si="38"/>
        <v>0.15090779864093873</v>
      </c>
      <c r="Z48">
        <f t="shared" si="38"/>
        <v>7.5184139095553926E-4</v>
      </c>
    </row>
    <row r="49" spans="2:26" ht="15.75" thickBot="1" x14ac:dyDescent="0.3">
      <c r="B49" s="11" t="s">
        <v>117</v>
      </c>
      <c r="C49" s="10" t="s">
        <v>80</v>
      </c>
      <c r="D49" s="10" t="s">
        <v>81</v>
      </c>
      <c r="E49" s="10" t="s">
        <v>82</v>
      </c>
      <c r="F49" s="10"/>
      <c r="G49" s="10" t="s">
        <v>83</v>
      </c>
      <c r="H49" s="10" t="s">
        <v>84</v>
      </c>
      <c r="I49" s="10" t="s">
        <v>118</v>
      </c>
      <c r="J49" s="11" t="s">
        <v>117</v>
      </c>
      <c r="L49">
        <f t="shared" si="31"/>
        <v>0.10349778695674133</v>
      </c>
      <c r="M49">
        <f t="shared" si="32"/>
        <v>0.92123225464202074</v>
      </c>
      <c r="N49">
        <f t="shared" si="33"/>
        <v>0.94950401532615336</v>
      </c>
      <c r="O49">
        <f t="shared" si="34"/>
        <v>0.54845313461596001</v>
      </c>
      <c r="P49">
        <f t="shared" si="35"/>
        <v>0.18687162754949571</v>
      </c>
      <c r="Q49">
        <f t="shared" si="36"/>
        <v>4.8614120004256176E-2</v>
      </c>
      <c r="R49">
        <f>(O49/L49)-(G43*O49/L49^2)+(H43*$C$38/M49)*($C$36-P49/M49)+(I43*$E$38/N49)*($E$36-Q49/N49)</f>
        <v>5.5392561062433661</v>
      </c>
      <c r="S49">
        <f>(P49/M49)-(H43*P49/M49^2)+(G43*$D$38/L49)*($D$36-O49/L49)+(I43*$G$38/N49)*($G$36-Q49/N49)</f>
        <v>0.94450471583907003</v>
      </c>
      <c r="T49">
        <f>(Q49/N49)-(I43*Q49/N49^2)+(G43*$F$38/L49)*($F$36-O49/L49)+(H43*$H$38/M49)*($H$36-P49/M49)</f>
        <v>3.9220751311423276E-3</v>
      </c>
      <c r="U49">
        <f t="shared" si="37"/>
        <v>254.48861653392638</v>
      </c>
      <c r="V49">
        <f t="shared" si="37"/>
        <v>2.5715394203845849</v>
      </c>
      <c r="W49">
        <f t="shared" si="37"/>
        <v>1.0039297765330102</v>
      </c>
      <c r="X49">
        <f t="shared" si="38"/>
        <v>254.38181282327568</v>
      </c>
      <c r="Y49">
        <f t="shared" si="38"/>
        <v>0.13730827955795549</v>
      </c>
      <c r="Z49">
        <f t="shared" si="38"/>
        <v>5.2327009477773031E-4</v>
      </c>
    </row>
    <row r="50" spans="2:26" x14ac:dyDescent="0.25">
      <c r="B50" s="97">
        <f>SUM(C50:E50)</f>
        <v>1.0000000000351321</v>
      </c>
      <c r="C50">
        <f>G41*X47</f>
        <v>0.86352826856214149</v>
      </c>
      <c r="D50">
        <f>H41*Y47</f>
        <v>0.1352002202957257</v>
      </c>
      <c r="E50">
        <f>I41*Z47</f>
        <v>1.2715111772650428E-3</v>
      </c>
      <c r="G50">
        <f>C41*X41</f>
        <v>3.619348334279307E-2</v>
      </c>
      <c r="H50">
        <f>D41*Y41</f>
        <v>0.55565997269343803</v>
      </c>
      <c r="I50">
        <f>E41*Z41</f>
        <v>0.40814654316573878</v>
      </c>
      <c r="J50" s="97">
        <f>SUM(G50:I50)</f>
        <v>0.99999999920196991</v>
      </c>
      <c r="L50">
        <f t="shared" si="31"/>
        <v>9.5093712086343707E-2</v>
      </c>
      <c r="M50">
        <f t="shared" si="32"/>
        <v>0.91926674118056562</v>
      </c>
      <c r="N50">
        <f t="shared" si="33"/>
        <v>0.97550644537519726</v>
      </c>
      <c r="O50">
        <f t="shared" si="34"/>
        <v>0.53712593995752889</v>
      </c>
      <c r="P50">
        <f t="shared" si="35"/>
        <v>0.19211699038368782</v>
      </c>
      <c r="Q50">
        <f t="shared" si="36"/>
        <v>2.3119434081114512E-2</v>
      </c>
      <c r="R50">
        <f>(O50/L50)-(G44*O50/L50^2)+(H44*$C$38/M50)*($C$36-P50/M50)+(I44*$E$38/N50)*($E$36-Q50/N50)</f>
        <v>5.9028622054783373</v>
      </c>
      <c r="S50">
        <f>(P50/M50)-(H44*P50/M50^2)+(G44*$D$38/L50)*($D$36-O50/L50)+(I44*$G$38/N50)*($G$36-Q50/N50)</f>
        <v>0.97210587939716919</v>
      </c>
      <c r="T50">
        <f>(Q50/N50)-(I44*Q50/N50^2)+(G44*$F$38/L50)*($F$36-O50/L50)+(H44*$H$38/M50)*($H$36-P50/M50)</f>
        <v>1.4290808287559186E-3</v>
      </c>
      <c r="U50">
        <f t="shared" si="37"/>
        <v>366.08377676688701</v>
      </c>
      <c r="V50">
        <f t="shared" si="37"/>
        <v>2.6435055056332319</v>
      </c>
      <c r="W50">
        <f t="shared" si="37"/>
        <v>1.0014301024513659</v>
      </c>
      <c r="X50">
        <f t="shared" si="38"/>
        <v>366.03734307373344</v>
      </c>
      <c r="Y50">
        <f t="shared" si="38"/>
        <v>0.13509611237733421</v>
      </c>
      <c r="Z50">
        <f t="shared" si="38"/>
        <v>4.8628458725190712E-4</v>
      </c>
    </row>
    <row r="51" spans="2:26" x14ac:dyDescent="0.25">
      <c r="B51" s="97">
        <f t="shared" ref="B51:B54" si="39">SUM(C51:E51)</f>
        <v>1.0000000015737267</v>
      </c>
      <c r="C51">
        <f t="shared" ref="C51:E54" si="40">G42*X48</f>
        <v>0.96943386333076065</v>
      </c>
      <c r="D51">
        <f t="shared" si="40"/>
        <v>2.9974023046554093E-2</v>
      </c>
      <c r="E51">
        <f t="shared" si="40"/>
        <v>5.9211519641210136E-4</v>
      </c>
      <c r="G51">
        <f t="shared" ref="G51:I54" si="41">C42*X42</f>
        <v>1.3821917731701857E-2</v>
      </c>
      <c r="H51">
        <f t="shared" si="41"/>
        <v>0.19862474514598588</v>
      </c>
      <c r="I51">
        <f t="shared" si="41"/>
        <v>0.78755333621791257</v>
      </c>
      <c r="J51" s="97">
        <f t="shared" ref="J51:J54" si="42">SUM(G51:I51)</f>
        <v>0.99999999909560033</v>
      </c>
      <c r="L51">
        <f t="shared" si="31"/>
        <v>9.3443618660911235E-2</v>
      </c>
      <c r="M51">
        <f t="shared" si="32"/>
        <v>0.91885724856408069</v>
      </c>
      <c r="N51">
        <f t="shared" si="33"/>
        <v>0.980675106246096</v>
      </c>
      <c r="O51">
        <f t="shared" si="34"/>
        <v>0.53484277885825804</v>
      </c>
      <c r="P51">
        <f t="shared" si="35"/>
        <v>0.1931899621432539</v>
      </c>
      <c r="Q51">
        <f t="shared" si="36"/>
        <v>1.8033824914219152E-2</v>
      </c>
      <c r="R51">
        <f>(O51/L51)-(G45*O51/L51^2)+(H45*$C$38/M51)*($C$36-P51/M51)+(I45*$E$38/N51)*($E$36-Q51/N51)</f>
        <v>5.9807551917128219</v>
      </c>
      <c r="S51">
        <f>(P51/M51)-(H45*P51/M51^2)+(G45*$D$38/L51)*($D$36-O51/L51)+(I45*$G$38/N51)*($G$36-Q51/N51)</f>
        <v>0.97769899204045008</v>
      </c>
      <c r="T51">
        <f>(Q51/N51)-(I45*Q51/N51^2)+(G45*$F$38/L51)*($F$36-O51/L51)+(H45*$H$38/M51)*($H$36-P51/M51)</f>
        <v>1.0798780374652974E-3</v>
      </c>
      <c r="U51">
        <f t="shared" si="37"/>
        <v>395.73911423535372</v>
      </c>
      <c r="V51">
        <f t="shared" si="37"/>
        <v>2.6583323551669369</v>
      </c>
      <c r="W51">
        <f t="shared" si="37"/>
        <v>1.0010804613156907</v>
      </c>
      <c r="X51">
        <f t="shared" si="38"/>
        <v>395.70286943784282</v>
      </c>
      <c r="Y51">
        <f t="shared" si="38"/>
        <v>0.13467708920172872</v>
      </c>
      <c r="Z51">
        <f t="shared" si="38"/>
        <v>4.7931340201485184E-4</v>
      </c>
    </row>
    <row r="52" spans="2:26" x14ac:dyDescent="0.25">
      <c r="B52" s="97">
        <f t="shared" si="39"/>
        <v>1.0000000003321021</v>
      </c>
      <c r="C52">
        <f t="shared" si="40"/>
        <v>0.99147600295486538</v>
      </c>
      <c r="D52">
        <f t="shared" si="40"/>
        <v>8.0333813029273421E-3</v>
      </c>
      <c r="E52">
        <f t="shared" si="40"/>
        <v>4.9061607430939786E-4</v>
      </c>
      <c r="G52">
        <f t="shared" si="41"/>
        <v>3.8975899716233212E-3</v>
      </c>
      <c r="H52">
        <f t="shared" si="41"/>
        <v>5.8506168227308399E-2</v>
      </c>
      <c r="I52">
        <f t="shared" si="41"/>
        <v>0.93759624086334681</v>
      </c>
      <c r="J52" s="97">
        <f t="shared" si="42"/>
        <v>0.99999999906227854</v>
      </c>
    </row>
    <row r="53" spans="2:26" x14ac:dyDescent="0.25">
      <c r="B53" s="97">
        <f t="shared" si="39"/>
        <v>1.0000000000668479</v>
      </c>
      <c r="C53">
        <f t="shared" si="40"/>
        <v>0.99582701594841805</v>
      </c>
      <c r="D53">
        <f t="shared" si="40"/>
        <v>3.7013456598603538E-3</v>
      </c>
      <c r="E53">
        <f t="shared" si="40"/>
        <v>4.7163845856945864E-4</v>
      </c>
      <c r="G53">
        <f t="shared" si="41"/>
        <v>2.7205612616455401E-3</v>
      </c>
      <c r="H53">
        <f t="shared" si="41"/>
        <v>2.7397869521912879E-2</v>
      </c>
      <c r="I53">
        <f t="shared" si="41"/>
        <v>0.96988156827208805</v>
      </c>
      <c r="J53" s="97">
        <f t="shared" si="42"/>
        <v>0.99999999905564652</v>
      </c>
    </row>
    <row r="54" spans="2:26" x14ac:dyDescent="0.25">
      <c r="B54" s="97">
        <f t="shared" si="39"/>
        <v>1.0000000000184093</v>
      </c>
      <c r="C54">
        <f t="shared" si="40"/>
        <v>0.99668008606560732</v>
      </c>
      <c r="D54">
        <f t="shared" si="40"/>
        <v>2.8519578938391516E-3</v>
      </c>
      <c r="E54">
        <f t="shared" si="40"/>
        <v>4.6795605896285001E-4</v>
      </c>
      <c r="G54">
        <f t="shared" si="41"/>
        <v>2.5187588037044279E-3</v>
      </c>
      <c r="H54">
        <f t="shared" si="41"/>
        <v>2.1176266213684493E-2</v>
      </c>
      <c r="I54">
        <f t="shared" si="41"/>
        <v>0.97630497403701744</v>
      </c>
      <c r="J54" s="97">
        <f t="shared" si="42"/>
        <v>0.9999999990544064</v>
      </c>
    </row>
    <row r="55" spans="2:26" ht="15.75" thickBot="1" x14ac:dyDescent="0.3"/>
    <row r="56" spans="2:26" ht="15.75" thickBot="1" x14ac:dyDescent="0.3">
      <c r="C56" s="1" t="s">
        <v>119</v>
      </c>
      <c r="D56" s="2"/>
      <c r="E56" s="2"/>
      <c r="F56" s="2"/>
      <c r="G56" s="2"/>
      <c r="H56" s="2"/>
      <c r="I56" s="98"/>
    </row>
    <row r="57" spans="2:26" ht="15.75" thickBot="1" x14ac:dyDescent="0.3">
      <c r="C57" s="9" t="s">
        <v>120</v>
      </c>
      <c r="D57" s="10" t="s">
        <v>121</v>
      </c>
      <c r="E57" s="3" t="s">
        <v>122</v>
      </c>
      <c r="G57" s="9" t="s">
        <v>120</v>
      </c>
      <c r="H57" s="10" t="s">
        <v>121</v>
      </c>
      <c r="I57" s="3" t="s">
        <v>122</v>
      </c>
    </row>
    <row r="58" spans="2:26" x14ac:dyDescent="0.25">
      <c r="C58">
        <f>(C41+C50)/2</f>
        <v>0.86352826855774212</v>
      </c>
      <c r="D58">
        <f>(D41+D50)/2</f>
        <v>0.13520022028364675</v>
      </c>
      <c r="E58">
        <f>(E41+E50)/2</f>
        <v>1.2715111761772088E-3</v>
      </c>
      <c r="G58">
        <f>(G41+G50)/2</f>
        <v>3.6193483342977464E-2</v>
      </c>
      <c r="H58">
        <f>(H41+H50)/2</f>
        <v>0.55565997274308132</v>
      </c>
      <c r="I58">
        <f>(I41+I50)/2</f>
        <v>0.40814654351492619</v>
      </c>
    </row>
    <row r="59" spans="2:26" x14ac:dyDescent="0.25">
      <c r="C59">
        <f t="shared" ref="C59:E62" si="43">(C42+C51)/2</f>
        <v>0.96943386254470432</v>
      </c>
      <c r="D59">
        <f t="shared" si="43"/>
        <v>2.9974023046076152E-2</v>
      </c>
      <c r="E59">
        <f t="shared" si="43"/>
        <v>5.921151960829262E-4</v>
      </c>
      <c r="G59">
        <f t="shared" ref="G59:I62" si="44">(G42+G51)/2</f>
        <v>1.382191774290923E-2</v>
      </c>
      <c r="H59">
        <f t="shared" si="44"/>
        <v>0.19862474514915299</v>
      </c>
      <c r="I59">
        <f t="shared" si="44"/>
        <v>0.7875533366557379</v>
      </c>
    </row>
    <row r="60" spans="2:26" x14ac:dyDescent="0.25">
      <c r="C60">
        <f t="shared" si="43"/>
        <v>0.99147600278911274</v>
      </c>
      <c r="D60">
        <f t="shared" si="43"/>
        <v>8.0333813028736888E-3</v>
      </c>
      <c r="E60">
        <f t="shared" si="43"/>
        <v>4.9061607406460247E-4</v>
      </c>
      <c r="G60">
        <f t="shared" si="44"/>
        <v>3.8975899722749115E-3</v>
      </c>
      <c r="H60">
        <f t="shared" si="44"/>
        <v>5.8506168227699148E-2</v>
      </c>
      <c r="I60">
        <f t="shared" si="44"/>
        <v>0.93759624133116515</v>
      </c>
    </row>
    <row r="61" spans="2:26" x14ac:dyDescent="0.25">
      <c r="C61">
        <f t="shared" si="43"/>
        <v>0.99582701591523781</v>
      </c>
      <c r="D61">
        <f t="shared" si="43"/>
        <v>3.7013456598461178E-3</v>
      </c>
      <c r="E61">
        <f t="shared" si="43"/>
        <v>4.7163845833994166E-4</v>
      </c>
      <c r="G61">
        <f t="shared" si="44"/>
        <v>2.7205612617361872E-3</v>
      </c>
      <c r="H61">
        <f t="shared" si="44"/>
        <v>2.7397869522018253E-2</v>
      </c>
      <c r="I61">
        <f t="shared" si="44"/>
        <v>0.96988156874406872</v>
      </c>
    </row>
    <row r="62" spans="2:26" x14ac:dyDescent="0.25">
      <c r="C62">
        <f t="shared" si="43"/>
        <v>0.99668008605663883</v>
      </c>
      <c r="D62">
        <f t="shared" si="43"/>
        <v>2.851957893829546E-3</v>
      </c>
      <c r="E62">
        <f t="shared" si="43"/>
        <v>4.6795605873627718E-4</v>
      </c>
      <c r="G62">
        <f t="shared" si="44"/>
        <v>2.5187588037270925E-3</v>
      </c>
      <c r="H62">
        <f t="shared" si="44"/>
        <v>2.1176266213755818E-2</v>
      </c>
      <c r="I62">
        <f t="shared" si="44"/>
        <v>0.97630497450972031</v>
      </c>
    </row>
  </sheetData>
  <mergeCells count="3">
    <mergeCell ref="AD4:AD5"/>
    <mergeCell ref="AD6:AD7"/>
    <mergeCell ref="C48:I4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2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62"/>
  <sheetViews>
    <sheetView topLeftCell="I8" zoomScale="70" zoomScaleNormal="70" workbookViewId="0">
      <selection activeCell="AA42" sqref="AA42"/>
    </sheetView>
  </sheetViews>
  <sheetFormatPr defaultRowHeight="15" x14ac:dyDescent="0.25"/>
  <cols>
    <col min="5" max="5" width="13.5703125" bestFit="1" customWidth="1"/>
    <col min="7" max="9" width="9.28515625" bestFit="1" customWidth="1"/>
    <col min="12" max="17" width="9.28515625" bestFit="1" customWidth="1"/>
    <col min="20" max="24" width="13.85546875" bestFit="1" customWidth="1"/>
    <col min="25" max="25" width="16" bestFit="1" customWidth="1"/>
    <col min="26" max="26" width="9.28515625" bestFit="1" customWidth="1"/>
    <col min="33" max="34" width="15.7109375" bestFit="1" customWidth="1"/>
    <col min="35" max="35" width="18.5703125" bestFit="1" customWidth="1"/>
  </cols>
  <sheetData>
    <row r="1" spans="1:35" ht="15.75" thickBot="1" x14ac:dyDescent="0.3"/>
    <row r="2" spans="1:35" ht="15.75" thickBot="1" x14ac:dyDescent="0.3">
      <c r="B2" s="1" t="s">
        <v>0</v>
      </c>
      <c r="C2" s="2"/>
      <c r="D2" s="2"/>
      <c r="E2" s="3" t="s">
        <v>1</v>
      </c>
      <c r="G2" s="4" t="s">
        <v>2</v>
      </c>
      <c r="H2" s="4"/>
      <c r="I2" s="4"/>
      <c r="AE2" t="s">
        <v>3</v>
      </c>
    </row>
    <row r="3" spans="1:35" ht="15.75" thickBot="1" x14ac:dyDescent="0.3">
      <c r="B3" s="5" t="s">
        <v>4</v>
      </c>
      <c r="C3" s="6" t="s">
        <v>5</v>
      </c>
      <c r="D3" s="7" t="s">
        <v>6</v>
      </c>
      <c r="E3" s="8" t="s">
        <v>7</v>
      </c>
      <c r="G3" s="9" t="s">
        <v>8</v>
      </c>
      <c r="H3" s="10" t="s">
        <v>9</v>
      </c>
      <c r="I3" s="3" t="s">
        <v>10</v>
      </c>
      <c r="L3">
        <v>1</v>
      </c>
      <c r="M3">
        <v>2</v>
      </c>
      <c r="N3">
        <v>3</v>
      </c>
      <c r="O3">
        <v>4</v>
      </c>
      <c r="P3">
        <v>5</v>
      </c>
      <c r="Q3" s="8" t="s">
        <v>11</v>
      </c>
      <c r="S3" s="11" t="s">
        <v>12</v>
      </c>
      <c r="Z3" s="11" t="s">
        <v>13</v>
      </c>
      <c r="AF3" t="s">
        <v>14</v>
      </c>
      <c r="AG3" t="s">
        <v>13</v>
      </c>
      <c r="AH3" t="s">
        <v>15</v>
      </c>
      <c r="AI3" t="s">
        <v>16</v>
      </c>
    </row>
    <row r="4" spans="1:35" ht="15.75" thickBot="1" x14ac:dyDescent="0.3">
      <c r="A4" s="5" t="s">
        <v>17</v>
      </c>
      <c r="B4" s="12">
        <f>AA26</f>
        <v>0.54</v>
      </c>
      <c r="C4" s="12">
        <f t="shared" ref="C4:D4" si="0">AB26</f>
        <v>0.46</v>
      </c>
      <c r="D4" s="12">
        <f t="shared" si="0"/>
        <v>0</v>
      </c>
      <c r="E4" s="13">
        <f>AA30</f>
        <v>25</v>
      </c>
      <c r="G4" s="14" t="s">
        <v>18</v>
      </c>
      <c r="H4" s="15" t="s">
        <v>18</v>
      </c>
      <c r="I4" s="16" t="s">
        <v>18</v>
      </c>
      <c r="K4" s="11" t="s">
        <v>19</v>
      </c>
      <c r="L4" s="12">
        <f>E$10*$G$5+E$5</f>
        <v>15.792385093416057</v>
      </c>
      <c r="M4" s="17">
        <f>-$E$11*$G$6</f>
        <v>-0.14117793980085597</v>
      </c>
      <c r="N4" s="17">
        <v>0</v>
      </c>
      <c r="O4" s="17">
        <v>0</v>
      </c>
      <c r="P4" s="17">
        <v>0</v>
      </c>
      <c r="Q4" s="13">
        <f>$B$4*$E$4</f>
        <v>13.5</v>
      </c>
      <c r="T4" s="12">
        <f t="array" ref="T4:X8">MINVERSE(L4:P8)</f>
        <v>6.3964629699561154E-2</v>
      </c>
      <c r="U4" s="17">
        <v>6.8033327362801465E-4</v>
      </c>
      <c r="V4" s="17">
        <v>1.5259280061396656E-6</v>
      </c>
      <c r="W4" s="17">
        <v>2.1786352818532989E-9</v>
      </c>
      <c r="X4" s="18">
        <v>2.8146500315859744E-12</v>
      </c>
      <c r="Z4" s="22">
        <f t="array" ref="Z4:Z8">MMULT(T4:X8,Q4:Q8)</f>
        <v>0.86352250094407557</v>
      </c>
      <c r="AD4" s="24" t="s">
        <v>17</v>
      </c>
      <c r="AE4" t="s">
        <v>20</v>
      </c>
      <c r="AF4">
        <v>25</v>
      </c>
      <c r="AG4">
        <v>0.54</v>
      </c>
      <c r="AH4">
        <v>0.46</v>
      </c>
      <c r="AI4">
        <v>0</v>
      </c>
    </row>
    <row r="5" spans="1:35" x14ac:dyDescent="0.25">
      <c r="A5" s="25" t="s">
        <v>21</v>
      </c>
      <c r="B5" s="26">
        <f>S31</f>
        <v>0.86352250094407568</v>
      </c>
      <c r="C5" s="27">
        <f t="shared" ref="C5:D9" si="1">T31</f>
        <v>0.13520594011881754</v>
      </c>
      <c r="D5" s="28">
        <f t="shared" si="1"/>
        <v>1.2715589371068673E-3</v>
      </c>
      <c r="E5" s="29">
        <f t="shared" ref="E5:E9" si="2">AA31</f>
        <v>14.925132970608788</v>
      </c>
      <c r="G5" s="14">
        <f>B10/B5</f>
        <v>4.1913687383490494E-2</v>
      </c>
      <c r="H5" s="15">
        <f t="shared" ref="H5:I9" si="3">C10/C5</f>
        <v>4.1098181811004402</v>
      </c>
      <c r="I5" s="16">
        <f t="shared" si="3"/>
        <v>320.97195422364058</v>
      </c>
      <c r="L5" s="30">
        <f>-$E$5</f>
        <v>-14.925132970608788</v>
      </c>
      <c r="M5" s="15">
        <f>$E$6+$E$11*$G$6</f>
        <v>13.303007505706482</v>
      </c>
      <c r="N5" s="15">
        <f>-$G$7*$E$12</f>
        <v>-2.8842715100117589E-2</v>
      </c>
      <c r="O5" s="15">
        <v>0</v>
      </c>
      <c r="P5" s="15">
        <v>0</v>
      </c>
      <c r="Q5" s="29">
        <v>0</v>
      </c>
      <c r="T5" s="14">
        <v>7.1923875554147504E-2</v>
      </c>
      <c r="U5" s="15">
        <v>7.610314376419923E-2</v>
      </c>
      <c r="V5" s="15">
        <v>1.7069269272365476E-4</v>
      </c>
      <c r="W5" s="15">
        <v>2.4370554916485421E-7</v>
      </c>
      <c r="X5" s="16">
        <v>3.1485115354921674E-10</v>
      </c>
      <c r="Z5" s="23">
        <v>0.97097231998099132</v>
      </c>
      <c r="AD5" s="24"/>
      <c r="AE5" t="s">
        <v>22</v>
      </c>
      <c r="AF5">
        <v>0</v>
      </c>
      <c r="AG5">
        <v>0.74967316816000285</v>
      </c>
      <c r="AH5">
        <v>3.2683091387313701E-4</v>
      </c>
      <c r="AI5">
        <v>0.25</v>
      </c>
    </row>
    <row r="6" spans="1:35" ht="15.75" thickBot="1" x14ac:dyDescent="0.3">
      <c r="A6" s="25" t="s">
        <v>23</v>
      </c>
      <c r="B6" s="26">
        <f t="shared" ref="B6:B9" si="4">S32</f>
        <v>0.97097231998099143</v>
      </c>
      <c r="C6" s="27">
        <f t="shared" si="1"/>
        <v>2.8442962797632049E-2</v>
      </c>
      <c r="D6" s="28">
        <f t="shared" si="1"/>
        <v>5.8471722137658352E-4</v>
      </c>
      <c r="E6" s="29">
        <f t="shared" si="2"/>
        <v>13.161829565905625</v>
      </c>
      <c r="G6" s="14">
        <f t="shared" ref="G6:G9" si="5">B11/B6</f>
        <v>1.3297954954881328E-2</v>
      </c>
      <c r="H6" s="15">
        <f t="shared" si="3"/>
        <v>6.6748923582233983</v>
      </c>
      <c r="I6" s="16">
        <f t="shared" si="3"/>
        <v>1363.4528104481051</v>
      </c>
      <c r="L6" s="14">
        <v>0</v>
      </c>
      <c r="M6" s="31">
        <f>-$E$6</f>
        <v>-13.161829565905625</v>
      </c>
      <c r="N6" s="15">
        <f>$E$7+$E$12*$G$7</f>
        <v>12.877836947410627</v>
      </c>
      <c r="O6" s="15">
        <f>-$E$13*$G$8</f>
        <v>-1.8260107225278818E-2</v>
      </c>
      <c r="P6" s="15">
        <v>0</v>
      </c>
      <c r="Q6" s="29">
        <v>0</v>
      </c>
      <c r="T6" s="14">
        <v>7.3614867645113435E-2</v>
      </c>
      <c r="U6" s="15">
        <v>7.7892394040430815E-2</v>
      </c>
      <c r="V6" s="15">
        <v>7.7938276139185469E-2</v>
      </c>
      <c r="W6" s="15">
        <v>1.1127594324270708E-4</v>
      </c>
      <c r="X6" s="16">
        <v>1.4376102313757281E-7</v>
      </c>
      <c r="Z6" s="23">
        <v>0.99380071320903141</v>
      </c>
      <c r="AD6" s="24" t="s">
        <v>24</v>
      </c>
      <c r="AE6" t="s">
        <v>25</v>
      </c>
      <c r="AF6" s="99">
        <v>8.4506966275450015</v>
      </c>
      <c r="AG6">
        <v>0</v>
      </c>
      <c r="AH6">
        <v>0</v>
      </c>
      <c r="AI6">
        <v>1</v>
      </c>
    </row>
    <row r="7" spans="1:35" x14ac:dyDescent="0.25">
      <c r="A7" s="25" t="s">
        <v>26</v>
      </c>
      <c r="B7" s="26">
        <f t="shared" si="4"/>
        <v>0.99380071320903152</v>
      </c>
      <c r="C7" s="27">
        <f t="shared" si="1"/>
        <v>5.7188511920363613E-3</v>
      </c>
      <c r="D7" s="28">
        <f t="shared" si="1"/>
        <v>4.8043559893205996E-4</v>
      </c>
      <c r="E7" s="29">
        <f t="shared" si="2"/>
        <v>12.84899423231051</v>
      </c>
      <c r="G7" s="14">
        <f t="shared" si="5"/>
        <v>3.2578815505731615E-3</v>
      </c>
      <c r="H7" s="15">
        <f t="shared" si="3"/>
        <v>7.3469910630392068</v>
      </c>
      <c r="I7" s="16">
        <f t="shared" si="3"/>
        <v>1987.2506710889288</v>
      </c>
      <c r="L7" s="14">
        <v>0</v>
      </c>
      <c r="M7" s="15">
        <v>0</v>
      </c>
      <c r="N7" s="31">
        <f>-$E$7</f>
        <v>-12.84899423231051</v>
      </c>
      <c r="O7" s="15">
        <f>$E$8+$E$13*$G$8</f>
        <v>12.805999358056445</v>
      </c>
      <c r="P7" s="15">
        <f>-$E$14*$G$9</f>
        <v>-1.6505498836972096E-2</v>
      </c>
      <c r="Q7" s="29">
        <v>0</v>
      </c>
      <c r="T7" s="14">
        <v>7.3957434051642318E-2</v>
      </c>
      <c r="U7" s="15">
        <v>7.825486589395636E-2</v>
      </c>
      <c r="V7" s="15">
        <v>7.8300961504820701E-2</v>
      </c>
      <c r="W7" s="15">
        <v>7.8301064977711055E-2</v>
      </c>
      <c r="X7" s="16">
        <v>1.0115970160239518E-4</v>
      </c>
      <c r="Z7" s="23">
        <v>0.99842535969717128</v>
      </c>
      <c r="AD7" s="24"/>
      <c r="AE7" t="s">
        <v>27</v>
      </c>
      <c r="AF7" s="15">
        <v>0</v>
      </c>
      <c r="AG7" s="32">
        <v>4.0506397868165211E-6</v>
      </c>
      <c r="AH7" s="32">
        <v>1.9995887431844498E-2</v>
      </c>
      <c r="AI7">
        <v>0.98</v>
      </c>
    </row>
    <row r="8" spans="1:35" ht="15.75" thickBot="1" x14ac:dyDescent="0.3">
      <c r="A8" s="25" t="s">
        <v>28</v>
      </c>
      <c r="B8" s="26">
        <f t="shared" si="4"/>
        <v>0.9984253596971715</v>
      </c>
      <c r="C8" s="27">
        <f t="shared" si="1"/>
        <v>1.1141790244554313E-3</v>
      </c>
      <c r="D8" s="28">
        <f t="shared" si="1"/>
        <v>4.6046127837308663E-4</v>
      </c>
      <c r="E8" s="29">
        <f t="shared" si="2"/>
        <v>12.787739250831166</v>
      </c>
      <c r="G8" s="14">
        <f t="shared" si="5"/>
        <v>2.1380916268832098E-3</v>
      </c>
      <c r="H8" s="15">
        <f t="shared" si="3"/>
        <v>7.4719799662738735</v>
      </c>
      <c r="I8" s="16">
        <f t="shared" si="3"/>
        <v>2149.0192514016776</v>
      </c>
      <c r="L8" s="19">
        <v>0</v>
      </c>
      <c r="M8" s="20">
        <v>0</v>
      </c>
      <c r="N8" s="20">
        <v>0</v>
      </c>
      <c r="O8" s="33">
        <f>-$E$8</f>
        <v>-12.787739250831166</v>
      </c>
      <c r="P8" s="20">
        <f>$E$9+$E$14*$G$9</f>
        <v>12.775819980203323</v>
      </c>
      <c r="Q8" s="34">
        <f>$E$15*$B$15</f>
        <v>0</v>
      </c>
      <c r="T8" s="19">
        <v>7.4026433041356351E-2</v>
      </c>
      <c r="U8" s="20">
        <v>7.8327874196044298E-2</v>
      </c>
      <c r="V8" s="20">
        <v>7.8374012812059093E-2</v>
      </c>
      <c r="W8" s="20">
        <v>7.8374116381485059E-2</v>
      </c>
      <c r="X8" s="21">
        <v>7.8374116529375842E-2</v>
      </c>
      <c r="Z8" s="23">
        <v>0.99935684605831077</v>
      </c>
    </row>
    <row r="9" spans="1:35" ht="15.75" thickBot="1" x14ac:dyDescent="0.3">
      <c r="A9" s="35" t="s">
        <v>29</v>
      </c>
      <c r="B9" s="36">
        <f t="shared" si="4"/>
        <v>0.99935684605831099</v>
      </c>
      <c r="C9" s="37">
        <f t="shared" si="1"/>
        <v>1.8667140642403509E-4</v>
      </c>
      <c r="D9" s="38">
        <f t="shared" si="1"/>
        <v>4.5648253526493472E-4</v>
      </c>
      <c r="E9" s="34">
        <f t="shared" si="2"/>
        <v>12.759314481366351</v>
      </c>
      <c r="G9" s="19">
        <f t="shared" si="5"/>
        <v>1.946604850213939E-3</v>
      </c>
      <c r="H9" s="20">
        <f t="shared" si="3"/>
        <v>7.4968159725746268</v>
      </c>
      <c r="I9" s="21">
        <f t="shared" si="3"/>
        <v>2183.3369930716494</v>
      </c>
      <c r="AD9" t="s">
        <v>30</v>
      </c>
      <c r="AE9" t="s">
        <v>17</v>
      </c>
      <c r="AF9">
        <f>AF4+AF5</f>
        <v>25</v>
      </c>
      <c r="AG9">
        <f>(AG4*$AF$4+AG5*$AF$5)/$AF$9</f>
        <v>0.54</v>
      </c>
      <c r="AH9">
        <f t="shared" ref="AH9:AI9" si="6">(AH4*$AF$4+AH5*$AF$5)/$AF$9</f>
        <v>0.46</v>
      </c>
      <c r="AI9">
        <f t="shared" si="6"/>
        <v>0</v>
      </c>
    </row>
    <row r="10" spans="1:35" ht="15.75" thickBot="1" x14ac:dyDescent="0.3">
      <c r="A10" s="5" t="s">
        <v>31</v>
      </c>
      <c r="B10" s="39">
        <f t="shared" ref="B10:D15" si="7">W31</f>
        <v>3.6193412153179866E-2</v>
      </c>
      <c r="C10" s="40">
        <f t="shared" si="7"/>
        <v>0.55567183089309369</v>
      </c>
      <c r="D10" s="41">
        <f t="shared" si="7"/>
        <v>0.40813475695372647</v>
      </c>
      <c r="E10" s="13">
        <f t="shared" ref="E10:E15" si="8">AB31</f>
        <v>20.691382146178647</v>
      </c>
      <c r="L10">
        <v>1</v>
      </c>
      <c r="M10">
        <v>2</v>
      </c>
      <c r="N10">
        <v>3</v>
      </c>
      <c r="O10">
        <v>4</v>
      </c>
      <c r="P10">
        <v>5</v>
      </c>
      <c r="Q10" s="11" t="s">
        <v>32</v>
      </c>
      <c r="S10" s="11" t="s">
        <v>12</v>
      </c>
      <c r="Z10" s="11" t="s">
        <v>15</v>
      </c>
      <c r="AE10" t="s">
        <v>24</v>
      </c>
      <c r="AF10">
        <f>AF6+AF7</f>
        <v>8.4506966275450015</v>
      </c>
      <c r="AG10">
        <f>(AG6*$AF$6+$AF$7*AG7)/$AF$10</f>
        <v>0</v>
      </c>
      <c r="AH10">
        <f>(AH6*$AF$6+$AF$7*AH7)/$AF$10</f>
        <v>0</v>
      </c>
      <c r="AI10">
        <f>(AI6*$AF$6+$AF$7*AI7)/$AF$10</f>
        <v>1</v>
      </c>
    </row>
    <row r="11" spans="1:35" ht="15.75" thickBot="1" x14ac:dyDescent="0.3">
      <c r="A11" s="25" t="s">
        <v>33</v>
      </c>
      <c r="B11" s="26">
        <f t="shared" si="7"/>
        <v>1.2911946173543843E-2</v>
      </c>
      <c r="C11" s="27">
        <f t="shared" si="7"/>
        <v>0.18985371502314657</v>
      </c>
      <c r="D11" s="28">
        <f t="shared" si="7"/>
        <v>0.79723433880330963</v>
      </c>
      <c r="E11" s="29">
        <f t="shared" si="8"/>
        <v>10.616515116787435</v>
      </c>
      <c r="K11" s="11" t="s">
        <v>34</v>
      </c>
      <c r="L11" s="12">
        <f>E$10*$H$5+E$5</f>
        <v>99.962951507070841</v>
      </c>
      <c r="M11" s="17">
        <f>-$E$11*$H$6</f>
        <v>-70.864095624007632</v>
      </c>
      <c r="N11" s="17">
        <v>0</v>
      </c>
      <c r="O11" s="17">
        <v>0</v>
      </c>
      <c r="P11" s="17">
        <v>0</v>
      </c>
      <c r="Q11" s="13">
        <f>$C$4*$E$4</f>
        <v>11.5</v>
      </c>
      <c r="T11" s="12">
        <f t="array" ref="T11:X15">MINVERSE(L11:P15)</f>
        <v>1.1757038271145312E-2</v>
      </c>
      <c r="U11" s="17">
        <v>1.1743161478723211E-2</v>
      </c>
      <c r="V11" s="17">
        <v>1.1668447979339995E-2</v>
      </c>
      <c r="W11" s="17">
        <v>1.1290231623902415E-2</v>
      </c>
      <c r="X11" s="18">
        <v>9.4028520844705709E-3</v>
      </c>
      <c r="Z11">
        <f t="array" ref="Z11:Z15">MMULT(T11:X15,Q11:Q15)</f>
        <v>0.13520594011817108</v>
      </c>
    </row>
    <row r="12" spans="1:35" x14ac:dyDescent="0.25">
      <c r="A12" s="25" t="s">
        <v>35</v>
      </c>
      <c r="B12" s="26">
        <f t="shared" si="7"/>
        <v>3.2376850085101532E-3</v>
      </c>
      <c r="C12" s="27">
        <f t="shared" si="7"/>
        <v>4.2016348598742259E-2</v>
      </c>
      <c r="D12" s="28">
        <f t="shared" si="7"/>
        <v>0.95474596639274756</v>
      </c>
      <c r="E12" s="29">
        <f t="shared" si="8"/>
        <v>8.8532117120842742</v>
      </c>
      <c r="L12" s="30">
        <f>-$E$5</f>
        <v>-14.925132970608788</v>
      </c>
      <c r="M12" s="15">
        <f>$E$6+$E$11*$H$6</f>
        <v>84.025925189913252</v>
      </c>
      <c r="N12" s="15">
        <f>-$H$7*$E$12</f>
        <v>-65.0444673278772</v>
      </c>
      <c r="O12" s="15">
        <v>0</v>
      </c>
      <c r="P12" s="15">
        <v>0</v>
      </c>
      <c r="Q12" s="29">
        <v>0</v>
      </c>
      <c r="T12" s="14">
        <v>2.4733011128120108E-3</v>
      </c>
      <c r="U12" s="15">
        <v>1.6565244657403323E-2</v>
      </c>
      <c r="V12" s="15">
        <v>1.645985162514909E-2</v>
      </c>
      <c r="W12" s="15">
        <v>1.5926328649023234E-2</v>
      </c>
      <c r="X12" s="16">
        <v>1.3263936252502684E-2</v>
      </c>
      <c r="Z12">
        <v>2.8442962797338125E-2</v>
      </c>
    </row>
    <row r="13" spans="1:35" x14ac:dyDescent="0.25">
      <c r="A13" s="25" t="s">
        <v>36</v>
      </c>
      <c r="B13" s="26">
        <f t="shared" si="7"/>
        <v>2.1347249016363794E-3</v>
      </c>
      <c r="C13" s="27">
        <f t="shared" si="7"/>
        <v>8.3251233495735509E-3</v>
      </c>
      <c r="D13" s="28">
        <f t="shared" si="7"/>
        <v>0.98954015174879006</v>
      </c>
      <c r="E13" s="29">
        <f t="shared" si="8"/>
        <v>8.5403763784891567</v>
      </c>
      <c r="L13" s="14">
        <v>0</v>
      </c>
      <c r="M13" s="31">
        <f>-$E$6</f>
        <v>-13.161829565905625</v>
      </c>
      <c r="N13" s="15">
        <f>$E$7+$E$12*$H$7</f>
        <v>77.893461560187717</v>
      </c>
      <c r="O13" s="15">
        <f>-$E$13*$H$8</f>
        <v>-63.813521204509591</v>
      </c>
      <c r="P13" s="15">
        <v>0</v>
      </c>
      <c r="Q13" s="29">
        <v>0</v>
      </c>
      <c r="T13" s="14">
        <v>4.972914079969398E-4</v>
      </c>
      <c r="U13" s="15">
        <v>3.3306716262008224E-3</v>
      </c>
      <c r="V13" s="15">
        <v>1.8585764067306762E-2</v>
      </c>
      <c r="W13" s="15">
        <v>1.7983332624752817E-2</v>
      </c>
      <c r="X13" s="16">
        <v>1.4977072418815254E-2</v>
      </c>
      <c r="Z13">
        <v>5.7188511919648074E-3</v>
      </c>
    </row>
    <row r="14" spans="1:35" x14ac:dyDescent="0.25">
      <c r="A14" s="25" t="s">
        <v>37</v>
      </c>
      <c r="B14" s="26">
        <f t="shared" si="7"/>
        <v>1.945352883631613E-3</v>
      </c>
      <c r="C14" s="27">
        <f t="shared" si="7"/>
        <v>1.3994411813026762E-3</v>
      </c>
      <c r="D14" s="28">
        <f>Y35</f>
        <v>0.99665520593506574</v>
      </c>
      <c r="E14" s="29">
        <f>AB35</f>
        <v>8.4791213970098145</v>
      </c>
      <c r="L14" s="14">
        <v>0</v>
      </c>
      <c r="M14" s="15">
        <v>0</v>
      </c>
      <c r="N14" s="31">
        <f>-$E$7</f>
        <v>-12.84899423231051</v>
      </c>
      <c r="O14" s="15">
        <f>$E$8+$E$13*$H$8</f>
        <v>76.601260455340764</v>
      </c>
      <c r="P14" s="15">
        <f>-$E$14*$H$9</f>
        <v>-63.566412722502463</v>
      </c>
      <c r="Q14" s="29">
        <v>0</v>
      </c>
      <c r="T14" s="14">
        <v>9.6885132560087342E-5</v>
      </c>
      <c r="U14" s="15">
        <v>6.4890033656196623E-4</v>
      </c>
      <c r="V14" s="15">
        <v>3.6209839672166713E-3</v>
      </c>
      <c r="W14" s="15">
        <v>1.8666332506926946E-2</v>
      </c>
      <c r="X14" s="16">
        <v>1.554589572375064E-2</v>
      </c>
      <c r="Z14">
        <v>1.1141790244410044E-3</v>
      </c>
    </row>
    <row r="15" spans="1:35" ht="15.75" thickBot="1" x14ac:dyDescent="0.3">
      <c r="A15" s="35" t="s">
        <v>24</v>
      </c>
      <c r="B15" s="36">
        <f t="shared" si="7"/>
        <v>0</v>
      </c>
      <c r="C15" s="37">
        <f t="shared" si="7"/>
        <v>0</v>
      </c>
      <c r="D15" s="38">
        <f>Y36</f>
        <v>1</v>
      </c>
      <c r="E15" s="34">
        <f t="shared" si="8"/>
        <v>8.4506966275450015</v>
      </c>
      <c r="L15" s="19">
        <v>0</v>
      </c>
      <c r="M15" s="20">
        <v>0</v>
      </c>
      <c r="N15" s="20">
        <v>0</v>
      </c>
      <c r="O15" s="33">
        <f>-$E$8</f>
        <v>-12.787739250831166</v>
      </c>
      <c r="P15" s="20">
        <f>$E$9+$E$14*$H$9</f>
        <v>76.325727203868809</v>
      </c>
      <c r="Q15" s="34">
        <f>$E$15*$C$15</f>
        <v>0</v>
      </c>
      <c r="T15" s="19">
        <v>1.6232296210573281E-5</v>
      </c>
      <c r="U15" s="20">
        <v>1.0871784138481685E-4</v>
      </c>
      <c r="V15" s="20">
        <v>6.0666567487168213E-4</v>
      </c>
      <c r="W15" s="20">
        <v>3.1273883867535047E-3</v>
      </c>
      <c r="X15" s="21">
        <v>1.5706327405619131E-2</v>
      </c>
      <c r="Z15">
        <v>1.8667140642159274E-4</v>
      </c>
    </row>
    <row r="16" spans="1:35" ht="15.75" thickBot="1" x14ac:dyDescent="0.3"/>
    <row r="17" spans="1:35" ht="15.75" thickBot="1" x14ac:dyDescent="0.3">
      <c r="L17">
        <v>1</v>
      </c>
      <c r="M17">
        <v>2</v>
      </c>
      <c r="N17">
        <v>3</v>
      </c>
      <c r="O17">
        <v>4</v>
      </c>
      <c r="P17">
        <v>5</v>
      </c>
      <c r="Q17" s="11" t="s">
        <v>38</v>
      </c>
      <c r="S17" s="11" t="s">
        <v>12</v>
      </c>
      <c r="Z17" s="11" t="s">
        <v>16</v>
      </c>
    </row>
    <row r="18" spans="1:35" ht="15.75" thickBot="1" x14ac:dyDescent="0.3">
      <c r="A18" t="s">
        <v>4</v>
      </c>
      <c r="B18" t="s">
        <v>39</v>
      </c>
      <c r="K18" s="11" t="s">
        <v>40</v>
      </c>
      <c r="L18" s="12">
        <f>E$10*$I$5+E$5</f>
        <v>6656.278496017715</v>
      </c>
      <c r="M18" s="17">
        <f>-$E$11*$I$6</f>
        <v>-14475.11737314862</v>
      </c>
      <c r="N18" s="17">
        <v>0</v>
      </c>
      <c r="O18" s="17">
        <v>0</v>
      </c>
      <c r="P18" s="17">
        <v>0</v>
      </c>
      <c r="Q18" s="13">
        <f>$D$4*$E$4</f>
        <v>0</v>
      </c>
      <c r="T18" s="12">
        <f t="array" ref="T18:X22">MINVERSE(L18:P22)</f>
        <v>1.5057172015030249E-4</v>
      </c>
      <c r="U18" s="17">
        <v>1.5057172015025451E-4</v>
      </c>
      <c r="V18" s="17">
        <v>1.5057172009748398E-4</v>
      </c>
      <c r="W18" s="17">
        <v>1.5057164784111157E-4</v>
      </c>
      <c r="X18" s="18">
        <v>1.5046794284041747E-4</v>
      </c>
      <c r="Z18">
        <f t="array" ref="Z18:Z22">MMULT(T18:X22,Q18:Q22)</f>
        <v>1.2715589371151499E-3</v>
      </c>
    </row>
    <row r="19" spans="1:35" x14ac:dyDescent="0.25">
      <c r="A19" t="s">
        <v>5</v>
      </c>
      <c r="B19" t="s">
        <v>41</v>
      </c>
      <c r="L19" s="30">
        <f>-$E$5</f>
        <v>-14.925132970608788</v>
      </c>
      <c r="M19" s="15">
        <f>$E$6+$E$11*$I$6</f>
        <v>14488.279202714526</v>
      </c>
      <c r="N19" s="15">
        <f>-$I$7*$E$12</f>
        <v>-17593.550916131837</v>
      </c>
      <c r="O19" s="15">
        <v>0</v>
      </c>
      <c r="P19" s="15">
        <v>0</v>
      </c>
      <c r="Q19" s="29">
        <v>0</v>
      </c>
      <c r="T19" s="14">
        <v>1.5525283055905272E-7</v>
      </c>
      <c r="U19" s="15">
        <v>6.9239321320026581E-5</v>
      </c>
      <c r="V19" s="15">
        <v>6.9239321295760429E-5</v>
      </c>
      <c r="W19" s="15">
        <v>6.9239288069187854E-5</v>
      </c>
      <c r="X19" s="16">
        <v>6.919160007134611E-5</v>
      </c>
      <c r="Z19">
        <v>5.8471722137736707E-4</v>
      </c>
    </row>
    <row r="20" spans="1:35" x14ac:dyDescent="0.25">
      <c r="A20" t="s">
        <v>6</v>
      </c>
      <c r="B20" t="s">
        <v>42</v>
      </c>
      <c r="L20" s="14">
        <v>0</v>
      </c>
      <c r="M20" s="31">
        <f>-$E$6</f>
        <v>-13.161829565905625</v>
      </c>
      <c r="N20" s="15">
        <f>$E$7+$E$12*$I$7</f>
        <v>17606.399910364147</v>
      </c>
      <c r="O20" s="15">
        <f>-$E$13*$I$8</f>
        <v>-18353.433251589337</v>
      </c>
      <c r="P20" s="15">
        <v>0</v>
      </c>
      <c r="Q20" s="29">
        <v>0</v>
      </c>
      <c r="T20" s="14">
        <v>1.1614547310360677E-10</v>
      </c>
      <c r="U20" s="15">
        <v>5.1798306691924065E-8</v>
      </c>
      <c r="V20" s="15">
        <v>5.6890807351324018E-5</v>
      </c>
      <c r="W20" s="15">
        <v>5.689078005055758E-5</v>
      </c>
      <c r="X20" s="16">
        <v>5.6851596987416392E-5</v>
      </c>
      <c r="Z20">
        <v>4.8043559893210728E-4</v>
      </c>
    </row>
    <row r="21" spans="1:35" x14ac:dyDescent="0.25">
      <c r="L21" s="14">
        <v>0</v>
      </c>
      <c r="M21" s="15">
        <v>0</v>
      </c>
      <c r="N21" s="31">
        <f>-$E$7</f>
        <v>-12.84899423231051</v>
      </c>
      <c r="O21" s="15">
        <f>$E$8+$E$13*$I$8</f>
        <v>18366.220990840167</v>
      </c>
      <c r="P21" s="15">
        <f>-$E$14*$I$9</f>
        <v>-18512.779414836892</v>
      </c>
      <c r="Q21" s="29">
        <v>0</v>
      </c>
      <c r="T21" s="14">
        <v>8.1311860152252997E-14</v>
      </c>
      <c r="U21" s="15">
        <v>3.6263287387017811E-11</v>
      </c>
      <c r="V21" s="15">
        <v>3.982847757805528E-8</v>
      </c>
      <c r="W21" s="15">
        <v>5.4525520939641776E-5</v>
      </c>
      <c r="X21" s="16">
        <v>5.4487966929521235E-5</v>
      </c>
      <c r="Z21">
        <v>4.6046127837308869E-4</v>
      </c>
    </row>
    <row r="22" spans="1:35" ht="15.75" thickBot="1" x14ac:dyDescent="0.3">
      <c r="L22" s="19">
        <v>0</v>
      </c>
      <c r="M22" s="20">
        <v>0</v>
      </c>
      <c r="N22" s="20">
        <v>0</v>
      </c>
      <c r="O22" s="33">
        <f>-$E$8</f>
        <v>-12.787739250831166</v>
      </c>
      <c r="P22" s="20">
        <f>$E$9+$E$14*$I$9</f>
        <v>18525.538729318258</v>
      </c>
      <c r="Q22" s="42">
        <f>$E$15*$D$15</f>
        <v>8.4506966275450015</v>
      </c>
      <c r="T22" s="19">
        <v>5.6127645237193321E-17</v>
      </c>
      <c r="U22" s="20">
        <v>2.5031685731721963E-14</v>
      </c>
      <c r="V22" s="20">
        <v>2.7492651817985184E-11</v>
      </c>
      <c r="W22" s="20">
        <v>3.7637671674746109E-8</v>
      </c>
      <c r="X22" s="21">
        <v>5.4017148571755913E-5</v>
      </c>
      <c r="Z22">
        <v>4.5648253526493499E-4</v>
      </c>
    </row>
    <row r="24" spans="1:35" ht="15.75" thickBot="1" x14ac:dyDescent="0.3"/>
    <row r="25" spans="1:35" ht="15.75" thickBot="1" x14ac:dyDescent="0.3">
      <c r="R25" s="15"/>
      <c r="S25" s="15"/>
      <c r="T25" s="15"/>
      <c r="Y25" s="8"/>
      <c r="Z25" s="9" t="s">
        <v>43</v>
      </c>
      <c r="AA25" s="10" t="s">
        <v>13</v>
      </c>
      <c r="AB25" s="10" t="s">
        <v>15</v>
      </c>
      <c r="AC25" s="3" t="s">
        <v>16</v>
      </c>
      <c r="AE25" s="43" t="s">
        <v>44</v>
      </c>
      <c r="AF25" s="43" t="s">
        <v>45</v>
      </c>
      <c r="AG25" s="43" t="s">
        <v>46</v>
      </c>
      <c r="AH25" s="43" t="s">
        <v>47</v>
      </c>
      <c r="AI25" s="43" t="s">
        <v>48</v>
      </c>
    </row>
    <row r="26" spans="1:35" ht="15.75" thickBot="1" x14ac:dyDescent="0.3">
      <c r="L26" s="44" t="s">
        <v>49</v>
      </c>
      <c r="M26" s="45"/>
      <c r="N26" s="46"/>
      <c r="R26" s="15"/>
      <c r="S26" s="15"/>
      <c r="T26" s="15"/>
      <c r="Y26" s="47" t="s">
        <v>17</v>
      </c>
      <c r="Z26" s="48">
        <f>AF9</f>
        <v>25</v>
      </c>
      <c r="AA26" s="48">
        <f t="shared" ref="AA26:AC27" si="9">AG9</f>
        <v>0.54</v>
      </c>
      <c r="AB26" s="48">
        <f t="shared" si="9"/>
        <v>0.46</v>
      </c>
      <c r="AC26" s="48">
        <f t="shared" si="9"/>
        <v>0</v>
      </c>
      <c r="AE26">
        <f>Z27</f>
        <v>8.4506966275450015</v>
      </c>
      <c r="AF26">
        <f>AE26/Z26</f>
        <v>0.33802786510180005</v>
      </c>
      <c r="AG26">
        <f>AB31*W31/Z26/AA26</f>
        <v>5.5473460891525266E-2</v>
      </c>
      <c r="AH26" s="49">
        <f>(X31*AB31-Z27*AB27)/Z26/AB26</f>
        <v>0.99979288703267477</v>
      </c>
      <c r="AI26" s="50">
        <f>AA35*U35/AB36/AC27</f>
        <v>6.8922178601372249E-4</v>
      </c>
    </row>
    <row r="27" spans="1:35" ht="15.75" thickBot="1" x14ac:dyDescent="0.3">
      <c r="L27" s="12" t="s">
        <v>4</v>
      </c>
      <c r="M27" s="17" t="s">
        <v>5</v>
      </c>
      <c r="N27" s="18" t="s">
        <v>6</v>
      </c>
      <c r="O27" s="51" t="s">
        <v>50</v>
      </c>
      <c r="R27" s="15"/>
      <c r="S27" s="15"/>
      <c r="T27" s="15"/>
      <c r="U27" s="15"/>
      <c r="V27" s="15"/>
      <c r="W27" s="52"/>
      <c r="Y27" s="53" t="s">
        <v>24</v>
      </c>
      <c r="Z27" s="48">
        <f>AF10</f>
        <v>8.4506966275450015</v>
      </c>
      <c r="AA27" s="48">
        <f>AG10</f>
        <v>0</v>
      </c>
      <c r="AB27" s="48">
        <f t="shared" si="9"/>
        <v>0</v>
      </c>
      <c r="AC27" s="48">
        <f t="shared" si="9"/>
        <v>1</v>
      </c>
    </row>
    <row r="28" spans="1:35" ht="15.75" thickBot="1" x14ac:dyDescent="0.3">
      <c r="L28" s="12">
        <f>Z4</f>
        <v>0.86352250094407557</v>
      </c>
      <c r="M28" s="17">
        <f>Z11</f>
        <v>0.13520594011817108</v>
      </c>
      <c r="N28" s="18">
        <f>Z18</f>
        <v>1.2715589371151499E-3</v>
      </c>
      <c r="O28" s="13">
        <f>SUM(L28:N28)</f>
        <v>0.99999999999936184</v>
      </c>
      <c r="R28" s="15"/>
      <c r="S28" s="15"/>
      <c r="T28" s="15"/>
      <c r="U28" s="15"/>
      <c r="V28" s="15"/>
      <c r="AG28" s="48"/>
    </row>
    <row r="29" spans="1:35" ht="21.75" thickBot="1" x14ac:dyDescent="0.4">
      <c r="L29" s="14">
        <f>Z5</f>
        <v>0.97097231998099132</v>
      </c>
      <c r="M29" s="15">
        <f t="shared" ref="M29:M32" si="10">Z12</f>
        <v>2.8442962797338125E-2</v>
      </c>
      <c r="N29" s="16">
        <f>Z19</f>
        <v>5.8471722137736707E-4</v>
      </c>
      <c r="O29" s="29">
        <f t="shared" ref="O29:O32" si="11">SUM(L29:N29)</f>
        <v>0.99999999999970679</v>
      </c>
      <c r="R29" s="15"/>
      <c r="S29" s="15"/>
      <c r="T29" s="15"/>
      <c r="U29" s="15"/>
      <c r="V29" s="15"/>
      <c r="AA29" s="9" t="s">
        <v>51</v>
      </c>
      <c r="AB29" s="3" t="s">
        <v>52</v>
      </c>
      <c r="AG29" s="43"/>
      <c r="AI29" s="54"/>
    </row>
    <row r="30" spans="1:35" ht="15.75" thickBot="1" x14ac:dyDescent="0.3">
      <c r="L30" s="14">
        <f>Z6</f>
        <v>0.99380071320903141</v>
      </c>
      <c r="M30" s="15">
        <f t="shared" si="10"/>
        <v>5.7188511919648074E-3</v>
      </c>
      <c r="N30" s="16">
        <f>Z20</f>
        <v>4.8043559893210728E-4</v>
      </c>
      <c r="O30" s="29">
        <f t="shared" si="11"/>
        <v>0.99999999999992828</v>
      </c>
      <c r="R30" s="11" t="s">
        <v>53</v>
      </c>
      <c r="S30" s="5" t="s">
        <v>54</v>
      </c>
      <c r="T30" s="6" t="s">
        <v>55</v>
      </c>
      <c r="U30" s="6" t="s">
        <v>56</v>
      </c>
      <c r="V30" s="55" t="s">
        <v>50</v>
      </c>
      <c r="W30" s="5" t="s">
        <v>57</v>
      </c>
      <c r="X30" s="6" t="s">
        <v>58</v>
      </c>
      <c r="Y30" s="6" t="s">
        <v>59</v>
      </c>
      <c r="Z30" s="56" t="s">
        <v>60</v>
      </c>
      <c r="AA30" s="57">
        <f>Z26</f>
        <v>25</v>
      </c>
      <c r="AB30" s="58"/>
      <c r="AC30" s="6" t="s">
        <v>8</v>
      </c>
      <c r="AD30" s="6" t="s">
        <v>9</v>
      </c>
      <c r="AE30" s="7" t="s">
        <v>10</v>
      </c>
      <c r="AG30" s="43" t="s">
        <v>61</v>
      </c>
    </row>
    <row r="31" spans="1:35" x14ac:dyDescent="0.25">
      <c r="L31" s="14">
        <f>Z7</f>
        <v>0.99842535969717128</v>
      </c>
      <c r="M31" s="15">
        <f t="shared" si="10"/>
        <v>1.1141790244410044E-3</v>
      </c>
      <c r="N31" s="16">
        <f>Z21</f>
        <v>4.6046127837308869E-4</v>
      </c>
      <c r="O31" s="29">
        <f t="shared" si="11"/>
        <v>0.99999999999998535</v>
      </c>
      <c r="R31" s="59">
        <v>1</v>
      </c>
      <c r="S31" s="60">
        <f>C41</f>
        <v>0.86352250094407568</v>
      </c>
      <c r="T31" s="61">
        <f t="shared" ref="T31:U35" si="12">D41</f>
        <v>0.13520594011881754</v>
      </c>
      <c r="U31" s="61">
        <f t="shared" si="12"/>
        <v>1.2715589371068673E-3</v>
      </c>
      <c r="V31" s="62">
        <f>SUM(S31:U31)</f>
        <v>1</v>
      </c>
      <c r="W31" s="61">
        <f>G41</f>
        <v>3.6193412153179866E-2</v>
      </c>
      <c r="X31" s="61">
        <f t="shared" ref="X31:Y35" si="13">H41</f>
        <v>0.55567183089309369</v>
      </c>
      <c r="Y31" s="61">
        <f t="shared" si="13"/>
        <v>0.40813475695372647</v>
      </c>
      <c r="Z31" s="63">
        <f>SUM(W31:Y31)</f>
        <v>1</v>
      </c>
      <c r="AA31" s="31">
        <f t="shared" ref="AA31:AA33" si="14">(AB33*(W32-W33)+AA32*(S32-W32))/(S31-W32)</f>
        <v>14.925132970608788</v>
      </c>
      <c r="AB31" s="31">
        <f>AA30+AB36-AA35</f>
        <v>20.691382146178647</v>
      </c>
      <c r="AC31" s="64">
        <f>W31/S31</f>
        <v>4.1913687383490494E-2</v>
      </c>
      <c r="AD31" s="65">
        <f t="shared" ref="AD31:AE35" si="15">X31/T31</f>
        <v>4.1098181811004402</v>
      </c>
      <c r="AE31" s="66">
        <f t="shared" si="15"/>
        <v>320.97195422364058</v>
      </c>
      <c r="AG31" t="s">
        <v>62</v>
      </c>
      <c r="AH31">
        <v>0.55567183919333374</v>
      </c>
    </row>
    <row r="32" spans="1:35" ht="15.75" thickBot="1" x14ac:dyDescent="0.3">
      <c r="L32" s="19">
        <f>Z8</f>
        <v>0.99935684605831077</v>
      </c>
      <c r="M32" s="20">
        <f t="shared" si="10"/>
        <v>1.8667140642159274E-4</v>
      </c>
      <c r="N32" s="21">
        <f>Z22</f>
        <v>4.5648253526493499E-4</v>
      </c>
      <c r="O32" s="34">
        <f t="shared" si="11"/>
        <v>0.99999999999999734</v>
      </c>
      <c r="R32" s="67">
        <v>2</v>
      </c>
      <c r="S32" s="68">
        <f t="shared" ref="S32:S35" si="16">C42</f>
        <v>0.97097231998099143</v>
      </c>
      <c r="T32" s="69">
        <f t="shared" si="12"/>
        <v>2.8442962797632049E-2</v>
      </c>
      <c r="U32" s="69">
        <f t="shared" si="12"/>
        <v>5.8471722137658352E-4</v>
      </c>
      <c r="V32" s="70">
        <f t="shared" ref="V32:V35" si="17">SUM(S32:U32)</f>
        <v>1</v>
      </c>
      <c r="W32" s="69">
        <f t="shared" ref="W32:W35" si="18">G42</f>
        <v>1.2911946173543843E-2</v>
      </c>
      <c r="X32" s="69">
        <f t="shared" si="13"/>
        <v>0.18985371502314657</v>
      </c>
      <c r="Y32" s="69">
        <f t="shared" si="13"/>
        <v>0.79723433880330963</v>
      </c>
      <c r="Z32" s="71">
        <f t="shared" ref="Z32:Z35" si="19">SUM(W32:Y32)</f>
        <v>1</v>
      </c>
      <c r="AA32" s="31">
        <f t="shared" si="14"/>
        <v>13.161829565905625</v>
      </c>
      <c r="AB32" s="31">
        <f>AA31+AB33-AA32</f>
        <v>10.616515116787435</v>
      </c>
      <c r="AC32" s="72">
        <f t="shared" ref="AC32:AC35" si="20">W32/S32</f>
        <v>1.3297954954881328E-2</v>
      </c>
      <c r="AD32" s="15">
        <f t="shared" si="15"/>
        <v>6.6748923582233983</v>
      </c>
      <c r="AE32" s="73">
        <f t="shared" si="15"/>
        <v>1363.4528104481051</v>
      </c>
      <c r="AG32" s="32" t="s">
        <v>63</v>
      </c>
      <c r="AH32">
        <v>2.8203086494330174E-3</v>
      </c>
      <c r="AI32" s="48">
        <v>0.13520594401969205</v>
      </c>
    </row>
    <row r="33" spans="3:35" x14ac:dyDescent="0.25">
      <c r="R33" s="67">
        <v>3</v>
      </c>
      <c r="S33" s="68">
        <f t="shared" si="16"/>
        <v>0.99380071320903152</v>
      </c>
      <c r="T33" s="69">
        <f t="shared" si="12"/>
        <v>5.7188511920363613E-3</v>
      </c>
      <c r="U33" s="69">
        <f t="shared" si="12"/>
        <v>4.8043559893205996E-4</v>
      </c>
      <c r="V33" s="70">
        <f t="shared" si="17"/>
        <v>1</v>
      </c>
      <c r="W33" s="69">
        <f t="shared" si="18"/>
        <v>3.2376850085101532E-3</v>
      </c>
      <c r="X33" s="69">
        <f t="shared" si="13"/>
        <v>4.2016348598742259E-2</v>
      </c>
      <c r="Y33" s="69">
        <f t="shared" si="13"/>
        <v>0.95474596639274756</v>
      </c>
      <c r="Z33" s="71">
        <f t="shared" si="19"/>
        <v>1</v>
      </c>
      <c r="AA33" s="31">
        <f t="shared" si="14"/>
        <v>12.84899423231051</v>
      </c>
      <c r="AB33" s="31">
        <f>AA32+AB34-AA33</f>
        <v>8.8532117120842742</v>
      </c>
      <c r="AC33" s="72">
        <f t="shared" si="20"/>
        <v>3.2578815505731615E-3</v>
      </c>
      <c r="AD33" s="15">
        <f t="shared" si="15"/>
        <v>7.3469910630392068</v>
      </c>
      <c r="AE33" s="73">
        <f t="shared" si="15"/>
        <v>1987.2506710889288</v>
      </c>
      <c r="AG33" t="s">
        <v>64</v>
      </c>
    </row>
    <row r="34" spans="3:35" ht="15.75" thickBot="1" x14ac:dyDescent="0.3">
      <c r="R34" s="67">
        <v>4</v>
      </c>
      <c r="S34" s="68">
        <f t="shared" si="16"/>
        <v>0.9984253596971715</v>
      </c>
      <c r="T34" s="69">
        <f t="shared" si="12"/>
        <v>1.1141790244554313E-3</v>
      </c>
      <c r="U34" s="69">
        <f t="shared" si="12"/>
        <v>4.6046127837308663E-4</v>
      </c>
      <c r="V34" s="70">
        <f t="shared" si="17"/>
        <v>1</v>
      </c>
      <c r="W34" s="69">
        <f t="shared" si="18"/>
        <v>2.1347249016363794E-3</v>
      </c>
      <c r="X34" s="69">
        <f t="shared" si="13"/>
        <v>8.3251233495735509E-3</v>
      </c>
      <c r="Y34" s="69">
        <f t="shared" si="13"/>
        <v>0.98954015174879006</v>
      </c>
      <c r="Z34" s="71">
        <f t="shared" si="19"/>
        <v>1</v>
      </c>
      <c r="AA34" s="31">
        <f>(AB36*(W35-W36)+AA35*(S35-W35))/(S34-W35)</f>
        <v>12.787739250831166</v>
      </c>
      <c r="AB34" s="31">
        <f>AA33+AB35-AA34</f>
        <v>8.5403763784891567</v>
      </c>
      <c r="AC34" s="72">
        <f t="shared" si="20"/>
        <v>2.1380916268832098E-3</v>
      </c>
      <c r="AD34" s="15">
        <f t="shared" si="15"/>
        <v>7.4719799662738735</v>
      </c>
      <c r="AE34" s="73">
        <f t="shared" si="15"/>
        <v>2149.0192514016776</v>
      </c>
      <c r="AG34" t="s">
        <v>62</v>
      </c>
      <c r="AH34" s="74">
        <f>(Z26*AB26+Z27*AB27-AA35*T35)/AB31</f>
        <v>0.55567183089043548</v>
      </c>
    </row>
    <row r="35" spans="3:35" ht="18.75" thickBot="1" x14ac:dyDescent="0.4">
      <c r="C35" s="75" t="s">
        <v>65</v>
      </c>
      <c r="D35" s="76" t="s">
        <v>66</v>
      </c>
      <c r="E35" s="76" t="s">
        <v>67</v>
      </c>
      <c r="F35" s="76" t="s">
        <v>68</v>
      </c>
      <c r="G35" s="76" t="s">
        <v>69</v>
      </c>
      <c r="H35" s="77" t="s">
        <v>70</v>
      </c>
      <c r="J35" s="78"/>
      <c r="R35" s="79">
        <v>5</v>
      </c>
      <c r="S35" s="80">
        <f t="shared" si="16"/>
        <v>0.99935684605831099</v>
      </c>
      <c r="T35" s="81">
        <f t="shared" si="12"/>
        <v>1.8667140642403509E-4</v>
      </c>
      <c r="U35" s="81">
        <f t="shared" si="12"/>
        <v>4.5648253526493472E-4</v>
      </c>
      <c r="V35" s="82">
        <f t="shared" si="17"/>
        <v>1</v>
      </c>
      <c r="W35" s="81">
        <f t="shared" si="18"/>
        <v>1.945352883631613E-3</v>
      </c>
      <c r="X35" s="81">
        <f>H45</f>
        <v>1.3994411813026762E-3</v>
      </c>
      <c r="Y35" s="81">
        <f t="shared" si="13"/>
        <v>0.99665520593506574</v>
      </c>
      <c r="Z35" s="83">
        <f t="shared" si="19"/>
        <v>1</v>
      </c>
      <c r="AA35" s="31">
        <f>(AA30*(AA26-W31)+AB36*(AA27-W31))/(S35-W31)</f>
        <v>12.759314481366351</v>
      </c>
      <c r="AB35" s="31">
        <f>AA34+AB36-AA35</f>
        <v>8.4791213970098145</v>
      </c>
      <c r="AC35" s="84">
        <f t="shared" si="20"/>
        <v>1.946604850213939E-3</v>
      </c>
      <c r="AD35" s="85">
        <f t="shared" si="15"/>
        <v>7.4968159725746268</v>
      </c>
      <c r="AE35" s="86">
        <f t="shared" si="15"/>
        <v>2183.3369930716494</v>
      </c>
      <c r="AG35" s="32" t="s">
        <v>63</v>
      </c>
      <c r="AH35" s="74">
        <f>(Z26*AB26+Z27*AB27-AB31*X31)/AA35</f>
        <v>1.8667140211323045E-4</v>
      </c>
    </row>
    <row r="36" spans="3:35" ht="15.75" thickBot="1" x14ac:dyDescent="0.3">
      <c r="C36">
        <v>2.1071800296631609</v>
      </c>
      <c r="D36">
        <v>2.8350922655412045</v>
      </c>
      <c r="E36">
        <v>7.2849444468829168</v>
      </c>
      <c r="F36">
        <v>6.1290709297054313</v>
      </c>
      <c r="G36">
        <v>4.0246507210259157</v>
      </c>
      <c r="H36">
        <v>0.21292207917654202</v>
      </c>
      <c r="V36" s="87"/>
      <c r="W36" s="48">
        <f>AA27</f>
        <v>0</v>
      </c>
      <c r="X36" s="48">
        <f>AB27</f>
        <v>0</v>
      </c>
      <c r="Y36" s="48">
        <f>AC27</f>
        <v>1</v>
      </c>
      <c r="Z36" s="88"/>
      <c r="AA36" s="89"/>
      <c r="AB36" s="90">
        <f>Z27</f>
        <v>8.4506966275450015</v>
      </c>
    </row>
    <row r="37" spans="3:35" ht="18.75" thickBot="1" x14ac:dyDescent="0.4">
      <c r="C37" s="75" t="s">
        <v>71</v>
      </c>
      <c r="D37" s="76" t="s">
        <v>72</v>
      </c>
      <c r="E37" s="76" t="s">
        <v>73</v>
      </c>
      <c r="F37" s="76" t="s">
        <v>74</v>
      </c>
      <c r="G37" s="76" t="s">
        <v>75</v>
      </c>
      <c r="H37" s="77" t="s">
        <v>76</v>
      </c>
      <c r="AG37" s="15" t="s">
        <v>77</v>
      </c>
      <c r="AH37" s="15" t="s">
        <v>78</v>
      </c>
      <c r="AI37" t="s">
        <v>79</v>
      </c>
    </row>
    <row r="38" spans="3:35" x14ac:dyDescent="0.25">
      <c r="C38">
        <v>0.43047242445194145</v>
      </c>
      <c r="D38">
        <v>0.32173183009668638</v>
      </c>
      <c r="E38">
        <v>5.425946787469077E-2</v>
      </c>
      <c r="F38">
        <v>8.6153182795249569E-2</v>
      </c>
      <c r="G38">
        <v>0.19991554264238187</v>
      </c>
      <c r="H38">
        <v>0.91835722352796123</v>
      </c>
      <c r="AG38" s="15">
        <f>(AH34-AH31)^2</f>
        <v>6.8938119479661379E-17</v>
      </c>
      <c r="AH38" s="15">
        <f>(AH32-AH35)^2</f>
        <v>6.9360451504701446E-6</v>
      </c>
      <c r="AI38">
        <f>AG38+AH38</f>
        <v>6.9360451505390829E-6</v>
      </c>
    </row>
    <row r="39" spans="3:35" ht="15.75" thickBot="1" x14ac:dyDescent="0.3"/>
    <row r="40" spans="3:35" ht="16.5" thickBot="1" x14ac:dyDescent="0.3">
      <c r="C40" s="9" t="s">
        <v>80</v>
      </c>
      <c r="D40" s="10" t="s">
        <v>81</v>
      </c>
      <c r="E40" s="3" t="s">
        <v>82</v>
      </c>
      <c r="G40" s="9" t="s">
        <v>83</v>
      </c>
      <c r="H40" s="10" t="s">
        <v>84</v>
      </c>
      <c r="I40" s="3" t="s">
        <v>85</v>
      </c>
      <c r="L40" s="91" t="s">
        <v>86</v>
      </c>
      <c r="M40" s="92" t="s">
        <v>87</v>
      </c>
      <c r="N40" s="92" t="s">
        <v>88</v>
      </c>
      <c r="O40" s="92" t="s">
        <v>89</v>
      </c>
      <c r="P40" s="92" t="s">
        <v>90</v>
      </c>
      <c r="Q40" s="92" t="s">
        <v>91</v>
      </c>
      <c r="R40" s="92" t="s">
        <v>92</v>
      </c>
      <c r="S40" s="92" t="s">
        <v>93</v>
      </c>
      <c r="T40" s="92" t="s">
        <v>94</v>
      </c>
      <c r="U40" s="92" t="s">
        <v>95</v>
      </c>
      <c r="V40" s="92" t="s">
        <v>96</v>
      </c>
      <c r="W40" s="92" t="s">
        <v>97</v>
      </c>
      <c r="X40" s="92" t="s">
        <v>98</v>
      </c>
      <c r="Y40" s="92" t="s">
        <v>99</v>
      </c>
      <c r="Z40" s="93" t="s">
        <v>100</v>
      </c>
    </row>
    <row r="41" spans="3:35" x14ac:dyDescent="0.25">
      <c r="C41">
        <f>1-D41-E41</f>
        <v>0.86352250094407568</v>
      </c>
      <c r="D41" s="48">
        <v>0.13520594011881754</v>
      </c>
      <c r="E41" s="48">
        <v>1.2715589371068673E-3</v>
      </c>
      <c r="F41" s="48"/>
      <c r="G41" s="48">
        <v>3.6193412153179866E-2</v>
      </c>
      <c r="H41" s="48">
        <v>0.55567183089309369</v>
      </c>
      <c r="I41">
        <f>1-G41-H41</f>
        <v>0.40813475695372647</v>
      </c>
      <c r="L41">
        <f>$C41+$D$38*$D41+$F$38*$E41</f>
        <v>0.9071321043479893</v>
      </c>
      <c r="M41">
        <f>$C$38*$C41+$D41+$H$38*$E41</f>
        <v>0.50809631000405131</v>
      </c>
      <c r="N41">
        <f>$E$38*$C41+$G$38*$D41+$E41</f>
        <v>7.5155599223481376E-2</v>
      </c>
      <c r="O41">
        <f>$D41*$D$36*$D$38+$E41*$F$36*$F$38</f>
        <v>0.12399810088683502</v>
      </c>
      <c r="P41">
        <f>$C41*$C$36*$C$38+$E41*$H$36*$H$38</f>
        <v>0.78353512979084283</v>
      </c>
      <c r="Q41">
        <f>$C41*$E$36*$E$38+$D41*$G$36*$G$38</f>
        <v>0.45011614308278131</v>
      </c>
      <c r="R41">
        <f>(O41/L41)-(C41*O41/L41^2)+(D41*$C$38/M41)*($C$36-P41/M41)+(E41*$E$38/N41)*($E$36-Q41/N41)</f>
        <v>7.2490914820592819E-2</v>
      </c>
      <c r="S41">
        <f>(P41/M41)-(D41*P41/M41^2)+(C41*$D$38/L41)*($D$36-O41/L41)+(E41*$G$38/N41)*($G$36-Q41/N41)</f>
        <v>1.9515227526335692</v>
      </c>
      <c r="T41">
        <f>(Q41/N41)-(E41*Q41/N41^2)+(C41*$F$38/L41)*($F$36-O41/L41)+(D41*$H$38/M41)*($H$36-P41/M41)</f>
        <v>6.0544155134001105</v>
      </c>
      <c r="U41">
        <f>EXP(R41)</f>
        <v>1.0751830378149876</v>
      </c>
      <c r="V41">
        <f>EXP(S41)</f>
        <v>7.0393986862256082</v>
      </c>
      <c r="W41">
        <f>EXP(T41)</f>
        <v>425.98984731867955</v>
      </c>
      <c r="X41">
        <f>U41/U47</f>
        <v>4.1913687383490113E-2</v>
      </c>
      <c r="Y41">
        <f>V41/V47</f>
        <v>4.1098181811004162</v>
      </c>
      <c r="Z41">
        <f>W41/W47</f>
        <v>320.97195422362995</v>
      </c>
    </row>
    <row r="42" spans="3:35" x14ac:dyDescent="0.25">
      <c r="C42">
        <f t="shared" ref="C42:C45" si="21">1-D42-E42</f>
        <v>0.97097231998099143</v>
      </c>
      <c r="D42">
        <v>2.8442962797632049E-2</v>
      </c>
      <c r="E42" s="48">
        <v>5.8471722137658352E-4</v>
      </c>
      <c r="G42" s="48">
        <v>1.2911946173543843E-2</v>
      </c>
      <c r="H42">
        <v>0.18985371502314657</v>
      </c>
      <c r="I42">
        <f t="shared" ref="I42:I45" si="22">1-G42-H42</f>
        <v>0.79723433880330963</v>
      </c>
      <c r="L42">
        <f>$C42+$D$38*$D42+$F$38*$E42</f>
        <v>0.98017370170490237</v>
      </c>
      <c r="M42">
        <f t="shared" ref="M42:M45" si="23">$C$38*$C42+$D42+$H$38*$E42</f>
        <v>0.4469567507395481</v>
      </c>
      <c r="N42">
        <f t="shared" ref="N42:N45" si="24">$E$38*$C42+$G$38*$D42+$E42</f>
        <v>5.8955348966644845E-2</v>
      </c>
      <c r="O42">
        <f t="shared" ref="O42:O45" si="25">$D42*$D$36*$D$38+$E42*$F$36*$F$38</f>
        <v>2.6252701155323428E-2</v>
      </c>
      <c r="P42">
        <f t="shared" ref="P42:P45" si="26">$C42*$C$36*$C$38+$E42*$H$36*$H$38</f>
        <v>0.88086671881197731</v>
      </c>
      <c r="Q42">
        <f t="shared" ref="Q42:Q45" si="27">$C42*$E$36*$E$38+$D42*$G$36*$G$38</f>
        <v>0.40668815889753951</v>
      </c>
      <c r="R42">
        <f>(O42/L42)-(C42*O42/L42^2)+(D42*$C$38/M42)*($C$36-P42/M42)+(E42*$E$38/N42)*($E$36-Q42/N42)</f>
        <v>4.1952555641946313E-3</v>
      </c>
      <c r="S42">
        <f>(P42/M42)-(D42*P42/M42^2)+(C42*$D$38/L42)*($D$36-O42/L42)+(E42*$G$38/N42)*($G$36-Q42/N42)</f>
        <v>2.7347362329053158</v>
      </c>
      <c r="T42">
        <f>(Q42/N42)-(E42*Q42/N42^2)+(C42*$F$38/L42)*($F$36-O42/L42)+(D42*$H$38/M42)*($H$36-P42/M42)</f>
        <v>7.2478863478926616</v>
      </c>
      <c r="U42">
        <f t="shared" ref="U42:W45" si="28">EXP(R42)</f>
        <v>1.0042040679679383</v>
      </c>
      <c r="V42">
        <f t="shared" si="28"/>
        <v>15.405679388677926</v>
      </c>
      <c r="W42">
        <f t="shared" si="28"/>
        <v>1405.1317475819994</v>
      </c>
      <c r="X42">
        <f t="shared" ref="X42:Z45" si="29">U42/U48</f>
        <v>1.3297954954875643E-2</v>
      </c>
      <c r="Y42">
        <f t="shared" si="29"/>
        <v>6.6748923582233575</v>
      </c>
      <c r="Z42">
        <f t="shared" si="29"/>
        <v>1363.4528104480985</v>
      </c>
    </row>
    <row r="43" spans="3:35" x14ac:dyDescent="0.25">
      <c r="C43">
        <f t="shared" si="21"/>
        <v>0.99380071320903152</v>
      </c>
      <c r="D43">
        <v>5.7188511920363613E-3</v>
      </c>
      <c r="E43" s="48">
        <v>4.8043559893205996E-4</v>
      </c>
      <c r="G43" s="48">
        <v>3.2376850085101532E-3</v>
      </c>
      <c r="H43">
        <v>4.2016348598742259E-2</v>
      </c>
      <c r="I43">
        <f t="shared" si="22"/>
        <v>0.95474596639274756</v>
      </c>
      <c r="L43">
        <f t="shared" ref="L43:L45" si="30">$C43+$D$38*$D43+$F$38*$E43</f>
        <v>0.99568204072507216</v>
      </c>
      <c r="M43">
        <f t="shared" si="23"/>
        <v>0.43396386513191598</v>
      </c>
      <c r="N43">
        <f t="shared" si="24"/>
        <v>5.5546820710489261E-2</v>
      </c>
      <c r="O43">
        <f t="shared" si="25"/>
        <v>5.4700783449492208E-3</v>
      </c>
      <c r="P43">
        <f t="shared" si="26"/>
        <v>0.90155357278006421</v>
      </c>
      <c r="Q43">
        <f t="shared" si="27"/>
        <v>0.39742810421505942</v>
      </c>
      <c r="R43">
        <f>(O43/L43)-(C43*O43/L43^2)+(D43*$C$38/M43)*($C$36-P43/M43)+(E43*$E$38/N43)*($E$36-Q43/N43)</f>
        <v>2.3989609428996635E-4</v>
      </c>
      <c r="S43">
        <f>(P43/M43)-(D43*P43/M43^2)+(C43*$D$38/L43)*($D$36-O43/L43)+(E43*$G$38/N43)*($G$36-Q43/N43)</f>
        <v>2.9533472213304868</v>
      </c>
      <c r="T43">
        <f>(Q43/N43)-(E43*Q43/N43^2)+(C43*$F$38/L43)*($F$36-O43/L43)+(D43*$H$38/M43)*($H$36-P43/M43)</f>
        <v>7.5969506242322895</v>
      </c>
      <c r="U43">
        <f t="shared" si="28"/>
        <v>1.0002399248716591</v>
      </c>
      <c r="V43">
        <f t="shared" si="28"/>
        <v>19.170012734116366</v>
      </c>
      <c r="W43">
        <f t="shared" si="28"/>
        <v>1992.1119258310978</v>
      </c>
      <c r="X43">
        <f t="shared" si="29"/>
        <v>3.2578815505731203E-3</v>
      </c>
      <c r="Y43">
        <f t="shared" si="29"/>
        <v>7.346991063039205</v>
      </c>
      <c r="Z43">
        <f t="shared" si="29"/>
        <v>1987.2506710889277</v>
      </c>
    </row>
    <row r="44" spans="3:35" x14ac:dyDescent="0.25">
      <c r="C44">
        <f t="shared" si="21"/>
        <v>0.9984253596971715</v>
      </c>
      <c r="D44">
        <v>1.1141790244554313E-3</v>
      </c>
      <c r="E44" s="48">
        <v>4.6046127837308663E-4</v>
      </c>
      <c r="G44" s="48">
        <v>2.1347249016363794E-3</v>
      </c>
      <c r="H44">
        <v>8.3251233495735509E-3</v>
      </c>
      <c r="I44">
        <f t="shared" si="22"/>
        <v>0.98954015174879006</v>
      </c>
      <c r="L44">
        <f t="shared" si="30"/>
        <v>0.99882349675845061</v>
      </c>
      <c r="M44">
        <f t="shared" si="23"/>
        <v>0.43133163218874737</v>
      </c>
      <c r="N44">
        <f t="shared" si="24"/>
        <v>5.4857231712413107E-2</v>
      </c>
      <c r="O44">
        <f t="shared" si="25"/>
        <v>1.2594281108960458E-3</v>
      </c>
      <c r="P44">
        <f t="shared" si="26"/>
        <v>0.9057446047608152</v>
      </c>
      <c r="Q44">
        <f t="shared" si="27"/>
        <v>0.39555124732089098</v>
      </c>
      <c r="R44">
        <f>(O44/L44)-(C44*O44/L44^2)+(D44*$C$38/M44)*($C$36-P44/M44)+(E44*$E$38/N44)*($E$36-Q44/N44)</f>
        <v>4.2498981018546717E-5</v>
      </c>
      <c r="S44">
        <f>(P44/M44)-(D44*P44/M44^2)+(C44*$D$38/L44)*($D$36-O44/L44)+(E44*$G$38/N44)*($G$36-Q44/N44)</f>
        <v>3.0004798261781587</v>
      </c>
      <c r="T44">
        <f>(Q44/N44)-(E44*Q44/N44^2)+(C44*$F$38/L44)*($F$36-O44/L44)+(D44*$H$38/M44)*($H$36-P44/M44)</f>
        <v>7.6732774848719414</v>
      </c>
      <c r="U44">
        <f t="shared" si="28"/>
        <v>1.0000424998841131</v>
      </c>
      <c r="V44">
        <f t="shared" si="28"/>
        <v>20.095176802153976</v>
      </c>
      <c r="W44">
        <f t="shared" si="28"/>
        <v>2150.116885240132</v>
      </c>
      <c r="X44">
        <f t="shared" si="29"/>
        <v>2.1380916268832076E-3</v>
      </c>
      <c r="Y44">
        <f t="shared" si="29"/>
        <v>7.4719799662738744</v>
      </c>
      <c r="Z44">
        <f t="shared" si="29"/>
        <v>2149.0192514016776</v>
      </c>
    </row>
    <row r="45" spans="3:35" ht="15.75" thickBot="1" x14ac:dyDescent="0.3">
      <c r="C45">
        <f t="shared" si="21"/>
        <v>0.99935684605831099</v>
      </c>
      <c r="D45">
        <v>1.8667140642403509E-4</v>
      </c>
      <c r="E45" s="48">
        <v>4.5648253526493472E-4</v>
      </c>
      <c r="G45" s="48">
        <v>1.945352883631613E-3</v>
      </c>
      <c r="H45">
        <v>1.3994411813026762E-3</v>
      </c>
      <c r="I45">
        <f t="shared" si="22"/>
        <v>0.99665520593506574</v>
      </c>
      <c r="L45">
        <f t="shared" si="30"/>
        <v>0.99945623161482999</v>
      </c>
      <c r="M45">
        <f t="shared" si="23"/>
        <v>0.4308014498554657</v>
      </c>
      <c r="N45">
        <f t="shared" si="24"/>
        <v>5.4718371734829234E-2</v>
      </c>
      <c r="O45">
        <f t="shared" si="25"/>
        <v>4.1131091587200185E-4</v>
      </c>
      <c r="P45">
        <f t="shared" si="26"/>
        <v>0.90658876210940276</v>
      </c>
      <c r="Q45">
        <f t="shared" si="27"/>
        <v>0.39517317907976296</v>
      </c>
      <c r="R45">
        <f>(O45/L45)-(C45*O45/L45^2)+(D45*$C$38/M45)*($C$36-P45/M45)+(E45*$E$38/N45)*($E$36-Q45/N45)</f>
        <v>2.9071135961655925E-5</v>
      </c>
      <c r="S45">
        <f>(P45/M45)-(D45*P45/M45^2)+(C45*$D$38/L45)*($D$36-O45/L45)+(E45*$G$38/N45)*($G$36-Q45/N45)</f>
        <v>3.0100957417514036</v>
      </c>
      <c r="T45">
        <f>(Q45/N45)-(E45*Q45/N45^2)+(C45*$F$38/L45)*($F$36-O45/L45)+(D45*$H$38/M45)*($H$36-P45/M45)</f>
        <v>7.6888969168162289</v>
      </c>
      <c r="U45">
        <f t="shared" si="28"/>
        <v>1.0000290715585312</v>
      </c>
      <c r="V45">
        <f t="shared" si="28"/>
        <v>20.289342369426219</v>
      </c>
      <c r="W45">
        <f t="shared" si="28"/>
        <v>2183.9641389083513</v>
      </c>
      <c r="X45">
        <f t="shared" si="29"/>
        <v>1.9466048502139387E-3</v>
      </c>
      <c r="Y45">
        <f t="shared" si="29"/>
        <v>7.4968159725746277</v>
      </c>
      <c r="Z45">
        <f t="shared" si="29"/>
        <v>2183.3369930716494</v>
      </c>
    </row>
    <row r="46" spans="3:35" ht="16.5" thickBot="1" x14ac:dyDescent="0.3">
      <c r="L46" s="91" t="s">
        <v>101</v>
      </c>
      <c r="M46" s="92" t="s">
        <v>102</v>
      </c>
      <c r="N46" s="92" t="s">
        <v>103</v>
      </c>
      <c r="O46" s="92" t="s">
        <v>104</v>
      </c>
      <c r="P46" s="92" t="s">
        <v>105</v>
      </c>
      <c r="Q46" s="92" t="s">
        <v>106</v>
      </c>
      <c r="R46" s="92" t="s">
        <v>107</v>
      </c>
      <c r="S46" s="92" t="s">
        <v>108</v>
      </c>
      <c r="T46" s="92" t="s">
        <v>109</v>
      </c>
      <c r="U46" s="92" t="s">
        <v>110</v>
      </c>
      <c r="V46" s="92" t="s">
        <v>111</v>
      </c>
      <c r="W46" s="92" t="s">
        <v>112</v>
      </c>
      <c r="X46" s="92" t="s">
        <v>113</v>
      </c>
      <c r="Y46" s="92" t="s">
        <v>114</v>
      </c>
      <c r="Z46" s="93" t="s">
        <v>115</v>
      </c>
    </row>
    <row r="47" spans="3:35" ht="15.75" thickBot="1" x14ac:dyDescent="0.3">
      <c r="L47">
        <f>$G41+$D$38*$H41+$F$38*$I41</f>
        <v>0.25013283556052046</v>
      </c>
      <c r="M47">
        <f>$C$38*$G41+$H41+$H$38*$I41</f>
        <v>0.94606559899314491</v>
      </c>
      <c r="N47">
        <f>$E$38*$G41+$G$38*$H41+$I41</f>
        <v>0.52118602784180601</v>
      </c>
      <c r="O47">
        <f>$H41*$D$36*$D$38+$I41*$F$36*$F$38</f>
        <v>0.72236123919266837</v>
      </c>
      <c r="P47">
        <f>$G41*$C$36*$C$38+$I41*$H$36*$H$38</f>
        <v>0.1126364953129788</v>
      </c>
      <c r="Q47">
        <f>$G41*$E$36*$E$38+$H41*$G$36*$G$38</f>
        <v>0.46139455874765034</v>
      </c>
      <c r="R47">
        <f>(O47/L47)-(G41*O47/L47^2)+(H41*$C$38/M47)*($C$36-P47/M47)+(I41*$E$38/N47)*($E$36-Q47/N47)</f>
        <v>3.2446337523552415</v>
      </c>
      <c r="S47">
        <f>(P47/M47)-(H41*P47/M47^2)+(G41*$D$38/L47)*($D$36-O47/L47)+(I41*$G$38/N47)*($G$36-Q47/N47)</f>
        <v>0.53814396327904412</v>
      </c>
      <c r="T47">
        <f>(Q47/N47)-(I41*Q47/N47^2)+(G41*$F$38/L47)*($F$36-O47/L47)+(H41*$H$38/M47)*($H$36-P47/M47)</f>
        <v>0.28306176410692163</v>
      </c>
      <c r="U47">
        <f>EXP(R47)</f>
        <v>25.652313240244865</v>
      </c>
      <c r="V47">
        <f>EXP(S47)</f>
        <v>1.7128248443197036</v>
      </c>
      <c r="W47">
        <f>EXP(T47)</f>
        <v>1.3271871318136437</v>
      </c>
      <c r="X47">
        <f>U47/U41</f>
        <v>23.858554625616215</v>
      </c>
      <c r="Y47">
        <f>V47/V41</f>
        <v>0.2433197664555192</v>
      </c>
      <c r="Z47">
        <f>W47/W41</f>
        <v>3.1155370020374824E-3</v>
      </c>
    </row>
    <row r="48" spans="3:35" ht="15.75" thickBot="1" x14ac:dyDescent="0.3">
      <c r="C48" s="94" t="s">
        <v>116</v>
      </c>
      <c r="D48" s="95"/>
      <c r="E48" s="95"/>
      <c r="F48" s="95"/>
      <c r="G48" s="95"/>
      <c r="H48" s="95"/>
      <c r="I48" s="96"/>
      <c r="L48">
        <f t="shared" ref="L48:L51" si="31">$G42+$D$38*$H42+$F$38*$I42</f>
        <v>0.14267820508016701</v>
      </c>
      <c r="M48">
        <f t="shared" ref="M48:M51" si="32">$C$38*$G42+$H42+$H$38*$I42</f>
        <v>0.9275578656814224</v>
      </c>
      <c r="N48">
        <f t="shared" ref="N48:N51" si="33">$E$38*$G42+$G$38*$H42+$I42</f>
        <v>0.83588964259343723</v>
      </c>
      <c r="O48">
        <f t="shared" ref="O48:O51" si="34">$H42*$D$36*$D$38+$I42*$F$36*$F$38</f>
        <v>0.5941438557448141</v>
      </c>
      <c r="P48">
        <f t="shared" ref="P48:P51" si="35">$G42*$C$36*$C$38+$I42*$H$36*$H$38</f>
        <v>0.16760223577462821</v>
      </c>
      <c r="Q48">
        <f t="shared" ref="Q48:Q51" si="36">$G42*$E$36*$E$38+$H42*$G$36*$G$38</f>
        <v>0.15785824282462246</v>
      </c>
      <c r="R48">
        <f>(O48/L48)-(G42*O48/L48^2)+(H42*$C$38/M48)*($C$36-P48/M48)+(I42*$E$38/N48)*($E$36-Q48/N48)</f>
        <v>4.3243402739326386</v>
      </c>
      <c r="S48">
        <f>(P48/M48)-(H42*P48/M48^2)+(G42*$D$38/L48)*($D$36-O48/L48)+(I42*$G$38/N48)*($G$36-Q48/N48)</f>
        <v>0.83638315485788994</v>
      </c>
      <c r="T48">
        <f>(Q48/N48)-(I42*Q48/N48^2)+(G42*$F$38/L48)*($F$36-O48/L48)+(H42*$H$38/M48)*($H$36-P48/M48)</f>
        <v>3.0110755338235887E-2</v>
      </c>
      <c r="U48">
        <f t="shared" ref="U48:W51" si="37">EXP(R48)</f>
        <v>75.515676761993447</v>
      </c>
      <c r="V48">
        <f t="shared" si="37"/>
        <v>2.3080041687411459</v>
      </c>
      <c r="W48">
        <f t="shared" si="37"/>
        <v>1.0305686686143565</v>
      </c>
      <c r="X48">
        <f t="shared" ref="X48:Z51" si="38">U48/U42</f>
        <v>75.199532814882474</v>
      </c>
      <c r="Y48">
        <f t="shared" si="38"/>
        <v>0.14981515001781512</v>
      </c>
      <c r="Z48">
        <f t="shared" si="38"/>
        <v>7.3343205744784824E-4</v>
      </c>
    </row>
    <row r="49" spans="2:26" ht="15.75" thickBot="1" x14ac:dyDescent="0.3">
      <c r="B49" s="11" t="s">
        <v>117</v>
      </c>
      <c r="C49" s="10" t="s">
        <v>80</v>
      </c>
      <c r="D49" s="10" t="s">
        <v>81</v>
      </c>
      <c r="E49" s="10" t="s">
        <v>82</v>
      </c>
      <c r="F49" s="10"/>
      <c r="G49" s="10" t="s">
        <v>83</v>
      </c>
      <c r="H49" s="10" t="s">
        <v>84</v>
      </c>
      <c r="I49" s="10" t="s">
        <v>118</v>
      </c>
      <c r="J49" s="11" t="s">
        <v>117</v>
      </c>
      <c r="L49">
        <f t="shared" si="31"/>
        <v>9.9010085502825418E-2</v>
      </c>
      <c r="M49">
        <f t="shared" si="32"/>
        <v>0.92020793758493113</v>
      </c>
      <c r="N49">
        <f t="shared" si="33"/>
        <v>0.96332136258842427</v>
      </c>
      <c r="O49">
        <f t="shared" si="34"/>
        <v>0.54246784293138672</v>
      </c>
      <c r="P49">
        <f t="shared" si="35"/>
        <v>0.18962647097092009</v>
      </c>
      <c r="Q49">
        <f t="shared" si="36"/>
        <v>3.5085726796529063E-2</v>
      </c>
      <c r="R49">
        <f>(O49/L49)-(G43*O49/L49^2)+(H43*$C$38/M49)*($C$36-P49/M49)+(I43*$E$38/N49)*($E$36-Q49/N49)</f>
        <v>5.7269180220421028</v>
      </c>
      <c r="S49">
        <f>(P49/M49)-(H43*P49/M49^2)+(G43*$D$38/L49)*($D$36-O49/L49)+(I43*$G$38/N49)*($G$36-Q49/N49)</f>
        <v>0.9590563711026131</v>
      </c>
      <c r="T49">
        <f>(Q49/N49)-(I43*Q49/N49^2)+(G43*$F$38/L49)*($F$36-O49/L49)+(H43*$H$38/M49)*($H$36-P49/M49)</f>
        <v>2.4432340818404843E-3</v>
      </c>
      <c r="U49">
        <f t="shared" si="37"/>
        <v>307.02157501573339</v>
      </c>
      <c r="V49">
        <f t="shared" si="37"/>
        <v>2.6092331635675587</v>
      </c>
      <c r="W49">
        <f t="shared" si="37"/>
        <v>1.0024462212104859</v>
      </c>
      <c r="X49">
        <f t="shared" si="38"/>
        <v>306.94793057288467</v>
      </c>
      <c r="Y49">
        <f t="shared" si="38"/>
        <v>0.13611014242697791</v>
      </c>
      <c r="Z49">
        <f t="shared" si="38"/>
        <v>5.032077807537199E-4</v>
      </c>
    </row>
    <row r="50" spans="2:26" x14ac:dyDescent="0.25">
      <c r="B50" s="97">
        <f>SUM(C50:E50)</f>
        <v>1.0000000000000087</v>
      </c>
      <c r="C50">
        <f>G41*X47</f>
        <v>0.86352250094408356</v>
      </c>
      <c r="D50">
        <f>H41*Y47</f>
        <v>0.13520594011881831</v>
      </c>
      <c r="E50">
        <f>I41*Z47</f>
        <v>1.2715589371069095E-3</v>
      </c>
      <c r="G50">
        <f>C41*X41</f>
        <v>3.6193412153179533E-2</v>
      </c>
      <c r="H50">
        <f>D41*Y41</f>
        <v>0.55567183089309047</v>
      </c>
      <c r="I50">
        <f>E41*Z41</f>
        <v>0.40813475695371293</v>
      </c>
      <c r="J50" s="97">
        <f>SUM(G50:I50)</f>
        <v>0.9999999999999829</v>
      </c>
      <c r="L50">
        <f t="shared" si="31"/>
        <v>9.0065215649527852E-2</v>
      </c>
      <c r="M50">
        <f t="shared" si="32"/>
        <v>0.91799540988297523</v>
      </c>
      <c r="N50">
        <f t="shared" si="33"/>
        <v>0.9913203023380065</v>
      </c>
      <c r="O50">
        <f t="shared" si="34"/>
        <v>0.53010943390335397</v>
      </c>
      <c r="P50">
        <f t="shared" si="35"/>
        <v>0.19542959856115788</v>
      </c>
      <c r="Q50">
        <f t="shared" si="36"/>
        <v>7.5421210357502749E-3</v>
      </c>
      <c r="R50">
        <f>(O50/L50)-(G44*O50/L50^2)+(H44*$C$38/M50)*($C$36-P50/M50)+(I44*$E$38/N50)*($E$36-Q50/N50)</f>
        <v>6.1478841099253785</v>
      </c>
      <c r="S50">
        <f>(P50/M50)-(H44*P50/M50^2)+(G44*$D$38/L50)*($D$36-O50/L50)+(I44*$G$38/N50)*($G$36-Q50/N50)</f>
        <v>0.98931980642840811</v>
      </c>
      <c r="T50">
        <f>(Q50/N50)-(I44*Q50/N50^2)+(G44*$F$38/L50)*($F$36-O50/L50)+(H44*$H$38/M50)*($H$36-P50/M50)</f>
        <v>5.1062996258676168E-4</v>
      </c>
      <c r="U50">
        <f t="shared" si="37"/>
        <v>467.7266807980161</v>
      </c>
      <c r="V50">
        <f t="shared" si="37"/>
        <v>2.6894045343880966</v>
      </c>
      <c r="W50">
        <f t="shared" si="37"/>
        <v>1.0005107603562595</v>
      </c>
      <c r="X50">
        <f t="shared" si="38"/>
        <v>467.70680331307642</v>
      </c>
      <c r="Y50">
        <f t="shared" si="38"/>
        <v>0.13383333527574751</v>
      </c>
      <c r="Z50">
        <f t="shared" si="38"/>
        <v>4.6532854433377433E-4</v>
      </c>
    </row>
    <row r="51" spans="2:26" x14ac:dyDescent="0.25">
      <c r="B51" s="97">
        <f t="shared" ref="B51:B54" si="39">SUM(C51:E51)</f>
        <v>1.0000000000004152</v>
      </c>
      <c r="C51">
        <f t="shared" ref="C51:E54" si="40">G42*X48</f>
        <v>0.97097231998140643</v>
      </c>
      <c r="D51">
        <f t="shared" si="40"/>
        <v>2.8442962797632223E-2</v>
      </c>
      <c r="E51">
        <f t="shared" si="40"/>
        <v>5.8471722137658634E-4</v>
      </c>
      <c r="G51">
        <f t="shared" ref="G51:I54" si="41">C42*X42</f>
        <v>1.2911946173538323E-2</v>
      </c>
      <c r="H51">
        <f t="shared" si="41"/>
        <v>0.18985371502314541</v>
      </c>
      <c r="I51">
        <f t="shared" si="41"/>
        <v>0.79723433880330574</v>
      </c>
      <c r="J51" s="97">
        <f t="shared" ref="J51:J54" si="42">SUM(G51:I51)</f>
        <v>0.99999999999998945</v>
      </c>
      <c r="L51">
        <f t="shared" si="31"/>
        <v>8.8260615796765612E-2</v>
      </c>
      <c r="M51">
        <f t="shared" si="32"/>
        <v>0.91752236969074952</v>
      </c>
      <c r="N51">
        <f t="shared" si="33"/>
        <v>0.99704052979051627</v>
      </c>
      <c r="O51">
        <f t="shared" si="34"/>
        <v>0.52754927203692215</v>
      </c>
      <c r="P51">
        <f t="shared" si="35"/>
        <v>0.19664908967523609</v>
      </c>
      <c r="Q51">
        <f t="shared" si="36"/>
        <v>1.8949303646311557E-3</v>
      </c>
      <c r="R51">
        <f>(O51/L51)-(G45*O51/L51^2)+(H45*$C$38/M51)*($C$36-P51/M51)+(I45*$E$38/N51)*($E$36-Q51/N51)</f>
        <v>6.2416975974773603</v>
      </c>
      <c r="S51">
        <f>(P51/M51)-(H45*P51/M51^2)+(G45*$D$38/L51)*($D$36-O51/L51)+(I45*$G$38/N51)*($G$36-Q51/N51)</f>
        <v>0.99561734834052962</v>
      </c>
      <c r="T51">
        <f>(Q51/N51)-(I45*Q51/N51^2)+(G45*$F$38/L51)*($F$36-O51/L51)+(H45*$H$38/M51)*($H$36-P51/M51)</f>
        <v>2.8720064042323543E-4</v>
      </c>
      <c r="U51">
        <f t="shared" si="37"/>
        <v>513.72987766295989</v>
      </c>
      <c r="V51">
        <f t="shared" si="37"/>
        <v>2.7063946138800925</v>
      </c>
      <c r="W51">
        <f t="shared" si="37"/>
        <v>1.0002872418864757</v>
      </c>
      <c r="X51">
        <f t="shared" si="38"/>
        <v>513.7149431689212</v>
      </c>
      <c r="Y51">
        <f t="shared" si="38"/>
        <v>0.13338996230643374</v>
      </c>
      <c r="Z51">
        <f t="shared" si="38"/>
        <v>4.5801449944432999E-4</v>
      </c>
    </row>
    <row r="52" spans="2:26" x14ac:dyDescent="0.25">
      <c r="B52" s="97">
        <f t="shared" si="39"/>
        <v>1.0000000000000124</v>
      </c>
      <c r="C52">
        <f t="shared" si="40"/>
        <v>0.99380071320904406</v>
      </c>
      <c r="D52">
        <f t="shared" si="40"/>
        <v>5.718851192036363E-3</v>
      </c>
      <c r="E52">
        <f t="shared" si="40"/>
        <v>4.8043559893206012E-4</v>
      </c>
      <c r="G52">
        <f t="shared" si="41"/>
        <v>3.2376850085101124E-3</v>
      </c>
      <c r="H52">
        <f t="shared" si="41"/>
        <v>4.2016348598742252E-2</v>
      </c>
      <c r="I52">
        <f t="shared" si="41"/>
        <v>0.954745966392747</v>
      </c>
      <c r="J52" s="97">
        <f t="shared" si="42"/>
        <v>0.99999999999999933</v>
      </c>
    </row>
    <row r="53" spans="2:26" x14ac:dyDescent="0.25">
      <c r="B53" s="97">
        <f t="shared" si="39"/>
        <v>1.0000000000000011</v>
      </c>
      <c r="C53">
        <f t="shared" si="40"/>
        <v>0.9984253596971725</v>
      </c>
      <c r="D53">
        <f t="shared" si="40"/>
        <v>1.1141790244554313E-3</v>
      </c>
      <c r="E53">
        <f t="shared" si="40"/>
        <v>4.6046127837308663E-4</v>
      </c>
      <c r="G53">
        <f t="shared" si="41"/>
        <v>2.1347249016363773E-3</v>
      </c>
      <c r="H53">
        <f t="shared" si="41"/>
        <v>8.3251233495735509E-3</v>
      </c>
      <c r="I53">
        <f t="shared" si="41"/>
        <v>0.98954015174879006</v>
      </c>
      <c r="J53" s="97">
        <f t="shared" si="42"/>
        <v>1</v>
      </c>
    </row>
    <row r="54" spans="2:26" x14ac:dyDescent="0.25">
      <c r="B54" s="97">
        <f t="shared" si="39"/>
        <v>1</v>
      </c>
      <c r="C54">
        <f t="shared" si="40"/>
        <v>0.99935684605831099</v>
      </c>
      <c r="D54">
        <f t="shared" si="40"/>
        <v>1.8667140642403509E-4</v>
      </c>
      <c r="E54">
        <f t="shared" si="40"/>
        <v>4.5648253526493478E-4</v>
      </c>
      <c r="G54">
        <f t="shared" si="41"/>
        <v>1.9453528836316128E-3</v>
      </c>
      <c r="H54">
        <f t="shared" si="41"/>
        <v>1.3994411813026762E-3</v>
      </c>
      <c r="I54">
        <f t="shared" si="41"/>
        <v>0.99665520593506574</v>
      </c>
      <c r="J54" s="97">
        <f t="shared" si="42"/>
        <v>1</v>
      </c>
    </row>
    <row r="55" spans="2:26" ht="15.75" thickBot="1" x14ac:dyDescent="0.3"/>
    <row r="56" spans="2:26" ht="15.75" thickBot="1" x14ac:dyDescent="0.3">
      <c r="C56" s="1" t="s">
        <v>119</v>
      </c>
      <c r="D56" s="2"/>
      <c r="E56" s="2"/>
      <c r="F56" s="2"/>
      <c r="G56" s="2"/>
      <c r="H56" s="2"/>
      <c r="I56" s="98"/>
    </row>
    <row r="57" spans="2:26" ht="15.75" thickBot="1" x14ac:dyDescent="0.3">
      <c r="C57" s="9" t="s">
        <v>120</v>
      </c>
      <c r="D57" s="10" t="s">
        <v>121</v>
      </c>
      <c r="E57" s="3" t="s">
        <v>122</v>
      </c>
      <c r="G57" s="9" t="s">
        <v>120</v>
      </c>
      <c r="H57" s="10" t="s">
        <v>121</v>
      </c>
      <c r="I57" s="3" t="s">
        <v>122</v>
      </c>
    </row>
    <row r="58" spans="2:26" x14ac:dyDescent="0.25">
      <c r="C58">
        <f>(C41+C50)/2</f>
        <v>0.86352250094407967</v>
      </c>
      <c r="D58">
        <f>(D41+D50)/2</f>
        <v>0.13520594011881792</v>
      </c>
      <c r="E58">
        <f>(E41+E50)/2</f>
        <v>1.2715589371068885E-3</v>
      </c>
      <c r="G58">
        <f>(G41+G50)/2</f>
        <v>3.6193412153179699E-2</v>
      </c>
      <c r="H58">
        <f>(H41+H50)/2</f>
        <v>0.55567183089309213</v>
      </c>
      <c r="I58">
        <f>(I41+I50)/2</f>
        <v>0.4081347569537197</v>
      </c>
    </row>
    <row r="59" spans="2:26" x14ac:dyDescent="0.25">
      <c r="C59">
        <f t="shared" ref="C59:E62" si="43">(C42+C51)/2</f>
        <v>0.97097231998119893</v>
      </c>
      <c r="D59">
        <f t="shared" si="43"/>
        <v>2.8442962797632136E-2</v>
      </c>
      <c r="E59">
        <f t="shared" si="43"/>
        <v>5.8471722137658493E-4</v>
      </c>
      <c r="G59">
        <f t="shared" ref="G59:I62" si="44">(G42+G51)/2</f>
        <v>1.2911946173541083E-2</v>
      </c>
      <c r="H59">
        <f t="shared" si="44"/>
        <v>0.18985371502314599</v>
      </c>
      <c r="I59">
        <f t="shared" si="44"/>
        <v>0.79723433880330763</v>
      </c>
    </row>
    <row r="60" spans="2:26" x14ac:dyDescent="0.25">
      <c r="C60">
        <f t="shared" si="43"/>
        <v>0.99380071320903784</v>
      </c>
      <c r="D60">
        <f t="shared" si="43"/>
        <v>5.7188511920363621E-3</v>
      </c>
      <c r="E60">
        <f t="shared" si="43"/>
        <v>4.8043559893206007E-4</v>
      </c>
      <c r="G60">
        <f t="shared" si="44"/>
        <v>3.2376850085101328E-3</v>
      </c>
      <c r="H60">
        <f t="shared" si="44"/>
        <v>4.2016348598742259E-2</v>
      </c>
      <c r="I60">
        <f t="shared" si="44"/>
        <v>0.95474596639274734</v>
      </c>
    </row>
    <row r="61" spans="2:26" x14ac:dyDescent="0.25">
      <c r="C61">
        <f t="shared" si="43"/>
        <v>0.99842535969717194</v>
      </c>
      <c r="D61">
        <f t="shared" si="43"/>
        <v>1.1141790244554313E-3</v>
      </c>
      <c r="E61">
        <f t="shared" si="43"/>
        <v>4.6046127837308663E-4</v>
      </c>
      <c r="G61">
        <f t="shared" si="44"/>
        <v>2.1347249016363786E-3</v>
      </c>
      <c r="H61">
        <f t="shared" si="44"/>
        <v>8.3251233495735509E-3</v>
      </c>
      <c r="I61">
        <f t="shared" si="44"/>
        <v>0.98954015174879006</v>
      </c>
    </row>
    <row r="62" spans="2:26" x14ac:dyDescent="0.25">
      <c r="C62">
        <f t="shared" si="43"/>
        <v>0.99935684605831099</v>
      </c>
      <c r="D62">
        <f t="shared" si="43"/>
        <v>1.8667140642403509E-4</v>
      </c>
      <c r="E62">
        <f t="shared" si="43"/>
        <v>4.5648253526493472E-4</v>
      </c>
      <c r="G62">
        <f t="shared" si="44"/>
        <v>1.9453528836316128E-3</v>
      </c>
      <c r="H62">
        <f t="shared" si="44"/>
        <v>1.3994411813026762E-3</v>
      </c>
      <c r="I62">
        <f t="shared" si="44"/>
        <v>0.99665520593506574</v>
      </c>
    </row>
  </sheetData>
  <mergeCells count="3">
    <mergeCell ref="AD4:AD5"/>
    <mergeCell ref="AD6:AD7"/>
    <mergeCell ref="C48:I4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 macro="[2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Reg-IL</vt:lpstr>
      <vt:lpstr>Cista-IL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2025-04-15T09:40:23Z</dcterms:modified>
</cp:coreProperties>
</file>