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trlProps/ctrlProp2.xml" ContentType="application/vnd.ms-excel.controlpropertie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Workbook________" defaultThemeVersion="124226"/>
  <bookViews>
    <workbookView xWindow="240" yWindow="105" windowWidth="14805" windowHeight="8010" firstSheet="1" activeTab="1"/>
  </bookViews>
  <sheets>
    <sheet name="Лист1" sheetId="1" r:id="rId1"/>
    <sheet name="BMIM+MTBE LLE" sheetId="7" r:id="rId2"/>
    <sheet name="BMIM wi=xi" sheetId="2" r:id="rId3"/>
    <sheet name="MIM" sheetId="9" r:id="rId4"/>
    <sheet name="MIM LLE" sheetId="10" r:id="rId5"/>
  </sheets>
  <definedNames>
    <definedName name="_xlnm._FilterDatabase" localSheetId="1" hidden="1">'BMIM+MTBE LLE'!$T$3:$Z$3</definedName>
  </definedNames>
  <calcPr calcId="145621"/>
</workbook>
</file>

<file path=xl/calcChain.xml><?xml version="1.0" encoding="utf-8"?>
<calcChain xmlns="http://schemas.openxmlformats.org/spreadsheetml/2006/main">
  <c r="Z16" i="10" l="1"/>
  <c r="T16" i="10"/>
  <c r="O37" i="7"/>
  <c r="Z29" i="7"/>
  <c r="T29" i="7"/>
  <c r="Z7" i="7"/>
  <c r="T7" i="7"/>
  <c r="Z6" i="7"/>
  <c r="T6" i="7"/>
  <c r="Z5" i="7"/>
  <c r="T5" i="7"/>
  <c r="Z4" i="7"/>
  <c r="T4" i="7"/>
  <c r="Z3" i="7"/>
  <c r="T3" i="7"/>
  <c r="F50" i="7" l="1"/>
  <c r="C50" i="7"/>
  <c r="F49" i="7"/>
  <c r="C49" i="7"/>
  <c r="F48" i="7"/>
  <c r="C48" i="7"/>
  <c r="F47" i="7"/>
  <c r="C47" i="7"/>
  <c r="F46" i="7"/>
  <c r="C46" i="7"/>
  <c r="F45" i="7"/>
  <c r="C45" i="7"/>
  <c r="P52" i="2"/>
  <c r="P53" i="2"/>
  <c r="P54" i="2"/>
  <c r="P55" i="2"/>
  <c r="P56" i="2"/>
  <c r="P51" i="2"/>
  <c r="M52" i="2"/>
  <c r="M53" i="2"/>
  <c r="M54" i="2"/>
  <c r="M55" i="2"/>
  <c r="M56" i="2"/>
  <c r="M51" i="2"/>
  <c r="Q23" i="2"/>
  <c r="Q24" i="2"/>
  <c r="Q25" i="2"/>
  <c r="Q26" i="2"/>
  <c r="Q27" i="2"/>
  <c r="Q28" i="2"/>
  <c r="Q29" i="2"/>
  <c r="Q9" i="2"/>
  <c r="N9" i="2"/>
  <c r="U39" i="10" l="1"/>
  <c r="S37" i="10"/>
  <c r="O37" i="10"/>
  <c r="T39" i="10" s="1"/>
  <c r="Z14" i="10"/>
  <c r="T14" i="10"/>
  <c r="Z13" i="10"/>
  <c r="T13" i="10"/>
  <c r="Z12" i="10"/>
  <c r="T12" i="10"/>
  <c r="Z11" i="10"/>
  <c r="T11" i="10"/>
  <c r="Z10" i="10"/>
  <c r="T10" i="10"/>
  <c r="Z9" i="10"/>
  <c r="T9" i="10"/>
  <c r="Z8" i="10"/>
  <c r="T8" i="10"/>
  <c r="Z7" i="10"/>
  <c r="T7" i="10"/>
  <c r="Z6" i="10"/>
  <c r="T6" i="10"/>
  <c r="Z5" i="10"/>
  <c r="T5" i="10"/>
  <c r="Z4" i="10"/>
  <c r="T4" i="10"/>
  <c r="Z3" i="10"/>
  <c r="T3" i="10"/>
  <c r="R32" i="10"/>
  <c r="Q32" i="10"/>
  <c r="P32" i="10"/>
  <c r="O32" i="10"/>
  <c r="N32" i="10"/>
  <c r="M32" i="10"/>
  <c r="L32" i="10"/>
  <c r="K32" i="10"/>
  <c r="J32" i="10"/>
  <c r="I32" i="10"/>
  <c r="H32" i="10"/>
  <c r="G32" i="10"/>
  <c r="B39" i="10"/>
  <c r="F54" i="9"/>
  <c r="D54" i="9"/>
  <c r="A54" i="9"/>
  <c r="F53" i="9"/>
  <c r="D53" i="9"/>
  <c r="A53" i="9"/>
  <c r="F52" i="9"/>
  <c r="D52" i="9"/>
  <c r="A52" i="9"/>
  <c r="F51" i="9"/>
  <c r="D51" i="9"/>
  <c r="A51" i="9"/>
  <c r="F50" i="9"/>
  <c r="D50" i="9"/>
  <c r="A50" i="9"/>
  <c r="F49" i="9"/>
  <c r="D49" i="9"/>
  <c r="A49" i="9"/>
  <c r="F48" i="9"/>
  <c r="D48" i="9"/>
  <c r="A48" i="9"/>
  <c r="F47" i="9"/>
  <c r="D47" i="9"/>
  <c r="A47" i="9"/>
  <c r="F46" i="9"/>
  <c r="D46" i="9"/>
  <c r="A46" i="9"/>
  <c r="F45" i="9"/>
  <c r="D45" i="9"/>
  <c r="A45" i="9"/>
  <c r="F44" i="9"/>
  <c r="D44" i="9"/>
  <c r="A44" i="9"/>
  <c r="F43" i="9"/>
  <c r="D43" i="9"/>
  <c r="A43" i="9"/>
  <c r="F42" i="9"/>
  <c r="D42" i="9"/>
  <c r="A42" i="9"/>
  <c r="F41" i="9"/>
  <c r="D41" i="9"/>
  <c r="A41" i="9"/>
  <c r="F40" i="9"/>
  <c r="D40" i="9"/>
  <c r="A40" i="9"/>
  <c r="F39" i="9"/>
  <c r="D39" i="9"/>
  <c r="A39" i="9"/>
  <c r="F38" i="9"/>
  <c r="D38" i="9"/>
  <c r="A38" i="9"/>
  <c r="F37" i="9"/>
  <c r="D37" i="9"/>
  <c r="A37" i="9"/>
  <c r="F36" i="9"/>
  <c r="D36" i="9"/>
  <c r="A36" i="9"/>
  <c r="F35" i="9"/>
  <c r="D35" i="9"/>
  <c r="A35" i="9"/>
  <c r="F34" i="9"/>
  <c r="D34" i="9"/>
  <c r="A34" i="9"/>
  <c r="T29" i="9"/>
  <c r="S29" i="9"/>
  <c r="R29" i="9"/>
  <c r="Q29" i="9"/>
  <c r="P29" i="9"/>
  <c r="O29" i="9"/>
  <c r="N29" i="9"/>
  <c r="M29" i="9"/>
  <c r="L29" i="9"/>
  <c r="T28" i="9"/>
  <c r="S28" i="9"/>
  <c r="R28" i="9"/>
  <c r="Q28" i="9"/>
  <c r="P28" i="9"/>
  <c r="O28" i="9"/>
  <c r="N28" i="9"/>
  <c r="M28" i="9"/>
  <c r="L28" i="9"/>
  <c r="T27" i="9"/>
  <c r="S27" i="9"/>
  <c r="R27" i="9"/>
  <c r="Q27" i="9"/>
  <c r="P27" i="9"/>
  <c r="O27" i="9"/>
  <c r="N27" i="9"/>
  <c r="M27" i="9"/>
  <c r="L27" i="9"/>
  <c r="T26" i="9"/>
  <c r="S26" i="9"/>
  <c r="R26" i="9"/>
  <c r="Q26" i="9"/>
  <c r="P26" i="9"/>
  <c r="O26" i="9"/>
  <c r="N26" i="9"/>
  <c r="M26" i="9"/>
  <c r="L26" i="9"/>
  <c r="T25" i="9"/>
  <c r="S25" i="9"/>
  <c r="R25" i="9"/>
  <c r="Q25" i="9"/>
  <c r="P25" i="9"/>
  <c r="O25" i="9"/>
  <c r="N25" i="9"/>
  <c r="M25" i="9"/>
  <c r="L25" i="9"/>
  <c r="T24" i="9"/>
  <c r="S24" i="9"/>
  <c r="R24" i="9"/>
  <c r="Q24" i="9"/>
  <c r="P24" i="9"/>
  <c r="O24" i="9"/>
  <c r="N24" i="9"/>
  <c r="M24" i="9"/>
  <c r="L24" i="9"/>
  <c r="T23" i="9"/>
  <c r="S23" i="9"/>
  <c r="R23" i="9"/>
  <c r="Q23" i="9"/>
  <c r="P23" i="9"/>
  <c r="O23" i="9"/>
  <c r="N23" i="9"/>
  <c r="M23" i="9"/>
  <c r="L23" i="9"/>
  <c r="J23" i="9"/>
  <c r="T22" i="9"/>
  <c r="S22" i="9"/>
  <c r="R22" i="9"/>
  <c r="Q22" i="9"/>
  <c r="P22" i="9"/>
  <c r="O22" i="9"/>
  <c r="N22" i="9"/>
  <c r="M22" i="9"/>
  <c r="L22" i="9"/>
  <c r="T21" i="9"/>
  <c r="S21" i="9"/>
  <c r="R21" i="9"/>
  <c r="Q21" i="9"/>
  <c r="P21" i="9"/>
  <c r="O21" i="9"/>
  <c r="N21" i="9"/>
  <c r="M21" i="9"/>
  <c r="L21" i="9"/>
  <c r="T20" i="9"/>
  <c r="S20" i="9"/>
  <c r="R20" i="9"/>
  <c r="Q20" i="9"/>
  <c r="P20" i="9"/>
  <c r="O20" i="9"/>
  <c r="N20" i="9"/>
  <c r="M20" i="9"/>
  <c r="L20" i="9"/>
  <c r="T19" i="9"/>
  <c r="S19" i="9"/>
  <c r="R19" i="9"/>
  <c r="Q19" i="9"/>
  <c r="P19" i="9"/>
  <c r="O19" i="9"/>
  <c r="N19" i="9"/>
  <c r="M19" i="9"/>
  <c r="L19" i="9"/>
  <c r="T18" i="9"/>
  <c r="S18" i="9"/>
  <c r="R18" i="9"/>
  <c r="Q18" i="9"/>
  <c r="P18" i="9"/>
  <c r="O18" i="9"/>
  <c r="N18" i="9"/>
  <c r="M18" i="9"/>
  <c r="L18" i="9"/>
  <c r="T17" i="9"/>
  <c r="S17" i="9"/>
  <c r="R17" i="9"/>
  <c r="Q17" i="9"/>
  <c r="P17" i="9"/>
  <c r="O17" i="9"/>
  <c r="N17" i="9"/>
  <c r="M17" i="9"/>
  <c r="L17" i="9"/>
  <c r="J17" i="9"/>
  <c r="T16" i="9"/>
  <c r="S16" i="9"/>
  <c r="R16" i="9"/>
  <c r="Q16" i="9"/>
  <c r="P16" i="9"/>
  <c r="O16" i="9"/>
  <c r="N16" i="9"/>
  <c r="M16" i="9"/>
  <c r="L16" i="9"/>
  <c r="T15" i="9"/>
  <c r="S15" i="9"/>
  <c r="R15" i="9"/>
  <c r="Q15" i="9"/>
  <c r="P15" i="9"/>
  <c r="O15" i="9"/>
  <c r="N15" i="9"/>
  <c r="M15" i="9"/>
  <c r="L15" i="9"/>
  <c r="T14" i="9"/>
  <c r="S14" i="9"/>
  <c r="R14" i="9"/>
  <c r="Q14" i="9"/>
  <c r="P14" i="9"/>
  <c r="O14" i="9"/>
  <c r="N14" i="9"/>
  <c r="M14" i="9"/>
  <c r="L14" i="9"/>
  <c r="T13" i="9"/>
  <c r="S13" i="9"/>
  <c r="R13" i="9"/>
  <c r="Q13" i="9"/>
  <c r="P13" i="9"/>
  <c r="O13" i="9"/>
  <c r="N13" i="9"/>
  <c r="M13" i="9"/>
  <c r="L13" i="9"/>
  <c r="T12" i="9"/>
  <c r="S12" i="9"/>
  <c r="R12" i="9"/>
  <c r="Q12" i="9"/>
  <c r="P12" i="9"/>
  <c r="O12" i="9"/>
  <c r="N12" i="9"/>
  <c r="M12" i="9"/>
  <c r="L12" i="9"/>
  <c r="T11" i="9"/>
  <c r="S11" i="9"/>
  <c r="R11" i="9"/>
  <c r="Q11" i="9"/>
  <c r="P11" i="9"/>
  <c r="O11" i="9"/>
  <c r="N11" i="9"/>
  <c r="M11" i="9"/>
  <c r="L11" i="9"/>
  <c r="T10" i="9"/>
  <c r="S10" i="9"/>
  <c r="R10" i="9"/>
  <c r="Q10" i="9"/>
  <c r="P10" i="9"/>
  <c r="O10" i="9"/>
  <c r="N10" i="9"/>
  <c r="M10" i="9"/>
  <c r="L10" i="9"/>
  <c r="T9" i="9"/>
  <c r="S9" i="9"/>
  <c r="R9" i="9"/>
  <c r="Q9" i="9"/>
  <c r="P9" i="9"/>
  <c r="O9" i="9"/>
  <c r="N9" i="9"/>
  <c r="M9" i="9"/>
  <c r="L9" i="9"/>
  <c r="J8" i="9"/>
  <c r="Q39" i="10" l="1"/>
  <c r="S39" i="10"/>
  <c r="P39" i="10"/>
  <c r="R39" i="10"/>
  <c r="I37" i="10"/>
  <c r="Z28" i="7"/>
  <c r="T28" i="7"/>
  <c r="Z15" i="7"/>
  <c r="T15" i="7"/>
  <c r="Z16" i="7"/>
  <c r="T16" i="7"/>
  <c r="Z17" i="7"/>
  <c r="T17" i="7"/>
  <c r="Z18" i="7"/>
  <c r="T18" i="7"/>
  <c r="Z27" i="7"/>
  <c r="T27" i="7"/>
  <c r="Z26" i="7"/>
  <c r="T26" i="7"/>
  <c r="X39" i="10" l="1"/>
  <c r="AA39" i="10" s="1"/>
  <c r="W39" i="10"/>
  <c r="Z39" i="10" s="1"/>
  <c r="U37" i="10"/>
  <c r="T37" i="10"/>
  <c r="R37" i="10"/>
  <c r="Q37" i="10"/>
  <c r="P37" i="10"/>
  <c r="V39" i="10"/>
  <c r="Y39" i="10" s="1"/>
  <c r="Z25" i="7"/>
  <c r="T25" i="7"/>
  <c r="Z22" i="7"/>
  <c r="T22" i="7"/>
  <c r="Z23" i="7"/>
  <c r="T23" i="7"/>
  <c r="Z24" i="7"/>
  <c r="T24" i="7"/>
  <c r="Z21" i="7"/>
  <c r="T21" i="7"/>
  <c r="Z20" i="7"/>
  <c r="T20" i="7"/>
  <c r="Z19" i="7"/>
  <c r="T19" i="7"/>
  <c r="Z14" i="7"/>
  <c r="T14" i="7"/>
  <c r="Z13" i="7"/>
  <c r="T13" i="7"/>
  <c r="Z12" i="7"/>
  <c r="T12" i="7"/>
  <c r="Z11" i="7"/>
  <c r="T11" i="7"/>
  <c r="Z10" i="7"/>
  <c r="T10" i="7"/>
  <c r="Z9" i="7"/>
  <c r="T9" i="7"/>
  <c r="Z8" i="7"/>
  <c r="T8" i="7"/>
  <c r="X37" i="10" l="1"/>
  <c r="AA37" i="10" s="1"/>
  <c r="AD39" i="10" s="1"/>
  <c r="V37" i="10"/>
  <c r="Y37" i="10" s="1"/>
  <c r="AB39" i="10" s="1"/>
  <c r="W37" i="10"/>
  <c r="Z37" i="10" s="1"/>
  <c r="AC39" i="10" s="1"/>
  <c r="U39" i="7"/>
  <c r="N32" i="7"/>
  <c r="O32" i="7"/>
  <c r="P32" i="7"/>
  <c r="Q32" i="7"/>
  <c r="R32" i="7"/>
  <c r="M32" i="7"/>
  <c r="L32" i="7"/>
  <c r="K32" i="7"/>
  <c r="J32" i="7"/>
  <c r="I32" i="7"/>
  <c r="H32" i="7"/>
  <c r="G32" i="7"/>
  <c r="AC37" i="10" l="1"/>
  <c r="N42" i="10" s="1"/>
  <c r="N34" i="10" s="1"/>
  <c r="AB37" i="10"/>
  <c r="AD37" i="10"/>
  <c r="O42" i="10" s="1"/>
  <c r="I42" i="10"/>
  <c r="R39" i="7"/>
  <c r="M42" i="10" l="1"/>
  <c r="M34" i="10" s="1"/>
  <c r="J42" i="10"/>
  <c r="J34" i="10" s="1"/>
  <c r="K42" i="10"/>
  <c r="K34" i="10" s="1"/>
  <c r="T39" i="7"/>
  <c r="Q39" i="7"/>
  <c r="S39" i="7"/>
  <c r="P39" i="7"/>
  <c r="X39" i="7" l="1"/>
  <c r="AA39" i="7" s="1"/>
  <c r="P42" i="10"/>
  <c r="H42" i="10"/>
  <c r="V39" i="7"/>
  <c r="Y39" i="7" s="1"/>
  <c r="W39" i="7"/>
  <c r="Z39" i="7" s="1"/>
  <c r="B39" i="7" l="1"/>
  <c r="F54" i="2"/>
  <c r="D54" i="2"/>
  <c r="A54" i="2"/>
  <c r="F53" i="2"/>
  <c r="D53" i="2"/>
  <c r="A53" i="2"/>
  <c r="F52" i="2"/>
  <c r="D52" i="2"/>
  <c r="A52" i="2"/>
  <c r="F51" i="2"/>
  <c r="D51" i="2"/>
  <c r="A51" i="2"/>
  <c r="F50" i="2"/>
  <c r="D50" i="2"/>
  <c r="A50" i="2"/>
  <c r="F49" i="2"/>
  <c r="D49" i="2"/>
  <c r="A49" i="2"/>
  <c r="F48" i="2"/>
  <c r="D48" i="2"/>
  <c r="A48" i="2"/>
  <c r="F47" i="2"/>
  <c r="D47" i="2"/>
  <c r="A47" i="2"/>
  <c r="F46" i="2"/>
  <c r="D46" i="2"/>
  <c r="A46" i="2"/>
  <c r="F45" i="2"/>
  <c r="D45" i="2"/>
  <c r="A45" i="2"/>
  <c r="F44" i="2"/>
  <c r="D44" i="2"/>
  <c r="A44" i="2"/>
  <c r="F43" i="2"/>
  <c r="D43" i="2"/>
  <c r="A43" i="2"/>
  <c r="F42" i="2"/>
  <c r="D42" i="2"/>
  <c r="A42" i="2"/>
  <c r="F41" i="2"/>
  <c r="D41" i="2"/>
  <c r="A41" i="2"/>
  <c r="F40" i="2"/>
  <c r="D40" i="2"/>
  <c r="A40" i="2"/>
  <c r="F39" i="2"/>
  <c r="D39" i="2"/>
  <c r="A39" i="2"/>
  <c r="F38" i="2"/>
  <c r="D38" i="2"/>
  <c r="A38" i="2"/>
  <c r="F37" i="2"/>
  <c r="D37" i="2"/>
  <c r="A37" i="2"/>
  <c r="F36" i="2"/>
  <c r="D36" i="2"/>
  <c r="A36" i="2"/>
  <c r="F35" i="2"/>
  <c r="D35" i="2"/>
  <c r="A35" i="2"/>
  <c r="F34" i="2"/>
  <c r="D34" i="2"/>
  <c r="A34" i="2"/>
  <c r="T29" i="2"/>
  <c r="S29" i="2"/>
  <c r="R29" i="2"/>
  <c r="P29" i="2"/>
  <c r="O29" i="2"/>
  <c r="N29" i="2"/>
  <c r="M29" i="2"/>
  <c r="L29" i="2"/>
  <c r="T28" i="2"/>
  <c r="S28" i="2"/>
  <c r="R28" i="2"/>
  <c r="P28" i="2"/>
  <c r="O28" i="2"/>
  <c r="N28" i="2"/>
  <c r="M28" i="2"/>
  <c r="L28" i="2"/>
  <c r="T27" i="2"/>
  <c r="S27" i="2"/>
  <c r="R27" i="2"/>
  <c r="P27" i="2"/>
  <c r="O27" i="2"/>
  <c r="N27" i="2"/>
  <c r="M27" i="2"/>
  <c r="L27" i="2"/>
  <c r="T26" i="2"/>
  <c r="S26" i="2"/>
  <c r="R26" i="2"/>
  <c r="P26" i="2"/>
  <c r="O26" i="2"/>
  <c r="N26" i="2"/>
  <c r="M26" i="2"/>
  <c r="L26" i="2"/>
  <c r="T25" i="2"/>
  <c r="S25" i="2"/>
  <c r="R25" i="2"/>
  <c r="P25" i="2"/>
  <c r="O25" i="2"/>
  <c r="N25" i="2"/>
  <c r="M25" i="2"/>
  <c r="L25" i="2"/>
  <c r="T24" i="2"/>
  <c r="S24" i="2"/>
  <c r="R24" i="2"/>
  <c r="P24" i="2"/>
  <c r="O24" i="2"/>
  <c r="N24" i="2"/>
  <c r="M24" i="2"/>
  <c r="L24" i="2"/>
  <c r="T23" i="2"/>
  <c r="S23" i="2"/>
  <c r="R23" i="2"/>
  <c r="P23" i="2"/>
  <c r="O23" i="2"/>
  <c r="N23" i="2"/>
  <c r="M23" i="2"/>
  <c r="L23" i="2"/>
  <c r="J23" i="2"/>
  <c r="T22" i="2"/>
  <c r="S22" i="2"/>
  <c r="R22" i="2"/>
  <c r="Q22" i="2"/>
  <c r="P22" i="2"/>
  <c r="O22" i="2"/>
  <c r="N22" i="2"/>
  <c r="M22" i="2"/>
  <c r="L22" i="2"/>
  <c r="T21" i="2"/>
  <c r="S21" i="2"/>
  <c r="R21" i="2"/>
  <c r="Q21" i="2"/>
  <c r="P21" i="2"/>
  <c r="O21" i="2"/>
  <c r="N21" i="2"/>
  <c r="M21" i="2"/>
  <c r="L21" i="2"/>
  <c r="T20" i="2"/>
  <c r="S20" i="2"/>
  <c r="R20" i="2"/>
  <c r="Q20" i="2"/>
  <c r="P20" i="2"/>
  <c r="O20" i="2"/>
  <c r="N20" i="2"/>
  <c r="M20" i="2"/>
  <c r="L20" i="2"/>
  <c r="T19" i="2"/>
  <c r="S19" i="2"/>
  <c r="R19" i="2"/>
  <c r="Q19" i="2"/>
  <c r="P19" i="2"/>
  <c r="O19" i="2"/>
  <c r="N19" i="2"/>
  <c r="M19" i="2"/>
  <c r="L19" i="2"/>
  <c r="T18" i="2"/>
  <c r="S18" i="2"/>
  <c r="R18" i="2"/>
  <c r="Q18" i="2"/>
  <c r="P18" i="2"/>
  <c r="O18" i="2"/>
  <c r="N18" i="2"/>
  <c r="M18" i="2"/>
  <c r="L18" i="2"/>
  <c r="T17" i="2"/>
  <c r="S17" i="2"/>
  <c r="R17" i="2"/>
  <c r="Q17" i="2"/>
  <c r="P17" i="2"/>
  <c r="O17" i="2"/>
  <c r="N17" i="2"/>
  <c r="M17" i="2"/>
  <c r="L17" i="2"/>
  <c r="J17" i="2"/>
  <c r="T16" i="2"/>
  <c r="S16" i="2"/>
  <c r="R16" i="2"/>
  <c r="Q16" i="2"/>
  <c r="P16" i="2"/>
  <c r="O16" i="2"/>
  <c r="N16" i="2"/>
  <c r="M16" i="2"/>
  <c r="L16" i="2"/>
  <c r="T15" i="2"/>
  <c r="S15" i="2"/>
  <c r="R15" i="2"/>
  <c r="Q15" i="2"/>
  <c r="P15" i="2"/>
  <c r="O15" i="2"/>
  <c r="N15" i="2"/>
  <c r="M15" i="2"/>
  <c r="L15" i="2"/>
  <c r="T14" i="2"/>
  <c r="S14" i="2"/>
  <c r="R14" i="2"/>
  <c r="Q14" i="2"/>
  <c r="P14" i="2"/>
  <c r="O14" i="2"/>
  <c r="N14" i="2"/>
  <c r="M14" i="2"/>
  <c r="L14" i="2"/>
  <c r="T13" i="2"/>
  <c r="S13" i="2"/>
  <c r="R13" i="2"/>
  <c r="Q13" i="2"/>
  <c r="P13" i="2"/>
  <c r="O13" i="2"/>
  <c r="N13" i="2"/>
  <c r="M13" i="2"/>
  <c r="L13" i="2"/>
  <c r="T12" i="2"/>
  <c r="S12" i="2"/>
  <c r="R12" i="2"/>
  <c r="Q12" i="2"/>
  <c r="P12" i="2"/>
  <c r="O12" i="2"/>
  <c r="N12" i="2"/>
  <c r="M12" i="2"/>
  <c r="L12" i="2"/>
  <c r="T11" i="2"/>
  <c r="S11" i="2"/>
  <c r="R11" i="2"/>
  <c r="Q11" i="2"/>
  <c r="P11" i="2"/>
  <c r="O11" i="2"/>
  <c r="N11" i="2"/>
  <c r="M11" i="2"/>
  <c r="L11" i="2"/>
  <c r="T10" i="2"/>
  <c r="S10" i="2"/>
  <c r="R10" i="2"/>
  <c r="Q10" i="2"/>
  <c r="P10" i="2"/>
  <c r="O10" i="2"/>
  <c r="N10" i="2"/>
  <c r="M10" i="2"/>
  <c r="L10" i="2"/>
  <c r="T9" i="2"/>
  <c r="S9" i="2"/>
  <c r="R9" i="2"/>
  <c r="P9" i="2"/>
  <c r="O9" i="2"/>
  <c r="M9" i="2"/>
  <c r="L9" i="2"/>
  <c r="J8" i="2"/>
  <c r="R10" i="1"/>
  <c r="S10" i="1"/>
  <c r="T10" i="1"/>
  <c r="R11" i="1"/>
  <c r="S11" i="1"/>
  <c r="T11" i="1"/>
  <c r="R12" i="1"/>
  <c r="S12" i="1"/>
  <c r="T12" i="1"/>
  <c r="R13" i="1"/>
  <c r="S13" i="1"/>
  <c r="T13" i="1"/>
  <c r="R14" i="1"/>
  <c r="S14" i="1"/>
  <c r="T14" i="1"/>
  <c r="R15" i="1"/>
  <c r="S15" i="1"/>
  <c r="T15" i="1"/>
  <c r="R16" i="1"/>
  <c r="S16" i="1"/>
  <c r="T16" i="1"/>
  <c r="R17" i="1"/>
  <c r="S17" i="1"/>
  <c r="T17" i="1"/>
  <c r="R18" i="1"/>
  <c r="S18" i="1"/>
  <c r="T18" i="1"/>
  <c r="R19" i="1"/>
  <c r="S19" i="1"/>
  <c r="T19" i="1"/>
  <c r="R20" i="1"/>
  <c r="S20" i="1"/>
  <c r="T20" i="1"/>
  <c r="R21" i="1"/>
  <c r="S21" i="1"/>
  <c r="T21" i="1"/>
  <c r="R22" i="1"/>
  <c r="S22" i="1"/>
  <c r="T22" i="1"/>
  <c r="R23" i="1"/>
  <c r="S23" i="1"/>
  <c r="T23" i="1"/>
  <c r="R24" i="1"/>
  <c r="S24" i="1"/>
  <c r="T24" i="1"/>
  <c r="R25" i="1"/>
  <c r="S25" i="1"/>
  <c r="T25" i="1"/>
  <c r="R26" i="1"/>
  <c r="S26" i="1"/>
  <c r="T26" i="1"/>
  <c r="R27" i="1"/>
  <c r="S27" i="1"/>
  <c r="T27" i="1"/>
  <c r="R28" i="1"/>
  <c r="S28" i="1"/>
  <c r="T28" i="1"/>
  <c r="R29" i="1"/>
  <c r="S29" i="1"/>
  <c r="T29" i="1"/>
  <c r="T9" i="1"/>
  <c r="S9" i="1"/>
  <c r="R9" i="1"/>
  <c r="O10" i="1"/>
  <c r="P10" i="1"/>
  <c r="Q10" i="1"/>
  <c r="O11" i="1"/>
  <c r="P11" i="1"/>
  <c r="Q11" i="1"/>
  <c r="O12" i="1"/>
  <c r="P12" i="1"/>
  <c r="Q12" i="1"/>
  <c r="O13" i="1"/>
  <c r="P13" i="1"/>
  <c r="Q13" i="1"/>
  <c r="O14" i="1"/>
  <c r="P14" i="1"/>
  <c r="Q14" i="1"/>
  <c r="O15" i="1"/>
  <c r="P15" i="1"/>
  <c r="Q15" i="1"/>
  <c r="O16" i="1"/>
  <c r="P16" i="1"/>
  <c r="Q16" i="1"/>
  <c r="O17" i="1"/>
  <c r="P17" i="1"/>
  <c r="Q17" i="1"/>
  <c r="O18" i="1"/>
  <c r="P18" i="1"/>
  <c r="Q18" i="1"/>
  <c r="O19" i="1"/>
  <c r="P19" i="1"/>
  <c r="Q19" i="1"/>
  <c r="O20" i="1"/>
  <c r="P20" i="1"/>
  <c r="Q20" i="1"/>
  <c r="O21" i="1"/>
  <c r="P21" i="1"/>
  <c r="Q21" i="1"/>
  <c r="O22" i="1"/>
  <c r="P22" i="1"/>
  <c r="Q22" i="1"/>
  <c r="O23" i="1"/>
  <c r="P23" i="1"/>
  <c r="Q23" i="1"/>
  <c r="O24" i="1"/>
  <c r="P24" i="1"/>
  <c r="Q24" i="1"/>
  <c r="O25" i="1"/>
  <c r="P25" i="1"/>
  <c r="Q25" i="1"/>
  <c r="O26" i="1"/>
  <c r="P26" i="1"/>
  <c r="Q26" i="1"/>
  <c r="O27" i="1"/>
  <c r="P27" i="1"/>
  <c r="Q27" i="1"/>
  <c r="O28" i="1"/>
  <c r="P28" i="1"/>
  <c r="Q28" i="1"/>
  <c r="O29" i="1"/>
  <c r="P29" i="1"/>
  <c r="Q29" i="1"/>
  <c r="Q9" i="1"/>
  <c r="P9" i="1"/>
  <c r="O9" i="1"/>
  <c r="L10" i="1"/>
  <c r="M10" i="1"/>
  <c r="N10" i="1"/>
  <c r="L11" i="1"/>
  <c r="M11" i="1"/>
  <c r="N11" i="1"/>
  <c r="L12" i="1"/>
  <c r="M12" i="1"/>
  <c r="N12" i="1"/>
  <c r="L13" i="1"/>
  <c r="M13" i="1"/>
  <c r="N13" i="1"/>
  <c r="L14" i="1"/>
  <c r="M14" i="1"/>
  <c r="N14" i="1"/>
  <c r="L15" i="1"/>
  <c r="M15" i="1"/>
  <c r="N15" i="1"/>
  <c r="L16" i="1"/>
  <c r="M16" i="1"/>
  <c r="N16" i="1"/>
  <c r="L17" i="1"/>
  <c r="M17" i="1"/>
  <c r="N17" i="1"/>
  <c r="L18" i="1"/>
  <c r="M18" i="1"/>
  <c r="N18" i="1"/>
  <c r="L19" i="1"/>
  <c r="M19" i="1"/>
  <c r="N19" i="1"/>
  <c r="L20" i="1"/>
  <c r="M20" i="1"/>
  <c r="N20" i="1"/>
  <c r="L21" i="1"/>
  <c r="M21" i="1"/>
  <c r="N21" i="1"/>
  <c r="L22" i="1"/>
  <c r="M22" i="1"/>
  <c r="N22" i="1"/>
  <c r="L23" i="1"/>
  <c r="M23" i="1"/>
  <c r="N23" i="1"/>
  <c r="L24" i="1"/>
  <c r="M24" i="1"/>
  <c r="N24" i="1"/>
  <c r="L25" i="1"/>
  <c r="M25" i="1"/>
  <c r="N25" i="1"/>
  <c r="L26" i="1"/>
  <c r="M26" i="1"/>
  <c r="N26" i="1"/>
  <c r="L27" i="1"/>
  <c r="M27" i="1"/>
  <c r="N27" i="1"/>
  <c r="L28" i="1"/>
  <c r="M28" i="1"/>
  <c r="N28" i="1"/>
  <c r="L29" i="1"/>
  <c r="M29" i="1"/>
  <c r="N29" i="1"/>
  <c r="N9" i="1"/>
  <c r="M9" i="1"/>
  <c r="A50" i="1"/>
  <c r="D50" i="1"/>
  <c r="F50" i="1"/>
  <c r="A51" i="1"/>
  <c r="D51" i="1"/>
  <c r="F51" i="1"/>
  <c r="A52" i="1"/>
  <c r="D52" i="1"/>
  <c r="F52" i="1"/>
  <c r="A53" i="1"/>
  <c r="D53" i="1"/>
  <c r="F53" i="1"/>
  <c r="A54" i="1"/>
  <c r="D54" i="1"/>
  <c r="F54" i="1"/>
  <c r="A42" i="1"/>
  <c r="D42" i="1"/>
  <c r="F42" i="1"/>
  <c r="A43" i="1"/>
  <c r="D43" i="1"/>
  <c r="F43" i="1"/>
  <c r="A44" i="1"/>
  <c r="D44" i="1"/>
  <c r="F44" i="1"/>
  <c r="A45" i="1"/>
  <c r="D45" i="1"/>
  <c r="F45" i="1"/>
  <c r="A46" i="1"/>
  <c r="D46" i="1"/>
  <c r="F46" i="1"/>
  <c r="A47" i="1"/>
  <c r="D47" i="1"/>
  <c r="F47" i="1"/>
  <c r="A48" i="1"/>
  <c r="D48" i="1"/>
  <c r="F48" i="1"/>
  <c r="A49" i="1"/>
  <c r="D49" i="1"/>
  <c r="F49" i="1"/>
  <c r="L9" i="1"/>
  <c r="F35" i="1"/>
  <c r="F36" i="1"/>
  <c r="F37" i="1"/>
  <c r="F38" i="1"/>
  <c r="F39" i="1"/>
  <c r="F40" i="1"/>
  <c r="F41" i="1"/>
  <c r="D35" i="1"/>
  <c r="D36" i="1"/>
  <c r="D37" i="1"/>
  <c r="D38" i="1"/>
  <c r="D39" i="1"/>
  <c r="D40" i="1"/>
  <c r="D41" i="1"/>
  <c r="F34" i="1"/>
  <c r="D34" i="1"/>
  <c r="A35" i="1"/>
  <c r="A36" i="1"/>
  <c r="A37" i="1"/>
  <c r="A38" i="1"/>
  <c r="A39" i="1"/>
  <c r="A40" i="1"/>
  <c r="A41" i="1"/>
  <c r="A34" i="1"/>
  <c r="J23" i="1"/>
  <c r="J17" i="1"/>
  <c r="J8" i="1"/>
  <c r="I37" i="7" l="1"/>
  <c r="P37" i="7" s="1"/>
  <c r="S37" i="7"/>
  <c r="U37" i="7" l="1"/>
  <c r="Q37" i="7"/>
  <c r="T37" i="7"/>
  <c r="R37" i="7"/>
  <c r="X37" i="7" l="1"/>
  <c r="AA37" i="7" s="1"/>
  <c r="V37" i="7"/>
  <c r="Y37" i="7" s="1"/>
  <c r="AB37" i="7" s="1"/>
  <c r="M42" i="7" s="1"/>
  <c r="W37" i="7"/>
  <c r="Z37" i="7" s="1"/>
  <c r="AC39" i="7" s="1"/>
  <c r="J42" i="7" s="1"/>
  <c r="J34" i="7" s="1"/>
  <c r="AB39" i="7" l="1"/>
  <c r="I42" i="7" s="1"/>
  <c r="AC37" i="7"/>
  <c r="N42" i="7" s="1"/>
  <c r="N34" i="7" s="1"/>
  <c r="M34" i="7"/>
  <c r="AD39" i="7"/>
  <c r="K42" i="7" s="1"/>
  <c r="K34" i="7" s="1"/>
  <c r="AD37" i="7"/>
  <c r="O42" i="7" s="1"/>
  <c r="P42" i="7" l="1"/>
  <c r="H42" i="7"/>
</calcChain>
</file>

<file path=xl/sharedStrings.xml><?xml version="1.0" encoding="utf-8"?>
<sst xmlns="http://schemas.openxmlformats.org/spreadsheetml/2006/main" count="301" uniqueCount="97">
  <si>
    <t>MTBE</t>
  </si>
  <si>
    <t>Methanol</t>
  </si>
  <si>
    <t>[MIM][HSO4]</t>
  </si>
  <si>
    <t>M(g/mol)</t>
  </si>
  <si>
    <t>Feed (global composition)</t>
  </si>
  <si>
    <t>Upper phase</t>
  </si>
  <si>
    <t>Lower phase</t>
  </si>
  <si>
    <t>β</t>
  </si>
  <si>
    <t>S</t>
  </si>
  <si>
    <t>w1F</t>
  </si>
  <si>
    <t>w2F</t>
  </si>
  <si>
    <t>w1</t>
  </si>
  <si>
    <t>w2</t>
  </si>
  <si>
    <t>T=278.15K</t>
  </si>
  <si>
    <t>T=298.15K</t>
  </si>
  <si>
    <t>T=318.15K</t>
  </si>
  <si>
    <t>x1F</t>
  </si>
  <si>
    <t>x2F</t>
  </si>
  <si>
    <t>x3F</t>
  </si>
  <si>
    <t>x1</t>
  </si>
  <si>
    <t>x2</t>
  </si>
  <si>
    <t>x3</t>
  </si>
  <si>
    <t>w3</t>
  </si>
  <si>
    <t>[BMIM][HSO4]</t>
  </si>
  <si>
    <t>T</t>
  </si>
  <si>
    <t>1–2</t>
  </si>
  <si>
    <t>1–3</t>
  </si>
  <si>
    <t>2–3</t>
  </si>
  <si>
    <r>
      <t>i</t>
    </r>
    <r>
      <rPr>
        <b/>
        <sz val="11"/>
        <color rgb="FF1F1F1F"/>
        <rFont val="Georgia"/>
        <family val="1"/>
      </rPr>
      <t>–</t>
    </r>
    <r>
      <rPr>
        <b/>
        <i/>
        <sz val="11"/>
        <color rgb="FF1F1F1F"/>
        <rFont val="Georgia"/>
        <family val="1"/>
      </rPr>
      <t>j</t>
    </r>
  </si>
  <si>
    <t>rmsd</t>
  </si>
  <si>
    <t>α</t>
  </si>
  <si>
    <t>NRTL parameters</t>
  </si>
  <si>
    <r>
      <t>Δgij</t>
    </r>
    <r>
      <rPr>
        <b/>
        <sz val="11"/>
        <color rgb="FF1F1F1F"/>
        <rFont val="Georgia"/>
        <family val="1"/>
      </rPr>
      <t>(kJ·mol</t>
    </r>
    <r>
      <rPr>
        <b/>
        <sz val="8"/>
        <color rgb="FF1F1F1F"/>
        <rFont val="Georgia"/>
        <family val="1"/>
      </rPr>
      <t>−1</t>
    </r>
    <r>
      <rPr>
        <b/>
        <sz val="11"/>
        <color rgb="FF1F1F1F"/>
        <rFont val="Georgia"/>
        <family val="1"/>
      </rPr>
      <t>)</t>
    </r>
  </si>
  <si>
    <r>
      <t>Δgji</t>
    </r>
    <r>
      <rPr>
        <b/>
        <sz val="11"/>
        <color rgb="FF1F1F1F"/>
        <rFont val="Georgia"/>
        <family val="1"/>
      </rPr>
      <t>(kJ·mol</t>
    </r>
    <r>
      <rPr>
        <b/>
        <sz val="8"/>
        <color rgb="FF1F1F1F"/>
        <rFont val="Georgia"/>
        <family val="1"/>
      </rPr>
      <t>−1</t>
    </r>
    <r>
      <rPr>
        <b/>
        <sz val="11"/>
        <color rgb="FF1F1F1F"/>
        <rFont val="Georgia"/>
        <family val="1"/>
      </rPr>
      <t>)</t>
    </r>
  </si>
  <si>
    <t>R</t>
  </si>
  <si>
    <t>kJ.mol^-1.K^-1</t>
  </si>
  <si>
    <t>K</t>
  </si>
  <si>
    <r>
      <t>τ</t>
    </r>
    <r>
      <rPr>
        <b/>
        <vertAlign val="subscript"/>
        <sz val="11"/>
        <color rgb="FF000000"/>
        <rFont val="Calibri"/>
        <family val="2"/>
      </rPr>
      <t>12</t>
    </r>
  </si>
  <si>
    <r>
      <t>τ</t>
    </r>
    <r>
      <rPr>
        <b/>
        <vertAlign val="subscript"/>
        <sz val="11"/>
        <color rgb="FF000000"/>
        <rFont val="Calibri"/>
        <family val="2"/>
      </rPr>
      <t>21</t>
    </r>
  </si>
  <si>
    <r>
      <t>τ</t>
    </r>
    <r>
      <rPr>
        <b/>
        <vertAlign val="subscript"/>
        <sz val="11"/>
        <color rgb="FF000000"/>
        <rFont val="Calibri"/>
        <family val="2"/>
      </rPr>
      <t>13</t>
    </r>
  </si>
  <si>
    <r>
      <t>τ</t>
    </r>
    <r>
      <rPr>
        <b/>
        <vertAlign val="subscript"/>
        <sz val="11"/>
        <color rgb="FF000000"/>
        <rFont val="Calibri"/>
        <family val="2"/>
      </rPr>
      <t>31</t>
    </r>
  </si>
  <si>
    <r>
      <t>τ</t>
    </r>
    <r>
      <rPr>
        <b/>
        <vertAlign val="subscript"/>
        <sz val="11"/>
        <color rgb="FF000000"/>
        <rFont val="Calibri"/>
        <family val="2"/>
      </rPr>
      <t>23</t>
    </r>
  </si>
  <si>
    <r>
      <t>τ</t>
    </r>
    <r>
      <rPr>
        <b/>
        <vertAlign val="subscript"/>
        <sz val="11"/>
        <color rgb="FF000000"/>
        <rFont val="Calibri"/>
        <family val="2"/>
      </rPr>
      <t>32</t>
    </r>
  </si>
  <si>
    <r>
      <t>G</t>
    </r>
    <r>
      <rPr>
        <b/>
        <vertAlign val="subscript"/>
        <sz val="11"/>
        <color rgb="FF000000"/>
        <rFont val="Calibri"/>
        <family val="2"/>
      </rPr>
      <t>12</t>
    </r>
  </si>
  <si>
    <r>
      <t>G</t>
    </r>
    <r>
      <rPr>
        <b/>
        <vertAlign val="subscript"/>
        <sz val="11"/>
        <color rgb="FF000000"/>
        <rFont val="Calibri"/>
        <family val="2"/>
      </rPr>
      <t>21</t>
    </r>
  </si>
  <si>
    <r>
      <t>G</t>
    </r>
    <r>
      <rPr>
        <b/>
        <vertAlign val="subscript"/>
        <sz val="11"/>
        <color rgb="FF000000"/>
        <rFont val="Calibri"/>
        <family val="2"/>
      </rPr>
      <t>13</t>
    </r>
  </si>
  <si>
    <r>
      <t>G</t>
    </r>
    <r>
      <rPr>
        <b/>
        <vertAlign val="subscript"/>
        <sz val="11"/>
        <color rgb="FF000000"/>
        <rFont val="Calibri"/>
        <family val="2"/>
      </rPr>
      <t>31</t>
    </r>
  </si>
  <si>
    <r>
      <t>G</t>
    </r>
    <r>
      <rPr>
        <b/>
        <vertAlign val="subscript"/>
        <sz val="11"/>
        <color rgb="FF000000"/>
        <rFont val="Calibri"/>
        <family val="2"/>
      </rPr>
      <t>23</t>
    </r>
  </si>
  <si>
    <r>
      <t>G</t>
    </r>
    <r>
      <rPr>
        <b/>
        <vertAlign val="subscript"/>
        <sz val="11"/>
        <color rgb="FF000000"/>
        <rFont val="Calibri"/>
        <family val="2"/>
      </rPr>
      <t>32</t>
    </r>
  </si>
  <si>
    <t>x1.1</t>
  </si>
  <si>
    <t>x2.1</t>
  </si>
  <si>
    <t>x3.1</t>
  </si>
  <si>
    <t>x1.2</t>
  </si>
  <si>
    <t>x2.2</t>
  </si>
  <si>
    <t>x3.3</t>
  </si>
  <si>
    <r>
      <t>φ</t>
    </r>
    <r>
      <rPr>
        <b/>
        <vertAlign val="subscript"/>
        <sz val="11"/>
        <color rgb="FF000000"/>
        <rFont val="Calibri"/>
        <family val="2"/>
      </rPr>
      <t>1.1</t>
    </r>
  </si>
  <si>
    <r>
      <t>φ</t>
    </r>
    <r>
      <rPr>
        <b/>
        <vertAlign val="subscript"/>
        <sz val="11"/>
        <color rgb="FF000000"/>
        <rFont val="Calibri"/>
        <family val="2"/>
      </rPr>
      <t>2.1</t>
    </r>
  </si>
  <si>
    <r>
      <t>φ</t>
    </r>
    <r>
      <rPr>
        <b/>
        <vertAlign val="subscript"/>
        <sz val="11"/>
        <color rgb="FF000000"/>
        <rFont val="Calibri"/>
        <family val="2"/>
      </rPr>
      <t>3.1</t>
    </r>
  </si>
  <si>
    <r>
      <t>θ</t>
    </r>
    <r>
      <rPr>
        <b/>
        <vertAlign val="subscript"/>
        <sz val="11"/>
        <color rgb="FF000000"/>
        <rFont val="Calibri"/>
        <family val="2"/>
      </rPr>
      <t>1.1</t>
    </r>
  </si>
  <si>
    <r>
      <t>θ</t>
    </r>
    <r>
      <rPr>
        <b/>
        <vertAlign val="subscript"/>
        <sz val="11"/>
        <color rgb="FF000000"/>
        <rFont val="Calibri"/>
        <family val="2"/>
      </rPr>
      <t>2.1</t>
    </r>
  </si>
  <si>
    <r>
      <t>θ</t>
    </r>
    <r>
      <rPr>
        <b/>
        <vertAlign val="subscript"/>
        <sz val="11"/>
        <color rgb="FF000000"/>
        <rFont val="Calibri"/>
        <family val="2"/>
      </rPr>
      <t>3.1</t>
    </r>
  </si>
  <si>
    <t>lnγ1.1</t>
  </si>
  <si>
    <t>lnγ2.1</t>
  </si>
  <si>
    <t>lnγ3.1</t>
  </si>
  <si>
    <r>
      <rPr>
        <b/>
        <sz val="11"/>
        <color rgb="FF000000"/>
        <rFont val="Times New Roman"/>
        <family val="1"/>
      </rPr>
      <t>γ</t>
    </r>
    <r>
      <rPr>
        <b/>
        <vertAlign val="subscript"/>
        <sz val="11"/>
        <color rgb="FF000000"/>
        <rFont val="Calibri"/>
        <family val="2"/>
      </rPr>
      <t>1.1</t>
    </r>
  </si>
  <si>
    <r>
      <rPr>
        <b/>
        <sz val="11"/>
        <color rgb="FF000000"/>
        <rFont val="Times New Roman"/>
        <family val="1"/>
      </rPr>
      <t>γ</t>
    </r>
    <r>
      <rPr>
        <b/>
        <vertAlign val="subscript"/>
        <sz val="11"/>
        <color rgb="FF000000"/>
        <rFont val="Calibri"/>
        <family val="2"/>
      </rPr>
      <t>2.1</t>
    </r>
  </si>
  <si>
    <r>
      <rPr>
        <b/>
        <sz val="11"/>
        <color rgb="FF000000"/>
        <rFont val="Times New Roman"/>
        <family val="1"/>
      </rPr>
      <t>γ</t>
    </r>
    <r>
      <rPr>
        <b/>
        <vertAlign val="subscript"/>
        <sz val="11"/>
        <color rgb="FF000000"/>
        <rFont val="Calibri"/>
        <family val="2"/>
      </rPr>
      <t>3.1</t>
    </r>
  </si>
  <si>
    <r>
      <t>φ</t>
    </r>
    <r>
      <rPr>
        <b/>
        <vertAlign val="subscript"/>
        <sz val="11"/>
        <color rgb="FF000000"/>
        <rFont val="Calibri"/>
        <family val="2"/>
      </rPr>
      <t>1.2</t>
    </r>
  </si>
  <si>
    <r>
      <t>φ</t>
    </r>
    <r>
      <rPr>
        <b/>
        <vertAlign val="subscript"/>
        <sz val="11"/>
        <color rgb="FF000000"/>
        <rFont val="Calibri"/>
        <family val="2"/>
      </rPr>
      <t>2.2</t>
    </r>
  </si>
  <si>
    <r>
      <t>φ</t>
    </r>
    <r>
      <rPr>
        <b/>
        <vertAlign val="subscript"/>
        <sz val="11"/>
        <color rgb="FF000000"/>
        <rFont val="Calibri"/>
        <family val="2"/>
      </rPr>
      <t>3.2</t>
    </r>
  </si>
  <si>
    <r>
      <t>θ</t>
    </r>
    <r>
      <rPr>
        <b/>
        <vertAlign val="subscript"/>
        <sz val="11"/>
        <color rgb="FF000000"/>
        <rFont val="Calibri"/>
        <family val="2"/>
      </rPr>
      <t>1.2</t>
    </r>
  </si>
  <si>
    <r>
      <t>θ</t>
    </r>
    <r>
      <rPr>
        <b/>
        <vertAlign val="subscript"/>
        <sz val="11"/>
        <color rgb="FF000000"/>
        <rFont val="Calibri"/>
        <family val="2"/>
      </rPr>
      <t>2.2</t>
    </r>
  </si>
  <si>
    <r>
      <t>θ</t>
    </r>
    <r>
      <rPr>
        <b/>
        <vertAlign val="subscript"/>
        <sz val="11"/>
        <color rgb="FF000000"/>
        <rFont val="Calibri"/>
        <family val="2"/>
      </rPr>
      <t>3.2</t>
    </r>
  </si>
  <si>
    <t>lnγ1.2</t>
  </si>
  <si>
    <t>lnγ2.2</t>
  </si>
  <si>
    <t>lnγ3.2</t>
  </si>
  <si>
    <r>
      <rPr>
        <b/>
        <sz val="11"/>
        <color rgb="FF000000"/>
        <rFont val="Times New Roman"/>
        <family val="1"/>
      </rPr>
      <t>γ</t>
    </r>
    <r>
      <rPr>
        <b/>
        <vertAlign val="subscript"/>
        <sz val="11"/>
        <color rgb="FF000000"/>
        <rFont val="Calibri"/>
        <family val="2"/>
      </rPr>
      <t>1.2</t>
    </r>
  </si>
  <si>
    <r>
      <rPr>
        <b/>
        <sz val="11"/>
        <color rgb="FF000000"/>
        <rFont val="Times New Roman"/>
        <family val="1"/>
      </rPr>
      <t>γ</t>
    </r>
    <r>
      <rPr>
        <b/>
        <vertAlign val="subscript"/>
        <sz val="11"/>
        <color rgb="FF000000"/>
        <rFont val="Calibri"/>
        <family val="2"/>
      </rPr>
      <t>2.2</t>
    </r>
  </si>
  <si>
    <r>
      <rPr>
        <b/>
        <sz val="11"/>
        <color rgb="FF000000"/>
        <rFont val="Times New Roman"/>
        <family val="1"/>
      </rPr>
      <t>γ</t>
    </r>
    <r>
      <rPr>
        <b/>
        <vertAlign val="subscript"/>
        <sz val="11"/>
        <color rgb="FF000000"/>
        <rFont val="Calibri"/>
        <family val="2"/>
      </rPr>
      <t>3.2</t>
    </r>
  </si>
  <si>
    <t>γ1.1/γ1.2</t>
  </si>
  <si>
    <t>γ2.1/γ2.2</t>
  </si>
  <si>
    <t>γ3.1/γ3.2</t>
  </si>
  <si>
    <t>γ1.2/γ1.1</t>
  </si>
  <si>
    <t>γ2.2/γ2.1</t>
  </si>
  <si>
    <t>γ3.2/γ3.1</t>
  </si>
  <si>
    <t>Σxi</t>
  </si>
  <si>
    <r>
      <t>MTBE (1) + methanol (2) + [MMIM][HSO</t>
    </r>
    <r>
      <rPr>
        <sz val="8"/>
        <color rgb="FF1F1F1F"/>
        <rFont val="Georgia"/>
        <family val="1"/>
      </rPr>
      <t>4</t>
    </r>
    <r>
      <rPr>
        <sz val="11"/>
        <color rgb="FF1F1F1F"/>
        <rFont val="Georgia"/>
        <family val="1"/>
      </rPr>
      <t>] (3) at 318.15 K</t>
    </r>
  </si>
  <si>
    <r>
      <t>[</t>
    </r>
    <r>
      <rPr>
        <sz val="9"/>
        <color rgb="FF666666"/>
        <rFont val="Arial"/>
        <family val="2"/>
      </rPr>
      <t>MIM</t>
    </r>
    <r>
      <rPr>
        <sz val="10"/>
        <color rgb="FF666666"/>
        <rFont val="Arial"/>
        <family val="2"/>
      </rPr>
      <t>]</t>
    </r>
    <r>
      <rPr>
        <sz val="9"/>
        <color rgb="FF666666"/>
        <rFont val="Arial"/>
        <family val="2"/>
      </rPr>
      <t>HSO4</t>
    </r>
    <r>
      <rPr>
        <sz val="10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CAS</t>
    </r>
    <r>
      <rPr>
        <sz val="10"/>
        <color rgb="FF666666"/>
        <rFont val="Arial"/>
        <family val="2"/>
      </rPr>
      <t> 681281-87-8</t>
    </r>
  </si>
  <si>
    <t>CAS Number:</t>
  </si>
  <si>
    <t>262297-13-2</t>
  </si>
  <si>
    <r>
      <t>[BMIM][HSO</t>
    </r>
    <r>
      <rPr>
        <vertAlign val="subscript"/>
        <sz val="11"/>
        <color rgb="FF000000"/>
        <rFont val="Arial"/>
        <family val="2"/>
      </rPr>
      <t>4</t>
    </r>
    <r>
      <rPr>
        <sz val="9"/>
        <color rgb="FF000000"/>
        <rFont val="Arial"/>
        <family val="2"/>
      </rPr>
      <t>]</t>
    </r>
  </si>
  <si>
    <r>
      <t>MTBE (1) + methanol (2) + [BMIM][HSO</t>
    </r>
    <r>
      <rPr>
        <b/>
        <sz val="8"/>
        <color rgb="FF1F1F1F"/>
        <rFont val="Georgia"/>
        <family val="1"/>
      </rPr>
      <t>4</t>
    </r>
    <r>
      <rPr>
        <b/>
        <sz val="11"/>
        <color rgb="FF1F1F1F"/>
        <rFont val="Georgia"/>
        <family val="1"/>
      </rPr>
      <t>] (3) at 318.15 K</t>
    </r>
  </si>
  <si>
    <t>MTBE faza</t>
  </si>
  <si>
    <t>BMIM faza</t>
  </si>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</sst>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000"/>
    <numFmt numFmtId="165" formatCode="_(* #,##0.00000_);_(* \(#,##0.00000\);_(* &quot;-&quot;??_);_(@_)"/>
    <numFmt numFmtId="166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1F1F1F"/>
      <name val="Georgia"/>
      <family val="1"/>
    </font>
    <font>
      <b/>
      <i/>
      <sz val="11"/>
      <color rgb="FF1F1F1F"/>
      <name val="Georgia"/>
      <family val="1"/>
    </font>
    <font>
      <b/>
      <sz val="8"/>
      <color rgb="FF1F1F1F"/>
      <name val="Georgia"/>
      <family val="1"/>
    </font>
    <font>
      <sz val="11"/>
      <color rgb="FF1F1F1F"/>
      <name val="Georgia"/>
      <family val="1"/>
    </font>
    <font>
      <sz val="8"/>
      <color rgb="FF1F1F1F"/>
      <name val="Georgia"/>
      <family val="1"/>
    </font>
    <font>
      <sz val="10"/>
      <color rgb="FF1F1F1F"/>
      <name val="Georgia"/>
      <family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vertAlign val="subscript"/>
      <sz val="11"/>
      <color rgb="FF000000"/>
      <name val="Calibri"/>
      <family val="2"/>
    </font>
    <font>
      <b/>
      <sz val="11"/>
      <color rgb="FF000000"/>
      <name val="Times New Roman"/>
      <family val="1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666666"/>
      <name val="Arial"/>
      <family val="2"/>
    </font>
    <font>
      <sz val="9"/>
      <color rgb="FF666666"/>
      <name val="Arial"/>
      <family val="2"/>
    </font>
    <font>
      <sz val="9"/>
      <color rgb="FF000000"/>
      <name val="Arial"/>
      <family val="2"/>
    </font>
    <font>
      <vertAlign val="subscript"/>
      <sz val="11"/>
      <color rgb="FF000000"/>
      <name val="Arial"/>
      <family val="2"/>
    </font>
    <font>
      <sz val="11"/>
      <name val="Calibri"/>
      <family val="2"/>
      <scheme val="minor"/>
    </font>
    <font>
      <sz val="11"/>
      <color rgb="FF7030A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rgb="FF8E8E8E"/>
      </bottom>
      <diagonal/>
    </border>
    <border>
      <left/>
      <right/>
      <top style="medium">
        <color rgb="FF8E8E8E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rgb="FF8E8E8E"/>
      </top>
      <bottom style="medium">
        <color rgb="FF8E8E8E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0" fontId="8" fillId="0" borderId="0"/>
    <xf numFmtId="43" fontId="13" fillId="0" borderId="0" applyFont="0" applyFill="0" applyBorder="0" applyAlignment="0" applyProtection="0"/>
  </cellStyleXfs>
  <cellXfs count="113">
    <xf numFmtId="0" fontId="0" fillId="0" borderId="0" xfId="0"/>
    <xf numFmtId="0" fontId="5" fillId="0" borderId="0" xfId="0" applyFont="1" applyAlignment="1">
      <alignment horizontal="left" vertical="center" wrapText="1"/>
    </xf>
    <xf numFmtId="0" fontId="5" fillId="0" borderId="2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0" fillId="0" borderId="0" xfId="0" applyAlignment="1"/>
    <xf numFmtId="164" fontId="0" fillId="0" borderId="0" xfId="0" applyNumberFormat="1"/>
    <xf numFmtId="164" fontId="0" fillId="0" borderId="3" xfId="0" applyNumberFormat="1" applyBorder="1"/>
    <xf numFmtId="0" fontId="0" fillId="0" borderId="3" xfId="0" applyBorder="1"/>
    <xf numFmtId="164" fontId="0" fillId="2" borderId="0" xfId="0" applyNumberFormat="1" applyFill="1"/>
    <xf numFmtId="0" fontId="0" fillId="2" borderId="0" xfId="0" applyFill="1"/>
    <xf numFmtId="164" fontId="0" fillId="2" borderId="3" xfId="0" applyNumberFormat="1" applyFill="1" applyBorder="1"/>
    <xf numFmtId="0" fontId="0" fillId="2" borderId="3" xfId="0" applyFill="1" applyBorder="1"/>
    <xf numFmtId="0" fontId="0" fillId="0" borderId="1" xfId="0" applyBorder="1"/>
    <xf numFmtId="0" fontId="7" fillId="0" borderId="4" xfId="0" applyFont="1" applyBorder="1" applyAlignment="1">
      <alignment horizontal="left" vertical="center" wrapText="1"/>
    </xf>
    <xf numFmtId="0" fontId="9" fillId="0" borderId="6" xfId="1" applyFont="1" applyBorder="1" applyAlignment="1">
      <alignment horizontal="center"/>
    </xf>
    <xf numFmtId="0" fontId="9" fillId="0" borderId="7" xfId="1" applyFont="1" applyBorder="1" applyAlignment="1">
      <alignment horizontal="center"/>
    </xf>
    <xf numFmtId="0" fontId="9" fillId="0" borderId="8" xfId="1" applyFon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9" fillId="0" borderId="6" xfId="1" applyFont="1" applyBorder="1" applyAlignment="1">
      <alignment horizontal="center" vertical="center"/>
    </xf>
    <xf numFmtId="0" fontId="9" fillId="0" borderId="7" xfId="1" applyFont="1" applyBorder="1" applyAlignment="1">
      <alignment horizontal="center" vertical="center"/>
    </xf>
    <xf numFmtId="0" fontId="9" fillId="0" borderId="8" xfId="1" applyFont="1" applyBorder="1" applyAlignment="1">
      <alignment horizontal="center" vertical="center"/>
    </xf>
    <xf numFmtId="0" fontId="9" fillId="0" borderId="6" xfId="1" applyFont="1" applyFill="1" applyBorder="1" applyAlignment="1">
      <alignment horizontal="center" vertical="center"/>
    </xf>
    <xf numFmtId="0" fontId="9" fillId="0" borderId="7" xfId="1" applyFont="1" applyFill="1" applyBorder="1" applyAlignment="1">
      <alignment horizontal="center" vertical="center"/>
    </xf>
    <xf numFmtId="0" fontId="9" fillId="0" borderId="8" xfId="1" applyFont="1" applyFill="1" applyBorder="1" applyAlignment="1">
      <alignment horizontal="center" vertical="center"/>
    </xf>
    <xf numFmtId="0" fontId="12" fillId="0" borderId="5" xfId="0" applyFont="1" applyBorder="1"/>
    <xf numFmtId="165" fontId="0" fillId="0" borderId="0" xfId="2" applyNumberFormat="1" applyFont="1"/>
    <xf numFmtId="166" fontId="0" fillId="0" borderId="0" xfId="0" applyNumberFormat="1"/>
    <xf numFmtId="0" fontId="5" fillId="0" borderId="2" xfId="0" applyFont="1" applyBorder="1" applyAlignment="1">
      <alignment horizontal="left" vertical="center" wrapText="1"/>
    </xf>
    <xf numFmtId="164" fontId="14" fillId="0" borderId="0" xfId="0" applyNumberFormat="1" applyFont="1"/>
    <xf numFmtId="164" fontId="5" fillId="0" borderId="2" xfId="0" applyNumberFormat="1" applyFont="1" applyBorder="1" applyAlignment="1">
      <alignment horizontal="left" vertical="center" wrapText="1"/>
    </xf>
    <xf numFmtId="164" fontId="5" fillId="0" borderId="0" xfId="0" applyNumberFormat="1" applyFont="1" applyAlignment="1">
      <alignment horizontal="left" vertical="center" wrapText="1"/>
    </xf>
    <xf numFmtId="164" fontId="5" fillId="0" borderId="1" xfId="0" applyNumberFormat="1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vertical="center" wrapText="1"/>
    </xf>
    <xf numFmtId="0" fontId="15" fillId="0" borderId="0" xfId="0" applyFont="1"/>
    <xf numFmtId="0" fontId="17" fillId="0" borderId="0" xfId="0" applyFont="1"/>
    <xf numFmtId="0" fontId="1" fillId="0" borderId="0" xfId="0" applyFont="1"/>
    <xf numFmtId="0" fontId="5" fillId="0" borderId="0" xfId="0" applyFont="1" applyBorder="1" applyAlignment="1">
      <alignment horizontal="left" vertical="center" wrapText="1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6" xfId="0" applyBorder="1"/>
    <xf numFmtId="0" fontId="0" fillId="0" borderId="8" xfId="0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0" fontId="0" fillId="0" borderId="10" xfId="0" applyBorder="1"/>
    <xf numFmtId="0" fontId="0" fillId="0" borderId="11" xfId="0" applyBorder="1"/>
    <xf numFmtId="0" fontId="1" fillId="0" borderId="10" xfId="0" applyFont="1" applyBorder="1"/>
    <xf numFmtId="0" fontId="1" fillId="0" borderId="10" xfId="0" applyFont="1" applyBorder="1" applyAlignment="1"/>
    <xf numFmtId="0" fontId="1" fillId="0" borderId="11" xfId="0" applyFont="1" applyBorder="1"/>
    <xf numFmtId="164" fontId="0" fillId="0" borderId="9" xfId="0" applyNumberFormat="1" applyBorder="1"/>
    <xf numFmtId="164" fontId="0" fillId="0" borderId="10" xfId="0" applyNumberFormat="1" applyBorder="1"/>
    <xf numFmtId="164" fontId="0" fillId="0" borderId="11" xfId="0" applyNumberFormat="1" applyBorder="1"/>
    <xf numFmtId="164" fontId="0" fillId="0" borderId="15" xfId="0" applyNumberFormat="1" applyBorder="1"/>
    <xf numFmtId="164" fontId="0" fillId="0" borderId="0" xfId="0" applyNumberFormat="1" applyBorder="1"/>
    <xf numFmtId="164" fontId="0" fillId="0" borderId="16" xfId="0" applyNumberFormat="1" applyBorder="1"/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NumberFormat="1" applyBorder="1"/>
    <xf numFmtId="0" fontId="0" fillId="0" borderId="0" xfId="0" applyBorder="1"/>
    <xf numFmtId="0" fontId="0" fillId="0" borderId="16" xfId="0" applyBorder="1"/>
    <xf numFmtId="164" fontId="0" fillId="2" borderId="15" xfId="0" applyNumberFormat="1" applyFill="1" applyBorder="1"/>
    <xf numFmtId="0" fontId="0" fillId="2" borderId="0" xfId="0" applyFill="1" applyBorder="1"/>
    <xf numFmtId="0" fontId="0" fillId="2" borderId="16" xfId="0" applyFill="1" applyBorder="1"/>
    <xf numFmtId="0" fontId="0" fillId="0" borderId="9" xfId="0" applyBorder="1"/>
    <xf numFmtId="0" fontId="0" fillId="0" borderId="15" xfId="0" applyBorder="1"/>
    <xf numFmtId="0" fontId="0" fillId="2" borderId="15" xfId="0" applyFill="1" applyBorder="1"/>
    <xf numFmtId="164" fontId="0" fillId="0" borderId="15" xfId="0" applyNumberFormat="1" applyFill="1" applyBorder="1"/>
    <xf numFmtId="0" fontId="0" fillId="0" borderId="0" xfId="0" applyFill="1" applyBorder="1"/>
    <xf numFmtId="0" fontId="0" fillId="0" borderId="16" xfId="0" applyFill="1" applyBorder="1"/>
    <xf numFmtId="164" fontId="0" fillId="2" borderId="12" xfId="0" applyNumberFormat="1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2" xfId="0" applyFill="1" applyBorder="1"/>
    <xf numFmtId="164" fontId="0" fillId="0" borderId="0" xfId="0" applyNumberFormat="1" applyFill="1" applyBorder="1"/>
    <xf numFmtId="164" fontId="0" fillId="0" borderId="9" xfId="0" applyNumberFormat="1" applyFill="1" applyBorder="1"/>
    <xf numFmtId="164" fontId="0" fillId="0" borderId="10" xfId="0" applyNumberFormat="1" applyFill="1" applyBorder="1"/>
    <xf numFmtId="0" fontId="0" fillId="0" borderId="10" xfId="0" applyFill="1" applyBorder="1"/>
    <xf numFmtId="0" fontId="0" fillId="0" borderId="11" xfId="0" applyFill="1" applyBorder="1"/>
    <xf numFmtId="164" fontId="0" fillId="0" borderId="12" xfId="0" applyNumberFormat="1" applyFill="1" applyBorder="1"/>
    <xf numFmtId="164" fontId="0" fillId="0" borderId="13" xfId="0" applyNumberFormat="1" applyFill="1" applyBorder="1"/>
    <xf numFmtId="0" fontId="0" fillId="0" borderId="13" xfId="0" applyFill="1" applyBorder="1"/>
    <xf numFmtId="0" fontId="0" fillId="0" borderId="14" xfId="0" applyFill="1" applyBorder="1"/>
    <xf numFmtId="0" fontId="1" fillId="0" borderId="9" xfId="0" applyFont="1" applyBorder="1" applyAlignment="1"/>
    <xf numFmtId="0" fontId="0" fillId="0" borderId="7" xfId="0" applyBorder="1"/>
    <xf numFmtId="0" fontId="5" fillId="0" borderId="9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15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164" fontId="19" fillId="0" borderId="0" xfId="0" applyNumberFormat="1" applyFont="1"/>
    <xf numFmtId="164" fontId="20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 shrinkToFit="1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9" xfId="0" applyFont="1" applyBorder="1" applyAlignment="1">
      <alignment horizontal="center" vertical="center" shrinkToFit="1"/>
    </xf>
    <xf numFmtId="0" fontId="1" fillId="0" borderId="10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2" fillId="0" borderId="4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5" fillId="0" borderId="2" xfId="0" applyFont="1" applyBorder="1" applyAlignment="1">
      <alignment horizontal="left" vertical="center" wrapText="1"/>
    </xf>
  </cellXfs>
  <cellStyles count="3">
    <cellStyle name="Normal 2" xfId="1"/>
    <cellStyle name="Обычный" xfId="0" builtinId="0"/>
    <cellStyle name="Финансовый" xfId="2" builtin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1"/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1</c:v>
              </c:pt>
              <c:pt idx="1">
                <c:v>0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047616"/>
        <c:axId val="112049152"/>
      </c:scatterChar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(Лист1!$P$17:$P$22,Лист1!$S$17:$S$22)</c:f>
              <c:numCache>
                <c:formatCode>General</c:formatCode>
                <c:ptCount val="12"/>
                <c:pt idx="0">
                  <c:v>0.16813050623709366</c:v>
                </c:pt>
                <c:pt idx="1">
                  <c:v>0.32621951983745673</c:v>
                </c:pt>
                <c:pt idx="2">
                  <c:v>0.42026225912757365</c:v>
                </c:pt>
                <c:pt idx="3">
                  <c:v>0.53827041867220271</c:v>
                </c:pt>
                <c:pt idx="4">
                  <c:v>0.60420828828857853</c:v>
                </c:pt>
                <c:pt idx="5">
                  <c:v>0.65095658549417479</c:v>
                </c:pt>
                <c:pt idx="6">
                  <c:v>0.26167583721847892</c:v>
                </c:pt>
                <c:pt idx="7">
                  <c:v>0.4063542051644653</c:v>
                </c:pt>
                <c:pt idx="8">
                  <c:v>0.47242200087970443</c:v>
                </c:pt>
                <c:pt idx="9">
                  <c:v>0.55681033509297417</c:v>
                </c:pt>
                <c:pt idx="10">
                  <c:v>0.60642410521433465</c:v>
                </c:pt>
                <c:pt idx="11">
                  <c:v>0.63748402807856208</c:v>
                </c:pt>
              </c:numCache>
            </c:numRef>
          </c:xVal>
          <c:yVal>
            <c:numRef>
              <c:f>(Лист1!$Q$17:$Q$22,Лист1!$T$17:$T$22)</c:f>
              <c:numCache>
                <c:formatCode>General</c:formatCode>
                <c:ptCount val="12"/>
                <c:pt idx="0">
                  <c:v>4.8083507208628522E-4</c:v>
                </c:pt>
                <c:pt idx="1">
                  <c:v>7.7608945158384203E-4</c:v>
                </c:pt>
                <c:pt idx="2">
                  <c:v>2.192849216212957E-3</c:v>
                </c:pt>
                <c:pt idx="3">
                  <c:v>1.5475496328164584E-3</c:v>
                </c:pt>
                <c:pt idx="4">
                  <c:v>6.2990106097086211E-3</c:v>
                </c:pt>
                <c:pt idx="5">
                  <c:v>6.3458878068344479E-3</c:v>
                </c:pt>
                <c:pt idx="6">
                  <c:v>0.73034449765139042</c:v>
                </c:pt>
                <c:pt idx="7">
                  <c:v>0.584321178177996</c:v>
                </c:pt>
                <c:pt idx="8">
                  <c:v>0.51778299254164362</c:v>
                </c:pt>
                <c:pt idx="9">
                  <c:v>0.43352555358257527</c:v>
                </c:pt>
                <c:pt idx="10">
                  <c:v>0.3777443515865283</c:v>
                </c:pt>
                <c:pt idx="11">
                  <c:v>0.34570516814520763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047616"/>
        <c:axId val="112049152"/>
      </c:scatterChart>
      <c:valAx>
        <c:axId val="112047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049152"/>
        <c:crosses val="autoZero"/>
        <c:crossBetween val="midCat"/>
      </c:valAx>
      <c:valAx>
        <c:axId val="112049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2047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LLE diagram (mol)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xVal>
            <c:numRef>
              <c:f>('BMIM+MTBE LLE'!$E$21,'BMIM+MTBE LLE'!$H$21)</c:f>
              <c:numCache>
                <c:formatCode>General</c:formatCode>
                <c:ptCount val="2"/>
                <c:pt idx="0">
                  <c:v>3.3954848150963515E-2</c:v>
                </c:pt>
                <c:pt idx="1">
                  <c:v>0.22561279123789454</c:v>
                </c:pt>
              </c:numCache>
            </c:numRef>
          </c:xVal>
          <c:yVal>
            <c:numRef>
              <c:f>('BMIM+MTBE LLE'!$F$21,'BMIM+MTBE LLE'!$I$21)</c:f>
              <c:numCache>
                <c:formatCode>General</c:formatCode>
                <c:ptCount val="2"/>
                <c:pt idx="0">
                  <c:v>6.9431911568881334E-4</c:v>
                </c:pt>
                <c:pt idx="1">
                  <c:v>0.75462858635133745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11776"/>
        <c:axId val="74013696"/>
      </c:scatterChart>
      <c:scatterChart>
        <c:scatterStyle val="smoothMarker"/>
        <c:varyColors val="0"/>
        <c:ser>
          <c:idx val="0"/>
          <c:order val="0"/>
          <c:spPr>
            <a:ln w="3175"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1</c:v>
              </c:pt>
              <c:pt idx="1">
                <c:v>0</c:v>
              </c:pt>
            </c:numLit>
          </c:yVal>
          <c:smooth val="1"/>
        </c:ser>
        <c:ser>
          <c:idx val="2"/>
          <c:order val="2"/>
          <c:spPr>
            <a:ln w="25400">
              <a:solidFill>
                <a:schemeClr val="accent2">
                  <a:lumMod val="50000"/>
                </a:schemeClr>
              </a:solidFill>
            </a:ln>
          </c:spPr>
          <c:marker>
            <c:symbol val="square"/>
            <c:size val="7"/>
          </c:marker>
          <c:xVal>
            <c:numRef>
              <c:f>('BMIM+MTBE LLE'!$E$22,'BMIM+MTBE LLE'!$H$22)</c:f>
              <c:numCache>
                <c:formatCode>General</c:formatCode>
                <c:ptCount val="2"/>
                <c:pt idx="0">
                  <c:v>9.0339991097610026E-2</c:v>
                </c:pt>
                <c:pt idx="1">
                  <c:v>0.45953988416182567</c:v>
                </c:pt>
              </c:numCache>
            </c:numRef>
          </c:xVal>
          <c:yVal>
            <c:numRef>
              <c:f>('BMIM+MTBE LLE'!$F$22,'BMIM+MTBE LLE'!$I$22)</c:f>
              <c:numCache>
                <c:formatCode>General</c:formatCode>
                <c:ptCount val="2"/>
                <c:pt idx="0">
                  <c:v>6.6884991193173348E-4</c:v>
                </c:pt>
                <c:pt idx="1">
                  <c:v>0.51406056565430569</c:v>
                </c:pt>
              </c:numCache>
            </c:numRef>
          </c:yVal>
          <c:smooth val="1"/>
        </c:ser>
        <c:ser>
          <c:idx val="3"/>
          <c:order val="3"/>
          <c:xVal>
            <c:numRef>
              <c:f>('BMIM+MTBE LLE'!$E$23,'BMIM+MTBE LLE'!$H$23)</c:f>
              <c:numCache>
                <c:formatCode>General</c:formatCode>
                <c:ptCount val="2"/>
                <c:pt idx="0">
                  <c:v>0.15370149116973225</c:v>
                </c:pt>
                <c:pt idx="1">
                  <c:v>0.54826517068730163</c:v>
                </c:pt>
              </c:numCache>
            </c:numRef>
          </c:xVal>
          <c:yVal>
            <c:numRef>
              <c:f>('BMIM+MTBE LLE'!$F$23,'BMIM+MTBE LLE'!$I$23)</c:f>
              <c:numCache>
                <c:formatCode>General</c:formatCode>
                <c:ptCount val="2"/>
                <c:pt idx="0">
                  <c:v>1.1129555499447348E-3</c:v>
                </c:pt>
                <c:pt idx="1">
                  <c:v>0.41171545261812115</c:v>
                </c:pt>
              </c:numCache>
            </c:numRef>
          </c:yVal>
          <c:smooth val="1"/>
        </c:ser>
        <c:ser>
          <c:idx val="4"/>
          <c:order val="4"/>
          <c:xVal>
            <c:numRef>
              <c:f>('BMIM+MTBE LLE'!$E$24,'BMIM+MTBE LLE'!$H$24)</c:f>
              <c:numCache>
                <c:formatCode>General</c:formatCode>
                <c:ptCount val="2"/>
                <c:pt idx="0">
                  <c:v>0.25473381272449258</c:v>
                </c:pt>
                <c:pt idx="1">
                  <c:v>0.63266227357053428</c:v>
                </c:pt>
              </c:numCache>
            </c:numRef>
          </c:xVal>
          <c:yVal>
            <c:numRef>
              <c:f>('BMIM+MTBE LLE'!$F$24,'BMIM+MTBE LLE'!$I$24)</c:f>
              <c:numCache>
                <c:formatCode>General</c:formatCode>
                <c:ptCount val="2"/>
                <c:pt idx="0">
                  <c:v>2.3238061904729624E-3</c:v>
                </c:pt>
                <c:pt idx="1">
                  <c:v>0.29963503825192322</c:v>
                </c:pt>
              </c:numCache>
            </c:numRef>
          </c:yVal>
          <c:smooth val="1"/>
        </c:ser>
        <c:ser>
          <c:idx val="5"/>
          <c:order val="5"/>
          <c:xVal>
            <c:numRef>
              <c:f>('BMIM+MTBE LLE'!$E$25,'BMIM+MTBE LLE'!$H$25)</c:f>
              <c:numCache>
                <c:formatCode>General</c:formatCode>
                <c:ptCount val="2"/>
                <c:pt idx="0">
                  <c:v>0.38739855126072653</c:v>
                </c:pt>
                <c:pt idx="1">
                  <c:v>0.68666866390004555</c:v>
                </c:pt>
              </c:numCache>
            </c:numRef>
          </c:xVal>
          <c:yVal>
            <c:numRef>
              <c:f>('BMIM+MTBE LLE'!$F$25,'BMIM+MTBE LLE'!$I$25)</c:f>
              <c:numCache>
                <c:formatCode>General</c:formatCode>
                <c:ptCount val="2"/>
                <c:pt idx="0">
                  <c:v>1.5649367729775911E-2</c:v>
                </c:pt>
                <c:pt idx="1">
                  <c:v>0.19871086852135583</c:v>
                </c:pt>
              </c:numCache>
            </c:numRef>
          </c:yVal>
          <c:smooth val="1"/>
        </c:ser>
        <c:ser>
          <c:idx val="6"/>
          <c:order val="6"/>
          <c:xVal>
            <c:numRef>
              <c:f>('BMIM+MTBE LLE'!$E$26,'BMIM+MTBE LLE'!$H$26)</c:f>
              <c:numCache>
                <c:formatCode>General</c:formatCode>
                <c:ptCount val="2"/>
                <c:pt idx="0">
                  <c:v>0.50264601561443056</c:v>
                </c:pt>
                <c:pt idx="1">
                  <c:v>0.71593936342101161</c:v>
                </c:pt>
              </c:numCache>
            </c:numRef>
          </c:xVal>
          <c:yVal>
            <c:numRef>
              <c:f>('BMIM+MTBE LLE'!$F$26,'BMIM+MTBE LLE'!$I$26)</c:f>
              <c:numCache>
                <c:formatCode>General</c:formatCode>
                <c:ptCount val="2"/>
                <c:pt idx="0">
                  <c:v>2.505526182831767E-2</c:v>
                </c:pt>
                <c:pt idx="1">
                  <c:v>0.12811431635101259</c:v>
                </c:pt>
              </c:numCache>
            </c:numRef>
          </c:yVal>
          <c:smooth val="1"/>
        </c:ser>
        <c:ser>
          <c:idx val="7"/>
          <c:order val="7"/>
          <c:tx>
            <c:v>NRTL EXTR</c:v>
          </c:tx>
          <c:spPr>
            <a:ln w="3175">
              <a:solidFill>
                <a:schemeClr val="accent3">
                  <a:lumMod val="50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'BMIM+MTBE LLE'!$Y$3:$Y$34</c:f>
              <c:numCache>
                <c:formatCode>0.0000</c:formatCode>
                <c:ptCount val="32"/>
                <c:pt idx="0" formatCode="_(* #,##0.00000_);_(* \(#,##0.00000\);_(* &quot;-&quot;??_);_(@_)">
                  <c:v>0</c:v>
                </c:pt>
                <c:pt idx="1">
                  <c:v>7.6001759335019542E-2</c:v>
                </c:pt>
                <c:pt idx="2">
                  <c:v>7.7623271753628209E-2</c:v>
                </c:pt>
                <c:pt idx="3">
                  <c:v>0.11099407878978421</c:v>
                </c:pt>
                <c:pt idx="4">
                  <c:v>0.11441557962509097</c:v>
                </c:pt>
                <c:pt idx="5">
                  <c:v>0.14336119022018001</c:v>
                </c:pt>
                <c:pt idx="6">
                  <c:v>0.17458201650281838</c:v>
                </c:pt>
                <c:pt idx="7">
                  <c:v>0.20460480864027689</c:v>
                </c:pt>
                <c:pt idx="8">
                  <c:v>0.23334766993279737</c:v>
                </c:pt>
                <c:pt idx="9">
                  <c:v>0.26073542111668735</c:v>
                </c:pt>
                <c:pt idx="10">
                  <c:v>0.2866629949103342</c:v>
                </c:pt>
                <c:pt idx="11">
                  <c:v>0.30794394361642397</c:v>
                </c:pt>
                <c:pt idx="12">
                  <c:v>0.38684382364784609</c:v>
                </c:pt>
                <c:pt idx="13">
                  <c:v>0.42261702720398098</c:v>
                </c:pt>
                <c:pt idx="14">
                  <c:v>0.46349353510899949</c:v>
                </c:pt>
                <c:pt idx="15">
                  <c:v>0.50120507869672148</c:v>
                </c:pt>
                <c:pt idx="16">
                  <c:v>0.52966968574358764</c:v>
                </c:pt>
                <c:pt idx="17">
                  <c:v>0.61568366131193142</c:v>
                </c:pt>
                <c:pt idx="18">
                  <c:v>0.64138669335207921</c:v>
                </c:pt>
                <c:pt idx="19">
                  <c:v>0.71133868463747985</c:v>
                </c:pt>
                <c:pt idx="20">
                  <c:v>0.75428588902058324</c:v>
                </c:pt>
                <c:pt idx="21">
                  <c:v>0.72606263352937139</c:v>
                </c:pt>
                <c:pt idx="22">
                  <c:v>0.73159767056212854</c:v>
                </c:pt>
                <c:pt idx="23">
                  <c:v>0.65530408621466085</c:v>
                </c:pt>
                <c:pt idx="24">
                  <c:v>0.6526676770397617</c:v>
                </c:pt>
                <c:pt idx="25">
                  <c:v>0.64082610033305076</c:v>
                </c:pt>
                <c:pt idx="26">
                  <c:v>0.70897267103797235</c:v>
                </c:pt>
              </c:numCache>
            </c:numRef>
          </c:xVal>
          <c:yVal>
            <c:numRef>
              <c:f>'BMIM+MTBE LLE'!$Z$3:$Z$34</c:f>
              <c:numCache>
                <c:formatCode>0.0000</c:formatCode>
                <c:ptCount val="32"/>
                <c:pt idx="0">
                  <c:v>0.99809146699798212</c:v>
                </c:pt>
                <c:pt idx="1">
                  <c:v>0.91930500340072374</c:v>
                </c:pt>
                <c:pt idx="2">
                  <c:v>0.91760447569776749</c:v>
                </c:pt>
                <c:pt idx="3">
                  <c:v>0.88239383558879148</c:v>
                </c:pt>
                <c:pt idx="4">
                  <c:v>0.87875954594060568</c:v>
                </c:pt>
                <c:pt idx="5">
                  <c:v>0.84781278945505811</c:v>
                </c:pt>
                <c:pt idx="6">
                  <c:v>0.81399133146348601</c:v>
                </c:pt>
                <c:pt idx="7">
                  <c:v>0.78093595854225928</c:v>
                </c:pt>
                <c:pt idx="8">
                  <c:v>0.74871174607801216</c:v>
                </c:pt>
                <c:pt idx="9">
                  <c:v>0.71726869670198701</c:v>
                </c:pt>
                <c:pt idx="10">
                  <c:v>0.68652127432145726</c:v>
                </c:pt>
                <c:pt idx="11">
                  <c:v>0.65996148666490217</c:v>
                </c:pt>
                <c:pt idx="12">
                  <c:v>0.57282964193691832</c:v>
                </c:pt>
                <c:pt idx="13">
                  <c:v>0.53995219664239369</c:v>
                </c:pt>
                <c:pt idx="14">
                  <c:v>0.49939699939876869</c:v>
                </c:pt>
                <c:pt idx="15">
                  <c:v>0.46227503598624486</c:v>
                </c:pt>
                <c:pt idx="16">
                  <c:v>0.43407390037705662</c:v>
                </c:pt>
                <c:pt idx="17">
                  <c:v>0.34840669063301533</c:v>
                </c:pt>
                <c:pt idx="18">
                  <c:v>0.32270533295369341</c:v>
                </c:pt>
                <c:pt idx="19">
                  <c:v>0.25223667218981216</c:v>
                </c:pt>
                <c:pt idx="20">
                  <c:v>0.2086115357314593</c:v>
                </c:pt>
                <c:pt idx="21">
                  <c:v>0.23732799989639353</c:v>
                </c:pt>
                <c:pt idx="22">
                  <c:v>0.23159159808814589</c:v>
                </c:pt>
                <c:pt idx="23">
                  <c:v>0.30755435076347215</c:v>
                </c:pt>
                <c:pt idx="24">
                  <c:v>0.3101702830910259</c:v>
                </c:pt>
                <c:pt idx="25">
                  <c:v>0.32170015387049467</c:v>
                </c:pt>
                <c:pt idx="26">
                  <c:v>0.25445735078919784</c:v>
                </c:pt>
              </c:numCache>
            </c:numRef>
          </c:yVal>
          <c:smooth val="1"/>
        </c:ser>
        <c:ser>
          <c:idx val="8"/>
          <c:order val="8"/>
          <c:tx>
            <c:v>NRTL Raf</c:v>
          </c:tx>
          <c:spPr>
            <a:ln w="3175">
              <a:solidFill>
                <a:schemeClr val="accent3">
                  <a:lumMod val="50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'BMIM+MTBE LLE'!$U$3:$U$34</c:f>
              <c:numCache>
                <c:formatCode>0.0000</c:formatCode>
                <c:ptCount val="32"/>
                <c:pt idx="0" formatCode="_(* #,##0.00000_);_(* \(#,##0.00000\);_(* &quot;-&quot;??_);_(@_)">
                  <c:v>0</c:v>
                </c:pt>
                <c:pt idx="1">
                  <c:v>1.0537624772912223E-2</c:v>
                </c:pt>
                <c:pt idx="2">
                  <c:v>1.0772400729853221E-2</c:v>
                </c:pt>
                <c:pt idx="3">
                  <c:v>1.571494626890798E-2</c:v>
                </c:pt>
                <c:pt idx="4">
                  <c:v>1.6234588132974834E-2</c:v>
                </c:pt>
                <c:pt idx="5">
                  <c:v>2.0728606708281489E-2</c:v>
                </c:pt>
                <c:pt idx="6">
                  <c:v>2.5830049843558155E-2</c:v>
                </c:pt>
                <c:pt idx="7">
                  <c:v>3.1024014962545476E-2</c:v>
                </c:pt>
                <c:pt idx="8">
                  <c:v>3.6321074207186402E-2</c:v>
                </c:pt>
                <c:pt idx="9">
                  <c:v>4.1732082819034691E-2</c:v>
                </c:pt>
                <c:pt idx="10">
                  <c:v>4.7274490861840712E-2</c:v>
                </c:pt>
                <c:pt idx="11">
                  <c:v>5.2245703272958369E-2</c:v>
                </c:pt>
                <c:pt idx="12">
                  <c:v>7.3223684454633786E-2</c:v>
                </c:pt>
                <c:pt idx="13">
                  <c:v>8.3687602776650646E-2</c:v>
                </c:pt>
                <c:pt idx="14">
                  <c:v>9.7504259822124684E-2</c:v>
                </c:pt>
                <c:pt idx="15">
                  <c:v>0.11200202434117081</c:v>
                </c:pt>
                <c:pt idx="16">
                  <c:v>0.12438520925187529</c:v>
                </c:pt>
                <c:pt idx="17">
                  <c:v>0.17259651320027844</c:v>
                </c:pt>
                <c:pt idx="18">
                  <c:v>0.19201944845242574</c:v>
                </c:pt>
                <c:pt idx="19">
                  <c:v>0.25396522811486899</c:v>
                </c:pt>
                <c:pt idx="20">
                  <c:v>0.25524047380143489</c:v>
                </c:pt>
                <c:pt idx="21">
                  <c:v>0.26515415175028356</c:v>
                </c:pt>
                <c:pt idx="22">
                  <c:v>0.38893600232498621</c:v>
                </c:pt>
                <c:pt idx="23">
                  <c:v>0.56210495705415497</c:v>
                </c:pt>
                <c:pt idx="24">
                  <c:v>0.56437587474827111</c:v>
                </c:pt>
                <c:pt idx="25">
                  <c:v>0.61113950816219265</c:v>
                </c:pt>
                <c:pt idx="26">
                  <c:v>0.21337058449783408</c:v>
                </c:pt>
              </c:numCache>
            </c:numRef>
          </c:xVal>
          <c:yVal>
            <c:numRef>
              <c:f>'BMIM+MTBE LLE'!$V$3:$V$34</c:f>
              <c:numCache>
                <c:formatCode>0.0000</c:formatCode>
                <c:ptCount val="32"/>
                <c:pt idx="0" formatCode="_(* #,##0.00000_);_(* \(#,##0.00000\);_(* &quot;-&quot;??_);_(@_)">
                  <c:v>4.5568355804303715E-4</c:v>
                </c:pt>
                <c:pt idx="1">
                  <c:v>5.0173834302593757E-4</c:v>
                </c:pt>
                <c:pt idx="2">
                  <c:v>5.0278151080524673E-4</c:v>
                </c:pt>
                <c:pt idx="3">
                  <c:v>5.2499960486823607E-4</c:v>
                </c:pt>
                <c:pt idx="4">
                  <c:v>5.2746588689331342E-4</c:v>
                </c:pt>
                <c:pt idx="5">
                  <c:v>5.2159554494963611E-4</c:v>
                </c:pt>
                <c:pt idx="6">
                  <c:v>5.4860893004876989E-4</c:v>
                </c:pt>
                <c:pt idx="7">
                  <c:v>5.7807159458387269E-4</c:v>
                </c:pt>
                <c:pt idx="8">
                  <c:v>6.10292601822247E-4</c:v>
                </c:pt>
                <c:pt idx="9">
                  <c:v>6.4562679113281405E-4</c:v>
                </c:pt>
                <c:pt idx="10">
                  <c:v>6.8454940747623852E-4</c:v>
                </c:pt>
                <c:pt idx="11">
                  <c:v>7.2205676835397354E-4</c:v>
                </c:pt>
                <c:pt idx="12">
                  <c:v>8.9999866165652682E-4</c:v>
                </c:pt>
                <c:pt idx="13">
                  <c:v>1.0008482486936593E-3</c:v>
                </c:pt>
                <c:pt idx="14">
                  <c:v>1.151824447827858E-3</c:v>
                </c:pt>
                <c:pt idx="15">
                  <c:v>1.3312283262502615E-3</c:v>
                </c:pt>
                <c:pt idx="16">
                  <c:v>1.502622825325864E-3</c:v>
                </c:pt>
                <c:pt idx="17">
                  <c:v>2.3444891973330049E-3</c:v>
                </c:pt>
                <c:pt idx="18">
                  <c:v>2.766784539044778E-3</c:v>
                </c:pt>
                <c:pt idx="19">
                  <c:v>4.5221288562100927E-3</c:v>
                </c:pt>
                <c:pt idx="20">
                  <c:v>5.0483147040997749E-3</c:v>
                </c:pt>
                <c:pt idx="21">
                  <c:v>4.9604033310151159E-3</c:v>
                </c:pt>
                <c:pt idx="22">
                  <c:v>8.4546440680355901E-3</c:v>
                </c:pt>
                <c:pt idx="23">
                  <c:v>1.0831560484638049E-2</c:v>
                </c:pt>
                <c:pt idx="24">
                  <c:v>1.0827773998877726E-2</c:v>
                </c:pt>
                <c:pt idx="25">
                  <c:v>1.1465173445990712E-2</c:v>
                </c:pt>
                <c:pt idx="26">
                  <c:v>2.0445954683795935E-3</c:v>
                </c:pt>
              </c:numCache>
            </c:numRef>
          </c:yVal>
          <c:smooth val="1"/>
        </c:ser>
        <c:ser>
          <c:idx val="9"/>
          <c:order val="9"/>
          <c:tx>
            <c:v>konoda1</c:v>
          </c:tx>
          <c:spPr>
            <a:ln w="3175">
              <a:solidFill>
                <a:schemeClr val="accent3">
                  <a:lumMod val="50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('BMIM+MTBE LLE'!$U$6,'BMIM+MTBE LLE'!$Y$6)</c:f>
              <c:numCache>
                <c:formatCode>0.0000</c:formatCode>
                <c:ptCount val="2"/>
                <c:pt idx="0">
                  <c:v>1.571494626890798E-2</c:v>
                </c:pt>
                <c:pt idx="1">
                  <c:v>0.11099407878978421</c:v>
                </c:pt>
              </c:numCache>
            </c:numRef>
          </c:xVal>
          <c:yVal>
            <c:numRef>
              <c:f>('BMIM+MTBE LLE'!$V$6,'BMIM+MTBE LLE'!$Z$6)</c:f>
              <c:numCache>
                <c:formatCode>0.0000</c:formatCode>
                <c:ptCount val="2"/>
                <c:pt idx="0">
                  <c:v>5.2499960486823607E-4</c:v>
                </c:pt>
                <c:pt idx="1">
                  <c:v>0.88239383558879148</c:v>
                </c:pt>
              </c:numCache>
            </c:numRef>
          </c:yVal>
          <c:smooth val="1"/>
        </c:ser>
        <c:ser>
          <c:idx val="10"/>
          <c:order val="10"/>
          <c:tx>
            <c:v>konoda1</c:v>
          </c:tx>
          <c:spPr>
            <a:ln w="3175">
              <a:solidFill>
                <a:schemeClr val="accent3">
                  <a:lumMod val="5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('BMIM+MTBE LLE'!$U$8,'BMIM+MTBE LLE'!$Y$8)</c:f>
              <c:numCache>
                <c:formatCode>0.0000</c:formatCode>
                <c:ptCount val="2"/>
                <c:pt idx="0">
                  <c:v>2.0728606708281489E-2</c:v>
                </c:pt>
                <c:pt idx="1">
                  <c:v>0.14336119022018001</c:v>
                </c:pt>
              </c:numCache>
            </c:numRef>
          </c:xVal>
          <c:yVal>
            <c:numRef>
              <c:f>('BMIM+MTBE LLE'!$V$8,'BMIM+MTBE LLE'!$Z$8)</c:f>
              <c:numCache>
                <c:formatCode>0.0000</c:formatCode>
                <c:ptCount val="2"/>
                <c:pt idx="0">
                  <c:v>5.2159554494963611E-4</c:v>
                </c:pt>
                <c:pt idx="1">
                  <c:v>0.84781278945505811</c:v>
                </c:pt>
              </c:numCache>
            </c:numRef>
          </c:yVal>
          <c:smooth val="1"/>
        </c:ser>
        <c:ser>
          <c:idx val="11"/>
          <c:order val="11"/>
          <c:tx>
            <c:v>konoda3</c:v>
          </c:tx>
          <c:spPr>
            <a:ln w="3175">
              <a:solidFill>
                <a:schemeClr val="accent3">
                  <a:lumMod val="50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('BMIM+MTBE LLE'!$U$3,'BMIM+MTBE LLE'!$Y$3)</c:f>
              <c:numCache>
                <c:formatCode>_(* #,##0.00000_);_(* \(#,##0.00000\);_(*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('BMIM+MTBE LLE'!$V$3,'BMIM+MTBE LLE'!$Z$3)</c:f>
              <c:numCache>
                <c:formatCode>0.0000</c:formatCode>
                <c:ptCount val="2"/>
                <c:pt idx="0" formatCode="_(* #,##0.00000_);_(* \(#,##0.00000\);_(* &quot;-&quot;??_);_(@_)">
                  <c:v>4.5568355804303715E-4</c:v>
                </c:pt>
                <c:pt idx="1">
                  <c:v>0.99809146699798212</c:v>
                </c:pt>
              </c:numCache>
            </c:numRef>
          </c:yVal>
          <c:smooth val="1"/>
        </c:ser>
        <c:ser>
          <c:idx val="12"/>
          <c:order val="12"/>
          <c:tx>
            <c:v>konoda4</c:v>
          </c:tx>
          <c:spPr>
            <a:ln w="3175">
              <a:solidFill>
                <a:schemeClr val="accent3">
                  <a:lumMod val="50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('BMIM+MTBE LLE'!$U$11,'BMIM+MTBE LLE'!$Y$11)</c:f>
              <c:numCache>
                <c:formatCode>0.0000</c:formatCode>
                <c:ptCount val="2"/>
                <c:pt idx="0">
                  <c:v>3.6321074207186402E-2</c:v>
                </c:pt>
                <c:pt idx="1">
                  <c:v>0.23334766993279737</c:v>
                </c:pt>
              </c:numCache>
            </c:numRef>
          </c:xVal>
          <c:yVal>
            <c:numRef>
              <c:f>('BMIM+MTBE LLE'!$V$11,'BMIM+MTBE LLE'!$Z$11)</c:f>
              <c:numCache>
                <c:formatCode>0.0000</c:formatCode>
                <c:ptCount val="2"/>
                <c:pt idx="0">
                  <c:v>6.10292601822247E-4</c:v>
                </c:pt>
                <c:pt idx="1">
                  <c:v>0.74871174607801216</c:v>
                </c:pt>
              </c:numCache>
            </c:numRef>
          </c:yVal>
          <c:smooth val="1"/>
        </c:ser>
        <c:ser>
          <c:idx val="13"/>
          <c:order val="13"/>
          <c:tx>
            <c:v>konoda</c:v>
          </c:tx>
          <c:spPr>
            <a:ln w="3175">
              <a:solidFill>
                <a:schemeClr val="accent3">
                  <a:lumMod val="50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('BMIM+MTBE LLE'!$U$13,'BMIM+MTBE LLE'!$Y$13)</c:f>
              <c:numCache>
                <c:formatCode>0.0000</c:formatCode>
                <c:ptCount val="2"/>
                <c:pt idx="0">
                  <c:v>4.7274490861840712E-2</c:v>
                </c:pt>
                <c:pt idx="1">
                  <c:v>0.2866629949103342</c:v>
                </c:pt>
              </c:numCache>
            </c:numRef>
          </c:xVal>
          <c:yVal>
            <c:numRef>
              <c:f>('BMIM+MTBE LLE'!$V$13,'BMIM+MTBE LLE'!$Z$13)</c:f>
              <c:numCache>
                <c:formatCode>0.0000</c:formatCode>
                <c:ptCount val="2"/>
                <c:pt idx="0">
                  <c:v>6.8454940747623852E-4</c:v>
                </c:pt>
                <c:pt idx="1">
                  <c:v>0.68652127432145726</c:v>
                </c:pt>
              </c:numCache>
            </c:numRef>
          </c:yVal>
          <c:smooth val="1"/>
        </c:ser>
        <c:ser>
          <c:idx val="14"/>
          <c:order val="14"/>
          <c:tx>
            <c:v>konoda</c:v>
          </c:tx>
          <c:spPr>
            <a:ln w="3175">
              <a:solidFill>
                <a:schemeClr val="accent3">
                  <a:lumMod val="50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('BMIM+MTBE LLE'!$U$15,'BMIM+MTBE LLE'!$Y$15)</c:f>
              <c:numCache>
                <c:formatCode>0.0000</c:formatCode>
                <c:ptCount val="2"/>
                <c:pt idx="0">
                  <c:v>7.3223684454633786E-2</c:v>
                </c:pt>
                <c:pt idx="1">
                  <c:v>0.38684382364784609</c:v>
                </c:pt>
              </c:numCache>
            </c:numRef>
          </c:xVal>
          <c:yVal>
            <c:numRef>
              <c:f>('BMIM+MTBE LLE'!$V$15,'BMIM+MTBE LLE'!$Z$15)</c:f>
              <c:numCache>
                <c:formatCode>0.0000</c:formatCode>
                <c:ptCount val="2"/>
                <c:pt idx="0">
                  <c:v>8.9999866165652682E-4</c:v>
                </c:pt>
                <c:pt idx="1">
                  <c:v>0.57282964193691832</c:v>
                </c:pt>
              </c:numCache>
            </c:numRef>
          </c:yVal>
          <c:smooth val="1"/>
        </c:ser>
        <c:ser>
          <c:idx val="15"/>
          <c:order val="15"/>
          <c:tx>
            <c:v>konoda</c:v>
          </c:tx>
          <c:spPr>
            <a:ln w="3175">
              <a:solidFill>
                <a:schemeClr val="accent3">
                  <a:lumMod val="50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('BMIM+MTBE LLE'!$U$17,'BMIM+MTBE LLE'!$Y$17)</c:f>
              <c:numCache>
                <c:formatCode>0.0000</c:formatCode>
                <c:ptCount val="2"/>
                <c:pt idx="0">
                  <c:v>9.7504259822124684E-2</c:v>
                </c:pt>
                <c:pt idx="1">
                  <c:v>0.46349353510899949</c:v>
                </c:pt>
              </c:numCache>
            </c:numRef>
          </c:xVal>
          <c:yVal>
            <c:numRef>
              <c:f>('BMIM+MTBE LLE'!$V$17,'BMIM+MTBE LLE'!$Z$17)</c:f>
              <c:numCache>
                <c:formatCode>0.0000</c:formatCode>
                <c:ptCount val="2"/>
                <c:pt idx="0">
                  <c:v>1.151824447827858E-3</c:v>
                </c:pt>
                <c:pt idx="1">
                  <c:v>0.49939699939876869</c:v>
                </c:pt>
              </c:numCache>
            </c:numRef>
          </c:yVal>
          <c:smooth val="1"/>
        </c:ser>
        <c:ser>
          <c:idx val="16"/>
          <c:order val="16"/>
          <c:tx>
            <c:v>konoda</c:v>
          </c:tx>
          <c:spPr>
            <a:ln w="3175">
              <a:solidFill>
                <a:schemeClr val="accent3">
                  <a:lumMod val="50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('BMIM+MTBE LLE'!$U$18,'BMIM+MTBE LLE'!$Y$18)</c:f>
              <c:numCache>
                <c:formatCode>0.0000</c:formatCode>
                <c:ptCount val="2"/>
                <c:pt idx="0">
                  <c:v>0.11200202434117081</c:v>
                </c:pt>
                <c:pt idx="1">
                  <c:v>0.50120507869672148</c:v>
                </c:pt>
              </c:numCache>
            </c:numRef>
          </c:xVal>
          <c:yVal>
            <c:numRef>
              <c:f>('BMIM+MTBE LLE'!$V$18,'BMIM+MTBE LLE'!$Z$18)</c:f>
              <c:numCache>
                <c:formatCode>0.0000</c:formatCode>
                <c:ptCount val="2"/>
                <c:pt idx="0">
                  <c:v>1.3312283262502615E-3</c:v>
                </c:pt>
                <c:pt idx="1">
                  <c:v>0.46227503598624486</c:v>
                </c:pt>
              </c:numCache>
            </c:numRef>
          </c:yVal>
          <c:smooth val="1"/>
        </c:ser>
        <c:ser>
          <c:idx val="17"/>
          <c:order val="17"/>
          <c:tx>
            <c:v>konoda</c:v>
          </c:tx>
          <c:spPr>
            <a:ln w="3175">
              <a:solidFill>
                <a:schemeClr val="accent3">
                  <a:lumMod val="50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('BMIM+MTBE LLE'!$U$20,'BMIM+MTBE LLE'!$Y$20)</c:f>
              <c:numCache>
                <c:formatCode>0.0000</c:formatCode>
                <c:ptCount val="2"/>
                <c:pt idx="0">
                  <c:v>0.17259651320027844</c:v>
                </c:pt>
                <c:pt idx="1">
                  <c:v>0.61568366131193142</c:v>
                </c:pt>
              </c:numCache>
            </c:numRef>
          </c:xVal>
          <c:yVal>
            <c:numRef>
              <c:f>('BMIM+MTBE LLE'!$V$20,'BMIM+MTBE LLE'!$Z$20)</c:f>
              <c:numCache>
                <c:formatCode>0.0000</c:formatCode>
                <c:ptCount val="2"/>
                <c:pt idx="0">
                  <c:v>2.3444891973330049E-3</c:v>
                </c:pt>
                <c:pt idx="1">
                  <c:v>0.34840669063301533</c:v>
                </c:pt>
              </c:numCache>
            </c:numRef>
          </c:yVal>
          <c:smooth val="1"/>
        </c:ser>
        <c:ser>
          <c:idx val="18"/>
          <c:order val="18"/>
          <c:tx>
            <c:v>konoda</c:v>
          </c:tx>
          <c:spPr>
            <a:ln w="3175">
              <a:solidFill>
                <a:schemeClr val="accent3">
                  <a:lumMod val="50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('BMIM+MTBE LLE'!$U$22,'BMIM+MTBE LLE'!$Y$22)</c:f>
              <c:numCache>
                <c:formatCode>0.0000</c:formatCode>
                <c:ptCount val="2"/>
                <c:pt idx="0">
                  <c:v>0.25396522811486899</c:v>
                </c:pt>
                <c:pt idx="1">
                  <c:v>0.71133868463747985</c:v>
                </c:pt>
              </c:numCache>
            </c:numRef>
          </c:xVal>
          <c:yVal>
            <c:numRef>
              <c:f>('BMIM+MTBE LLE'!$V$22,'BMIM+MTBE LLE'!$Z$22)</c:f>
              <c:numCache>
                <c:formatCode>0.0000</c:formatCode>
                <c:ptCount val="2"/>
                <c:pt idx="0">
                  <c:v>4.5221288562100927E-3</c:v>
                </c:pt>
                <c:pt idx="1">
                  <c:v>0.25223667218981216</c:v>
                </c:pt>
              </c:numCache>
            </c:numRef>
          </c:yVal>
          <c:smooth val="1"/>
        </c:ser>
        <c:ser>
          <c:idx val="19"/>
          <c:order val="19"/>
          <c:tx>
            <c:v>konoda</c:v>
          </c:tx>
          <c:spPr>
            <a:ln w="3175">
              <a:solidFill>
                <a:schemeClr val="accent3">
                  <a:lumMod val="50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('BMIM+MTBE LLE'!$U$24,'BMIM+MTBE LLE'!$Y$24)</c:f>
              <c:numCache>
                <c:formatCode>0.0000</c:formatCode>
                <c:ptCount val="2"/>
                <c:pt idx="0">
                  <c:v>0.26515415175028356</c:v>
                </c:pt>
                <c:pt idx="1">
                  <c:v>0.72606263352937139</c:v>
                </c:pt>
              </c:numCache>
            </c:numRef>
          </c:xVal>
          <c:yVal>
            <c:numRef>
              <c:f>('BMIM+MTBE LLE'!$V$24,'BMIM+MTBE LLE'!$Z$24)</c:f>
              <c:numCache>
                <c:formatCode>0.0000</c:formatCode>
                <c:ptCount val="2"/>
                <c:pt idx="0">
                  <c:v>4.9604033310151159E-3</c:v>
                </c:pt>
                <c:pt idx="1">
                  <c:v>0.23732799989639353</c:v>
                </c:pt>
              </c:numCache>
            </c:numRef>
          </c:yVal>
          <c:smooth val="1"/>
        </c:ser>
        <c:ser>
          <c:idx val="20"/>
          <c:order val="20"/>
          <c:tx>
            <c:v>konoda</c:v>
          </c:tx>
          <c:spPr>
            <a:ln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('BMIM+MTBE LLE'!$U$26,'BMIM+MTBE LLE'!$Y$26)</c:f>
              <c:numCache>
                <c:formatCode>0.0000</c:formatCode>
                <c:ptCount val="2"/>
                <c:pt idx="0">
                  <c:v>0.56210495705415497</c:v>
                </c:pt>
                <c:pt idx="1">
                  <c:v>0.65530408621466085</c:v>
                </c:pt>
              </c:numCache>
            </c:numRef>
          </c:xVal>
          <c:yVal>
            <c:numRef>
              <c:f>('BMIM+MTBE LLE'!$V$26,'BMIM+MTBE LLE'!$Z$26)</c:f>
              <c:numCache>
                <c:formatCode>0.0000</c:formatCode>
                <c:ptCount val="2"/>
                <c:pt idx="0">
                  <c:v>1.0831560484638049E-2</c:v>
                </c:pt>
                <c:pt idx="1">
                  <c:v>0.30755435076347215</c:v>
                </c:pt>
              </c:numCache>
            </c:numRef>
          </c:yVal>
          <c:smooth val="1"/>
        </c:ser>
        <c:ser>
          <c:idx val="21"/>
          <c:order val="21"/>
          <c:tx>
            <c:v>MB</c:v>
          </c:tx>
          <c:spPr>
            <a:ln w="28575">
              <a:noFill/>
            </a:ln>
          </c:spPr>
          <c:marker>
            <c:symbol val="square"/>
            <c:size val="12"/>
          </c:marker>
          <c:xVal>
            <c:numRef>
              <c:f>'BMIM+MTBE LLE'!$AC$3:$AC$14</c:f>
              <c:numCache>
                <c:formatCode>General</c:formatCode>
                <c:ptCount val="12"/>
                <c:pt idx="0">
                  <c:v>0.65</c:v>
                </c:pt>
                <c:pt idx="1">
                  <c:v>0.15668639269064766</c:v>
                </c:pt>
                <c:pt idx="2">
                  <c:v>1.8115800398152793E-2</c:v>
                </c:pt>
                <c:pt idx="3">
                  <c:v>1.8969571248515801E-3</c:v>
                </c:pt>
                <c:pt idx="4">
                  <c:v>1.949855792944094E-4</c:v>
                </c:pt>
                <c:pt idx="5">
                  <c:v>1.8321623448254651E-5</c:v>
                </c:pt>
                <c:pt idx="6">
                  <c:v>0.59717044851183443</c:v>
                </c:pt>
                <c:pt idx="7">
                  <c:v>0.12666154975327659</c:v>
                </c:pt>
                <c:pt idx="8">
                  <c:v>1.413401239202236E-2</c:v>
                </c:pt>
                <c:pt idx="9">
                  <c:v>1.4616800620300488E-3</c:v>
                </c:pt>
                <c:pt idx="10">
                  <c:v>1.3743625617814831E-4</c:v>
                </c:pt>
                <c:pt idx="11">
                  <c:v>0</c:v>
                </c:pt>
              </c:numCache>
            </c:numRef>
          </c:xVal>
          <c:yVal>
            <c:numRef>
              <c:f>'BMIM+MTBE LLE'!$AD$3:$AD$14</c:f>
              <c:numCache>
                <c:formatCode>General</c:formatCode>
                <c:ptCount val="12"/>
                <c:pt idx="0">
                  <c:v>0</c:v>
                </c:pt>
                <c:pt idx="1">
                  <c:v>1.4599969785200981E-3</c:v>
                </c:pt>
                <c:pt idx="2">
                  <c:v>5.3609760217765922E-4</c:v>
                </c:pt>
                <c:pt idx="3">
                  <c:v>4.6383169828876757E-4</c:v>
                </c:pt>
                <c:pt idx="4">
                  <c:v>4.5651904658057258E-4</c:v>
                </c:pt>
                <c:pt idx="5">
                  <c:v>4.557619603764523E-4</c:v>
                </c:pt>
                <c:pt idx="6">
                  <c:v>0.3668025513222678</c:v>
                </c:pt>
                <c:pt idx="7">
                  <c:v>0.86571289881277125</c:v>
                </c:pt>
                <c:pt idx="8">
                  <c:v>0.98356323978367599</c:v>
                </c:pt>
                <c:pt idx="9">
                  <c:v>0.9965914461228772</c:v>
                </c:pt>
                <c:pt idx="10">
                  <c:v>0.99795043526683191</c:v>
                </c:pt>
                <c:pt idx="11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11776"/>
        <c:axId val="74013696"/>
      </c:scatterChart>
      <c:valAx>
        <c:axId val="74011776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Methanol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4013696"/>
        <c:crosses val="autoZero"/>
        <c:crossBetween val="midCat"/>
      </c:valAx>
      <c:valAx>
        <c:axId val="74013696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[BMIM][HSO4]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4011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1</c:v>
              </c:pt>
              <c:pt idx="1">
                <c:v>0</c:v>
              </c:pt>
            </c:numLit>
          </c:yVal>
          <c:smooth val="1"/>
        </c:ser>
        <c:ser>
          <c:idx val="1"/>
          <c:order val="1"/>
          <c:xVal>
            <c:numRef>
              <c:f>('BMIM wi=xi'!$L$51,'BMIM wi=xi'!$O$51)</c:f>
              <c:numCache>
                <c:formatCode>General</c:formatCode>
                <c:ptCount val="2"/>
                <c:pt idx="0">
                  <c:v>1.26E-2</c:v>
                </c:pt>
                <c:pt idx="1">
                  <c:v>3.8600000000000002E-2</c:v>
                </c:pt>
              </c:numCache>
            </c:numRef>
          </c:xVal>
          <c:yVal>
            <c:numRef>
              <c:f>('BMIM wi=xi'!$M$51,'BMIM wi=xi'!$P$51)</c:f>
              <c:numCache>
                <c:formatCode>General</c:formatCode>
                <c:ptCount val="2"/>
                <c:pt idx="0">
                  <c:v>1.9000000000000128E-3</c:v>
                </c:pt>
                <c:pt idx="1">
                  <c:v>0.95210000000000006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('BMIM wi=xi'!$L$52,'BMIM wi=xi'!$O$52)</c:f>
              <c:numCache>
                <c:formatCode>General</c:formatCode>
                <c:ptCount val="2"/>
                <c:pt idx="0">
                  <c:v>3.4799999999999998E-2</c:v>
                </c:pt>
                <c:pt idx="1">
                  <c:v>0.10630000000000001</c:v>
                </c:pt>
              </c:numCache>
            </c:numRef>
          </c:xVal>
          <c:yVal>
            <c:numRef>
              <c:f>('BMIM wi=xi'!$M$53,'BMIM wi=xi'!$P$53)</c:f>
              <c:numCache>
                <c:formatCode>General</c:formatCode>
                <c:ptCount val="2"/>
                <c:pt idx="0">
                  <c:v>3.3000000000000806E-3</c:v>
                </c:pt>
                <c:pt idx="1">
                  <c:v>0.82179999999999997</c:v>
                </c:pt>
              </c:numCache>
            </c:numRef>
          </c:yVal>
          <c:smooth val="1"/>
        </c:ser>
        <c:ser>
          <c:idx val="3"/>
          <c:order val="3"/>
          <c:xVal>
            <c:numRef>
              <c:f>('BMIM wi=xi'!$L$53,'BMIM wi=xi'!$O$53)</c:f>
              <c:numCache>
                <c:formatCode>General</c:formatCode>
                <c:ptCount val="2"/>
                <c:pt idx="0">
                  <c:v>6.1800000000000001E-2</c:v>
                </c:pt>
                <c:pt idx="1">
                  <c:v>0.1484</c:v>
                </c:pt>
              </c:numCache>
            </c:numRef>
          </c:xVal>
          <c:yVal>
            <c:numRef>
              <c:f>('BMIM wi=xi'!$M$53,'BMIM wi=xi'!$P$53)</c:f>
              <c:numCache>
                <c:formatCode>General</c:formatCode>
                <c:ptCount val="2"/>
                <c:pt idx="0">
                  <c:v>3.3000000000000806E-3</c:v>
                </c:pt>
                <c:pt idx="1">
                  <c:v>0.82179999999999997</c:v>
                </c:pt>
              </c:numCache>
            </c:numRef>
          </c:yVal>
          <c:smooth val="1"/>
        </c:ser>
        <c:ser>
          <c:idx val="4"/>
          <c:order val="4"/>
          <c:xVal>
            <c:numRef>
              <c:f>('BMIM wi=xi'!$L$54,'BMIM wi=xi'!$O$54)</c:f>
              <c:numCache>
                <c:formatCode>General</c:formatCode>
                <c:ptCount val="2"/>
                <c:pt idx="0">
                  <c:v>0.11</c:v>
                </c:pt>
                <c:pt idx="1">
                  <c:v>0.2089</c:v>
                </c:pt>
              </c:numCache>
            </c:numRef>
          </c:xVal>
          <c:yVal>
            <c:numRef>
              <c:f>('BMIM wi=xi'!$M$54,'BMIM wi=xi'!$P$54)</c:f>
              <c:numCache>
                <c:formatCode>General</c:formatCode>
                <c:ptCount val="2"/>
                <c:pt idx="0">
                  <c:v>7.3999999999999622E-3</c:v>
                </c:pt>
                <c:pt idx="1">
                  <c:v>0.72960000000000003</c:v>
                </c:pt>
              </c:numCache>
            </c:numRef>
          </c:yVal>
          <c:smooth val="1"/>
        </c:ser>
        <c:ser>
          <c:idx val="5"/>
          <c:order val="5"/>
          <c:xVal>
            <c:numRef>
              <c:f>('BMIM wi=xi'!$L$55,'BMIM wi=xi'!$O$55)</c:f>
              <c:numCache>
                <c:formatCode>General</c:formatCode>
                <c:ptCount val="2"/>
                <c:pt idx="0">
                  <c:v>0.18060000000000001</c:v>
                </c:pt>
                <c:pt idx="1">
                  <c:v>0.27829999999999999</c:v>
                </c:pt>
              </c:numCache>
            </c:numRef>
          </c:xVal>
          <c:yVal>
            <c:numRef>
              <c:f>('BMIM wi=xi'!$M$55,'BMIM wi=xi'!$P$55)</c:f>
              <c:numCache>
                <c:formatCode>General</c:formatCode>
                <c:ptCount val="2"/>
                <c:pt idx="0">
                  <c:v>5.380000000000007E-2</c:v>
                </c:pt>
                <c:pt idx="1">
                  <c:v>0.59389999999999998</c:v>
                </c:pt>
              </c:numCache>
            </c:numRef>
          </c:yVal>
          <c:smooth val="1"/>
        </c:ser>
        <c:ser>
          <c:idx val="6"/>
          <c:order val="6"/>
          <c:xVal>
            <c:numRef>
              <c:f>('BMIM wi=xi'!$L$56,'BMIM wi=xi'!$O$56)</c:f>
              <c:numCache>
                <c:formatCode>General</c:formatCode>
                <c:ptCount val="2"/>
                <c:pt idx="0">
                  <c:v>0.253</c:v>
                </c:pt>
                <c:pt idx="1">
                  <c:v>0.34260000000000002</c:v>
                </c:pt>
              </c:numCache>
            </c:numRef>
          </c:xVal>
          <c:yVal>
            <c:numRef>
              <c:f>('BMIM wi=xi'!$M$56,'BMIM wi=xi'!$P$56)</c:f>
              <c:numCache>
                <c:formatCode>General</c:formatCode>
                <c:ptCount val="2"/>
                <c:pt idx="0">
                  <c:v>9.2999999999999972E-2</c:v>
                </c:pt>
                <c:pt idx="1">
                  <c:v>0.45209999999999995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81920"/>
        <c:axId val="159283456"/>
      </c:scatterChart>
      <c:valAx>
        <c:axId val="159281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9283456"/>
        <c:crosses val="autoZero"/>
        <c:crossBetween val="midCat"/>
      </c:valAx>
      <c:valAx>
        <c:axId val="159283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281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spPr>
            <a:ln w="28575">
              <a:noFill/>
            </a:ln>
          </c:spPr>
          <c:xVal>
            <c:numRef>
              <c:f>('BMIM wi=xi'!$P$24:$P$29,'BMIM wi=xi'!$S$24:$S$29)</c:f>
              <c:numCache>
                <c:formatCode>General</c:formatCode>
                <c:ptCount val="12"/>
                <c:pt idx="0">
                  <c:v>3.3954848150963515E-2</c:v>
                </c:pt>
                <c:pt idx="1">
                  <c:v>9.0339991097610026E-2</c:v>
                </c:pt>
                <c:pt idx="2">
                  <c:v>0.15370149116973225</c:v>
                </c:pt>
                <c:pt idx="3">
                  <c:v>0.25473381272449258</c:v>
                </c:pt>
                <c:pt idx="4">
                  <c:v>0.38739855126072653</c:v>
                </c:pt>
                <c:pt idx="5">
                  <c:v>0.50264601561443056</c:v>
                </c:pt>
                <c:pt idx="6">
                  <c:v>0.22561279123789454</c:v>
                </c:pt>
                <c:pt idx="7">
                  <c:v>0.45953988416182567</c:v>
                </c:pt>
                <c:pt idx="8">
                  <c:v>0.54826517068730163</c:v>
                </c:pt>
                <c:pt idx="9">
                  <c:v>0.63266227357053428</c:v>
                </c:pt>
                <c:pt idx="10">
                  <c:v>0.68666866390004555</c:v>
                </c:pt>
                <c:pt idx="11">
                  <c:v>0.71593936342101161</c:v>
                </c:pt>
              </c:numCache>
            </c:numRef>
          </c:xVal>
          <c:yVal>
            <c:numRef>
              <c:f>('BMIM wi=xi'!$Q$24:$Q$29,'BMIM wi=xi'!$T$24:$T$29)</c:f>
              <c:numCache>
                <c:formatCode>General</c:formatCode>
                <c:ptCount val="12"/>
                <c:pt idx="0">
                  <c:v>6.9431911568881334E-4</c:v>
                </c:pt>
                <c:pt idx="1">
                  <c:v>6.6884991193173348E-4</c:v>
                </c:pt>
                <c:pt idx="2">
                  <c:v>1.1129555499447348E-3</c:v>
                </c:pt>
                <c:pt idx="3">
                  <c:v>2.3238061904729624E-3</c:v>
                </c:pt>
                <c:pt idx="4">
                  <c:v>1.5649367729775911E-2</c:v>
                </c:pt>
                <c:pt idx="5">
                  <c:v>2.505526182831767E-2</c:v>
                </c:pt>
                <c:pt idx="6">
                  <c:v>0.75462858635133745</c:v>
                </c:pt>
                <c:pt idx="7">
                  <c:v>0.51406056565430569</c:v>
                </c:pt>
                <c:pt idx="8">
                  <c:v>0.41171545261812115</c:v>
                </c:pt>
                <c:pt idx="9">
                  <c:v>0.29963503825192322</c:v>
                </c:pt>
                <c:pt idx="10">
                  <c:v>0.19871086852135583</c:v>
                </c:pt>
                <c:pt idx="11">
                  <c:v>0.12811431635101259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128000"/>
        <c:axId val="160133888"/>
      </c:scatterChar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1</c:v>
              </c:pt>
              <c:pt idx="1">
                <c:v>0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128000"/>
        <c:axId val="160133888"/>
      </c:scatterChart>
      <c:valAx>
        <c:axId val="160128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133888"/>
        <c:crosses val="autoZero"/>
        <c:crossBetween val="midCat"/>
      </c:valAx>
      <c:valAx>
        <c:axId val="16013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1280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1</c:v>
              </c:pt>
              <c:pt idx="1">
                <c:v>0</c:v>
              </c:pt>
            </c:numLit>
          </c:yVal>
          <c:smooth val="1"/>
        </c:ser>
        <c:ser>
          <c:idx val="1"/>
          <c:order val="1"/>
          <c:xVal>
            <c:numRef>
              <c:f>('BMIM wi=xi'!$L$51,'BMIM wi=xi'!$O$51)</c:f>
              <c:numCache>
                <c:formatCode>General</c:formatCode>
                <c:ptCount val="2"/>
                <c:pt idx="0">
                  <c:v>1.26E-2</c:v>
                </c:pt>
                <c:pt idx="1">
                  <c:v>3.8600000000000002E-2</c:v>
                </c:pt>
              </c:numCache>
            </c:numRef>
          </c:xVal>
          <c:yVal>
            <c:numRef>
              <c:f>('BMIM wi=xi'!$M$51,'BMIM wi=xi'!$P$51)</c:f>
              <c:numCache>
                <c:formatCode>General</c:formatCode>
                <c:ptCount val="2"/>
                <c:pt idx="0">
                  <c:v>1.9000000000000128E-3</c:v>
                </c:pt>
                <c:pt idx="1">
                  <c:v>0.95210000000000006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('BMIM wi=xi'!$L$52,'BMIM wi=xi'!$O$52)</c:f>
              <c:numCache>
                <c:formatCode>General</c:formatCode>
                <c:ptCount val="2"/>
                <c:pt idx="0">
                  <c:v>3.4799999999999998E-2</c:v>
                </c:pt>
                <c:pt idx="1">
                  <c:v>0.10630000000000001</c:v>
                </c:pt>
              </c:numCache>
            </c:numRef>
          </c:xVal>
          <c:yVal>
            <c:numRef>
              <c:f>('BMIM wi=xi'!$M$53,'BMIM wi=xi'!$P$53)</c:f>
              <c:numCache>
                <c:formatCode>General</c:formatCode>
                <c:ptCount val="2"/>
                <c:pt idx="0">
                  <c:v>3.3000000000000806E-3</c:v>
                </c:pt>
                <c:pt idx="1">
                  <c:v>0.82179999999999997</c:v>
                </c:pt>
              </c:numCache>
            </c:numRef>
          </c:yVal>
          <c:smooth val="1"/>
        </c:ser>
        <c:ser>
          <c:idx val="3"/>
          <c:order val="3"/>
          <c:xVal>
            <c:numRef>
              <c:f>('BMIM wi=xi'!$L$53,'BMIM wi=xi'!$O$53)</c:f>
              <c:numCache>
                <c:formatCode>General</c:formatCode>
                <c:ptCount val="2"/>
                <c:pt idx="0">
                  <c:v>6.1800000000000001E-2</c:v>
                </c:pt>
                <c:pt idx="1">
                  <c:v>0.1484</c:v>
                </c:pt>
              </c:numCache>
            </c:numRef>
          </c:xVal>
          <c:yVal>
            <c:numRef>
              <c:f>('BMIM wi=xi'!$M$53,'BMIM wi=xi'!$P$53)</c:f>
              <c:numCache>
                <c:formatCode>General</c:formatCode>
                <c:ptCount val="2"/>
                <c:pt idx="0">
                  <c:v>3.3000000000000806E-3</c:v>
                </c:pt>
                <c:pt idx="1">
                  <c:v>0.82179999999999997</c:v>
                </c:pt>
              </c:numCache>
            </c:numRef>
          </c:yVal>
          <c:smooth val="1"/>
        </c:ser>
        <c:ser>
          <c:idx val="4"/>
          <c:order val="4"/>
          <c:xVal>
            <c:numRef>
              <c:f>('BMIM wi=xi'!$L$54,'BMIM wi=xi'!$O$54)</c:f>
              <c:numCache>
                <c:formatCode>General</c:formatCode>
                <c:ptCount val="2"/>
                <c:pt idx="0">
                  <c:v>0.11</c:v>
                </c:pt>
                <c:pt idx="1">
                  <c:v>0.2089</c:v>
                </c:pt>
              </c:numCache>
            </c:numRef>
          </c:xVal>
          <c:yVal>
            <c:numRef>
              <c:f>('BMIM wi=xi'!$M$54,'BMIM wi=xi'!$P$54)</c:f>
              <c:numCache>
                <c:formatCode>General</c:formatCode>
                <c:ptCount val="2"/>
                <c:pt idx="0">
                  <c:v>7.3999999999999622E-3</c:v>
                </c:pt>
                <c:pt idx="1">
                  <c:v>0.72960000000000003</c:v>
                </c:pt>
              </c:numCache>
            </c:numRef>
          </c:yVal>
          <c:smooth val="1"/>
        </c:ser>
        <c:ser>
          <c:idx val="5"/>
          <c:order val="5"/>
          <c:xVal>
            <c:numRef>
              <c:f>('BMIM wi=xi'!$L$55,'BMIM wi=xi'!$O$55)</c:f>
              <c:numCache>
                <c:formatCode>General</c:formatCode>
                <c:ptCount val="2"/>
                <c:pt idx="0">
                  <c:v>0.18060000000000001</c:v>
                </c:pt>
                <c:pt idx="1">
                  <c:v>0.27829999999999999</c:v>
                </c:pt>
              </c:numCache>
            </c:numRef>
          </c:xVal>
          <c:yVal>
            <c:numRef>
              <c:f>('BMIM wi=xi'!$M$55,'BMIM wi=xi'!$P$55)</c:f>
              <c:numCache>
                <c:formatCode>General</c:formatCode>
                <c:ptCount val="2"/>
                <c:pt idx="0">
                  <c:v>5.380000000000007E-2</c:v>
                </c:pt>
                <c:pt idx="1">
                  <c:v>0.59389999999999998</c:v>
                </c:pt>
              </c:numCache>
            </c:numRef>
          </c:yVal>
          <c:smooth val="1"/>
        </c:ser>
        <c:ser>
          <c:idx val="6"/>
          <c:order val="6"/>
          <c:xVal>
            <c:numRef>
              <c:f>('BMIM wi=xi'!$L$56,'BMIM wi=xi'!$O$56)</c:f>
              <c:numCache>
                <c:formatCode>General</c:formatCode>
                <c:ptCount val="2"/>
                <c:pt idx="0">
                  <c:v>0.253</c:v>
                </c:pt>
                <c:pt idx="1">
                  <c:v>0.34260000000000002</c:v>
                </c:pt>
              </c:numCache>
            </c:numRef>
          </c:xVal>
          <c:yVal>
            <c:numRef>
              <c:f>('BMIM wi=xi'!$M$56,'BMIM wi=xi'!$P$56)</c:f>
              <c:numCache>
                <c:formatCode>General</c:formatCode>
                <c:ptCount val="2"/>
                <c:pt idx="0">
                  <c:v>9.2999999999999972E-2</c:v>
                </c:pt>
                <c:pt idx="1">
                  <c:v>0.45209999999999995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158848"/>
        <c:axId val="160160384"/>
      </c:scatterChart>
      <c:valAx>
        <c:axId val="160158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160384"/>
        <c:crosses val="autoZero"/>
        <c:crossBetween val="midCat"/>
      </c:valAx>
      <c:valAx>
        <c:axId val="160160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15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175"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1</c:v>
              </c:pt>
              <c:pt idx="1">
                <c:v>0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464896"/>
        <c:axId val="160466432"/>
      </c:scatterChart>
      <c:scatterChart>
        <c:scatterStyle val="lineMarker"/>
        <c:varyColors val="0"/>
        <c:ser>
          <c:idx val="1"/>
          <c:order val="1"/>
          <c:spPr>
            <a:ln w="28575">
              <a:noFill/>
            </a:ln>
          </c:spPr>
          <c:xVal>
            <c:numRef>
              <c:f>(MIM!$P$23:$P$29,MIM!$S$23:$S$29)</c:f>
              <c:numCache>
                <c:formatCode>General</c:formatCode>
                <c:ptCount val="14"/>
                <c:pt idx="0">
                  <c:v>0.24408464297479798</c:v>
                </c:pt>
                <c:pt idx="1">
                  <c:v>0.34027842703149591</c:v>
                </c:pt>
                <c:pt idx="2">
                  <c:v>0.4010834893503662</c:v>
                </c:pt>
                <c:pt idx="3">
                  <c:v>0.45902762546384218</c:v>
                </c:pt>
                <c:pt idx="4">
                  <c:v>0.51853413778644286</c:v>
                </c:pt>
                <c:pt idx="5">
                  <c:v>0.61086489357184637</c:v>
                </c:pt>
                <c:pt idx="6">
                  <c:v>0.66317026547825275</c:v>
                </c:pt>
                <c:pt idx="7">
                  <c:v>0.39390125448872587</c:v>
                </c:pt>
                <c:pt idx="8">
                  <c:v>0.47176708811319679</c:v>
                </c:pt>
                <c:pt idx="9">
                  <c:v>0.52356678711309834</c:v>
                </c:pt>
                <c:pt idx="10">
                  <c:v>0.57422815148852402</c:v>
                </c:pt>
                <c:pt idx="11">
                  <c:v>0.60890957442315996</c:v>
                </c:pt>
                <c:pt idx="12">
                  <c:v>0.66224830607661589</c:v>
                </c:pt>
                <c:pt idx="13">
                  <c:v>0.70369454167612655</c:v>
                </c:pt>
              </c:numCache>
            </c:numRef>
          </c:xVal>
          <c:yVal>
            <c:numRef>
              <c:f>(MIM!$Q$23:$Q$29,MIM!$T$23:$T$29)</c:f>
              <c:numCache>
                <c:formatCode>General</c:formatCode>
                <c:ptCount val="14"/>
                <c:pt idx="0">
                  <c:v>3.3071521622075553E-4</c:v>
                </c:pt>
                <c:pt idx="1">
                  <c:v>8.8255868437803306E-4</c:v>
                </c:pt>
                <c:pt idx="2">
                  <c:v>1.3505945184500827E-3</c:v>
                </c:pt>
                <c:pt idx="3">
                  <c:v>2.6769760725826866E-3</c:v>
                </c:pt>
                <c:pt idx="4">
                  <c:v>4.6882179754830699E-3</c:v>
                </c:pt>
                <c:pt idx="5">
                  <c:v>7.8481772779146058E-3</c:v>
                </c:pt>
                <c:pt idx="6">
                  <c:v>1.322919001637313E-2</c:v>
                </c:pt>
                <c:pt idx="7">
                  <c:v>0.6010048146257192</c:v>
                </c:pt>
                <c:pt idx="8">
                  <c:v>0.52176179766797681</c:v>
                </c:pt>
                <c:pt idx="9">
                  <c:v>0.4701820425222652</c:v>
                </c:pt>
                <c:pt idx="10">
                  <c:v>0.4169990458080346</c:v>
                </c:pt>
                <c:pt idx="11">
                  <c:v>0.38188919883199995</c:v>
                </c:pt>
                <c:pt idx="12">
                  <c:v>0.32228904084599441</c:v>
                </c:pt>
                <c:pt idx="13">
                  <c:v>0.27951167204930466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464896"/>
        <c:axId val="160466432"/>
      </c:scatterChart>
      <c:valAx>
        <c:axId val="16046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466432"/>
        <c:crosses val="autoZero"/>
        <c:crossBetween val="midCat"/>
      </c:valAx>
      <c:valAx>
        <c:axId val="160466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4648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175"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1</c:v>
              </c:pt>
              <c:pt idx="1">
                <c:v>0</c:v>
              </c:pt>
            </c:numLit>
          </c:yVal>
          <c:smooth val="1"/>
        </c:ser>
        <c:ser>
          <c:idx val="2"/>
          <c:order val="2"/>
          <c:tx>
            <c:v>EXTR NRTL</c:v>
          </c:tx>
          <c:marker>
            <c:symbol val="none"/>
          </c:marker>
          <c:xVal>
            <c:numRef>
              <c:f>'MIM LLE'!$Y$3:$Y$30</c:f>
              <c:numCache>
                <c:formatCode>0.0000</c:formatCode>
                <c:ptCount val="28"/>
                <c:pt idx="0">
                  <c:v>0</c:v>
                </c:pt>
                <c:pt idx="1">
                  <c:v>6.6533867012421977E-2</c:v>
                </c:pt>
                <c:pt idx="2">
                  <c:v>8.3098368833812969E-2</c:v>
                </c:pt>
                <c:pt idx="3">
                  <c:v>0.12194985288302279</c:v>
                </c:pt>
                <c:pt idx="4">
                  <c:v>0.1579378868164828</c:v>
                </c:pt>
                <c:pt idx="5">
                  <c:v>0.19911568998922644</c:v>
                </c:pt>
                <c:pt idx="6">
                  <c:v>0.25628645181125459</c:v>
                </c:pt>
                <c:pt idx="7">
                  <c:v>0.28740336041861736</c:v>
                </c:pt>
                <c:pt idx="8">
                  <c:v>0.37136639792403048</c:v>
                </c:pt>
                <c:pt idx="9">
                  <c:v>0.41969833538985751</c:v>
                </c:pt>
                <c:pt idx="10">
                  <c:v>0.48811246583303158</c:v>
                </c:pt>
                <c:pt idx="11">
                  <c:v>0.5327271202171493</c:v>
                </c:pt>
                <c:pt idx="13">
                  <c:v>0.53654995618265278</c:v>
                </c:pt>
              </c:numCache>
            </c:numRef>
          </c:xVal>
          <c:yVal>
            <c:numRef>
              <c:f>'MIM LLE'!$Z$3:$Z$30</c:f>
              <c:numCache>
                <c:formatCode>0.0000</c:formatCode>
                <c:ptCount val="28"/>
                <c:pt idx="0">
                  <c:v>0.99813019322972818</c:v>
                </c:pt>
                <c:pt idx="1">
                  <c:v>0.93108303564076156</c:v>
                </c:pt>
                <c:pt idx="2">
                  <c:v>0.9143830054641181</c:v>
                </c:pt>
                <c:pt idx="3">
                  <c:v>0.87520293833031459</c:v>
                </c:pt>
                <c:pt idx="4">
                  <c:v>0.83889833603502273</c:v>
                </c:pt>
                <c:pt idx="5">
                  <c:v>0.79734554131815849</c:v>
                </c:pt>
                <c:pt idx="6">
                  <c:v>0.73963395321774406</c:v>
                </c:pt>
                <c:pt idx="7">
                  <c:v>0.70821324813870934</c:v>
                </c:pt>
                <c:pt idx="8">
                  <c:v>0.62339439849402711</c:v>
                </c:pt>
                <c:pt idx="9">
                  <c:v>0.57453951864322605</c:v>
                </c:pt>
                <c:pt idx="10">
                  <c:v>0.50532513983703253</c:v>
                </c:pt>
                <c:pt idx="11">
                  <c:v>0.46013751087842958</c:v>
                </c:pt>
                <c:pt idx="13">
                  <c:v>0.45626039908772248</c:v>
                </c:pt>
              </c:numCache>
            </c:numRef>
          </c:yVal>
          <c:smooth val="1"/>
        </c:ser>
        <c:ser>
          <c:idx val="3"/>
          <c:order val="3"/>
          <c:tx>
            <c:v>RAF NRTL</c:v>
          </c:tx>
          <c:marker>
            <c:symbol val="none"/>
          </c:marker>
          <c:xVal>
            <c:numRef>
              <c:f>'MIM LLE'!$U$3:$U$30</c:f>
              <c:numCache>
                <c:formatCode>0.0000</c:formatCode>
                <c:ptCount val="28"/>
                <c:pt idx="0">
                  <c:v>0</c:v>
                </c:pt>
                <c:pt idx="1">
                  <c:v>3.9509659102940117E-2</c:v>
                </c:pt>
                <c:pt idx="2">
                  <c:v>4.9494411083232853E-2</c:v>
                </c:pt>
                <c:pt idx="3">
                  <c:v>7.3183290066168388E-2</c:v>
                </c:pt>
                <c:pt idx="4">
                  <c:v>9.5496715198568338E-2</c:v>
                </c:pt>
                <c:pt idx="5">
                  <c:v>0.12150455122466586</c:v>
                </c:pt>
                <c:pt idx="6">
                  <c:v>0.15848559902608911</c:v>
                </c:pt>
                <c:pt idx="7">
                  <c:v>0.17900657233304498</c:v>
                </c:pt>
                <c:pt idx="8">
                  <c:v>0.23494919122758043</c:v>
                </c:pt>
                <c:pt idx="9">
                  <c:v>0.26599319018267709</c:v>
                </c:pt>
                <c:pt idx="10">
                  <c:v>0.30148432858620278</c:v>
                </c:pt>
                <c:pt idx="11">
                  <c:v>0.31181442751021804</c:v>
                </c:pt>
                <c:pt idx="12">
                  <c:v>0.35</c:v>
                </c:pt>
                <c:pt idx="13">
                  <c:v>0.30959369698042827</c:v>
                </c:pt>
              </c:numCache>
            </c:numRef>
          </c:xVal>
          <c:yVal>
            <c:numRef>
              <c:f>'MIM LLE'!$V$3:$V$30</c:f>
              <c:numCache>
                <c:formatCode>0.0000</c:formatCode>
                <c:ptCount val="28"/>
                <c:pt idx="0">
                  <c:v>1.0577399660417956E-4</c:v>
                </c:pt>
                <c:pt idx="1">
                  <c:v>1.5957277703028432E-4</c:v>
                </c:pt>
                <c:pt idx="2">
                  <c:v>1.7555374475822512E-4</c:v>
                </c:pt>
                <c:pt idx="3">
                  <c:v>2.1766097956125725E-4</c:v>
                </c:pt>
                <c:pt idx="4">
                  <c:v>2.6310078725938469E-4</c:v>
                </c:pt>
                <c:pt idx="5">
                  <c:v>3.2382474926328017E-4</c:v>
                </c:pt>
                <c:pt idx="6">
                  <c:v>4.2639061086579655E-4</c:v>
                </c:pt>
                <c:pt idx="7">
                  <c:v>4.9264655080242777E-4</c:v>
                </c:pt>
                <c:pt idx="8">
                  <c:v>7.1512502468155004E-4</c:v>
                </c:pt>
                <c:pt idx="9">
                  <c:v>8.7335948794716703E-4</c:v>
                </c:pt>
                <c:pt idx="10">
                  <c:v>1.1109282683959944E-3</c:v>
                </c:pt>
                <c:pt idx="11">
                  <c:v>1.2318128454971472E-3</c:v>
                </c:pt>
                <c:pt idx="13">
                  <c:v>9.0405760948709273E-4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620928"/>
        <c:axId val="160622464"/>
      </c:scatterChart>
      <c:scatterChart>
        <c:scatterStyle val="lineMarker"/>
        <c:varyColors val="0"/>
        <c:ser>
          <c:idx val="1"/>
          <c:order val="1"/>
          <c:spPr>
            <a:ln w="28575">
              <a:noFill/>
            </a:ln>
          </c:spPr>
          <c:xVal>
            <c:numRef>
              <c:f>('MIM LLE'!$E$21:$E$27,'MIM LLE'!$H$21:$H$27)</c:f>
              <c:numCache>
                <c:formatCode>0.0000</c:formatCode>
                <c:ptCount val="14"/>
                <c:pt idx="0">
                  <c:v>0.24408464297479798</c:v>
                </c:pt>
                <c:pt idx="1">
                  <c:v>0.34027842703149591</c:v>
                </c:pt>
                <c:pt idx="2">
                  <c:v>0.4010834893503662</c:v>
                </c:pt>
                <c:pt idx="3">
                  <c:v>0.45902762546384218</c:v>
                </c:pt>
                <c:pt idx="4">
                  <c:v>0.51853413778644286</c:v>
                </c:pt>
                <c:pt idx="5">
                  <c:v>0.61086489357184637</c:v>
                </c:pt>
                <c:pt idx="6">
                  <c:v>0.66317026547825275</c:v>
                </c:pt>
                <c:pt idx="7">
                  <c:v>0.39390125448872587</c:v>
                </c:pt>
                <c:pt idx="8">
                  <c:v>0.47176708811319679</c:v>
                </c:pt>
                <c:pt idx="9">
                  <c:v>0.52356678711309834</c:v>
                </c:pt>
                <c:pt idx="10">
                  <c:v>0.57422815148852402</c:v>
                </c:pt>
                <c:pt idx="11">
                  <c:v>0.60890957442315996</c:v>
                </c:pt>
                <c:pt idx="12">
                  <c:v>0.66224830607661589</c:v>
                </c:pt>
                <c:pt idx="13">
                  <c:v>0.70369454167612655</c:v>
                </c:pt>
              </c:numCache>
            </c:numRef>
          </c:xVal>
          <c:yVal>
            <c:numRef>
              <c:f>('MIM LLE'!$F$21:$F$27,'MIM LLE'!$I$21:$I$27)</c:f>
              <c:numCache>
                <c:formatCode>0.0000</c:formatCode>
                <c:ptCount val="14"/>
                <c:pt idx="0">
                  <c:v>3.3071521622075553E-4</c:v>
                </c:pt>
                <c:pt idx="1">
                  <c:v>8.8255868437803306E-4</c:v>
                </c:pt>
                <c:pt idx="2">
                  <c:v>1.3505945184500827E-3</c:v>
                </c:pt>
                <c:pt idx="3">
                  <c:v>2.6769760725826866E-3</c:v>
                </c:pt>
                <c:pt idx="4">
                  <c:v>4.6882179754830699E-3</c:v>
                </c:pt>
                <c:pt idx="5">
                  <c:v>7.8481772779146058E-3</c:v>
                </c:pt>
                <c:pt idx="6">
                  <c:v>1.322919001637313E-2</c:v>
                </c:pt>
                <c:pt idx="7">
                  <c:v>0.6010048146257192</c:v>
                </c:pt>
                <c:pt idx="8">
                  <c:v>0.52176179766797681</c:v>
                </c:pt>
                <c:pt idx="9">
                  <c:v>0.4701820425222652</c:v>
                </c:pt>
                <c:pt idx="10">
                  <c:v>0.4169990458080346</c:v>
                </c:pt>
                <c:pt idx="11">
                  <c:v>0.38188919883199995</c:v>
                </c:pt>
                <c:pt idx="12">
                  <c:v>0.32228904084599441</c:v>
                </c:pt>
                <c:pt idx="13">
                  <c:v>0.27951167204930466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620928"/>
        <c:axId val="160622464"/>
      </c:scatterChart>
      <c:valAx>
        <c:axId val="160620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622464"/>
        <c:crosses val="autoZero"/>
        <c:crossBetween val="midCat"/>
      </c:valAx>
      <c:valAx>
        <c:axId val="160622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6209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890587</xdr:colOff>
      <xdr:row>29</xdr:row>
      <xdr:rowOff>71437</xdr:rowOff>
    </xdr:from>
    <xdr:to>
      <xdr:col>19</xdr:col>
      <xdr:colOff>528637</xdr:colOff>
      <xdr:row>43</xdr:row>
      <xdr:rowOff>147637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2</xdr:row>
      <xdr:rowOff>133350</xdr:rowOff>
    </xdr:from>
    <xdr:to>
      <xdr:col>18</xdr:col>
      <xdr:colOff>552450</xdr:colOff>
      <xdr:row>21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2</xdr:row>
      <xdr:rowOff>76200</xdr:rowOff>
    </xdr:from>
    <xdr:to>
      <xdr:col>7</xdr:col>
      <xdr:colOff>101600</xdr:colOff>
      <xdr:row>17</xdr:row>
      <xdr:rowOff>127507</xdr:rowOff>
    </xdr:to>
    <xdr:pic>
      <xdr:nvPicPr>
        <xdr:cNvPr id="5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57200"/>
          <a:ext cx="4483100" cy="29088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38</xdr:row>
          <xdr:rowOff>9525</xdr:rowOff>
        </xdr:from>
        <xdr:to>
          <xdr:col>7</xdr:col>
          <xdr:colOff>590550</xdr:colOff>
          <xdr:row>39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NRTL</a:t>
              </a:r>
              <a:endParaRPr lang="sk-SK"/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50</xdr:row>
      <xdr:rowOff>28575</xdr:rowOff>
    </xdr:from>
    <xdr:to>
      <xdr:col>7</xdr:col>
      <xdr:colOff>190500</xdr:colOff>
      <xdr:row>64</xdr:row>
      <xdr:rowOff>104775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0.69397</cdr:x>
      <cdr:y>0</cdr:y>
    </cdr:from>
    <cdr:to>
      <cdr:x>1</cdr:x>
      <cdr:y>0.21762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276725" y="0"/>
          <a:ext cx="1885950" cy="800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Plne</a:t>
          </a:r>
          <a:r>
            <a:rPr lang="en-US" sz="1100" baseline="0"/>
            <a:t> ciary = experim. body</a:t>
          </a:r>
        </a:p>
        <a:p xmlns:a="http://schemas.openxmlformats.org/drawingml/2006/main">
          <a:r>
            <a:rPr lang="en-US" sz="1100" baseline="0"/>
            <a:t>---- ciary zelene= NRTL</a:t>
          </a:r>
        </a:p>
        <a:p xmlns:a="http://schemas.openxmlformats.org/drawingml/2006/main">
          <a:r>
            <a:rPr lang="en-US" sz="1100" baseline="0">
              <a:solidFill>
                <a:srgbClr val="FF0000"/>
              </a:solidFill>
            </a:rPr>
            <a:t>ciara bodka cervena= otazne NRTL </a:t>
          </a:r>
          <a:endParaRPr lang="sk-SK" sz="1100">
            <a:solidFill>
              <a:srgbClr val="FF0000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157162</xdr:colOff>
      <xdr:row>29</xdr:row>
      <xdr:rowOff>100012</xdr:rowOff>
    </xdr:from>
    <xdr:to>
      <xdr:col>22</xdr:col>
      <xdr:colOff>461962</xdr:colOff>
      <xdr:row>43</xdr:row>
      <xdr:rowOff>176212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409575</xdr:colOff>
      <xdr:row>40</xdr:row>
      <xdr:rowOff>185737</xdr:rowOff>
    </xdr:from>
    <xdr:to>
      <xdr:col>9</xdr:col>
      <xdr:colOff>104775</xdr:colOff>
      <xdr:row>55</xdr:row>
      <xdr:rowOff>61912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504825</xdr:colOff>
      <xdr:row>29</xdr:row>
      <xdr:rowOff>71437</xdr:rowOff>
    </xdr:from>
    <xdr:to>
      <xdr:col>18</xdr:col>
      <xdr:colOff>200025</xdr:colOff>
      <xdr:row>43</xdr:row>
      <xdr:rowOff>147637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114300</xdr:rowOff>
    </xdr:from>
    <xdr:to>
      <xdr:col>7</xdr:col>
      <xdr:colOff>101600</xdr:colOff>
      <xdr:row>16</xdr:row>
      <xdr:rowOff>165607</xdr:rowOff>
    </xdr:to>
    <xdr:pic>
      <xdr:nvPicPr>
        <xdr:cNvPr id="3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04800"/>
          <a:ext cx="4368800" cy="29088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38</xdr:row>
          <xdr:rowOff>9525</xdr:rowOff>
        </xdr:from>
        <xdr:to>
          <xdr:col>7</xdr:col>
          <xdr:colOff>590550</xdr:colOff>
          <xdr:row>39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NRTL</a:t>
              </a:r>
              <a:endParaRPr lang="sk-SK"/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8</xdr:row>
      <xdr:rowOff>0</xdr:rowOff>
    </xdr:from>
    <xdr:to>
      <xdr:col>17</xdr:col>
      <xdr:colOff>304800</xdr:colOff>
      <xdr:row>22</xdr:row>
      <xdr:rowOff>76200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"/>
  <dimension ref="A2:T54"/>
  <sheetViews>
    <sheetView topLeftCell="N25" workbookViewId="0">
      <selection activeCell="D4" sqref="D4"/>
    </sheetView>
  </sheetViews>
  <sheetFormatPr defaultRowHeight="15" x14ac:dyDescent="0.25"/>
  <cols>
    <col min="1" max="1" width="12.7109375" customWidth="1"/>
    <col min="2" max="2" width="14.140625" customWidth="1"/>
    <col min="12" max="12" width="12.140625" customWidth="1"/>
    <col min="13" max="13" width="16.7109375" customWidth="1"/>
    <col min="14" max="14" width="11.5703125" bestFit="1" customWidth="1"/>
  </cols>
  <sheetData>
    <row r="2" spans="1:20" x14ac:dyDescent="0.25">
      <c r="B2" t="s">
        <v>0</v>
      </c>
      <c r="C2" t="s">
        <v>1</v>
      </c>
      <c r="D2" t="s">
        <v>2</v>
      </c>
    </row>
    <row r="3" spans="1:20" x14ac:dyDescent="0.25">
      <c r="A3" t="s">
        <v>3</v>
      </c>
      <c r="B3">
        <v>88.15</v>
      </c>
      <c r="C3">
        <v>32.042000000000002</v>
      </c>
      <c r="D3">
        <v>180.18</v>
      </c>
    </row>
    <row r="7" spans="1:20" x14ac:dyDescent="0.25">
      <c r="A7" s="99" t="s">
        <v>4</v>
      </c>
      <c r="B7" s="99"/>
      <c r="C7" s="99" t="s">
        <v>5</v>
      </c>
      <c r="D7" s="99"/>
      <c r="E7" s="99" t="s">
        <v>6</v>
      </c>
      <c r="F7" s="99"/>
      <c r="G7" t="s">
        <v>7</v>
      </c>
      <c r="H7" t="s">
        <v>8</v>
      </c>
      <c r="L7" s="100" t="s">
        <v>4</v>
      </c>
      <c r="M7" s="100"/>
      <c r="O7" s="4" t="s">
        <v>5</v>
      </c>
      <c r="P7" s="4"/>
      <c r="R7" s="4" t="s">
        <v>6</v>
      </c>
      <c r="S7" s="4"/>
    </row>
    <row r="8" spans="1:20" ht="15.75" thickBot="1" x14ac:dyDescent="0.3">
      <c r="A8" t="s">
        <v>9</v>
      </c>
      <c r="B8" t="s">
        <v>10</v>
      </c>
      <c r="C8" t="s">
        <v>11</v>
      </c>
      <c r="D8" t="s">
        <v>12</v>
      </c>
      <c r="E8" t="s">
        <v>11</v>
      </c>
      <c r="F8" t="s">
        <v>12</v>
      </c>
      <c r="I8" t="s">
        <v>13</v>
      </c>
      <c r="J8">
        <f>278.18-273.15</f>
        <v>5.0300000000000296</v>
      </c>
      <c r="L8" t="s">
        <v>16</v>
      </c>
      <c r="M8" t="s">
        <v>17</v>
      </c>
      <c r="N8" t="s">
        <v>18</v>
      </c>
      <c r="O8" t="s">
        <v>19</v>
      </c>
      <c r="P8" t="s">
        <v>20</v>
      </c>
      <c r="Q8" t="s">
        <v>21</v>
      </c>
      <c r="R8" t="s">
        <v>19</v>
      </c>
      <c r="S8" t="s">
        <v>20</v>
      </c>
      <c r="T8" t="s">
        <v>21</v>
      </c>
    </row>
    <row r="9" spans="1:20" x14ac:dyDescent="0.25">
      <c r="A9" s="2">
        <v>0.622</v>
      </c>
      <c r="B9" s="2">
        <v>0.1105</v>
      </c>
      <c r="C9" s="2">
        <v>0.86729999999999996</v>
      </c>
      <c r="D9" s="2">
        <v>0.13270000000000001</v>
      </c>
      <c r="E9" s="2">
        <v>4.8999999999999998E-3</v>
      </c>
      <c r="F9" s="2">
        <v>9.8100000000000007E-2</v>
      </c>
      <c r="G9" s="2">
        <v>0.73929999999999996</v>
      </c>
      <c r="H9" s="2">
        <v>131.7758</v>
      </c>
      <c r="L9" s="5">
        <f>(A9/$B$3)/(A9/$B$3+B9/$C$3+A34/$D$3)</f>
        <v>0.58853373466793579</v>
      </c>
      <c r="M9" s="5">
        <f>(B9/$C$3)/(A9/$B$3+B9/$C$3+A34/$D$3)</f>
        <v>0.28763779806704309</v>
      </c>
      <c r="N9" s="5">
        <f>(A34/$D$3)/(A9/$B$3+B9/$C$3+A34/$D$3)</f>
        <v>0.12382846726502117</v>
      </c>
      <c r="O9" s="5">
        <f>(C9/$B$3)/(C9/$B$3+D9/$C$3+D34/$D$3)</f>
        <v>0.70376712531709629</v>
      </c>
      <c r="P9">
        <f>(D9/$C$3)/(C9/$B$3+D9/$C$3+D34/$D$3)</f>
        <v>0.29623287468290371</v>
      </c>
      <c r="Q9">
        <f>(D34/$D$3)/(C9/$B$3+D9/$C$3+D34/$D$3)</f>
        <v>0</v>
      </c>
      <c r="R9">
        <f>(E9/$B$3)/(E9/$B$3+F9/$C$3+F34/$D$3)</f>
        <v>6.866374306031286E-3</v>
      </c>
      <c r="S9">
        <f>(F9/$C$3)/(E9/$B$3+F9/$C$3+F34/$D$3)</f>
        <v>0.37818395758003936</v>
      </c>
      <c r="T9">
        <f>(F34/$D$3)/(E9/$B$3+F9/$C$3+F34/$D$3)</f>
        <v>0.61494966811392937</v>
      </c>
    </row>
    <row r="10" spans="1:20" x14ac:dyDescent="0.25">
      <c r="A10" s="1">
        <v>0.58440000000000003</v>
      </c>
      <c r="B10" s="1">
        <v>0.14879999999999999</v>
      </c>
      <c r="C10" s="1">
        <v>0.82210000000000005</v>
      </c>
      <c r="D10" s="1">
        <v>0.1779</v>
      </c>
      <c r="E10" s="1">
        <v>5.1000000000000004E-3</v>
      </c>
      <c r="F10" s="1">
        <v>0.1217</v>
      </c>
      <c r="G10" s="1">
        <v>0.68389999999999995</v>
      </c>
      <c r="H10" s="1">
        <v>111.07250000000001</v>
      </c>
      <c r="L10" s="5">
        <f t="shared" ref="L10:L29" si="0">(A10/$B$3)/(A10/$B$3+B10/$C$3+A35/$D$3)</f>
        <v>0.51979583546724828</v>
      </c>
      <c r="M10" s="5">
        <f t="shared" ref="M10:M29" si="1">(B10/$C$3)/(A10/$B$3+B10/$C$3+A35/$D$3)</f>
        <v>0.36410632241014668</v>
      </c>
      <c r="N10" s="5">
        <f t="shared" ref="N10:N29" si="2">(A35/$D$3)/(A10/$B$3+B10/$C$3+A35/$D$3)</f>
        <v>0.11609784212260513</v>
      </c>
      <c r="O10" s="5">
        <f t="shared" ref="O10:O29" si="3">(C10/$B$3)/(C10/$B$3+D10/$C$3+D35/$D$3)</f>
        <v>0.62683158810342376</v>
      </c>
      <c r="P10">
        <f t="shared" ref="P10:P29" si="4">(D10/$C$3)/(C10/$B$3+D10/$C$3+D35/$D$3)</f>
        <v>0.37316841189657629</v>
      </c>
      <c r="Q10">
        <f t="shared" ref="Q10:Q29" si="5">(D35/$D$3)/(C10/$B$3+D10/$C$3+D35/$D$3)</f>
        <v>0</v>
      </c>
      <c r="R10">
        <f t="shared" ref="R10:R29" si="6">(E10/$B$3)/(E10/$B$3+F10/$C$3+F35/$D$3)</f>
        <v>6.6483790007388676E-3</v>
      </c>
      <c r="S10">
        <f t="shared" ref="S10:S29" si="7">(F10/$C$3)/(E10/$B$3+F10/$C$3+F35/$D$3)</f>
        <v>0.43645439567045868</v>
      </c>
      <c r="T10">
        <f t="shared" ref="T10:T29" si="8">(F35/$D$3)/(E10/$B$3+F10/$C$3+F35/$D$3)</f>
        <v>0.55689722532880248</v>
      </c>
    </row>
    <row r="11" spans="1:20" x14ac:dyDescent="0.25">
      <c r="A11" s="1">
        <v>0.55000000000000004</v>
      </c>
      <c r="B11" s="1">
        <v>0.18310000000000001</v>
      </c>
      <c r="C11" s="1">
        <v>0.78210000000000002</v>
      </c>
      <c r="D11" s="1">
        <v>0.217</v>
      </c>
      <c r="E11" s="1">
        <v>8.6E-3</v>
      </c>
      <c r="F11" s="1">
        <v>0.1482</v>
      </c>
      <c r="G11" s="1">
        <v>0.68269999999999997</v>
      </c>
      <c r="H11" s="1">
        <v>62.237299999999998</v>
      </c>
      <c r="L11" s="5">
        <f t="shared" si="0"/>
        <v>0.46440997109754328</v>
      </c>
      <c r="M11" s="5">
        <f t="shared" si="1"/>
        <v>0.42533379497118495</v>
      </c>
      <c r="N11" s="5">
        <f t="shared" si="2"/>
        <v>0.1102562339312718</v>
      </c>
      <c r="O11" s="5">
        <f t="shared" si="3"/>
        <v>0.56693469983678002</v>
      </c>
      <c r="P11">
        <f t="shared" si="4"/>
        <v>0.43274612506782167</v>
      </c>
      <c r="Q11">
        <f t="shared" si="5"/>
        <v>3.1917509539821693E-4</v>
      </c>
      <c r="R11">
        <f t="shared" si="6"/>
        <v>1.037606196390759E-2</v>
      </c>
      <c r="S11">
        <f t="shared" si="7"/>
        <v>0.49190927302521148</v>
      </c>
      <c r="T11">
        <f t="shared" si="8"/>
        <v>0.49771466501088085</v>
      </c>
    </row>
    <row r="12" spans="1:20" x14ac:dyDescent="0.25">
      <c r="A12" s="1">
        <v>0.5171</v>
      </c>
      <c r="B12" s="1">
        <v>0.23569999999999999</v>
      </c>
      <c r="C12" s="1">
        <v>0.72729999999999995</v>
      </c>
      <c r="D12" s="1">
        <v>0.27110000000000001</v>
      </c>
      <c r="E12" s="1">
        <v>1.0699999999999999E-2</v>
      </c>
      <c r="F12" s="1">
        <v>0.16969999999999999</v>
      </c>
      <c r="G12" s="1">
        <v>0.62609999999999999</v>
      </c>
      <c r="H12" s="1">
        <v>42.5869</v>
      </c>
      <c r="L12" s="5">
        <f t="shared" si="0"/>
        <v>0.40195351244221961</v>
      </c>
      <c r="M12" s="5">
        <f t="shared" si="1"/>
        <v>0.50403834090411148</v>
      </c>
      <c r="N12" s="5">
        <f t="shared" si="2"/>
        <v>9.4008146653668939E-2</v>
      </c>
      <c r="O12" s="5">
        <f t="shared" si="3"/>
        <v>0.49345285511718268</v>
      </c>
      <c r="P12">
        <f t="shared" si="4"/>
        <v>0.50601605528489702</v>
      </c>
      <c r="Q12">
        <f t="shared" si="5"/>
        <v>5.3108959792006459E-4</v>
      </c>
      <c r="R12">
        <f t="shared" si="6"/>
        <v>1.2179393460149497E-2</v>
      </c>
      <c r="S12">
        <f t="shared" si="7"/>
        <v>0.53140596610936652</v>
      </c>
      <c r="T12">
        <f t="shared" si="8"/>
        <v>0.45641464043048396</v>
      </c>
    </row>
    <row r="13" spans="1:20" x14ac:dyDescent="0.25">
      <c r="A13" s="1">
        <v>0.46139999999999998</v>
      </c>
      <c r="B13" s="1">
        <v>0.29220000000000002</v>
      </c>
      <c r="C13" s="1">
        <v>0.65080000000000005</v>
      </c>
      <c r="D13" s="1">
        <v>0.34420000000000001</v>
      </c>
      <c r="E13" s="1">
        <v>1.7600000000000001E-2</v>
      </c>
      <c r="F13" s="1">
        <v>0.21260000000000001</v>
      </c>
      <c r="G13" s="1">
        <v>0.61770000000000003</v>
      </c>
      <c r="H13" s="1">
        <v>22.792899999999999</v>
      </c>
      <c r="L13" s="5">
        <f t="shared" si="0"/>
        <v>0.33294568474965364</v>
      </c>
      <c r="M13" s="5">
        <f t="shared" si="1"/>
        <v>0.58006773894950947</v>
      </c>
      <c r="N13" s="5">
        <f t="shared" si="2"/>
        <v>8.6986576300836824E-2</v>
      </c>
      <c r="O13" s="5">
        <f t="shared" si="3"/>
        <v>0.40670760857283833</v>
      </c>
      <c r="P13">
        <f t="shared" si="4"/>
        <v>0.59176369767266035</v>
      </c>
      <c r="Q13">
        <f t="shared" si="5"/>
        <v>1.5286937545012922E-3</v>
      </c>
      <c r="R13">
        <f t="shared" si="6"/>
        <v>1.7975867038182672E-2</v>
      </c>
      <c r="S13">
        <f t="shared" si="7"/>
        <v>0.59736963070451499</v>
      </c>
      <c r="T13">
        <f t="shared" si="8"/>
        <v>0.3846545022573023</v>
      </c>
    </row>
    <row r="14" spans="1:20" x14ac:dyDescent="0.25">
      <c r="A14" s="1">
        <v>0.41199999999999998</v>
      </c>
      <c r="B14" s="1">
        <v>0.32140000000000002</v>
      </c>
      <c r="C14" s="1">
        <v>0.63239999999999996</v>
      </c>
      <c r="D14" s="1">
        <v>0.36249999999999999</v>
      </c>
      <c r="E14" s="1">
        <v>1.9199999999999998E-2</v>
      </c>
      <c r="F14" s="1">
        <v>0.2233</v>
      </c>
      <c r="G14" s="1">
        <v>0.61580000000000001</v>
      </c>
      <c r="H14" s="1">
        <v>20.295400000000001</v>
      </c>
      <c r="L14" s="5">
        <f t="shared" si="0"/>
        <v>0.28879336571057801</v>
      </c>
      <c r="M14" s="5">
        <f t="shared" si="1"/>
        <v>0.6197814435018183</v>
      </c>
      <c r="N14" s="5">
        <f t="shared" si="2"/>
        <v>9.1425190787603666E-2</v>
      </c>
      <c r="O14" s="5">
        <f t="shared" si="3"/>
        <v>0.38746191945474173</v>
      </c>
      <c r="P14">
        <f t="shared" si="4"/>
        <v>0.61100937769792929</v>
      </c>
      <c r="Q14">
        <f t="shared" si="5"/>
        <v>1.5287028473290069E-3</v>
      </c>
      <c r="R14">
        <f t="shared" si="6"/>
        <v>1.9121422063099205E-2</v>
      </c>
      <c r="S14">
        <f t="shared" si="7"/>
        <v>0.61180128187991578</v>
      </c>
      <c r="T14">
        <f t="shared" si="8"/>
        <v>0.36907729605698497</v>
      </c>
    </row>
    <row r="15" spans="1:20" x14ac:dyDescent="0.25">
      <c r="A15" s="1">
        <v>0.36859999999999998</v>
      </c>
      <c r="B15" s="1">
        <v>0.36449999999999999</v>
      </c>
      <c r="C15" s="1">
        <v>0.54449999999999998</v>
      </c>
      <c r="D15" s="1">
        <v>0.43830000000000002</v>
      </c>
      <c r="E15" s="1">
        <v>2.4500000000000001E-2</v>
      </c>
      <c r="F15" s="1">
        <v>0.2555</v>
      </c>
      <c r="G15" s="1">
        <v>0.58299999999999996</v>
      </c>
      <c r="H15" s="1">
        <v>12.975</v>
      </c>
      <c r="L15" s="5">
        <f t="shared" si="0"/>
        <v>0.24541531659369975</v>
      </c>
      <c r="M15" s="5">
        <f t="shared" si="1"/>
        <v>0.66764648405667526</v>
      </c>
      <c r="N15" s="5">
        <f t="shared" si="2"/>
        <v>8.6938199349625073E-2</v>
      </c>
      <c r="O15" s="5">
        <f t="shared" si="3"/>
        <v>0.30960161955418947</v>
      </c>
      <c r="P15">
        <f t="shared" si="4"/>
        <v>0.6856137376471676</v>
      </c>
      <c r="Q15">
        <f t="shared" si="5"/>
        <v>4.7846427986427496E-3</v>
      </c>
      <c r="R15">
        <f t="shared" si="6"/>
        <v>2.269258439403847E-2</v>
      </c>
      <c r="S15">
        <f t="shared" si="7"/>
        <v>0.65104570762667691</v>
      </c>
      <c r="T15">
        <f t="shared" si="8"/>
        <v>0.32626170797928461</v>
      </c>
    </row>
    <row r="16" spans="1:20" ht="15.75" thickBot="1" x14ac:dyDescent="0.3">
      <c r="A16" s="3">
        <v>0.33100000000000002</v>
      </c>
      <c r="B16" s="3">
        <v>0.40250000000000002</v>
      </c>
      <c r="C16" s="3">
        <v>0.4839</v>
      </c>
      <c r="D16" s="3">
        <v>0.48880000000000001</v>
      </c>
      <c r="E16" s="3">
        <v>2.6800000000000001E-2</v>
      </c>
      <c r="F16" s="3">
        <v>0.28199999999999997</v>
      </c>
      <c r="G16" s="3">
        <v>0.57699999999999996</v>
      </c>
      <c r="H16" s="3">
        <v>10.405200000000001</v>
      </c>
      <c r="L16" s="6">
        <f t="shared" si="0"/>
        <v>0.21100422500785587</v>
      </c>
      <c r="M16" s="6">
        <f t="shared" si="1"/>
        <v>0.70588140733933835</v>
      </c>
      <c r="N16" s="6">
        <f t="shared" si="2"/>
        <v>8.3114367652805818E-2</v>
      </c>
      <c r="O16" s="6">
        <f t="shared" si="3"/>
        <v>0.2627060992583985</v>
      </c>
      <c r="P16" s="7">
        <f t="shared" si="4"/>
        <v>0.73004298405783008</v>
      </c>
      <c r="Q16" s="7">
        <f t="shared" si="5"/>
        <v>7.2509166837713213E-3</v>
      </c>
      <c r="R16">
        <f t="shared" si="6"/>
        <v>2.349307948235807E-2</v>
      </c>
      <c r="S16">
        <f t="shared" si="7"/>
        <v>0.68007523904760914</v>
      </c>
      <c r="T16">
        <f t="shared" si="8"/>
        <v>0.29643168147003285</v>
      </c>
    </row>
    <row r="17" spans="1:20" x14ac:dyDescent="0.25">
      <c r="A17" s="2">
        <v>0.68369999999999997</v>
      </c>
      <c r="B17" s="2">
        <v>6.7100000000000007E-2</v>
      </c>
      <c r="C17" s="2">
        <v>0.93049999999999999</v>
      </c>
      <c r="D17" s="2">
        <v>6.8400000000000002E-2</v>
      </c>
      <c r="E17" s="2">
        <v>5.0000000000000001E-3</v>
      </c>
      <c r="F17" s="2">
        <v>5.96E-2</v>
      </c>
      <c r="G17" s="2">
        <v>0.87239999999999995</v>
      </c>
      <c r="H17" s="2">
        <v>163.57470000000001</v>
      </c>
      <c r="I17" t="s">
        <v>14</v>
      </c>
      <c r="J17">
        <f>298.15-273.15</f>
        <v>25</v>
      </c>
      <c r="L17" s="5">
        <f t="shared" si="0"/>
        <v>0.69045673484474457</v>
      </c>
      <c r="M17" s="5">
        <f t="shared" si="1"/>
        <v>0.18642154845030215</v>
      </c>
      <c r="N17" s="5">
        <f t="shared" si="2"/>
        <v>0.12312171670495342</v>
      </c>
      <c r="O17" s="8">
        <f t="shared" si="3"/>
        <v>0.83138865869082013</v>
      </c>
      <c r="P17" s="9">
        <f t="shared" si="4"/>
        <v>0.16813050623709366</v>
      </c>
      <c r="Q17" s="9">
        <f t="shared" si="5"/>
        <v>4.8083507208628522E-4</v>
      </c>
      <c r="R17" s="9">
        <f t="shared" si="6"/>
        <v>7.9796651301306306E-3</v>
      </c>
      <c r="S17" s="9">
        <f t="shared" si="7"/>
        <v>0.26167583721847892</v>
      </c>
      <c r="T17" s="9">
        <f t="shared" si="8"/>
        <v>0.73034449765139042</v>
      </c>
    </row>
    <row r="18" spans="1:20" x14ac:dyDescent="0.25">
      <c r="A18" s="1">
        <v>0.62060000000000004</v>
      </c>
      <c r="B18" s="1">
        <v>0.1313</v>
      </c>
      <c r="C18" s="1">
        <v>0.84850000000000003</v>
      </c>
      <c r="D18" s="1">
        <v>0.14949999999999999</v>
      </c>
      <c r="E18" s="1">
        <v>6.8999999999999999E-3</v>
      </c>
      <c r="F18" s="1">
        <v>0.10929999999999999</v>
      </c>
      <c r="G18" s="1">
        <v>0.73109999999999997</v>
      </c>
      <c r="H18" s="1">
        <v>89.585700000000003</v>
      </c>
      <c r="L18" s="5">
        <f t="shared" si="0"/>
        <v>0.56254783310804923</v>
      </c>
      <c r="M18" s="5">
        <f t="shared" si="1"/>
        <v>0.32742746938254097</v>
      </c>
      <c r="N18" s="5">
        <f t="shared" si="2"/>
        <v>0.1100246975094098</v>
      </c>
      <c r="O18" s="8">
        <f t="shared" si="3"/>
        <v>0.6730043907109593</v>
      </c>
      <c r="P18" s="9">
        <f t="shared" si="4"/>
        <v>0.32621951983745673</v>
      </c>
      <c r="Q18" s="9">
        <f t="shared" si="5"/>
        <v>7.7608945158384203E-4</v>
      </c>
      <c r="R18" s="9">
        <f t="shared" si="6"/>
        <v>9.3246166575387032E-3</v>
      </c>
      <c r="S18" s="9">
        <f t="shared" si="7"/>
        <v>0.4063542051644653</v>
      </c>
      <c r="T18" s="9">
        <f t="shared" si="8"/>
        <v>0.584321178177996</v>
      </c>
    </row>
    <row r="19" spans="1:20" x14ac:dyDescent="0.25">
      <c r="A19" s="1">
        <v>0.53869999999999996</v>
      </c>
      <c r="B19" s="1">
        <v>0.19420000000000001</v>
      </c>
      <c r="C19" s="1">
        <v>0.78600000000000003</v>
      </c>
      <c r="D19" s="1">
        <v>0.2079</v>
      </c>
      <c r="E19" s="1">
        <v>7.9000000000000008E-3</v>
      </c>
      <c r="F19" s="1">
        <v>0.13850000000000001</v>
      </c>
      <c r="G19" s="1">
        <v>0.66600000000000004</v>
      </c>
      <c r="H19" s="1">
        <v>66.615600000000001</v>
      </c>
      <c r="L19" s="5">
        <f t="shared" si="0"/>
        <v>0.44756158860019207</v>
      </c>
      <c r="M19" s="5">
        <f t="shared" si="1"/>
        <v>0.44387200737319854</v>
      </c>
      <c r="N19" s="5">
        <f t="shared" si="2"/>
        <v>0.10856640402660951</v>
      </c>
      <c r="O19" s="8">
        <f t="shared" si="3"/>
        <v>0.57754489165621337</v>
      </c>
      <c r="P19" s="9">
        <f t="shared" si="4"/>
        <v>0.42026225912757365</v>
      </c>
      <c r="Q19" s="9">
        <f t="shared" si="5"/>
        <v>2.192849216212957E-3</v>
      </c>
      <c r="R19" s="9">
        <f t="shared" si="6"/>
        <v>9.7950065786519252E-3</v>
      </c>
      <c r="S19" s="9">
        <f t="shared" si="7"/>
        <v>0.47242200087970443</v>
      </c>
      <c r="T19" s="9">
        <f t="shared" si="8"/>
        <v>0.51778299254164362</v>
      </c>
    </row>
    <row r="20" spans="1:20" x14ac:dyDescent="0.25">
      <c r="A20" s="1">
        <v>0.49120000000000003</v>
      </c>
      <c r="B20" s="1">
        <v>0.2515</v>
      </c>
      <c r="C20" s="1">
        <v>0.69830000000000003</v>
      </c>
      <c r="D20" s="1">
        <v>0.2969</v>
      </c>
      <c r="E20" s="1">
        <v>8.8000000000000005E-3</v>
      </c>
      <c r="F20" s="1">
        <v>0.18429999999999999</v>
      </c>
      <c r="G20" s="1">
        <v>0.62080000000000002</v>
      </c>
      <c r="H20" s="1">
        <v>49.025799999999997</v>
      </c>
      <c r="L20" s="5">
        <f t="shared" si="0"/>
        <v>0.37525532149630392</v>
      </c>
      <c r="M20" s="5">
        <f t="shared" si="1"/>
        <v>0.5285781316210969</v>
      </c>
      <c r="N20" s="5">
        <f t="shared" si="2"/>
        <v>9.6166546882599152E-2</v>
      </c>
      <c r="O20" s="8">
        <f t="shared" si="3"/>
        <v>0.46018203169498101</v>
      </c>
      <c r="P20" s="9">
        <f t="shared" si="4"/>
        <v>0.53827041867220271</v>
      </c>
      <c r="Q20" s="9">
        <f t="shared" si="5"/>
        <v>1.5475496328164584E-3</v>
      </c>
      <c r="R20" s="9">
        <f t="shared" si="6"/>
        <v>9.6641113244504678E-3</v>
      </c>
      <c r="S20" s="9">
        <f t="shared" si="7"/>
        <v>0.55681033509297417</v>
      </c>
      <c r="T20" s="9">
        <f t="shared" si="8"/>
        <v>0.43352555358257527</v>
      </c>
    </row>
    <row r="21" spans="1:20" x14ac:dyDescent="0.25">
      <c r="A21" s="1">
        <v>0.44969999999999999</v>
      </c>
      <c r="B21" s="1">
        <v>0.31290000000000001</v>
      </c>
      <c r="C21" s="1">
        <v>0.62619999999999998</v>
      </c>
      <c r="D21" s="1">
        <v>0.35310000000000002</v>
      </c>
      <c r="E21" s="1">
        <v>1.5699999999999999E-2</v>
      </c>
      <c r="F21" s="1">
        <v>0.21859999999999999</v>
      </c>
      <c r="G21" s="1">
        <v>0.61899999999999999</v>
      </c>
      <c r="H21" s="1">
        <v>24.763100000000001</v>
      </c>
      <c r="L21" s="5">
        <f t="shared" si="0"/>
        <v>0.3152126780292594</v>
      </c>
      <c r="M21" s="5">
        <f t="shared" si="1"/>
        <v>0.60337741886629093</v>
      </c>
      <c r="N21" s="5">
        <f t="shared" si="2"/>
        <v>8.1409903104449802E-2</v>
      </c>
      <c r="O21" s="8">
        <f t="shared" si="3"/>
        <v>0.38949270110171286</v>
      </c>
      <c r="P21" s="9">
        <f t="shared" si="4"/>
        <v>0.60420828828857853</v>
      </c>
      <c r="Q21" s="9">
        <f t="shared" si="5"/>
        <v>6.2990106097086211E-3</v>
      </c>
      <c r="R21" s="9">
        <f t="shared" si="6"/>
        <v>1.5831543199137089E-2</v>
      </c>
      <c r="S21" s="9">
        <f t="shared" si="7"/>
        <v>0.60642410521433465</v>
      </c>
      <c r="T21" s="9">
        <f t="shared" si="8"/>
        <v>0.3777443515865283</v>
      </c>
    </row>
    <row r="22" spans="1:20" ht="15.75" thickBot="1" x14ac:dyDescent="0.3">
      <c r="A22" s="3">
        <v>0.41199999999999998</v>
      </c>
      <c r="B22" s="3">
        <v>0.34060000000000001</v>
      </c>
      <c r="C22" s="3">
        <v>0.5786</v>
      </c>
      <c r="D22" s="3">
        <v>0.39950000000000002</v>
      </c>
      <c r="E22" s="3">
        <v>1.7600000000000001E-2</v>
      </c>
      <c r="F22" s="3">
        <v>0.24260000000000001</v>
      </c>
      <c r="G22" s="3">
        <v>0.60729999999999995</v>
      </c>
      <c r="H22" s="3">
        <v>19.986899999999999</v>
      </c>
      <c r="L22" s="6">
        <f t="shared" si="0"/>
        <v>0.28026200995840211</v>
      </c>
      <c r="M22" s="6">
        <f t="shared" si="1"/>
        <v>0.63740337758830268</v>
      </c>
      <c r="N22" s="6">
        <f t="shared" si="2"/>
        <v>8.2334612453295375E-2</v>
      </c>
      <c r="O22" s="10">
        <f t="shared" si="3"/>
        <v>0.34269752669899073</v>
      </c>
      <c r="P22" s="11">
        <f t="shared" si="4"/>
        <v>0.65095658549417479</v>
      </c>
      <c r="Q22" s="11">
        <f t="shared" si="5"/>
        <v>6.3458878068344479E-3</v>
      </c>
      <c r="R22" s="9">
        <f t="shared" si="6"/>
        <v>1.681080377623027E-2</v>
      </c>
      <c r="S22" s="9">
        <f t="shared" si="7"/>
        <v>0.63748402807856208</v>
      </c>
      <c r="T22" s="9">
        <f t="shared" si="8"/>
        <v>0.34570516814520763</v>
      </c>
    </row>
    <row r="23" spans="1:20" x14ac:dyDescent="0.25">
      <c r="A23" s="2">
        <v>0.622</v>
      </c>
      <c r="B23" s="2">
        <v>0.1115</v>
      </c>
      <c r="C23" s="2">
        <v>0.89419999999999999</v>
      </c>
      <c r="D23" s="2">
        <v>0.105</v>
      </c>
      <c r="E23" s="2">
        <v>3.7000000000000002E-3</v>
      </c>
      <c r="F23" s="2">
        <v>0.104</v>
      </c>
      <c r="G23" s="2">
        <v>0.99060000000000004</v>
      </c>
      <c r="H23" s="2">
        <v>239.85980000000001</v>
      </c>
      <c r="I23" t="s">
        <v>15</v>
      </c>
      <c r="J23">
        <f>318.15-273.15</f>
        <v>45</v>
      </c>
      <c r="L23" s="5">
        <f t="shared" si="0"/>
        <v>0.58727687591885946</v>
      </c>
      <c r="M23" s="5">
        <f t="shared" si="1"/>
        <v>0.28962102354534236</v>
      </c>
      <c r="N23" s="5">
        <f t="shared" si="2"/>
        <v>0.12310210053579818</v>
      </c>
      <c r="O23" s="5">
        <f t="shared" si="3"/>
        <v>0.75558464180898122</v>
      </c>
      <c r="P23">
        <f t="shared" si="4"/>
        <v>0.24408464297479798</v>
      </c>
      <c r="Q23">
        <f t="shared" si="5"/>
        <v>3.3071521622075553E-4</v>
      </c>
      <c r="R23">
        <f t="shared" si="6"/>
        <v>5.093930885554856E-3</v>
      </c>
      <c r="S23">
        <f t="shared" si="7"/>
        <v>0.39390125448872587</v>
      </c>
      <c r="T23">
        <f t="shared" si="8"/>
        <v>0.6010048146257192</v>
      </c>
    </row>
    <row r="24" spans="1:20" x14ac:dyDescent="0.25">
      <c r="A24" s="1">
        <v>0.58479999999999999</v>
      </c>
      <c r="B24" s="1">
        <v>0.14879999999999999</v>
      </c>
      <c r="C24" s="1">
        <v>0.84</v>
      </c>
      <c r="D24" s="1">
        <v>0.15770000000000001</v>
      </c>
      <c r="E24" s="1">
        <v>5.1999999999999998E-3</v>
      </c>
      <c r="F24" s="1">
        <v>0.13780000000000001</v>
      </c>
      <c r="G24" s="1">
        <v>0.87380000000000002</v>
      </c>
      <c r="H24" s="1">
        <v>140.08969999999999</v>
      </c>
      <c r="L24" s="5">
        <f t="shared" si="0"/>
        <v>0.52005711096277851</v>
      </c>
      <c r="M24" s="5">
        <f t="shared" si="1"/>
        <v>0.36404016862079441</v>
      </c>
      <c r="N24" s="5">
        <f t="shared" si="2"/>
        <v>0.11590272041642696</v>
      </c>
      <c r="O24" s="5">
        <f t="shared" si="3"/>
        <v>0.65883901428412606</v>
      </c>
      <c r="P24">
        <f t="shared" si="4"/>
        <v>0.34027842703149591</v>
      </c>
      <c r="Q24">
        <f t="shared" si="5"/>
        <v>8.8255868437803306E-4</v>
      </c>
      <c r="R24">
        <f t="shared" si="6"/>
        <v>6.4711142188264214E-3</v>
      </c>
      <c r="S24">
        <f t="shared" si="7"/>
        <v>0.47176708811319679</v>
      </c>
      <c r="T24">
        <f t="shared" si="8"/>
        <v>0.52176179766797681</v>
      </c>
    </row>
    <row r="25" spans="1:20" x14ac:dyDescent="0.25">
      <c r="A25" s="1">
        <v>0.54920000000000002</v>
      </c>
      <c r="B25" s="1">
        <v>0.183</v>
      </c>
      <c r="C25" s="1">
        <v>0.80089999999999995</v>
      </c>
      <c r="D25" s="1">
        <v>0.19539999999999999</v>
      </c>
      <c r="E25" s="1">
        <v>5.4000000000000003E-3</v>
      </c>
      <c r="F25" s="1">
        <v>0.16439999999999999</v>
      </c>
      <c r="G25" s="1">
        <v>0.84150000000000003</v>
      </c>
      <c r="H25" s="1">
        <v>123.77079999999999</v>
      </c>
      <c r="L25" s="5">
        <f t="shared" si="0"/>
        <v>0.46398316615561525</v>
      </c>
      <c r="M25" s="5">
        <f t="shared" si="1"/>
        <v>0.42532948070757498</v>
      </c>
      <c r="N25" s="5">
        <f t="shared" si="2"/>
        <v>0.11068735313680979</v>
      </c>
      <c r="O25" s="5">
        <f t="shared" si="3"/>
        <v>0.59756591613118371</v>
      </c>
      <c r="P25">
        <f t="shared" si="4"/>
        <v>0.4010834893503662</v>
      </c>
      <c r="Q25">
        <f t="shared" si="5"/>
        <v>1.3505945184500827E-3</v>
      </c>
      <c r="R25">
        <f t="shared" si="6"/>
        <v>6.2511703646364681E-3</v>
      </c>
      <c r="S25">
        <f t="shared" si="7"/>
        <v>0.52356678711309834</v>
      </c>
      <c r="T25">
        <f t="shared" si="8"/>
        <v>0.4701820425222652</v>
      </c>
    </row>
    <row r="26" spans="1:20" x14ac:dyDescent="0.25">
      <c r="A26" s="1">
        <v>0.51790000000000003</v>
      </c>
      <c r="B26" s="1">
        <v>0.21579999999999999</v>
      </c>
      <c r="C26" s="1">
        <v>0.75749999999999995</v>
      </c>
      <c r="D26" s="1">
        <v>0.23480000000000001</v>
      </c>
      <c r="E26" s="1">
        <v>8.2000000000000007E-3</v>
      </c>
      <c r="F26" s="1">
        <v>0.1951</v>
      </c>
      <c r="G26" s="1">
        <v>0.83120000000000005</v>
      </c>
      <c r="H26" s="1">
        <v>76.653300000000002</v>
      </c>
      <c r="L26" s="5">
        <f t="shared" si="0"/>
        <v>0.41703402425308694</v>
      </c>
      <c r="M26" s="5">
        <f t="shared" si="1"/>
        <v>0.47805704071747773</v>
      </c>
      <c r="N26" s="5">
        <f t="shared" si="2"/>
        <v>0.10490893502943528</v>
      </c>
      <c r="O26" s="5">
        <f t="shared" si="3"/>
        <v>0.53829539846357521</v>
      </c>
      <c r="P26">
        <f t="shared" si="4"/>
        <v>0.45902762546384218</v>
      </c>
      <c r="Q26">
        <f t="shared" si="5"/>
        <v>2.6769760725826866E-3</v>
      </c>
      <c r="R26">
        <f t="shared" si="6"/>
        <v>8.7728027034414263E-3</v>
      </c>
      <c r="S26">
        <f t="shared" si="7"/>
        <v>0.57422815148852402</v>
      </c>
      <c r="T26">
        <f t="shared" si="8"/>
        <v>0.4169990458080346</v>
      </c>
    </row>
    <row r="27" spans="1:20" x14ac:dyDescent="0.25">
      <c r="A27" s="1">
        <v>0.46029999999999999</v>
      </c>
      <c r="B27" s="1">
        <v>0.26190000000000002</v>
      </c>
      <c r="C27" s="1">
        <v>0.70650000000000002</v>
      </c>
      <c r="D27" s="1">
        <v>0.27929999999999999</v>
      </c>
      <c r="E27" s="1">
        <v>9.1000000000000004E-3</v>
      </c>
      <c r="F27" s="1">
        <v>0.21890000000000001</v>
      </c>
      <c r="G27" s="1">
        <v>0.78359999999999996</v>
      </c>
      <c r="H27" s="1">
        <v>61.143300000000004</v>
      </c>
      <c r="L27" s="5">
        <f t="shared" si="0"/>
        <v>0.34958186095774807</v>
      </c>
      <c r="M27" s="5">
        <f t="shared" si="1"/>
        <v>0.5472000319042164</v>
      </c>
      <c r="N27" s="5">
        <f t="shared" si="2"/>
        <v>0.10321810713803543</v>
      </c>
      <c r="O27" s="5">
        <f t="shared" si="3"/>
        <v>0.47677764423807417</v>
      </c>
      <c r="P27">
        <f t="shared" si="4"/>
        <v>0.51853413778644286</v>
      </c>
      <c r="Q27">
        <f t="shared" si="5"/>
        <v>4.6882179754830699E-3</v>
      </c>
      <c r="R27">
        <f t="shared" si="6"/>
        <v>9.2012267448400003E-3</v>
      </c>
      <c r="S27">
        <f t="shared" si="7"/>
        <v>0.60890957442315996</v>
      </c>
      <c r="T27">
        <f t="shared" si="8"/>
        <v>0.38188919883199995</v>
      </c>
    </row>
    <row r="28" spans="1:20" x14ac:dyDescent="0.25">
      <c r="A28" s="1">
        <v>0.41070000000000001</v>
      </c>
      <c r="B28" s="1">
        <v>0.32150000000000001</v>
      </c>
      <c r="C28" s="1">
        <v>0.61560000000000004</v>
      </c>
      <c r="D28" s="1">
        <v>0.35849999999999999</v>
      </c>
      <c r="E28" s="1">
        <v>1.6899999999999998E-2</v>
      </c>
      <c r="F28" s="1">
        <v>0.2631</v>
      </c>
      <c r="G28" s="1">
        <v>0.73380000000000001</v>
      </c>
      <c r="H28" s="1">
        <v>26.676600000000001</v>
      </c>
      <c r="L28" s="5">
        <f t="shared" si="0"/>
        <v>0.2879704988904826</v>
      </c>
      <c r="M28" s="5">
        <f t="shared" si="1"/>
        <v>0.62016460194741407</v>
      </c>
      <c r="N28" s="5">
        <f t="shared" si="2"/>
        <v>9.1864899162103192E-2</v>
      </c>
      <c r="O28" s="5">
        <f t="shared" si="3"/>
        <v>0.3812869291502391</v>
      </c>
      <c r="P28">
        <f t="shared" si="4"/>
        <v>0.61086489357184637</v>
      </c>
      <c r="Q28">
        <f t="shared" si="5"/>
        <v>7.8481772779146058E-3</v>
      </c>
      <c r="R28">
        <f t="shared" si="6"/>
        <v>1.5462653077389683E-2</v>
      </c>
      <c r="S28">
        <f t="shared" si="7"/>
        <v>0.66224830607661589</v>
      </c>
      <c r="T28">
        <f t="shared" si="8"/>
        <v>0.32228904084599441</v>
      </c>
    </row>
    <row r="29" spans="1:20" ht="15.75" thickBot="1" x14ac:dyDescent="0.3">
      <c r="A29" s="3">
        <v>0.3679</v>
      </c>
      <c r="B29" s="3">
        <v>0.36499999999999999</v>
      </c>
      <c r="C29" s="3">
        <v>0.54690000000000005</v>
      </c>
      <c r="D29" s="3">
        <v>0.40739999999999998</v>
      </c>
      <c r="E29" s="3">
        <v>1.9900000000000001E-2</v>
      </c>
      <c r="F29" s="3">
        <v>0.30309999999999998</v>
      </c>
      <c r="G29" s="3">
        <v>0.74399999999999999</v>
      </c>
      <c r="H29" s="3">
        <v>20.399699999999999</v>
      </c>
      <c r="L29" s="5">
        <f t="shared" si="0"/>
        <v>0.2448231888440533</v>
      </c>
      <c r="M29" s="5">
        <f t="shared" si="1"/>
        <v>0.66821824210271819</v>
      </c>
      <c r="N29" s="5">
        <f t="shared" si="2"/>
        <v>8.6958569053228491E-2</v>
      </c>
      <c r="O29" s="5">
        <f t="shared" si="3"/>
        <v>0.32360054450537407</v>
      </c>
      <c r="P29">
        <f t="shared" si="4"/>
        <v>0.66317026547825275</v>
      </c>
      <c r="Q29">
        <f t="shared" si="5"/>
        <v>1.322919001637313E-2</v>
      </c>
      <c r="R29">
        <f t="shared" si="6"/>
        <v>1.6793786274568741E-2</v>
      </c>
      <c r="S29">
        <f t="shared" si="7"/>
        <v>0.70369454167612655</v>
      </c>
      <c r="T29">
        <f t="shared" si="8"/>
        <v>0.27951167204930466</v>
      </c>
    </row>
    <row r="33" spans="1:6" x14ac:dyDescent="0.25">
      <c r="A33" t="s">
        <v>22</v>
      </c>
      <c r="D33" t="s">
        <v>22</v>
      </c>
      <c r="F33" t="s">
        <v>22</v>
      </c>
    </row>
    <row r="34" spans="1:6" x14ac:dyDescent="0.25">
      <c r="A34">
        <f>1-A9-B9</f>
        <v>0.26750000000000002</v>
      </c>
      <c r="D34">
        <f>1-C9-D9</f>
        <v>0</v>
      </c>
      <c r="F34">
        <f>1-E9-F9</f>
        <v>0.89700000000000002</v>
      </c>
    </row>
    <row r="35" spans="1:6" x14ac:dyDescent="0.25">
      <c r="A35">
        <f t="shared" ref="A35:A54" si="9">1-A10-B10</f>
        <v>0.26679999999999998</v>
      </c>
      <c r="D35">
        <f t="shared" ref="D35:D54" si="10">1-C10-D10</f>
        <v>0</v>
      </c>
      <c r="F35">
        <f t="shared" ref="F35:F54" si="11">1-E10-F10</f>
        <v>0.87319999999999998</v>
      </c>
    </row>
    <row r="36" spans="1:6" x14ac:dyDescent="0.25">
      <c r="A36">
        <f t="shared" si="9"/>
        <v>0.26689999999999992</v>
      </c>
      <c r="D36">
        <f t="shared" si="10"/>
        <v>8.9999999999998415E-4</v>
      </c>
      <c r="F36">
        <f t="shared" si="11"/>
        <v>0.84319999999999995</v>
      </c>
    </row>
    <row r="37" spans="1:6" x14ac:dyDescent="0.25">
      <c r="A37">
        <f t="shared" si="9"/>
        <v>0.2472</v>
      </c>
      <c r="D37">
        <f t="shared" si="10"/>
        <v>1.6000000000000458E-3</v>
      </c>
      <c r="F37">
        <f t="shared" si="11"/>
        <v>0.8196</v>
      </c>
    </row>
    <row r="38" spans="1:6" x14ac:dyDescent="0.25">
      <c r="A38">
        <f t="shared" si="9"/>
        <v>0.24639999999999995</v>
      </c>
      <c r="D38">
        <f t="shared" si="10"/>
        <v>4.9999999999999489E-3</v>
      </c>
      <c r="F38">
        <f t="shared" si="11"/>
        <v>0.76980000000000004</v>
      </c>
    </row>
    <row r="39" spans="1:6" x14ac:dyDescent="0.25">
      <c r="A39">
        <f t="shared" si="9"/>
        <v>0.26660000000000006</v>
      </c>
      <c r="D39">
        <f t="shared" si="10"/>
        <v>5.1000000000000489E-3</v>
      </c>
      <c r="F39">
        <f t="shared" si="11"/>
        <v>0.75750000000000006</v>
      </c>
    </row>
    <row r="40" spans="1:6" x14ac:dyDescent="0.25">
      <c r="A40">
        <f t="shared" si="9"/>
        <v>0.26689999999999997</v>
      </c>
      <c r="D40">
        <f t="shared" si="10"/>
        <v>1.7199999999999993E-2</v>
      </c>
      <c r="F40">
        <f t="shared" si="11"/>
        <v>0.72</v>
      </c>
    </row>
    <row r="41" spans="1:6" x14ac:dyDescent="0.25">
      <c r="A41">
        <f t="shared" si="9"/>
        <v>0.26650000000000001</v>
      </c>
      <c r="D41">
        <f t="shared" si="10"/>
        <v>2.7299999999999991E-2</v>
      </c>
      <c r="F41">
        <f t="shared" si="11"/>
        <v>0.69120000000000004</v>
      </c>
    </row>
    <row r="42" spans="1:6" x14ac:dyDescent="0.25">
      <c r="A42">
        <f>1-A17-B17</f>
        <v>0.24920000000000003</v>
      </c>
      <c r="D42">
        <f>1-C17-D17</f>
        <v>1.1000000000000038E-3</v>
      </c>
      <c r="F42">
        <f>1-E17-F17</f>
        <v>0.93540000000000001</v>
      </c>
    </row>
    <row r="43" spans="1:6" x14ac:dyDescent="0.25">
      <c r="A43">
        <f t="shared" si="9"/>
        <v>0.24809999999999996</v>
      </c>
      <c r="D43">
        <f t="shared" si="10"/>
        <v>1.999999999999974E-3</v>
      </c>
      <c r="F43">
        <f t="shared" si="11"/>
        <v>0.88380000000000003</v>
      </c>
    </row>
    <row r="44" spans="1:6" x14ac:dyDescent="0.25">
      <c r="A44">
        <f t="shared" si="9"/>
        <v>0.2671</v>
      </c>
      <c r="D44">
        <f t="shared" si="10"/>
        <v>6.0999999999999666E-3</v>
      </c>
      <c r="F44">
        <f t="shared" si="11"/>
        <v>0.85359999999999991</v>
      </c>
    </row>
    <row r="45" spans="1:6" x14ac:dyDescent="0.25">
      <c r="A45">
        <f t="shared" si="9"/>
        <v>0.25729999999999992</v>
      </c>
      <c r="D45">
        <f t="shared" si="10"/>
        <v>4.799999999999971E-3</v>
      </c>
      <c r="F45">
        <f t="shared" si="11"/>
        <v>0.80689999999999995</v>
      </c>
    </row>
    <row r="46" spans="1:6" x14ac:dyDescent="0.25">
      <c r="A46">
        <f t="shared" si="9"/>
        <v>0.2374</v>
      </c>
      <c r="D46">
        <f t="shared" si="10"/>
        <v>2.0699999999999996E-2</v>
      </c>
      <c r="F46">
        <f t="shared" si="11"/>
        <v>0.76569999999999994</v>
      </c>
    </row>
    <row r="47" spans="1:6" x14ac:dyDescent="0.25">
      <c r="A47">
        <f t="shared" si="9"/>
        <v>0.24740000000000006</v>
      </c>
      <c r="D47">
        <f t="shared" si="10"/>
        <v>2.1899999999999975E-2</v>
      </c>
      <c r="F47">
        <f t="shared" si="11"/>
        <v>0.73980000000000001</v>
      </c>
    </row>
    <row r="48" spans="1:6" x14ac:dyDescent="0.25">
      <c r="A48">
        <f t="shared" si="9"/>
        <v>0.26650000000000001</v>
      </c>
      <c r="D48">
        <f t="shared" si="10"/>
        <v>8.0000000000000904E-4</v>
      </c>
      <c r="F48">
        <f t="shared" si="11"/>
        <v>0.89229999999999998</v>
      </c>
    </row>
    <row r="49" spans="1:6" x14ac:dyDescent="0.25">
      <c r="A49">
        <f t="shared" si="9"/>
        <v>0.26640000000000003</v>
      </c>
      <c r="D49">
        <f t="shared" si="10"/>
        <v>2.3000000000000242E-3</v>
      </c>
      <c r="F49">
        <f t="shared" si="11"/>
        <v>0.85699999999999998</v>
      </c>
    </row>
    <row r="50" spans="1:6" x14ac:dyDescent="0.25">
      <c r="A50">
        <f t="shared" si="9"/>
        <v>0.26779999999999998</v>
      </c>
      <c r="D50">
        <f t="shared" si="10"/>
        <v>3.7000000000000643E-3</v>
      </c>
      <c r="F50">
        <f t="shared" si="11"/>
        <v>0.83020000000000005</v>
      </c>
    </row>
    <row r="51" spans="1:6" x14ac:dyDescent="0.25">
      <c r="A51">
        <f t="shared" si="9"/>
        <v>0.26629999999999998</v>
      </c>
      <c r="D51">
        <f t="shared" si="10"/>
        <v>7.7000000000000401E-3</v>
      </c>
      <c r="F51">
        <f t="shared" si="11"/>
        <v>0.79669999999999996</v>
      </c>
    </row>
    <row r="52" spans="1:6" x14ac:dyDescent="0.25">
      <c r="A52">
        <f t="shared" si="9"/>
        <v>0.27780000000000005</v>
      </c>
      <c r="D52">
        <f t="shared" si="10"/>
        <v>1.419999999999999E-2</v>
      </c>
      <c r="F52">
        <f t="shared" si="11"/>
        <v>0.77200000000000002</v>
      </c>
    </row>
    <row r="53" spans="1:6" x14ac:dyDescent="0.25">
      <c r="A53">
        <f t="shared" si="9"/>
        <v>0.26779999999999993</v>
      </c>
      <c r="D53">
        <f t="shared" si="10"/>
        <v>2.5899999999999979E-2</v>
      </c>
      <c r="F53">
        <f t="shared" si="11"/>
        <v>0.72</v>
      </c>
    </row>
    <row r="54" spans="1:6" x14ac:dyDescent="0.25">
      <c r="A54">
        <f t="shared" si="9"/>
        <v>0.2671</v>
      </c>
      <c r="D54">
        <f t="shared" si="10"/>
        <v>4.5699999999999963E-2</v>
      </c>
      <c r="F54">
        <f t="shared" si="11"/>
        <v>0.67700000000000005</v>
      </c>
    </row>
  </sheetData>
  <mergeCells count="4">
    <mergeCell ref="C7:D7"/>
    <mergeCell ref="A7:B7"/>
    <mergeCell ref="E7:F7"/>
    <mergeCell ref="L7:M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2"/>
  <dimension ref="A1:AD50"/>
  <sheetViews>
    <sheetView tabSelected="1" topLeftCell="A4" workbookViewId="0">
      <selection activeCell="D21" sqref="D21:I26"/>
    </sheetView>
  </sheetViews>
  <sheetFormatPr defaultRowHeight="15" x14ac:dyDescent="0.25"/>
  <cols>
    <col min="2" max="2" width="10.140625" bestFit="1" customWidth="1"/>
    <col min="3" max="3" width="9.85546875" bestFit="1" customWidth="1"/>
    <col min="9" max="9" width="10.85546875" customWidth="1"/>
    <col min="10" max="10" width="9.5703125" bestFit="1" customWidth="1"/>
    <col min="11" max="11" width="10" bestFit="1" customWidth="1"/>
    <col min="13" max="15" width="9.5703125" bestFit="1" customWidth="1"/>
    <col min="19" max="19" width="12" bestFit="1" customWidth="1"/>
    <col min="21" max="22" width="12" bestFit="1" customWidth="1"/>
    <col min="24" max="24" width="12" bestFit="1" customWidth="1"/>
  </cols>
  <sheetData>
    <row r="1" spans="1:30" ht="18.75" x14ac:dyDescent="0.35">
      <c r="A1" s="37" t="s">
        <v>90</v>
      </c>
      <c r="C1" t="s">
        <v>88</v>
      </c>
      <c r="T1" s="4" t="s">
        <v>5</v>
      </c>
      <c r="U1" s="4"/>
      <c r="X1" s="4" t="s">
        <v>6</v>
      </c>
      <c r="Y1" s="4"/>
      <c r="Z1" t="s">
        <v>15</v>
      </c>
    </row>
    <row r="2" spans="1:30" x14ac:dyDescent="0.25">
      <c r="C2" t="s">
        <v>89</v>
      </c>
      <c r="T2" t="s">
        <v>19</v>
      </c>
      <c r="U2" t="s">
        <v>20</v>
      </c>
      <c r="V2" t="s">
        <v>21</v>
      </c>
      <c r="X2" t="s">
        <v>19</v>
      </c>
      <c r="Y2" t="s">
        <v>20</v>
      </c>
      <c r="Z2" t="s">
        <v>21</v>
      </c>
      <c r="AB2" t="s">
        <v>94</v>
      </c>
      <c r="AC2" t="s">
        <v>95</v>
      </c>
      <c r="AD2" t="s">
        <v>96</v>
      </c>
    </row>
    <row r="3" spans="1:30" x14ac:dyDescent="0.25">
      <c r="T3" s="5">
        <f>1-U3-V3</f>
        <v>0.99954431644195696</v>
      </c>
      <c r="U3" s="28">
        <v>0</v>
      </c>
      <c r="V3" s="28">
        <v>4.5568355804303715E-4</v>
      </c>
      <c r="W3" s="28"/>
      <c r="X3" s="28">
        <v>1.9085330020178646E-3</v>
      </c>
      <c r="Y3" s="28">
        <v>0</v>
      </c>
      <c r="Z3" s="5">
        <f>1-X3-Y3</f>
        <v>0.99809146699798212</v>
      </c>
      <c r="AB3">
        <v>0.35</v>
      </c>
      <c r="AC3">
        <v>0.65</v>
      </c>
      <c r="AD3">
        <v>0</v>
      </c>
    </row>
    <row r="4" spans="1:30" x14ac:dyDescent="0.25">
      <c r="T4" s="5">
        <f>1-U4-V4</f>
        <v>0.98896063688406188</v>
      </c>
      <c r="U4" s="5">
        <v>1.0537624772912223E-2</v>
      </c>
      <c r="V4" s="5">
        <v>5.0173834302593757E-4</v>
      </c>
      <c r="W4" s="5"/>
      <c r="X4" s="5">
        <v>4.6932372642567825E-3</v>
      </c>
      <c r="Y4" s="5">
        <v>7.6001759335019542E-2</v>
      </c>
      <c r="Z4" s="5">
        <f>1-X4-Y4</f>
        <v>0.91930500340072374</v>
      </c>
      <c r="AB4">
        <v>0.84185361033083228</v>
      </c>
      <c r="AC4">
        <v>0.15668639269064766</v>
      </c>
      <c r="AD4">
        <v>1.4599969785200981E-3</v>
      </c>
    </row>
    <row r="5" spans="1:30" x14ac:dyDescent="0.25">
      <c r="T5" s="5">
        <f>1-U5-V5</f>
        <v>0.98872481775934151</v>
      </c>
      <c r="U5" s="5">
        <v>1.0772400729853221E-2</v>
      </c>
      <c r="V5" s="5">
        <v>5.0278151080524673E-4</v>
      </c>
      <c r="W5" s="5"/>
      <c r="X5" s="5">
        <v>4.7722525486042101E-3</v>
      </c>
      <c r="Y5" s="5">
        <v>7.7623271753628209E-2</v>
      </c>
      <c r="Z5" s="5">
        <f>1-X5-Y5</f>
        <v>0.91760447569776749</v>
      </c>
      <c r="AB5">
        <v>0.9813481019996696</v>
      </c>
      <c r="AC5">
        <v>1.8115800398152793E-2</v>
      </c>
      <c r="AD5">
        <v>5.3609760217765922E-4</v>
      </c>
    </row>
    <row r="6" spans="1:30" x14ac:dyDescent="0.25">
      <c r="T6" s="5">
        <f>1-U6-V6</f>
        <v>0.9837600541262238</v>
      </c>
      <c r="U6" s="5">
        <v>1.571494626890798E-2</v>
      </c>
      <c r="V6" s="5">
        <v>5.2499960486823607E-4</v>
      </c>
      <c r="W6" s="5"/>
      <c r="X6" s="5">
        <v>6.6120856214243236E-3</v>
      </c>
      <c r="Y6" s="5">
        <v>0.11099407878978421</v>
      </c>
      <c r="Z6" s="5">
        <f>1-X6-Y6</f>
        <v>0.88239383558879148</v>
      </c>
      <c r="AB6">
        <v>0.99763921117685961</v>
      </c>
      <c r="AC6">
        <v>1.8969571248515801E-3</v>
      </c>
      <c r="AD6">
        <v>4.6383169828876757E-4</v>
      </c>
    </row>
    <row r="7" spans="1:30" x14ac:dyDescent="0.25">
      <c r="T7" s="5">
        <f>1-U7-V7</f>
        <v>0.98323794598013181</v>
      </c>
      <c r="U7" s="5">
        <v>1.6234588132974834E-2</v>
      </c>
      <c r="V7" s="5">
        <v>5.2746588689331342E-4</v>
      </c>
      <c r="W7" s="5"/>
      <c r="X7" s="5">
        <v>6.8248744343033362E-3</v>
      </c>
      <c r="Y7" s="5">
        <v>0.11441557962509097</v>
      </c>
      <c r="Z7" s="5">
        <f>1-X7-Y7</f>
        <v>0.87875954594060568</v>
      </c>
      <c r="AB7">
        <v>0.99934849537412496</v>
      </c>
      <c r="AC7">
        <v>1.949855792944094E-4</v>
      </c>
      <c r="AD7">
        <v>4.5651904658057258E-4</v>
      </c>
    </row>
    <row r="8" spans="1:30" x14ac:dyDescent="0.25">
      <c r="T8" s="5">
        <f t="shared" ref="T8:T28" si="0">1-U8-V8</f>
        <v>0.97874979774676885</v>
      </c>
      <c r="U8" s="5">
        <v>2.0728606708281489E-2</v>
      </c>
      <c r="V8" s="5">
        <v>5.2159554494963611E-4</v>
      </c>
      <c r="W8" s="5"/>
      <c r="X8" s="5">
        <v>8.8260203247618949E-3</v>
      </c>
      <c r="Y8" s="5">
        <v>0.14336119022018001</v>
      </c>
      <c r="Z8" s="5">
        <f t="shared" ref="Z8:Z28" si="1">1-X8-Y8</f>
        <v>0.84781278945505811</v>
      </c>
      <c r="AB8">
        <v>0.99952591641617528</v>
      </c>
      <c r="AC8">
        <v>1.8321623448254651E-5</v>
      </c>
      <c r="AD8">
        <v>4.557619603764523E-4</v>
      </c>
    </row>
    <row r="9" spans="1:30" x14ac:dyDescent="0.25">
      <c r="T9" s="5">
        <f t="shared" si="0"/>
        <v>0.97362134122639299</v>
      </c>
      <c r="U9" s="5">
        <v>2.5830049843558155E-2</v>
      </c>
      <c r="V9" s="5">
        <v>5.4860893004876989E-4</v>
      </c>
      <c r="W9" s="5"/>
      <c r="X9" s="5">
        <v>1.1426652033695601E-2</v>
      </c>
      <c r="Y9" s="5">
        <v>0.17458201650281838</v>
      </c>
      <c r="Z9" s="5">
        <f t="shared" si="1"/>
        <v>0.81399133146348601</v>
      </c>
      <c r="AB9">
        <v>3.6027000165897785E-2</v>
      </c>
      <c r="AC9">
        <v>0.59717044851183443</v>
      </c>
      <c r="AD9">
        <v>0.3668025513222678</v>
      </c>
    </row>
    <row r="10" spans="1:30" x14ac:dyDescent="0.25">
      <c r="T10" s="5">
        <f t="shared" si="0"/>
        <v>0.96839791344287063</v>
      </c>
      <c r="U10" s="5">
        <v>3.1024014962545476E-2</v>
      </c>
      <c r="V10" s="5">
        <v>5.7807159458387269E-4</v>
      </c>
      <c r="W10" s="5"/>
      <c r="X10" s="5">
        <v>1.4459232817463894E-2</v>
      </c>
      <c r="Y10" s="5">
        <v>0.20460480864027689</v>
      </c>
      <c r="Z10" s="5">
        <f t="shared" si="1"/>
        <v>0.78093595854225928</v>
      </c>
      <c r="AB10">
        <v>7.6255514339521949E-3</v>
      </c>
      <c r="AC10">
        <v>0.12666154975327659</v>
      </c>
      <c r="AD10">
        <v>0.86571289881277125</v>
      </c>
    </row>
    <row r="11" spans="1:30" x14ac:dyDescent="0.25">
      <c r="T11" s="5">
        <f t="shared" si="0"/>
        <v>0.96306863319099134</v>
      </c>
      <c r="U11" s="5">
        <v>3.6321074207186402E-2</v>
      </c>
      <c r="V11" s="5">
        <v>6.10292601822247E-4</v>
      </c>
      <c r="W11" s="5"/>
      <c r="X11" s="5">
        <v>1.7940583989190552E-2</v>
      </c>
      <c r="Y11" s="5">
        <v>0.23334766993279737</v>
      </c>
      <c r="Z11" s="5">
        <f t="shared" si="1"/>
        <v>0.74871174607801216</v>
      </c>
      <c r="AB11">
        <v>2.3027478243016564E-3</v>
      </c>
      <c r="AC11">
        <v>1.413401239202236E-2</v>
      </c>
      <c r="AD11">
        <v>0.98356323978367599</v>
      </c>
    </row>
    <row r="12" spans="1:30" x14ac:dyDescent="0.25">
      <c r="T12" s="5">
        <f t="shared" si="0"/>
        <v>0.95762229038983249</v>
      </c>
      <c r="U12" s="5">
        <v>4.1732082819034691E-2</v>
      </c>
      <c r="V12" s="5">
        <v>6.4562679113281405E-4</v>
      </c>
      <c r="W12" s="5"/>
      <c r="X12" s="5">
        <v>2.199588218132565E-2</v>
      </c>
      <c r="Y12" s="5">
        <v>0.26073542111668735</v>
      </c>
      <c r="Z12" s="5">
        <f t="shared" si="1"/>
        <v>0.71726869670198701</v>
      </c>
      <c r="AB12">
        <v>1.9468738150927004E-3</v>
      </c>
      <c r="AC12">
        <v>1.4616800620300488E-3</v>
      </c>
      <c r="AD12">
        <v>0.9965914461228772</v>
      </c>
    </row>
    <row r="13" spans="1:30" x14ac:dyDescent="0.25">
      <c r="T13" s="5">
        <f t="shared" si="0"/>
        <v>0.95204095973068303</v>
      </c>
      <c r="U13" s="5">
        <v>4.7274490861840712E-2</v>
      </c>
      <c r="V13" s="5">
        <v>6.8454940747623852E-4</v>
      </c>
      <c r="W13" s="5"/>
      <c r="X13" s="5">
        <v>2.6815730768208569E-2</v>
      </c>
      <c r="Y13" s="5">
        <v>0.2866629949103342</v>
      </c>
      <c r="Z13" s="5">
        <f t="shared" si="1"/>
        <v>0.68652127432145726</v>
      </c>
      <c r="AB13">
        <v>1.9121284769899548E-3</v>
      </c>
      <c r="AC13">
        <v>1.3743625617814831E-4</v>
      </c>
      <c r="AD13">
        <v>0.99795043526683191</v>
      </c>
    </row>
    <row r="14" spans="1:30" x14ac:dyDescent="0.25">
      <c r="T14" s="5">
        <f t="shared" si="0"/>
        <v>0.94703223995868757</v>
      </c>
      <c r="U14" s="5">
        <v>5.2245703272958369E-2</v>
      </c>
      <c r="V14" s="5">
        <v>7.2205676835397354E-4</v>
      </c>
      <c r="W14" s="5"/>
      <c r="X14" s="5">
        <v>3.2094569718673818E-2</v>
      </c>
      <c r="Y14" s="5">
        <v>0.30794394361642397</v>
      </c>
      <c r="Z14" s="5">
        <f t="shared" si="1"/>
        <v>0.65996148666490217</v>
      </c>
      <c r="AB14">
        <v>0</v>
      </c>
      <c r="AC14">
        <v>0</v>
      </c>
      <c r="AD14">
        <v>1</v>
      </c>
    </row>
    <row r="15" spans="1:30" x14ac:dyDescent="0.25">
      <c r="T15" s="5">
        <f t="shared" si="0"/>
        <v>0.92587631688370964</v>
      </c>
      <c r="U15" s="5">
        <v>7.3223684454633786E-2</v>
      </c>
      <c r="V15" s="5">
        <v>8.9999866165652682E-4</v>
      </c>
      <c r="W15" s="5"/>
      <c r="X15" s="5">
        <v>4.0326534415235635E-2</v>
      </c>
      <c r="Y15" s="5">
        <v>0.38684382364784609</v>
      </c>
      <c r="Z15" s="5">
        <f t="shared" si="1"/>
        <v>0.57282964193691832</v>
      </c>
    </row>
    <row r="16" spans="1:30" x14ac:dyDescent="0.25">
      <c r="T16" s="5">
        <f t="shared" si="0"/>
        <v>0.91531154897465572</v>
      </c>
      <c r="U16" s="5">
        <v>8.3687602776650646E-2</v>
      </c>
      <c r="V16" s="5">
        <v>1.0008482486936593E-3</v>
      </c>
      <c r="W16" s="5"/>
      <c r="X16" s="5">
        <v>3.7430776153625347E-2</v>
      </c>
      <c r="Y16" s="5">
        <v>0.42261702720398098</v>
      </c>
      <c r="Z16" s="5">
        <f t="shared" si="1"/>
        <v>0.53995219664239369</v>
      </c>
    </row>
    <row r="17" spans="1:26" x14ac:dyDescent="0.25">
      <c r="T17" s="5">
        <f t="shared" si="0"/>
        <v>0.90134391573004735</v>
      </c>
      <c r="U17" s="5">
        <v>9.7504259822124684E-2</v>
      </c>
      <c r="V17" s="5">
        <v>1.151824447827858E-3</v>
      </c>
      <c r="W17" s="5"/>
      <c r="X17" s="5">
        <v>3.7109465492231861E-2</v>
      </c>
      <c r="Y17" s="5">
        <v>0.46349353510899949</v>
      </c>
      <c r="Z17" s="5">
        <f t="shared" si="1"/>
        <v>0.49939699939876869</v>
      </c>
    </row>
    <row r="18" spans="1:26" ht="15.75" thickBot="1" x14ac:dyDescent="0.3">
      <c r="T18" s="5">
        <f t="shared" si="0"/>
        <v>0.886666747332579</v>
      </c>
      <c r="U18" s="5">
        <v>0.11200202434117081</v>
      </c>
      <c r="V18" s="5">
        <v>1.3312283262502615E-3</v>
      </c>
      <c r="W18" s="5"/>
      <c r="X18" s="5">
        <v>3.6519885317033693E-2</v>
      </c>
      <c r="Y18" s="5">
        <v>0.50120507869672148</v>
      </c>
      <c r="Z18" s="5">
        <f t="shared" si="1"/>
        <v>0.46227503598624486</v>
      </c>
    </row>
    <row r="19" spans="1:26" x14ac:dyDescent="0.25">
      <c r="A19" s="104" t="s">
        <v>4</v>
      </c>
      <c r="B19" s="105"/>
      <c r="C19" s="56"/>
      <c r="D19" s="90" t="s">
        <v>5</v>
      </c>
      <c r="E19" s="55"/>
      <c r="F19" s="56"/>
      <c r="G19" s="90" t="s">
        <v>6</v>
      </c>
      <c r="H19" s="55"/>
      <c r="I19" s="56" t="s">
        <v>15</v>
      </c>
      <c r="T19" s="5">
        <f t="shared" si="0"/>
        <v>0.87411216792279878</v>
      </c>
      <c r="U19" s="5">
        <v>0.12438520925187529</v>
      </c>
      <c r="V19" s="5">
        <v>1.502622825325864E-3</v>
      </c>
      <c r="W19" s="5"/>
      <c r="X19" s="5">
        <v>3.6256413879355742E-2</v>
      </c>
      <c r="Y19" s="5">
        <v>0.52966968574358764</v>
      </c>
      <c r="Z19" s="5">
        <f t="shared" si="1"/>
        <v>0.43407390037705662</v>
      </c>
    </row>
    <row r="20" spans="1:26" ht="15.75" thickBot="1" x14ac:dyDescent="0.3">
      <c r="A20" s="49" t="s">
        <v>16</v>
      </c>
      <c r="B20" s="50" t="s">
        <v>17</v>
      </c>
      <c r="C20" s="51" t="s">
        <v>18</v>
      </c>
      <c r="D20" s="49" t="s">
        <v>19</v>
      </c>
      <c r="E20" s="50" t="s">
        <v>20</v>
      </c>
      <c r="F20" s="51" t="s">
        <v>21</v>
      </c>
      <c r="G20" s="49" t="s">
        <v>19</v>
      </c>
      <c r="H20" s="50" t="s">
        <v>20</v>
      </c>
      <c r="I20" s="51" t="s">
        <v>21</v>
      </c>
      <c r="T20" s="5">
        <f t="shared" si="0"/>
        <v>0.82505899760238854</v>
      </c>
      <c r="U20" s="5">
        <v>0.17259651320027844</v>
      </c>
      <c r="V20" s="5">
        <v>2.3444891973330049E-3</v>
      </c>
      <c r="W20" s="5"/>
      <c r="X20" s="5">
        <v>3.5909648055053242E-2</v>
      </c>
      <c r="Y20" s="5">
        <v>0.61568366131193142</v>
      </c>
      <c r="Z20" s="5">
        <f t="shared" si="1"/>
        <v>0.34840669063301533</v>
      </c>
    </row>
    <row r="21" spans="1:26" x14ac:dyDescent="0.25">
      <c r="A21" s="60">
        <v>0.82844381704253156</v>
      </c>
      <c r="B21" s="61">
        <v>5.921829040228082E-2</v>
      </c>
      <c r="C21" s="62">
        <v>0.11233789255518771</v>
      </c>
      <c r="D21" s="60">
        <v>0.96535083273334765</v>
      </c>
      <c r="E21" s="66">
        <v>3.3954848150963515E-2</v>
      </c>
      <c r="F21" s="67">
        <v>6.9431911568881334E-4</v>
      </c>
      <c r="G21" s="72">
        <v>1.9758622410767951E-2</v>
      </c>
      <c r="H21" s="66">
        <v>0.22561279123789454</v>
      </c>
      <c r="I21" s="67">
        <v>0.75462858635133745</v>
      </c>
      <c r="T21" s="5">
        <f t="shared" si="0"/>
        <v>0.80521376700852942</v>
      </c>
      <c r="U21" s="5">
        <v>0.19201944845242574</v>
      </c>
      <c r="V21" s="5">
        <v>2.766784539044778E-3</v>
      </c>
      <c r="W21" s="5"/>
      <c r="X21" s="5">
        <v>3.5907973694227407E-2</v>
      </c>
      <c r="Y21" s="5">
        <v>0.64138669335207921</v>
      </c>
      <c r="Z21" s="5">
        <f t="shared" si="1"/>
        <v>0.32270533295369341</v>
      </c>
    </row>
    <row r="22" spans="1:26" x14ac:dyDescent="0.25">
      <c r="A22" s="60">
        <v>0.7643293347073612</v>
      </c>
      <c r="B22" s="61">
        <v>0.13173938487660725</v>
      </c>
      <c r="C22" s="62">
        <v>0.1039312804160316</v>
      </c>
      <c r="D22" s="60">
        <v>0.90899115899045813</v>
      </c>
      <c r="E22" s="66">
        <v>9.0339991097610026E-2</v>
      </c>
      <c r="F22" s="67">
        <v>6.6884991193173348E-4</v>
      </c>
      <c r="G22" s="72">
        <v>2.6399550183868581E-2</v>
      </c>
      <c r="H22" s="66">
        <v>0.45953988416182567</v>
      </c>
      <c r="I22" s="67">
        <v>0.51406056565430569</v>
      </c>
      <c r="T22" s="97">
        <f t="shared" si="0"/>
        <v>0.74151264302892095</v>
      </c>
      <c r="U22" s="97">
        <v>0.25396522811486899</v>
      </c>
      <c r="V22" s="97">
        <v>4.5221288562100927E-3</v>
      </c>
      <c r="W22" s="97"/>
      <c r="X22" s="97">
        <v>3.6424643172708049E-2</v>
      </c>
      <c r="Y22" s="97">
        <v>0.71133868463747985</v>
      </c>
      <c r="Z22" s="97">
        <f t="shared" si="1"/>
        <v>0.25223667218981216</v>
      </c>
    </row>
    <row r="23" spans="1:26" x14ac:dyDescent="0.25">
      <c r="A23" s="60">
        <v>0.66381331559181278</v>
      </c>
      <c r="B23" s="61">
        <v>0.24570310696047598</v>
      </c>
      <c r="C23" s="62">
        <v>9.0483577447711266E-2</v>
      </c>
      <c r="D23" s="60">
        <v>0.84518555328032308</v>
      </c>
      <c r="E23" s="66">
        <v>0.15370149116973225</v>
      </c>
      <c r="F23" s="67">
        <v>1.1129555499447348E-3</v>
      </c>
      <c r="G23" s="72">
        <v>4.0019376694577141E-2</v>
      </c>
      <c r="H23" s="66">
        <v>0.54826517068730163</v>
      </c>
      <c r="I23" s="67">
        <v>0.41171545261812115</v>
      </c>
      <c r="T23" s="5">
        <f t="shared" si="0"/>
        <v>0.73971121149446539</v>
      </c>
      <c r="U23" s="5">
        <v>0.25524047380143489</v>
      </c>
      <c r="V23" s="5">
        <v>5.0483147040997749E-3</v>
      </c>
      <c r="W23" s="5"/>
      <c r="X23" s="5">
        <v>3.7102575247957417E-2</v>
      </c>
      <c r="Y23" s="5">
        <v>0.75428588902058324</v>
      </c>
      <c r="Z23" s="5">
        <f t="shared" si="1"/>
        <v>0.2086115357314593</v>
      </c>
    </row>
    <row r="24" spans="1:26" x14ac:dyDescent="0.25">
      <c r="A24" s="60">
        <v>0.53510907658729379</v>
      </c>
      <c r="B24" s="61">
        <v>0.37344931670334569</v>
      </c>
      <c r="C24" s="62">
        <v>9.1441606709360537E-2</v>
      </c>
      <c r="D24" s="60">
        <v>0.74294238108503441</v>
      </c>
      <c r="E24" s="66">
        <v>0.25473381272449258</v>
      </c>
      <c r="F24" s="67">
        <v>2.3238061904729624E-3</v>
      </c>
      <c r="G24" s="72">
        <v>6.7702688177542575E-2</v>
      </c>
      <c r="H24" s="66">
        <v>0.63266227357053428</v>
      </c>
      <c r="I24" s="67">
        <v>0.29963503825192322</v>
      </c>
      <c r="T24" s="5">
        <f t="shared" si="0"/>
        <v>0.72988544491870133</v>
      </c>
      <c r="U24" s="5">
        <v>0.26515415175028356</v>
      </c>
      <c r="V24" s="5">
        <v>4.9604033310151159E-3</v>
      </c>
      <c r="W24" s="5"/>
      <c r="X24" s="5">
        <v>3.6609366574235094E-2</v>
      </c>
      <c r="Y24" s="5">
        <v>0.72606263352937139</v>
      </c>
      <c r="Z24" s="5">
        <f t="shared" si="1"/>
        <v>0.23732799989639353</v>
      </c>
    </row>
    <row r="25" spans="1:26" x14ac:dyDescent="0.25">
      <c r="A25" s="60">
        <v>0.42942392853959183</v>
      </c>
      <c r="B25" s="61">
        <v>0.48791100703606027</v>
      </c>
      <c r="C25" s="62">
        <v>8.2665064424347942E-2</v>
      </c>
      <c r="D25" s="60">
        <v>0.59695208100949748</v>
      </c>
      <c r="E25" s="66">
        <v>0.38739855126072653</v>
      </c>
      <c r="F25" s="67">
        <v>1.5649367729775911E-2</v>
      </c>
      <c r="G25" s="72">
        <v>0.11462046757859846</v>
      </c>
      <c r="H25" s="66">
        <v>0.68666866390004555</v>
      </c>
      <c r="I25" s="67">
        <v>0.19871086852135583</v>
      </c>
      <c r="T25" s="97">
        <f t="shared" si="0"/>
        <v>0.6026093536069782</v>
      </c>
      <c r="U25" s="97">
        <v>0.38893600232498621</v>
      </c>
      <c r="V25" s="97">
        <v>8.4546440680355901E-3</v>
      </c>
      <c r="W25" s="97"/>
      <c r="X25" s="97">
        <v>3.6810731349725553E-2</v>
      </c>
      <c r="Y25" s="97">
        <v>0.73159767056212854</v>
      </c>
      <c r="Z25" s="97">
        <f t="shared" si="1"/>
        <v>0.23159159808814589</v>
      </c>
    </row>
    <row r="26" spans="1:26" ht="15.75" thickBot="1" x14ac:dyDescent="0.3">
      <c r="A26" s="63">
        <v>0.34810055948033425</v>
      </c>
      <c r="B26" s="64">
        <v>0.57709446917449703</v>
      </c>
      <c r="C26" s="65">
        <v>7.4804971345168794E-2</v>
      </c>
      <c r="D26" s="63">
        <v>0.47229872255725175</v>
      </c>
      <c r="E26" s="45">
        <v>0.50264601561443056</v>
      </c>
      <c r="F26" s="46">
        <v>2.505526182831767E-2</v>
      </c>
      <c r="G26" s="44">
        <v>0.1559463202279758</v>
      </c>
      <c r="H26" s="45">
        <v>0.71593936342101161</v>
      </c>
      <c r="I26" s="46">
        <v>0.12811431635101259</v>
      </c>
      <c r="T26" s="31">
        <f t="shared" si="0"/>
        <v>0.42706348246120696</v>
      </c>
      <c r="U26" s="31">
        <v>0.56210495705415497</v>
      </c>
      <c r="V26" s="31">
        <v>1.0831560484638049E-2</v>
      </c>
      <c r="W26" s="31"/>
      <c r="X26" s="31">
        <v>3.7141563021866969E-2</v>
      </c>
      <c r="Y26" s="31">
        <v>0.65530408621466085</v>
      </c>
      <c r="Z26" s="31">
        <f t="shared" si="1"/>
        <v>0.30755435076347215</v>
      </c>
    </row>
    <row r="27" spans="1:26" x14ac:dyDescent="0.25">
      <c r="T27" s="5">
        <f t="shared" si="0"/>
        <v>0.42479635125285115</v>
      </c>
      <c r="U27" s="5">
        <v>0.56437587474827111</v>
      </c>
      <c r="V27" s="5">
        <v>1.0827773998877726E-2</v>
      </c>
      <c r="W27" s="5"/>
      <c r="X27" s="5">
        <v>3.7162039869212377E-2</v>
      </c>
      <c r="Y27" s="5">
        <v>0.6526676770397617</v>
      </c>
      <c r="Z27" s="5">
        <f t="shared" si="1"/>
        <v>0.3101702830910259</v>
      </c>
    </row>
    <row r="28" spans="1:26" x14ac:dyDescent="0.25">
      <c r="T28" s="5">
        <f t="shared" si="0"/>
        <v>0.37739531839181661</v>
      </c>
      <c r="U28" s="5">
        <v>0.61113950816219265</v>
      </c>
      <c r="V28" s="5">
        <v>1.1465173445990712E-2</v>
      </c>
      <c r="W28" s="5"/>
      <c r="X28" s="5">
        <v>3.7473745796454572E-2</v>
      </c>
      <c r="Y28" s="5">
        <v>0.64082610033305076</v>
      </c>
      <c r="Z28" s="5">
        <f t="shared" si="1"/>
        <v>0.32170015387049467</v>
      </c>
    </row>
    <row r="29" spans="1:26" ht="15.75" thickBot="1" x14ac:dyDescent="0.3">
      <c r="T29" s="98">
        <f>1-U29-V29</f>
        <v>0.78458482003378638</v>
      </c>
      <c r="U29" s="98">
        <v>0.21337058449783408</v>
      </c>
      <c r="V29" s="98">
        <v>2.0445954683795935E-3</v>
      </c>
      <c r="W29" s="98"/>
      <c r="X29" s="98">
        <v>3.6569978172829809E-2</v>
      </c>
      <c r="Y29" s="98">
        <v>0.70897267103797235</v>
      </c>
      <c r="Z29" s="5">
        <f>1-X29-Y29</f>
        <v>0.25445735078919784</v>
      </c>
    </row>
    <row r="30" spans="1:26" ht="28.5" customHeight="1" thickBot="1" x14ac:dyDescent="0.3">
      <c r="A30" s="106" t="s">
        <v>91</v>
      </c>
      <c r="B30" s="106"/>
      <c r="C30" s="106"/>
      <c r="D30" s="106"/>
      <c r="E30" s="106"/>
      <c r="T30" s="31"/>
      <c r="U30" s="31"/>
      <c r="V30" s="31"/>
      <c r="W30" s="31"/>
      <c r="X30" s="31"/>
      <c r="Y30" s="31"/>
      <c r="Z30" s="31"/>
    </row>
    <row r="31" spans="1:26" ht="18.75" thickBot="1" x14ac:dyDescent="0.4">
      <c r="A31" s="2" t="s">
        <v>25</v>
      </c>
      <c r="B31" s="32">
        <v>5.5736999999999997</v>
      </c>
      <c r="C31" s="32">
        <v>7.4991000000000003</v>
      </c>
      <c r="D31" s="2">
        <v>6.4999999999999997E-3</v>
      </c>
      <c r="E31" s="2">
        <v>0.4</v>
      </c>
      <c r="G31" s="14" t="s">
        <v>37</v>
      </c>
      <c r="H31" s="15" t="s">
        <v>38</v>
      </c>
      <c r="I31" s="15" t="s">
        <v>39</v>
      </c>
      <c r="J31" s="15" t="s">
        <v>40</v>
      </c>
      <c r="K31" s="15" t="s">
        <v>41</v>
      </c>
      <c r="L31" s="15" t="s">
        <v>42</v>
      </c>
      <c r="M31" s="15" t="s">
        <v>43</v>
      </c>
      <c r="N31" s="15" t="s">
        <v>44</v>
      </c>
      <c r="O31" s="15" t="s">
        <v>45</v>
      </c>
      <c r="P31" s="15" t="s">
        <v>46</v>
      </c>
      <c r="Q31" s="15" t="s">
        <v>47</v>
      </c>
      <c r="R31" s="16" t="s">
        <v>48</v>
      </c>
      <c r="T31" s="31"/>
      <c r="U31" s="31"/>
      <c r="V31" s="31"/>
      <c r="W31" s="31"/>
      <c r="X31" s="31"/>
      <c r="Y31" s="31"/>
      <c r="Z31" s="31"/>
    </row>
    <row r="32" spans="1:26" x14ac:dyDescent="0.25">
      <c r="A32" s="1" t="s">
        <v>26</v>
      </c>
      <c r="B32" s="33">
        <v>19.269400000000001</v>
      </c>
      <c r="C32" s="33">
        <v>16.212</v>
      </c>
      <c r="D32" s="1"/>
      <c r="E32" s="1"/>
      <c r="G32">
        <f>B31/$B$39/$B$40</f>
        <v>2.1071800296631609</v>
      </c>
      <c r="H32">
        <f>C31/$B$39/$B$40</f>
        <v>2.8350922655412045</v>
      </c>
      <c r="I32">
        <f>B32/$B$39/$B$40</f>
        <v>7.2849444468829168</v>
      </c>
      <c r="J32">
        <f>C32/$B$39/$B$40</f>
        <v>6.1290709297054313</v>
      </c>
      <c r="K32">
        <f>B33/$B$39/$B$40</f>
        <v>4.0246507210259157</v>
      </c>
      <c r="L32">
        <f>C33/$B$39/$B$40</f>
        <v>0.21292207917654202</v>
      </c>
      <c r="M32">
        <f>EXP(-$E$31*G32)</f>
        <v>0.43047242445194145</v>
      </c>
      <c r="N32">
        <f t="shared" ref="N32:R32" si="2">EXP(-$E$31*H32)</f>
        <v>0.32173183009668638</v>
      </c>
      <c r="O32">
        <f t="shared" si="2"/>
        <v>5.425946787469077E-2</v>
      </c>
      <c r="P32">
        <f t="shared" si="2"/>
        <v>8.6153182795249569E-2</v>
      </c>
      <c r="Q32">
        <f t="shared" si="2"/>
        <v>0.19991554264238187</v>
      </c>
      <c r="R32">
        <f t="shared" si="2"/>
        <v>0.91835722352796123</v>
      </c>
      <c r="T32" s="5"/>
      <c r="U32" s="5"/>
      <c r="V32" s="5"/>
      <c r="W32" s="5"/>
      <c r="X32" s="5"/>
      <c r="Y32" s="5"/>
      <c r="Z32" s="5"/>
    </row>
    <row r="33" spans="1:30" ht="15.75" thickBot="1" x14ac:dyDescent="0.3">
      <c r="A33" s="3" t="s">
        <v>27</v>
      </c>
      <c r="B33" s="34">
        <v>10.6456</v>
      </c>
      <c r="C33" s="34">
        <v>0.56320000000000003</v>
      </c>
      <c r="D33" s="12"/>
      <c r="E33" s="12"/>
      <c r="T33" s="5"/>
      <c r="U33" s="5"/>
      <c r="V33" s="5"/>
      <c r="W33" s="5"/>
      <c r="X33" s="5"/>
      <c r="Y33" s="5"/>
      <c r="Z33" s="5"/>
    </row>
    <row r="34" spans="1:30" ht="15.75" thickBot="1" x14ac:dyDescent="0.3">
      <c r="J34" s="5">
        <f>(J37+J42)/2</f>
        <v>0.21270991102012352</v>
      </c>
      <c r="K34" s="5">
        <f>(K37+K42)/2</f>
        <v>2.0341613660417555E-3</v>
      </c>
      <c r="L34" s="5"/>
      <c r="M34" s="5">
        <f t="shared" ref="M34:N34" si="3">(M37+M42)/2</f>
        <v>3.6619542248029574E-2</v>
      </c>
      <c r="N34" s="5">
        <f t="shared" si="3"/>
        <v>0.71117487761333509</v>
      </c>
      <c r="T34" s="5"/>
      <c r="U34" s="5"/>
      <c r="V34" s="5"/>
      <c r="W34" s="5"/>
      <c r="X34" s="5"/>
      <c r="Y34" s="5"/>
      <c r="Z34" s="5"/>
    </row>
    <row r="35" spans="1:30" ht="29.25" thickBot="1" x14ac:dyDescent="0.3">
      <c r="A35" s="107" t="s">
        <v>28</v>
      </c>
      <c r="B35" s="13" t="s">
        <v>32</v>
      </c>
      <c r="C35" s="13" t="s">
        <v>33</v>
      </c>
      <c r="D35" s="107" t="s">
        <v>29</v>
      </c>
      <c r="E35" s="107" t="s">
        <v>30</v>
      </c>
    </row>
    <row r="36" spans="1:30" ht="28.5" customHeight="1" thickBot="1" x14ac:dyDescent="0.3">
      <c r="A36" s="108"/>
      <c r="B36" s="109" t="s">
        <v>31</v>
      </c>
      <c r="C36" s="109"/>
      <c r="D36" s="108"/>
      <c r="E36" s="108"/>
      <c r="I36" s="17" t="s">
        <v>49</v>
      </c>
      <c r="J36" s="18" t="s">
        <v>50</v>
      </c>
      <c r="K36" s="19" t="s">
        <v>51</v>
      </c>
      <c r="L36" s="20"/>
      <c r="M36" s="17" t="s">
        <v>52</v>
      </c>
      <c r="N36" s="18" t="s">
        <v>53</v>
      </c>
      <c r="O36" s="19" t="s">
        <v>54</v>
      </c>
      <c r="P36" s="21" t="s">
        <v>55</v>
      </c>
      <c r="Q36" s="22" t="s">
        <v>56</v>
      </c>
      <c r="R36" s="23" t="s">
        <v>57</v>
      </c>
      <c r="S36" s="21" t="s">
        <v>58</v>
      </c>
      <c r="T36" s="22" t="s">
        <v>59</v>
      </c>
      <c r="U36" s="23" t="s">
        <v>60</v>
      </c>
      <c r="V36" s="24" t="s">
        <v>61</v>
      </c>
      <c r="W36" s="25" t="s">
        <v>62</v>
      </c>
      <c r="X36" s="26" t="s">
        <v>63</v>
      </c>
      <c r="Y36" s="21" t="s">
        <v>64</v>
      </c>
      <c r="Z36" s="22" t="s">
        <v>65</v>
      </c>
      <c r="AA36" s="22" t="s">
        <v>66</v>
      </c>
      <c r="AB36" t="s">
        <v>79</v>
      </c>
      <c r="AC36" t="s">
        <v>80</v>
      </c>
      <c r="AD36" t="s">
        <v>81</v>
      </c>
    </row>
    <row r="37" spans="1:30" ht="15.75" thickBot="1" x14ac:dyDescent="0.3">
      <c r="I37" s="5">
        <f>1-J37-K37</f>
        <v>0.7852544693312542</v>
      </c>
      <c r="J37" s="98">
        <v>0.21271134697975583</v>
      </c>
      <c r="K37" s="98">
        <v>2.0341836889899672E-3</v>
      </c>
      <c r="L37" s="98"/>
      <c r="M37" s="98">
        <v>3.6619435191042701E-2</v>
      </c>
      <c r="N37" s="98">
        <v>0.71117007662211251</v>
      </c>
      <c r="O37" s="5">
        <f>1-M37-N37</f>
        <v>0.25221048818684477</v>
      </c>
      <c r="P37">
        <f>I37+N32*J37+P32*K37</f>
        <v>0.85386573167657909</v>
      </c>
      <c r="Q37">
        <f>M32*I37+J37+R32*K37</f>
        <v>0.55260984948927028</v>
      </c>
      <c r="R37">
        <f>O32*I37+Q32*J37+K37</f>
        <v>8.7165977698776376E-2</v>
      </c>
      <c r="S37">
        <f>J37*$H$32*$N$32+K37*$J$32*$P$32</f>
        <v>0.1950965335740675</v>
      </c>
      <c r="T37">
        <f>I37*$G$32*$M$32+K37*$L$32*$R$32</f>
        <v>0.71268865952393123</v>
      </c>
      <c r="U37">
        <f>I37*$I$32*$O$32+J37*$K$32*$Q$32</f>
        <v>0.48153866733109441</v>
      </c>
      <c r="V37">
        <f>S37/P37-I37*S37/P37^2+J37*$M$32/Q37*($G$32-T37/Q37)+K37*$O$32/R37*($I$32-U37/R37)</f>
        <v>0.15604752612284717</v>
      </c>
      <c r="W37">
        <f>T37/Q37-J37*T37/Q37^2+(I37*$N$32/P37)*($H$32-S37/P37)+(K37*$Q$32/R37)*($K$32-U37/R37)</f>
        <v>1.5574976320785971</v>
      </c>
      <c r="X37">
        <f>U37/R37-K37*U37/R37^2+I37*$P$32/P37*($J$32-S37/P37)+J37*$R$32/Q37*($L$32-T37/Q37)</f>
        <v>5.482343654519962</v>
      </c>
      <c r="Y37">
        <f>EXP(V37)</f>
        <v>1.1688817541876377</v>
      </c>
      <c r="Z37">
        <f t="shared" ref="Z37:AA37" si="4">EXP(W37)</f>
        <v>4.7469278105911101</v>
      </c>
      <c r="AA37">
        <f t="shared" si="4"/>
        <v>240.40948441396949</v>
      </c>
      <c r="AB37">
        <f>Y37/Y39</f>
        <v>4.6634117646223425E-2</v>
      </c>
      <c r="AC37">
        <f t="shared" ref="AC37:AD37" si="5">Z37/Z39</f>
        <v>3.3434026379055468</v>
      </c>
      <c r="AD37">
        <f t="shared" si="5"/>
        <v>123.98881435522709</v>
      </c>
    </row>
    <row r="38" spans="1:30" ht="18.75" thickBot="1" x14ac:dyDescent="0.3">
      <c r="P38" s="21" t="s">
        <v>67</v>
      </c>
      <c r="Q38" s="22" t="s">
        <v>68</v>
      </c>
      <c r="R38" s="23" t="s">
        <v>69</v>
      </c>
      <c r="S38" s="21" t="s">
        <v>70</v>
      </c>
      <c r="T38" s="22" t="s">
        <v>71</v>
      </c>
      <c r="U38" s="23" t="s">
        <v>72</v>
      </c>
      <c r="V38" s="24" t="s">
        <v>73</v>
      </c>
      <c r="W38" s="25" t="s">
        <v>74</v>
      </c>
      <c r="X38" s="26" t="s">
        <v>75</v>
      </c>
      <c r="Y38" s="21" t="s">
        <v>76</v>
      </c>
      <c r="Z38" s="22" t="s">
        <v>77</v>
      </c>
      <c r="AA38" s="22" t="s">
        <v>78</v>
      </c>
      <c r="AB38" t="s">
        <v>82</v>
      </c>
      <c r="AC38" t="s">
        <v>83</v>
      </c>
      <c r="AD38" t="s">
        <v>84</v>
      </c>
    </row>
    <row r="39" spans="1:30" x14ac:dyDescent="0.25">
      <c r="A39" s="38" t="s">
        <v>34</v>
      </c>
      <c r="B39">
        <f>8.314/1000</f>
        <v>8.3140000000000002E-3</v>
      </c>
      <c r="C39" t="s">
        <v>35</v>
      </c>
      <c r="P39">
        <f>M37+N32*N37+P32*O37</f>
        <v>0.28715422174431599</v>
      </c>
      <c r="Q39">
        <f>M32*M37+N37+R32*O37</f>
        <v>0.95855305734676388</v>
      </c>
      <c r="R39">
        <f>O32*M37+Q32*N37+O37</f>
        <v>0.39637139103311636</v>
      </c>
      <c r="S39">
        <f>N37*$H$32*$N$32+O37*$J$32*$P$32</f>
        <v>0.78186322935011598</v>
      </c>
      <c r="T39">
        <f>M37*$G$32*$M$32+O37*$L$32*$R$32</f>
        <v>8.2533731302120203E-2</v>
      </c>
      <c r="U39">
        <f>M37*$I$32*$O$32+N37*$K$32*$Q$32</f>
        <v>0.58667532568241998</v>
      </c>
      <c r="V39">
        <f>S39/P39-M37*S39/P39^2+N37*$M$32/Q39*($G$32-T39/Q39)+O37*$O$32/R39*($I$32-U39/R39)</f>
        <v>3.2214703935249336</v>
      </c>
      <c r="W39">
        <f>T39/Q39-N37*T39/Q39^2+(M37*$N$32/P39)*($H$32-S39/P39)+(O37*$Q$32/R39)*($K$32-U39/R39)</f>
        <v>0.35050858980359756</v>
      </c>
      <c r="X39">
        <f>U39/R39-O37*U39/R39^2+M37*$P$32/P39*($J$32-S39/P39)+N37*$R$32/Q39*($L$32-T39/Q39)</f>
        <v>0.66215229979648904</v>
      </c>
      <c r="Y39">
        <f>EXP(V39)</f>
        <v>25.064948436572326</v>
      </c>
      <c r="Z39">
        <f t="shared" ref="Z39" si="6">EXP(W39)</f>
        <v>1.419789455440758</v>
      </c>
      <c r="AA39">
        <f t="shared" ref="AA39" si="7">EXP(X39)</f>
        <v>1.9389610721270225</v>
      </c>
      <c r="AB39">
        <f>Y39/Y37</f>
        <v>21.443527839128809</v>
      </c>
      <c r="AC39">
        <f t="shared" ref="AC39:AD39" si="8">Z39/Z37</f>
        <v>0.2990964918979796</v>
      </c>
      <c r="AD39">
        <f t="shared" si="8"/>
        <v>8.0652436689571602E-3</v>
      </c>
    </row>
    <row r="40" spans="1:30" ht="15.75" thickBot="1" x14ac:dyDescent="0.3">
      <c r="A40" s="38" t="s">
        <v>24</v>
      </c>
      <c r="B40">
        <v>318.14999999999998</v>
      </c>
      <c r="C40" t="s">
        <v>36</v>
      </c>
    </row>
    <row r="41" spans="1:30" ht="15.75" thickBot="1" x14ac:dyDescent="0.3">
      <c r="H41" s="27" t="s">
        <v>85</v>
      </c>
      <c r="I41" s="17" t="s">
        <v>49</v>
      </c>
      <c r="J41" s="18" t="s">
        <v>50</v>
      </c>
      <c r="K41" s="19" t="s">
        <v>51</v>
      </c>
      <c r="L41" s="20"/>
      <c r="M41" s="17" t="s">
        <v>52</v>
      </c>
      <c r="N41" s="18" t="s">
        <v>53</v>
      </c>
      <c r="O41" s="19" t="s">
        <v>54</v>
      </c>
      <c r="P41" s="27" t="s">
        <v>85</v>
      </c>
    </row>
    <row r="42" spans="1:30" ht="15.75" thickBot="1" x14ac:dyDescent="0.3">
      <c r="H42" s="29">
        <f>SUM(I42:K42)</f>
        <v>0.99999249207588214</v>
      </c>
      <c r="I42" s="5">
        <f>M37*AB39</f>
        <v>0.78524987797229739</v>
      </c>
      <c r="J42" s="5">
        <f t="shared" ref="J42:K42" si="9">N37*AC39</f>
        <v>0.2127084750604912</v>
      </c>
      <c r="K42" s="5">
        <f t="shared" si="9"/>
        <v>2.0341390430935443E-3</v>
      </c>
      <c r="L42" s="5"/>
      <c r="M42" s="5">
        <f>I37*AB37</f>
        <v>3.6619649305016454E-2</v>
      </c>
      <c r="N42" s="5">
        <f t="shared" ref="N42" si="10">J37*AC37</f>
        <v>0.71117967860455766</v>
      </c>
      <c r="O42" s="5">
        <f>K37*AD37</f>
        <v>0.25221602377860808</v>
      </c>
      <c r="P42" s="29">
        <f>SUM(M42:O42)</f>
        <v>1.0000153516881822</v>
      </c>
    </row>
    <row r="43" spans="1:30" ht="15.75" thickBot="1" x14ac:dyDescent="0.3">
      <c r="A43" s="101" t="s">
        <v>92</v>
      </c>
      <c r="B43" s="102"/>
      <c r="C43" s="103"/>
      <c r="D43" s="101" t="s">
        <v>93</v>
      </c>
      <c r="E43" s="102"/>
      <c r="F43" s="103"/>
    </row>
    <row r="44" spans="1:30" ht="15.75" thickBot="1" x14ac:dyDescent="0.3">
      <c r="A44" s="47" t="s">
        <v>11</v>
      </c>
      <c r="B44" s="91" t="s">
        <v>12</v>
      </c>
      <c r="C44" s="48" t="s">
        <v>22</v>
      </c>
      <c r="D44" s="47" t="s">
        <v>11</v>
      </c>
      <c r="E44" s="91" t="s">
        <v>12</v>
      </c>
      <c r="F44" s="48" t="s">
        <v>22</v>
      </c>
    </row>
    <row r="45" spans="1:30" x14ac:dyDescent="0.25">
      <c r="A45" s="92">
        <v>0.98550000000000004</v>
      </c>
      <c r="B45" s="93">
        <v>1.26E-2</v>
      </c>
      <c r="C45" s="53">
        <f>1-B45-A45</f>
        <v>1.9000000000000128E-3</v>
      </c>
      <c r="D45" s="92">
        <v>9.2999999999999992E-3</v>
      </c>
      <c r="E45" s="93">
        <v>3.8600000000000002E-2</v>
      </c>
      <c r="F45" s="53">
        <f>1-E45-D45</f>
        <v>0.95210000000000006</v>
      </c>
    </row>
    <row r="46" spans="1:30" x14ac:dyDescent="0.25">
      <c r="A46" s="94">
        <v>0.96330000000000005</v>
      </c>
      <c r="B46" s="39">
        <v>3.4799999999999998E-2</v>
      </c>
      <c r="C46" s="67">
        <f t="shared" ref="C46:C50" si="11">1-B46-A46</f>
        <v>1.9000000000000128E-3</v>
      </c>
      <c r="D46" s="94">
        <v>1.6799999999999999E-2</v>
      </c>
      <c r="E46" s="39">
        <v>0.10630000000000001</v>
      </c>
      <c r="F46" s="67">
        <f t="shared" ref="F46:F50" si="12">1-E46-D46</f>
        <v>0.8768999999999999</v>
      </c>
    </row>
    <row r="47" spans="1:30" x14ac:dyDescent="0.25">
      <c r="A47" s="94">
        <v>0.93489999999999995</v>
      </c>
      <c r="B47" s="39">
        <v>6.1800000000000001E-2</v>
      </c>
      <c r="C47" s="67">
        <f t="shared" si="11"/>
        <v>3.3000000000000806E-3</v>
      </c>
      <c r="D47" s="94">
        <v>2.98E-2</v>
      </c>
      <c r="E47" s="39">
        <v>0.1484</v>
      </c>
      <c r="F47" s="67">
        <f t="shared" si="12"/>
        <v>0.82179999999999997</v>
      </c>
    </row>
    <row r="48" spans="1:30" x14ac:dyDescent="0.25">
      <c r="A48" s="94">
        <v>0.88260000000000005</v>
      </c>
      <c r="B48" s="39">
        <v>0.11</v>
      </c>
      <c r="C48" s="67">
        <f t="shared" si="11"/>
        <v>7.3999999999999622E-3</v>
      </c>
      <c r="D48" s="94">
        <v>6.1499999999999999E-2</v>
      </c>
      <c r="E48" s="39">
        <v>0.2089</v>
      </c>
      <c r="F48" s="67">
        <f t="shared" si="12"/>
        <v>0.72960000000000003</v>
      </c>
    </row>
    <row r="49" spans="1:6" x14ac:dyDescent="0.25">
      <c r="A49" s="94">
        <v>0.76559999999999995</v>
      </c>
      <c r="B49" s="39">
        <v>0.18060000000000001</v>
      </c>
      <c r="C49" s="67">
        <f t="shared" si="11"/>
        <v>5.380000000000007E-2</v>
      </c>
      <c r="D49" s="94">
        <v>0.1278</v>
      </c>
      <c r="E49" s="39">
        <v>0.27829999999999999</v>
      </c>
      <c r="F49" s="67">
        <f t="shared" si="12"/>
        <v>0.59389999999999998</v>
      </c>
    </row>
    <row r="50" spans="1:6" ht="15.75" thickBot="1" x14ac:dyDescent="0.3">
      <c r="A50" s="95">
        <v>0.65400000000000003</v>
      </c>
      <c r="B50" s="96">
        <v>0.253</v>
      </c>
      <c r="C50" s="46">
        <f t="shared" si="11"/>
        <v>9.2999999999999972E-2</v>
      </c>
      <c r="D50" s="95">
        <v>0.20530000000000001</v>
      </c>
      <c r="E50" s="96">
        <v>0.34260000000000002</v>
      </c>
      <c r="F50" s="46">
        <f t="shared" si="12"/>
        <v>0.45209999999999995</v>
      </c>
    </row>
  </sheetData>
  <autoFilter ref="T3:Z3">
    <sortState ref="T4:Z27">
      <sortCondition ref="U3"/>
    </sortState>
  </autoFilter>
  <mergeCells count="8">
    <mergeCell ref="D43:F43"/>
    <mergeCell ref="A43:C43"/>
    <mergeCell ref="A19:B19"/>
    <mergeCell ref="A30:E30"/>
    <mergeCell ref="A35:A36"/>
    <mergeCell ref="D35:D36"/>
    <mergeCell ref="E35:E36"/>
    <mergeCell ref="B36:C3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NRTL">
                <anchor moveWithCells="1" sizeWithCells="1">
                  <from>
                    <xdr:col>6</xdr:col>
                    <xdr:colOff>28575</xdr:colOff>
                    <xdr:row>38</xdr:row>
                    <xdr:rowOff>9525</xdr:rowOff>
                  </from>
                  <to>
                    <xdr:col>7</xdr:col>
                    <xdr:colOff>590550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"/>
  <dimension ref="A1:T56"/>
  <sheetViews>
    <sheetView topLeftCell="A16" workbookViewId="0">
      <selection activeCell="K33" sqref="K33"/>
    </sheetView>
  </sheetViews>
  <sheetFormatPr defaultRowHeight="15" x14ac:dyDescent="0.25"/>
  <cols>
    <col min="17" max="17" width="12" bestFit="1" customWidth="1"/>
  </cols>
  <sheetData>
    <row r="1" spans="1:20" ht="15.75" thickBot="1" x14ac:dyDescent="0.3"/>
    <row r="2" spans="1:20" ht="19.5" thickBot="1" x14ac:dyDescent="0.4">
      <c r="B2" s="41" t="s">
        <v>0</v>
      </c>
      <c r="C2" s="42" t="s">
        <v>1</v>
      </c>
      <c r="D2" s="43" t="s">
        <v>23</v>
      </c>
      <c r="F2" s="37" t="s">
        <v>90</v>
      </c>
      <c r="H2" t="s">
        <v>88</v>
      </c>
    </row>
    <row r="3" spans="1:20" ht="15.75" thickBot="1" x14ac:dyDescent="0.3">
      <c r="A3" s="40" t="s">
        <v>3</v>
      </c>
      <c r="B3">
        <v>88.15</v>
      </c>
      <c r="C3">
        <v>32.042000000000002</v>
      </c>
      <c r="D3">
        <v>236.29</v>
      </c>
      <c r="H3" t="s">
        <v>89</v>
      </c>
    </row>
    <row r="6" spans="1:20" ht="15.75" thickBot="1" x14ac:dyDescent="0.3"/>
    <row r="7" spans="1:20" ht="15.75" thickBot="1" x14ac:dyDescent="0.3">
      <c r="A7" s="110" t="s">
        <v>4</v>
      </c>
      <c r="B7" s="111"/>
      <c r="C7" s="110" t="s">
        <v>5</v>
      </c>
      <c r="D7" s="111"/>
      <c r="E7" s="110" t="s">
        <v>6</v>
      </c>
      <c r="F7" s="111"/>
      <c r="G7" s="41" t="s">
        <v>7</v>
      </c>
      <c r="H7" s="43" t="s">
        <v>8</v>
      </c>
      <c r="L7" s="104" t="s">
        <v>4</v>
      </c>
      <c r="M7" s="105"/>
      <c r="N7" s="54"/>
      <c r="O7" s="55" t="s">
        <v>5</v>
      </c>
      <c r="P7" s="55"/>
      <c r="Q7" s="54"/>
      <c r="R7" s="55" t="s">
        <v>6</v>
      </c>
      <c r="S7" s="55"/>
      <c r="T7" s="56"/>
    </row>
    <row r="8" spans="1:20" ht="15.75" thickBot="1" x14ac:dyDescent="0.3">
      <c r="A8" s="49" t="s">
        <v>9</v>
      </c>
      <c r="B8" s="50" t="s">
        <v>10</v>
      </c>
      <c r="C8" s="50" t="s">
        <v>11</v>
      </c>
      <c r="D8" s="50" t="s">
        <v>12</v>
      </c>
      <c r="E8" s="50" t="s">
        <v>11</v>
      </c>
      <c r="F8" s="51" t="s">
        <v>12</v>
      </c>
      <c r="G8" s="50"/>
      <c r="H8" s="51"/>
      <c r="I8" s="40" t="s">
        <v>13</v>
      </c>
      <c r="J8">
        <f>278.18-273.15</f>
        <v>5.0300000000000296</v>
      </c>
      <c r="L8" s="41" t="s">
        <v>16</v>
      </c>
      <c r="M8" s="40" t="s">
        <v>17</v>
      </c>
      <c r="N8" s="40" t="s">
        <v>18</v>
      </c>
      <c r="O8" s="40" t="s">
        <v>19</v>
      </c>
      <c r="P8" s="40" t="s">
        <v>20</v>
      </c>
      <c r="Q8" s="40" t="s">
        <v>21</v>
      </c>
      <c r="R8" s="40" t="s">
        <v>19</v>
      </c>
      <c r="S8" s="40" t="s">
        <v>20</v>
      </c>
      <c r="T8" s="40" t="s">
        <v>21</v>
      </c>
    </row>
    <row r="9" spans="1:20" x14ac:dyDescent="0.25">
      <c r="A9" s="39">
        <v>0.71850000000000003</v>
      </c>
      <c r="B9" s="39">
        <v>1.8800000000000001E-2</v>
      </c>
      <c r="C9" s="39">
        <v>0.9758</v>
      </c>
      <c r="D9" s="39">
        <v>2.4E-2</v>
      </c>
      <c r="E9" s="39">
        <v>1.06E-2</v>
      </c>
      <c r="F9" s="39">
        <v>4.3499999999999997E-2</v>
      </c>
      <c r="G9" s="39">
        <v>1.8108</v>
      </c>
      <c r="H9" s="39">
        <v>166.535</v>
      </c>
      <c r="L9" s="57">
        <f>(A9/$B$3)/(A9/$B$3+B9/$C$3+A34/$D$3)</f>
        <v>0.82755263729293005</v>
      </c>
      <c r="M9" s="58">
        <f>(B9/$C$3)/(A9/$B$3+B9/$C$3+A34/$D$3)</f>
        <v>5.9570247486785875E-2</v>
      </c>
      <c r="N9" s="59">
        <f>(A34/$D$3)/(A9/$B$3+B9/$C$3+A34/$D$3)</f>
        <v>0.1128771152202841</v>
      </c>
      <c r="O9" s="57">
        <f>(C9/$B$3)/(C9/$B$3+D9/$C$3+D34/$D$3)</f>
        <v>0.93655780395088783</v>
      </c>
      <c r="P9" s="52">
        <f>(D9/$C$3)/(C9/$B$3+D9/$C$3+D34/$D$3)</f>
        <v>6.3370584883424813E-2</v>
      </c>
      <c r="Q9" s="53">
        <f>(D34/$D$3)/(C9/$B$3+D9/$C$3+D34/$D$3)</f>
        <v>7.1611165687456298E-5</v>
      </c>
      <c r="R9" s="71">
        <f>(E9/$B$3)/(E9/$B$3+F9/$C$3+F34/$D$3)</f>
        <v>2.1939451654336792E-2</v>
      </c>
      <c r="S9" s="52">
        <f>(F9/$C$3)/(E9/$B$3+F9/$C$3+F34/$D$3)</f>
        <v>0.24769193221292626</v>
      </c>
      <c r="T9" s="53">
        <f>(F34/$D$3)/(E9/$B$3+F9/$C$3+F34/$D$3)</f>
        <v>0.73036861613273696</v>
      </c>
    </row>
    <row r="10" spans="1:20" x14ac:dyDescent="0.25">
      <c r="A10" s="1">
        <v>0.69889999999999997</v>
      </c>
      <c r="B10" s="1">
        <v>4.7300000000000002E-2</v>
      </c>
      <c r="C10" s="1">
        <v>0.95489999999999997</v>
      </c>
      <c r="D10" s="1">
        <v>4.4900000000000002E-2</v>
      </c>
      <c r="E10" s="1">
        <v>0.02</v>
      </c>
      <c r="F10" s="1">
        <v>8.0600000000000005E-2</v>
      </c>
      <c r="G10" s="1">
        <v>1.7952999999999999</v>
      </c>
      <c r="H10" s="1">
        <v>85.863100000000003</v>
      </c>
      <c r="L10" s="60">
        <f t="shared" ref="L10:L29" si="0">(A10/$B$3)/(A10/$B$3+B10/$C$3+A35/$D$3)</f>
        <v>0.75662423762888964</v>
      </c>
      <c r="M10" s="61">
        <f t="shared" ref="M10:M29" si="1">(B10/$C$3)/(A10/$B$3+B10/$C$3+A35/$D$3)</f>
        <v>0.14087341740380774</v>
      </c>
      <c r="N10" s="62">
        <f t="shared" ref="N10:N29" si="2">(A35/$D$3)/(A10/$B$3+B10/$C$3+A35/$D$3)</f>
        <v>0.10250234496730268</v>
      </c>
      <c r="O10" s="60">
        <f t="shared" ref="O10:O29" si="3">(C10/$B$3)/(C10/$B$3+D10/$C$3+D35/$D$3)</f>
        <v>0.88539806184031145</v>
      </c>
      <c r="P10" s="66">
        <f t="shared" ref="P10:P29" si="4">(D10/$C$3)/(C10/$B$3+D10/$C$3+D35/$D$3)</f>
        <v>0.11453275703093915</v>
      </c>
      <c r="Q10" s="67">
        <f t="shared" ref="Q10:Q29" si="5">(D35/$D$3)/(C10/$B$3+D10/$C$3+D35/$D$3)</f>
        <v>6.9181128749360403E-5</v>
      </c>
      <c r="R10" s="72">
        <f t="shared" ref="R10:R29" si="6">(E10/$B$3)/(E10/$B$3+F10/$C$3+F35/$D$3)</f>
        <v>3.4646095568444633E-2</v>
      </c>
      <c r="S10" s="66">
        <f t="shared" ref="S10:S29" si="7">(F10/$C$3)/(E10/$B$3+F10/$C$3+F35/$D$3)</f>
        <v>0.3841156886949732</v>
      </c>
      <c r="T10" s="67">
        <f t="shared" ref="T10:T29" si="8">(F35/$D$3)/(E10/$B$3+F10/$C$3+F35/$D$3)</f>
        <v>0.58123821573658219</v>
      </c>
    </row>
    <row r="11" spans="1:20" x14ac:dyDescent="0.25">
      <c r="A11" s="1">
        <v>0.68430000000000002</v>
      </c>
      <c r="B11" s="1">
        <v>6.7100000000000007E-2</v>
      </c>
      <c r="C11" s="1">
        <v>0.93820000000000003</v>
      </c>
      <c r="D11" s="1">
        <v>6.13E-2</v>
      </c>
      <c r="E11" s="1">
        <v>2.92E-2</v>
      </c>
      <c r="F11" s="1">
        <v>0.1085</v>
      </c>
      <c r="G11" s="1">
        <v>1.7690999999999999</v>
      </c>
      <c r="H11" s="1">
        <v>56.86</v>
      </c>
      <c r="L11" s="60">
        <f t="shared" si="0"/>
        <v>0.71159715294558434</v>
      </c>
      <c r="M11" s="61">
        <f t="shared" si="1"/>
        <v>0.19196094646351905</v>
      </c>
      <c r="N11" s="62">
        <f t="shared" si="2"/>
        <v>9.6441900590896662E-2</v>
      </c>
      <c r="O11" s="60">
        <f t="shared" si="3"/>
        <v>0.84749473083107907</v>
      </c>
      <c r="P11" s="66">
        <f t="shared" si="4"/>
        <v>0.1523367735718873</v>
      </c>
      <c r="Q11" s="67">
        <f t="shared" si="5"/>
        <v>1.6849559703366131E-4</v>
      </c>
      <c r="R11" s="72">
        <f t="shared" si="6"/>
        <v>4.4965954142581512E-2</v>
      </c>
      <c r="S11" s="66">
        <f t="shared" si="7"/>
        <v>0.45965649436253492</v>
      </c>
      <c r="T11" s="67">
        <f t="shared" si="8"/>
        <v>0.49537755149488355</v>
      </c>
    </row>
    <row r="12" spans="1:20" x14ac:dyDescent="0.25">
      <c r="A12" s="1">
        <v>0.6512</v>
      </c>
      <c r="B12" s="1">
        <v>0.1106</v>
      </c>
      <c r="C12" s="1">
        <v>0.89149999999999996</v>
      </c>
      <c r="D12" s="1">
        <v>0.1052</v>
      </c>
      <c r="E12" s="1">
        <v>4.36E-2</v>
      </c>
      <c r="F12" s="1">
        <v>0.18090000000000001</v>
      </c>
      <c r="G12" s="1">
        <v>1.7201</v>
      </c>
      <c r="H12" s="1">
        <v>35.208100000000002</v>
      </c>
      <c r="L12" s="60">
        <f t="shared" si="0"/>
        <v>0.62355671676842606</v>
      </c>
      <c r="M12" s="61">
        <f t="shared" si="1"/>
        <v>0.29135293494620379</v>
      </c>
      <c r="N12" s="62">
        <f t="shared" si="2"/>
        <v>8.5090348285370043E-2</v>
      </c>
      <c r="O12" s="60">
        <f t="shared" si="3"/>
        <v>0.75413801201333774</v>
      </c>
      <c r="P12" s="66">
        <f t="shared" si="4"/>
        <v>0.24482058121220968</v>
      </c>
      <c r="Q12" s="67">
        <f t="shared" si="5"/>
        <v>1.0414067744526432E-3</v>
      </c>
      <c r="R12" s="72">
        <f t="shared" si="6"/>
        <v>5.2493648969401181E-2</v>
      </c>
      <c r="S12" s="66">
        <f t="shared" si="7"/>
        <v>0.59918583911259538</v>
      </c>
      <c r="T12" s="67">
        <f t="shared" si="8"/>
        <v>0.34832051191800356</v>
      </c>
    </row>
    <row r="13" spans="1:20" x14ac:dyDescent="0.25">
      <c r="A13" s="1">
        <v>0.58379999999999999</v>
      </c>
      <c r="B13" s="1">
        <v>0.14879999999999999</v>
      </c>
      <c r="C13" s="1">
        <v>0.84619999999999995</v>
      </c>
      <c r="D13" s="1">
        <v>0.14560000000000001</v>
      </c>
      <c r="E13" s="1">
        <v>5.1900000000000002E-2</v>
      </c>
      <c r="F13" s="1">
        <v>0.21210000000000001</v>
      </c>
      <c r="G13" s="1">
        <v>1.4562999999999999</v>
      </c>
      <c r="H13" s="1">
        <v>23.724499999999999</v>
      </c>
      <c r="L13" s="60">
        <f t="shared" si="0"/>
        <v>0.5341672781527802</v>
      </c>
      <c r="M13" s="61">
        <f t="shared" si="1"/>
        <v>0.37455777951361618</v>
      </c>
      <c r="N13" s="62">
        <f t="shared" si="2"/>
        <v>9.127494233360367E-2</v>
      </c>
      <c r="O13" s="60">
        <f t="shared" si="3"/>
        <v>0.67705974488332532</v>
      </c>
      <c r="P13" s="66">
        <f t="shared" si="4"/>
        <v>0.32049263057572125</v>
      </c>
      <c r="Q13" s="67">
        <f t="shared" si="5"/>
        <v>2.4476245409533531E-3</v>
      </c>
      <c r="R13" s="72">
        <f t="shared" si="6"/>
        <v>5.7034568482870709E-2</v>
      </c>
      <c r="S13" s="66">
        <f t="shared" si="7"/>
        <v>0.64123049998284276</v>
      </c>
      <c r="T13" s="67">
        <f t="shared" si="8"/>
        <v>0.30173493153428665</v>
      </c>
    </row>
    <row r="14" spans="1:20" x14ac:dyDescent="0.25">
      <c r="A14" s="1">
        <v>0.51759999999999995</v>
      </c>
      <c r="B14" s="1">
        <v>0.21540000000000001</v>
      </c>
      <c r="C14" s="1">
        <v>0.79</v>
      </c>
      <c r="D14" s="1">
        <v>0.19769999999999999</v>
      </c>
      <c r="E14" s="1">
        <v>8.5699999999999998E-2</v>
      </c>
      <c r="F14" s="1">
        <v>0.27160000000000001</v>
      </c>
      <c r="G14" s="1">
        <v>1.3738999999999999</v>
      </c>
      <c r="H14" s="1">
        <v>12.668699999999999</v>
      </c>
      <c r="L14" s="60">
        <f t="shared" si="0"/>
        <v>0.42784336113738819</v>
      </c>
      <c r="M14" s="61">
        <f t="shared" si="1"/>
        <v>0.48982272410318939</v>
      </c>
      <c r="N14" s="62">
        <f t="shared" si="2"/>
        <v>8.2333914759422394E-2</v>
      </c>
      <c r="O14" s="60">
        <f t="shared" si="3"/>
        <v>0.59022329368971138</v>
      </c>
      <c r="P14" s="66">
        <f t="shared" si="4"/>
        <v>0.40634846534771574</v>
      </c>
      <c r="Q14" s="67">
        <f t="shared" si="5"/>
        <v>3.4282409625728092E-3</v>
      </c>
      <c r="R14" s="72">
        <f t="shared" si="6"/>
        <v>7.9895052989749693E-2</v>
      </c>
      <c r="S14" s="66">
        <f t="shared" si="7"/>
        <v>0.69658085393471392</v>
      </c>
      <c r="T14" s="67">
        <f t="shared" si="8"/>
        <v>0.22352409307553639</v>
      </c>
    </row>
    <row r="15" spans="1:20" x14ac:dyDescent="0.25">
      <c r="A15" s="1">
        <v>0.46060000000000001</v>
      </c>
      <c r="B15" s="1">
        <v>0.29260000000000003</v>
      </c>
      <c r="C15" s="1">
        <v>0.68320000000000003</v>
      </c>
      <c r="D15" s="1">
        <v>0.26919999999999999</v>
      </c>
      <c r="E15" s="1">
        <v>0.13850000000000001</v>
      </c>
      <c r="F15" s="1">
        <v>0.33389999999999997</v>
      </c>
      <c r="G15" s="1">
        <v>1.2403999999999999</v>
      </c>
      <c r="H15" s="1">
        <v>6.1184000000000003</v>
      </c>
      <c r="L15" s="60">
        <f t="shared" si="0"/>
        <v>0.33926622229483422</v>
      </c>
      <c r="M15" s="61">
        <f t="shared" si="1"/>
        <v>0.59291673945760914</v>
      </c>
      <c r="N15" s="62">
        <f t="shared" si="2"/>
        <v>6.7817038247556624E-2</v>
      </c>
      <c r="O15" s="60">
        <f t="shared" si="3"/>
        <v>0.47393514950752674</v>
      </c>
      <c r="P15" s="66">
        <f t="shared" si="4"/>
        <v>0.51374643101948425</v>
      </c>
      <c r="Q15" s="67">
        <f t="shared" si="5"/>
        <v>1.231841947298894E-2</v>
      </c>
      <c r="R15" s="72">
        <f t="shared" si="6"/>
        <v>0.11045448120637484</v>
      </c>
      <c r="S15" s="66">
        <f t="shared" si="7"/>
        <v>0.73257599961295705</v>
      </c>
      <c r="T15" s="67">
        <f t="shared" si="8"/>
        <v>0.15696951918066807</v>
      </c>
    </row>
    <row r="16" spans="1:20" ht="15.75" thickBot="1" x14ac:dyDescent="0.3">
      <c r="A16" s="3">
        <v>0.41360000000000002</v>
      </c>
      <c r="B16" s="3">
        <v>0.34</v>
      </c>
      <c r="C16" s="3">
        <v>0.5655</v>
      </c>
      <c r="D16" s="3">
        <v>0.32169999999999999</v>
      </c>
      <c r="E16" s="3">
        <v>0.21329999999999999</v>
      </c>
      <c r="F16" s="3">
        <v>0.37759999999999999</v>
      </c>
      <c r="G16" s="3">
        <v>1.1736</v>
      </c>
      <c r="H16" s="3">
        <v>3.1120000000000001</v>
      </c>
      <c r="L16" s="60">
        <f t="shared" si="0"/>
        <v>0.28704527002528873</v>
      </c>
      <c r="M16" s="61">
        <f t="shared" si="1"/>
        <v>0.64915959764305431</v>
      </c>
      <c r="N16" s="62">
        <f t="shared" si="2"/>
        <v>6.3795132331656804E-2</v>
      </c>
      <c r="O16" s="60">
        <f t="shared" si="3"/>
        <v>0.3788684832913034</v>
      </c>
      <c r="P16" s="66">
        <f t="shared" si="4"/>
        <v>0.59293847433359892</v>
      </c>
      <c r="Q16" s="67">
        <f t="shared" si="5"/>
        <v>2.8193042375097628E-2</v>
      </c>
      <c r="R16" s="72">
        <f t="shared" si="6"/>
        <v>0.15184468754529271</v>
      </c>
      <c r="S16" s="66">
        <f t="shared" si="7"/>
        <v>0.73950894745530271</v>
      </c>
      <c r="T16" s="67">
        <f t="shared" si="8"/>
        <v>0.10864636499940447</v>
      </c>
    </row>
    <row r="17" spans="1:20" ht="15.75" thickBot="1" x14ac:dyDescent="0.3">
      <c r="A17" s="2">
        <v>0.71960000000000002</v>
      </c>
      <c r="B17" s="2">
        <v>1.8200000000000001E-2</v>
      </c>
      <c r="C17" s="2">
        <v>0.9708</v>
      </c>
      <c r="D17" s="2">
        <v>1.8499999999999999E-2</v>
      </c>
      <c r="E17" s="2">
        <v>9.4999999999999998E-3</v>
      </c>
      <c r="F17" s="2">
        <v>2.93E-2</v>
      </c>
      <c r="G17" s="2">
        <v>1.5853999999999999</v>
      </c>
      <c r="H17" s="2">
        <v>162.55179999999999</v>
      </c>
      <c r="I17" s="40" t="s">
        <v>14</v>
      </c>
      <c r="J17">
        <f>298.15-273.15</f>
        <v>25</v>
      </c>
      <c r="L17" s="82">
        <f t="shared" si="0"/>
        <v>0.82952391090260347</v>
      </c>
      <c r="M17" s="83">
        <f t="shared" si="1"/>
        <v>5.7718075625136374E-2</v>
      </c>
      <c r="N17" s="83">
        <f t="shared" si="2"/>
        <v>0.11275801347226017</v>
      </c>
      <c r="O17" s="82">
        <f t="shared" si="3"/>
        <v>0.94648790087954571</v>
      </c>
      <c r="P17" s="84">
        <f t="shared" si="4"/>
        <v>4.9620339111365944E-2</v>
      </c>
      <c r="Q17" s="85">
        <f t="shared" si="5"/>
        <v>3.8917600090883184E-3</v>
      </c>
      <c r="R17" s="84">
        <f t="shared" si="6"/>
        <v>2.1172728150486229E-2</v>
      </c>
      <c r="S17" s="84">
        <f t="shared" si="7"/>
        <v>0.17964847586041699</v>
      </c>
      <c r="T17" s="85">
        <f t="shared" si="8"/>
        <v>0.79917879598909691</v>
      </c>
    </row>
    <row r="18" spans="1:20" x14ac:dyDescent="0.25">
      <c r="A18" s="1">
        <v>0.69810000000000005</v>
      </c>
      <c r="B18" s="1">
        <v>4.7699999999999999E-2</v>
      </c>
      <c r="C18" s="1">
        <v>0.95230000000000004</v>
      </c>
      <c r="D18" s="1">
        <v>4.3700000000000003E-2</v>
      </c>
      <c r="E18" s="1">
        <v>1.8800000000000001E-2</v>
      </c>
      <c r="F18" s="1">
        <v>7.6600000000000001E-2</v>
      </c>
      <c r="G18" s="1">
        <v>1.7511000000000001</v>
      </c>
      <c r="H18" s="1">
        <v>88.575999999999993</v>
      </c>
      <c r="L18" s="74">
        <f t="shared" si="0"/>
        <v>0.75539044493472773</v>
      </c>
      <c r="M18" s="81">
        <f t="shared" si="1"/>
        <v>0.14199561356282842</v>
      </c>
      <c r="N18" s="81">
        <f t="shared" si="2"/>
        <v>0.10261394150244378</v>
      </c>
      <c r="O18" s="74">
        <f t="shared" si="3"/>
        <v>0.88667349404584606</v>
      </c>
      <c r="P18" s="75">
        <f t="shared" si="4"/>
        <v>0.11193710719293498</v>
      </c>
      <c r="Q18" s="76">
        <f t="shared" si="5"/>
        <v>1.3893987612189258E-3</v>
      </c>
      <c r="R18" s="75">
        <f t="shared" si="6"/>
        <v>3.3156895021255649E-2</v>
      </c>
      <c r="S18" s="75">
        <f t="shared" si="7"/>
        <v>0.37166141427918792</v>
      </c>
      <c r="T18" s="76">
        <f t="shared" si="8"/>
        <v>0.5951816906995564</v>
      </c>
    </row>
    <row r="19" spans="1:20" x14ac:dyDescent="0.25">
      <c r="A19" s="1">
        <v>0.66710000000000003</v>
      </c>
      <c r="B19" s="1">
        <v>8.9800000000000005E-2</v>
      </c>
      <c r="C19" s="1">
        <v>0.92310000000000003</v>
      </c>
      <c r="D19" s="1">
        <v>7.2900000000000006E-2</v>
      </c>
      <c r="E19" s="1">
        <v>2.9000000000000001E-2</v>
      </c>
      <c r="F19" s="1">
        <v>0.13450000000000001</v>
      </c>
      <c r="G19" s="1">
        <v>1.8467</v>
      </c>
      <c r="H19" s="1">
        <v>58.7727</v>
      </c>
      <c r="L19" s="74">
        <f t="shared" si="0"/>
        <v>0.66388862644504065</v>
      </c>
      <c r="M19" s="81">
        <f t="shared" si="1"/>
        <v>0.24585742293931312</v>
      </c>
      <c r="N19" s="81">
        <f t="shared" si="2"/>
        <v>9.0253950615646214E-2</v>
      </c>
      <c r="O19" s="74">
        <f t="shared" si="3"/>
        <v>0.82042705965293661</v>
      </c>
      <c r="P19" s="75">
        <f t="shared" si="4"/>
        <v>0.17824668181533376</v>
      </c>
      <c r="Q19" s="76">
        <f t="shared" si="5"/>
        <v>1.3262585317295682E-3</v>
      </c>
      <c r="R19" s="75">
        <f t="shared" si="6"/>
        <v>4.0782846259420018E-2</v>
      </c>
      <c r="S19" s="75">
        <f t="shared" si="7"/>
        <v>0.52036073585507292</v>
      </c>
      <c r="T19" s="76">
        <f t="shared" si="8"/>
        <v>0.43885641788550706</v>
      </c>
    </row>
    <row r="20" spans="1:20" x14ac:dyDescent="0.25">
      <c r="A20" s="1">
        <v>0.58409999999999995</v>
      </c>
      <c r="B20" s="1">
        <v>0.14879999999999999</v>
      </c>
      <c r="C20" s="1">
        <v>0.87260000000000004</v>
      </c>
      <c r="D20" s="1">
        <v>0.1211</v>
      </c>
      <c r="E20" s="1">
        <v>5.3400000000000003E-2</v>
      </c>
      <c r="F20" s="1">
        <v>0.20419999999999999</v>
      </c>
      <c r="G20" s="1">
        <v>1.6869000000000001</v>
      </c>
      <c r="H20" s="1">
        <v>27.5776</v>
      </c>
      <c r="L20" s="74">
        <f t="shared" si="0"/>
        <v>0.53434981566738715</v>
      </c>
      <c r="M20" s="81">
        <f t="shared" si="1"/>
        <v>0.37449333209420094</v>
      </c>
      <c r="N20" s="81">
        <f t="shared" si="2"/>
        <v>9.1156852238411898E-2</v>
      </c>
      <c r="O20" s="74">
        <f t="shared" si="3"/>
        <v>0.72228781798411279</v>
      </c>
      <c r="P20" s="75">
        <f t="shared" si="4"/>
        <v>0.27576676546977852</v>
      </c>
      <c r="Q20" s="76">
        <f t="shared" si="5"/>
        <v>1.9454165461086754E-3</v>
      </c>
      <c r="R20" s="75">
        <f t="shared" si="6"/>
        <v>5.9856846832130543E-2</v>
      </c>
      <c r="S20" s="75">
        <f t="shared" si="7"/>
        <v>0.6296961186786918</v>
      </c>
      <c r="T20" s="76">
        <f t="shared" si="8"/>
        <v>0.31044703448917771</v>
      </c>
    </row>
    <row r="21" spans="1:20" x14ac:dyDescent="0.25">
      <c r="A21" s="1">
        <v>0.51780000000000004</v>
      </c>
      <c r="B21" s="1">
        <v>0.21529999999999999</v>
      </c>
      <c r="C21" s="1">
        <v>0.81110000000000004</v>
      </c>
      <c r="D21" s="1">
        <v>0.1731</v>
      </c>
      <c r="E21" s="1">
        <v>9.2200000000000004E-2</v>
      </c>
      <c r="F21" s="1">
        <v>0.2712</v>
      </c>
      <c r="G21" s="1">
        <v>1.5666</v>
      </c>
      <c r="H21" s="1">
        <v>13.781000000000001</v>
      </c>
      <c r="L21" s="74">
        <f t="shared" si="0"/>
        <v>0.42804845353550341</v>
      </c>
      <c r="M21" s="81">
        <f t="shared" si="1"/>
        <v>0.48964082006647791</v>
      </c>
      <c r="N21" s="81">
        <f t="shared" si="2"/>
        <v>8.2310726398018577E-2</v>
      </c>
      <c r="O21" s="74">
        <f t="shared" si="3"/>
        <v>0.62720106921198704</v>
      </c>
      <c r="P21" s="75">
        <f t="shared" si="4"/>
        <v>0.36824101339400056</v>
      </c>
      <c r="Q21" s="76">
        <f t="shared" si="5"/>
        <v>4.5579173940122879E-3</v>
      </c>
      <c r="R21" s="75">
        <f t="shared" si="6"/>
        <v>8.5705170931025962E-2</v>
      </c>
      <c r="S21" s="75">
        <f t="shared" si="7"/>
        <v>0.69353517086811889</v>
      </c>
      <c r="T21" s="76">
        <f t="shared" si="8"/>
        <v>0.22075965820085522</v>
      </c>
    </row>
    <row r="22" spans="1:20" ht="15.75" thickBot="1" x14ac:dyDescent="0.3">
      <c r="A22" s="1">
        <v>0.46079999999999999</v>
      </c>
      <c r="B22" s="1">
        <v>0.2727</v>
      </c>
      <c r="C22" s="1">
        <v>0.74239999999999995</v>
      </c>
      <c r="D22" s="1">
        <v>0.2172</v>
      </c>
      <c r="E22" s="1">
        <v>0.13389999999999999</v>
      </c>
      <c r="F22" s="1">
        <v>0.31780000000000003</v>
      </c>
      <c r="G22" s="1">
        <v>1.4636</v>
      </c>
      <c r="H22" s="1">
        <v>8.1133000000000006</v>
      </c>
      <c r="L22" s="74">
        <f t="shared" si="0"/>
        <v>0.35163796204090719</v>
      </c>
      <c r="M22" s="81">
        <f t="shared" si="1"/>
        <v>0.57249424127619053</v>
      </c>
      <c r="N22" s="81">
        <f t="shared" si="2"/>
        <v>7.5867796682902361E-2</v>
      </c>
      <c r="O22" s="74">
        <f t="shared" si="3"/>
        <v>0.54789448479729019</v>
      </c>
      <c r="P22" s="75">
        <f t="shared" si="4"/>
        <v>0.44098263384070763</v>
      </c>
      <c r="Q22" s="76">
        <f t="shared" si="5"/>
        <v>1.1122881362002112E-2</v>
      </c>
      <c r="R22" s="75">
        <f t="shared" si="6"/>
        <v>0.11041111955728862</v>
      </c>
      <c r="S22" s="75">
        <f t="shared" si="7"/>
        <v>0.72092291490091331</v>
      </c>
      <c r="T22" s="76">
        <f t="shared" si="8"/>
        <v>0.16866596554179808</v>
      </c>
    </row>
    <row r="23" spans="1:20" ht="15.75" thickBot="1" x14ac:dyDescent="0.3">
      <c r="A23" s="3">
        <v>0.41439999999999999</v>
      </c>
      <c r="B23" s="3">
        <v>0.31830000000000003</v>
      </c>
      <c r="C23" s="3">
        <v>0.59970000000000001</v>
      </c>
      <c r="D23" s="3">
        <v>0.29330000000000001</v>
      </c>
      <c r="E23" s="3">
        <v>0.22889999999999999</v>
      </c>
      <c r="F23" s="3">
        <v>0.35289999999999999</v>
      </c>
      <c r="G23" s="3">
        <v>1.2032</v>
      </c>
      <c r="H23" s="3">
        <v>3.1520000000000001</v>
      </c>
      <c r="I23" s="40" t="s">
        <v>15</v>
      </c>
      <c r="J23">
        <f>318.15-273.15</f>
        <v>45</v>
      </c>
      <c r="L23" s="86">
        <f t="shared" si="0"/>
        <v>0.29817534625114245</v>
      </c>
      <c r="M23" s="87">
        <f t="shared" si="1"/>
        <v>0.63007366029930212</v>
      </c>
      <c r="N23" s="87">
        <f t="shared" si="2"/>
        <v>7.1750993449555614E-2</v>
      </c>
      <c r="O23" s="86">
        <f t="shared" si="3"/>
        <v>0.41458462323571482</v>
      </c>
      <c r="P23" s="88">
        <f t="shared" si="4"/>
        <v>0.55781977344405043</v>
      </c>
      <c r="Q23" s="89">
        <f t="shared" si="5"/>
        <v>2.7595603320234915E-2</v>
      </c>
      <c r="R23" s="88">
        <f t="shared" si="6"/>
        <v>0.16883418975017062</v>
      </c>
      <c r="S23" s="88">
        <f t="shared" si="7"/>
        <v>0.71609223457830051</v>
      </c>
      <c r="T23" s="89">
        <f t="shared" si="8"/>
        <v>0.11507357567152886</v>
      </c>
    </row>
    <row r="24" spans="1:20" x14ac:dyDescent="0.25">
      <c r="A24" s="2">
        <v>0.71970000000000001</v>
      </c>
      <c r="B24" s="2">
        <v>1.8700000000000001E-2</v>
      </c>
      <c r="C24" s="2">
        <v>0.98550000000000004</v>
      </c>
      <c r="D24" s="2">
        <v>1.26E-2</v>
      </c>
      <c r="E24" s="2">
        <v>9.2999999999999992E-3</v>
      </c>
      <c r="F24" s="2">
        <v>3.8600000000000002E-2</v>
      </c>
      <c r="G24" s="2">
        <v>3.0709</v>
      </c>
      <c r="H24" s="2">
        <v>325.65789999999998</v>
      </c>
      <c r="L24" s="60">
        <f t="shared" si="0"/>
        <v>0.82844381704253156</v>
      </c>
      <c r="M24" s="61">
        <f t="shared" si="1"/>
        <v>5.921829040228082E-2</v>
      </c>
      <c r="N24" s="62">
        <f t="shared" si="2"/>
        <v>0.11233789255518771</v>
      </c>
      <c r="O24" s="68">
        <f t="shared" si="3"/>
        <v>0.96535083273334765</v>
      </c>
      <c r="P24" s="69">
        <f t="shared" si="4"/>
        <v>3.3954848150963515E-2</v>
      </c>
      <c r="Q24" s="70">
        <f t="shared" si="5"/>
        <v>6.9431911568881334E-4</v>
      </c>
      <c r="R24" s="73">
        <f t="shared" si="6"/>
        <v>1.9758622410767951E-2</v>
      </c>
      <c r="S24" s="69">
        <f t="shared" si="7"/>
        <v>0.22561279123789454</v>
      </c>
      <c r="T24" s="70">
        <f t="shared" si="8"/>
        <v>0.75462858635133745</v>
      </c>
    </row>
    <row r="25" spans="1:20" x14ac:dyDescent="0.25">
      <c r="A25" s="1">
        <v>0.70069999999999999</v>
      </c>
      <c r="B25" s="1">
        <v>4.3900000000000002E-2</v>
      </c>
      <c r="C25" s="1">
        <v>0.96330000000000005</v>
      </c>
      <c r="D25" s="1">
        <v>3.4799999999999998E-2</v>
      </c>
      <c r="E25" s="1">
        <v>1.6799999999999999E-2</v>
      </c>
      <c r="F25" s="1">
        <v>0.10630000000000001</v>
      </c>
      <c r="G25" s="1">
        <v>3.0571999999999999</v>
      </c>
      <c r="H25" s="1">
        <v>174.8202</v>
      </c>
      <c r="L25" s="60">
        <f t="shared" si="0"/>
        <v>0.7643293347073612</v>
      </c>
      <c r="M25" s="61">
        <f t="shared" si="1"/>
        <v>0.13173938487660725</v>
      </c>
      <c r="N25" s="62">
        <f t="shared" si="2"/>
        <v>0.1039312804160316</v>
      </c>
      <c r="O25" s="68">
        <f t="shared" si="3"/>
        <v>0.90899115899045813</v>
      </c>
      <c r="P25" s="69">
        <f t="shared" si="4"/>
        <v>9.0339991097610026E-2</v>
      </c>
      <c r="Q25" s="70">
        <f t="shared" si="5"/>
        <v>6.6884991193173348E-4</v>
      </c>
      <c r="R25" s="73">
        <f t="shared" si="6"/>
        <v>2.6399550183868581E-2</v>
      </c>
      <c r="S25" s="69">
        <f t="shared" si="7"/>
        <v>0.45953988416182567</v>
      </c>
      <c r="T25" s="70">
        <f t="shared" si="8"/>
        <v>0.51406056565430569</v>
      </c>
    </row>
    <row r="26" spans="1:20" x14ac:dyDescent="0.25">
      <c r="A26" s="1">
        <v>0.66669999999999996</v>
      </c>
      <c r="B26" s="1">
        <v>8.9700000000000002E-2</v>
      </c>
      <c r="C26" s="1">
        <v>0.93489999999999995</v>
      </c>
      <c r="D26" s="1">
        <v>6.1800000000000001E-2</v>
      </c>
      <c r="E26" s="1">
        <v>2.98E-2</v>
      </c>
      <c r="F26" s="1">
        <v>0.1484</v>
      </c>
      <c r="G26" s="1">
        <v>2.4001999999999999</v>
      </c>
      <c r="H26" s="1">
        <v>75.261600000000001</v>
      </c>
      <c r="L26" s="60">
        <f t="shared" si="0"/>
        <v>0.66381331559181278</v>
      </c>
      <c r="M26" s="61">
        <f t="shared" si="1"/>
        <v>0.24570310696047598</v>
      </c>
      <c r="N26" s="62">
        <f t="shared" si="2"/>
        <v>9.0483577447711266E-2</v>
      </c>
      <c r="O26" s="68">
        <f t="shared" si="3"/>
        <v>0.84518555328032308</v>
      </c>
      <c r="P26" s="69">
        <f t="shared" si="4"/>
        <v>0.15370149116973225</v>
      </c>
      <c r="Q26" s="70">
        <f t="shared" si="5"/>
        <v>1.1129555499447348E-3</v>
      </c>
      <c r="R26" s="73">
        <f t="shared" si="6"/>
        <v>4.0019376694577141E-2</v>
      </c>
      <c r="S26" s="69">
        <f t="shared" si="7"/>
        <v>0.54826517068730163</v>
      </c>
      <c r="T26" s="70">
        <f t="shared" si="8"/>
        <v>0.41171545261812115</v>
      </c>
    </row>
    <row r="27" spans="1:20" x14ac:dyDescent="0.25">
      <c r="A27" s="1">
        <v>0.58420000000000005</v>
      </c>
      <c r="B27" s="1">
        <v>0.1482</v>
      </c>
      <c r="C27" s="1">
        <v>0.88260000000000005</v>
      </c>
      <c r="D27" s="1">
        <v>0.11</v>
      </c>
      <c r="E27" s="1">
        <v>6.1499999999999999E-2</v>
      </c>
      <c r="F27" s="1">
        <v>0.2089</v>
      </c>
      <c r="G27" s="1">
        <v>1.8996</v>
      </c>
      <c r="H27" s="1">
        <v>27.262599999999999</v>
      </c>
      <c r="L27" s="60">
        <f t="shared" si="0"/>
        <v>0.53510907658729379</v>
      </c>
      <c r="M27" s="61">
        <f t="shared" si="1"/>
        <v>0.37344931670334569</v>
      </c>
      <c r="N27" s="62">
        <f t="shared" si="2"/>
        <v>9.1441606709360537E-2</v>
      </c>
      <c r="O27" s="68">
        <f t="shared" si="3"/>
        <v>0.74294238108503441</v>
      </c>
      <c r="P27" s="69">
        <f t="shared" si="4"/>
        <v>0.25473381272449258</v>
      </c>
      <c r="Q27" s="70">
        <f t="shared" si="5"/>
        <v>2.3238061904729624E-3</v>
      </c>
      <c r="R27" s="73">
        <f t="shared" si="6"/>
        <v>6.7702688177542575E-2</v>
      </c>
      <c r="S27" s="69">
        <f t="shared" si="7"/>
        <v>0.63266227357053428</v>
      </c>
      <c r="T27" s="70">
        <f t="shared" si="8"/>
        <v>0.29963503825192322</v>
      </c>
    </row>
    <row r="28" spans="1:20" x14ac:dyDescent="0.25">
      <c r="A28" s="1">
        <v>0.51839999999999997</v>
      </c>
      <c r="B28" s="1">
        <v>0.21410000000000001</v>
      </c>
      <c r="C28" s="1">
        <v>0.76559999999999995</v>
      </c>
      <c r="D28" s="1">
        <v>0.18060000000000001</v>
      </c>
      <c r="E28" s="1">
        <v>0.1278</v>
      </c>
      <c r="F28" s="1">
        <v>0.27829999999999999</v>
      </c>
      <c r="G28" s="1">
        <v>1.5407</v>
      </c>
      <c r="H28" s="1">
        <v>9.2272999999999996</v>
      </c>
      <c r="L28" s="60">
        <f t="shared" si="0"/>
        <v>0.42942392853959183</v>
      </c>
      <c r="M28" s="61">
        <f t="shared" si="1"/>
        <v>0.48791100703606027</v>
      </c>
      <c r="N28" s="62">
        <f t="shared" si="2"/>
        <v>8.2665064424347942E-2</v>
      </c>
      <c r="O28" s="68">
        <f t="shared" si="3"/>
        <v>0.59695208100949748</v>
      </c>
      <c r="P28" s="69">
        <f t="shared" si="4"/>
        <v>0.38739855126072653</v>
      </c>
      <c r="Q28" s="70">
        <f t="shared" si="5"/>
        <v>1.5649367729775911E-2</v>
      </c>
      <c r="R28" s="73">
        <f t="shared" si="6"/>
        <v>0.11462046757859846</v>
      </c>
      <c r="S28" s="69">
        <f t="shared" si="7"/>
        <v>0.68666866390004555</v>
      </c>
      <c r="T28" s="70">
        <f t="shared" si="8"/>
        <v>0.19871086852135583</v>
      </c>
    </row>
    <row r="29" spans="1:20" ht="15.75" thickBot="1" x14ac:dyDescent="0.3">
      <c r="A29" s="3">
        <v>0.45900000000000002</v>
      </c>
      <c r="B29" s="3">
        <v>0.27660000000000001</v>
      </c>
      <c r="C29" s="3">
        <v>0.65400000000000003</v>
      </c>
      <c r="D29" s="3">
        <v>0.253</v>
      </c>
      <c r="E29" s="3">
        <v>0.20530000000000001</v>
      </c>
      <c r="F29" s="3">
        <v>0.34260000000000002</v>
      </c>
      <c r="G29" s="3">
        <v>1.3540000000000001</v>
      </c>
      <c r="H29" s="3">
        <v>4.3141999999999996</v>
      </c>
      <c r="L29" s="63">
        <f t="shared" si="0"/>
        <v>0.34810055948033425</v>
      </c>
      <c r="M29" s="64">
        <f t="shared" si="1"/>
        <v>0.57709446917449703</v>
      </c>
      <c r="N29" s="65">
        <f t="shared" si="2"/>
        <v>7.4804971345168794E-2</v>
      </c>
      <c r="O29" s="77">
        <f t="shared" si="3"/>
        <v>0.47229872255725175</v>
      </c>
      <c r="P29" s="78">
        <f t="shared" si="4"/>
        <v>0.50264601561443056</v>
      </c>
      <c r="Q29" s="79">
        <f t="shared" si="5"/>
        <v>2.505526182831767E-2</v>
      </c>
      <c r="R29" s="80">
        <f t="shared" si="6"/>
        <v>0.1559463202279758</v>
      </c>
      <c r="S29" s="78">
        <f t="shared" si="7"/>
        <v>0.71593936342101161</v>
      </c>
      <c r="T29" s="79">
        <f t="shared" si="8"/>
        <v>0.12811431635101259</v>
      </c>
    </row>
    <row r="32" spans="1:20" ht="15.75" thickBot="1" x14ac:dyDescent="0.3"/>
    <row r="33" spans="1:6" ht="15.75" thickBot="1" x14ac:dyDescent="0.3">
      <c r="A33" s="40" t="s">
        <v>22</v>
      </c>
      <c r="D33" s="40" t="s">
        <v>22</v>
      </c>
      <c r="F33" s="40" t="s">
        <v>22</v>
      </c>
    </row>
    <row r="34" spans="1:6" x14ac:dyDescent="0.25">
      <c r="A34">
        <f>1-A9-B9</f>
        <v>0.26269999999999999</v>
      </c>
      <c r="D34">
        <f>1-C9-D9</f>
        <v>1.9999999999999879E-4</v>
      </c>
      <c r="F34">
        <f>1-E9-F9</f>
        <v>0.94589999999999996</v>
      </c>
    </row>
    <row r="35" spans="1:6" x14ac:dyDescent="0.25">
      <c r="A35">
        <f t="shared" ref="A35:A54" si="9">1-A10-B10</f>
        <v>0.25380000000000003</v>
      </c>
      <c r="D35">
        <f t="shared" ref="D35:D54" si="10">1-C10-D10</f>
        <v>2.0000000000002655E-4</v>
      </c>
      <c r="F35">
        <f t="shared" ref="F35:F54" si="11">1-E10-F10</f>
        <v>0.89939999999999998</v>
      </c>
    </row>
    <row r="36" spans="1:6" x14ac:dyDescent="0.25">
      <c r="A36">
        <f t="shared" si="9"/>
        <v>0.24859999999999999</v>
      </c>
      <c r="D36">
        <f t="shared" si="10"/>
        <v>4.9999999999996575E-4</v>
      </c>
      <c r="F36">
        <f t="shared" si="11"/>
        <v>0.86229999999999996</v>
      </c>
    </row>
    <row r="37" spans="1:6" x14ac:dyDescent="0.25">
      <c r="A37">
        <f t="shared" si="9"/>
        <v>0.2382</v>
      </c>
      <c r="D37">
        <f t="shared" si="10"/>
        <v>3.300000000000039E-3</v>
      </c>
      <c r="F37">
        <f t="shared" si="11"/>
        <v>0.77550000000000008</v>
      </c>
    </row>
    <row r="38" spans="1:6" x14ac:dyDescent="0.25">
      <c r="A38">
        <f t="shared" si="9"/>
        <v>0.26740000000000003</v>
      </c>
      <c r="D38">
        <f t="shared" si="10"/>
        <v>8.2000000000000406E-3</v>
      </c>
      <c r="F38">
        <f t="shared" si="11"/>
        <v>0.73599999999999999</v>
      </c>
    </row>
    <row r="39" spans="1:6" x14ac:dyDescent="0.25">
      <c r="A39">
        <f t="shared" si="9"/>
        <v>0.26700000000000002</v>
      </c>
      <c r="D39">
        <f t="shared" si="10"/>
        <v>1.2299999999999978E-2</v>
      </c>
      <c r="F39">
        <f t="shared" si="11"/>
        <v>0.64270000000000005</v>
      </c>
    </row>
    <row r="40" spans="1:6" x14ac:dyDescent="0.25">
      <c r="A40">
        <f t="shared" si="9"/>
        <v>0.24679999999999996</v>
      </c>
      <c r="D40">
        <f t="shared" si="10"/>
        <v>4.7599999999999976E-2</v>
      </c>
      <c r="F40">
        <f t="shared" si="11"/>
        <v>0.52759999999999996</v>
      </c>
    </row>
    <row r="41" spans="1:6" x14ac:dyDescent="0.25">
      <c r="A41">
        <f t="shared" si="9"/>
        <v>0.24640000000000001</v>
      </c>
      <c r="D41">
        <f t="shared" si="10"/>
        <v>0.11280000000000001</v>
      </c>
      <c r="F41">
        <f t="shared" si="11"/>
        <v>0.40909999999999996</v>
      </c>
    </row>
    <row r="42" spans="1:6" x14ac:dyDescent="0.25">
      <c r="A42">
        <f>1-A17-B17</f>
        <v>0.26219999999999999</v>
      </c>
      <c r="D42">
        <f>1-C17-D17</f>
        <v>1.0700000000000005E-2</v>
      </c>
      <c r="F42">
        <f>1-E17-F17</f>
        <v>0.96120000000000005</v>
      </c>
    </row>
    <row r="43" spans="1:6" x14ac:dyDescent="0.25">
      <c r="A43">
        <f t="shared" si="9"/>
        <v>0.25419999999999993</v>
      </c>
      <c r="D43">
        <f t="shared" si="10"/>
        <v>3.9999999999999619E-3</v>
      </c>
      <c r="F43">
        <f t="shared" si="11"/>
        <v>0.90459999999999996</v>
      </c>
    </row>
    <row r="44" spans="1:6" x14ac:dyDescent="0.25">
      <c r="A44">
        <f t="shared" si="9"/>
        <v>0.24309999999999998</v>
      </c>
      <c r="D44">
        <f t="shared" si="10"/>
        <v>3.9999999999999619E-3</v>
      </c>
      <c r="F44">
        <f t="shared" si="11"/>
        <v>0.83650000000000002</v>
      </c>
    </row>
    <row r="45" spans="1:6" x14ac:dyDescent="0.25">
      <c r="A45">
        <f t="shared" si="9"/>
        <v>0.26710000000000006</v>
      </c>
      <c r="D45">
        <f t="shared" si="10"/>
        <v>6.2999999999999584E-3</v>
      </c>
      <c r="F45">
        <f t="shared" si="11"/>
        <v>0.74239999999999995</v>
      </c>
    </row>
    <row r="46" spans="1:6" x14ac:dyDescent="0.25">
      <c r="A46">
        <f t="shared" si="9"/>
        <v>0.26689999999999997</v>
      </c>
      <c r="D46">
        <f t="shared" si="10"/>
        <v>1.5799999999999953E-2</v>
      </c>
      <c r="F46">
        <f t="shared" si="11"/>
        <v>0.63659999999999994</v>
      </c>
    </row>
    <row r="47" spans="1:6" x14ac:dyDescent="0.25">
      <c r="A47">
        <f t="shared" si="9"/>
        <v>0.26650000000000001</v>
      </c>
      <c r="D47">
        <f t="shared" si="10"/>
        <v>4.0400000000000047E-2</v>
      </c>
      <c r="F47">
        <f t="shared" si="11"/>
        <v>0.54830000000000001</v>
      </c>
    </row>
    <row r="48" spans="1:6" x14ac:dyDescent="0.25">
      <c r="A48">
        <f t="shared" si="9"/>
        <v>0.26729999999999998</v>
      </c>
      <c r="D48">
        <f t="shared" si="10"/>
        <v>0.10699999999999998</v>
      </c>
      <c r="F48">
        <f t="shared" si="11"/>
        <v>0.41820000000000002</v>
      </c>
    </row>
    <row r="49" spans="1:16" x14ac:dyDescent="0.25">
      <c r="A49">
        <f t="shared" si="9"/>
        <v>0.2616</v>
      </c>
      <c r="D49">
        <f t="shared" si="10"/>
        <v>1.8999999999999573E-3</v>
      </c>
      <c r="F49">
        <f t="shared" si="11"/>
        <v>0.95210000000000006</v>
      </c>
    </row>
    <row r="50" spans="1:16" ht="15.75" thickBot="1" x14ac:dyDescent="0.3">
      <c r="A50">
        <f t="shared" si="9"/>
        <v>0.25540000000000002</v>
      </c>
      <c r="D50">
        <f t="shared" si="10"/>
        <v>1.8999999999999573E-3</v>
      </c>
      <c r="F50">
        <f t="shared" si="11"/>
        <v>0.87690000000000001</v>
      </c>
    </row>
    <row r="51" spans="1:16" x14ac:dyDescent="0.25">
      <c r="A51">
        <f t="shared" si="9"/>
        <v>0.24360000000000004</v>
      </c>
      <c r="D51">
        <f t="shared" si="10"/>
        <v>3.300000000000046E-3</v>
      </c>
      <c r="F51">
        <f t="shared" si="11"/>
        <v>0.82179999999999997</v>
      </c>
      <c r="K51" s="35">
        <v>0.98550000000000004</v>
      </c>
      <c r="L51" s="35">
        <v>1.26E-2</v>
      </c>
      <c r="M51">
        <f>1-L51-K51</f>
        <v>1.9000000000000128E-3</v>
      </c>
      <c r="N51" s="35">
        <v>9.2999999999999992E-3</v>
      </c>
      <c r="O51" s="35">
        <v>3.8600000000000002E-2</v>
      </c>
      <c r="P51">
        <f>1-O51-N51</f>
        <v>0.95210000000000006</v>
      </c>
    </row>
    <row r="52" spans="1:16" x14ac:dyDescent="0.25">
      <c r="A52">
        <f t="shared" si="9"/>
        <v>0.26759999999999995</v>
      </c>
      <c r="D52">
        <f t="shared" si="10"/>
        <v>7.3999999999999483E-3</v>
      </c>
      <c r="F52">
        <f t="shared" si="11"/>
        <v>0.72960000000000003</v>
      </c>
      <c r="K52" s="1">
        <v>0.96330000000000005</v>
      </c>
      <c r="L52" s="1">
        <v>3.4799999999999998E-2</v>
      </c>
      <c r="M52">
        <f t="shared" ref="M52:M56" si="12">1-L52-K52</f>
        <v>1.9000000000000128E-3</v>
      </c>
      <c r="N52" s="1">
        <v>1.6799999999999999E-2</v>
      </c>
      <c r="O52" s="1">
        <v>0.10630000000000001</v>
      </c>
      <c r="P52">
        <f t="shared" ref="P52:P56" si="13">1-O52-N52</f>
        <v>0.8768999999999999</v>
      </c>
    </row>
    <row r="53" spans="1:16" x14ac:dyDescent="0.25">
      <c r="A53">
        <f t="shared" si="9"/>
        <v>0.26750000000000002</v>
      </c>
      <c r="D53">
        <f t="shared" si="10"/>
        <v>5.3800000000000042E-2</v>
      </c>
      <c r="F53">
        <f t="shared" si="11"/>
        <v>0.59389999999999998</v>
      </c>
      <c r="K53" s="1">
        <v>0.93489999999999995</v>
      </c>
      <c r="L53" s="1">
        <v>6.1800000000000001E-2</v>
      </c>
      <c r="M53">
        <f t="shared" si="12"/>
        <v>3.3000000000000806E-3</v>
      </c>
      <c r="N53" s="1">
        <v>2.98E-2</v>
      </c>
      <c r="O53" s="1">
        <v>0.1484</v>
      </c>
      <c r="P53">
        <f t="shared" si="13"/>
        <v>0.82179999999999997</v>
      </c>
    </row>
    <row r="54" spans="1:16" x14ac:dyDescent="0.25">
      <c r="A54">
        <f t="shared" si="9"/>
        <v>0.26439999999999991</v>
      </c>
      <c r="D54">
        <f t="shared" si="10"/>
        <v>9.2999999999999972E-2</v>
      </c>
      <c r="F54">
        <f t="shared" si="11"/>
        <v>0.45209999999999995</v>
      </c>
      <c r="K54" s="1">
        <v>0.88260000000000005</v>
      </c>
      <c r="L54" s="1">
        <v>0.11</v>
      </c>
      <c r="M54">
        <f t="shared" si="12"/>
        <v>7.3999999999999622E-3</v>
      </c>
      <c r="N54" s="1">
        <v>6.1499999999999999E-2</v>
      </c>
      <c r="O54" s="1">
        <v>0.2089</v>
      </c>
      <c r="P54">
        <f t="shared" si="13"/>
        <v>0.72960000000000003</v>
      </c>
    </row>
    <row r="55" spans="1:16" x14ac:dyDescent="0.25">
      <c r="K55" s="1">
        <v>0.76559999999999995</v>
      </c>
      <c r="L55" s="1">
        <v>0.18060000000000001</v>
      </c>
      <c r="M55">
        <f t="shared" si="12"/>
        <v>5.380000000000007E-2</v>
      </c>
      <c r="N55" s="1">
        <v>0.1278</v>
      </c>
      <c r="O55" s="1">
        <v>0.27829999999999999</v>
      </c>
      <c r="P55">
        <f t="shared" si="13"/>
        <v>0.59389999999999998</v>
      </c>
    </row>
    <row r="56" spans="1:16" ht="15.75" thickBot="1" x14ac:dyDescent="0.3">
      <c r="K56" s="3">
        <v>0.65400000000000003</v>
      </c>
      <c r="L56" s="3">
        <v>0.253</v>
      </c>
      <c r="M56">
        <f t="shared" si="12"/>
        <v>9.2999999999999972E-2</v>
      </c>
      <c r="N56" s="3">
        <v>0.20530000000000001</v>
      </c>
      <c r="O56" s="3">
        <v>0.34260000000000002</v>
      </c>
      <c r="P56">
        <f t="shared" si="13"/>
        <v>0.45209999999999995</v>
      </c>
    </row>
  </sheetData>
  <mergeCells count="4">
    <mergeCell ref="A7:B7"/>
    <mergeCell ref="C7:D7"/>
    <mergeCell ref="E7:F7"/>
    <mergeCell ref="L7:M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"/>
  <dimension ref="A2:T54"/>
  <sheetViews>
    <sheetView topLeftCell="A16" workbookViewId="0">
      <selection activeCell="L23" sqref="L23:T29"/>
    </sheetView>
  </sheetViews>
  <sheetFormatPr defaultRowHeight="15" x14ac:dyDescent="0.25"/>
  <sheetData>
    <row r="2" spans="1:20" x14ac:dyDescent="0.25">
      <c r="B2" t="s">
        <v>0</v>
      </c>
      <c r="C2" t="s">
        <v>1</v>
      </c>
      <c r="D2" t="s">
        <v>2</v>
      </c>
    </row>
    <row r="3" spans="1:20" x14ac:dyDescent="0.25">
      <c r="A3" t="s">
        <v>3</v>
      </c>
      <c r="B3">
        <v>88.15</v>
      </c>
      <c r="C3">
        <v>32.042000000000002</v>
      </c>
      <c r="D3">
        <v>180.18</v>
      </c>
    </row>
    <row r="7" spans="1:20" x14ac:dyDescent="0.25">
      <c r="A7" s="99" t="s">
        <v>4</v>
      </c>
      <c r="B7" s="99"/>
      <c r="C7" s="99" t="s">
        <v>5</v>
      </c>
      <c r="D7" s="99"/>
      <c r="E7" s="99" t="s">
        <v>6</v>
      </c>
      <c r="F7" s="99"/>
      <c r="G7" t="s">
        <v>7</v>
      </c>
      <c r="H7" t="s">
        <v>8</v>
      </c>
      <c r="L7" s="100" t="s">
        <v>4</v>
      </c>
      <c r="M7" s="100"/>
      <c r="O7" s="4" t="s">
        <v>5</v>
      </c>
      <c r="P7" s="4"/>
      <c r="R7" s="4" t="s">
        <v>6</v>
      </c>
      <c r="S7" s="4"/>
    </row>
    <row r="8" spans="1:20" ht="15.75" thickBot="1" x14ac:dyDescent="0.3">
      <c r="A8" t="s">
        <v>9</v>
      </c>
      <c r="B8" t="s">
        <v>10</v>
      </c>
      <c r="C8" t="s">
        <v>11</v>
      </c>
      <c r="D8" t="s">
        <v>12</v>
      </c>
      <c r="E8" t="s">
        <v>11</v>
      </c>
      <c r="F8" t="s">
        <v>12</v>
      </c>
      <c r="I8" t="s">
        <v>13</v>
      </c>
      <c r="J8">
        <f>278.18-273.15</f>
        <v>5.0300000000000296</v>
      </c>
      <c r="L8" t="s">
        <v>16</v>
      </c>
      <c r="M8" t="s">
        <v>17</v>
      </c>
      <c r="N8" t="s">
        <v>18</v>
      </c>
      <c r="O8" t="s">
        <v>19</v>
      </c>
      <c r="P8" t="s">
        <v>20</v>
      </c>
      <c r="Q8" t="s">
        <v>21</v>
      </c>
      <c r="R8" t="s">
        <v>19</v>
      </c>
      <c r="S8" t="s">
        <v>20</v>
      </c>
      <c r="T8" t="s">
        <v>21</v>
      </c>
    </row>
    <row r="9" spans="1:20" x14ac:dyDescent="0.25">
      <c r="A9" s="30">
        <v>0.622</v>
      </c>
      <c r="B9" s="30">
        <v>0.1105</v>
      </c>
      <c r="C9" s="30">
        <v>0.86729999999999996</v>
      </c>
      <c r="D9" s="30">
        <v>0.13270000000000001</v>
      </c>
      <c r="E9" s="30">
        <v>4.8999999999999998E-3</v>
      </c>
      <c r="F9" s="30">
        <v>9.8100000000000007E-2</v>
      </c>
      <c r="G9" s="30">
        <v>0.73929999999999996</v>
      </c>
      <c r="H9" s="30">
        <v>131.7758</v>
      </c>
      <c r="L9" s="5">
        <f>(A9/$B$3)/(A9/$B$3+B9/$C$3+A34/$D$3)</f>
        <v>0.58853373466793579</v>
      </c>
      <c r="M9" s="5">
        <f>(B9/$C$3)/(A9/$B$3+B9/$C$3+A34/$D$3)</f>
        <v>0.28763779806704309</v>
      </c>
      <c r="N9" s="5">
        <f>(A34/$D$3)/(A9/$B$3+B9/$C$3+A34/$D$3)</f>
        <v>0.12382846726502117</v>
      </c>
      <c r="O9" s="5">
        <f>(C9/$B$3)/(C9/$B$3+D9/$C$3+D34/$D$3)</f>
        <v>0.70376712531709629</v>
      </c>
      <c r="P9">
        <f>(D9/$C$3)/(C9/$B$3+D9/$C$3+D34/$D$3)</f>
        <v>0.29623287468290371</v>
      </c>
      <c r="Q9">
        <f>(D34/$D$3)/(C9/$B$3+D9/$C$3+D34/$D$3)</f>
        <v>0</v>
      </c>
      <c r="R9">
        <f>(E9/$B$3)/(E9/$B$3+F9/$C$3+F34/$D$3)</f>
        <v>6.866374306031286E-3</v>
      </c>
      <c r="S9">
        <f>(F9/$C$3)/(E9/$B$3+F9/$C$3+F34/$D$3)</f>
        <v>0.37818395758003936</v>
      </c>
      <c r="T9">
        <f>(F34/$D$3)/(E9/$B$3+F9/$C$3+F34/$D$3)</f>
        <v>0.61494966811392937</v>
      </c>
    </row>
    <row r="10" spans="1:20" x14ac:dyDescent="0.25">
      <c r="A10" s="1">
        <v>0.58440000000000003</v>
      </c>
      <c r="B10" s="1">
        <v>0.14879999999999999</v>
      </c>
      <c r="C10" s="1">
        <v>0.82210000000000005</v>
      </c>
      <c r="D10" s="1">
        <v>0.1779</v>
      </c>
      <c r="E10" s="1">
        <v>5.1000000000000004E-3</v>
      </c>
      <c r="F10" s="1">
        <v>0.1217</v>
      </c>
      <c r="G10" s="1">
        <v>0.68389999999999995</v>
      </c>
      <c r="H10" s="1">
        <v>111.07250000000001</v>
      </c>
      <c r="L10" s="5">
        <f t="shared" ref="L10:L29" si="0">(A10/$B$3)/(A10/$B$3+B10/$C$3+A35/$D$3)</f>
        <v>0.51979583546724828</v>
      </c>
      <c r="M10" s="5">
        <f t="shared" ref="M10:M29" si="1">(B10/$C$3)/(A10/$B$3+B10/$C$3+A35/$D$3)</f>
        <v>0.36410632241014668</v>
      </c>
      <c r="N10" s="5">
        <f t="shared" ref="N10:N29" si="2">(A35/$D$3)/(A10/$B$3+B10/$C$3+A35/$D$3)</f>
        <v>0.11609784212260513</v>
      </c>
      <c r="O10" s="5">
        <f t="shared" ref="O10:O29" si="3">(C10/$B$3)/(C10/$B$3+D10/$C$3+D35/$D$3)</f>
        <v>0.62683158810342376</v>
      </c>
      <c r="P10">
        <f t="shared" ref="P10:P29" si="4">(D10/$C$3)/(C10/$B$3+D10/$C$3+D35/$D$3)</f>
        <v>0.37316841189657629</v>
      </c>
      <c r="Q10">
        <f t="shared" ref="Q10:Q29" si="5">(D35/$D$3)/(C10/$B$3+D10/$C$3+D35/$D$3)</f>
        <v>0</v>
      </c>
      <c r="R10">
        <f t="shared" ref="R10:R29" si="6">(E10/$B$3)/(E10/$B$3+F10/$C$3+F35/$D$3)</f>
        <v>6.6483790007388676E-3</v>
      </c>
      <c r="S10">
        <f t="shared" ref="S10:S29" si="7">(F10/$C$3)/(E10/$B$3+F10/$C$3+F35/$D$3)</f>
        <v>0.43645439567045868</v>
      </c>
      <c r="T10">
        <f t="shared" ref="T10:T29" si="8">(F35/$D$3)/(E10/$B$3+F10/$C$3+F35/$D$3)</f>
        <v>0.55689722532880248</v>
      </c>
    </row>
    <row r="11" spans="1:20" x14ac:dyDescent="0.25">
      <c r="A11" s="1">
        <v>0.55000000000000004</v>
      </c>
      <c r="B11" s="1">
        <v>0.18310000000000001</v>
      </c>
      <c r="C11" s="1">
        <v>0.78210000000000002</v>
      </c>
      <c r="D11" s="1">
        <v>0.217</v>
      </c>
      <c r="E11" s="1">
        <v>8.6E-3</v>
      </c>
      <c r="F11" s="1">
        <v>0.1482</v>
      </c>
      <c r="G11" s="1">
        <v>0.68269999999999997</v>
      </c>
      <c r="H11" s="1">
        <v>62.237299999999998</v>
      </c>
      <c r="L11" s="5">
        <f t="shared" si="0"/>
        <v>0.46440997109754328</v>
      </c>
      <c r="M11" s="5">
        <f t="shared" si="1"/>
        <v>0.42533379497118495</v>
      </c>
      <c r="N11" s="5">
        <f t="shared" si="2"/>
        <v>0.1102562339312718</v>
      </c>
      <c r="O11" s="5">
        <f t="shared" si="3"/>
        <v>0.56693469983678002</v>
      </c>
      <c r="P11">
        <f t="shared" si="4"/>
        <v>0.43274612506782167</v>
      </c>
      <c r="Q11">
        <f t="shared" si="5"/>
        <v>3.1917509539821693E-4</v>
      </c>
      <c r="R11">
        <f t="shared" si="6"/>
        <v>1.037606196390759E-2</v>
      </c>
      <c r="S11">
        <f t="shared" si="7"/>
        <v>0.49190927302521148</v>
      </c>
      <c r="T11">
        <f t="shared" si="8"/>
        <v>0.49771466501088085</v>
      </c>
    </row>
    <row r="12" spans="1:20" x14ac:dyDescent="0.25">
      <c r="A12" s="1">
        <v>0.5171</v>
      </c>
      <c r="B12" s="1">
        <v>0.23569999999999999</v>
      </c>
      <c r="C12" s="1">
        <v>0.72729999999999995</v>
      </c>
      <c r="D12" s="1">
        <v>0.27110000000000001</v>
      </c>
      <c r="E12" s="1">
        <v>1.0699999999999999E-2</v>
      </c>
      <c r="F12" s="1">
        <v>0.16969999999999999</v>
      </c>
      <c r="G12" s="1">
        <v>0.62609999999999999</v>
      </c>
      <c r="H12" s="1">
        <v>42.5869</v>
      </c>
      <c r="L12" s="5">
        <f t="shared" si="0"/>
        <v>0.40195351244221961</v>
      </c>
      <c r="M12" s="5">
        <f t="shared" si="1"/>
        <v>0.50403834090411148</v>
      </c>
      <c r="N12" s="5">
        <f t="shared" si="2"/>
        <v>9.4008146653668939E-2</v>
      </c>
      <c r="O12" s="5">
        <f t="shared" si="3"/>
        <v>0.49345285511718268</v>
      </c>
      <c r="P12">
        <f t="shared" si="4"/>
        <v>0.50601605528489702</v>
      </c>
      <c r="Q12">
        <f t="shared" si="5"/>
        <v>5.3108959792006459E-4</v>
      </c>
      <c r="R12">
        <f t="shared" si="6"/>
        <v>1.2179393460149497E-2</v>
      </c>
      <c r="S12">
        <f t="shared" si="7"/>
        <v>0.53140596610936652</v>
      </c>
      <c r="T12">
        <f t="shared" si="8"/>
        <v>0.45641464043048396</v>
      </c>
    </row>
    <row r="13" spans="1:20" x14ac:dyDescent="0.25">
      <c r="A13" s="1">
        <v>0.46139999999999998</v>
      </c>
      <c r="B13" s="1">
        <v>0.29220000000000002</v>
      </c>
      <c r="C13" s="1">
        <v>0.65080000000000005</v>
      </c>
      <c r="D13" s="1">
        <v>0.34420000000000001</v>
      </c>
      <c r="E13" s="1">
        <v>1.7600000000000001E-2</v>
      </c>
      <c r="F13" s="1">
        <v>0.21260000000000001</v>
      </c>
      <c r="G13" s="1">
        <v>0.61770000000000003</v>
      </c>
      <c r="H13" s="1">
        <v>22.792899999999999</v>
      </c>
      <c r="L13" s="5">
        <f t="shared" si="0"/>
        <v>0.33294568474965364</v>
      </c>
      <c r="M13" s="5">
        <f t="shared" si="1"/>
        <v>0.58006773894950947</v>
      </c>
      <c r="N13" s="5">
        <f t="shared" si="2"/>
        <v>8.6986576300836824E-2</v>
      </c>
      <c r="O13" s="5">
        <f t="shared" si="3"/>
        <v>0.40670760857283833</v>
      </c>
      <c r="P13">
        <f t="shared" si="4"/>
        <v>0.59176369767266035</v>
      </c>
      <c r="Q13">
        <f t="shared" si="5"/>
        <v>1.5286937545012922E-3</v>
      </c>
      <c r="R13">
        <f t="shared" si="6"/>
        <v>1.7975867038182672E-2</v>
      </c>
      <c r="S13">
        <f t="shared" si="7"/>
        <v>0.59736963070451499</v>
      </c>
      <c r="T13">
        <f t="shared" si="8"/>
        <v>0.3846545022573023</v>
      </c>
    </row>
    <row r="14" spans="1:20" x14ac:dyDescent="0.25">
      <c r="A14" s="1">
        <v>0.41199999999999998</v>
      </c>
      <c r="B14" s="1">
        <v>0.32140000000000002</v>
      </c>
      <c r="C14" s="1">
        <v>0.63239999999999996</v>
      </c>
      <c r="D14" s="1">
        <v>0.36249999999999999</v>
      </c>
      <c r="E14" s="1">
        <v>1.9199999999999998E-2</v>
      </c>
      <c r="F14" s="1">
        <v>0.2233</v>
      </c>
      <c r="G14" s="1">
        <v>0.61580000000000001</v>
      </c>
      <c r="H14" s="1">
        <v>20.295400000000001</v>
      </c>
      <c r="L14" s="5">
        <f t="shared" si="0"/>
        <v>0.28879336571057801</v>
      </c>
      <c r="M14" s="5">
        <f t="shared" si="1"/>
        <v>0.6197814435018183</v>
      </c>
      <c r="N14" s="5">
        <f t="shared" si="2"/>
        <v>9.1425190787603666E-2</v>
      </c>
      <c r="O14" s="5">
        <f t="shared" si="3"/>
        <v>0.38746191945474173</v>
      </c>
      <c r="P14">
        <f t="shared" si="4"/>
        <v>0.61100937769792929</v>
      </c>
      <c r="Q14">
        <f t="shared" si="5"/>
        <v>1.5287028473290069E-3</v>
      </c>
      <c r="R14">
        <f t="shared" si="6"/>
        <v>1.9121422063099205E-2</v>
      </c>
      <c r="S14">
        <f t="shared" si="7"/>
        <v>0.61180128187991578</v>
      </c>
      <c r="T14">
        <f t="shared" si="8"/>
        <v>0.36907729605698497</v>
      </c>
    </row>
    <row r="15" spans="1:20" x14ac:dyDescent="0.25">
      <c r="A15" s="1">
        <v>0.36859999999999998</v>
      </c>
      <c r="B15" s="1">
        <v>0.36449999999999999</v>
      </c>
      <c r="C15" s="1">
        <v>0.54449999999999998</v>
      </c>
      <c r="D15" s="1">
        <v>0.43830000000000002</v>
      </c>
      <c r="E15" s="1">
        <v>2.4500000000000001E-2</v>
      </c>
      <c r="F15" s="1">
        <v>0.2555</v>
      </c>
      <c r="G15" s="1">
        <v>0.58299999999999996</v>
      </c>
      <c r="H15" s="1">
        <v>12.975</v>
      </c>
      <c r="L15" s="5">
        <f t="shared" si="0"/>
        <v>0.24541531659369975</v>
      </c>
      <c r="M15" s="5">
        <f t="shared" si="1"/>
        <v>0.66764648405667526</v>
      </c>
      <c r="N15" s="5">
        <f t="shared" si="2"/>
        <v>8.6938199349625073E-2</v>
      </c>
      <c r="O15" s="5">
        <f t="shared" si="3"/>
        <v>0.30960161955418947</v>
      </c>
      <c r="P15">
        <f t="shared" si="4"/>
        <v>0.6856137376471676</v>
      </c>
      <c r="Q15">
        <f t="shared" si="5"/>
        <v>4.7846427986427496E-3</v>
      </c>
      <c r="R15">
        <f t="shared" si="6"/>
        <v>2.269258439403847E-2</v>
      </c>
      <c r="S15">
        <f t="shared" si="7"/>
        <v>0.65104570762667691</v>
      </c>
      <c r="T15">
        <f t="shared" si="8"/>
        <v>0.32626170797928461</v>
      </c>
    </row>
    <row r="16" spans="1:20" ht="15.75" thickBot="1" x14ac:dyDescent="0.3">
      <c r="A16" s="3">
        <v>0.33100000000000002</v>
      </c>
      <c r="B16" s="3">
        <v>0.40250000000000002</v>
      </c>
      <c r="C16" s="3">
        <v>0.4839</v>
      </c>
      <c r="D16" s="3">
        <v>0.48880000000000001</v>
      </c>
      <c r="E16" s="3">
        <v>2.6800000000000001E-2</v>
      </c>
      <c r="F16" s="3">
        <v>0.28199999999999997</v>
      </c>
      <c r="G16" s="3">
        <v>0.57699999999999996</v>
      </c>
      <c r="H16" s="3">
        <v>10.405200000000001</v>
      </c>
      <c r="L16" s="6">
        <f t="shared" si="0"/>
        <v>0.21100422500785587</v>
      </c>
      <c r="M16" s="6">
        <f t="shared" si="1"/>
        <v>0.70588140733933835</v>
      </c>
      <c r="N16" s="6">
        <f t="shared" si="2"/>
        <v>8.3114367652805818E-2</v>
      </c>
      <c r="O16" s="6">
        <f t="shared" si="3"/>
        <v>0.2627060992583985</v>
      </c>
      <c r="P16" s="7">
        <f t="shared" si="4"/>
        <v>0.73004298405783008</v>
      </c>
      <c r="Q16" s="7">
        <f t="shared" si="5"/>
        <v>7.2509166837713213E-3</v>
      </c>
      <c r="R16">
        <f t="shared" si="6"/>
        <v>2.349307948235807E-2</v>
      </c>
      <c r="S16">
        <f t="shared" si="7"/>
        <v>0.68007523904760914</v>
      </c>
      <c r="T16">
        <f t="shared" si="8"/>
        <v>0.29643168147003285</v>
      </c>
    </row>
    <row r="17" spans="1:20" x14ac:dyDescent="0.25">
      <c r="A17" s="30">
        <v>0.68369999999999997</v>
      </c>
      <c r="B17" s="30">
        <v>6.7100000000000007E-2</v>
      </c>
      <c r="C17" s="30">
        <v>0.93049999999999999</v>
      </c>
      <c r="D17" s="30">
        <v>6.8400000000000002E-2</v>
      </c>
      <c r="E17" s="30">
        <v>5.0000000000000001E-3</v>
      </c>
      <c r="F17" s="30">
        <v>5.96E-2</v>
      </c>
      <c r="G17" s="30">
        <v>0.87239999999999995</v>
      </c>
      <c r="H17" s="30">
        <v>163.57470000000001</v>
      </c>
      <c r="I17" t="s">
        <v>14</v>
      </c>
      <c r="J17">
        <f>298.15-273.15</f>
        <v>25</v>
      </c>
      <c r="L17" s="5">
        <f t="shared" si="0"/>
        <v>0.69045673484474457</v>
      </c>
      <c r="M17" s="5">
        <f t="shared" si="1"/>
        <v>0.18642154845030215</v>
      </c>
      <c r="N17" s="5">
        <f t="shared" si="2"/>
        <v>0.12312171670495342</v>
      </c>
      <c r="O17" s="8">
        <f t="shared" si="3"/>
        <v>0.83138865869082013</v>
      </c>
      <c r="P17" s="9">
        <f t="shared" si="4"/>
        <v>0.16813050623709366</v>
      </c>
      <c r="Q17" s="9">
        <f t="shared" si="5"/>
        <v>4.8083507208628522E-4</v>
      </c>
      <c r="R17" s="9">
        <f t="shared" si="6"/>
        <v>7.9796651301306306E-3</v>
      </c>
      <c r="S17" s="9">
        <f t="shared" si="7"/>
        <v>0.26167583721847892</v>
      </c>
      <c r="T17" s="9">
        <f t="shared" si="8"/>
        <v>0.73034449765139042</v>
      </c>
    </row>
    <row r="18" spans="1:20" x14ac:dyDescent="0.25">
      <c r="A18" s="1">
        <v>0.62060000000000004</v>
      </c>
      <c r="B18" s="1">
        <v>0.1313</v>
      </c>
      <c r="C18" s="1">
        <v>0.84850000000000003</v>
      </c>
      <c r="D18" s="1">
        <v>0.14949999999999999</v>
      </c>
      <c r="E18" s="1">
        <v>6.8999999999999999E-3</v>
      </c>
      <c r="F18" s="1">
        <v>0.10929999999999999</v>
      </c>
      <c r="G18" s="1">
        <v>0.73109999999999997</v>
      </c>
      <c r="H18" s="1">
        <v>89.585700000000003</v>
      </c>
      <c r="L18" s="5">
        <f t="shared" si="0"/>
        <v>0.56254783310804923</v>
      </c>
      <c r="M18" s="5">
        <f t="shared" si="1"/>
        <v>0.32742746938254097</v>
      </c>
      <c r="N18" s="5">
        <f t="shared" si="2"/>
        <v>0.1100246975094098</v>
      </c>
      <c r="O18" s="8">
        <f t="shared" si="3"/>
        <v>0.6730043907109593</v>
      </c>
      <c r="P18" s="9">
        <f t="shared" si="4"/>
        <v>0.32621951983745673</v>
      </c>
      <c r="Q18" s="9">
        <f t="shared" si="5"/>
        <v>7.7608945158384203E-4</v>
      </c>
      <c r="R18" s="9">
        <f t="shared" si="6"/>
        <v>9.3246166575387032E-3</v>
      </c>
      <c r="S18" s="9">
        <f t="shared" si="7"/>
        <v>0.4063542051644653</v>
      </c>
      <c r="T18" s="9">
        <f t="shared" si="8"/>
        <v>0.584321178177996</v>
      </c>
    </row>
    <row r="19" spans="1:20" x14ac:dyDescent="0.25">
      <c r="A19" s="1">
        <v>0.53869999999999996</v>
      </c>
      <c r="B19" s="1">
        <v>0.19420000000000001</v>
      </c>
      <c r="C19" s="1">
        <v>0.78600000000000003</v>
      </c>
      <c r="D19" s="1">
        <v>0.2079</v>
      </c>
      <c r="E19" s="1">
        <v>7.9000000000000008E-3</v>
      </c>
      <c r="F19" s="1">
        <v>0.13850000000000001</v>
      </c>
      <c r="G19" s="1">
        <v>0.66600000000000004</v>
      </c>
      <c r="H19" s="1">
        <v>66.615600000000001</v>
      </c>
      <c r="L19" s="5">
        <f t="shared" si="0"/>
        <v>0.44756158860019207</v>
      </c>
      <c r="M19" s="5">
        <f t="shared" si="1"/>
        <v>0.44387200737319854</v>
      </c>
      <c r="N19" s="5">
        <f t="shared" si="2"/>
        <v>0.10856640402660951</v>
      </c>
      <c r="O19" s="8">
        <f t="shared" si="3"/>
        <v>0.57754489165621337</v>
      </c>
      <c r="P19" s="9">
        <f t="shared" si="4"/>
        <v>0.42026225912757365</v>
      </c>
      <c r="Q19" s="9">
        <f t="shared" si="5"/>
        <v>2.192849216212957E-3</v>
      </c>
      <c r="R19" s="9">
        <f t="shared" si="6"/>
        <v>9.7950065786519252E-3</v>
      </c>
      <c r="S19" s="9">
        <f t="shared" si="7"/>
        <v>0.47242200087970443</v>
      </c>
      <c r="T19" s="9">
        <f t="shared" si="8"/>
        <v>0.51778299254164362</v>
      </c>
    </row>
    <row r="20" spans="1:20" x14ac:dyDescent="0.25">
      <c r="A20" s="1">
        <v>0.49120000000000003</v>
      </c>
      <c r="B20" s="1">
        <v>0.2515</v>
      </c>
      <c r="C20" s="1">
        <v>0.69830000000000003</v>
      </c>
      <c r="D20" s="1">
        <v>0.2969</v>
      </c>
      <c r="E20" s="1">
        <v>8.8000000000000005E-3</v>
      </c>
      <c r="F20" s="1">
        <v>0.18429999999999999</v>
      </c>
      <c r="G20" s="1">
        <v>0.62080000000000002</v>
      </c>
      <c r="H20" s="1">
        <v>49.025799999999997</v>
      </c>
      <c r="L20" s="5">
        <f t="shared" si="0"/>
        <v>0.37525532149630392</v>
      </c>
      <c r="M20" s="5">
        <f t="shared" si="1"/>
        <v>0.5285781316210969</v>
      </c>
      <c r="N20" s="5">
        <f t="shared" si="2"/>
        <v>9.6166546882599152E-2</v>
      </c>
      <c r="O20" s="8">
        <f t="shared" si="3"/>
        <v>0.46018203169498101</v>
      </c>
      <c r="P20" s="9">
        <f t="shared" si="4"/>
        <v>0.53827041867220271</v>
      </c>
      <c r="Q20" s="9">
        <f t="shared" si="5"/>
        <v>1.5475496328164584E-3</v>
      </c>
      <c r="R20" s="9">
        <f t="shared" si="6"/>
        <v>9.6641113244504678E-3</v>
      </c>
      <c r="S20" s="9">
        <f t="shared" si="7"/>
        <v>0.55681033509297417</v>
      </c>
      <c r="T20" s="9">
        <f t="shared" si="8"/>
        <v>0.43352555358257527</v>
      </c>
    </row>
    <row r="21" spans="1:20" x14ac:dyDescent="0.25">
      <c r="A21" s="1">
        <v>0.44969999999999999</v>
      </c>
      <c r="B21" s="1">
        <v>0.31290000000000001</v>
      </c>
      <c r="C21" s="1">
        <v>0.62619999999999998</v>
      </c>
      <c r="D21" s="1">
        <v>0.35310000000000002</v>
      </c>
      <c r="E21" s="1">
        <v>1.5699999999999999E-2</v>
      </c>
      <c r="F21" s="1">
        <v>0.21859999999999999</v>
      </c>
      <c r="G21" s="1">
        <v>0.61899999999999999</v>
      </c>
      <c r="H21" s="1">
        <v>24.763100000000001</v>
      </c>
      <c r="L21" s="5">
        <f t="shared" si="0"/>
        <v>0.3152126780292594</v>
      </c>
      <c r="M21" s="5">
        <f t="shared" si="1"/>
        <v>0.60337741886629093</v>
      </c>
      <c r="N21" s="5">
        <f t="shared" si="2"/>
        <v>8.1409903104449802E-2</v>
      </c>
      <c r="O21" s="8">
        <f t="shared" si="3"/>
        <v>0.38949270110171286</v>
      </c>
      <c r="P21" s="9">
        <f t="shared" si="4"/>
        <v>0.60420828828857853</v>
      </c>
      <c r="Q21" s="9">
        <f t="shared" si="5"/>
        <v>6.2990106097086211E-3</v>
      </c>
      <c r="R21" s="9">
        <f t="shared" si="6"/>
        <v>1.5831543199137089E-2</v>
      </c>
      <c r="S21" s="9">
        <f t="shared" si="7"/>
        <v>0.60642410521433465</v>
      </c>
      <c r="T21" s="9">
        <f t="shared" si="8"/>
        <v>0.3777443515865283</v>
      </c>
    </row>
    <row r="22" spans="1:20" ht="15.75" thickBot="1" x14ac:dyDescent="0.3">
      <c r="A22" s="3">
        <v>0.41199999999999998</v>
      </c>
      <c r="B22" s="3">
        <v>0.34060000000000001</v>
      </c>
      <c r="C22" s="3">
        <v>0.5786</v>
      </c>
      <c r="D22" s="3">
        <v>0.39950000000000002</v>
      </c>
      <c r="E22" s="3">
        <v>1.7600000000000001E-2</v>
      </c>
      <c r="F22" s="3">
        <v>0.24260000000000001</v>
      </c>
      <c r="G22" s="3">
        <v>0.60729999999999995</v>
      </c>
      <c r="H22" s="3">
        <v>19.986899999999999</v>
      </c>
      <c r="L22" s="6">
        <f t="shared" si="0"/>
        <v>0.28026200995840211</v>
      </c>
      <c r="M22" s="6">
        <f t="shared" si="1"/>
        <v>0.63740337758830268</v>
      </c>
      <c r="N22" s="6">
        <f t="shared" si="2"/>
        <v>8.2334612453295375E-2</v>
      </c>
      <c r="O22" s="10">
        <f t="shared" si="3"/>
        <v>0.34269752669899073</v>
      </c>
      <c r="P22" s="11">
        <f t="shared" si="4"/>
        <v>0.65095658549417479</v>
      </c>
      <c r="Q22" s="11">
        <f t="shared" si="5"/>
        <v>6.3458878068344479E-3</v>
      </c>
      <c r="R22" s="9">
        <f t="shared" si="6"/>
        <v>1.681080377623027E-2</v>
      </c>
      <c r="S22" s="9">
        <f t="shared" si="7"/>
        <v>0.63748402807856208</v>
      </c>
      <c r="T22" s="9">
        <f t="shared" si="8"/>
        <v>0.34570516814520763</v>
      </c>
    </row>
    <row r="23" spans="1:20" x14ac:dyDescent="0.25">
      <c r="A23" s="30">
        <v>0.622</v>
      </c>
      <c r="B23" s="30">
        <v>0.1115</v>
      </c>
      <c r="C23" s="30">
        <v>0.89419999999999999</v>
      </c>
      <c r="D23" s="30">
        <v>0.105</v>
      </c>
      <c r="E23" s="30">
        <v>3.7000000000000002E-3</v>
      </c>
      <c r="F23" s="30">
        <v>0.104</v>
      </c>
      <c r="G23" s="30">
        <v>0.99060000000000004</v>
      </c>
      <c r="H23" s="30">
        <v>239.85980000000001</v>
      </c>
      <c r="I23" t="s">
        <v>15</v>
      </c>
      <c r="J23">
        <f>318.15-273.15</f>
        <v>45</v>
      </c>
      <c r="L23" s="5">
        <f t="shared" si="0"/>
        <v>0.58727687591885946</v>
      </c>
      <c r="M23" s="5">
        <f t="shared" si="1"/>
        <v>0.28962102354534236</v>
      </c>
      <c r="N23" s="5">
        <f t="shared" si="2"/>
        <v>0.12310210053579818</v>
      </c>
      <c r="O23" s="5">
        <f t="shared" si="3"/>
        <v>0.75558464180898122</v>
      </c>
      <c r="P23">
        <f t="shared" si="4"/>
        <v>0.24408464297479798</v>
      </c>
      <c r="Q23">
        <f t="shared" si="5"/>
        <v>3.3071521622075553E-4</v>
      </c>
      <c r="R23">
        <f t="shared" si="6"/>
        <v>5.093930885554856E-3</v>
      </c>
      <c r="S23">
        <f t="shared" si="7"/>
        <v>0.39390125448872587</v>
      </c>
      <c r="T23">
        <f t="shared" si="8"/>
        <v>0.6010048146257192</v>
      </c>
    </row>
    <row r="24" spans="1:20" x14ac:dyDescent="0.25">
      <c r="A24" s="1">
        <v>0.58479999999999999</v>
      </c>
      <c r="B24" s="1">
        <v>0.14879999999999999</v>
      </c>
      <c r="C24" s="1">
        <v>0.84</v>
      </c>
      <c r="D24" s="1">
        <v>0.15770000000000001</v>
      </c>
      <c r="E24" s="1">
        <v>5.1999999999999998E-3</v>
      </c>
      <c r="F24" s="1">
        <v>0.13780000000000001</v>
      </c>
      <c r="G24" s="1">
        <v>0.87380000000000002</v>
      </c>
      <c r="H24" s="1">
        <v>140.08969999999999</v>
      </c>
      <c r="L24" s="5">
        <f t="shared" si="0"/>
        <v>0.52005711096277851</v>
      </c>
      <c r="M24" s="5">
        <f t="shared" si="1"/>
        <v>0.36404016862079441</v>
      </c>
      <c r="N24" s="5">
        <f t="shared" si="2"/>
        <v>0.11590272041642696</v>
      </c>
      <c r="O24" s="5">
        <f t="shared" si="3"/>
        <v>0.65883901428412606</v>
      </c>
      <c r="P24">
        <f t="shared" si="4"/>
        <v>0.34027842703149591</v>
      </c>
      <c r="Q24">
        <f t="shared" si="5"/>
        <v>8.8255868437803306E-4</v>
      </c>
      <c r="R24">
        <f t="shared" si="6"/>
        <v>6.4711142188264214E-3</v>
      </c>
      <c r="S24">
        <f t="shared" si="7"/>
        <v>0.47176708811319679</v>
      </c>
      <c r="T24">
        <f t="shared" si="8"/>
        <v>0.52176179766797681</v>
      </c>
    </row>
    <row r="25" spans="1:20" x14ac:dyDescent="0.25">
      <c r="A25" s="1">
        <v>0.54920000000000002</v>
      </c>
      <c r="B25" s="1">
        <v>0.183</v>
      </c>
      <c r="C25" s="1">
        <v>0.80089999999999995</v>
      </c>
      <c r="D25" s="1">
        <v>0.19539999999999999</v>
      </c>
      <c r="E25" s="1">
        <v>5.4000000000000003E-3</v>
      </c>
      <c r="F25" s="1">
        <v>0.16439999999999999</v>
      </c>
      <c r="G25" s="1">
        <v>0.84150000000000003</v>
      </c>
      <c r="H25" s="1">
        <v>123.77079999999999</v>
      </c>
      <c r="L25" s="5">
        <f t="shared" si="0"/>
        <v>0.46398316615561525</v>
      </c>
      <c r="M25" s="5">
        <f t="shared" si="1"/>
        <v>0.42532948070757498</v>
      </c>
      <c r="N25" s="5">
        <f t="shared" si="2"/>
        <v>0.11068735313680979</v>
      </c>
      <c r="O25" s="5">
        <f t="shared" si="3"/>
        <v>0.59756591613118371</v>
      </c>
      <c r="P25">
        <f t="shared" si="4"/>
        <v>0.4010834893503662</v>
      </c>
      <c r="Q25">
        <f t="shared" si="5"/>
        <v>1.3505945184500827E-3</v>
      </c>
      <c r="R25">
        <f t="shared" si="6"/>
        <v>6.2511703646364681E-3</v>
      </c>
      <c r="S25">
        <f t="shared" si="7"/>
        <v>0.52356678711309834</v>
      </c>
      <c r="T25">
        <f t="shared" si="8"/>
        <v>0.4701820425222652</v>
      </c>
    </row>
    <row r="26" spans="1:20" x14ac:dyDescent="0.25">
      <c r="A26" s="1">
        <v>0.51790000000000003</v>
      </c>
      <c r="B26" s="1">
        <v>0.21579999999999999</v>
      </c>
      <c r="C26" s="1">
        <v>0.75749999999999995</v>
      </c>
      <c r="D26" s="1">
        <v>0.23480000000000001</v>
      </c>
      <c r="E26" s="1">
        <v>8.2000000000000007E-3</v>
      </c>
      <c r="F26" s="1">
        <v>0.1951</v>
      </c>
      <c r="G26" s="1">
        <v>0.83120000000000005</v>
      </c>
      <c r="H26" s="1">
        <v>76.653300000000002</v>
      </c>
      <c r="L26" s="5">
        <f t="shared" si="0"/>
        <v>0.41703402425308694</v>
      </c>
      <c r="M26" s="5">
        <f t="shared" si="1"/>
        <v>0.47805704071747773</v>
      </c>
      <c r="N26" s="5">
        <f t="shared" si="2"/>
        <v>0.10490893502943528</v>
      </c>
      <c r="O26" s="5">
        <f t="shared" si="3"/>
        <v>0.53829539846357521</v>
      </c>
      <c r="P26">
        <f t="shared" si="4"/>
        <v>0.45902762546384218</v>
      </c>
      <c r="Q26">
        <f t="shared" si="5"/>
        <v>2.6769760725826866E-3</v>
      </c>
      <c r="R26">
        <f t="shared" si="6"/>
        <v>8.7728027034414263E-3</v>
      </c>
      <c r="S26">
        <f t="shared" si="7"/>
        <v>0.57422815148852402</v>
      </c>
      <c r="T26">
        <f t="shared" si="8"/>
        <v>0.4169990458080346</v>
      </c>
    </row>
    <row r="27" spans="1:20" x14ac:dyDescent="0.25">
      <c r="A27" s="1">
        <v>0.46029999999999999</v>
      </c>
      <c r="B27" s="1">
        <v>0.26190000000000002</v>
      </c>
      <c r="C27" s="1">
        <v>0.70650000000000002</v>
      </c>
      <c r="D27" s="1">
        <v>0.27929999999999999</v>
      </c>
      <c r="E27" s="1">
        <v>9.1000000000000004E-3</v>
      </c>
      <c r="F27" s="1">
        <v>0.21890000000000001</v>
      </c>
      <c r="G27" s="1">
        <v>0.78359999999999996</v>
      </c>
      <c r="H27" s="1">
        <v>61.143300000000004</v>
      </c>
      <c r="L27" s="5">
        <f t="shared" si="0"/>
        <v>0.34958186095774807</v>
      </c>
      <c r="M27" s="5">
        <f t="shared" si="1"/>
        <v>0.5472000319042164</v>
      </c>
      <c r="N27" s="5">
        <f t="shared" si="2"/>
        <v>0.10321810713803543</v>
      </c>
      <c r="O27" s="5">
        <f t="shared" si="3"/>
        <v>0.47677764423807417</v>
      </c>
      <c r="P27">
        <f t="shared" si="4"/>
        <v>0.51853413778644286</v>
      </c>
      <c r="Q27">
        <f t="shared" si="5"/>
        <v>4.6882179754830699E-3</v>
      </c>
      <c r="R27">
        <f t="shared" si="6"/>
        <v>9.2012267448400003E-3</v>
      </c>
      <c r="S27">
        <f t="shared" si="7"/>
        <v>0.60890957442315996</v>
      </c>
      <c r="T27">
        <f t="shared" si="8"/>
        <v>0.38188919883199995</v>
      </c>
    </row>
    <row r="28" spans="1:20" x14ac:dyDescent="0.25">
      <c r="A28" s="1">
        <v>0.41070000000000001</v>
      </c>
      <c r="B28" s="1">
        <v>0.32150000000000001</v>
      </c>
      <c r="C28" s="1">
        <v>0.61560000000000004</v>
      </c>
      <c r="D28" s="1">
        <v>0.35849999999999999</v>
      </c>
      <c r="E28" s="1">
        <v>1.6899999999999998E-2</v>
      </c>
      <c r="F28" s="1">
        <v>0.2631</v>
      </c>
      <c r="G28" s="1">
        <v>0.73380000000000001</v>
      </c>
      <c r="H28" s="1">
        <v>26.676600000000001</v>
      </c>
      <c r="L28" s="5">
        <f t="shared" si="0"/>
        <v>0.2879704988904826</v>
      </c>
      <c r="M28" s="5">
        <f t="shared" si="1"/>
        <v>0.62016460194741407</v>
      </c>
      <c r="N28" s="5">
        <f t="shared" si="2"/>
        <v>9.1864899162103192E-2</v>
      </c>
      <c r="O28" s="5">
        <f t="shared" si="3"/>
        <v>0.3812869291502391</v>
      </c>
      <c r="P28">
        <f t="shared" si="4"/>
        <v>0.61086489357184637</v>
      </c>
      <c r="Q28">
        <f t="shared" si="5"/>
        <v>7.8481772779146058E-3</v>
      </c>
      <c r="R28">
        <f t="shared" si="6"/>
        <v>1.5462653077389683E-2</v>
      </c>
      <c r="S28">
        <f t="shared" si="7"/>
        <v>0.66224830607661589</v>
      </c>
      <c r="T28">
        <f t="shared" si="8"/>
        <v>0.32228904084599441</v>
      </c>
    </row>
    <row r="29" spans="1:20" ht="15.75" thickBot="1" x14ac:dyDescent="0.3">
      <c r="A29" s="3">
        <v>0.3679</v>
      </c>
      <c r="B29" s="3">
        <v>0.36499999999999999</v>
      </c>
      <c r="C29" s="3">
        <v>0.54690000000000005</v>
      </c>
      <c r="D29" s="3">
        <v>0.40739999999999998</v>
      </c>
      <c r="E29" s="3">
        <v>1.9900000000000001E-2</v>
      </c>
      <c r="F29" s="3">
        <v>0.30309999999999998</v>
      </c>
      <c r="G29" s="3">
        <v>0.74399999999999999</v>
      </c>
      <c r="H29" s="3">
        <v>20.399699999999999</v>
      </c>
      <c r="L29" s="5">
        <f t="shared" si="0"/>
        <v>0.2448231888440533</v>
      </c>
      <c r="M29" s="5">
        <f t="shared" si="1"/>
        <v>0.66821824210271819</v>
      </c>
      <c r="N29" s="5">
        <f t="shared" si="2"/>
        <v>8.6958569053228491E-2</v>
      </c>
      <c r="O29" s="5">
        <f t="shared" si="3"/>
        <v>0.32360054450537407</v>
      </c>
      <c r="P29">
        <f t="shared" si="4"/>
        <v>0.66317026547825275</v>
      </c>
      <c r="Q29">
        <f t="shared" si="5"/>
        <v>1.322919001637313E-2</v>
      </c>
      <c r="R29">
        <f t="shared" si="6"/>
        <v>1.6793786274568741E-2</v>
      </c>
      <c r="S29">
        <f t="shared" si="7"/>
        <v>0.70369454167612655</v>
      </c>
      <c r="T29">
        <f t="shared" si="8"/>
        <v>0.27951167204930466</v>
      </c>
    </row>
    <row r="33" spans="1:6" x14ac:dyDescent="0.25">
      <c r="A33" t="s">
        <v>22</v>
      </c>
      <c r="D33" t="s">
        <v>22</v>
      </c>
      <c r="F33" t="s">
        <v>22</v>
      </c>
    </row>
    <row r="34" spans="1:6" x14ac:dyDescent="0.25">
      <c r="A34">
        <f>1-A9-B9</f>
        <v>0.26750000000000002</v>
      </c>
      <c r="D34">
        <f>1-C9-D9</f>
        <v>0</v>
      </c>
      <c r="F34">
        <f>1-E9-F9</f>
        <v>0.89700000000000002</v>
      </c>
    </row>
    <row r="35" spans="1:6" x14ac:dyDescent="0.25">
      <c r="A35">
        <f t="shared" ref="A35:A54" si="9">1-A10-B10</f>
        <v>0.26679999999999998</v>
      </c>
      <c r="D35">
        <f t="shared" ref="D35:D54" si="10">1-C10-D10</f>
        <v>0</v>
      </c>
      <c r="F35">
        <f t="shared" ref="F35:F54" si="11">1-E10-F10</f>
        <v>0.87319999999999998</v>
      </c>
    </row>
    <row r="36" spans="1:6" x14ac:dyDescent="0.25">
      <c r="A36">
        <f t="shared" si="9"/>
        <v>0.26689999999999992</v>
      </c>
      <c r="D36">
        <f t="shared" si="10"/>
        <v>8.9999999999998415E-4</v>
      </c>
      <c r="F36">
        <f t="shared" si="11"/>
        <v>0.84319999999999995</v>
      </c>
    </row>
    <row r="37" spans="1:6" x14ac:dyDescent="0.25">
      <c r="A37">
        <f t="shared" si="9"/>
        <v>0.2472</v>
      </c>
      <c r="D37">
        <f t="shared" si="10"/>
        <v>1.6000000000000458E-3</v>
      </c>
      <c r="F37">
        <f t="shared" si="11"/>
        <v>0.8196</v>
      </c>
    </row>
    <row r="38" spans="1:6" x14ac:dyDescent="0.25">
      <c r="A38">
        <f t="shared" si="9"/>
        <v>0.24639999999999995</v>
      </c>
      <c r="D38">
        <f t="shared" si="10"/>
        <v>4.9999999999999489E-3</v>
      </c>
      <c r="F38">
        <f t="shared" si="11"/>
        <v>0.76980000000000004</v>
      </c>
    </row>
    <row r="39" spans="1:6" x14ac:dyDescent="0.25">
      <c r="A39">
        <f t="shared" si="9"/>
        <v>0.26660000000000006</v>
      </c>
      <c r="D39">
        <f t="shared" si="10"/>
        <v>5.1000000000000489E-3</v>
      </c>
      <c r="F39">
        <f t="shared" si="11"/>
        <v>0.75750000000000006</v>
      </c>
    </row>
    <row r="40" spans="1:6" x14ac:dyDescent="0.25">
      <c r="A40">
        <f t="shared" si="9"/>
        <v>0.26689999999999997</v>
      </c>
      <c r="D40">
        <f t="shared" si="10"/>
        <v>1.7199999999999993E-2</v>
      </c>
      <c r="F40">
        <f t="shared" si="11"/>
        <v>0.72</v>
      </c>
    </row>
    <row r="41" spans="1:6" x14ac:dyDescent="0.25">
      <c r="A41">
        <f t="shared" si="9"/>
        <v>0.26650000000000001</v>
      </c>
      <c r="D41">
        <f t="shared" si="10"/>
        <v>2.7299999999999991E-2</v>
      </c>
      <c r="F41">
        <f t="shared" si="11"/>
        <v>0.69120000000000004</v>
      </c>
    </row>
    <row r="42" spans="1:6" x14ac:dyDescent="0.25">
      <c r="A42">
        <f>1-A17-B17</f>
        <v>0.24920000000000003</v>
      </c>
      <c r="D42">
        <f>1-C17-D17</f>
        <v>1.1000000000000038E-3</v>
      </c>
      <c r="F42">
        <f>1-E17-F17</f>
        <v>0.93540000000000001</v>
      </c>
    </row>
    <row r="43" spans="1:6" x14ac:dyDescent="0.25">
      <c r="A43">
        <f t="shared" si="9"/>
        <v>0.24809999999999996</v>
      </c>
      <c r="D43">
        <f t="shared" si="10"/>
        <v>1.999999999999974E-3</v>
      </c>
      <c r="F43">
        <f t="shared" si="11"/>
        <v>0.88380000000000003</v>
      </c>
    </row>
    <row r="44" spans="1:6" x14ac:dyDescent="0.25">
      <c r="A44">
        <f t="shared" si="9"/>
        <v>0.2671</v>
      </c>
      <c r="D44">
        <f t="shared" si="10"/>
        <v>6.0999999999999666E-3</v>
      </c>
      <c r="F44">
        <f t="shared" si="11"/>
        <v>0.85359999999999991</v>
      </c>
    </row>
    <row r="45" spans="1:6" x14ac:dyDescent="0.25">
      <c r="A45">
        <f t="shared" si="9"/>
        <v>0.25729999999999992</v>
      </c>
      <c r="D45">
        <f t="shared" si="10"/>
        <v>4.799999999999971E-3</v>
      </c>
      <c r="F45">
        <f t="shared" si="11"/>
        <v>0.80689999999999995</v>
      </c>
    </row>
    <row r="46" spans="1:6" x14ac:dyDescent="0.25">
      <c r="A46">
        <f t="shared" si="9"/>
        <v>0.2374</v>
      </c>
      <c r="D46">
        <f t="shared" si="10"/>
        <v>2.0699999999999996E-2</v>
      </c>
      <c r="F46">
        <f t="shared" si="11"/>
        <v>0.76569999999999994</v>
      </c>
    </row>
    <row r="47" spans="1:6" x14ac:dyDescent="0.25">
      <c r="A47">
        <f t="shared" si="9"/>
        <v>0.24740000000000006</v>
      </c>
      <c r="D47">
        <f t="shared" si="10"/>
        <v>2.1899999999999975E-2</v>
      </c>
      <c r="F47">
        <f t="shared" si="11"/>
        <v>0.73980000000000001</v>
      </c>
    </row>
    <row r="48" spans="1:6" x14ac:dyDescent="0.25">
      <c r="A48">
        <f t="shared" si="9"/>
        <v>0.26650000000000001</v>
      </c>
      <c r="D48">
        <f t="shared" si="10"/>
        <v>8.0000000000000904E-4</v>
      </c>
      <c r="F48">
        <f t="shared" si="11"/>
        <v>0.89229999999999998</v>
      </c>
    </row>
    <row r="49" spans="1:6" x14ac:dyDescent="0.25">
      <c r="A49">
        <f t="shared" si="9"/>
        <v>0.26640000000000003</v>
      </c>
      <c r="D49">
        <f t="shared" si="10"/>
        <v>2.3000000000000242E-3</v>
      </c>
      <c r="F49">
        <f t="shared" si="11"/>
        <v>0.85699999999999998</v>
      </c>
    </row>
    <row r="50" spans="1:6" x14ac:dyDescent="0.25">
      <c r="A50">
        <f t="shared" si="9"/>
        <v>0.26779999999999998</v>
      </c>
      <c r="D50">
        <f t="shared" si="10"/>
        <v>3.7000000000000643E-3</v>
      </c>
      <c r="F50">
        <f t="shared" si="11"/>
        <v>0.83020000000000005</v>
      </c>
    </row>
    <row r="51" spans="1:6" x14ac:dyDescent="0.25">
      <c r="A51">
        <f t="shared" si="9"/>
        <v>0.26629999999999998</v>
      </c>
      <c r="D51">
        <f t="shared" si="10"/>
        <v>7.7000000000000401E-3</v>
      </c>
      <c r="F51">
        <f t="shared" si="11"/>
        <v>0.79669999999999996</v>
      </c>
    </row>
    <row r="52" spans="1:6" x14ac:dyDescent="0.25">
      <c r="A52">
        <f t="shared" si="9"/>
        <v>0.27780000000000005</v>
      </c>
      <c r="D52">
        <f t="shared" si="10"/>
        <v>1.419999999999999E-2</v>
      </c>
      <c r="F52">
        <f t="shared" si="11"/>
        <v>0.77200000000000002</v>
      </c>
    </row>
    <row r="53" spans="1:6" x14ac:dyDescent="0.25">
      <c r="A53">
        <f t="shared" si="9"/>
        <v>0.26779999999999993</v>
      </c>
      <c r="D53">
        <f t="shared" si="10"/>
        <v>2.5899999999999979E-2</v>
      </c>
      <c r="F53">
        <f t="shared" si="11"/>
        <v>0.72</v>
      </c>
    </row>
    <row r="54" spans="1:6" x14ac:dyDescent="0.25">
      <c r="A54">
        <f t="shared" si="9"/>
        <v>0.2671</v>
      </c>
      <c r="D54">
        <f t="shared" si="10"/>
        <v>4.5699999999999963E-2</v>
      </c>
      <c r="F54">
        <f t="shared" si="11"/>
        <v>0.67700000000000005</v>
      </c>
    </row>
  </sheetData>
  <mergeCells count="4">
    <mergeCell ref="A7:B7"/>
    <mergeCell ref="C7:D7"/>
    <mergeCell ref="E7:F7"/>
    <mergeCell ref="L7:M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21"/>
  <dimension ref="A1:AD42"/>
  <sheetViews>
    <sheetView topLeftCell="F22" workbookViewId="0">
      <selection activeCell="L39" sqref="L39"/>
    </sheetView>
  </sheetViews>
  <sheetFormatPr defaultRowHeight="15" x14ac:dyDescent="0.25"/>
  <cols>
    <col min="10" max="10" width="10.28515625" bestFit="1" customWidth="1"/>
    <col min="14" max="15" width="10.28515625" bestFit="1" customWidth="1"/>
  </cols>
  <sheetData>
    <row r="1" spans="1:26" x14ac:dyDescent="0.25">
      <c r="T1" s="4" t="s">
        <v>5</v>
      </c>
      <c r="U1" s="4"/>
      <c r="X1" s="4" t="s">
        <v>6</v>
      </c>
      <c r="Y1" s="4"/>
      <c r="Z1" t="s">
        <v>15</v>
      </c>
    </row>
    <row r="2" spans="1:26" x14ac:dyDescent="0.25">
      <c r="A2" s="36" t="s">
        <v>87</v>
      </c>
      <c r="T2" t="s">
        <v>19</v>
      </c>
      <c r="U2" t="s">
        <v>20</v>
      </c>
      <c r="V2" t="s">
        <v>21</v>
      </c>
      <c r="X2" t="s">
        <v>19</v>
      </c>
      <c r="Y2" t="s">
        <v>20</v>
      </c>
      <c r="Z2" t="s">
        <v>21</v>
      </c>
    </row>
    <row r="3" spans="1:26" x14ac:dyDescent="0.25">
      <c r="T3" s="5">
        <f t="shared" ref="T3:T14" si="0">1-U3-V3</f>
        <v>0.99989422600339584</v>
      </c>
      <c r="U3" s="5">
        <v>0</v>
      </c>
      <c r="V3" s="5">
        <v>1.0577399660417956E-4</v>
      </c>
      <c r="W3" s="5"/>
      <c r="X3" s="5">
        <v>1.8698067702717816E-3</v>
      </c>
      <c r="Y3" s="5">
        <v>0</v>
      </c>
      <c r="Z3" s="5">
        <f t="shared" ref="Z3:Z14" si="1">1-X3-Y3</f>
        <v>0.99813019322972818</v>
      </c>
    </row>
    <row r="4" spans="1:26" x14ac:dyDescent="0.25">
      <c r="T4" s="5">
        <f t="shared" si="0"/>
        <v>0.9603307681200296</v>
      </c>
      <c r="U4" s="5">
        <v>3.9509659102940117E-2</v>
      </c>
      <c r="V4" s="5">
        <v>1.5957277703028432E-4</v>
      </c>
      <c r="W4" s="5"/>
      <c r="X4" s="5">
        <v>2.3830973468163654E-3</v>
      </c>
      <c r="Y4" s="5">
        <v>6.6533867012421977E-2</v>
      </c>
      <c r="Z4" s="5">
        <f t="shared" si="1"/>
        <v>0.93108303564076156</v>
      </c>
    </row>
    <row r="5" spans="1:26" x14ac:dyDescent="0.25">
      <c r="T5" s="5">
        <f t="shared" si="0"/>
        <v>0.95033003517200898</v>
      </c>
      <c r="U5" s="5">
        <v>4.9494411083232853E-2</v>
      </c>
      <c r="V5" s="5">
        <v>1.7555374475822512E-4</v>
      </c>
      <c r="W5" s="5"/>
      <c r="X5" s="5">
        <v>2.5186257020689477E-3</v>
      </c>
      <c r="Y5" s="5">
        <v>8.3098368833812969E-2</v>
      </c>
      <c r="Z5" s="5">
        <f t="shared" si="1"/>
        <v>0.9143830054641181</v>
      </c>
    </row>
    <row r="6" spans="1:26" x14ac:dyDescent="0.25">
      <c r="T6" s="5">
        <f t="shared" si="0"/>
        <v>0.92659904895427037</v>
      </c>
      <c r="U6" s="5">
        <v>7.3183290066168388E-2</v>
      </c>
      <c r="V6" s="5">
        <v>2.1766097956125725E-4</v>
      </c>
      <c r="W6" s="5"/>
      <c r="X6" s="5">
        <v>2.8472087866625475E-3</v>
      </c>
      <c r="Y6" s="5">
        <v>0.12194985288302279</v>
      </c>
      <c r="Z6" s="5">
        <f t="shared" si="1"/>
        <v>0.87520293833031459</v>
      </c>
    </row>
    <row r="7" spans="1:26" x14ac:dyDescent="0.25">
      <c r="T7" s="5">
        <f t="shared" si="0"/>
        <v>0.90424018401417228</v>
      </c>
      <c r="U7" s="5">
        <v>9.5496715198568338E-2</v>
      </c>
      <c r="V7" s="5">
        <v>2.6310078725938469E-4</v>
      </c>
      <c r="W7" s="5"/>
      <c r="X7" s="5">
        <v>3.1637771484944416E-3</v>
      </c>
      <c r="Y7" s="5">
        <v>0.1579378868164828</v>
      </c>
      <c r="Z7" s="5">
        <f t="shared" si="1"/>
        <v>0.83889833603502273</v>
      </c>
    </row>
    <row r="8" spans="1:26" x14ac:dyDescent="0.25">
      <c r="T8" s="5">
        <f t="shared" si="0"/>
        <v>0.87817162402607085</v>
      </c>
      <c r="U8" s="5">
        <v>0.12150455122466586</v>
      </c>
      <c r="V8" s="5">
        <v>3.2382474926328017E-4</v>
      </c>
      <c r="W8" s="5"/>
      <c r="X8" s="5">
        <v>3.5387686926151014E-3</v>
      </c>
      <c r="Y8" s="5">
        <v>0.19911568998922644</v>
      </c>
      <c r="Z8" s="5">
        <f t="shared" si="1"/>
        <v>0.79734554131815849</v>
      </c>
    </row>
    <row r="9" spans="1:26" x14ac:dyDescent="0.25">
      <c r="T9" s="5">
        <f t="shared" si="0"/>
        <v>0.84108801036304504</v>
      </c>
      <c r="U9" s="5">
        <v>0.15848559902608911</v>
      </c>
      <c r="V9" s="5">
        <v>4.2639061086579655E-4</v>
      </c>
      <c r="W9" s="5"/>
      <c r="X9" s="5">
        <v>4.0795949710014283E-3</v>
      </c>
      <c r="Y9" s="5">
        <v>0.25628645181125459</v>
      </c>
      <c r="Z9" s="5">
        <f t="shared" si="1"/>
        <v>0.73963395321774406</v>
      </c>
    </row>
    <row r="10" spans="1:26" x14ac:dyDescent="0.25">
      <c r="T10" s="5">
        <f t="shared" si="0"/>
        <v>0.82050078111615266</v>
      </c>
      <c r="U10" s="5">
        <v>0.17900657233304498</v>
      </c>
      <c r="V10" s="5">
        <v>4.9264655080242777E-4</v>
      </c>
      <c r="W10" s="5"/>
      <c r="X10" s="5">
        <v>4.3833914426733324E-3</v>
      </c>
      <c r="Y10" s="5">
        <v>0.28740336041861736</v>
      </c>
      <c r="Z10" s="5">
        <f t="shared" si="1"/>
        <v>0.70821324813870934</v>
      </c>
    </row>
    <row r="11" spans="1:26" x14ac:dyDescent="0.25">
      <c r="T11" s="5">
        <f t="shared" si="0"/>
        <v>0.76433568374773808</v>
      </c>
      <c r="U11" s="5">
        <v>0.23494919122758043</v>
      </c>
      <c r="V11" s="5">
        <v>7.1512502468155004E-4</v>
      </c>
      <c r="W11" s="5"/>
      <c r="X11" s="5">
        <v>5.23920358194242E-3</v>
      </c>
      <c r="Y11" s="5">
        <v>0.37136639792403048</v>
      </c>
      <c r="Z11" s="5">
        <f t="shared" si="1"/>
        <v>0.62339439849402711</v>
      </c>
    </row>
    <row r="12" spans="1:26" x14ac:dyDescent="0.25">
      <c r="T12" s="5">
        <f t="shared" si="0"/>
        <v>0.73313345032937571</v>
      </c>
      <c r="U12" s="5">
        <v>0.26599319018267709</v>
      </c>
      <c r="V12" s="5">
        <v>8.7335948794716703E-4</v>
      </c>
      <c r="W12" s="5"/>
      <c r="X12" s="5">
        <v>5.7621459669163844E-3</v>
      </c>
      <c r="Y12" s="5">
        <v>0.41969833538985751</v>
      </c>
      <c r="Z12" s="5">
        <f t="shared" si="1"/>
        <v>0.57453951864322605</v>
      </c>
    </row>
    <row r="13" spans="1:26" x14ac:dyDescent="0.25">
      <c r="T13" s="5">
        <f t="shared" si="0"/>
        <v>0.69740474314540124</v>
      </c>
      <c r="U13" s="5">
        <v>0.30148432858620278</v>
      </c>
      <c r="V13" s="5">
        <v>1.1109282683959944E-3</v>
      </c>
      <c r="W13" s="5"/>
      <c r="X13" s="5">
        <v>6.5623943299358911E-3</v>
      </c>
      <c r="Y13" s="5">
        <v>0.48811246583303158</v>
      </c>
      <c r="Z13" s="5">
        <f t="shared" si="1"/>
        <v>0.50532513983703253</v>
      </c>
    </row>
    <row r="14" spans="1:26" x14ac:dyDescent="0.25">
      <c r="T14" s="5">
        <f t="shared" si="0"/>
        <v>0.68695375964428484</v>
      </c>
      <c r="U14" s="5">
        <v>0.31181442751021804</v>
      </c>
      <c r="V14" s="5">
        <v>1.2318128454971472E-3</v>
      </c>
      <c r="W14" s="5"/>
      <c r="X14" s="5">
        <v>7.1353689044210715E-3</v>
      </c>
      <c r="Y14" s="5">
        <v>0.5327271202171493</v>
      </c>
      <c r="Z14" s="5">
        <f t="shared" si="1"/>
        <v>0.46013751087842958</v>
      </c>
    </row>
    <row r="15" spans="1:26" x14ac:dyDescent="0.25">
      <c r="T15" s="5"/>
      <c r="U15" s="31">
        <v>0.35</v>
      </c>
      <c r="V15" s="5"/>
      <c r="W15" s="5"/>
      <c r="X15" s="5"/>
      <c r="Y15" s="5"/>
      <c r="Z15" s="5"/>
    </row>
    <row r="16" spans="1:26" x14ac:dyDescent="0.25">
      <c r="T16" s="5">
        <f>1-U16-V16</f>
        <v>0.68950224541008465</v>
      </c>
      <c r="U16" s="5">
        <v>0.30959369698042827</v>
      </c>
      <c r="V16" s="5">
        <v>9.0405760948709273E-4</v>
      </c>
      <c r="W16" s="5"/>
      <c r="X16" s="5">
        <v>7.1896447296247385E-3</v>
      </c>
      <c r="Y16" s="5">
        <v>0.53654995618265278</v>
      </c>
      <c r="Z16" s="5">
        <f>1-Y16-X16</f>
        <v>0.45626039908772248</v>
      </c>
    </row>
    <row r="17" spans="1:26" x14ac:dyDescent="0.25">
      <c r="T17" s="5"/>
      <c r="U17" s="5"/>
      <c r="V17" s="5"/>
      <c r="W17" s="5"/>
      <c r="X17" s="5"/>
      <c r="Y17" s="5"/>
      <c r="Z17" s="5"/>
    </row>
    <row r="18" spans="1:26" x14ac:dyDescent="0.25">
      <c r="T18" s="5"/>
      <c r="U18" s="5"/>
      <c r="V18" s="5"/>
      <c r="W18" s="5"/>
      <c r="X18" s="5"/>
      <c r="Y18" s="5"/>
      <c r="Z18" s="5"/>
    </row>
    <row r="19" spans="1:26" x14ac:dyDescent="0.25">
      <c r="A19" s="100" t="s">
        <v>4</v>
      </c>
      <c r="B19" s="100"/>
      <c r="D19" s="4" t="s">
        <v>5</v>
      </c>
      <c r="E19" s="4"/>
      <c r="G19" s="4" t="s">
        <v>6</v>
      </c>
      <c r="H19" s="4"/>
      <c r="I19" t="s">
        <v>15</v>
      </c>
      <c r="T19" s="5"/>
      <c r="U19" s="5"/>
      <c r="V19" s="5"/>
      <c r="W19" s="5"/>
      <c r="X19" s="5"/>
      <c r="Y19" s="5"/>
      <c r="Z19" s="5"/>
    </row>
    <row r="20" spans="1:26" x14ac:dyDescent="0.25">
      <c r="A20" t="s">
        <v>16</v>
      </c>
      <c r="B20" t="s">
        <v>17</v>
      </c>
      <c r="C20" t="s">
        <v>18</v>
      </c>
      <c r="D20" t="s">
        <v>19</v>
      </c>
      <c r="E20" t="s">
        <v>20</v>
      </c>
      <c r="F20" t="s">
        <v>21</v>
      </c>
      <c r="G20" t="s">
        <v>19</v>
      </c>
      <c r="H20" t="s">
        <v>20</v>
      </c>
      <c r="I20" t="s">
        <v>21</v>
      </c>
      <c r="T20" s="5"/>
      <c r="U20" s="5"/>
      <c r="V20" s="5"/>
      <c r="W20" s="5"/>
      <c r="X20" s="5"/>
      <c r="Y20" s="5"/>
      <c r="Z20" s="5"/>
    </row>
    <row r="21" spans="1:26" x14ac:dyDescent="0.25">
      <c r="A21" s="5">
        <v>0.58727687591885946</v>
      </c>
      <c r="B21" s="5">
        <v>0.28962102354534236</v>
      </c>
      <c r="C21" s="5">
        <v>0.12310210053579818</v>
      </c>
      <c r="D21" s="5">
        <v>0.75558464180898122</v>
      </c>
      <c r="E21" s="5">
        <v>0.24408464297479798</v>
      </c>
      <c r="F21" s="5">
        <v>3.3071521622075553E-4</v>
      </c>
      <c r="G21" s="5">
        <v>5.093930885554856E-3</v>
      </c>
      <c r="H21" s="5">
        <v>0.39390125448872587</v>
      </c>
      <c r="I21" s="5">
        <v>0.6010048146257192</v>
      </c>
      <c r="T21" s="5"/>
      <c r="U21" s="5"/>
      <c r="V21" s="5"/>
      <c r="W21" s="5"/>
      <c r="X21" s="5"/>
      <c r="Y21" s="5"/>
      <c r="Z21" s="5"/>
    </row>
    <row r="22" spans="1:26" x14ac:dyDescent="0.25">
      <c r="A22" s="5">
        <v>0.52005711096277851</v>
      </c>
      <c r="B22" s="5">
        <v>0.36404016862079441</v>
      </c>
      <c r="C22" s="5">
        <v>0.11590272041642696</v>
      </c>
      <c r="D22" s="5">
        <v>0.65883901428412606</v>
      </c>
      <c r="E22" s="5">
        <v>0.34027842703149591</v>
      </c>
      <c r="F22" s="5">
        <v>8.8255868437803306E-4</v>
      </c>
      <c r="G22" s="5">
        <v>6.4711142188264214E-3</v>
      </c>
      <c r="H22" s="5">
        <v>0.47176708811319679</v>
      </c>
      <c r="I22" s="5">
        <v>0.52176179766797681</v>
      </c>
      <c r="T22" s="5"/>
      <c r="U22" s="5"/>
      <c r="V22" s="5"/>
      <c r="W22" s="5"/>
      <c r="X22" s="5"/>
      <c r="Y22" s="5"/>
      <c r="Z22" s="5"/>
    </row>
    <row r="23" spans="1:26" x14ac:dyDescent="0.25">
      <c r="A23" s="5">
        <v>0.46398316615561525</v>
      </c>
      <c r="B23" s="5">
        <v>0.42532948070757498</v>
      </c>
      <c r="C23" s="5">
        <v>0.11068735313680979</v>
      </c>
      <c r="D23" s="5">
        <v>0.59756591613118371</v>
      </c>
      <c r="E23" s="5">
        <v>0.4010834893503662</v>
      </c>
      <c r="F23" s="5">
        <v>1.3505945184500827E-3</v>
      </c>
      <c r="G23" s="5">
        <v>6.2511703646364681E-3</v>
      </c>
      <c r="H23" s="5">
        <v>0.52356678711309834</v>
      </c>
      <c r="I23" s="5">
        <v>0.4701820425222652</v>
      </c>
      <c r="T23" s="5"/>
      <c r="U23" s="5"/>
      <c r="V23" s="5"/>
      <c r="W23" s="5"/>
      <c r="X23" s="5"/>
      <c r="Y23" s="5"/>
      <c r="Z23" s="5"/>
    </row>
    <row r="24" spans="1:26" x14ac:dyDescent="0.25">
      <c r="A24" s="5">
        <v>0.41703402425308694</v>
      </c>
      <c r="B24" s="5">
        <v>0.47805704071747773</v>
      </c>
      <c r="C24" s="5">
        <v>0.10490893502943528</v>
      </c>
      <c r="D24" s="5">
        <v>0.53829539846357521</v>
      </c>
      <c r="E24" s="5">
        <v>0.45902762546384218</v>
      </c>
      <c r="F24" s="5">
        <v>2.6769760725826866E-3</v>
      </c>
      <c r="G24" s="5">
        <v>8.7728027034414263E-3</v>
      </c>
      <c r="H24" s="5">
        <v>0.57422815148852402</v>
      </c>
      <c r="I24" s="5">
        <v>0.4169990458080346</v>
      </c>
      <c r="T24" s="5"/>
      <c r="U24" s="5"/>
      <c r="V24" s="5"/>
      <c r="W24" s="5"/>
      <c r="X24" s="5"/>
      <c r="Y24" s="5"/>
      <c r="Z24" s="5"/>
    </row>
    <row r="25" spans="1:26" x14ac:dyDescent="0.25">
      <c r="A25" s="5">
        <v>0.34958186095774807</v>
      </c>
      <c r="B25" s="5">
        <v>0.5472000319042164</v>
      </c>
      <c r="C25" s="5">
        <v>0.10321810713803543</v>
      </c>
      <c r="D25" s="5">
        <v>0.47677764423807417</v>
      </c>
      <c r="E25" s="5">
        <v>0.51853413778644286</v>
      </c>
      <c r="F25" s="5">
        <v>4.6882179754830699E-3</v>
      </c>
      <c r="G25" s="5">
        <v>9.2012267448400003E-3</v>
      </c>
      <c r="H25" s="5">
        <v>0.60890957442315996</v>
      </c>
      <c r="I25" s="5">
        <v>0.38188919883199995</v>
      </c>
      <c r="T25" s="5"/>
      <c r="U25" s="5"/>
      <c r="V25" s="5"/>
      <c r="W25" s="5"/>
      <c r="X25" s="5"/>
      <c r="Y25" s="5"/>
      <c r="Z25" s="5"/>
    </row>
    <row r="26" spans="1:26" x14ac:dyDescent="0.25">
      <c r="A26" s="5">
        <v>0.2879704988904826</v>
      </c>
      <c r="B26" s="5">
        <v>0.62016460194741407</v>
      </c>
      <c r="C26" s="5">
        <v>9.1864899162103192E-2</v>
      </c>
      <c r="D26" s="5">
        <v>0.3812869291502391</v>
      </c>
      <c r="E26" s="5">
        <v>0.61086489357184637</v>
      </c>
      <c r="F26" s="5">
        <v>7.8481772779146058E-3</v>
      </c>
      <c r="G26" s="5">
        <v>1.5462653077389683E-2</v>
      </c>
      <c r="H26" s="5">
        <v>0.66224830607661589</v>
      </c>
      <c r="I26" s="5">
        <v>0.32228904084599441</v>
      </c>
      <c r="T26" s="5"/>
      <c r="U26" s="5"/>
      <c r="V26" s="5"/>
      <c r="W26" s="5"/>
      <c r="X26" s="5"/>
      <c r="Y26" s="5"/>
      <c r="Z26" s="5"/>
    </row>
    <row r="27" spans="1:26" x14ac:dyDescent="0.25">
      <c r="A27" s="5">
        <v>0.2448231888440533</v>
      </c>
      <c r="B27" s="5">
        <v>0.66821824210271819</v>
      </c>
      <c r="C27" s="5">
        <v>8.6958569053228491E-2</v>
      </c>
      <c r="D27" s="5">
        <v>0.32360054450537407</v>
      </c>
      <c r="E27" s="5">
        <v>0.66317026547825275</v>
      </c>
      <c r="F27" s="5">
        <v>1.322919001637313E-2</v>
      </c>
      <c r="G27" s="5">
        <v>1.6793786274568741E-2</v>
      </c>
      <c r="H27" s="5">
        <v>0.70369454167612655</v>
      </c>
      <c r="I27" s="5">
        <v>0.27951167204930466</v>
      </c>
      <c r="T27" s="5"/>
      <c r="U27" s="5"/>
      <c r="V27" s="5"/>
      <c r="W27" s="5"/>
      <c r="X27" s="5"/>
      <c r="Y27" s="5"/>
      <c r="Z27" s="5"/>
    </row>
    <row r="28" spans="1:26" x14ac:dyDescent="0.25">
      <c r="T28" s="5"/>
      <c r="U28" s="5"/>
      <c r="V28" s="5"/>
      <c r="W28" s="5"/>
      <c r="X28" s="5"/>
      <c r="Y28" s="5"/>
      <c r="Z28" s="5"/>
    </row>
    <row r="29" spans="1:26" ht="15.75" thickBot="1" x14ac:dyDescent="0.3">
      <c r="T29" s="31"/>
      <c r="U29" s="31"/>
      <c r="V29" s="31"/>
      <c r="W29" s="31"/>
      <c r="X29" s="31"/>
      <c r="Y29" s="31"/>
      <c r="Z29" s="31"/>
    </row>
    <row r="30" spans="1:26" ht="31.5" customHeight="1" thickBot="1" x14ac:dyDescent="0.3">
      <c r="A30" s="112" t="s">
        <v>86</v>
      </c>
      <c r="B30" s="112"/>
      <c r="C30" s="112"/>
      <c r="D30" s="112"/>
      <c r="E30" s="112"/>
      <c r="T30" s="31"/>
      <c r="U30" s="31"/>
      <c r="V30" s="31"/>
      <c r="W30" s="31"/>
      <c r="X30" s="31"/>
      <c r="Y30" s="31"/>
      <c r="Z30" s="31"/>
    </row>
    <row r="31" spans="1:26" ht="18.75" thickBot="1" x14ac:dyDescent="0.4">
      <c r="A31" s="30" t="s">
        <v>25</v>
      </c>
      <c r="B31" s="32">
        <v>3.0023</v>
      </c>
      <c r="C31" s="32">
        <v>9.1433</v>
      </c>
      <c r="D31" s="30">
        <v>6.4999999999999997E-3</v>
      </c>
      <c r="E31" s="30">
        <v>0.3</v>
      </c>
      <c r="G31" s="14" t="s">
        <v>37</v>
      </c>
      <c r="H31" s="15" t="s">
        <v>38</v>
      </c>
      <c r="I31" s="15" t="s">
        <v>39</v>
      </c>
      <c r="J31" s="15" t="s">
        <v>40</v>
      </c>
      <c r="K31" s="15" t="s">
        <v>41</v>
      </c>
      <c r="L31" s="15" t="s">
        <v>42</v>
      </c>
      <c r="M31" s="15" t="s">
        <v>43</v>
      </c>
      <c r="N31" s="15" t="s">
        <v>44</v>
      </c>
      <c r="O31" s="15" t="s">
        <v>45</v>
      </c>
      <c r="P31" s="15" t="s">
        <v>46</v>
      </c>
      <c r="Q31" s="15" t="s">
        <v>47</v>
      </c>
      <c r="R31" s="16" t="s">
        <v>48</v>
      </c>
      <c r="T31" s="31"/>
      <c r="U31" s="31"/>
      <c r="V31" s="31"/>
      <c r="W31" s="31"/>
      <c r="X31" s="31"/>
      <c r="Y31" s="31"/>
      <c r="Z31" s="31"/>
    </row>
    <row r="32" spans="1:26" x14ac:dyDescent="0.25">
      <c r="A32" s="1" t="s">
        <v>26</v>
      </c>
      <c r="B32" s="33">
        <v>21.506699999999999</v>
      </c>
      <c r="C32" s="33">
        <v>15.0465</v>
      </c>
      <c r="D32" s="1"/>
      <c r="E32" s="1"/>
      <c r="G32">
        <f>B31/$B$39/$B$40</f>
        <v>1.1350425396160015</v>
      </c>
      <c r="H32">
        <f>C31/$B$39/$B$40</f>
        <v>3.4566946848985736</v>
      </c>
      <c r="I32">
        <f>B32/$B$39/$B$40</f>
        <v>8.130772869719701</v>
      </c>
      <c r="J32">
        <f>C32/$B$39/$B$40</f>
        <v>5.6884447164947431</v>
      </c>
      <c r="K32">
        <f>B33/$B$39/$B$40</f>
        <v>4.3667172999302748</v>
      </c>
      <c r="L32">
        <f>C33/$B$39/$B$40</f>
        <v>0.65664836527296844</v>
      </c>
      <c r="M32">
        <f t="shared" ref="M32:R32" si="2">EXP(-$E$31*G32)</f>
        <v>0.71140544762539104</v>
      </c>
      <c r="N32">
        <f t="shared" si="2"/>
        <v>0.35451365827617393</v>
      </c>
      <c r="O32">
        <f t="shared" si="2"/>
        <v>8.7227828839269161E-2</v>
      </c>
      <c r="P32">
        <f t="shared" si="2"/>
        <v>0.1814938672782907</v>
      </c>
      <c r="Q32">
        <f t="shared" si="2"/>
        <v>0.26981595785480272</v>
      </c>
      <c r="R32">
        <f t="shared" si="2"/>
        <v>0.82119514200495969</v>
      </c>
      <c r="T32" s="5"/>
      <c r="U32" s="5"/>
      <c r="V32" s="5"/>
      <c r="W32" s="5"/>
      <c r="X32" s="5"/>
      <c r="Y32" s="5"/>
      <c r="Z32" s="5"/>
    </row>
    <row r="33" spans="1:30" ht="15.75" thickBot="1" x14ac:dyDescent="0.3">
      <c r="A33" s="3" t="s">
        <v>27</v>
      </c>
      <c r="B33" s="34">
        <v>11.5504</v>
      </c>
      <c r="C33" s="34">
        <v>1.7369000000000001</v>
      </c>
      <c r="D33" s="12"/>
      <c r="E33" s="12"/>
      <c r="T33" s="5"/>
      <c r="U33" s="5"/>
      <c r="V33" s="5"/>
      <c r="W33" s="5"/>
      <c r="X33" s="5"/>
      <c r="Y33" s="5"/>
      <c r="Z33" s="5"/>
    </row>
    <row r="34" spans="1:30" ht="15.75" thickBot="1" x14ac:dyDescent="0.3">
      <c r="J34" s="31">
        <f>(J37+J42)/2</f>
        <v>0.3098481961895706</v>
      </c>
      <c r="K34" s="31">
        <f>(K37+K42)/2</f>
        <v>9.0544778761662164E-4</v>
      </c>
      <c r="L34" s="31"/>
      <c r="M34" s="31">
        <f>(M37+M42)/2</f>
        <v>7.1815305514342665E-3</v>
      </c>
      <c r="N34" s="31">
        <f>(N37+N42)/2</f>
        <v>0.53610916030231603</v>
      </c>
      <c r="T34" s="5"/>
      <c r="U34" s="5"/>
      <c r="V34" s="5"/>
      <c r="W34" s="5"/>
      <c r="X34" s="5"/>
      <c r="Y34" s="5"/>
      <c r="Z34" s="5"/>
    </row>
    <row r="35" spans="1:30" ht="29.25" thickBot="1" x14ac:dyDescent="0.3">
      <c r="A35" s="107" t="s">
        <v>28</v>
      </c>
      <c r="B35" s="13" t="s">
        <v>32</v>
      </c>
      <c r="C35" s="13" t="s">
        <v>33</v>
      </c>
      <c r="D35" s="107" t="s">
        <v>29</v>
      </c>
      <c r="E35" s="107" t="s">
        <v>30</v>
      </c>
    </row>
    <row r="36" spans="1:30" ht="32.25" customHeight="1" thickBot="1" x14ac:dyDescent="0.3">
      <c r="A36" s="108"/>
      <c r="B36" s="109" t="s">
        <v>31</v>
      </c>
      <c r="C36" s="109"/>
      <c r="D36" s="108"/>
      <c r="E36" s="108"/>
      <c r="I36" s="17" t="s">
        <v>49</v>
      </c>
      <c r="J36" s="18" t="s">
        <v>50</v>
      </c>
      <c r="K36" s="19" t="s">
        <v>51</v>
      </c>
      <c r="L36" s="20"/>
      <c r="M36" s="17" t="s">
        <v>52</v>
      </c>
      <c r="N36" s="18" t="s">
        <v>53</v>
      </c>
      <c r="O36" s="19" t="s">
        <v>54</v>
      </c>
      <c r="P36" s="21" t="s">
        <v>55</v>
      </c>
      <c r="Q36" s="22" t="s">
        <v>56</v>
      </c>
      <c r="R36" s="23" t="s">
        <v>57</v>
      </c>
      <c r="S36" s="21" t="s">
        <v>58</v>
      </c>
      <c r="T36" s="22" t="s">
        <v>59</v>
      </c>
      <c r="U36" s="23" t="s">
        <v>60</v>
      </c>
      <c r="V36" s="24" t="s">
        <v>61</v>
      </c>
      <c r="W36" s="25" t="s">
        <v>62</v>
      </c>
      <c r="X36" s="26" t="s">
        <v>63</v>
      </c>
      <c r="Y36" s="21" t="s">
        <v>64</v>
      </c>
      <c r="Z36" s="22" t="s">
        <v>65</v>
      </c>
      <c r="AA36" s="22" t="s">
        <v>66</v>
      </c>
      <c r="AB36" t="s">
        <v>79</v>
      </c>
      <c r="AC36" t="s">
        <v>80</v>
      </c>
      <c r="AD36" t="s">
        <v>81</v>
      </c>
    </row>
    <row r="37" spans="1:30" ht="15.75" thickBot="1" x14ac:dyDescent="0.3">
      <c r="I37" s="5">
        <f>1-J37-K37</f>
        <v>0.68916848964591493</v>
      </c>
      <c r="J37" s="5">
        <v>0.30992563048006305</v>
      </c>
      <c r="K37" s="5">
        <v>9.0587987402197053E-4</v>
      </c>
      <c r="L37" s="5"/>
      <c r="M37" s="5">
        <v>7.1790751283496096E-3</v>
      </c>
      <c r="N37" s="5">
        <v>0.53597518104097119</v>
      </c>
      <c r="O37" s="5">
        <f>1-N37-M37</f>
        <v>0.45684574383067922</v>
      </c>
      <c r="P37">
        <f>I37+N32*J37+P32*K37</f>
        <v>0.79920577034257756</v>
      </c>
      <c r="Q37">
        <f>M32*I37+J37+R32*K37</f>
        <v>0.80094775249771677</v>
      </c>
      <c r="R37">
        <f>O32*I37+Q32*J37+K37</f>
        <v>0.14464343178200534</v>
      </c>
      <c r="S37">
        <f>J37*$H$32*$N$32+K37*$J$32*$P$32</f>
        <v>0.38073220901123939</v>
      </c>
      <c r="T37">
        <f>I37*$G$32*$M$32+K37*$L$32*$R$32</f>
        <v>0.5569751169700714</v>
      </c>
      <c r="U37">
        <f>I37*$I$32*$O$32+J37*$K$32*$Q$32</f>
        <v>0.85393621698155942</v>
      </c>
      <c r="V37">
        <f>S37/P37-I37*S37/P37^2+J37*$M$32/Q37*($G$32-T37/Q37)+K37*$O$32/R37*($I$32-U37/R37)</f>
        <v>0.18783231172286791</v>
      </c>
      <c r="W37">
        <f>T37/Q37-J37*T37/Q37^2+(I37*$N$32/P37)*($H$32-S37/P37)+(K37*$Q$32/R37)*($K$32-U37/R37)</f>
        <v>1.3348044105951895</v>
      </c>
      <c r="X37">
        <f>U37/R37-K37*U37/R37^2+I37*$P$32/P37*($J$32-S37/P37)+J37*$R$32/Q37*($L$32-T37/Q37)</f>
        <v>6.6701606731785947</v>
      </c>
      <c r="Y37">
        <f>EXP(V37)</f>
        <v>1.2066311604833746</v>
      </c>
      <c r="Z37">
        <f t="shared" ref="Z37:AA37" si="3">EXP(W37)</f>
        <v>3.7992527801539202</v>
      </c>
      <c r="AA37">
        <f t="shared" si="3"/>
        <v>788.5222886674959</v>
      </c>
      <c r="AB37">
        <f>Y37/Y39</f>
        <v>1.0424135871635621E-2</v>
      </c>
      <c r="AC37">
        <f t="shared" ref="AC37:AD37" si="4">Z37/Z39</f>
        <v>1.7302316647159532</v>
      </c>
      <c r="AD37">
        <f t="shared" si="4"/>
        <v>504.79316902373847</v>
      </c>
    </row>
    <row r="38" spans="1:30" ht="18.75" thickBot="1" x14ac:dyDescent="0.3">
      <c r="P38" s="21" t="s">
        <v>67</v>
      </c>
      <c r="Q38" s="22" t="s">
        <v>68</v>
      </c>
      <c r="R38" s="23" t="s">
        <v>69</v>
      </c>
      <c r="S38" s="21" t="s">
        <v>70</v>
      </c>
      <c r="T38" s="22" t="s">
        <v>71</v>
      </c>
      <c r="U38" s="23" t="s">
        <v>72</v>
      </c>
      <c r="V38" s="24" t="s">
        <v>73</v>
      </c>
      <c r="W38" s="25" t="s">
        <v>74</v>
      </c>
      <c r="X38" s="26" t="s">
        <v>75</v>
      </c>
      <c r="Y38" s="21" t="s">
        <v>76</v>
      </c>
      <c r="Z38" s="22" t="s">
        <v>77</v>
      </c>
      <c r="AA38" s="22" t="s">
        <v>78</v>
      </c>
      <c r="AB38" t="s">
        <v>82</v>
      </c>
      <c r="AC38" t="s">
        <v>83</v>
      </c>
      <c r="AD38" t="s">
        <v>84</v>
      </c>
    </row>
    <row r="39" spans="1:30" x14ac:dyDescent="0.25">
      <c r="A39" t="s">
        <v>34</v>
      </c>
      <c r="B39">
        <f>8.314/1000</f>
        <v>8.3140000000000002E-3</v>
      </c>
      <c r="C39" t="s">
        <v>35</v>
      </c>
      <c r="P39">
        <f>M37+N32*N37+P32*O37</f>
        <v>0.2801042981018762</v>
      </c>
      <c r="Q39">
        <f>M32*M37+N37+R32*O37</f>
        <v>0.9162419196755871</v>
      </c>
      <c r="R39">
        <f>O32*M37+Q32*N37+O37</f>
        <v>0.60208661582617007</v>
      </c>
      <c r="S39">
        <f>N37*$H$32*$N$32+O37*$J$32*$P$32</f>
        <v>1.1284640537518598</v>
      </c>
      <c r="T39">
        <f>M37*$G$32*$M$32+O37*$L$32*$R$32</f>
        <v>0.25214480288057245</v>
      </c>
      <c r="U39">
        <f>M37*$I$32*$O$32+N37*$K$32*$Q$32</f>
        <v>0.63658293697217283</v>
      </c>
      <c r="V39">
        <f>S39/P39-M37*S39/P39^2+N37*$M$32/Q39*($G$32-T39/Q39)+O37*$O$32/R39*($I$32-U39/R39)</f>
        <v>4.7514637164666782</v>
      </c>
      <c r="W39">
        <f>T39/Q39-N37*T39/Q39^2+(M37*$N$32/P39)*($H$32-S39/P39)+(O37*$Q$32/R39)*($K$32-U39/R39)</f>
        <v>0.78654910081024243</v>
      </c>
      <c r="X39">
        <f>U39/R39-O37*U39/R39^2+M37*$P$32/P39*($J$32-S39/P39)+N37*$R$32/Q39*($L$32-T39/Q39)</f>
        <v>0.44601189408804237</v>
      </c>
      <c r="Y39">
        <f>EXP(V39)</f>
        <v>115.75359102586656</v>
      </c>
      <c r="Z39">
        <f>EXP(W39)</f>
        <v>2.195805832034424</v>
      </c>
      <c r="AA39">
        <f>EXP(X39)</f>
        <v>1.5620700458219052</v>
      </c>
      <c r="AB39">
        <f>Y39/Y37</f>
        <v>95.93121313019617</v>
      </c>
      <c r="AC39">
        <f>Z39/Z37</f>
        <v>0.57795728768157006</v>
      </c>
      <c r="AD39">
        <f>AA39/AA37</f>
        <v>1.981009374461194E-3</v>
      </c>
    </row>
    <row r="40" spans="1:30" ht="15.75" thickBot="1" x14ac:dyDescent="0.3">
      <c r="A40" t="s">
        <v>24</v>
      </c>
      <c r="B40">
        <v>318.14999999999998</v>
      </c>
      <c r="C40" t="s">
        <v>36</v>
      </c>
    </row>
    <row r="41" spans="1:30" ht="15.75" thickBot="1" x14ac:dyDescent="0.3">
      <c r="H41" s="27" t="s">
        <v>85</v>
      </c>
      <c r="I41" s="17" t="s">
        <v>49</v>
      </c>
      <c r="J41" s="18" t="s">
        <v>50</v>
      </c>
      <c r="K41" s="19" t="s">
        <v>51</v>
      </c>
      <c r="L41" s="20"/>
      <c r="M41" s="17" t="s">
        <v>52</v>
      </c>
      <c r="N41" s="18" t="s">
        <v>53</v>
      </c>
      <c r="O41" s="19" t="s">
        <v>54</v>
      </c>
      <c r="P41" s="27" t="s">
        <v>85</v>
      </c>
    </row>
    <row r="42" spans="1:30" x14ac:dyDescent="0.25">
      <c r="H42" s="29">
        <f>SUM(I42:K42)</f>
        <v>0.99937316381568631</v>
      </c>
      <c r="I42" s="5">
        <f t="shared" ref="I42:J42" si="5">M37*AB39</f>
        <v>0.68869738621539678</v>
      </c>
      <c r="J42" s="5">
        <f t="shared" si="5"/>
        <v>0.30977076189907821</v>
      </c>
      <c r="K42" s="5">
        <f>O37*AD39</f>
        <v>9.0501570121127276E-4</v>
      </c>
      <c r="L42" s="5"/>
      <c r="M42" s="5">
        <f>I37*AB37</f>
        <v>7.1839859745189234E-3</v>
      </c>
      <c r="N42" s="5">
        <f>J37*AC37</f>
        <v>0.53624313956366088</v>
      </c>
      <c r="O42" s="5">
        <f>K37*AD37</f>
        <v>0.4572819723623755</v>
      </c>
      <c r="P42" s="29">
        <f>SUM(M42:O42)</f>
        <v>1.0007090979005553</v>
      </c>
    </row>
  </sheetData>
  <mergeCells count="6">
    <mergeCell ref="A19:B19"/>
    <mergeCell ref="A30:E30"/>
    <mergeCell ref="A35:A36"/>
    <mergeCell ref="D35:D36"/>
    <mergeCell ref="E35:E36"/>
    <mergeCell ref="B36:C3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NRTL">
                <anchor moveWithCells="1" sizeWithCells="1">
                  <from>
                    <xdr:col>6</xdr:col>
                    <xdr:colOff>28575</xdr:colOff>
                    <xdr:row>38</xdr:row>
                    <xdr:rowOff>9525</xdr:rowOff>
                  </from>
                  <to>
                    <xdr:col>7</xdr:col>
                    <xdr:colOff>590550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Лист1</vt:lpstr>
      <vt:lpstr>BMIM+MTBE LLE</vt:lpstr>
      <vt:lpstr>BMIM wi=xi</vt:lpstr>
      <vt:lpstr>MIM</vt:lpstr>
      <vt:lpstr>MIM LLE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2025-05-06T21:24:27Z</dcterms:modified>
</cp:coreProperties>
</file>