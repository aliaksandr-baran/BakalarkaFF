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S24" i="1" l="1"/>
  <c r="T22" i="1"/>
  <c r="S22" i="1"/>
  <c r="T18" i="1"/>
  <c r="T16" i="1"/>
  <c r="S20" i="1"/>
  <c r="B36" i="1"/>
  <c r="C36" i="1"/>
  <c r="D36" i="1"/>
  <c r="A36" i="1"/>
  <c r="I27" i="1"/>
  <c r="D32" i="1"/>
  <c r="D34" i="1" s="1"/>
  <c r="C32" i="1"/>
  <c r="B32" i="1"/>
  <c r="B34" i="1"/>
  <c r="C34" i="1"/>
  <c r="A34" i="1"/>
  <c r="S16" i="1"/>
  <c r="L13" i="1"/>
  <c r="K13" i="1"/>
  <c r="J13" i="1"/>
  <c r="I13" i="1"/>
  <c r="H13" i="1"/>
  <c r="G13" i="1"/>
  <c r="B13" i="1"/>
  <c r="H10" i="1"/>
  <c r="G10" i="1"/>
  <c r="F10" i="1"/>
  <c r="C18" i="1" l="1"/>
  <c r="D18" i="1"/>
  <c r="J27" i="1" s="1"/>
  <c r="J2" i="1"/>
  <c r="D19" i="1" l="1"/>
  <c r="C21" i="1"/>
  <c r="T20" i="1"/>
  <c r="B17" i="1"/>
  <c r="D16" i="1"/>
  <c r="D17" i="1" s="1"/>
  <c r="C16" i="1"/>
  <c r="C17" i="1" s="1"/>
  <c r="E10" i="1"/>
  <c r="D10" i="1"/>
  <c r="C10" i="1"/>
  <c r="B10" i="1"/>
  <c r="F13" i="1" s="1"/>
  <c r="D21" i="1" l="1"/>
  <c r="B22" i="1"/>
  <c r="B23" i="1" s="1"/>
  <c r="A13" i="1"/>
  <c r="C13" i="1"/>
  <c r="E13" i="1"/>
  <c r="D13" i="1"/>
  <c r="Q13" i="1" l="1"/>
  <c r="P13" i="1"/>
  <c r="N13" i="1"/>
  <c r="R13" i="1"/>
  <c r="D22" i="1"/>
  <c r="D23" i="1" s="1"/>
  <c r="E23" i="1" s="1"/>
  <c r="F23" i="1" s="1"/>
  <c r="M13" i="1"/>
  <c r="O13" i="1" l="1"/>
  <c r="U13" i="1" s="1"/>
  <c r="K10" i="1" s="1"/>
  <c r="T13" i="1" l="1"/>
  <c r="J10" i="1" s="1"/>
  <c r="E21" i="1" s="1"/>
  <c r="F21" i="1" s="1"/>
  <c r="S13" i="1"/>
  <c r="I10" i="1" s="1"/>
  <c r="E19" i="1" l="1"/>
  <c r="F19" i="1" s="1"/>
  <c r="F25" i="1" s="1"/>
  <c r="L10" i="1"/>
</calcChain>
</file>

<file path=xl/sharedStrings.xml><?xml version="1.0" encoding="utf-8"?>
<sst xmlns="http://schemas.openxmlformats.org/spreadsheetml/2006/main" count="121" uniqueCount="96">
  <si>
    <t>A</t>
  </si>
  <si>
    <t>NRTL parameters:</t>
  </si>
  <si>
    <t>R</t>
  </si>
  <si>
    <t>B</t>
  </si>
  <si>
    <t>alphaAB</t>
  </si>
  <si>
    <t>gAB</t>
  </si>
  <si>
    <t>C</t>
  </si>
  <si>
    <t>gBA</t>
  </si>
  <si>
    <t>P - ventil</t>
  </si>
  <si>
    <t>gAC</t>
  </si>
  <si>
    <t>gCA</t>
  </si>
  <si>
    <t>P - pred</t>
  </si>
  <si>
    <t>gBC</t>
  </si>
  <si>
    <t>gCB</t>
  </si>
  <si>
    <t>t</t>
  </si>
  <si>
    <t>T</t>
  </si>
  <si>
    <t>xA</t>
  </si>
  <si>
    <t>xB</t>
  </si>
  <si>
    <t>xC</t>
  </si>
  <si>
    <t>PA0</t>
  </si>
  <si>
    <t>PB0</t>
  </si>
  <si>
    <t>PC0</t>
  </si>
  <si>
    <t>yA</t>
  </si>
  <si>
    <t>yB</t>
  </si>
  <si>
    <t>yC</t>
  </si>
  <si>
    <t>SUMy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</si>
  <si>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</si>
  <si>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</si>
  <si>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</si>
  <si>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</si>
  <si>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</si>
  <si>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</si>
  <si>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</si>
  <si>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</si>
  <si>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</si>
  <si>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</si>
  <si>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</si>
  <si>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</si>
  <si>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</si>
  <si>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</si>
  <si>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</si>
  <si>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</si>
  <si>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</si>
  <si>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</si>
  <si>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γA</t>
  </si>
  <si>
    <t>γB</t>
  </si>
  <si>
    <t>γC</t>
  </si>
  <si>
    <t>VSTUP</t>
  </si>
  <si>
    <t>L</t>
  </si>
  <si>
    <t>G</t>
  </si>
  <si>
    <t>Stred. T</t>
  </si>
  <si>
    <t>a</t>
  </si>
  <si>
    <t>vypB</t>
  </si>
  <si>
    <t>n</t>
  </si>
  <si>
    <t>odchylka</t>
  </si>
  <si>
    <t>b</t>
  </si>
  <si>
    <t>c</t>
  </si>
  <si>
    <t>cpB</t>
  </si>
  <si>
    <t>vypC</t>
  </si>
  <si>
    <t>cpC</t>
  </si>
  <si>
    <t>vypZ</t>
  </si>
  <si>
    <t>h</t>
  </si>
  <si>
    <t>alpha</t>
  </si>
  <si>
    <t>H</t>
  </si>
  <si>
    <t>beta</t>
  </si>
  <si>
    <t>cpZ</t>
  </si>
  <si>
    <t>SUMA</t>
  </si>
  <si>
    <t>Referenčný stav</t>
  </si>
  <si>
    <t>nVS [mol/s]</t>
  </si>
  <si>
    <t>nG [mol/s]</t>
  </si>
  <si>
    <t>teplota L a G</t>
  </si>
  <si>
    <t>cp</t>
  </si>
  <si>
    <t>Antoine equation parameters (Pa)</t>
  </si>
  <si>
    <t>MTBE</t>
  </si>
  <si>
    <t>Metanol</t>
  </si>
  <si>
    <t>[BMIM][HSO4]</t>
  </si>
  <si>
    <t>kPa</t>
  </si>
  <si>
    <t>d</t>
  </si>
  <si>
    <t>kcal/kg/K</t>
  </si>
  <si>
    <t>kg/kmol</t>
  </si>
  <si>
    <t>kJ/kg/K</t>
  </si>
  <si>
    <t>1kcal</t>
  </si>
  <si>
    <t>=</t>
  </si>
  <si>
    <t>4,1868kJ</t>
  </si>
  <si>
    <t>kJ/kmol/K</t>
  </si>
  <si>
    <t>A [kJ/mol]</t>
  </si>
  <si>
    <t>Tc [K]</t>
  </si>
  <si>
    <t>vypA [kJ/kmol]</t>
  </si>
  <si>
    <t>NIST</t>
  </si>
  <si>
    <r>
      <t>Majer, V.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Svoboda, V.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Enthalpies of Vaporization of Organic Compounds: A Critical Review and Data Compilation</t>
    </r>
    <r>
      <rPr>
        <sz val="12"/>
        <color rgb="FF000000"/>
        <rFont val="Arial"/>
        <family val="2"/>
      </rPr>
      <t>, Blackwell Scientific Publications, Oxford, 1985, 300. </t>
    </r>
  </si>
  <si>
    <t>M</t>
  </si>
  <si>
    <r>
      <t>Andon, R.J.L.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Martin, J.F.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Thermodynamic properties of organic oxygen compounds. 40. Heat capacity and entropy of six ethers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J. Chem. Thermodynam.</t>
    </r>
    <r>
      <rPr>
        <sz val="12"/>
        <color rgb="FF000000"/>
        <rFont val="Arial"/>
        <family val="2"/>
      </rPr>
      <t>, 1975, 7, 593-606.</t>
    </r>
  </si>
  <si>
    <t>cpA [kJ/kmol/K]</t>
  </si>
  <si>
    <t>[EMIM][HSO4]</t>
  </si>
  <si>
    <t>Ficke, L. E.; Novak, R.; Brennecke, J. F. (2010) J. Chem. Eng. Data 55(11),</t>
  </si>
  <si>
    <t>cp[J/mol/K]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</si>
</sst>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164" fontId="4" fillId="0" borderId="16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4" fillId="0" borderId="17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/>
    <xf numFmtId="0" fontId="1" fillId="0" borderId="11" xfId="0" applyFont="1" applyFill="1" applyBorder="1" applyAlignment="1">
      <alignment horizontal="center"/>
    </xf>
    <xf numFmtId="0" fontId="6" fillId="0" borderId="0" xfId="0" applyFont="1"/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/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quotePrefix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Лист1!$A$42:$A$48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Лист1!$B$42:$B$48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33056"/>
        <c:axId val="153531520"/>
      </c:scatterChart>
      <c:valAx>
        <c:axId val="153533056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53531520"/>
        <c:crosses val="autoZero"/>
        <c:crossBetween val="midCat"/>
      </c:valAx>
      <c:valAx>
        <c:axId val="15353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533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19</xdr:row>
      <xdr:rowOff>180975</xdr:rowOff>
    </xdr:from>
    <xdr:to>
      <xdr:col>17</xdr:col>
      <xdr:colOff>132804</xdr:colOff>
      <xdr:row>23</xdr:row>
      <xdr:rowOff>190399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3981450"/>
          <a:ext cx="4371429" cy="8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14</xdr:row>
      <xdr:rowOff>152400</xdr:rowOff>
    </xdr:from>
    <xdr:to>
      <xdr:col>12</xdr:col>
      <xdr:colOff>533179</xdr:colOff>
      <xdr:row>16</xdr:row>
      <xdr:rowOff>38064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2952750"/>
          <a:ext cx="1771429" cy="28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25</xdr:row>
      <xdr:rowOff>0</xdr:rowOff>
    </xdr:from>
    <xdr:to>
      <xdr:col>19</xdr:col>
      <xdr:colOff>161221</xdr:colOff>
      <xdr:row>27</xdr:row>
      <xdr:rowOff>171379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5010150"/>
          <a:ext cx="5638096" cy="571429"/>
        </a:xfrm>
        <a:prstGeom prst="rect">
          <a:avLst/>
        </a:prstGeom>
      </xdr:spPr>
    </xdr:pic>
    <xdr:clientData/>
  </xdr:twoCellAnchor>
  <xdr:twoCellAnchor>
    <xdr:from>
      <xdr:col>5</xdr:col>
      <xdr:colOff>709612</xdr:colOff>
      <xdr:row>41</xdr:row>
      <xdr:rowOff>14287</xdr:rowOff>
    </xdr:from>
    <xdr:to>
      <xdr:col>12</xdr:col>
      <xdr:colOff>509587</xdr:colOff>
      <xdr:row>55</xdr:row>
      <xdr:rowOff>90487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AppData/Local/Temp/Temp1_Bakalarka%20(1).zip/Ventil_cis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árok1"/>
    </sheetNames>
    <sheetDataSet>
      <sheetData sheetId="0">
        <row r="30">
          <cell r="N30">
            <v>325.25</v>
          </cell>
          <cell r="O30">
            <v>303.14999999999998</v>
          </cell>
          <cell r="Y30">
            <v>137.4487</v>
          </cell>
          <cell r="AA30">
            <v>273.14999999999998</v>
          </cell>
        </row>
        <row r="31">
          <cell r="B31">
            <v>273.14999999999998</v>
          </cell>
          <cell r="E31">
            <v>45068.02</v>
          </cell>
          <cell r="N31">
            <v>329.51</v>
          </cell>
          <cell r="O31">
            <v>313.25</v>
          </cell>
          <cell r="Y31">
            <v>151.27170000000001</v>
          </cell>
          <cell r="AA31">
            <v>293.14999999999998</v>
          </cell>
        </row>
        <row r="32">
          <cell r="B32">
            <v>274.14999999999998</v>
          </cell>
          <cell r="E32">
            <v>45024.771999999997</v>
          </cell>
          <cell r="N32">
            <v>332.22</v>
          </cell>
          <cell r="O32">
            <v>323.16000000000003</v>
          </cell>
          <cell r="Y32">
            <v>167.43860000000001</v>
          </cell>
          <cell r="AA32">
            <v>313.14999999999998</v>
          </cell>
        </row>
        <row r="33">
          <cell r="B33">
            <v>275.14999999999998</v>
          </cell>
          <cell r="E33">
            <v>44983.326000000001</v>
          </cell>
          <cell r="N33">
            <v>337.87</v>
          </cell>
          <cell r="O33">
            <v>333.42</v>
          </cell>
          <cell r="Y33">
            <v>184.38680000000002</v>
          </cell>
          <cell r="AA33">
            <v>333.15</v>
          </cell>
        </row>
        <row r="34">
          <cell r="B34">
            <v>276.14999999999998</v>
          </cell>
          <cell r="E34">
            <v>44940.078000000001</v>
          </cell>
          <cell r="N34">
            <v>341.44</v>
          </cell>
          <cell r="O34">
            <v>343.76</v>
          </cell>
          <cell r="Y34">
            <v>200.79410000000001</v>
          </cell>
          <cell r="AA34">
            <v>353.15</v>
          </cell>
        </row>
        <row r="35">
          <cell r="B35">
            <v>277.14999999999998</v>
          </cell>
          <cell r="E35">
            <v>44896.83</v>
          </cell>
          <cell r="N35">
            <v>345.18</v>
          </cell>
          <cell r="O35">
            <v>354.29</v>
          </cell>
          <cell r="Y35">
            <v>215.2782</v>
          </cell>
          <cell r="AA35">
            <v>373.15</v>
          </cell>
        </row>
        <row r="36">
          <cell r="B36">
            <v>279.14999999999998</v>
          </cell>
          <cell r="E36">
            <v>44812.135999999999</v>
          </cell>
          <cell r="N36">
            <v>348.36</v>
          </cell>
          <cell r="O36">
            <v>363.65</v>
          </cell>
          <cell r="Y36">
            <v>227.95930000000001</v>
          </cell>
          <cell r="AA36">
            <v>393.15</v>
          </cell>
        </row>
        <row r="37">
          <cell r="B37">
            <v>281.14999999999998</v>
          </cell>
          <cell r="E37">
            <v>44727.441999999995</v>
          </cell>
          <cell r="N37">
            <v>353.57</v>
          </cell>
          <cell r="O37">
            <v>374.02</v>
          </cell>
        </row>
        <row r="38">
          <cell r="B38">
            <v>283.14999999999998</v>
          </cell>
          <cell r="E38">
            <v>44642.748</v>
          </cell>
          <cell r="N38">
            <v>357.23</v>
          </cell>
          <cell r="O38">
            <v>383.41</v>
          </cell>
        </row>
        <row r="39">
          <cell r="B39">
            <v>285.14999999999998</v>
          </cell>
          <cell r="E39">
            <v>44558.053999999996</v>
          </cell>
          <cell r="N39">
            <v>362.22</v>
          </cell>
          <cell r="O39">
            <v>393.22</v>
          </cell>
        </row>
        <row r="40">
          <cell r="B40">
            <v>287.14999999999998</v>
          </cell>
          <cell r="E40">
            <v>44473.36</v>
          </cell>
        </row>
        <row r="41">
          <cell r="B41">
            <v>289.14999999999998</v>
          </cell>
          <cell r="E41">
            <v>44388.666000000005</v>
          </cell>
        </row>
        <row r="42">
          <cell r="B42">
            <v>291.14999999999998</v>
          </cell>
          <cell r="E42">
            <v>44303.971999999994</v>
          </cell>
        </row>
        <row r="43">
          <cell r="B43">
            <v>293.14999999999998</v>
          </cell>
          <cell r="E43">
            <v>44217.476000000002</v>
          </cell>
        </row>
        <row r="44">
          <cell r="B44">
            <v>295.14999999999998</v>
          </cell>
          <cell r="E44">
            <v>44132.781999999999</v>
          </cell>
        </row>
        <row r="45">
          <cell r="B45">
            <v>297.14999999999998</v>
          </cell>
          <cell r="E45">
            <v>44048.088000000003</v>
          </cell>
        </row>
        <row r="46">
          <cell r="B46">
            <v>299.14999999999998</v>
          </cell>
          <cell r="E46">
            <v>43963.393999999993</v>
          </cell>
        </row>
        <row r="47">
          <cell r="B47">
            <v>301.14999999999998</v>
          </cell>
          <cell r="E47">
            <v>43878.7</v>
          </cell>
        </row>
        <row r="48">
          <cell r="B48">
            <v>303.14999999999998</v>
          </cell>
          <cell r="E48">
            <v>43794.006000000001</v>
          </cell>
        </row>
        <row r="49">
          <cell r="B49">
            <v>305.14999999999998</v>
          </cell>
          <cell r="E49">
            <v>43707.51</v>
          </cell>
        </row>
        <row r="50">
          <cell r="B50">
            <v>307.14999999999998</v>
          </cell>
          <cell r="E50">
            <v>43622.815999999999</v>
          </cell>
        </row>
        <row r="51">
          <cell r="B51">
            <v>309.14999999999998</v>
          </cell>
          <cell r="E51">
            <v>43536.32</v>
          </cell>
        </row>
        <row r="52">
          <cell r="B52">
            <v>311.14999999999998</v>
          </cell>
          <cell r="E52">
            <v>43451.626000000004</v>
          </cell>
        </row>
        <row r="53">
          <cell r="B53">
            <v>313.14999999999998</v>
          </cell>
          <cell r="E53">
            <v>43365.13</v>
          </cell>
        </row>
        <row r="54">
          <cell r="B54">
            <v>315.14999999999998</v>
          </cell>
          <cell r="E54">
            <v>43280.436000000002</v>
          </cell>
        </row>
        <row r="55">
          <cell r="B55">
            <v>317.14999999999998</v>
          </cell>
          <cell r="E55">
            <v>43208.356</v>
          </cell>
        </row>
        <row r="56">
          <cell r="B56">
            <v>319.14999999999998</v>
          </cell>
          <cell r="E56">
            <v>43107.443999999996</v>
          </cell>
        </row>
        <row r="57">
          <cell r="B57">
            <v>321.14999999999998</v>
          </cell>
          <cell r="E57">
            <v>43020.948000000004</v>
          </cell>
        </row>
        <row r="58">
          <cell r="B58">
            <v>323.14999999999998</v>
          </cell>
          <cell r="E58">
            <v>42934.451999999997</v>
          </cell>
        </row>
        <row r="59">
          <cell r="B59">
            <v>325.14999999999998</v>
          </cell>
          <cell r="E59">
            <v>42847.956000000006</v>
          </cell>
        </row>
        <row r="60">
          <cell r="B60">
            <v>327.14999999999998</v>
          </cell>
          <cell r="E60">
            <v>42759.658000000003</v>
          </cell>
        </row>
        <row r="61">
          <cell r="B61">
            <v>329.15</v>
          </cell>
          <cell r="E61">
            <v>42673.161999999997</v>
          </cell>
        </row>
        <row r="62">
          <cell r="B62">
            <v>331.15</v>
          </cell>
          <cell r="E62">
            <v>42584.863999999994</v>
          </cell>
        </row>
        <row r="63">
          <cell r="B63">
            <v>333.15</v>
          </cell>
          <cell r="E63">
            <v>42498.368000000002</v>
          </cell>
        </row>
        <row r="64">
          <cell r="B64">
            <v>335.15</v>
          </cell>
          <cell r="E64">
            <v>42410.07</v>
          </cell>
        </row>
        <row r="65">
          <cell r="B65">
            <v>337.15</v>
          </cell>
          <cell r="E65">
            <v>42321.771999999997</v>
          </cell>
        </row>
        <row r="66">
          <cell r="B66">
            <v>339.15</v>
          </cell>
          <cell r="E66">
            <v>42233.473999999995</v>
          </cell>
        </row>
        <row r="67">
          <cell r="B67">
            <v>341.15</v>
          </cell>
          <cell r="E67">
            <v>42145.175999999999</v>
          </cell>
        </row>
        <row r="68">
          <cell r="B68">
            <v>343.15</v>
          </cell>
          <cell r="E68">
            <v>42055.076000000001</v>
          </cell>
        </row>
        <row r="69">
          <cell r="B69">
            <v>345.15</v>
          </cell>
          <cell r="E69">
            <v>41966.777999999998</v>
          </cell>
        </row>
        <row r="70">
          <cell r="B70">
            <v>347.15</v>
          </cell>
          <cell r="E70">
            <v>41876.678</v>
          </cell>
        </row>
        <row r="71">
          <cell r="B71">
            <v>349.15</v>
          </cell>
          <cell r="E71">
            <v>41786.578000000001</v>
          </cell>
        </row>
        <row r="72">
          <cell r="B72">
            <v>351.15</v>
          </cell>
          <cell r="E72">
            <v>41696.478000000003</v>
          </cell>
        </row>
        <row r="73">
          <cell r="B73">
            <v>353.15</v>
          </cell>
          <cell r="E73">
            <v>41604.576000000001</v>
          </cell>
        </row>
        <row r="74">
          <cell r="B74">
            <v>355.15</v>
          </cell>
          <cell r="E74">
            <v>41514.476000000002</v>
          </cell>
        </row>
        <row r="75">
          <cell r="B75">
            <v>357.15</v>
          </cell>
          <cell r="E75">
            <v>41422.573999999993</v>
          </cell>
        </row>
        <row r="76">
          <cell r="B76">
            <v>359.15</v>
          </cell>
          <cell r="E76">
            <v>41330.671999999999</v>
          </cell>
        </row>
        <row r="77">
          <cell r="B77">
            <v>361.15</v>
          </cell>
          <cell r="E77">
            <v>41238.769999999997</v>
          </cell>
        </row>
        <row r="78">
          <cell r="B78">
            <v>363.15</v>
          </cell>
          <cell r="E78">
            <v>41145.065999999999</v>
          </cell>
        </row>
        <row r="79">
          <cell r="B79">
            <v>365.15</v>
          </cell>
          <cell r="E79">
            <v>41053.163999999997</v>
          </cell>
        </row>
        <row r="80">
          <cell r="B80">
            <v>367.15</v>
          </cell>
          <cell r="E80">
            <v>40959.46</v>
          </cell>
        </row>
        <row r="81">
          <cell r="B81">
            <v>369.15</v>
          </cell>
          <cell r="E81">
            <v>40865.756000000001</v>
          </cell>
        </row>
        <row r="82">
          <cell r="B82">
            <v>371.15</v>
          </cell>
          <cell r="E82">
            <v>40770.25</v>
          </cell>
        </row>
        <row r="83">
          <cell r="B83">
            <v>372.15</v>
          </cell>
          <cell r="E83">
            <v>40723.398000000001</v>
          </cell>
        </row>
        <row r="84">
          <cell r="B84">
            <v>373.15</v>
          </cell>
          <cell r="E84">
            <v>40676.546000000002</v>
          </cell>
        </row>
        <row r="85">
          <cell r="B85">
            <v>375.15</v>
          </cell>
          <cell r="E85">
            <v>40581.040000000001</v>
          </cell>
        </row>
        <row r="86">
          <cell r="B86">
            <v>377.15</v>
          </cell>
          <cell r="E86">
            <v>40483.731999999996</v>
          </cell>
        </row>
        <row r="87">
          <cell r="B87">
            <v>379.15</v>
          </cell>
          <cell r="E87">
            <v>40388.226000000002</v>
          </cell>
        </row>
        <row r="88">
          <cell r="B88">
            <v>381.15</v>
          </cell>
          <cell r="E88">
            <v>40290.917999999998</v>
          </cell>
        </row>
        <row r="89">
          <cell r="B89">
            <v>383.15</v>
          </cell>
          <cell r="E89">
            <v>40193.61</v>
          </cell>
        </row>
        <row r="90">
          <cell r="B90">
            <v>385.15</v>
          </cell>
          <cell r="E90">
            <v>40094.5</v>
          </cell>
        </row>
        <row r="91">
          <cell r="B91">
            <v>387.15</v>
          </cell>
          <cell r="E91">
            <v>39995.39</v>
          </cell>
        </row>
        <row r="92">
          <cell r="B92">
            <v>389.15</v>
          </cell>
          <cell r="E92">
            <v>39896.28</v>
          </cell>
        </row>
        <row r="93">
          <cell r="B93">
            <v>391.15</v>
          </cell>
          <cell r="E93">
            <v>39797.17</v>
          </cell>
        </row>
        <row r="94">
          <cell r="B94">
            <v>393.15</v>
          </cell>
          <cell r="E94">
            <v>39696.258000000002</v>
          </cell>
        </row>
        <row r="95">
          <cell r="B95">
            <v>395.15</v>
          </cell>
          <cell r="E95">
            <v>39595.346000000005</v>
          </cell>
        </row>
        <row r="96">
          <cell r="B96">
            <v>397.15</v>
          </cell>
          <cell r="E96">
            <v>39492.631999999998</v>
          </cell>
        </row>
        <row r="97">
          <cell r="B97">
            <v>399.15</v>
          </cell>
          <cell r="E97">
            <v>39389.917999999998</v>
          </cell>
        </row>
        <row r="98">
          <cell r="B98">
            <v>401.15</v>
          </cell>
          <cell r="E98">
            <v>39287.203999999998</v>
          </cell>
        </row>
        <row r="99">
          <cell r="B99">
            <v>403.15</v>
          </cell>
          <cell r="E99">
            <v>39182.688000000002</v>
          </cell>
        </row>
        <row r="100">
          <cell r="B100">
            <v>405.15</v>
          </cell>
          <cell r="E100">
            <v>39078.171999999999</v>
          </cell>
        </row>
        <row r="101">
          <cell r="B101">
            <v>407.15</v>
          </cell>
          <cell r="E101">
            <v>38971.853999999999</v>
          </cell>
        </row>
        <row r="102">
          <cell r="B102">
            <v>409.15</v>
          </cell>
          <cell r="E102">
            <v>38865.536</v>
          </cell>
        </row>
        <row r="103">
          <cell r="B103">
            <v>411.15</v>
          </cell>
          <cell r="E103">
            <v>38757.416000000005</v>
          </cell>
        </row>
        <row r="104">
          <cell r="B104">
            <v>413.15</v>
          </cell>
          <cell r="E104">
            <v>38651.097999999998</v>
          </cell>
        </row>
        <row r="105">
          <cell r="B105">
            <v>415.15</v>
          </cell>
          <cell r="E105">
            <v>38541.175999999999</v>
          </cell>
        </row>
        <row r="106">
          <cell r="B106">
            <v>417.15</v>
          </cell>
          <cell r="E106">
            <v>38431.253999999994</v>
          </cell>
        </row>
        <row r="107">
          <cell r="B107">
            <v>419.15</v>
          </cell>
          <cell r="E107">
            <v>38321.331999999995</v>
          </cell>
        </row>
        <row r="108">
          <cell r="B108">
            <v>421.15</v>
          </cell>
          <cell r="E108">
            <v>38209.608</v>
          </cell>
        </row>
        <row r="109">
          <cell r="B109">
            <v>423.15</v>
          </cell>
          <cell r="E109">
            <v>38097.883999999998</v>
          </cell>
        </row>
        <row r="110">
          <cell r="B110">
            <v>425.15</v>
          </cell>
          <cell r="E110">
            <v>37984.358</v>
          </cell>
        </row>
        <row r="111">
          <cell r="B111">
            <v>427.15</v>
          </cell>
          <cell r="E111">
            <v>37869.03</v>
          </cell>
        </row>
        <row r="112">
          <cell r="B112">
            <v>429.15</v>
          </cell>
          <cell r="E112">
            <v>37753.701999999997</v>
          </cell>
        </row>
        <row r="113">
          <cell r="B113">
            <v>431.15</v>
          </cell>
          <cell r="E113">
            <v>37638.373999999996</v>
          </cell>
        </row>
        <row r="114">
          <cell r="B114">
            <v>433.15</v>
          </cell>
          <cell r="E114">
            <v>37521.243999999999</v>
          </cell>
        </row>
        <row r="115">
          <cell r="B115">
            <v>435.15</v>
          </cell>
          <cell r="E115">
            <v>37402.311999999998</v>
          </cell>
        </row>
        <row r="116">
          <cell r="B116">
            <v>437.15</v>
          </cell>
          <cell r="E116">
            <v>37283.379999999997</v>
          </cell>
        </row>
        <row r="117">
          <cell r="B117">
            <v>439.15</v>
          </cell>
          <cell r="E117">
            <v>37164.448000000004</v>
          </cell>
        </row>
        <row r="118">
          <cell r="B118">
            <v>441.15</v>
          </cell>
          <cell r="E118">
            <v>37041.911999999997</v>
          </cell>
        </row>
        <row r="119">
          <cell r="B119">
            <v>443.15</v>
          </cell>
          <cell r="E119">
            <v>36919.376000000004</v>
          </cell>
        </row>
        <row r="120">
          <cell r="B120">
            <v>445.15</v>
          </cell>
          <cell r="E120">
            <v>36796.839999999997</v>
          </cell>
        </row>
        <row r="121">
          <cell r="B121">
            <v>447.15</v>
          </cell>
          <cell r="E121">
            <v>36672.502</v>
          </cell>
        </row>
        <row r="122">
          <cell r="B122">
            <v>449.15</v>
          </cell>
          <cell r="E122">
            <v>36546.362000000001</v>
          </cell>
        </row>
        <row r="123">
          <cell r="B123">
            <v>451.15</v>
          </cell>
          <cell r="E123">
            <v>36420.221999999994</v>
          </cell>
        </row>
        <row r="124">
          <cell r="B124">
            <v>453.15</v>
          </cell>
          <cell r="E124">
            <v>36290.478000000003</v>
          </cell>
        </row>
        <row r="125">
          <cell r="B125">
            <v>455.15</v>
          </cell>
          <cell r="E125">
            <v>36162.536</v>
          </cell>
        </row>
        <row r="126">
          <cell r="B126">
            <v>457.15</v>
          </cell>
          <cell r="E126">
            <v>36030.99</v>
          </cell>
        </row>
        <row r="127">
          <cell r="B127">
            <v>459.15</v>
          </cell>
          <cell r="E127">
            <v>35899.444000000003</v>
          </cell>
        </row>
        <row r="128">
          <cell r="B128">
            <v>461.15</v>
          </cell>
          <cell r="E128">
            <v>35766.095999999998</v>
          </cell>
        </row>
        <row r="129">
          <cell r="B129">
            <v>463.15</v>
          </cell>
          <cell r="E129">
            <v>35632.748</v>
          </cell>
        </row>
        <row r="130">
          <cell r="B130">
            <v>465.15</v>
          </cell>
          <cell r="E130">
            <v>35497.597999999998</v>
          </cell>
        </row>
        <row r="131">
          <cell r="B131">
            <v>467.15</v>
          </cell>
          <cell r="E131">
            <v>35360.646000000001</v>
          </cell>
        </row>
        <row r="132">
          <cell r="B132">
            <v>469.15</v>
          </cell>
          <cell r="E132">
            <v>35221.892</v>
          </cell>
        </row>
        <row r="133">
          <cell r="B133">
            <v>471.15</v>
          </cell>
          <cell r="E133">
            <v>35083.137999999999</v>
          </cell>
        </row>
        <row r="134">
          <cell r="B134">
            <v>473.15</v>
          </cell>
          <cell r="E134">
            <v>34940.78</v>
          </cell>
        </row>
        <row r="135">
          <cell r="B135">
            <v>475.15</v>
          </cell>
          <cell r="E135">
            <v>34798.421999999999</v>
          </cell>
        </row>
        <row r="136">
          <cell r="B136">
            <v>477.15</v>
          </cell>
          <cell r="E136">
            <v>34654.261999999995</v>
          </cell>
        </row>
        <row r="137">
          <cell r="B137">
            <v>479.15</v>
          </cell>
          <cell r="E137">
            <v>34510.101999999999</v>
          </cell>
        </row>
        <row r="138">
          <cell r="B138">
            <v>481.15</v>
          </cell>
          <cell r="E138">
            <v>34362.338000000003</v>
          </cell>
        </row>
        <row r="139">
          <cell r="B139">
            <v>483.15</v>
          </cell>
          <cell r="E139">
            <v>34214.574000000001</v>
          </cell>
        </row>
        <row r="140">
          <cell r="B140">
            <v>485.15</v>
          </cell>
          <cell r="E140">
            <v>34065.008000000002</v>
          </cell>
        </row>
        <row r="141">
          <cell r="B141">
            <v>487.15</v>
          </cell>
          <cell r="E141">
            <v>33913.64</v>
          </cell>
        </row>
        <row r="142">
          <cell r="B142">
            <v>489.15</v>
          </cell>
          <cell r="E142">
            <v>33760.47</v>
          </cell>
        </row>
        <row r="143">
          <cell r="B143">
            <v>491.15</v>
          </cell>
          <cell r="E143">
            <v>33605.498</v>
          </cell>
        </row>
        <row r="144">
          <cell r="B144">
            <v>493.15</v>
          </cell>
          <cell r="E144">
            <v>33448.724000000002</v>
          </cell>
        </row>
        <row r="145">
          <cell r="B145">
            <v>495.15</v>
          </cell>
          <cell r="E145">
            <v>33290.148000000001</v>
          </cell>
        </row>
        <row r="146">
          <cell r="B146">
            <v>497.15</v>
          </cell>
          <cell r="E146">
            <v>33131.572</v>
          </cell>
        </row>
        <row r="147">
          <cell r="B147">
            <v>499.15</v>
          </cell>
          <cell r="E147">
            <v>32969.392</v>
          </cell>
        </row>
        <row r="148">
          <cell r="B148">
            <v>501.15</v>
          </cell>
          <cell r="E148">
            <v>32807.212</v>
          </cell>
        </row>
        <row r="149">
          <cell r="B149">
            <v>503.15</v>
          </cell>
          <cell r="E149">
            <v>32641.428</v>
          </cell>
        </row>
        <row r="150">
          <cell r="B150">
            <v>505.15</v>
          </cell>
          <cell r="E150">
            <v>32473.841999999997</v>
          </cell>
        </row>
        <row r="151">
          <cell r="B151">
            <v>507.15</v>
          </cell>
          <cell r="E151">
            <v>32304.454000000002</v>
          </cell>
        </row>
        <row r="152">
          <cell r="B152">
            <v>509.15</v>
          </cell>
          <cell r="E152">
            <v>32135.065999999999</v>
          </cell>
        </row>
        <row r="153">
          <cell r="B153">
            <v>511.15</v>
          </cell>
          <cell r="E153">
            <v>31962.074000000001</v>
          </cell>
        </row>
        <row r="154">
          <cell r="B154">
            <v>513.15</v>
          </cell>
          <cell r="E154">
            <v>31787.279999999999</v>
          </cell>
        </row>
        <row r="155">
          <cell r="B155">
            <v>515.15</v>
          </cell>
          <cell r="E155">
            <v>31610.684000000001</v>
          </cell>
        </row>
        <row r="156">
          <cell r="B156">
            <v>517.15</v>
          </cell>
          <cell r="E156">
            <v>31430.484</v>
          </cell>
        </row>
        <row r="157">
          <cell r="B157">
            <v>519.15</v>
          </cell>
          <cell r="E157">
            <v>31250.284</v>
          </cell>
        </row>
        <row r="158">
          <cell r="B158">
            <v>521.15</v>
          </cell>
          <cell r="E158">
            <v>31066.48</v>
          </cell>
        </row>
        <row r="159">
          <cell r="B159">
            <v>523.15</v>
          </cell>
          <cell r="E159">
            <v>30880.874</v>
          </cell>
        </row>
        <row r="160">
          <cell r="B160">
            <v>525.15</v>
          </cell>
          <cell r="E160">
            <v>30693.465999999997</v>
          </cell>
        </row>
        <row r="161">
          <cell r="B161">
            <v>527.15</v>
          </cell>
          <cell r="E161">
            <v>30502.454000000002</v>
          </cell>
        </row>
        <row r="162">
          <cell r="B162">
            <v>529.15</v>
          </cell>
          <cell r="E162">
            <v>30309.64</v>
          </cell>
        </row>
        <row r="163">
          <cell r="B163">
            <v>531.15</v>
          </cell>
          <cell r="E163">
            <v>30113.221999999998</v>
          </cell>
        </row>
        <row r="164">
          <cell r="B164">
            <v>533.15</v>
          </cell>
          <cell r="E164">
            <v>29916.804</v>
          </cell>
        </row>
        <row r="165">
          <cell r="B165">
            <v>535.15</v>
          </cell>
          <cell r="E165">
            <v>29714.98</v>
          </cell>
        </row>
        <row r="166">
          <cell r="B166">
            <v>537.15</v>
          </cell>
          <cell r="E166">
            <v>29513.155999999999</v>
          </cell>
        </row>
        <row r="167">
          <cell r="B167">
            <v>539.15</v>
          </cell>
          <cell r="E167">
            <v>29305.925999999999</v>
          </cell>
        </row>
        <row r="168">
          <cell r="B168">
            <v>541.15</v>
          </cell>
          <cell r="E168">
            <v>29096.894</v>
          </cell>
        </row>
        <row r="169">
          <cell r="B169">
            <v>543.15</v>
          </cell>
          <cell r="E169">
            <v>28886.059999999998</v>
          </cell>
        </row>
        <row r="170">
          <cell r="B170">
            <v>545.15</v>
          </cell>
          <cell r="E170">
            <v>28669.82</v>
          </cell>
        </row>
        <row r="171">
          <cell r="B171">
            <v>547.15</v>
          </cell>
          <cell r="E171">
            <v>28451.778000000002</v>
          </cell>
        </row>
        <row r="172">
          <cell r="B172">
            <v>549.15</v>
          </cell>
          <cell r="E172">
            <v>28231.934000000001</v>
          </cell>
        </row>
        <row r="173">
          <cell r="B173">
            <v>551.15</v>
          </cell>
          <cell r="E173">
            <v>28006.684000000001</v>
          </cell>
        </row>
        <row r="174">
          <cell r="B174">
            <v>553.15</v>
          </cell>
          <cell r="E174">
            <v>27779.631999999998</v>
          </cell>
        </row>
        <row r="175">
          <cell r="B175">
            <v>555.15</v>
          </cell>
          <cell r="E175">
            <v>27547.173999999999</v>
          </cell>
        </row>
        <row r="176">
          <cell r="B176">
            <v>557.15</v>
          </cell>
          <cell r="E176">
            <v>27312.914000000001</v>
          </cell>
        </row>
        <row r="177">
          <cell r="B177">
            <v>559.15</v>
          </cell>
          <cell r="E177">
            <v>27073.248</v>
          </cell>
        </row>
        <row r="178">
          <cell r="B178">
            <v>561.15</v>
          </cell>
          <cell r="E178">
            <v>26829.978000000003</v>
          </cell>
        </row>
        <row r="179">
          <cell r="B179">
            <v>563.15</v>
          </cell>
          <cell r="E179">
            <v>26583.103999999999</v>
          </cell>
        </row>
        <row r="180">
          <cell r="B180">
            <v>565.15</v>
          </cell>
          <cell r="E180">
            <v>26332.626</v>
          </cell>
        </row>
        <row r="181">
          <cell r="B181">
            <v>567.15</v>
          </cell>
          <cell r="E181">
            <v>26076.741999999998</v>
          </cell>
        </row>
        <row r="182">
          <cell r="B182">
            <v>569.15</v>
          </cell>
          <cell r="E182">
            <v>25817.254000000001</v>
          </cell>
        </row>
        <row r="183">
          <cell r="B183">
            <v>571.15</v>
          </cell>
          <cell r="E183">
            <v>25554.161999999997</v>
          </cell>
        </row>
        <row r="184">
          <cell r="B184">
            <v>573.15</v>
          </cell>
          <cell r="E184">
            <v>25283.861999999997</v>
          </cell>
        </row>
        <row r="185">
          <cell r="B185">
            <v>575.15</v>
          </cell>
          <cell r="E185">
            <v>25009.958000000002</v>
          </cell>
        </row>
        <row r="186">
          <cell r="B186">
            <v>577.15</v>
          </cell>
          <cell r="E186">
            <v>24730.648000000001</v>
          </cell>
        </row>
        <row r="187">
          <cell r="B187">
            <v>579.15</v>
          </cell>
          <cell r="E187">
            <v>24445.931999999997</v>
          </cell>
        </row>
        <row r="188">
          <cell r="B188">
            <v>581.15</v>
          </cell>
          <cell r="E188">
            <v>24155.809999999998</v>
          </cell>
        </row>
        <row r="189">
          <cell r="B189">
            <v>583.15</v>
          </cell>
          <cell r="E189">
            <v>23872.895999999997</v>
          </cell>
        </row>
        <row r="190">
          <cell r="B190">
            <v>585.15</v>
          </cell>
          <cell r="E190">
            <v>23557.545999999998</v>
          </cell>
        </row>
        <row r="191">
          <cell r="B191">
            <v>587.15</v>
          </cell>
          <cell r="E191">
            <v>23247.601999999999</v>
          </cell>
        </row>
        <row r="192">
          <cell r="B192">
            <v>589.15</v>
          </cell>
          <cell r="E192">
            <v>22932.251999999997</v>
          </cell>
        </row>
        <row r="193">
          <cell r="B193">
            <v>591.15</v>
          </cell>
          <cell r="E193">
            <v>22611.495999999999</v>
          </cell>
        </row>
        <row r="194">
          <cell r="B194">
            <v>593.15</v>
          </cell>
          <cell r="E194">
            <v>22281.73</v>
          </cell>
        </row>
        <row r="195">
          <cell r="B195">
            <v>595.15</v>
          </cell>
          <cell r="E195">
            <v>21942.954000000002</v>
          </cell>
        </row>
        <row r="196">
          <cell r="B196">
            <v>597.15</v>
          </cell>
          <cell r="E196">
            <v>21598.771999999997</v>
          </cell>
        </row>
        <row r="197">
          <cell r="B197">
            <v>599.15</v>
          </cell>
          <cell r="E197">
            <v>21243.778000000002</v>
          </cell>
        </row>
        <row r="198">
          <cell r="B198">
            <v>601.15</v>
          </cell>
          <cell r="E198">
            <v>20881.575999999997</v>
          </cell>
        </row>
        <row r="199">
          <cell r="B199">
            <v>603.15</v>
          </cell>
          <cell r="E199">
            <v>20508.561999999998</v>
          </cell>
        </row>
        <row r="200">
          <cell r="B200">
            <v>605.15</v>
          </cell>
          <cell r="E200">
            <v>20126.538</v>
          </cell>
        </row>
        <row r="201">
          <cell r="B201">
            <v>607.15</v>
          </cell>
          <cell r="E201">
            <v>19733.701999999997</v>
          </cell>
        </row>
        <row r="202">
          <cell r="B202">
            <v>609.15</v>
          </cell>
          <cell r="E202">
            <v>19328.251999999997</v>
          </cell>
        </row>
        <row r="203">
          <cell r="B203">
            <v>611.15</v>
          </cell>
          <cell r="E203">
            <v>18911.989999999998</v>
          </cell>
        </row>
        <row r="204">
          <cell r="B204">
            <v>613.15</v>
          </cell>
          <cell r="E204">
            <v>18481.311999999998</v>
          </cell>
        </row>
        <row r="205">
          <cell r="B205">
            <v>615.15</v>
          </cell>
          <cell r="E205">
            <v>18036.218000000001</v>
          </cell>
        </row>
        <row r="206">
          <cell r="B206">
            <v>617.15</v>
          </cell>
          <cell r="E206">
            <v>17578.509999999998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6"/>
  <sheetViews>
    <sheetView tabSelected="1" topLeftCell="A11" workbookViewId="0">
      <selection activeCell="V21" sqref="V21"/>
    </sheetView>
  </sheetViews>
  <sheetFormatPr defaultRowHeight="15" x14ac:dyDescent="0.25"/>
  <cols>
    <col min="3" max="3" width="9.85546875" customWidth="1"/>
    <col min="4" max="4" width="11.28515625" customWidth="1"/>
    <col min="5" max="6" width="10.7109375" customWidth="1"/>
    <col min="7" max="7" width="12.7109375" bestFit="1" customWidth="1"/>
    <col min="9" max="9" width="10.7109375" customWidth="1"/>
    <col min="11" max="11" width="10" customWidth="1"/>
    <col min="24" max="24" width="10.7109375" customWidth="1"/>
    <col min="25" max="25" width="11" customWidth="1"/>
  </cols>
  <sheetData>
    <row r="1" spans="1:21" ht="15.75" thickBot="1" x14ac:dyDescent="0.3">
      <c r="A1" s="1" t="s">
        <v>0</v>
      </c>
      <c r="B1" s="45" t="s">
        <v>73</v>
      </c>
      <c r="C1" s="46"/>
      <c r="E1" s="39" t="s">
        <v>1</v>
      </c>
      <c r="F1" s="40"/>
      <c r="G1" s="40"/>
      <c r="H1" s="41"/>
      <c r="J1" s="2" t="s">
        <v>2</v>
      </c>
      <c r="L1" s="48" t="s">
        <v>72</v>
      </c>
      <c r="M1" s="49"/>
      <c r="N1" s="49"/>
      <c r="O1" s="50"/>
    </row>
    <row r="2" spans="1:21" ht="15.75" thickBot="1" x14ac:dyDescent="0.3">
      <c r="A2" s="3" t="s">
        <v>3</v>
      </c>
      <c r="B2" s="51" t="s">
        <v>74</v>
      </c>
      <c r="C2" s="52"/>
      <c r="E2" s="1" t="s">
        <v>4</v>
      </c>
      <c r="F2" s="4">
        <v>0.4</v>
      </c>
      <c r="G2" s="1" t="s">
        <v>5</v>
      </c>
      <c r="H2" s="5">
        <v>5.5736999999999997</v>
      </c>
      <c r="J2" s="6">
        <f>8.314/1000</f>
        <v>8.3140000000000002E-3</v>
      </c>
      <c r="L2" s="2"/>
      <c r="M2" s="7" t="s">
        <v>0</v>
      </c>
      <c r="N2" s="7" t="s">
        <v>3</v>
      </c>
      <c r="O2" s="8" t="s">
        <v>6</v>
      </c>
    </row>
    <row r="3" spans="1:21" ht="15.75" thickBot="1" x14ac:dyDescent="0.3">
      <c r="A3" s="9" t="s">
        <v>6</v>
      </c>
      <c r="B3" s="53" t="s">
        <v>75</v>
      </c>
      <c r="C3" s="54"/>
      <c r="E3" s="57"/>
      <c r="F3" s="4"/>
      <c r="G3" s="3" t="s">
        <v>7</v>
      </c>
      <c r="H3" s="11">
        <v>7.4991000000000003</v>
      </c>
      <c r="J3" s="2" t="s">
        <v>8</v>
      </c>
      <c r="K3" t="s">
        <v>76</v>
      </c>
      <c r="L3" s="3" t="s">
        <v>0</v>
      </c>
      <c r="M3" s="12">
        <v>20.840540000000001</v>
      </c>
      <c r="N3" s="1">
        <v>-2624.5250000000001</v>
      </c>
      <c r="O3" s="13">
        <v>-46.151710000000001</v>
      </c>
    </row>
    <row r="4" spans="1:21" ht="15.75" thickBot="1" x14ac:dyDescent="0.3">
      <c r="E4" s="57"/>
      <c r="F4" s="4"/>
      <c r="G4" s="3" t="s">
        <v>9</v>
      </c>
      <c r="H4" s="11">
        <v>19.269400000000001</v>
      </c>
      <c r="J4" s="6">
        <v>5</v>
      </c>
      <c r="L4" s="3" t="s">
        <v>3</v>
      </c>
      <c r="M4" s="12">
        <v>23.534700000000001</v>
      </c>
      <c r="N4" s="3">
        <v>-3661.4679999999998</v>
      </c>
      <c r="O4" s="13">
        <v>-32.770009999999999</v>
      </c>
    </row>
    <row r="5" spans="1:21" ht="15.75" thickBot="1" x14ac:dyDescent="0.3">
      <c r="E5" s="57"/>
      <c r="F5" s="4"/>
      <c r="G5" s="3" t="s">
        <v>10</v>
      </c>
      <c r="H5" s="11">
        <v>16.212</v>
      </c>
      <c r="J5" s="2" t="s">
        <v>11</v>
      </c>
      <c r="K5" t="s">
        <v>76</v>
      </c>
      <c r="L5" s="9" t="s">
        <v>6</v>
      </c>
      <c r="M5" s="14">
        <v>0</v>
      </c>
      <c r="N5" s="9">
        <v>0</v>
      </c>
      <c r="O5" s="15">
        <v>0</v>
      </c>
      <c r="Q5" s="36"/>
      <c r="R5" s="36"/>
    </row>
    <row r="6" spans="1:21" ht="15.75" thickBot="1" x14ac:dyDescent="0.3">
      <c r="E6" s="57"/>
      <c r="F6" s="4"/>
      <c r="G6" s="3" t="s">
        <v>12</v>
      </c>
      <c r="H6" s="11">
        <v>10.6456</v>
      </c>
      <c r="J6" s="16">
        <v>101.325</v>
      </c>
      <c r="Q6" s="37"/>
      <c r="R6" s="37"/>
    </row>
    <row r="7" spans="1:21" ht="15.75" thickBot="1" x14ac:dyDescent="0.3">
      <c r="E7" s="57"/>
      <c r="F7" s="4"/>
      <c r="G7" s="9" t="s">
        <v>13</v>
      </c>
      <c r="H7" s="17">
        <v>0.56320000000000003</v>
      </c>
      <c r="Q7" s="38"/>
      <c r="R7" s="38"/>
    </row>
    <row r="8" spans="1:21" ht="15.75" thickBot="1" x14ac:dyDescent="0.3"/>
    <row r="9" spans="1:21" ht="15.75" thickBot="1" x14ac:dyDescent="0.3">
      <c r="A9" s="2" t="s">
        <v>14</v>
      </c>
      <c r="B9" s="8" t="s">
        <v>15</v>
      </c>
      <c r="C9" s="2" t="s">
        <v>16</v>
      </c>
      <c r="D9" s="2" t="s">
        <v>17</v>
      </c>
      <c r="E9" s="2" t="s">
        <v>18</v>
      </c>
      <c r="F9" s="18" t="s">
        <v>19</v>
      </c>
      <c r="G9" s="2" t="s">
        <v>20</v>
      </c>
      <c r="H9" s="8" t="s">
        <v>21</v>
      </c>
      <c r="I9" s="18" t="s">
        <v>22</v>
      </c>
      <c r="J9" s="2" t="s">
        <v>23</v>
      </c>
      <c r="K9" s="8" t="s">
        <v>24</v>
      </c>
      <c r="L9" s="2" t="s">
        <v>25</v>
      </c>
      <c r="M9" s="10"/>
      <c r="N9" s="10"/>
      <c r="O9" s="10"/>
      <c r="P9" s="10"/>
      <c r="Q9" s="10"/>
      <c r="R9" s="10"/>
      <c r="S9" s="10"/>
      <c r="T9" s="10"/>
      <c r="U9" s="10"/>
    </row>
    <row r="10" spans="1:21" ht="15.75" thickBot="1" x14ac:dyDescent="0.3">
      <c r="A10" s="19">
        <v>37.845242185429861</v>
      </c>
      <c r="B10" s="20">
        <f>A10+273.15</f>
        <v>310.99524218542984</v>
      </c>
      <c r="C10" s="16">
        <f>C19</f>
        <v>0.03</v>
      </c>
      <c r="D10" s="16">
        <f>C21</f>
        <v>0.47</v>
      </c>
      <c r="E10" s="16">
        <f>C20</f>
        <v>0.5</v>
      </c>
      <c r="F10" s="21">
        <f>EXP(M3+N3/(B10+O3))/1000</f>
        <v>55.872128300638124</v>
      </c>
      <c r="G10" s="16">
        <f>EXP(M4+N4/(B10+O4))/1000</f>
        <v>32.035948396582988</v>
      </c>
      <c r="H10" s="17">
        <f>EXP(M5+N5/(B10+O5))/1000</f>
        <v>1E-3</v>
      </c>
      <c r="I10" s="22">
        <f>(C10*F10*S13)/J4</f>
        <v>10.221524136883239</v>
      </c>
      <c r="J10" s="19">
        <f>(D10*G10*T13)/J4</f>
        <v>5.6089977535893114</v>
      </c>
      <c r="K10" s="23">
        <f>(E10*H10*U13)/J4</f>
        <v>1.1899767295670967E-4</v>
      </c>
      <c r="L10" s="19">
        <f>SUM(I10:K10)</f>
        <v>15.830640888145506</v>
      </c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75" thickBo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75" thickBot="1" x14ac:dyDescent="0.3">
      <c r="A12" s="2" t="s">
        <v>26</v>
      </c>
      <c r="B12" s="8" t="s">
        <v>27</v>
      </c>
      <c r="C12" s="8" t="s">
        <v>28</v>
      </c>
      <c r="D12" s="8" t="s">
        <v>29</v>
      </c>
      <c r="E12" s="8" t="s">
        <v>30</v>
      </c>
      <c r="F12" s="8" t="s">
        <v>31</v>
      </c>
      <c r="G12" s="2" t="s">
        <v>32</v>
      </c>
      <c r="H12" s="8" t="s">
        <v>33</v>
      </c>
      <c r="I12" s="8" t="s">
        <v>34</v>
      </c>
      <c r="J12" s="8" t="s">
        <v>35</v>
      </c>
      <c r="K12" s="8" t="s">
        <v>36</v>
      </c>
      <c r="L12" s="8" t="s">
        <v>37</v>
      </c>
      <c r="M12" s="24" t="s">
        <v>38</v>
      </c>
      <c r="N12" s="25" t="s">
        <v>39</v>
      </c>
      <c r="O12" s="25" t="s">
        <v>40</v>
      </c>
      <c r="P12" s="24" t="s">
        <v>41</v>
      </c>
      <c r="Q12" s="25" t="s">
        <v>42</v>
      </c>
      <c r="R12" s="25" t="s">
        <v>43</v>
      </c>
      <c r="S12" s="24" t="s">
        <v>44</v>
      </c>
      <c r="T12" s="25" t="s">
        <v>45</v>
      </c>
      <c r="U12" s="25" t="s">
        <v>46</v>
      </c>
    </row>
    <row r="13" spans="1:21" ht="15.75" thickBot="1" x14ac:dyDescent="0.3">
      <c r="A13" s="22">
        <f>H2/(J2*B10)</f>
        <v>2.1556578220499309</v>
      </c>
      <c r="B13" s="19">
        <f>H3/(J2*B10)</f>
        <v>2.9003164098058094</v>
      </c>
      <c r="C13" s="23">
        <f>H4/(J2*B10)</f>
        <v>7.4525419086439797</v>
      </c>
      <c r="D13" s="19">
        <f>H5/(J2*B10)</f>
        <v>6.2700763605995098</v>
      </c>
      <c r="E13" s="23">
        <f>H6/(J2*B10)</f>
        <v>4.1172418519860683</v>
      </c>
      <c r="F13" s="19">
        <f>H7/(J2*B10)</f>
        <v>0.21782056540153244</v>
      </c>
      <c r="G13" s="23">
        <f>EXP(-$F$2*A13)</f>
        <v>0.42220549486233916</v>
      </c>
      <c r="H13" s="23">
        <f>EXP(-$F$2*B13)</f>
        <v>0.31344650735263024</v>
      </c>
      <c r="I13" s="23">
        <f>EXP(-$F$2*C13)</f>
        <v>5.0741215813638191E-2</v>
      </c>
      <c r="J13" s="23">
        <f>EXP(-$F$2*D13)</f>
        <v>8.1428451156140072E-2</v>
      </c>
      <c r="K13" s="23">
        <f>EXP(-$F$2*E13)</f>
        <v>0.19264681496613834</v>
      </c>
      <c r="L13" s="23">
        <f>EXP(-$F$2*F13)</f>
        <v>0.91655956118431403</v>
      </c>
      <c r="M13" s="23">
        <f>D10*B13*H13+E10*D13*J13</f>
        <v>0.68255550630661366</v>
      </c>
      <c r="N13" s="19">
        <f>C10*A13*G13+E10*F13*L13</f>
        <v>0.12712667824604779</v>
      </c>
      <c r="O13" s="23">
        <f>C10*C13*I13+D10*E13*K13</f>
        <v>0.38413608985868897</v>
      </c>
      <c r="P13" s="19">
        <f>C10+H13*D10+J13*E10</f>
        <v>0.21803408403380622</v>
      </c>
      <c r="Q13" s="23">
        <f>G13*C10+D10+L13*E10</f>
        <v>0.94094594543802712</v>
      </c>
      <c r="R13" s="19">
        <f>I13*C10+K13*D10+E10</f>
        <v>0.59206623950849413</v>
      </c>
      <c r="S13" s="23">
        <f>EXP(M13/P13-(C10*M13)/P13^2+D10*G13/Q13*(A13-N13/Q13)+E10*I13/R13*(C13-O13/R13))</f>
        <v>30.490826248474047</v>
      </c>
      <c r="T13" s="19">
        <f>EXP(N13/Q13-D10*N13/Q13^2+C10*H13/P13*(B13-M13/P13)+E10*K13/R13*(E13-O13/R13))</f>
        <v>1.8626009796649545</v>
      </c>
      <c r="U13" s="20">
        <f>EXP(O13/R13-E10*O13/R13^2+C10*J13/P13*(D13-M13/P13)+D10*L13/Q13*(F13-N13/Q13))</f>
        <v>1.1899767295670967</v>
      </c>
    </row>
    <row r="14" spans="1:21" ht="15.75" thickBot="1" x14ac:dyDescent="0.3"/>
    <row r="15" spans="1:21" ht="15.75" thickBot="1" x14ac:dyDescent="0.3">
      <c r="A15" s="26"/>
      <c r="B15" s="27" t="s">
        <v>47</v>
      </c>
      <c r="C15" s="28" t="s">
        <v>48</v>
      </c>
      <c r="D15" s="29" t="s">
        <v>49</v>
      </c>
      <c r="I15" s="59" t="s">
        <v>74</v>
      </c>
      <c r="K15" s="62"/>
      <c r="L15" s="62"/>
      <c r="N15" s="60"/>
      <c r="O15" s="60"/>
      <c r="P15" s="60"/>
      <c r="Q15" s="60"/>
      <c r="S15" s="28" t="s">
        <v>50</v>
      </c>
      <c r="T15" s="28" t="s">
        <v>87</v>
      </c>
    </row>
    <row r="16" spans="1:21" ht="15.75" thickBot="1" x14ac:dyDescent="0.3">
      <c r="A16" s="30" t="s">
        <v>14</v>
      </c>
      <c r="B16" s="10">
        <v>40</v>
      </c>
      <c r="C16" s="31">
        <f>A10</f>
        <v>37.845242185429861</v>
      </c>
      <c r="D16" s="11">
        <f>A10</f>
        <v>37.845242185429861</v>
      </c>
      <c r="I16" s="1" t="s">
        <v>85</v>
      </c>
      <c r="J16" s="31">
        <v>45.3</v>
      </c>
      <c r="K16" s="57"/>
      <c r="L16" s="57"/>
      <c r="N16" s="61"/>
      <c r="O16" s="57"/>
      <c r="P16" s="57"/>
      <c r="Q16" s="57"/>
      <c r="S16" s="19">
        <f>(B17+C17)/2</f>
        <v>312.07262109271494</v>
      </c>
      <c r="T16" s="19">
        <f>J22*1000*EXP(-J23*S16/J24)*(1-S16/J24)^J23</f>
        <v>28965.306472704386</v>
      </c>
    </row>
    <row r="17" spans="1:27" ht="15.75" thickBot="1" x14ac:dyDescent="0.3">
      <c r="A17" s="28" t="s">
        <v>15</v>
      </c>
      <c r="B17" s="4">
        <f>B16+273.15</f>
        <v>313.14999999999998</v>
      </c>
      <c r="C17" s="19">
        <f>C16+273.15</f>
        <v>310.99524218542984</v>
      </c>
      <c r="D17" s="20">
        <f>D16+273.15</f>
        <v>310.99524218542984</v>
      </c>
      <c r="I17" s="63" t="s">
        <v>62</v>
      </c>
      <c r="J17" s="6">
        <v>-0.31</v>
      </c>
      <c r="K17" s="55"/>
      <c r="L17" s="55"/>
      <c r="N17" s="57"/>
      <c r="O17" s="55"/>
      <c r="P17" s="55"/>
      <c r="Q17" s="55"/>
      <c r="S17" s="2" t="s">
        <v>92</v>
      </c>
      <c r="T17" s="2" t="s">
        <v>52</v>
      </c>
    </row>
    <row r="18" spans="1:27" ht="15.75" thickBot="1" x14ac:dyDescent="0.3">
      <c r="A18" s="32" t="s">
        <v>53</v>
      </c>
      <c r="B18" s="34">
        <v>20.690942281580988</v>
      </c>
      <c r="C18" s="33">
        <f>(B18*B20)/C20</f>
        <v>16.888900600084146</v>
      </c>
      <c r="D18" s="11">
        <f>B18-C18</f>
        <v>3.8020416814968421</v>
      </c>
      <c r="F18" s="2" t="s">
        <v>54</v>
      </c>
      <c r="I18" s="3" t="s">
        <v>64</v>
      </c>
      <c r="J18" s="6">
        <v>0.42409999999999998</v>
      </c>
      <c r="L18" s="55"/>
      <c r="N18" s="57"/>
      <c r="O18" s="55"/>
      <c r="P18" s="55"/>
      <c r="Q18" s="55"/>
      <c r="S18" s="19">
        <v>187.5</v>
      </c>
      <c r="T18" s="19">
        <f>J16*1000*EXP(-J17*S16/J19)*(1-S16/J19)</f>
        <v>21402.143104419636</v>
      </c>
    </row>
    <row r="19" spans="1:27" ht="15.75" thickBot="1" x14ac:dyDescent="0.3">
      <c r="A19" s="28" t="s">
        <v>16</v>
      </c>
      <c r="B19" s="34">
        <v>3.6193341415735866E-2</v>
      </c>
      <c r="C19" s="58">
        <v>0.03</v>
      </c>
      <c r="D19" s="20">
        <f>(B18*B19-C18*C19)/D18</f>
        <v>6.3704541006679744E-2</v>
      </c>
      <c r="E19" s="10">
        <f>I10</f>
        <v>10.221524136883239</v>
      </c>
      <c r="F19" s="10">
        <f>(D19-E19)^2</f>
        <v>103.18129894237386</v>
      </c>
      <c r="I19" s="9" t="s">
        <v>86</v>
      </c>
      <c r="J19" s="16">
        <v>512.6</v>
      </c>
      <c r="K19" s="55"/>
      <c r="L19" s="55" t="s">
        <v>88</v>
      </c>
      <c r="N19" s="57"/>
      <c r="O19" s="55"/>
      <c r="P19" s="55"/>
      <c r="Q19" s="55"/>
      <c r="S19" s="2" t="s">
        <v>57</v>
      </c>
      <c r="T19" s="2" t="s">
        <v>58</v>
      </c>
    </row>
    <row r="20" spans="1:27" ht="15.75" thickBot="1" x14ac:dyDescent="0.3">
      <c r="A20" s="28" t="s">
        <v>18</v>
      </c>
      <c r="B20" s="34">
        <v>0.40812304172146363</v>
      </c>
      <c r="C20" s="58">
        <v>0.5</v>
      </c>
      <c r="D20" s="20">
        <v>0</v>
      </c>
      <c r="S20" s="19">
        <f>A36+B36*S16+C36*S16^2+D36*S16^3</f>
        <v>84.873837475288326</v>
      </c>
      <c r="T20" s="19">
        <f>0</f>
        <v>0</v>
      </c>
    </row>
    <row r="21" spans="1:27" ht="15.75" thickBot="1" x14ac:dyDescent="0.3">
      <c r="A21" s="28" t="s">
        <v>17</v>
      </c>
      <c r="B21" s="34">
        <v>0.55568361686280054</v>
      </c>
      <c r="C21" s="19">
        <f>1-C19-C20</f>
        <v>0.47</v>
      </c>
      <c r="D21" s="20">
        <f>(B18*B21-C18*C21)/D18</f>
        <v>0.93629545899332067</v>
      </c>
      <c r="E21" s="10">
        <f>J10</f>
        <v>5.6089977535893114</v>
      </c>
      <c r="F21" s="10">
        <f>(D21-E21)^2</f>
        <v>21.834146733922633</v>
      </c>
      <c r="I21" s="59" t="s">
        <v>73</v>
      </c>
      <c r="S21" s="2" t="s">
        <v>59</v>
      </c>
      <c r="T21" s="2" t="s">
        <v>60</v>
      </c>
    </row>
    <row r="22" spans="1:27" ht="15.75" thickBot="1" x14ac:dyDescent="0.3">
      <c r="A22" s="32" t="s">
        <v>61</v>
      </c>
      <c r="B22" s="10">
        <f>S24*(B17-C17)</f>
        <v>379.8059915508573</v>
      </c>
      <c r="C22" s="6">
        <v>0</v>
      </c>
      <c r="D22" s="11">
        <f>T22</f>
        <v>21883.950955354761</v>
      </c>
      <c r="F22" s="2" t="s">
        <v>54</v>
      </c>
      <c r="I22" s="1" t="s">
        <v>85</v>
      </c>
      <c r="J22" s="31">
        <v>46.23</v>
      </c>
      <c r="S22" s="19">
        <f>D43+E43*S16+S16^2*F43</f>
        <v>299.70039343822771</v>
      </c>
      <c r="T22" s="19">
        <f>D19*T16+D21*T18+D20*T20</f>
        <v>21883.950955354761</v>
      </c>
    </row>
    <row r="23" spans="1:27" ht="15.75" thickBot="1" x14ac:dyDescent="0.3">
      <c r="A23" s="28" t="s">
        <v>63</v>
      </c>
      <c r="B23" s="23">
        <f>I27*B22</f>
        <v>2182.9288470492847</v>
      </c>
      <c r="C23" s="19">
        <v>0</v>
      </c>
      <c r="D23" s="20">
        <f>J27*D22</f>
        <v>23112.137135580957</v>
      </c>
      <c r="E23">
        <f>(B23-D23)/B23</f>
        <v>-9.5876731469384193</v>
      </c>
      <c r="F23">
        <f>E23^2</f>
        <v>91.92347637252405</v>
      </c>
      <c r="I23" s="3" t="s">
        <v>64</v>
      </c>
      <c r="J23" s="6">
        <v>0.2893</v>
      </c>
      <c r="S23" s="2" t="s">
        <v>65</v>
      </c>
    </row>
    <row r="24" spans="1:27" ht="15.75" thickBot="1" x14ac:dyDescent="0.3">
      <c r="F24" s="2" t="s">
        <v>66</v>
      </c>
      <c r="I24" s="9" t="s">
        <v>86</v>
      </c>
      <c r="J24" s="16">
        <v>497.1</v>
      </c>
      <c r="S24" s="19">
        <f>S18*B19+S20*B21+S22*B20</f>
        <v>176.26388867587306</v>
      </c>
    </row>
    <row r="25" spans="1:27" ht="16.5" thickBot="1" x14ac:dyDescent="0.3">
      <c r="A25" s="39" t="s">
        <v>67</v>
      </c>
      <c r="B25" s="40"/>
      <c r="C25" s="40"/>
      <c r="D25" s="41"/>
      <c r="F25" s="19">
        <f>F19+F21+F23</f>
        <v>216.93892204882053</v>
      </c>
      <c r="K25" s="64" t="s">
        <v>89</v>
      </c>
    </row>
    <row r="26" spans="1:27" ht="15.75" thickBot="1" x14ac:dyDescent="0.3">
      <c r="A26" s="42" t="s">
        <v>48</v>
      </c>
      <c r="B26" s="43"/>
      <c r="C26" s="44" t="s">
        <v>70</v>
      </c>
      <c r="D26" s="43"/>
      <c r="I26" s="2" t="s">
        <v>68</v>
      </c>
      <c r="J26" s="2" t="s">
        <v>69</v>
      </c>
    </row>
    <row r="27" spans="1:27" ht="15.75" thickBot="1" x14ac:dyDescent="0.3">
      <c r="I27" s="34">
        <f>B18*1000/3600</f>
        <v>5.74748396710583</v>
      </c>
      <c r="J27" s="35">
        <f>D18*1000/3600</f>
        <v>1.0561226893046785</v>
      </c>
    </row>
    <row r="28" spans="1:27" ht="15.75" thickBot="1" x14ac:dyDescent="0.3">
      <c r="E28" s="70"/>
      <c r="N28" s="56"/>
      <c r="O28" s="56"/>
      <c r="X28" s="47"/>
      <c r="Y28" s="47"/>
    </row>
    <row r="29" spans="1:27" ht="16.5" thickBot="1" x14ac:dyDescent="0.3">
      <c r="A29" s="66" t="s">
        <v>74</v>
      </c>
      <c r="B29" s="55"/>
      <c r="C29" s="67" t="s">
        <v>90</v>
      </c>
      <c r="D29" s="69">
        <v>32.04</v>
      </c>
      <c r="E29" s="68" t="s">
        <v>79</v>
      </c>
      <c r="K29" s="64" t="s">
        <v>91</v>
      </c>
      <c r="N29" s="55"/>
      <c r="O29" s="55"/>
      <c r="X29" s="10"/>
      <c r="Y29" s="10"/>
      <c r="Z29" s="10"/>
      <c r="AA29" s="10"/>
    </row>
    <row r="30" spans="1:27" ht="15.75" thickBot="1" x14ac:dyDescent="0.3">
      <c r="A30" s="67" t="s">
        <v>71</v>
      </c>
      <c r="B30" s="68" t="s">
        <v>78</v>
      </c>
      <c r="C30" s="55"/>
      <c r="D30" s="55"/>
      <c r="E30" s="67" t="s">
        <v>81</v>
      </c>
      <c r="F30" s="75" t="s">
        <v>82</v>
      </c>
      <c r="G30" s="76" t="s">
        <v>83</v>
      </c>
      <c r="N30" s="55"/>
      <c r="O30" s="55"/>
      <c r="X30" s="10"/>
      <c r="Y30" s="10"/>
      <c r="Z30" s="10"/>
      <c r="AA30" s="10"/>
    </row>
    <row r="31" spans="1:27" ht="15.75" thickBot="1" x14ac:dyDescent="0.3">
      <c r="A31" s="71" t="s">
        <v>51</v>
      </c>
      <c r="B31" s="72" t="s">
        <v>55</v>
      </c>
      <c r="C31" s="72" t="s">
        <v>56</v>
      </c>
      <c r="D31" s="73" t="s">
        <v>77</v>
      </c>
      <c r="E31" s="55"/>
      <c r="N31" s="55"/>
      <c r="O31" s="55"/>
      <c r="X31" s="10"/>
      <c r="Y31" s="10"/>
      <c r="Z31" s="10"/>
      <c r="AA31" s="10"/>
    </row>
    <row r="32" spans="1:27" ht="15.75" thickBot="1" x14ac:dyDescent="0.3">
      <c r="A32" s="22">
        <v>0.83819999999999995</v>
      </c>
      <c r="B32" s="23">
        <f>-3.231*10^-3</f>
        <v>-3.2309999999999999E-3</v>
      </c>
      <c r="C32" s="23">
        <f>8.296*10^-6</f>
        <v>8.2959999999999982E-6</v>
      </c>
      <c r="D32" s="20">
        <f>-0.1689*10^-9</f>
        <v>-1.6890000000000001E-10</v>
      </c>
      <c r="E32" s="55"/>
      <c r="N32" s="55"/>
      <c r="O32" s="55"/>
      <c r="X32" s="10"/>
      <c r="Y32" s="10"/>
      <c r="Z32" s="10"/>
      <c r="AA32" s="10"/>
    </row>
    <row r="33" spans="1:27" ht="15.75" thickBot="1" x14ac:dyDescent="0.3">
      <c r="A33" s="55"/>
      <c r="B33" s="74" t="s">
        <v>80</v>
      </c>
      <c r="C33" s="55"/>
      <c r="D33" s="55"/>
      <c r="E33" s="55"/>
      <c r="N33" s="55"/>
      <c r="O33" s="55"/>
      <c r="X33" s="10"/>
      <c r="Y33" s="10"/>
      <c r="Z33" s="10"/>
      <c r="AA33" s="10"/>
    </row>
    <row r="34" spans="1:27" ht="15.75" thickBot="1" x14ac:dyDescent="0.3">
      <c r="A34" s="22">
        <f>A32*4.1868</f>
        <v>3.5093757599999997</v>
      </c>
      <c r="B34" s="23">
        <f t="shared" ref="B34:D34" si="0">B32*4.1868</f>
        <v>-1.35275508E-2</v>
      </c>
      <c r="C34" s="23">
        <f t="shared" si="0"/>
        <v>3.4733692799999993E-5</v>
      </c>
      <c r="D34" s="20">
        <f t="shared" si="0"/>
        <v>-7.0715052000000002E-10</v>
      </c>
      <c r="E34" s="55"/>
      <c r="N34" s="55"/>
      <c r="O34" s="55"/>
      <c r="X34" s="10"/>
      <c r="Y34" s="10"/>
      <c r="Z34" s="10"/>
      <c r="AA34" s="10"/>
    </row>
    <row r="35" spans="1:27" ht="15.75" thickBot="1" x14ac:dyDescent="0.3">
      <c r="A35" s="55"/>
      <c r="B35" s="74" t="s">
        <v>84</v>
      </c>
      <c r="C35" s="55"/>
      <c r="D35" s="55"/>
      <c r="E35" s="55"/>
      <c r="N35" s="55"/>
      <c r="O35" s="55"/>
      <c r="X35" s="10"/>
      <c r="Y35" s="10"/>
      <c r="Z35" s="10"/>
      <c r="AA35" s="10"/>
    </row>
    <row r="36" spans="1:27" ht="15.75" thickBot="1" x14ac:dyDescent="0.3">
      <c r="A36" s="22">
        <f>A34*$D$29</f>
        <v>112.44039935039999</v>
      </c>
      <c r="B36" s="23">
        <f t="shared" ref="B36:D36" si="1">B34*$D$29</f>
        <v>-0.43342272763199996</v>
      </c>
      <c r="C36" s="23">
        <f t="shared" si="1"/>
        <v>1.1128675173119997E-3</v>
      </c>
      <c r="D36" s="20">
        <f t="shared" si="1"/>
        <v>-2.26571026608E-8</v>
      </c>
      <c r="E36" s="55"/>
      <c r="N36" s="55"/>
      <c r="O36" s="55"/>
      <c r="X36" s="10"/>
      <c r="Y36" s="10"/>
      <c r="Z36" s="10"/>
      <c r="AA36" s="10"/>
    </row>
    <row r="37" spans="1:27" x14ac:dyDescent="0.25">
      <c r="A37" s="55"/>
      <c r="B37" s="55"/>
      <c r="C37" s="55"/>
      <c r="D37" s="55"/>
      <c r="E37" s="55"/>
      <c r="N37" s="55"/>
      <c r="O37" s="55"/>
    </row>
    <row r="38" spans="1:27" x14ac:dyDescent="0.25">
      <c r="A38" s="55"/>
      <c r="B38" s="55"/>
      <c r="C38" s="55"/>
      <c r="D38" s="55"/>
      <c r="E38" s="55"/>
      <c r="N38" s="55"/>
      <c r="O38" s="55"/>
    </row>
    <row r="39" spans="1:27" x14ac:dyDescent="0.25">
      <c r="A39" s="55" t="s">
        <v>93</v>
      </c>
      <c r="B39" s="55"/>
      <c r="C39" s="55"/>
      <c r="D39" s="55"/>
      <c r="E39" s="55"/>
      <c r="N39" s="55"/>
      <c r="O39" s="55"/>
    </row>
    <row r="40" spans="1:27" ht="16.5" thickBot="1" x14ac:dyDescent="0.3">
      <c r="A40" s="77" t="s">
        <v>94</v>
      </c>
      <c r="B40" s="55"/>
      <c r="C40" s="55"/>
      <c r="D40" s="55"/>
      <c r="E40" s="55"/>
    </row>
    <row r="41" spans="1:27" ht="15.75" thickBot="1" x14ac:dyDescent="0.3">
      <c r="A41" s="67" t="s">
        <v>15</v>
      </c>
      <c r="B41" s="68" t="s">
        <v>95</v>
      </c>
      <c r="C41" s="55"/>
      <c r="E41" s="65" t="s">
        <v>71</v>
      </c>
      <c r="F41" s="55"/>
    </row>
    <row r="42" spans="1:27" ht="15.75" thickBot="1" x14ac:dyDescent="0.3">
      <c r="A42" s="55">
        <v>283.14999999999998</v>
      </c>
      <c r="B42" s="55">
        <v>290</v>
      </c>
      <c r="C42" s="55"/>
      <c r="D42" s="67" t="s">
        <v>51</v>
      </c>
      <c r="E42" s="69" t="s">
        <v>55</v>
      </c>
      <c r="F42" s="68" t="s">
        <v>56</v>
      </c>
    </row>
    <row r="43" spans="1:27" ht="15.75" thickBot="1" x14ac:dyDescent="0.3">
      <c r="A43" s="55">
        <v>293.14999999999998</v>
      </c>
      <c r="B43" s="55">
        <v>294</v>
      </c>
      <c r="C43" s="55"/>
      <c r="D43" s="22">
        <v>753.28</v>
      </c>
      <c r="E43" s="23">
        <v>-3.4195000000000002</v>
      </c>
      <c r="F43" s="20">
        <v>6.3E-3</v>
      </c>
    </row>
    <row r="44" spans="1:27" x14ac:dyDescent="0.25">
      <c r="A44" s="55">
        <v>303.14999999999998</v>
      </c>
      <c r="B44" s="55">
        <v>297</v>
      </c>
      <c r="C44" s="55"/>
      <c r="D44" s="55"/>
      <c r="E44" s="55"/>
    </row>
    <row r="45" spans="1:27" x14ac:dyDescent="0.25">
      <c r="A45" s="55">
        <v>313.14999999999998</v>
      </c>
      <c r="B45" s="55">
        <v>302</v>
      </c>
      <c r="C45" s="55"/>
      <c r="D45" s="55"/>
      <c r="E45" s="55"/>
    </row>
    <row r="46" spans="1:27" x14ac:dyDescent="0.25">
      <c r="A46" s="55">
        <v>323.14999999999998</v>
      </c>
      <c r="B46" s="55">
        <v>306</v>
      </c>
      <c r="C46" s="55"/>
      <c r="D46" s="55"/>
      <c r="E46" s="55"/>
    </row>
    <row r="47" spans="1:27" x14ac:dyDescent="0.25">
      <c r="A47" s="55">
        <v>333.15</v>
      </c>
      <c r="B47" s="55">
        <v>313</v>
      </c>
      <c r="C47" s="55"/>
      <c r="D47" s="55"/>
      <c r="E47" s="55"/>
    </row>
    <row r="48" spans="1:27" x14ac:dyDescent="0.25">
      <c r="A48" s="55">
        <v>343.15</v>
      </c>
      <c r="B48" s="55">
        <v>324</v>
      </c>
      <c r="C48" s="55"/>
      <c r="D48" s="55"/>
      <c r="E48" s="55"/>
    </row>
    <row r="49" spans="1:5" x14ac:dyDescent="0.25">
      <c r="A49" s="55"/>
      <c r="B49" s="55"/>
      <c r="C49" s="55"/>
      <c r="D49" s="55"/>
      <c r="E49" s="55"/>
    </row>
    <row r="50" spans="1:5" x14ac:dyDescent="0.25">
      <c r="D50" s="55"/>
      <c r="E50" s="55"/>
    </row>
    <row r="51" spans="1:5" x14ac:dyDescent="0.25">
      <c r="D51" s="55"/>
      <c r="E51" s="55"/>
    </row>
    <row r="52" spans="1:5" x14ac:dyDescent="0.25">
      <c r="D52" s="55"/>
      <c r="E52" s="55"/>
    </row>
    <row r="53" spans="1:5" x14ac:dyDescent="0.25">
      <c r="A53" s="55"/>
      <c r="B53" s="55"/>
      <c r="C53" s="55"/>
      <c r="D53" s="55"/>
      <c r="E53" s="55"/>
    </row>
    <row r="54" spans="1:5" x14ac:dyDescent="0.25">
      <c r="A54" s="55"/>
      <c r="B54" s="55"/>
      <c r="C54" s="55"/>
      <c r="D54" s="55"/>
      <c r="E54" s="55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5"/>
      <c r="B56" s="55"/>
      <c r="C56" s="55"/>
      <c r="D56" s="55"/>
      <c r="E56" s="55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5"/>
      <c r="B58" s="55"/>
      <c r="C58" s="55"/>
      <c r="D58" s="55"/>
      <c r="E58" s="55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5"/>
      <c r="B60" s="55"/>
      <c r="C60" s="55"/>
      <c r="D60" s="55"/>
      <c r="E60" s="55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5"/>
      <c r="B62" s="55"/>
      <c r="C62" s="55"/>
      <c r="D62" s="55"/>
      <c r="E62" s="55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5"/>
      <c r="B64" s="55"/>
      <c r="C64" s="55"/>
      <c r="D64" s="55"/>
      <c r="E64" s="55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5"/>
      <c r="B66" s="55"/>
      <c r="C66" s="55"/>
      <c r="D66" s="55"/>
      <c r="E66" s="55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5"/>
      <c r="B68" s="55"/>
      <c r="C68" s="55"/>
      <c r="D68" s="55"/>
      <c r="E68" s="55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5"/>
      <c r="B70" s="55"/>
      <c r="C70" s="55"/>
      <c r="D70" s="55"/>
      <c r="E70" s="55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5"/>
      <c r="B72" s="55"/>
      <c r="C72" s="55"/>
      <c r="D72" s="55"/>
      <c r="E72" s="55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5"/>
      <c r="B74" s="55"/>
      <c r="C74" s="55"/>
      <c r="D74" s="55"/>
      <c r="E74" s="55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5"/>
      <c r="B76" s="55"/>
      <c r="C76" s="55"/>
      <c r="D76" s="55"/>
      <c r="E76" s="55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5"/>
      <c r="B78" s="55"/>
      <c r="C78" s="55"/>
      <c r="D78" s="55"/>
      <c r="E78" s="55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5"/>
      <c r="B80" s="55"/>
      <c r="C80" s="55"/>
      <c r="D80" s="55"/>
      <c r="E80" s="55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5"/>
      <c r="B82" s="55"/>
      <c r="C82" s="55"/>
      <c r="D82" s="55"/>
      <c r="E82" s="55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5"/>
      <c r="B84" s="55"/>
      <c r="C84" s="55"/>
      <c r="D84" s="55"/>
      <c r="E84" s="55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5"/>
      <c r="B86" s="55"/>
      <c r="C86" s="55"/>
      <c r="D86" s="55"/>
      <c r="E86" s="55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5"/>
      <c r="B88" s="55"/>
      <c r="C88" s="55"/>
      <c r="D88" s="55"/>
      <c r="E88" s="55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5"/>
      <c r="B90" s="55"/>
      <c r="C90" s="55"/>
      <c r="D90" s="55"/>
      <c r="E90" s="55"/>
    </row>
    <row r="91" spans="1:5" x14ac:dyDescent="0.25">
      <c r="A91" s="55"/>
      <c r="B91" s="55"/>
      <c r="C91" s="55"/>
      <c r="D91" s="55"/>
      <c r="E91" s="55"/>
    </row>
    <row r="92" spans="1:5" x14ac:dyDescent="0.25">
      <c r="A92" s="55"/>
      <c r="B92" s="55"/>
      <c r="C92" s="55"/>
      <c r="D92" s="55"/>
      <c r="E92" s="55"/>
    </row>
    <row r="93" spans="1:5" x14ac:dyDescent="0.25">
      <c r="A93" s="55"/>
      <c r="B93" s="55"/>
      <c r="C93" s="55"/>
      <c r="D93" s="55"/>
      <c r="E93" s="55"/>
    </row>
    <row r="94" spans="1:5" x14ac:dyDescent="0.25">
      <c r="A94" s="55"/>
      <c r="B94" s="55"/>
      <c r="C94" s="55"/>
      <c r="D94" s="55"/>
      <c r="E94" s="55"/>
    </row>
    <row r="95" spans="1:5" x14ac:dyDescent="0.25">
      <c r="A95" s="55"/>
      <c r="B95" s="55"/>
      <c r="C95" s="55"/>
      <c r="D95" s="55"/>
      <c r="E95" s="55"/>
    </row>
    <row r="96" spans="1:5" x14ac:dyDescent="0.25">
      <c r="A96" s="55"/>
      <c r="B96" s="55"/>
      <c r="C96" s="55"/>
      <c r="D96" s="55"/>
      <c r="E96" s="55"/>
    </row>
    <row r="97" spans="1:5" x14ac:dyDescent="0.25">
      <c r="A97" s="55"/>
      <c r="B97" s="55"/>
      <c r="C97" s="55"/>
      <c r="D97" s="55"/>
      <c r="E97" s="55"/>
    </row>
    <row r="98" spans="1:5" x14ac:dyDescent="0.25">
      <c r="A98" s="55"/>
      <c r="B98" s="55"/>
      <c r="C98" s="55"/>
      <c r="D98" s="55"/>
      <c r="E98" s="55"/>
    </row>
    <row r="99" spans="1:5" x14ac:dyDescent="0.25">
      <c r="A99" s="55"/>
      <c r="B99" s="55"/>
      <c r="C99" s="55"/>
      <c r="D99" s="55"/>
      <c r="E99" s="55"/>
    </row>
    <row r="100" spans="1:5" x14ac:dyDescent="0.25">
      <c r="A100" s="55"/>
      <c r="B100" s="55"/>
      <c r="C100" s="55"/>
      <c r="D100" s="55"/>
      <c r="E100" s="55"/>
    </row>
    <row r="101" spans="1:5" x14ac:dyDescent="0.25">
      <c r="A101" s="55"/>
      <c r="B101" s="55"/>
      <c r="C101" s="55"/>
      <c r="D101" s="55"/>
      <c r="E101" s="55"/>
    </row>
    <row r="102" spans="1:5" x14ac:dyDescent="0.25">
      <c r="A102" s="55"/>
      <c r="B102" s="55"/>
      <c r="C102" s="55"/>
      <c r="D102" s="55"/>
      <c r="E102" s="55"/>
    </row>
    <row r="103" spans="1:5" x14ac:dyDescent="0.25">
      <c r="A103" s="55"/>
      <c r="B103" s="55"/>
      <c r="C103" s="55"/>
      <c r="D103" s="55"/>
      <c r="E103" s="55"/>
    </row>
    <row r="104" spans="1:5" x14ac:dyDescent="0.25">
      <c r="A104" s="55"/>
      <c r="B104" s="55"/>
      <c r="C104" s="55"/>
      <c r="D104" s="55"/>
      <c r="E104" s="55"/>
    </row>
    <row r="105" spans="1:5" x14ac:dyDescent="0.25">
      <c r="A105" s="55"/>
      <c r="B105" s="55"/>
      <c r="C105" s="55"/>
      <c r="D105" s="55"/>
      <c r="E105" s="55"/>
    </row>
    <row r="106" spans="1:5" x14ac:dyDescent="0.25">
      <c r="A106" s="55"/>
      <c r="B106" s="55"/>
      <c r="C106" s="55"/>
      <c r="D106" s="55"/>
      <c r="E106" s="55"/>
    </row>
    <row r="107" spans="1:5" x14ac:dyDescent="0.25">
      <c r="A107" s="55"/>
      <c r="B107" s="55"/>
      <c r="C107" s="55"/>
      <c r="D107" s="55"/>
      <c r="E107" s="55"/>
    </row>
    <row r="108" spans="1:5" x14ac:dyDescent="0.25">
      <c r="A108" s="55"/>
      <c r="B108" s="55"/>
      <c r="C108" s="55"/>
      <c r="D108" s="55"/>
      <c r="E108" s="55"/>
    </row>
    <row r="109" spans="1:5" x14ac:dyDescent="0.25">
      <c r="A109" s="55"/>
      <c r="B109" s="55"/>
      <c r="C109" s="55"/>
      <c r="D109" s="55"/>
      <c r="E109" s="55"/>
    </row>
    <row r="110" spans="1:5" x14ac:dyDescent="0.25">
      <c r="A110" s="55"/>
      <c r="B110" s="55"/>
      <c r="C110" s="55"/>
      <c r="D110" s="55"/>
      <c r="E110" s="55"/>
    </row>
    <row r="111" spans="1:5" x14ac:dyDescent="0.25">
      <c r="A111" s="55"/>
      <c r="B111" s="55"/>
      <c r="C111" s="55"/>
      <c r="D111" s="55"/>
      <c r="E111" s="55"/>
    </row>
    <row r="112" spans="1:5" x14ac:dyDescent="0.25">
      <c r="A112" s="55"/>
      <c r="B112" s="55"/>
      <c r="C112" s="55"/>
      <c r="D112" s="55"/>
      <c r="E112" s="55"/>
    </row>
    <row r="113" spans="1:5" x14ac:dyDescent="0.25">
      <c r="A113" s="55"/>
      <c r="B113" s="55"/>
      <c r="C113" s="55"/>
      <c r="D113" s="55"/>
      <c r="E113" s="55"/>
    </row>
    <row r="114" spans="1:5" x14ac:dyDescent="0.25">
      <c r="A114" s="55"/>
      <c r="B114" s="55"/>
      <c r="C114" s="55"/>
      <c r="D114" s="55"/>
      <c r="E114" s="55"/>
    </row>
    <row r="115" spans="1:5" x14ac:dyDescent="0.25">
      <c r="A115" s="55"/>
      <c r="B115" s="55"/>
      <c r="C115" s="55"/>
      <c r="D115" s="55"/>
      <c r="E115" s="55"/>
    </row>
    <row r="116" spans="1:5" x14ac:dyDescent="0.25">
      <c r="A116" s="55"/>
      <c r="B116" s="55"/>
      <c r="C116" s="55"/>
      <c r="D116" s="55"/>
      <c r="E116" s="55"/>
    </row>
    <row r="117" spans="1:5" x14ac:dyDescent="0.25">
      <c r="A117" s="55"/>
      <c r="B117" s="55"/>
      <c r="C117" s="55"/>
      <c r="D117" s="55"/>
      <c r="E117" s="55"/>
    </row>
    <row r="118" spans="1:5" x14ac:dyDescent="0.25">
      <c r="A118" s="55"/>
      <c r="B118" s="55"/>
      <c r="C118" s="55"/>
      <c r="D118" s="55"/>
      <c r="E118" s="55"/>
    </row>
    <row r="119" spans="1:5" x14ac:dyDescent="0.25">
      <c r="A119" s="55"/>
      <c r="B119" s="55"/>
      <c r="C119" s="55"/>
      <c r="D119" s="55"/>
      <c r="E119" s="55"/>
    </row>
    <row r="120" spans="1:5" x14ac:dyDescent="0.25">
      <c r="A120" s="55"/>
      <c r="B120" s="55"/>
      <c r="C120" s="55"/>
      <c r="D120" s="55"/>
      <c r="E120" s="55"/>
    </row>
    <row r="121" spans="1:5" x14ac:dyDescent="0.25">
      <c r="A121" s="55"/>
      <c r="B121" s="55"/>
      <c r="C121" s="55"/>
      <c r="D121" s="55"/>
      <c r="E121" s="55"/>
    </row>
    <row r="122" spans="1:5" x14ac:dyDescent="0.25">
      <c r="A122" s="55"/>
      <c r="B122" s="55"/>
      <c r="C122" s="55"/>
      <c r="D122" s="55"/>
      <c r="E122" s="55"/>
    </row>
    <row r="123" spans="1:5" x14ac:dyDescent="0.25">
      <c r="A123" s="55"/>
      <c r="B123" s="55"/>
      <c r="C123" s="55"/>
      <c r="D123" s="55"/>
      <c r="E123" s="55"/>
    </row>
    <row r="124" spans="1:5" x14ac:dyDescent="0.25">
      <c r="A124" s="55"/>
      <c r="B124" s="55"/>
      <c r="C124" s="55"/>
      <c r="D124" s="55"/>
      <c r="E124" s="55"/>
    </row>
    <row r="125" spans="1:5" x14ac:dyDescent="0.25">
      <c r="A125" s="55"/>
      <c r="B125" s="55"/>
      <c r="C125" s="55"/>
      <c r="D125" s="55"/>
      <c r="E125" s="55"/>
    </row>
    <row r="126" spans="1:5" x14ac:dyDescent="0.25">
      <c r="A126" s="55"/>
      <c r="B126" s="55"/>
      <c r="C126" s="55"/>
      <c r="D126" s="55"/>
      <c r="E126" s="55"/>
    </row>
    <row r="127" spans="1:5" x14ac:dyDescent="0.25">
      <c r="A127" s="55"/>
      <c r="B127" s="55"/>
      <c r="C127" s="55"/>
      <c r="D127" s="55"/>
      <c r="E127" s="55"/>
    </row>
    <row r="128" spans="1:5" x14ac:dyDescent="0.25">
      <c r="A128" s="55"/>
      <c r="B128" s="55"/>
      <c r="C128" s="55"/>
      <c r="D128" s="55"/>
      <c r="E128" s="55"/>
    </row>
    <row r="129" spans="1:5" x14ac:dyDescent="0.25">
      <c r="A129" s="55"/>
      <c r="B129" s="55"/>
      <c r="C129" s="55"/>
      <c r="D129" s="55"/>
      <c r="E129" s="55"/>
    </row>
    <row r="130" spans="1:5" x14ac:dyDescent="0.25">
      <c r="A130" s="55"/>
      <c r="B130" s="55"/>
      <c r="C130" s="55"/>
      <c r="D130" s="55"/>
      <c r="E130" s="55"/>
    </row>
    <row r="131" spans="1:5" x14ac:dyDescent="0.25">
      <c r="A131" s="55"/>
      <c r="B131" s="55"/>
      <c r="C131" s="55"/>
      <c r="D131" s="55"/>
      <c r="E131" s="55"/>
    </row>
    <row r="132" spans="1:5" x14ac:dyDescent="0.25">
      <c r="A132" s="55"/>
      <c r="B132" s="55"/>
      <c r="C132" s="55"/>
      <c r="D132" s="55"/>
      <c r="E132" s="55"/>
    </row>
    <row r="133" spans="1:5" x14ac:dyDescent="0.25">
      <c r="A133" s="55"/>
      <c r="B133" s="55"/>
      <c r="C133" s="55"/>
      <c r="D133" s="55"/>
      <c r="E133" s="55"/>
    </row>
    <row r="134" spans="1:5" x14ac:dyDescent="0.25">
      <c r="A134" s="55"/>
      <c r="B134" s="55"/>
      <c r="C134" s="55"/>
      <c r="D134" s="55"/>
      <c r="E134" s="55"/>
    </row>
    <row r="135" spans="1:5" x14ac:dyDescent="0.25">
      <c r="A135" s="55"/>
      <c r="B135" s="55"/>
      <c r="C135" s="55"/>
      <c r="D135" s="55"/>
      <c r="E135" s="55"/>
    </row>
    <row r="136" spans="1:5" x14ac:dyDescent="0.25">
      <c r="A136" s="55"/>
      <c r="B136" s="55"/>
      <c r="C136" s="55"/>
      <c r="D136" s="55"/>
      <c r="E136" s="55"/>
    </row>
    <row r="137" spans="1:5" x14ac:dyDescent="0.25">
      <c r="A137" s="55"/>
      <c r="B137" s="55"/>
      <c r="C137" s="55"/>
      <c r="D137" s="55"/>
      <c r="E137" s="55"/>
    </row>
    <row r="138" spans="1:5" x14ac:dyDescent="0.25">
      <c r="A138" s="55"/>
      <c r="B138" s="55"/>
      <c r="C138" s="55"/>
      <c r="D138" s="55"/>
      <c r="E138" s="55"/>
    </row>
    <row r="139" spans="1:5" x14ac:dyDescent="0.25">
      <c r="A139" s="55"/>
      <c r="B139" s="55"/>
      <c r="C139" s="55"/>
      <c r="D139" s="55"/>
      <c r="E139" s="55"/>
    </row>
    <row r="140" spans="1:5" x14ac:dyDescent="0.25">
      <c r="A140" s="55"/>
      <c r="B140" s="55"/>
      <c r="C140" s="55"/>
      <c r="D140" s="55"/>
      <c r="E140" s="55"/>
    </row>
    <row r="141" spans="1:5" x14ac:dyDescent="0.25">
      <c r="A141" s="55"/>
      <c r="B141" s="55"/>
      <c r="C141" s="55"/>
      <c r="D141" s="55"/>
      <c r="E141" s="55"/>
    </row>
    <row r="142" spans="1:5" x14ac:dyDescent="0.25">
      <c r="A142" s="55"/>
      <c r="B142" s="55"/>
      <c r="C142" s="55"/>
      <c r="D142" s="55"/>
      <c r="E142" s="55"/>
    </row>
    <row r="143" spans="1:5" x14ac:dyDescent="0.25">
      <c r="A143" s="55"/>
      <c r="B143" s="55"/>
      <c r="C143" s="55"/>
      <c r="D143" s="55"/>
      <c r="E143" s="55"/>
    </row>
    <row r="144" spans="1:5" x14ac:dyDescent="0.25">
      <c r="A144" s="55"/>
      <c r="B144" s="55"/>
      <c r="C144" s="55"/>
      <c r="D144" s="55"/>
      <c r="E144" s="55"/>
    </row>
    <row r="145" spans="1:5" x14ac:dyDescent="0.25">
      <c r="A145" s="55"/>
      <c r="B145" s="55"/>
      <c r="C145" s="55"/>
      <c r="D145" s="55"/>
      <c r="E145" s="55"/>
    </row>
    <row r="146" spans="1:5" x14ac:dyDescent="0.25">
      <c r="A146" s="55"/>
      <c r="B146" s="55"/>
      <c r="C146" s="55"/>
      <c r="D146" s="55"/>
      <c r="E146" s="55"/>
    </row>
    <row r="147" spans="1:5" x14ac:dyDescent="0.25">
      <c r="A147" s="55"/>
      <c r="B147" s="55"/>
      <c r="C147" s="55"/>
      <c r="D147" s="55"/>
      <c r="E147" s="55"/>
    </row>
    <row r="148" spans="1:5" x14ac:dyDescent="0.25">
      <c r="A148" s="55"/>
      <c r="B148" s="55"/>
      <c r="C148" s="55"/>
      <c r="D148" s="55"/>
      <c r="E148" s="55"/>
    </row>
    <row r="149" spans="1:5" x14ac:dyDescent="0.25">
      <c r="A149" s="55"/>
      <c r="B149" s="55"/>
      <c r="C149" s="55"/>
      <c r="D149" s="55"/>
      <c r="E149" s="55"/>
    </row>
    <row r="150" spans="1:5" x14ac:dyDescent="0.25">
      <c r="A150" s="55"/>
      <c r="B150" s="55"/>
      <c r="C150" s="55"/>
      <c r="D150" s="55"/>
      <c r="E150" s="55"/>
    </row>
    <row r="151" spans="1:5" x14ac:dyDescent="0.25">
      <c r="A151" s="55"/>
      <c r="B151" s="55"/>
      <c r="C151" s="55"/>
      <c r="D151" s="55"/>
      <c r="E151" s="55"/>
    </row>
    <row r="152" spans="1:5" x14ac:dyDescent="0.25">
      <c r="A152" s="55"/>
      <c r="B152" s="55"/>
      <c r="C152" s="55"/>
      <c r="D152" s="55"/>
      <c r="E152" s="55"/>
    </row>
    <row r="153" spans="1:5" x14ac:dyDescent="0.25">
      <c r="A153" s="55"/>
      <c r="B153" s="55"/>
      <c r="C153" s="55"/>
      <c r="D153" s="55"/>
      <c r="E153" s="55"/>
    </row>
    <row r="154" spans="1:5" x14ac:dyDescent="0.25">
      <c r="A154" s="55"/>
      <c r="B154" s="55"/>
      <c r="C154" s="55"/>
      <c r="D154" s="55"/>
      <c r="E154" s="55"/>
    </row>
    <row r="155" spans="1:5" x14ac:dyDescent="0.25">
      <c r="A155" s="55"/>
      <c r="B155" s="55"/>
      <c r="C155" s="55"/>
      <c r="D155" s="55"/>
      <c r="E155" s="55"/>
    </row>
    <row r="156" spans="1:5" x14ac:dyDescent="0.25">
      <c r="A156" s="55"/>
      <c r="B156" s="55"/>
      <c r="C156" s="55"/>
      <c r="D156" s="55"/>
      <c r="E156" s="55"/>
    </row>
    <row r="157" spans="1:5" x14ac:dyDescent="0.25">
      <c r="A157" s="55"/>
      <c r="B157" s="55"/>
      <c r="C157" s="55"/>
      <c r="D157" s="55"/>
      <c r="E157" s="55"/>
    </row>
    <row r="158" spans="1:5" x14ac:dyDescent="0.25">
      <c r="A158" s="55"/>
      <c r="B158" s="55"/>
      <c r="C158" s="55"/>
      <c r="D158" s="55"/>
      <c r="E158" s="55"/>
    </row>
    <row r="159" spans="1:5" x14ac:dyDescent="0.25">
      <c r="A159" s="55"/>
      <c r="B159" s="55"/>
      <c r="C159" s="55"/>
      <c r="D159" s="55"/>
      <c r="E159" s="55"/>
    </row>
    <row r="160" spans="1:5" x14ac:dyDescent="0.25">
      <c r="A160" s="55"/>
      <c r="B160" s="55"/>
      <c r="C160" s="55"/>
      <c r="D160" s="55"/>
      <c r="E160" s="55"/>
    </row>
    <row r="161" spans="1:5" x14ac:dyDescent="0.25">
      <c r="A161" s="55"/>
      <c r="B161" s="55"/>
      <c r="C161" s="55"/>
      <c r="D161" s="55"/>
      <c r="E161" s="55"/>
    </row>
    <row r="162" spans="1:5" x14ac:dyDescent="0.25">
      <c r="A162" s="55"/>
      <c r="B162" s="55"/>
      <c r="C162" s="55"/>
      <c r="D162" s="55"/>
      <c r="E162" s="55"/>
    </row>
    <row r="163" spans="1:5" x14ac:dyDescent="0.25">
      <c r="A163" s="55"/>
      <c r="B163" s="55"/>
      <c r="C163" s="55"/>
      <c r="D163" s="55"/>
      <c r="E163" s="55"/>
    </row>
    <row r="164" spans="1:5" x14ac:dyDescent="0.25">
      <c r="A164" s="55"/>
      <c r="B164" s="55"/>
      <c r="C164" s="55"/>
      <c r="D164" s="55"/>
      <c r="E164" s="55"/>
    </row>
    <row r="165" spans="1:5" x14ac:dyDescent="0.25">
      <c r="A165" s="55"/>
      <c r="B165" s="55"/>
      <c r="C165" s="55"/>
      <c r="D165" s="55"/>
      <c r="E165" s="55"/>
    </row>
    <row r="166" spans="1:5" x14ac:dyDescent="0.25">
      <c r="A166" s="55"/>
      <c r="B166" s="55"/>
      <c r="C166" s="55"/>
      <c r="D166" s="55"/>
      <c r="E166" s="55"/>
    </row>
    <row r="167" spans="1:5" x14ac:dyDescent="0.25">
      <c r="A167" s="55"/>
      <c r="B167" s="55"/>
      <c r="C167" s="55"/>
      <c r="D167" s="55"/>
      <c r="E167" s="55"/>
    </row>
    <row r="168" spans="1:5" x14ac:dyDescent="0.25">
      <c r="A168" s="55"/>
      <c r="B168" s="55"/>
      <c r="C168" s="55"/>
      <c r="D168" s="55"/>
      <c r="E168" s="55"/>
    </row>
    <row r="169" spans="1:5" x14ac:dyDescent="0.25">
      <c r="A169" s="55"/>
      <c r="B169" s="55"/>
      <c r="C169" s="55"/>
      <c r="D169" s="55"/>
      <c r="E169" s="55"/>
    </row>
    <row r="170" spans="1:5" x14ac:dyDescent="0.25">
      <c r="A170" s="55"/>
      <c r="B170" s="55"/>
      <c r="C170" s="55"/>
      <c r="D170" s="55"/>
      <c r="E170" s="55"/>
    </row>
    <row r="171" spans="1:5" x14ac:dyDescent="0.25">
      <c r="A171" s="55"/>
      <c r="B171" s="55"/>
      <c r="C171" s="55"/>
      <c r="D171" s="55"/>
      <c r="E171" s="55"/>
    </row>
    <row r="172" spans="1:5" x14ac:dyDescent="0.25">
      <c r="A172" s="55"/>
      <c r="B172" s="55"/>
      <c r="C172" s="55"/>
      <c r="D172" s="55"/>
      <c r="E172" s="55"/>
    </row>
    <row r="173" spans="1:5" x14ac:dyDescent="0.25">
      <c r="A173" s="55"/>
      <c r="B173" s="55"/>
      <c r="C173" s="55"/>
      <c r="D173" s="55"/>
      <c r="E173" s="55"/>
    </row>
    <row r="174" spans="1:5" x14ac:dyDescent="0.25">
      <c r="A174" s="55"/>
      <c r="B174" s="55"/>
      <c r="C174" s="55"/>
      <c r="D174" s="55"/>
      <c r="E174" s="55"/>
    </row>
    <row r="175" spans="1:5" x14ac:dyDescent="0.25">
      <c r="A175" s="55"/>
      <c r="B175" s="55"/>
      <c r="C175" s="55"/>
      <c r="D175" s="55"/>
      <c r="E175" s="55"/>
    </row>
    <row r="176" spans="1:5" x14ac:dyDescent="0.25">
      <c r="A176" s="55"/>
      <c r="B176" s="55"/>
      <c r="C176" s="55"/>
      <c r="D176" s="55"/>
      <c r="E176" s="55"/>
    </row>
    <row r="177" spans="1:5" x14ac:dyDescent="0.25">
      <c r="A177" s="55"/>
      <c r="B177" s="55"/>
      <c r="C177" s="55"/>
      <c r="D177" s="55"/>
      <c r="E177" s="55"/>
    </row>
    <row r="178" spans="1:5" x14ac:dyDescent="0.25">
      <c r="A178" s="55"/>
      <c r="B178" s="55"/>
      <c r="C178" s="55"/>
      <c r="D178" s="55"/>
      <c r="E178" s="55"/>
    </row>
    <row r="179" spans="1:5" x14ac:dyDescent="0.25">
      <c r="A179" s="55"/>
      <c r="B179" s="55"/>
      <c r="C179" s="55"/>
      <c r="D179" s="55"/>
      <c r="E179" s="55"/>
    </row>
    <row r="180" spans="1:5" x14ac:dyDescent="0.25">
      <c r="A180" s="55"/>
      <c r="B180" s="55"/>
      <c r="C180" s="55"/>
      <c r="D180" s="55"/>
      <c r="E180" s="55"/>
    </row>
    <row r="181" spans="1:5" x14ac:dyDescent="0.25">
      <c r="A181" s="55"/>
      <c r="B181" s="55"/>
      <c r="C181" s="55"/>
      <c r="D181" s="55"/>
      <c r="E181" s="55"/>
    </row>
    <row r="182" spans="1:5" x14ac:dyDescent="0.25">
      <c r="A182" s="55"/>
      <c r="B182" s="55"/>
      <c r="C182" s="55"/>
      <c r="D182" s="55"/>
      <c r="E182" s="55"/>
    </row>
    <row r="183" spans="1:5" x14ac:dyDescent="0.25">
      <c r="A183" s="55"/>
      <c r="B183" s="55"/>
      <c r="C183" s="55"/>
      <c r="D183" s="55"/>
      <c r="E183" s="55"/>
    </row>
    <row r="184" spans="1:5" x14ac:dyDescent="0.25">
      <c r="A184" s="55"/>
      <c r="B184" s="55"/>
      <c r="C184" s="55"/>
      <c r="D184" s="55"/>
      <c r="E184" s="55"/>
    </row>
    <row r="185" spans="1:5" x14ac:dyDescent="0.25">
      <c r="A185" s="55"/>
      <c r="B185" s="55"/>
      <c r="C185" s="55"/>
      <c r="D185" s="55"/>
      <c r="E185" s="55"/>
    </row>
    <row r="186" spans="1:5" x14ac:dyDescent="0.25">
      <c r="A186" s="55"/>
      <c r="B186" s="55"/>
      <c r="C186" s="55"/>
      <c r="D186" s="55"/>
      <c r="E186" s="55"/>
    </row>
    <row r="187" spans="1:5" x14ac:dyDescent="0.25">
      <c r="A187" s="55"/>
      <c r="B187" s="55"/>
      <c r="C187" s="55"/>
      <c r="D187" s="55"/>
      <c r="E187" s="55"/>
    </row>
    <row r="188" spans="1:5" x14ac:dyDescent="0.25">
      <c r="A188" s="55"/>
      <c r="B188" s="55"/>
      <c r="C188" s="55"/>
      <c r="D188" s="55"/>
      <c r="E188" s="55"/>
    </row>
    <row r="189" spans="1:5" x14ac:dyDescent="0.25">
      <c r="A189" s="55"/>
      <c r="B189" s="55"/>
      <c r="C189" s="55"/>
      <c r="D189" s="55"/>
      <c r="E189" s="55"/>
    </row>
    <row r="190" spans="1:5" x14ac:dyDescent="0.25">
      <c r="A190" s="55"/>
      <c r="B190" s="55"/>
      <c r="C190" s="55"/>
      <c r="D190" s="55"/>
      <c r="E190" s="55"/>
    </row>
    <row r="191" spans="1:5" x14ac:dyDescent="0.25">
      <c r="A191" s="55"/>
      <c r="B191" s="55"/>
      <c r="C191" s="55"/>
      <c r="D191" s="55"/>
      <c r="E191" s="55"/>
    </row>
    <row r="192" spans="1:5" x14ac:dyDescent="0.25">
      <c r="A192" s="55"/>
      <c r="B192" s="55"/>
      <c r="C192" s="55"/>
      <c r="D192" s="55"/>
      <c r="E192" s="55"/>
    </row>
    <row r="193" spans="1:5" x14ac:dyDescent="0.25">
      <c r="A193" s="55"/>
      <c r="B193" s="55"/>
      <c r="C193" s="55"/>
      <c r="D193" s="55"/>
      <c r="E193" s="55"/>
    </row>
    <row r="194" spans="1:5" x14ac:dyDescent="0.25">
      <c r="A194" s="55"/>
      <c r="B194" s="55"/>
      <c r="C194" s="55"/>
      <c r="D194" s="55"/>
      <c r="E194" s="55"/>
    </row>
    <row r="195" spans="1:5" x14ac:dyDescent="0.25">
      <c r="A195" s="55"/>
      <c r="B195" s="55"/>
      <c r="C195" s="55"/>
      <c r="D195" s="55"/>
      <c r="E195" s="55"/>
    </row>
    <row r="196" spans="1:5" x14ac:dyDescent="0.25">
      <c r="A196" s="55"/>
      <c r="B196" s="55"/>
      <c r="C196" s="55"/>
      <c r="D196" s="55"/>
      <c r="E196" s="55"/>
    </row>
    <row r="197" spans="1:5" x14ac:dyDescent="0.25">
      <c r="A197" s="55"/>
      <c r="B197" s="55"/>
      <c r="C197" s="55"/>
      <c r="D197" s="55"/>
      <c r="E197" s="55"/>
    </row>
    <row r="198" spans="1:5" x14ac:dyDescent="0.25">
      <c r="A198" s="55"/>
      <c r="B198" s="55"/>
      <c r="C198" s="55"/>
      <c r="D198" s="55"/>
      <c r="E198" s="55"/>
    </row>
    <row r="199" spans="1:5" x14ac:dyDescent="0.25">
      <c r="A199" s="55"/>
      <c r="B199" s="55"/>
      <c r="C199" s="55"/>
      <c r="D199" s="55"/>
      <c r="E199" s="55"/>
    </row>
    <row r="200" spans="1:5" x14ac:dyDescent="0.25">
      <c r="A200" s="55"/>
      <c r="B200" s="55"/>
      <c r="C200" s="55"/>
      <c r="D200" s="55"/>
      <c r="E200" s="55"/>
    </row>
    <row r="201" spans="1:5" x14ac:dyDescent="0.25">
      <c r="A201" s="55"/>
      <c r="B201" s="55"/>
      <c r="C201" s="55"/>
      <c r="D201" s="55"/>
      <c r="E201" s="55"/>
    </row>
    <row r="202" spans="1:5" x14ac:dyDescent="0.25">
      <c r="A202" s="55"/>
      <c r="B202" s="55"/>
      <c r="C202" s="55"/>
      <c r="D202" s="55"/>
      <c r="E202" s="55"/>
    </row>
    <row r="203" spans="1:5" x14ac:dyDescent="0.25">
      <c r="A203" s="55"/>
      <c r="B203" s="55"/>
      <c r="C203" s="55"/>
      <c r="D203" s="55"/>
      <c r="E203" s="55"/>
    </row>
    <row r="204" spans="1:5" x14ac:dyDescent="0.25">
      <c r="A204" s="55"/>
      <c r="B204" s="55"/>
      <c r="C204" s="55"/>
      <c r="D204" s="55"/>
      <c r="E204" s="55"/>
    </row>
    <row r="205" spans="1:5" x14ac:dyDescent="0.25">
      <c r="A205" s="55"/>
      <c r="B205" s="55"/>
      <c r="C205" s="55"/>
      <c r="D205" s="55"/>
      <c r="E205" s="55"/>
    </row>
    <row r="206" spans="1:5" x14ac:dyDescent="0.25">
      <c r="A206" s="55"/>
      <c r="B206" s="55"/>
      <c r="C206" s="55"/>
      <c r="D206" s="55"/>
      <c r="E206" s="55"/>
    </row>
  </sheetData>
  <mergeCells count="11">
    <mergeCell ref="N15:Q15"/>
    <mergeCell ref="B1:C1"/>
    <mergeCell ref="E1:H1"/>
    <mergeCell ref="L1:O1"/>
    <mergeCell ref="B2:C2"/>
    <mergeCell ref="B3:C3"/>
    <mergeCell ref="A25:D25"/>
    <mergeCell ref="A26:B26"/>
    <mergeCell ref="C26:D26"/>
    <mergeCell ref="N28:O28"/>
    <mergeCell ref="X28:Y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2025-03-05T09:42:24Z</dcterms:modified>
</cp:coreProperties>
</file>