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Лист6" sheetId="6" r:id="rId1"/>
    <sheet name="Лист1" sheetId="8" r:id="rId2"/>
    <sheet name="LLE calc" sheetId="9" r:id="rId3"/>
  </sheets>
  <definedNames>
    <definedName name="solver_adj" localSheetId="2" hidden="1">'LLE calc'!$Y$30:$Y$73</definedName>
    <definedName name="solver_adj" localSheetId="0" hidden="1">Лист6!$C$58:$C$66</definedName>
    <definedName name="solver_cvg" localSheetId="2" hidden="1">0.0001</definedName>
    <definedName name="solver_cvg" localSheetId="0" hidden="1">0.0001</definedName>
    <definedName name="solver_drv" localSheetId="2" hidden="1">1</definedName>
    <definedName name="solver_drv" localSheetId="0" hidden="1">1</definedName>
    <definedName name="solver_eng" localSheetId="2" hidden="1">1</definedName>
    <definedName name="solver_eng" localSheetId="0" hidden="1">1</definedName>
    <definedName name="solver_est" localSheetId="2" hidden="1">1</definedName>
    <definedName name="solver_est" localSheetId="0" hidden="1">1</definedName>
    <definedName name="solver_itr" localSheetId="2" hidden="1">2147483647</definedName>
    <definedName name="solver_itr" localSheetId="0" hidden="1">2147483647</definedName>
    <definedName name="solver_lhs1" localSheetId="2" hidden="1">'LLE calc'!$AA$29:$AA$57</definedName>
    <definedName name="solver_lhs1" localSheetId="0" hidden="1">Лист6!$AJ$59:$AL$76</definedName>
    <definedName name="solver_lhs2" localSheetId="2" hidden="1">'LLE calc'!$E$29:$E$46</definedName>
    <definedName name="solver_lhs3" localSheetId="2" hidden="1">'LLE calc'!#REF!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2</definedName>
    <definedName name="solver_msl" localSheetId="0" hidden="1">2</definedName>
    <definedName name="solver_neg" localSheetId="2" hidden="1">1</definedName>
    <definedName name="solver_neg" localSheetId="0" hidden="1">1</definedName>
    <definedName name="solver_nod" localSheetId="2" hidden="1">2147483647</definedName>
    <definedName name="solver_nod" localSheetId="0" hidden="1">2147483647</definedName>
    <definedName name="solver_num" localSheetId="2" hidden="1">1</definedName>
    <definedName name="solver_num" localSheetId="0" hidden="1">1</definedName>
    <definedName name="solver_nwt" localSheetId="2" hidden="1">1</definedName>
    <definedName name="solver_nwt" localSheetId="0" hidden="1">1</definedName>
    <definedName name="solver_opt" localSheetId="2" hidden="1">'LLE calc'!$AU$58</definedName>
    <definedName name="solver_opt" localSheetId="0" hidden="1">Лист6!$AR$59</definedName>
    <definedName name="solver_pre" localSheetId="2" hidden="1">0.000001</definedName>
    <definedName name="solver_pre" localSheetId="0" hidden="1">0.000001</definedName>
    <definedName name="solver_rbv" localSheetId="2" hidden="1">1</definedName>
    <definedName name="solver_rbv" localSheetId="0" hidden="1">1</definedName>
    <definedName name="solver_rel1" localSheetId="2" hidden="1">2</definedName>
    <definedName name="solver_rel1" localSheetId="0" hidden="1">3</definedName>
    <definedName name="solver_rel2" localSheetId="2" hidden="1">2</definedName>
    <definedName name="solver_rel3" localSheetId="2" hidden="1">3</definedName>
    <definedName name="solver_rhs1" localSheetId="2" hidden="1">1</definedName>
    <definedName name="solver_rhs1" localSheetId="0" hidden="1">0</definedName>
    <definedName name="solver_rhs2" localSheetId="2" hidden="1">1</definedName>
    <definedName name="solver_rhs3" localSheetId="2" hidden="1">0</definedName>
    <definedName name="solver_rlx" localSheetId="2" hidden="1">2</definedName>
    <definedName name="solver_rlx" localSheetId="0" hidden="1">2</definedName>
    <definedName name="solver_rsd" localSheetId="2" hidden="1">0</definedName>
    <definedName name="solver_rsd" localSheetId="0" hidden="1">0</definedName>
    <definedName name="solver_scl" localSheetId="2" hidden="1">1</definedName>
    <definedName name="solver_scl" localSheetId="0" hidden="1">1</definedName>
    <definedName name="solver_sho" localSheetId="2" hidden="1">2</definedName>
    <definedName name="solver_sho" localSheetId="0" hidden="1">2</definedName>
    <definedName name="solver_ssz" localSheetId="2" hidden="1">100</definedName>
    <definedName name="solver_ssz" localSheetId="0" hidden="1">100</definedName>
    <definedName name="solver_tim" localSheetId="2" hidden="1">2147483647</definedName>
    <definedName name="solver_tim" localSheetId="0" hidden="1">2147483647</definedName>
    <definedName name="solver_tol" localSheetId="2" hidden="1">0.01</definedName>
    <definedName name="solver_tol" localSheetId="0" hidden="1">0.01</definedName>
    <definedName name="solver_typ" localSheetId="2" hidden="1">2</definedName>
    <definedName name="solver_typ" localSheetId="0" hidden="1">2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3</definedName>
  </definedNames>
  <calcPr calcId="145621"/>
</workbook>
</file>

<file path=xl/calcChain.xml><?xml version="1.0" encoding="utf-8"?>
<calcChain xmlns="http://schemas.openxmlformats.org/spreadsheetml/2006/main">
  <c r="Z30" i="9" l="1"/>
  <c r="G31" i="9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F73" i="9" s="1"/>
  <c r="G30" i="9"/>
  <c r="F30" i="9"/>
  <c r="G29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F69" i="9" l="1"/>
  <c r="F63" i="9"/>
  <c r="F72" i="9"/>
  <c r="F70" i="9"/>
  <c r="F68" i="9"/>
  <c r="F66" i="9"/>
  <c r="F64" i="9"/>
  <c r="F62" i="9"/>
  <c r="F60" i="9"/>
  <c r="F58" i="9"/>
  <c r="F56" i="9"/>
  <c r="F54" i="9"/>
  <c r="F52" i="9"/>
  <c r="F50" i="9"/>
  <c r="F48" i="9"/>
  <c r="F46" i="9"/>
  <c r="F44" i="9"/>
  <c r="F42" i="9"/>
  <c r="F40" i="9"/>
  <c r="F38" i="9"/>
  <c r="F36" i="9"/>
  <c r="F34" i="9"/>
  <c r="F32" i="9"/>
  <c r="F71" i="9"/>
  <c r="F67" i="9"/>
  <c r="F65" i="9"/>
  <c r="F61" i="9"/>
  <c r="F59" i="9"/>
  <c r="F57" i="9"/>
  <c r="F55" i="9"/>
  <c r="F53" i="9"/>
  <c r="F51" i="9"/>
  <c r="F49" i="9"/>
  <c r="F47" i="9"/>
  <c r="F45" i="9"/>
  <c r="F43" i="9"/>
  <c r="F41" i="9"/>
  <c r="F39" i="9"/>
  <c r="F37" i="9"/>
  <c r="F35" i="9"/>
  <c r="F33" i="9"/>
  <c r="F31" i="9"/>
  <c r="H47" i="9"/>
  <c r="H48" i="9"/>
  <c r="H49" i="9"/>
  <c r="H50" i="9"/>
  <c r="H51" i="9"/>
  <c r="H52" i="9"/>
  <c r="H53" i="9"/>
  <c r="H54" i="9"/>
  <c r="H55" i="9"/>
  <c r="H56" i="9"/>
  <c r="H57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Y29" i="9"/>
  <c r="H30" i="9"/>
  <c r="H29" i="9"/>
  <c r="F29" i="9" l="1"/>
  <c r="E29" i="9" s="1"/>
  <c r="V3" i="9" l="1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" i="9"/>
  <c r="Z29" i="9"/>
  <c r="AC29" i="9" l="1"/>
  <c r="AA29" i="9"/>
  <c r="AE29" i="9"/>
  <c r="AG29" i="9"/>
  <c r="AB29" i="9"/>
  <c r="AD29" i="9"/>
  <c r="AF29" i="9"/>
  <c r="AH29" i="9" l="1"/>
  <c r="AK29" i="9" s="1"/>
  <c r="AJ29" i="9"/>
  <c r="AM29" i="9" s="1"/>
  <c r="AI29" i="9"/>
  <c r="AL29" i="9" s="1"/>
  <c r="L23" i="9" l="1"/>
  <c r="R23" i="9" s="1"/>
  <c r="K23" i="9"/>
  <c r="Q23" i="9" s="1"/>
  <c r="J23" i="9"/>
  <c r="P23" i="9" s="1"/>
  <c r="I23" i="9"/>
  <c r="O23" i="9" s="1"/>
  <c r="K29" i="9" s="1"/>
  <c r="H23" i="9"/>
  <c r="G23" i="9"/>
  <c r="M23" i="9" s="1"/>
  <c r="J29" i="9" l="1"/>
  <c r="M29" i="9"/>
  <c r="N23" i="9"/>
  <c r="L29" i="9" s="1"/>
  <c r="N29" i="9"/>
  <c r="AX63" i="6"/>
  <c r="AX62" i="6"/>
  <c r="AU72" i="6"/>
  <c r="AU71" i="6"/>
  <c r="AU69" i="6"/>
  <c r="AU68" i="6"/>
  <c r="AU66" i="6"/>
  <c r="AU65" i="6"/>
  <c r="AU63" i="6"/>
  <c r="AU62" i="6"/>
  <c r="AR72" i="6"/>
  <c r="AR71" i="6"/>
  <c r="AR69" i="6"/>
  <c r="AR68" i="6"/>
  <c r="AR66" i="6"/>
  <c r="AR65" i="6"/>
  <c r="AR63" i="6"/>
  <c r="AR62" i="6"/>
  <c r="AK69" i="6"/>
  <c r="AL69" i="6"/>
  <c r="AK70" i="6"/>
  <c r="AL70" i="6"/>
  <c r="AK71" i="6"/>
  <c r="AL71" i="6"/>
  <c r="AK72" i="6"/>
  <c r="AL72" i="6"/>
  <c r="AK73" i="6"/>
  <c r="AL73" i="6"/>
  <c r="AK74" i="6"/>
  <c r="AL74" i="6"/>
  <c r="AK75" i="6"/>
  <c r="AL75" i="6"/>
  <c r="AK76" i="6"/>
  <c r="AL76" i="6"/>
  <c r="AL68" i="6"/>
  <c r="I29" i="9" l="1"/>
  <c r="Q29" i="9" s="1"/>
  <c r="T29" i="9" s="1"/>
  <c r="AP29" i="9" s="1"/>
  <c r="W14" i="8"/>
  <c r="AL14" i="8"/>
  <c r="AL15" i="8"/>
  <c r="AL16" i="8"/>
  <c r="AL17" i="8"/>
  <c r="AL18" i="8"/>
  <c r="AL19" i="8"/>
  <c r="AL20" i="8"/>
  <c r="AL21" i="8"/>
  <c r="AL22" i="8"/>
  <c r="AS12" i="8"/>
  <c r="AS11" i="8"/>
  <c r="AR12" i="8"/>
  <c r="AR11" i="8"/>
  <c r="AR9" i="8"/>
  <c r="AR8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Q6" i="8"/>
  <c r="R6" i="8"/>
  <c r="S6" i="8"/>
  <c r="T6" i="8"/>
  <c r="U6" i="8"/>
  <c r="V6" i="8"/>
  <c r="Q7" i="8"/>
  <c r="R7" i="8"/>
  <c r="S7" i="8"/>
  <c r="T7" i="8"/>
  <c r="U7" i="8"/>
  <c r="V7" i="8"/>
  <c r="Q8" i="8"/>
  <c r="R8" i="8"/>
  <c r="S8" i="8"/>
  <c r="T8" i="8"/>
  <c r="U8" i="8"/>
  <c r="V8" i="8"/>
  <c r="Q9" i="8"/>
  <c r="R9" i="8"/>
  <c r="S9" i="8"/>
  <c r="T9" i="8"/>
  <c r="U9" i="8"/>
  <c r="V9" i="8"/>
  <c r="Q10" i="8"/>
  <c r="R10" i="8"/>
  <c r="S10" i="8"/>
  <c r="T10" i="8"/>
  <c r="U10" i="8"/>
  <c r="V10" i="8"/>
  <c r="Q11" i="8"/>
  <c r="R11" i="8"/>
  <c r="S11" i="8"/>
  <c r="T11" i="8"/>
  <c r="U11" i="8"/>
  <c r="V11" i="8"/>
  <c r="Q12" i="8"/>
  <c r="R12" i="8"/>
  <c r="S12" i="8"/>
  <c r="T12" i="8"/>
  <c r="U12" i="8"/>
  <c r="V12" i="8"/>
  <c r="Q13" i="8"/>
  <c r="R13" i="8"/>
  <c r="S13" i="8"/>
  <c r="T13" i="8"/>
  <c r="U13" i="8"/>
  <c r="V13" i="8"/>
  <c r="Q14" i="8"/>
  <c r="R14" i="8"/>
  <c r="S14" i="8"/>
  <c r="T14" i="8"/>
  <c r="U14" i="8"/>
  <c r="V14" i="8"/>
  <c r="Q15" i="8"/>
  <c r="R15" i="8"/>
  <c r="S15" i="8"/>
  <c r="T15" i="8"/>
  <c r="U15" i="8"/>
  <c r="V15" i="8"/>
  <c r="Q16" i="8"/>
  <c r="R16" i="8"/>
  <c r="S16" i="8"/>
  <c r="T16" i="8"/>
  <c r="U16" i="8"/>
  <c r="V16" i="8"/>
  <c r="Q17" i="8"/>
  <c r="R17" i="8"/>
  <c r="S17" i="8"/>
  <c r="T17" i="8"/>
  <c r="U17" i="8"/>
  <c r="V17" i="8"/>
  <c r="Q18" i="8"/>
  <c r="R18" i="8"/>
  <c r="S18" i="8"/>
  <c r="T18" i="8"/>
  <c r="U18" i="8"/>
  <c r="V18" i="8"/>
  <c r="Q19" i="8"/>
  <c r="R19" i="8"/>
  <c r="S19" i="8"/>
  <c r="T19" i="8"/>
  <c r="U19" i="8"/>
  <c r="V19" i="8"/>
  <c r="Q20" i="8"/>
  <c r="R20" i="8"/>
  <c r="S20" i="8"/>
  <c r="T20" i="8"/>
  <c r="U20" i="8"/>
  <c r="V20" i="8"/>
  <c r="Q21" i="8"/>
  <c r="R21" i="8"/>
  <c r="S21" i="8"/>
  <c r="T21" i="8"/>
  <c r="U21" i="8"/>
  <c r="V21" i="8"/>
  <c r="Q22" i="8"/>
  <c r="R22" i="8"/>
  <c r="S22" i="8"/>
  <c r="T22" i="8"/>
  <c r="U22" i="8"/>
  <c r="V22" i="8"/>
  <c r="V5" i="8"/>
  <c r="U5" i="8"/>
  <c r="T5" i="8"/>
  <c r="S5" i="8"/>
  <c r="R5" i="8"/>
  <c r="Q5" i="8"/>
  <c r="K6" i="8"/>
  <c r="L6" i="8"/>
  <c r="M6" i="8"/>
  <c r="N6" i="8"/>
  <c r="O6" i="8"/>
  <c r="P6" i="8"/>
  <c r="K7" i="8"/>
  <c r="L7" i="8"/>
  <c r="M7" i="8"/>
  <c r="N7" i="8"/>
  <c r="O7" i="8"/>
  <c r="P7" i="8"/>
  <c r="K8" i="8"/>
  <c r="L8" i="8"/>
  <c r="M8" i="8"/>
  <c r="N8" i="8"/>
  <c r="O8" i="8"/>
  <c r="P8" i="8"/>
  <c r="K9" i="8"/>
  <c r="L9" i="8"/>
  <c r="M9" i="8"/>
  <c r="N9" i="8"/>
  <c r="O9" i="8"/>
  <c r="P9" i="8"/>
  <c r="K10" i="8"/>
  <c r="L10" i="8"/>
  <c r="M10" i="8"/>
  <c r="N10" i="8"/>
  <c r="O10" i="8"/>
  <c r="P10" i="8"/>
  <c r="K11" i="8"/>
  <c r="L11" i="8"/>
  <c r="M11" i="8"/>
  <c r="N11" i="8"/>
  <c r="O11" i="8"/>
  <c r="P11" i="8"/>
  <c r="K12" i="8"/>
  <c r="L12" i="8"/>
  <c r="M12" i="8"/>
  <c r="N12" i="8"/>
  <c r="O12" i="8"/>
  <c r="P12" i="8"/>
  <c r="K13" i="8"/>
  <c r="L13" i="8"/>
  <c r="M13" i="8"/>
  <c r="N13" i="8"/>
  <c r="O13" i="8"/>
  <c r="P13" i="8"/>
  <c r="K14" i="8"/>
  <c r="L14" i="8"/>
  <c r="M14" i="8"/>
  <c r="N14" i="8"/>
  <c r="O14" i="8"/>
  <c r="P14" i="8"/>
  <c r="K15" i="8"/>
  <c r="L15" i="8"/>
  <c r="M15" i="8"/>
  <c r="N15" i="8"/>
  <c r="O15" i="8"/>
  <c r="P15" i="8"/>
  <c r="K16" i="8"/>
  <c r="L16" i="8"/>
  <c r="M16" i="8"/>
  <c r="N16" i="8"/>
  <c r="O16" i="8"/>
  <c r="P16" i="8"/>
  <c r="K17" i="8"/>
  <c r="L17" i="8"/>
  <c r="M17" i="8"/>
  <c r="N17" i="8"/>
  <c r="O17" i="8"/>
  <c r="P17" i="8"/>
  <c r="K18" i="8"/>
  <c r="L18" i="8"/>
  <c r="M18" i="8"/>
  <c r="N18" i="8"/>
  <c r="O18" i="8"/>
  <c r="P18" i="8"/>
  <c r="K19" i="8"/>
  <c r="L19" i="8"/>
  <c r="M19" i="8"/>
  <c r="N19" i="8"/>
  <c r="O19" i="8"/>
  <c r="P19" i="8"/>
  <c r="K20" i="8"/>
  <c r="L20" i="8"/>
  <c r="M20" i="8"/>
  <c r="N20" i="8"/>
  <c r="O20" i="8"/>
  <c r="P20" i="8"/>
  <c r="K21" i="8"/>
  <c r="L21" i="8"/>
  <c r="M21" i="8"/>
  <c r="N21" i="8"/>
  <c r="O21" i="8"/>
  <c r="P21" i="8"/>
  <c r="K22" i="8"/>
  <c r="L22" i="8"/>
  <c r="M22" i="8"/>
  <c r="N22" i="8"/>
  <c r="O22" i="8"/>
  <c r="P22" i="8"/>
  <c r="P5" i="8"/>
  <c r="O5" i="8"/>
  <c r="N5" i="8"/>
  <c r="M5" i="8"/>
  <c r="L5" i="8"/>
  <c r="K5" i="8"/>
  <c r="J22" i="8"/>
  <c r="J21" i="8"/>
  <c r="J20" i="8"/>
  <c r="J19" i="8"/>
  <c r="J18" i="8"/>
  <c r="J17" i="8"/>
  <c r="J16" i="8"/>
  <c r="J15" i="8"/>
  <c r="J14" i="8"/>
  <c r="J13" i="8"/>
  <c r="Y13" i="8" s="1"/>
  <c r="J12" i="8"/>
  <c r="Y12" i="8" s="1"/>
  <c r="J11" i="8"/>
  <c r="Y11" i="8" s="1"/>
  <c r="J10" i="8"/>
  <c r="Y10" i="8" s="1"/>
  <c r="J9" i="8"/>
  <c r="Y9" i="8" s="1"/>
  <c r="J8" i="8"/>
  <c r="J7" i="8"/>
  <c r="Y7" i="8" s="1"/>
  <c r="J6" i="8"/>
  <c r="J5" i="8"/>
  <c r="W5" i="8" s="1"/>
  <c r="G5" i="8"/>
  <c r="F5" i="8"/>
  <c r="W30" i="9" l="1"/>
  <c r="O29" i="9"/>
  <c r="R29" i="9" s="1"/>
  <c r="AN29" i="9" s="1"/>
  <c r="P29" i="9"/>
  <c r="S29" i="9" s="1"/>
  <c r="AO29" i="9" s="1"/>
  <c r="W16" i="8"/>
  <c r="AB14" i="8"/>
  <c r="AB15" i="8"/>
  <c r="X6" i="8"/>
  <c r="AA6" i="8"/>
  <c r="Y6" i="8"/>
  <c r="X7" i="8"/>
  <c r="AA7" i="8"/>
  <c r="X5" i="8"/>
  <c r="Y5" i="8"/>
  <c r="AB6" i="8"/>
  <c r="AB7" i="8"/>
  <c r="X8" i="8"/>
  <c r="Y8" i="8"/>
  <c r="W6" i="8"/>
  <c r="W7" i="8"/>
  <c r="W8" i="8"/>
  <c r="W9" i="8"/>
  <c r="AB9" i="8"/>
  <c r="W10" i="8"/>
  <c r="AB10" i="8"/>
  <c r="W11" i="8"/>
  <c r="AB11" i="8"/>
  <c r="W12" i="8"/>
  <c r="AB12" i="8"/>
  <c r="W13" i="8"/>
  <c r="AB13" i="8"/>
  <c r="Y14" i="8"/>
  <c r="Y15" i="8"/>
  <c r="W15" i="8"/>
  <c r="Y17" i="8"/>
  <c r="X17" i="8"/>
  <c r="X18" i="8"/>
  <c r="Y18" i="8"/>
  <c r="AA18" i="8"/>
  <c r="Y19" i="8"/>
  <c r="X19" i="8"/>
  <c r="Y20" i="8"/>
  <c r="X20" i="8"/>
  <c r="Y21" i="8"/>
  <c r="X21" i="8"/>
  <c r="Y22" i="8"/>
  <c r="X22" i="8"/>
  <c r="X9" i="8"/>
  <c r="X10" i="8"/>
  <c r="X11" i="8"/>
  <c r="X12" i="8"/>
  <c r="X13" i="8"/>
  <c r="Z16" i="8"/>
  <c r="X14" i="8"/>
  <c r="X15" i="8"/>
  <c r="X16" i="8"/>
  <c r="Y16" i="8"/>
  <c r="AB18" i="8"/>
  <c r="W17" i="8"/>
  <c r="W18" i="8"/>
  <c r="W19" i="8"/>
  <c r="W20" i="8"/>
  <c r="W21" i="8"/>
  <c r="W22" i="8"/>
  <c r="L37" i="6"/>
  <c r="U30" i="9" l="1"/>
  <c r="V30" i="9"/>
  <c r="Y30" i="9" s="1"/>
  <c r="AA17" i="8"/>
  <c r="AB22" i="8"/>
  <c r="AB8" i="8"/>
  <c r="AB20" i="8"/>
  <c r="AB21" i="8"/>
  <c r="AB19" i="8"/>
  <c r="Z20" i="8"/>
  <c r="AA15" i="8"/>
  <c r="Z13" i="8"/>
  <c r="Z11" i="8"/>
  <c r="AA10" i="8"/>
  <c r="Z15" i="8"/>
  <c r="AA13" i="8"/>
  <c r="AD13" i="8" s="1"/>
  <c r="Z10" i="8"/>
  <c r="AA9" i="8"/>
  <c r="AA5" i="8"/>
  <c r="Z22" i="8"/>
  <c r="AB16" i="8"/>
  <c r="Z21" i="8"/>
  <c r="Z19" i="8"/>
  <c r="Z17" i="8"/>
  <c r="Z18" i="8"/>
  <c r="AC18" i="8" s="1"/>
  <c r="AA22" i="8"/>
  <c r="AD22" i="8" s="1"/>
  <c r="AA21" i="8"/>
  <c r="AA20" i="8"/>
  <c r="AD20" i="8" s="1"/>
  <c r="AA19" i="8"/>
  <c r="AD19" i="8" s="1"/>
  <c r="AB17" i="8"/>
  <c r="AE17" i="8" s="1"/>
  <c r="AA16" i="8"/>
  <c r="AD16" i="8" s="1"/>
  <c r="AA14" i="8"/>
  <c r="AE10" i="8"/>
  <c r="AA12" i="8"/>
  <c r="Z9" i="8"/>
  <c r="AC9" i="8" s="1"/>
  <c r="AA8" i="8"/>
  <c r="Z5" i="8"/>
  <c r="Z14" i="8"/>
  <c r="Z12" i="8"/>
  <c r="AA11" i="8"/>
  <c r="AD11" i="8" s="1"/>
  <c r="Z8" i="8"/>
  <c r="Z7" i="8"/>
  <c r="AC7" i="8" s="1"/>
  <c r="Z6" i="8"/>
  <c r="AC6" i="8" s="1"/>
  <c r="AB5" i="8"/>
  <c r="K60" i="6"/>
  <c r="Q60" i="6" s="1"/>
  <c r="L60" i="6"/>
  <c r="R60" i="6" s="1"/>
  <c r="M60" i="6"/>
  <c r="S60" i="6" s="1"/>
  <c r="N60" i="6"/>
  <c r="T60" i="6" s="1"/>
  <c r="O60" i="6"/>
  <c r="U60" i="6" s="1"/>
  <c r="P60" i="6"/>
  <c r="V60" i="6" s="1"/>
  <c r="K61" i="6"/>
  <c r="Q61" i="6" s="1"/>
  <c r="L61" i="6"/>
  <c r="R61" i="6" s="1"/>
  <c r="M61" i="6"/>
  <c r="S61" i="6" s="1"/>
  <c r="N61" i="6"/>
  <c r="T61" i="6" s="1"/>
  <c r="O61" i="6"/>
  <c r="U61" i="6" s="1"/>
  <c r="P61" i="6"/>
  <c r="V61" i="6" s="1"/>
  <c r="K62" i="6"/>
  <c r="Q62" i="6" s="1"/>
  <c r="L62" i="6"/>
  <c r="R62" i="6" s="1"/>
  <c r="M62" i="6"/>
  <c r="S62" i="6" s="1"/>
  <c r="N62" i="6"/>
  <c r="T62" i="6" s="1"/>
  <c r="O62" i="6"/>
  <c r="U62" i="6" s="1"/>
  <c r="P62" i="6"/>
  <c r="V62" i="6" s="1"/>
  <c r="K63" i="6"/>
  <c r="Q63" i="6" s="1"/>
  <c r="L63" i="6"/>
  <c r="R63" i="6" s="1"/>
  <c r="M63" i="6"/>
  <c r="S63" i="6" s="1"/>
  <c r="N63" i="6"/>
  <c r="T63" i="6" s="1"/>
  <c r="O63" i="6"/>
  <c r="U63" i="6" s="1"/>
  <c r="P63" i="6"/>
  <c r="V63" i="6" s="1"/>
  <c r="K64" i="6"/>
  <c r="Q64" i="6" s="1"/>
  <c r="L64" i="6"/>
  <c r="R64" i="6" s="1"/>
  <c r="M64" i="6"/>
  <c r="S64" i="6" s="1"/>
  <c r="N64" i="6"/>
  <c r="T64" i="6" s="1"/>
  <c r="O64" i="6"/>
  <c r="U64" i="6" s="1"/>
  <c r="P64" i="6"/>
  <c r="V64" i="6" s="1"/>
  <c r="K65" i="6"/>
  <c r="Q65" i="6" s="1"/>
  <c r="L65" i="6"/>
  <c r="R65" i="6" s="1"/>
  <c r="M65" i="6"/>
  <c r="S65" i="6" s="1"/>
  <c r="N65" i="6"/>
  <c r="T65" i="6" s="1"/>
  <c r="O65" i="6"/>
  <c r="U65" i="6" s="1"/>
  <c r="P65" i="6"/>
  <c r="V65" i="6" s="1"/>
  <c r="K66" i="6"/>
  <c r="Q66" i="6" s="1"/>
  <c r="L66" i="6"/>
  <c r="R66" i="6" s="1"/>
  <c r="M66" i="6"/>
  <c r="S66" i="6" s="1"/>
  <c r="N66" i="6"/>
  <c r="T66" i="6" s="1"/>
  <c r="O66" i="6"/>
  <c r="U66" i="6" s="1"/>
  <c r="P66" i="6"/>
  <c r="V66" i="6" s="1"/>
  <c r="K67" i="6"/>
  <c r="Q67" i="6" s="1"/>
  <c r="L67" i="6"/>
  <c r="R67" i="6" s="1"/>
  <c r="M67" i="6"/>
  <c r="S67" i="6" s="1"/>
  <c r="N67" i="6"/>
  <c r="T67" i="6" s="1"/>
  <c r="O67" i="6"/>
  <c r="U67" i="6" s="1"/>
  <c r="P67" i="6"/>
  <c r="V67" i="6" s="1"/>
  <c r="K68" i="6"/>
  <c r="Q68" i="6" s="1"/>
  <c r="L68" i="6"/>
  <c r="R68" i="6" s="1"/>
  <c r="M68" i="6"/>
  <c r="S68" i="6" s="1"/>
  <c r="N68" i="6"/>
  <c r="T68" i="6" s="1"/>
  <c r="O68" i="6"/>
  <c r="U68" i="6" s="1"/>
  <c r="P68" i="6"/>
  <c r="V68" i="6" s="1"/>
  <c r="K69" i="6"/>
  <c r="Q69" i="6" s="1"/>
  <c r="L69" i="6"/>
  <c r="R69" i="6" s="1"/>
  <c r="M69" i="6"/>
  <c r="S69" i="6" s="1"/>
  <c r="N69" i="6"/>
  <c r="T69" i="6" s="1"/>
  <c r="O69" i="6"/>
  <c r="U69" i="6" s="1"/>
  <c r="P69" i="6"/>
  <c r="V69" i="6" s="1"/>
  <c r="K70" i="6"/>
  <c r="Q70" i="6" s="1"/>
  <c r="L70" i="6"/>
  <c r="R70" i="6" s="1"/>
  <c r="M70" i="6"/>
  <c r="S70" i="6" s="1"/>
  <c r="N70" i="6"/>
  <c r="T70" i="6" s="1"/>
  <c r="O70" i="6"/>
  <c r="U70" i="6" s="1"/>
  <c r="P70" i="6"/>
  <c r="V70" i="6" s="1"/>
  <c r="K71" i="6"/>
  <c r="Q71" i="6" s="1"/>
  <c r="L71" i="6"/>
  <c r="R71" i="6" s="1"/>
  <c r="M71" i="6"/>
  <c r="S71" i="6" s="1"/>
  <c r="N71" i="6"/>
  <c r="T71" i="6" s="1"/>
  <c r="O71" i="6"/>
  <c r="U71" i="6" s="1"/>
  <c r="P71" i="6"/>
  <c r="V71" i="6" s="1"/>
  <c r="K72" i="6"/>
  <c r="Q72" i="6" s="1"/>
  <c r="L72" i="6"/>
  <c r="R72" i="6" s="1"/>
  <c r="M72" i="6"/>
  <c r="S72" i="6" s="1"/>
  <c r="N72" i="6"/>
  <c r="T72" i="6" s="1"/>
  <c r="O72" i="6"/>
  <c r="U72" i="6" s="1"/>
  <c r="P72" i="6"/>
  <c r="V72" i="6" s="1"/>
  <c r="K73" i="6"/>
  <c r="Q73" i="6" s="1"/>
  <c r="L73" i="6"/>
  <c r="R73" i="6" s="1"/>
  <c r="M73" i="6"/>
  <c r="S73" i="6" s="1"/>
  <c r="N73" i="6"/>
  <c r="T73" i="6" s="1"/>
  <c r="O73" i="6"/>
  <c r="U73" i="6" s="1"/>
  <c r="P73" i="6"/>
  <c r="V73" i="6" s="1"/>
  <c r="K74" i="6"/>
  <c r="Q74" i="6" s="1"/>
  <c r="L74" i="6"/>
  <c r="R74" i="6" s="1"/>
  <c r="M74" i="6"/>
  <c r="S74" i="6" s="1"/>
  <c r="N74" i="6"/>
  <c r="T74" i="6" s="1"/>
  <c r="O74" i="6"/>
  <c r="U74" i="6" s="1"/>
  <c r="P74" i="6"/>
  <c r="V74" i="6" s="1"/>
  <c r="K75" i="6"/>
  <c r="Q75" i="6" s="1"/>
  <c r="L75" i="6"/>
  <c r="R75" i="6" s="1"/>
  <c r="M75" i="6"/>
  <c r="S75" i="6" s="1"/>
  <c r="N75" i="6"/>
  <c r="T75" i="6" s="1"/>
  <c r="O75" i="6"/>
  <c r="U75" i="6" s="1"/>
  <c r="P75" i="6"/>
  <c r="V75" i="6" s="1"/>
  <c r="K76" i="6"/>
  <c r="Q76" i="6" s="1"/>
  <c r="L76" i="6"/>
  <c r="R76" i="6" s="1"/>
  <c r="M76" i="6"/>
  <c r="S76" i="6" s="1"/>
  <c r="N76" i="6"/>
  <c r="T76" i="6" s="1"/>
  <c r="O76" i="6"/>
  <c r="U76" i="6" s="1"/>
  <c r="P76" i="6"/>
  <c r="V76" i="6" s="1"/>
  <c r="P59" i="6"/>
  <c r="V59" i="6" s="1"/>
  <c r="O59" i="6"/>
  <c r="U59" i="6" s="1"/>
  <c r="N59" i="6"/>
  <c r="T59" i="6" s="1"/>
  <c r="M59" i="6"/>
  <c r="L59" i="6"/>
  <c r="K59" i="6"/>
  <c r="BA75" i="9" l="1"/>
  <c r="AE21" i="8"/>
  <c r="AD7" i="8"/>
  <c r="AC8" i="8"/>
  <c r="AC12" i="8"/>
  <c r="AD21" i="8"/>
  <c r="AC10" i="8"/>
  <c r="AE13" i="8"/>
  <c r="AE5" i="8"/>
  <c r="AD17" i="8"/>
  <c r="AK7" i="8"/>
  <c r="AO7" i="8" s="1"/>
  <c r="AG7" i="8"/>
  <c r="AC5" i="8"/>
  <c r="AD8" i="8"/>
  <c r="AD12" i="8"/>
  <c r="AK21" i="8" s="1"/>
  <c r="AO21" i="8" s="1"/>
  <c r="AE12" i="8"/>
  <c r="AH12" i="8" s="1"/>
  <c r="AK16" i="8"/>
  <c r="AO16" i="8" s="1"/>
  <c r="AG16" i="8"/>
  <c r="AG21" i="8"/>
  <c r="AF18" i="8"/>
  <c r="AJ18" i="8"/>
  <c r="AC19" i="8"/>
  <c r="AF10" i="8" s="1"/>
  <c r="AE16" i="8"/>
  <c r="AC22" i="8"/>
  <c r="AD5" i="8"/>
  <c r="AJ10" i="8"/>
  <c r="AC15" i="8"/>
  <c r="AE15" i="8"/>
  <c r="AE8" i="8"/>
  <c r="AH8" i="8" s="1"/>
  <c r="AC11" i="8"/>
  <c r="AE19" i="8"/>
  <c r="AH19" i="8" s="1"/>
  <c r="AC16" i="8"/>
  <c r="AJ7" i="8" s="1"/>
  <c r="AG11" i="8"/>
  <c r="AK11" i="8"/>
  <c r="AO11" i="8" s="1"/>
  <c r="AC14" i="8"/>
  <c r="AE14" i="8"/>
  <c r="AE6" i="8"/>
  <c r="AH6" i="8" s="1"/>
  <c r="AJ9" i="8"/>
  <c r="AF9" i="8"/>
  <c r="AE9" i="8"/>
  <c r="AE11" i="8"/>
  <c r="AD14" i="8"/>
  <c r="AH17" i="8"/>
  <c r="AK20" i="8"/>
  <c r="AO20" i="8" s="1"/>
  <c r="AG20" i="8"/>
  <c r="AK22" i="8"/>
  <c r="AO22" i="8" s="1"/>
  <c r="AG22" i="8"/>
  <c r="AC17" i="8"/>
  <c r="AC21" i="8"/>
  <c r="AF12" i="8" s="1"/>
  <c r="AE18" i="8"/>
  <c r="AH18" i="8" s="1"/>
  <c r="AD6" i="8"/>
  <c r="AD9" i="8"/>
  <c r="AG13" i="8"/>
  <c r="AK13" i="8"/>
  <c r="AO13" i="8" s="1"/>
  <c r="AE7" i="8"/>
  <c r="AH7" i="8" s="1"/>
  <c r="AD10" i="8"/>
  <c r="AC13" i="8"/>
  <c r="AD15" i="8"/>
  <c r="AD18" i="8"/>
  <c r="AE20" i="8"/>
  <c r="AH20" i="8" s="1"/>
  <c r="AE22" i="8"/>
  <c r="AH22" i="8" s="1"/>
  <c r="AC20" i="8"/>
  <c r="W74" i="6"/>
  <c r="Q59" i="6"/>
  <c r="X59" i="6" s="1"/>
  <c r="W75" i="6"/>
  <c r="R59" i="6"/>
  <c r="W59" i="6" s="1"/>
  <c r="S59" i="6"/>
  <c r="Y59" i="6" s="1"/>
  <c r="W76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Y76" i="6"/>
  <c r="Y74" i="6"/>
  <c r="Y72" i="6"/>
  <c r="Y75" i="6"/>
  <c r="Z74" i="6"/>
  <c r="Y73" i="6"/>
  <c r="Y71" i="6"/>
  <c r="X70" i="6"/>
  <c r="Y69" i="6"/>
  <c r="X68" i="6"/>
  <c r="Z73" i="6"/>
  <c r="Y67" i="6"/>
  <c r="Y63" i="6"/>
  <c r="Y61" i="6"/>
  <c r="X66" i="6"/>
  <c r="Y64" i="6"/>
  <c r="AB64" i="6"/>
  <c r="Y62" i="6"/>
  <c r="Y60" i="6"/>
  <c r="Y65" i="6"/>
  <c r="Z62" i="6"/>
  <c r="Z66" i="6"/>
  <c r="X76" i="6"/>
  <c r="X74" i="6"/>
  <c r="X72" i="6"/>
  <c r="X75" i="6"/>
  <c r="X73" i="6"/>
  <c r="X71" i="6"/>
  <c r="Y70" i="6"/>
  <c r="X69" i="6"/>
  <c r="Y68" i="6"/>
  <c r="Z75" i="6"/>
  <c r="X67" i="6"/>
  <c r="X63" i="6"/>
  <c r="X61" i="6"/>
  <c r="Y66" i="6"/>
  <c r="X64" i="6"/>
  <c r="X62" i="6"/>
  <c r="X60" i="6"/>
  <c r="X65" i="6"/>
  <c r="Z60" i="6"/>
  <c r="Z64" i="6"/>
  <c r="AJ5" i="8" l="1"/>
  <c r="AH14" i="8"/>
  <c r="AF7" i="8"/>
  <c r="AR14" i="8"/>
  <c r="AL7" i="8"/>
  <c r="AM7" i="8" s="1"/>
  <c r="AN7" i="8"/>
  <c r="AF20" i="8"/>
  <c r="AJ20" i="8"/>
  <c r="AG15" i="8"/>
  <c r="AK15" i="8"/>
  <c r="AO15" i="8" s="1"/>
  <c r="AG10" i="8"/>
  <c r="AK10" i="8"/>
  <c r="AO10" i="8" s="1"/>
  <c r="AG9" i="8"/>
  <c r="AK9" i="8"/>
  <c r="AO9" i="8" s="1"/>
  <c r="AF17" i="8"/>
  <c r="AJ17" i="8"/>
  <c r="AG14" i="8"/>
  <c r="AK14" i="8"/>
  <c r="AO14" i="8" s="1"/>
  <c r="AH9" i="8"/>
  <c r="AN9" i="8"/>
  <c r="AH5" i="8"/>
  <c r="AJ15" i="8"/>
  <c r="AF15" i="8"/>
  <c r="AN10" i="8"/>
  <c r="AL10" i="8"/>
  <c r="AP10" i="8" s="1"/>
  <c r="AF22" i="8"/>
  <c r="AJ22" i="8"/>
  <c r="AF19" i="8"/>
  <c r="AJ19" i="8"/>
  <c r="AK19" i="8"/>
  <c r="AO19" i="8" s="1"/>
  <c r="AH10" i="8"/>
  <c r="AG8" i="8"/>
  <c r="AK8" i="8"/>
  <c r="AO8" i="8" s="1"/>
  <c r="AF8" i="8"/>
  <c r="AJ6" i="8"/>
  <c r="AH13" i="8"/>
  <c r="AK17" i="8"/>
  <c r="AO17" i="8" s="1"/>
  <c r="AK18" i="8"/>
  <c r="AO18" i="8" s="1"/>
  <c r="AG18" i="8"/>
  <c r="AJ13" i="8"/>
  <c r="AF13" i="8"/>
  <c r="AK6" i="8"/>
  <c r="AO6" i="8" s="1"/>
  <c r="AG6" i="8"/>
  <c r="AF21" i="8"/>
  <c r="AJ21" i="8"/>
  <c r="AH11" i="8"/>
  <c r="AJ14" i="8"/>
  <c r="AF14" i="8"/>
  <c r="AF16" i="8"/>
  <c r="AJ16" i="8"/>
  <c r="AJ11" i="8"/>
  <c r="AF11" i="8"/>
  <c r="AH15" i="8"/>
  <c r="AK5" i="8"/>
  <c r="AO5" i="8" s="1"/>
  <c r="AG5" i="8"/>
  <c r="AH16" i="8"/>
  <c r="AP18" i="8"/>
  <c r="AN18" i="8"/>
  <c r="AG19" i="8"/>
  <c r="AG12" i="8"/>
  <c r="AK12" i="8"/>
  <c r="AO12" i="8" s="1"/>
  <c r="AF5" i="8"/>
  <c r="AJ12" i="8"/>
  <c r="AJ8" i="8"/>
  <c r="AF6" i="8"/>
  <c r="AG17" i="8"/>
  <c r="AH21" i="8"/>
  <c r="AB59" i="6"/>
  <c r="Z59" i="6"/>
  <c r="AA59" i="6"/>
  <c r="AB66" i="6"/>
  <c r="AB60" i="6"/>
  <c r="AB65" i="6"/>
  <c r="AB62" i="6"/>
  <c r="Z67" i="6"/>
  <c r="AB67" i="6"/>
  <c r="AA68" i="6"/>
  <c r="V84" i="6" s="1"/>
  <c r="AB69" i="6"/>
  <c r="AA70" i="6"/>
  <c r="AB71" i="6"/>
  <c r="Z72" i="6"/>
  <c r="Z76" i="6"/>
  <c r="AA65" i="6"/>
  <c r="AA60" i="6"/>
  <c r="AA62" i="6"/>
  <c r="AA64" i="6"/>
  <c r="AD64" i="6" s="1"/>
  <c r="AA61" i="6"/>
  <c r="AA63" i="6"/>
  <c r="AA67" i="6"/>
  <c r="AB68" i="6"/>
  <c r="W84" i="6" s="1"/>
  <c r="AA69" i="6"/>
  <c r="AB70" i="6"/>
  <c r="AA71" i="6"/>
  <c r="AA73" i="6"/>
  <c r="AA75" i="6"/>
  <c r="Z68" i="6"/>
  <c r="Z69" i="6"/>
  <c r="Z70" i="6"/>
  <c r="Z71" i="6"/>
  <c r="AA72" i="6"/>
  <c r="AA74" i="6"/>
  <c r="AA76" i="6"/>
  <c r="Z61" i="6"/>
  <c r="Z63" i="6"/>
  <c r="Z65" i="6"/>
  <c r="AA66" i="6"/>
  <c r="AB61" i="6"/>
  <c r="AB63" i="6"/>
  <c r="AB73" i="6"/>
  <c r="AB75" i="6"/>
  <c r="AB72" i="6"/>
  <c r="AB74" i="6"/>
  <c r="AB76" i="6"/>
  <c r="AM18" i="8" l="1"/>
  <c r="AM10" i="8"/>
  <c r="AN11" i="8"/>
  <c r="AL11" i="8"/>
  <c r="AP11" i="8" s="1"/>
  <c r="AN14" i="8"/>
  <c r="AM14" i="8"/>
  <c r="AN21" i="8"/>
  <c r="AP21" i="8"/>
  <c r="AL6" i="8"/>
  <c r="AM6" i="8" s="1"/>
  <c r="AN6" i="8"/>
  <c r="AN19" i="8"/>
  <c r="AP19" i="8"/>
  <c r="AN22" i="8"/>
  <c r="AP22" i="8"/>
  <c r="AN15" i="8"/>
  <c r="AM15" i="8"/>
  <c r="AR18" i="8"/>
  <c r="AN17" i="8"/>
  <c r="AM17" i="8"/>
  <c r="AN20" i="8"/>
  <c r="AP20" i="8"/>
  <c r="AN12" i="8"/>
  <c r="AL12" i="8"/>
  <c r="AP12" i="8" s="1"/>
  <c r="AR17" i="8"/>
  <c r="AN8" i="8"/>
  <c r="AL8" i="8"/>
  <c r="AM8" i="8" s="1"/>
  <c r="AN5" i="8"/>
  <c r="AL5" i="8"/>
  <c r="AM5" i="8" s="1"/>
  <c r="AN16" i="8"/>
  <c r="AM16" i="8"/>
  <c r="AR15" i="8"/>
  <c r="AN13" i="8"/>
  <c r="AL13" i="8"/>
  <c r="AP13" i="8" s="1"/>
  <c r="AM13" i="8"/>
  <c r="AL9" i="8"/>
  <c r="AS14" i="8"/>
  <c r="AP7" i="8"/>
  <c r="AD60" i="6"/>
  <c r="AC65" i="6"/>
  <c r="U84" i="6"/>
  <c r="T84" i="6"/>
  <c r="AC71" i="6"/>
  <c r="AC69" i="6"/>
  <c r="AC66" i="6"/>
  <c r="AC70" i="6"/>
  <c r="AC68" i="6"/>
  <c r="AC59" i="6"/>
  <c r="AC62" i="6"/>
  <c r="AC73" i="6"/>
  <c r="AC74" i="6"/>
  <c r="AC75" i="6"/>
  <c r="AC61" i="6"/>
  <c r="AC72" i="6"/>
  <c r="AC67" i="6"/>
  <c r="AC63" i="6"/>
  <c r="AC76" i="6"/>
  <c r="AC60" i="6"/>
  <c r="AC64" i="6"/>
  <c r="AD62" i="6"/>
  <c r="AE76" i="6"/>
  <c r="AE73" i="6"/>
  <c r="AD66" i="6"/>
  <c r="AE74" i="6"/>
  <c r="AE75" i="6"/>
  <c r="AE72" i="6"/>
  <c r="AD67" i="6"/>
  <c r="AE61" i="6"/>
  <c r="AE63" i="6"/>
  <c r="AE59" i="6"/>
  <c r="AD76" i="6"/>
  <c r="AD72" i="6"/>
  <c r="AD73" i="6"/>
  <c r="AG73" i="6" s="1"/>
  <c r="AE70" i="6"/>
  <c r="AE68" i="6"/>
  <c r="AD63" i="6"/>
  <c r="AD59" i="6"/>
  <c r="AD65" i="6"/>
  <c r="AE69" i="6"/>
  <c r="AE67" i="6"/>
  <c r="AE65" i="6"/>
  <c r="AE66" i="6"/>
  <c r="AE71" i="6"/>
  <c r="AE64" i="6"/>
  <c r="AD74" i="6"/>
  <c r="AD75" i="6"/>
  <c r="AD71" i="6"/>
  <c r="AD69" i="6"/>
  <c r="AD61" i="6"/>
  <c r="AD70" i="6"/>
  <c r="AE60" i="6"/>
  <c r="AD68" i="6"/>
  <c r="AE62" i="6"/>
  <c r="AJ59" i="6" l="1"/>
  <c r="AM12" i="8"/>
  <c r="AM11" i="8"/>
  <c r="AP9" i="8"/>
  <c r="AM9" i="8"/>
  <c r="AM22" i="8"/>
  <c r="AM21" i="8"/>
  <c r="AQ5" i="8"/>
  <c r="AR5" i="8" s="1"/>
  <c r="AM20" i="8"/>
  <c r="AM19" i="8"/>
  <c r="AS15" i="8"/>
  <c r="AP16" i="8"/>
  <c r="AS8" i="8"/>
  <c r="AP5" i="8"/>
  <c r="AS18" i="8"/>
  <c r="AP17" i="8"/>
  <c r="AP15" i="8"/>
  <c r="AS17" i="8"/>
  <c r="AP8" i="8"/>
  <c r="AP6" i="8"/>
  <c r="AS9" i="8"/>
  <c r="AP14" i="8"/>
  <c r="AG69" i="6"/>
  <c r="AF76" i="6"/>
  <c r="AF62" i="6"/>
  <c r="AF74" i="6"/>
  <c r="AH60" i="6"/>
  <c r="AG63" i="6"/>
  <c r="AF60" i="6"/>
  <c r="AF61" i="6"/>
  <c r="AF71" i="6"/>
  <c r="X84" i="6"/>
  <c r="Y84" i="6" s="1"/>
  <c r="AG71" i="6"/>
  <c r="AH65" i="6"/>
  <c r="AH66" i="6"/>
  <c r="AH67" i="6"/>
  <c r="AJ61" i="6"/>
  <c r="AF64" i="6"/>
  <c r="AF59" i="6"/>
  <c r="AG68" i="6"/>
  <c r="AH64" i="6"/>
  <c r="AG74" i="6"/>
  <c r="AF68" i="6"/>
  <c r="AG70" i="6"/>
  <c r="AJ67" i="6"/>
  <c r="AF65" i="6"/>
  <c r="AF66" i="6"/>
  <c r="AJ74" i="6"/>
  <c r="AG75" i="6"/>
  <c r="AJ66" i="6"/>
  <c r="AF75" i="6"/>
  <c r="AH62" i="6"/>
  <c r="AH63" i="6"/>
  <c r="AF70" i="6"/>
  <c r="AH71" i="6"/>
  <c r="AH69" i="6"/>
  <c r="AG59" i="6"/>
  <c r="AH68" i="6"/>
  <c r="AG76" i="6"/>
  <c r="AH59" i="6"/>
  <c r="AH61" i="6"/>
  <c r="AH72" i="6"/>
  <c r="AH74" i="6"/>
  <c r="AH73" i="6"/>
  <c r="AG62" i="6"/>
  <c r="AG60" i="6"/>
  <c r="AF67" i="6"/>
  <c r="AF69" i="6"/>
  <c r="AF73" i="6"/>
  <c r="AG61" i="6"/>
  <c r="AG65" i="6"/>
  <c r="AH70" i="6"/>
  <c r="AG72" i="6"/>
  <c r="AG67" i="6"/>
  <c r="AH75" i="6"/>
  <c r="AG66" i="6"/>
  <c r="AH76" i="6"/>
  <c r="AG64" i="6"/>
  <c r="AF72" i="6"/>
  <c r="AF63" i="6"/>
  <c r="AK63" i="6"/>
  <c r="AO63" i="6" s="1"/>
  <c r="AO71" i="6"/>
  <c r="AO74" i="6"/>
  <c r="AO75" i="6"/>
  <c r="AO70" i="6"/>
  <c r="AO73" i="6"/>
  <c r="AO69" i="6"/>
  <c r="AO72" i="6"/>
  <c r="AN59" i="6"/>
  <c r="AO76" i="6"/>
  <c r="AJ62" i="6"/>
  <c r="AJ60" i="6"/>
  <c r="AJ64" i="6"/>
  <c r="AK68" i="6"/>
  <c r="AO68" i="6" s="1"/>
  <c r="AJ72" i="6"/>
  <c r="AK61" i="6"/>
  <c r="AO61" i="6" s="1"/>
  <c r="AJ73" i="6"/>
  <c r="AK65" i="6"/>
  <c r="AO65" i="6" s="1"/>
  <c r="AJ63" i="6"/>
  <c r="AL63" i="6" s="1"/>
  <c r="AJ75" i="6"/>
  <c r="AK67" i="6"/>
  <c r="AO67" i="6" s="1"/>
  <c r="AJ65" i="6"/>
  <c r="AK62" i="6"/>
  <c r="AJ70" i="6"/>
  <c r="AK64" i="6"/>
  <c r="AO64" i="6" s="1"/>
  <c r="AJ71" i="6"/>
  <c r="AJ76" i="6"/>
  <c r="AK59" i="6"/>
  <c r="AO59" i="6" s="1"/>
  <c r="AJ68" i="6"/>
  <c r="AK60" i="6"/>
  <c r="AO60" i="6" s="1"/>
  <c r="AJ69" i="6"/>
  <c r="AK66" i="6"/>
  <c r="AO66" i="6" s="1"/>
  <c r="AN61" i="6" l="1"/>
  <c r="AN67" i="6"/>
  <c r="AS69" i="6"/>
  <c r="AN74" i="6"/>
  <c r="AN66" i="6"/>
  <c r="AS63" i="6"/>
  <c r="AS66" i="6"/>
  <c r="AY63" i="6"/>
  <c r="AV69" i="6"/>
  <c r="AS72" i="6"/>
  <c r="AV72" i="6"/>
  <c r="AV66" i="6"/>
  <c r="AV63" i="6"/>
  <c r="AP70" i="6"/>
  <c r="AM63" i="6"/>
  <c r="AL59" i="6"/>
  <c r="AS62" i="6" s="1"/>
  <c r="AL65" i="6"/>
  <c r="AN73" i="6"/>
  <c r="AN72" i="6"/>
  <c r="AN64" i="6"/>
  <c r="AL64" i="6"/>
  <c r="AN62" i="6"/>
  <c r="AL62" i="6"/>
  <c r="AL61" i="6"/>
  <c r="AL67" i="6"/>
  <c r="AN76" i="6"/>
  <c r="AN60" i="6"/>
  <c r="AL60" i="6"/>
  <c r="AL66" i="6"/>
  <c r="AN69" i="6"/>
  <c r="AN70" i="6"/>
  <c r="AN65" i="6"/>
  <c r="AN75" i="6"/>
  <c r="AN68" i="6"/>
  <c r="AN71" i="6"/>
  <c r="AO62" i="6"/>
  <c r="AN63" i="6"/>
  <c r="AQ59" i="6" l="1"/>
  <c r="AR59" i="6" s="1"/>
  <c r="AM70" i="6"/>
  <c r="AP69" i="6"/>
  <c r="AM68" i="6"/>
  <c r="AP74" i="6"/>
  <c r="AM69" i="6"/>
  <c r="AP76" i="6"/>
  <c r="AP68" i="6"/>
  <c r="AP75" i="6"/>
  <c r="AP59" i="6"/>
  <c r="AP72" i="6"/>
  <c r="AP73" i="6"/>
  <c r="AP71" i="6"/>
  <c r="AP61" i="6"/>
  <c r="AS68" i="6"/>
  <c r="AP66" i="6"/>
  <c r="AV71" i="6"/>
  <c r="AP60" i="6"/>
  <c r="AS65" i="6"/>
  <c r="AP67" i="6"/>
  <c r="AY62" i="6"/>
  <c r="AP62" i="6"/>
  <c r="AS71" i="6"/>
  <c r="AP64" i="6"/>
  <c r="AV65" i="6"/>
  <c r="AP65" i="6"/>
  <c r="AV68" i="6"/>
  <c r="AP63" i="6"/>
  <c r="AV62" i="6"/>
  <c r="AM66" i="6"/>
  <c r="AM76" i="6"/>
  <c r="AM71" i="6"/>
  <c r="AM75" i="6"/>
  <c r="AM64" i="6"/>
  <c r="AM67" i="6"/>
  <c r="AM73" i="6"/>
  <c r="AM72" i="6"/>
  <c r="AM60" i="6"/>
  <c r="AM62" i="6"/>
  <c r="AM65" i="6"/>
  <c r="AM74" i="6"/>
  <c r="AM61" i="6"/>
  <c r="AM59" i="6"/>
  <c r="M36" i="6" l="1"/>
  <c r="M37" i="6"/>
  <c r="M35" i="6"/>
  <c r="O35" i="6" l="1"/>
  <c r="O36" i="6" s="1"/>
  <c r="J32" i="6"/>
  <c r="J30" i="6"/>
  <c r="J28" i="6"/>
  <c r="J26" i="6"/>
  <c r="J24" i="6"/>
  <c r="J22" i="6"/>
  <c r="J20" i="6"/>
  <c r="J18" i="6"/>
  <c r="J16" i="6"/>
  <c r="C38" i="6"/>
  <c r="C37" i="6"/>
  <c r="C36" i="6"/>
  <c r="C35" i="6"/>
  <c r="C34" i="6"/>
  <c r="C33" i="6"/>
  <c r="C32" i="6"/>
  <c r="C31" i="6"/>
  <c r="C30" i="6"/>
  <c r="C22" i="6"/>
  <c r="C23" i="6"/>
  <c r="C24" i="6"/>
  <c r="C25" i="6"/>
  <c r="C26" i="6"/>
  <c r="C27" i="6"/>
  <c r="C28" i="6"/>
  <c r="C29" i="6"/>
  <c r="C21" i="6"/>
  <c r="L30" i="9" l="1"/>
  <c r="E30" i="9" l="1"/>
  <c r="J30" i="9"/>
  <c r="N30" i="9"/>
  <c r="M30" i="9"/>
  <c r="K30" i="9"/>
  <c r="I30" i="9"/>
  <c r="X30" i="9"/>
  <c r="AE30" i="9" s="1"/>
  <c r="O30" i="9" l="1"/>
  <c r="R30" i="9" s="1"/>
  <c r="AD30" i="9"/>
  <c r="AB30" i="9"/>
  <c r="AC30" i="9"/>
  <c r="AA30" i="9"/>
  <c r="AG30" i="9"/>
  <c r="AF30" i="9"/>
  <c r="Q30" i="9"/>
  <c r="T30" i="9" s="1"/>
  <c r="P30" i="9"/>
  <c r="S30" i="9" s="1"/>
  <c r="AI30" i="9" l="1"/>
  <c r="AL30" i="9" s="1"/>
  <c r="AO30" i="9" s="1"/>
  <c r="AJ30" i="9"/>
  <c r="AM30" i="9" s="1"/>
  <c r="AP30" i="9" s="1"/>
  <c r="AH30" i="9"/>
  <c r="AK30" i="9" s="1"/>
  <c r="AN30" i="9" s="1"/>
  <c r="V31" i="9" l="1"/>
  <c r="Y31" i="9" s="1"/>
  <c r="U31" i="9"/>
  <c r="W31" i="9"/>
  <c r="N31" i="9"/>
  <c r="L31" i="9"/>
  <c r="N32" i="9"/>
  <c r="L32" i="9"/>
  <c r="L33" i="9"/>
  <c r="L34" i="9"/>
  <c r="L35" i="9"/>
  <c r="L36" i="9"/>
  <c r="M36" i="9"/>
  <c r="L37" i="9"/>
  <c r="M38" i="9"/>
  <c r="L38" i="9"/>
  <c r="L39" i="9"/>
  <c r="L43" i="9"/>
  <c r="L40" i="9"/>
  <c r="N40" i="9"/>
  <c r="M40" i="9"/>
  <c r="L41" i="9"/>
  <c r="N42" i="9"/>
  <c r="M42" i="9"/>
  <c r="L42" i="9"/>
  <c r="M43" i="9"/>
  <c r="L44" i="9"/>
  <c r="L45" i="9"/>
  <c r="L46" i="9"/>
  <c r="N47" i="9"/>
  <c r="L47" i="9"/>
  <c r="M47" i="9"/>
  <c r="L48" i="9"/>
  <c r="N50" i="9"/>
  <c r="L49" i="9"/>
  <c r="L50" i="9"/>
  <c r="M50" i="9"/>
  <c r="M51" i="9"/>
  <c r="N51" i="9"/>
  <c r="L51" i="9"/>
  <c r="N53" i="9"/>
  <c r="L52" i="9"/>
  <c r="L53" i="9"/>
  <c r="L54" i="9"/>
  <c r="L55" i="9"/>
  <c r="M56" i="9"/>
  <c r="L56" i="9"/>
  <c r="L57" i="9"/>
  <c r="L58" i="9"/>
  <c r="L59" i="9"/>
  <c r="L60" i="9"/>
  <c r="L61" i="9"/>
  <c r="N61" i="9"/>
  <c r="M61" i="9"/>
  <c r="L62" i="9"/>
  <c r="L63" i="9"/>
  <c r="L64" i="9"/>
  <c r="L65" i="9"/>
  <c r="M66" i="9"/>
  <c r="L66" i="9"/>
  <c r="L67" i="9"/>
  <c r="L68" i="9"/>
  <c r="M69" i="9"/>
  <c r="L69" i="9"/>
  <c r="N70" i="9"/>
  <c r="L70" i="9"/>
  <c r="M70" i="9"/>
  <c r="N72" i="9"/>
  <c r="L72" i="9"/>
  <c r="L71" i="9"/>
  <c r="N73" i="9"/>
  <c r="L73" i="9"/>
  <c r="E71" i="9" l="1"/>
  <c r="J71" i="9"/>
  <c r="K71" i="9"/>
  <c r="I71" i="9"/>
  <c r="N71" i="9"/>
  <c r="J65" i="9"/>
  <c r="E65" i="9"/>
  <c r="K65" i="9"/>
  <c r="I65" i="9"/>
  <c r="N65" i="9"/>
  <c r="K64" i="9"/>
  <c r="I64" i="9"/>
  <c r="J64" i="9"/>
  <c r="E64" i="9"/>
  <c r="N64" i="9"/>
  <c r="J63" i="9"/>
  <c r="K63" i="9"/>
  <c r="I63" i="9"/>
  <c r="E63" i="9"/>
  <c r="J62" i="9"/>
  <c r="E62" i="9"/>
  <c r="K62" i="9"/>
  <c r="I62" i="9"/>
  <c r="J60" i="9"/>
  <c r="I60" i="9"/>
  <c r="K60" i="9"/>
  <c r="E60" i="9"/>
  <c r="K59" i="9"/>
  <c r="E59" i="9"/>
  <c r="I59" i="9"/>
  <c r="J59" i="9"/>
  <c r="J58" i="9"/>
  <c r="K58" i="9"/>
  <c r="E58" i="9"/>
  <c r="I58" i="9"/>
  <c r="E57" i="9"/>
  <c r="I57" i="9"/>
  <c r="J57" i="9"/>
  <c r="K57" i="9"/>
  <c r="K54" i="9"/>
  <c r="E54" i="9"/>
  <c r="J54" i="9"/>
  <c r="I54" i="9"/>
  <c r="N54" i="9"/>
  <c r="M54" i="9"/>
  <c r="J52" i="9"/>
  <c r="E52" i="9"/>
  <c r="K52" i="9"/>
  <c r="I52" i="9"/>
  <c r="M52" i="9"/>
  <c r="M71" i="9"/>
  <c r="P71" i="9" s="1"/>
  <c r="S71" i="9" s="1"/>
  <c r="K73" i="9"/>
  <c r="I73" i="9"/>
  <c r="E73" i="9"/>
  <c r="J73" i="9"/>
  <c r="J72" i="9"/>
  <c r="I72" i="9"/>
  <c r="E72" i="9"/>
  <c r="K72" i="9"/>
  <c r="M72" i="9"/>
  <c r="P72" i="9" s="1"/>
  <c r="S72" i="9" s="1"/>
  <c r="E70" i="9"/>
  <c r="I70" i="9"/>
  <c r="K70" i="9"/>
  <c r="J70" i="9"/>
  <c r="P70" i="9" s="1"/>
  <c r="S70" i="9" s="1"/>
  <c r="K69" i="9"/>
  <c r="J69" i="9"/>
  <c r="E69" i="9"/>
  <c r="I69" i="9"/>
  <c r="O69" i="9" s="1"/>
  <c r="R69" i="9" s="1"/>
  <c r="N69" i="9"/>
  <c r="K68" i="9"/>
  <c r="I68" i="9"/>
  <c r="E68" i="9"/>
  <c r="J68" i="9"/>
  <c r="M68" i="9"/>
  <c r="P68" i="9" s="1"/>
  <c r="S68" i="9" s="1"/>
  <c r="N68" i="9"/>
  <c r="E67" i="9"/>
  <c r="K67" i="9"/>
  <c r="J67" i="9"/>
  <c r="I67" i="9"/>
  <c r="M67" i="9"/>
  <c r="P67" i="9" s="1"/>
  <c r="S67" i="9" s="1"/>
  <c r="N67" i="9"/>
  <c r="J66" i="9"/>
  <c r="I66" i="9"/>
  <c r="K66" i="9"/>
  <c r="E66" i="9"/>
  <c r="N66" i="9"/>
  <c r="Q66" i="9" s="1"/>
  <c r="T66" i="9" s="1"/>
  <c r="M65" i="9"/>
  <c r="P65" i="9" s="1"/>
  <c r="S65" i="9" s="1"/>
  <c r="M64" i="9"/>
  <c r="P64" i="9" s="1"/>
  <c r="S64" i="9" s="1"/>
  <c r="M63" i="9"/>
  <c r="N63" i="9"/>
  <c r="Q63" i="9" s="1"/>
  <c r="T63" i="9" s="1"/>
  <c r="M62" i="9"/>
  <c r="E61" i="9"/>
  <c r="K61" i="9"/>
  <c r="J61" i="9"/>
  <c r="P61" i="9" s="1"/>
  <c r="S61" i="9" s="1"/>
  <c r="I61" i="9"/>
  <c r="N62" i="9"/>
  <c r="Q62" i="9" s="1"/>
  <c r="T62" i="9" s="1"/>
  <c r="M60" i="9"/>
  <c r="N60" i="9"/>
  <c r="Q60" i="9" s="1"/>
  <c r="T60" i="9" s="1"/>
  <c r="M59" i="9"/>
  <c r="N59" i="9"/>
  <c r="Q59" i="9" s="1"/>
  <c r="T59" i="9" s="1"/>
  <c r="M58" i="9"/>
  <c r="N58" i="9"/>
  <c r="Q58" i="9" s="1"/>
  <c r="T58" i="9" s="1"/>
  <c r="M57" i="9"/>
  <c r="N57" i="9"/>
  <c r="Q57" i="9" s="1"/>
  <c r="T57" i="9" s="1"/>
  <c r="I56" i="9"/>
  <c r="E56" i="9"/>
  <c r="J56" i="9"/>
  <c r="K56" i="9"/>
  <c r="N56" i="9"/>
  <c r="J55" i="9"/>
  <c r="I55" i="9"/>
  <c r="E55" i="9"/>
  <c r="K55" i="9"/>
  <c r="N55" i="9"/>
  <c r="Q55" i="9" s="1"/>
  <c r="T55" i="9" s="1"/>
  <c r="M55" i="9"/>
  <c r="M73" i="9"/>
  <c r="P73" i="9" s="1"/>
  <c r="S73" i="9" s="1"/>
  <c r="N52" i="9"/>
  <c r="Q52" i="9" s="1"/>
  <c r="T52" i="9" s="1"/>
  <c r="I49" i="9"/>
  <c r="J49" i="9"/>
  <c r="K49" i="9"/>
  <c r="E49" i="9"/>
  <c r="N49" i="9"/>
  <c r="Q49" i="9" s="1"/>
  <c r="T49" i="9" s="1"/>
  <c r="E48" i="9"/>
  <c r="I48" i="9"/>
  <c r="J48" i="9"/>
  <c r="K48" i="9"/>
  <c r="N48" i="9"/>
  <c r="E46" i="9"/>
  <c r="J46" i="9"/>
  <c r="K46" i="9"/>
  <c r="I46" i="9"/>
  <c r="N46" i="9"/>
  <c r="Q46" i="9" s="1"/>
  <c r="T46" i="9" s="1"/>
  <c r="K45" i="9"/>
  <c r="I45" i="9"/>
  <c r="J45" i="9"/>
  <c r="E45" i="9"/>
  <c r="E44" i="9"/>
  <c r="J44" i="9"/>
  <c r="I44" i="9"/>
  <c r="K44" i="9"/>
  <c r="I41" i="9"/>
  <c r="E41" i="9"/>
  <c r="J41" i="9"/>
  <c r="K41" i="9"/>
  <c r="N41" i="9"/>
  <c r="K53" i="9"/>
  <c r="I53" i="9"/>
  <c r="E53" i="9"/>
  <c r="J53" i="9"/>
  <c r="M53" i="9"/>
  <c r="P53" i="9" s="1"/>
  <c r="S53" i="9" s="1"/>
  <c r="J51" i="9"/>
  <c r="K51" i="9"/>
  <c r="E51" i="9"/>
  <c r="I51" i="9"/>
  <c r="O51" i="9" s="1"/>
  <c r="R51" i="9" s="1"/>
  <c r="K50" i="9"/>
  <c r="E50" i="9"/>
  <c r="J50" i="9"/>
  <c r="I50" i="9"/>
  <c r="O50" i="9" s="1"/>
  <c r="R50" i="9" s="1"/>
  <c r="M49" i="9"/>
  <c r="M48" i="9"/>
  <c r="P48" i="9" s="1"/>
  <c r="S48" i="9" s="1"/>
  <c r="E47" i="9"/>
  <c r="K47" i="9"/>
  <c r="J47" i="9"/>
  <c r="I47" i="9"/>
  <c r="O47" i="9" s="1"/>
  <c r="R47" i="9" s="1"/>
  <c r="M46" i="9"/>
  <c r="M45" i="9"/>
  <c r="P45" i="9" s="1"/>
  <c r="S45" i="9" s="1"/>
  <c r="N45" i="9"/>
  <c r="M44" i="9"/>
  <c r="P44" i="9" s="1"/>
  <c r="S44" i="9" s="1"/>
  <c r="N44" i="9"/>
  <c r="J43" i="9"/>
  <c r="I43" i="9"/>
  <c r="K43" i="9"/>
  <c r="E43" i="9"/>
  <c r="N43" i="9"/>
  <c r="Q43" i="9" s="1"/>
  <c r="T43" i="9" s="1"/>
  <c r="K42" i="9"/>
  <c r="J42" i="9"/>
  <c r="P42" i="9" s="1"/>
  <c r="S42" i="9" s="1"/>
  <c r="I42" i="9"/>
  <c r="E42" i="9"/>
  <c r="M41" i="9"/>
  <c r="J39" i="9"/>
  <c r="E39" i="9"/>
  <c r="I39" i="9"/>
  <c r="K39" i="9"/>
  <c r="N39" i="9"/>
  <c r="J37" i="9"/>
  <c r="I37" i="9"/>
  <c r="E37" i="9"/>
  <c r="K37" i="9"/>
  <c r="J35" i="9"/>
  <c r="E35" i="9"/>
  <c r="I35" i="9"/>
  <c r="K35" i="9"/>
  <c r="N35" i="9"/>
  <c r="I33" i="9"/>
  <c r="J33" i="9"/>
  <c r="K33" i="9"/>
  <c r="E33" i="9"/>
  <c r="N33" i="9"/>
  <c r="K40" i="9"/>
  <c r="J40" i="9"/>
  <c r="I40" i="9"/>
  <c r="E40" i="9"/>
  <c r="M39" i="9"/>
  <c r="K38" i="9"/>
  <c r="J38" i="9"/>
  <c r="E38" i="9"/>
  <c r="I38" i="9"/>
  <c r="N38" i="9"/>
  <c r="M37" i="9"/>
  <c r="N37" i="9"/>
  <c r="E36" i="9"/>
  <c r="J36" i="9"/>
  <c r="I36" i="9"/>
  <c r="K36" i="9"/>
  <c r="N36" i="9"/>
  <c r="M35" i="9"/>
  <c r="I34" i="9"/>
  <c r="E34" i="9"/>
  <c r="N34" i="9"/>
  <c r="K34" i="9"/>
  <c r="J34" i="9"/>
  <c r="M34" i="9"/>
  <c r="M33" i="9"/>
  <c r="M32" i="9"/>
  <c r="I32" i="9"/>
  <c r="E32" i="9"/>
  <c r="K32" i="9"/>
  <c r="J32" i="9"/>
  <c r="J31" i="9"/>
  <c r="I31" i="9"/>
  <c r="M31" i="9"/>
  <c r="K31" i="9"/>
  <c r="E31" i="9"/>
  <c r="X31" i="9"/>
  <c r="Z31" i="9" s="1"/>
  <c r="AE31" i="9" s="1"/>
  <c r="P36" i="9" l="1"/>
  <c r="S36" i="9" s="1"/>
  <c r="Q31" i="9"/>
  <c r="T31" i="9" s="1"/>
  <c r="Q72" i="9"/>
  <c r="T72" i="9" s="1"/>
  <c r="P43" i="9"/>
  <c r="S43" i="9" s="1"/>
  <c r="Q47" i="9"/>
  <c r="T47" i="9" s="1"/>
  <c r="Q51" i="9"/>
  <c r="T51" i="9" s="1"/>
  <c r="Q53" i="9"/>
  <c r="T53" i="9" s="1"/>
  <c r="O45" i="9"/>
  <c r="R45" i="9" s="1"/>
  <c r="P66" i="9"/>
  <c r="S66" i="9" s="1"/>
  <c r="P69" i="9"/>
  <c r="S69" i="9" s="1"/>
  <c r="Q73" i="9"/>
  <c r="T73" i="9" s="1"/>
  <c r="O59" i="9"/>
  <c r="R59" i="9" s="1"/>
  <c r="O63" i="9"/>
  <c r="R63" i="9" s="1"/>
  <c r="O64" i="9"/>
  <c r="R64" i="9" s="1"/>
  <c r="Q32" i="9"/>
  <c r="T32" i="9" s="1"/>
  <c r="P33" i="9"/>
  <c r="S33" i="9" s="1"/>
  <c r="O34" i="9"/>
  <c r="R34" i="9" s="1"/>
  <c r="Q36" i="9"/>
  <c r="T36" i="9" s="1"/>
  <c r="O36" i="9"/>
  <c r="R36" i="9" s="1"/>
  <c r="P37" i="9"/>
  <c r="S37" i="9" s="1"/>
  <c r="O38" i="9"/>
  <c r="R38" i="9" s="1"/>
  <c r="P38" i="9"/>
  <c r="S38" i="9" s="1"/>
  <c r="P39" i="9"/>
  <c r="S39" i="9" s="1"/>
  <c r="O40" i="9"/>
  <c r="R40" i="9" s="1"/>
  <c r="Q40" i="9"/>
  <c r="T40" i="9" s="1"/>
  <c r="Q35" i="9"/>
  <c r="T35" i="9" s="1"/>
  <c r="O35" i="9"/>
  <c r="R35" i="9" s="1"/>
  <c r="Q42" i="9"/>
  <c r="T42" i="9" s="1"/>
  <c r="O43" i="9"/>
  <c r="R43" i="9" s="1"/>
  <c r="P50" i="9"/>
  <c r="S50" i="9" s="1"/>
  <c r="Q50" i="9"/>
  <c r="T50" i="9" s="1"/>
  <c r="O53" i="9"/>
  <c r="R53" i="9" s="1"/>
  <c r="O41" i="9"/>
  <c r="R41" i="9" s="1"/>
  <c r="O55" i="9"/>
  <c r="R55" i="9" s="1"/>
  <c r="P56" i="9"/>
  <c r="S56" i="9" s="1"/>
  <c r="O56" i="9"/>
  <c r="R56" i="9" s="1"/>
  <c r="O61" i="9"/>
  <c r="R61" i="9" s="1"/>
  <c r="Q61" i="9"/>
  <c r="T61" i="9" s="1"/>
  <c r="O66" i="9"/>
  <c r="R66" i="9" s="1"/>
  <c r="O67" i="9"/>
  <c r="R67" i="9" s="1"/>
  <c r="O68" i="9"/>
  <c r="R68" i="9" s="1"/>
  <c r="Q70" i="9"/>
  <c r="T70" i="9" s="1"/>
  <c r="O72" i="9"/>
  <c r="R72" i="9" s="1"/>
  <c r="O73" i="9"/>
  <c r="R73" i="9" s="1"/>
  <c r="P54" i="9"/>
  <c r="S54" i="9" s="1"/>
  <c r="O57" i="9"/>
  <c r="R57" i="9" s="1"/>
  <c r="O60" i="9"/>
  <c r="R60" i="9" s="1"/>
  <c r="Q34" i="9"/>
  <c r="T34" i="9" s="1"/>
  <c r="P40" i="9"/>
  <c r="S40" i="9" s="1"/>
  <c r="O48" i="9"/>
  <c r="R48" i="9" s="1"/>
  <c r="O49" i="9"/>
  <c r="R49" i="9" s="1"/>
  <c r="O42" i="9"/>
  <c r="R42" i="9" s="1"/>
  <c r="P47" i="9"/>
  <c r="S47" i="9" s="1"/>
  <c r="P51" i="9"/>
  <c r="S51" i="9" s="1"/>
  <c r="O70" i="9"/>
  <c r="R70" i="9" s="1"/>
  <c r="P52" i="9"/>
  <c r="S52" i="9" s="1"/>
  <c r="O52" i="9"/>
  <c r="R52" i="9" s="1"/>
  <c r="O54" i="9"/>
  <c r="R54" i="9" s="1"/>
  <c r="O58" i="9"/>
  <c r="R58" i="9" s="1"/>
  <c r="O62" i="9"/>
  <c r="R62" i="9" s="1"/>
  <c r="Q64" i="9"/>
  <c r="T64" i="9" s="1"/>
  <c r="O65" i="9"/>
  <c r="R65" i="9" s="1"/>
  <c r="Q71" i="9"/>
  <c r="T71" i="9" s="1"/>
  <c r="AB31" i="9"/>
  <c r="AA31" i="9"/>
  <c r="AG31" i="9"/>
  <c r="AF31" i="9"/>
  <c r="AD31" i="9"/>
  <c r="AC31" i="9"/>
  <c r="O31" i="9"/>
  <c r="R31" i="9" s="1"/>
  <c r="P31" i="9"/>
  <c r="S31" i="9" s="1"/>
  <c r="O32" i="9"/>
  <c r="R32" i="9" s="1"/>
  <c r="P32" i="9"/>
  <c r="S32" i="9" s="1"/>
  <c r="P34" i="9"/>
  <c r="S34" i="9" s="1"/>
  <c r="P35" i="9"/>
  <c r="S35" i="9" s="1"/>
  <c r="Q37" i="9"/>
  <c r="T37" i="9" s="1"/>
  <c r="Q38" i="9"/>
  <c r="T38" i="9" s="1"/>
  <c r="Q33" i="9"/>
  <c r="T33" i="9" s="1"/>
  <c r="O33" i="9"/>
  <c r="R33" i="9" s="1"/>
  <c r="O37" i="9"/>
  <c r="R37" i="9" s="1"/>
  <c r="Q39" i="9"/>
  <c r="T39" i="9" s="1"/>
  <c r="O39" i="9"/>
  <c r="R39" i="9" s="1"/>
  <c r="P41" i="9"/>
  <c r="S41" i="9" s="1"/>
  <c r="Q44" i="9"/>
  <c r="T44" i="9" s="1"/>
  <c r="Q45" i="9"/>
  <c r="T45" i="9" s="1"/>
  <c r="P46" i="9"/>
  <c r="S46" i="9" s="1"/>
  <c r="P49" i="9"/>
  <c r="S49" i="9" s="1"/>
  <c r="Q41" i="9"/>
  <c r="T41" i="9" s="1"/>
  <c r="O44" i="9"/>
  <c r="R44" i="9" s="1"/>
  <c r="O46" i="9"/>
  <c r="R46" i="9" s="1"/>
  <c r="Q48" i="9"/>
  <c r="T48" i="9" s="1"/>
  <c r="P55" i="9"/>
  <c r="S55" i="9" s="1"/>
  <c r="Q56" i="9"/>
  <c r="T56" i="9" s="1"/>
  <c r="P57" i="9"/>
  <c r="S57" i="9" s="1"/>
  <c r="P58" i="9"/>
  <c r="S58" i="9" s="1"/>
  <c r="P59" i="9"/>
  <c r="S59" i="9" s="1"/>
  <c r="P60" i="9"/>
  <c r="S60" i="9" s="1"/>
  <c r="P62" i="9"/>
  <c r="S62" i="9" s="1"/>
  <c r="P63" i="9"/>
  <c r="S63" i="9" s="1"/>
  <c r="Q67" i="9"/>
  <c r="T67" i="9" s="1"/>
  <c r="Q68" i="9"/>
  <c r="T68" i="9" s="1"/>
  <c r="Q69" i="9"/>
  <c r="T69" i="9" s="1"/>
  <c r="Q54" i="9"/>
  <c r="T54" i="9" s="1"/>
  <c r="Q65" i="9"/>
  <c r="T65" i="9" s="1"/>
  <c r="O71" i="9"/>
  <c r="R71" i="9" s="1"/>
  <c r="AJ31" i="9" l="1"/>
  <c r="AM31" i="9" s="1"/>
  <c r="AP31" i="9" s="1"/>
  <c r="W32" i="9" s="1"/>
  <c r="AH31" i="9"/>
  <c r="AK31" i="9" s="1"/>
  <c r="AN31" i="9" s="1"/>
  <c r="U32" i="9" s="1"/>
  <c r="X32" i="9" s="1"/>
  <c r="AI31" i="9"/>
  <c r="AL31" i="9" s="1"/>
  <c r="AO31" i="9" s="1"/>
  <c r="V32" i="9" s="1"/>
  <c r="Y32" i="9" s="1"/>
  <c r="Z32" i="9" l="1"/>
  <c r="AE32" i="9" s="1"/>
  <c r="AA32" i="9"/>
  <c r="AG32" i="9"/>
  <c r="AF32" i="9"/>
  <c r="AC32" i="9"/>
  <c r="AD32" i="9"/>
  <c r="AB32" i="9" l="1"/>
  <c r="AI32" i="9"/>
  <c r="AL32" i="9" s="1"/>
  <c r="AO32" i="9" s="1"/>
  <c r="V33" i="9" s="1"/>
  <c r="Y33" i="9" s="1"/>
  <c r="Z33" i="9" s="1"/>
  <c r="AH32" i="9"/>
  <c r="AK32" i="9" s="1"/>
  <c r="AN32" i="9" s="1"/>
  <c r="U33" i="9" s="1"/>
  <c r="X33" i="9" s="1"/>
  <c r="AJ32" i="9"/>
  <c r="AM32" i="9" s="1"/>
  <c r="AP32" i="9" s="1"/>
  <c r="W33" i="9" s="1"/>
  <c r="AE33" i="9" l="1"/>
  <c r="AC33" i="9"/>
  <c r="AA33" i="9"/>
  <c r="AG33" i="9"/>
  <c r="AB33" i="9"/>
  <c r="AD33" i="9"/>
  <c r="AF33" i="9"/>
  <c r="AI33" i="9" s="1"/>
  <c r="AL33" i="9" s="1"/>
  <c r="AO33" i="9" s="1"/>
  <c r="V34" i="9" s="1"/>
  <c r="Y34" i="9" s="1"/>
  <c r="AH33" i="9" l="1"/>
  <c r="AK33" i="9" s="1"/>
  <c r="AN33" i="9" s="1"/>
  <c r="U34" i="9" s="1"/>
  <c r="X34" i="9" s="1"/>
  <c r="AG34" i="9" s="1"/>
  <c r="AJ33" i="9"/>
  <c r="AM33" i="9" s="1"/>
  <c r="AP33" i="9" s="1"/>
  <c r="W34" i="9" s="1"/>
  <c r="Z34" i="9" l="1"/>
  <c r="AA34" i="9"/>
  <c r="AD34" i="9"/>
  <c r="AC34" i="9"/>
  <c r="AE34" i="9"/>
  <c r="AB34" i="9"/>
  <c r="AF34" i="9"/>
  <c r="AJ34" i="9" l="1"/>
  <c r="AM34" i="9" s="1"/>
  <c r="AP34" i="9" s="1"/>
  <c r="W35" i="9" s="1"/>
  <c r="AI34" i="9"/>
  <c r="AL34" i="9" s="1"/>
  <c r="AO34" i="9" s="1"/>
  <c r="V35" i="9" s="1"/>
  <c r="Y35" i="9" s="1"/>
  <c r="AH34" i="9"/>
  <c r="AK34" i="9" s="1"/>
  <c r="AN34" i="9" s="1"/>
  <c r="U35" i="9" s="1"/>
  <c r="X35" i="9" s="1"/>
  <c r="Z35" i="9" l="1"/>
  <c r="AF35" i="9" s="1"/>
  <c r="AC35" i="9"/>
  <c r="AG35" i="9"/>
  <c r="AD35" i="9"/>
  <c r="AA35" i="9"/>
  <c r="AE35" i="9"/>
  <c r="AB35" i="9"/>
  <c r="AI35" i="9" l="1"/>
  <c r="AL35" i="9" s="1"/>
  <c r="AO35" i="9" s="1"/>
  <c r="V36" i="9" s="1"/>
  <c r="Y36" i="9" s="1"/>
  <c r="AH35" i="9"/>
  <c r="AK35" i="9" s="1"/>
  <c r="AN35" i="9" s="1"/>
  <c r="U36" i="9" s="1"/>
  <c r="X36" i="9" s="1"/>
  <c r="AJ35" i="9"/>
  <c r="AM35" i="9" s="1"/>
  <c r="AP35" i="9" s="1"/>
  <c r="W36" i="9" s="1"/>
  <c r="AG36" i="9"/>
  <c r="Z36" i="9" l="1"/>
  <c r="AD36" i="9" s="1"/>
  <c r="AA36" i="9"/>
  <c r="AC36" i="9"/>
  <c r="AE36" i="9"/>
  <c r="AB36" i="9" l="1"/>
  <c r="AF36" i="9"/>
  <c r="AH36" i="9" s="1"/>
  <c r="AK36" i="9" s="1"/>
  <c r="AN36" i="9" s="1"/>
  <c r="U37" i="9" s="1"/>
  <c r="X37" i="9" s="1"/>
  <c r="AJ36" i="9"/>
  <c r="AM36" i="9" s="1"/>
  <c r="AP36" i="9" s="1"/>
  <c r="W37" i="9" s="1"/>
  <c r="AI36" i="9" l="1"/>
  <c r="AL36" i="9" s="1"/>
  <c r="AO36" i="9" s="1"/>
  <c r="V37" i="9" s="1"/>
  <c r="Y37" i="9" s="1"/>
  <c r="Z37" i="9" s="1"/>
  <c r="AA37" i="9" l="1"/>
  <c r="AF37" i="9"/>
  <c r="AC37" i="9"/>
  <c r="AD37" i="9"/>
  <c r="AG37" i="9"/>
  <c r="AB37" i="9"/>
  <c r="AE37" i="9"/>
  <c r="AI37" i="9"/>
  <c r="AL37" i="9" s="1"/>
  <c r="AO37" i="9" s="1"/>
  <c r="V38" i="9" s="1"/>
  <c r="Y38" i="9" s="1"/>
  <c r="AJ37" i="9" l="1"/>
  <c r="AM37" i="9" s="1"/>
  <c r="AP37" i="9" s="1"/>
  <c r="W38" i="9" s="1"/>
  <c r="AH37" i="9"/>
  <c r="AK37" i="9" s="1"/>
  <c r="AN37" i="9" s="1"/>
  <c r="U38" i="9" s="1"/>
  <c r="X38" i="9" s="1"/>
  <c r="Z38" i="9" s="1"/>
  <c r="AG38" i="9" l="1"/>
  <c r="AF38" i="9"/>
  <c r="AI38" i="9" s="1"/>
  <c r="AL38" i="9" s="1"/>
  <c r="AO38" i="9" s="1"/>
  <c r="V39" i="9" s="1"/>
  <c r="Y39" i="9" s="1"/>
  <c r="AB38" i="9"/>
  <c r="AA38" i="9"/>
  <c r="AE38" i="9"/>
  <c r="AD38" i="9"/>
  <c r="AJ38" i="9" s="1"/>
  <c r="AM38" i="9" s="1"/>
  <c r="AP38" i="9" s="1"/>
  <c r="W39" i="9" s="1"/>
  <c r="AC38" i="9"/>
  <c r="AH38" i="9"/>
  <c r="AK38" i="9" s="1"/>
  <c r="AN38" i="9" s="1"/>
  <c r="U39" i="9" s="1"/>
  <c r="X39" i="9" s="1"/>
  <c r="Z39" i="9" l="1"/>
  <c r="AE39" i="9" s="1"/>
  <c r="AG39" i="9"/>
  <c r="AD39" i="9"/>
  <c r="AF39" i="9"/>
  <c r="AB39" i="9"/>
  <c r="AA39" i="9"/>
  <c r="AC39" i="9" l="1"/>
  <c r="AI39" i="9" s="1"/>
  <c r="AL39" i="9" s="1"/>
  <c r="AO39" i="9" s="1"/>
  <c r="V40" i="9" s="1"/>
  <c r="Y40" i="9" s="1"/>
  <c r="AH39" i="9"/>
  <c r="AK39" i="9" s="1"/>
  <c r="AN39" i="9" s="1"/>
  <c r="U40" i="9" s="1"/>
  <c r="X40" i="9" s="1"/>
  <c r="AJ39" i="9"/>
  <c r="AM39" i="9" s="1"/>
  <c r="AP39" i="9" s="1"/>
  <c r="W40" i="9" s="1"/>
  <c r="AG40" i="9" l="1"/>
  <c r="Z40" i="9"/>
  <c r="AF40" i="9" s="1"/>
  <c r="AE40" i="9"/>
  <c r="AA40" i="9"/>
  <c r="AB40" i="9" l="1"/>
  <c r="AC40" i="9"/>
  <c r="AD40" i="9"/>
  <c r="AI40" i="9"/>
  <c r="AL40" i="9" s="1"/>
  <c r="AO40" i="9" s="1"/>
  <c r="V41" i="9" s="1"/>
  <c r="Y41" i="9" s="1"/>
  <c r="AH40" i="9" l="1"/>
  <c r="AK40" i="9" s="1"/>
  <c r="AN40" i="9" s="1"/>
  <c r="U41" i="9" s="1"/>
  <c r="X41" i="9" s="1"/>
  <c r="AJ40" i="9"/>
  <c r="AM40" i="9" s="1"/>
  <c r="AP40" i="9" s="1"/>
  <c r="W41" i="9" s="1"/>
  <c r="AG41" i="9"/>
  <c r="Z41" i="9"/>
  <c r="AE41" i="9" s="1"/>
  <c r="AA41" i="9"/>
  <c r="AB41" i="9"/>
  <c r="AF41" i="9" l="1"/>
  <c r="AC41" i="9"/>
  <c r="AH41" i="9" s="1"/>
  <c r="AK41" i="9" s="1"/>
  <c r="AN41" i="9" s="1"/>
  <c r="U42" i="9" s="1"/>
  <c r="X42" i="9" s="1"/>
  <c r="AD41" i="9"/>
  <c r="AJ41" i="9"/>
  <c r="AM41" i="9" s="1"/>
  <c r="AP41" i="9" s="1"/>
  <c r="W42" i="9" s="1"/>
  <c r="AI41" i="9" l="1"/>
  <c r="AL41" i="9" s="1"/>
  <c r="AO41" i="9" s="1"/>
  <c r="V42" i="9" s="1"/>
  <c r="Y42" i="9" s="1"/>
  <c r="AG42" i="9" s="1"/>
  <c r="Z42" i="9"/>
  <c r="AA42" i="9" s="1"/>
  <c r="AC42" i="9"/>
  <c r="AE42" i="9" l="1"/>
  <c r="AD42" i="9"/>
  <c r="AF42" i="9"/>
  <c r="AB42" i="9"/>
  <c r="AI42" i="9" s="1"/>
  <c r="AL42" i="9" s="1"/>
  <c r="AO42" i="9" s="1"/>
  <c r="V43" i="9" s="1"/>
  <c r="Y43" i="9" s="1"/>
  <c r="AJ42" i="9" l="1"/>
  <c r="AM42" i="9" s="1"/>
  <c r="AP42" i="9" s="1"/>
  <c r="W43" i="9" s="1"/>
  <c r="AH42" i="9"/>
  <c r="AK42" i="9" s="1"/>
  <c r="AN42" i="9" s="1"/>
  <c r="U43" i="9" s="1"/>
  <c r="X43" i="9" s="1"/>
  <c r="Z43" i="9" s="1"/>
  <c r="AE43" i="9" s="1"/>
  <c r="AB43" i="9" l="1"/>
  <c r="AG43" i="9"/>
  <c r="AC43" i="9"/>
  <c r="AF43" i="9"/>
  <c r="AI43" i="9" s="1"/>
  <c r="AL43" i="9" s="1"/>
  <c r="AO43" i="9" s="1"/>
  <c r="V44" i="9" s="1"/>
  <c r="Y44" i="9" s="1"/>
  <c r="AA43" i="9"/>
  <c r="AD43" i="9"/>
  <c r="AH43" i="9" s="1"/>
  <c r="AK43" i="9" s="1"/>
  <c r="AN43" i="9" s="1"/>
  <c r="U44" i="9" s="1"/>
  <c r="X44" i="9" s="1"/>
  <c r="Z44" i="9" l="1"/>
  <c r="AE44" i="9" s="1"/>
  <c r="AJ43" i="9"/>
  <c r="AM43" i="9" s="1"/>
  <c r="AP43" i="9" s="1"/>
  <c r="W44" i="9" s="1"/>
  <c r="AA44" i="9"/>
  <c r="AB44" i="9"/>
  <c r="AD44" i="9"/>
  <c r="AG44" i="9"/>
  <c r="AC44" i="9"/>
  <c r="AF44" i="9" l="1"/>
  <c r="AI44" i="9" s="1"/>
  <c r="AL44" i="9" s="1"/>
  <c r="AO44" i="9" s="1"/>
  <c r="V45" i="9" s="1"/>
  <c r="Y45" i="9" s="1"/>
  <c r="AH44" i="9"/>
  <c r="AK44" i="9" s="1"/>
  <c r="AN44" i="9" s="1"/>
  <c r="U45" i="9" s="1"/>
  <c r="X45" i="9" s="1"/>
  <c r="Z45" i="9" l="1"/>
  <c r="AA45" i="9" s="1"/>
  <c r="AJ44" i="9"/>
  <c r="AM44" i="9" s="1"/>
  <c r="AP44" i="9" s="1"/>
  <c r="W45" i="9" s="1"/>
  <c r="AD45" i="9"/>
  <c r="AC45" i="9"/>
  <c r="AG45" i="9"/>
  <c r="AF45" i="9"/>
  <c r="AB45" i="9"/>
  <c r="AE45" i="9" l="1"/>
  <c r="AJ45" i="9" s="1"/>
  <c r="AM45" i="9" s="1"/>
  <c r="AP45" i="9" s="1"/>
  <c r="W46" i="9" s="1"/>
  <c r="AI45" i="9"/>
  <c r="AL45" i="9" s="1"/>
  <c r="AO45" i="9" s="1"/>
  <c r="V46" i="9" s="1"/>
  <c r="Y46" i="9" s="1"/>
  <c r="AH45" i="9"/>
  <c r="AK45" i="9" s="1"/>
  <c r="AN45" i="9" s="1"/>
  <c r="U46" i="9" s="1"/>
  <c r="X46" i="9" s="1"/>
  <c r="Z46" i="9" l="1"/>
  <c r="AE46" i="9" s="1"/>
  <c r="AG46" i="9"/>
  <c r="AC46" i="9"/>
  <c r="AD46" i="9"/>
  <c r="AJ46" i="9" s="1"/>
  <c r="AM46" i="9" s="1"/>
  <c r="AP46" i="9" s="1"/>
  <c r="W47" i="9" s="1"/>
  <c r="AB46" i="9"/>
  <c r="AA46" i="9"/>
  <c r="AF46" i="9"/>
  <c r="AI46" i="9"/>
  <c r="AL46" i="9" s="1"/>
  <c r="AO46" i="9" s="1"/>
  <c r="V47" i="9" s="1"/>
  <c r="Y47" i="9" s="1"/>
  <c r="AH46" i="9" l="1"/>
  <c r="AK46" i="9" s="1"/>
  <c r="AN46" i="9" s="1"/>
  <c r="U47" i="9" s="1"/>
  <c r="X47" i="9" s="1"/>
  <c r="Z47" i="9" s="1"/>
  <c r="AE47" i="9" s="1"/>
  <c r="AG47" i="9" l="1"/>
  <c r="AA47" i="9"/>
  <c r="AB47" i="9"/>
  <c r="AD47" i="9"/>
  <c r="AF47" i="9"/>
  <c r="AC47" i="9"/>
  <c r="AJ47" i="9" l="1"/>
  <c r="AM47" i="9" s="1"/>
  <c r="AP47" i="9" s="1"/>
  <c r="W48" i="9" s="1"/>
  <c r="AI47" i="9"/>
  <c r="AL47" i="9" s="1"/>
  <c r="AO47" i="9" s="1"/>
  <c r="V48" i="9" s="1"/>
  <c r="Y48" i="9" s="1"/>
  <c r="AH47" i="9"/>
  <c r="AK47" i="9" s="1"/>
  <c r="AN47" i="9" s="1"/>
  <c r="U48" i="9" s="1"/>
  <c r="X48" i="9" s="1"/>
  <c r="Z48" i="9" l="1"/>
  <c r="AE48" i="9"/>
  <c r="AB48" i="9"/>
  <c r="AD48" i="9"/>
  <c r="AF48" i="9"/>
  <c r="AA48" i="9"/>
  <c r="AC48" i="9"/>
  <c r="AG48" i="9"/>
  <c r="AH48" i="9" s="1"/>
  <c r="AK48" i="9" s="1"/>
  <c r="AN48" i="9" s="1"/>
  <c r="U49" i="9" s="1"/>
  <c r="X49" i="9" s="1"/>
  <c r="AJ48" i="9"/>
  <c r="AM48" i="9" s="1"/>
  <c r="AP48" i="9" s="1"/>
  <c r="W49" i="9" s="1"/>
  <c r="AI48" i="9" l="1"/>
  <c r="AL48" i="9" s="1"/>
  <c r="AO48" i="9" s="1"/>
  <c r="V49" i="9" s="1"/>
  <c r="Y49" i="9" s="1"/>
  <c r="AG49" i="9" s="1"/>
  <c r="Z49" i="9"/>
  <c r="AF49" i="9" s="1"/>
  <c r="AB49" i="9" l="1"/>
  <c r="AE49" i="9"/>
  <c r="AA49" i="9"/>
  <c r="AC49" i="9"/>
  <c r="AI49" i="9" s="1"/>
  <c r="AL49" i="9" s="1"/>
  <c r="AO49" i="9" s="1"/>
  <c r="V50" i="9" s="1"/>
  <c r="Y50" i="9" s="1"/>
  <c r="AD49" i="9"/>
  <c r="AJ49" i="9"/>
  <c r="AM49" i="9" s="1"/>
  <c r="AP49" i="9" s="1"/>
  <c r="W50" i="9" s="1"/>
  <c r="AH49" i="9"/>
  <c r="AK49" i="9" s="1"/>
  <c r="AN49" i="9" s="1"/>
  <c r="U50" i="9" s="1"/>
  <c r="X50" i="9" s="1"/>
  <c r="Z50" i="9" l="1"/>
  <c r="AE50" i="9" s="1"/>
  <c r="AG50" i="9"/>
  <c r="AB50" i="9"/>
  <c r="AC50" i="9"/>
  <c r="AF50" i="9"/>
  <c r="AA50" i="9" l="1"/>
  <c r="AD50" i="9"/>
  <c r="AI50" i="9" s="1"/>
  <c r="AL50" i="9" s="1"/>
  <c r="AO50" i="9" s="1"/>
  <c r="V51" i="9" s="1"/>
  <c r="Y51" i="9" s="1"/>
  <c r="AH50" i="9"/>
  <c r="AK50" i="9" s="1"/>
  <c r="AN50" i="9" s="1"/>
  <c r="U51" i="9" s="1"/>
  <c r="X51" i="9" s="1"/>
  <c r="AJ50" i="9"/>
  <c r="AM50" i="9" s="1"/>
  <c r="AP50" i="9" s="1"/>
  <c r="W51" i="9" s="1"/>
  <c r="Z51" i="9" l="1"/>
  <c r="AE51" i="9" s="1"/>
  <c r="AG51" i="9"/>
  <c r="AA51" i="9" l="1"/>
  <c r="AF51" i="9"/>
  <c r="AC51" i="9"/>
  <c r="AI51" i="9" s="1"/>
  <c r="AL51" i="9" s="1"/>
  <c r="AO51" i="9" s="1"/>
  <c r="V52" i="9" s="1"/>
  <c r="Y52" i="9" s="1"/>
  <c r="AD51" i="9"/>
  <c r="AB51" i="9"/>
  <c r="AH51" i="9" s="1"/>
  <c r="AK51" i="9" s="1"/>
  <c r="AN51" i="9" s="1"/>
  <c r="U52" i="9" s="1"/>
  <c r="X52" i="9" s="1"/>
  <c r="Z52" i="9" s="1"/>
  <c r="AJ51" i="9"/>
  <c r="AM51" i="9" s="1"/>
  <c r="AP51" i="9" s="1"/>
  <c r="W52" i="9" s="1"/>
  <c r="AE52" i="9" l="1"/>
  <c r="AD52" i="9"/>
  <c r="AA52" i="9"/>
  <c r="AF52" i="9"/>
  <c r="AB52" i="9"/>
  <c r="AC52" i="9"/>
  <c r="AG52" i="9"/>
  <c r="AJ52" i="9" l="1"/>
  <c r="AM52" i="9" s="1"/>
  <c r="AP52" i="9" s="1"/>
  <c r="W53" i="9" s="1"/>
  <c r="AH52" i="9"/>
  <c r="AK52" i="9" s="1"/>
  <c r="AN52" i="9" s="1"/>
  <c r="U53" i="9" s="1"/>
  <c r="X53" i="9" s="1"/>
  <c r="AI52" i="9"/>
  <c r="AL52" i="9" s="1"/>
  <c r="AO52" i="9" s="1"/>
  <c r="V53" i="9" s="1"/>
  <c r="Y53" i="9" s="1"/>
  <c r="Z53" i="9" l="1"/>
  <c r="AE53" i="9" s="1"/>
  <c r="AF53" i="9"/>
  <c r="AG53" i="9"/>
  <c r="AC53" i="9"/>
  <c r="AA53" i="9"/>
  <c r="AB53" i="9"/>
  <c r="AD53" i="9"/>
  <c r="AJ53" i="9" l="1"/>
  <c r="AM53" i="9" s="1"/>
  <c r="AP53" i="9" s="1"/>
  <c r="W54" i="9" s="1"/>
  <c r="AI53" i="9"/>
  <c r="AL53" i="9" s="1"/>
  <c r="AO53" i="9" s="1"/>
  <c r="V54" i="9" s="1"/>
  <c r="Y54" i="9" s="1"/>
  <c r="AH53" i="9"/>
  <c r="AK53" i="9" s="1"/>
  <c r="AN53" i="9" s="1"/>
  <c r="U54" i="9" s="1"/>
  <c r="X54" i="9" s="1"/>
  <c r="Z54" i="9" l="1"/>
  <c r="AE54" i="9" s="1"/>
  <c r="AD54" i="9"/>
  <c r="AC54" i="9"/>
  <c r="AF54" i="9"/>
  <c r="AA54" i="9"/>
  <c r="AB54" i="9"/>
  <c r="AG54" i="9"/>
  <c r="AH54" i="9" l="1"/>
  <c r="AK54" i="9" s="1"/>
  <c r="AN54" i="9" s="1"/>
  <c r="U55" i="9" s="1"/>
  <c r="X55" i="9" s="1"/>
  <c r="AJ54" i="9"/>
  <c r="AM54" i="9" s="1"/>
  <c r="AP54" i="9" s="1"/>
  <c r="W55" i="9" s="1"/>
  <c r="AI54" i="9"/>
  <c r="AL54" i="9" s="1"/>
  <c r="AO54" i="9" s="1"/>
  <c r="V55" i="9" s="1"/>
  <c r="Y55" i="9" s="1"/>
  <c r="Z55" i="9" l="1"/>
  <c r="AE55" i="9" s="1"/>
  <c r="AG55" i="9"/>
  <c r="AB55" i="9"/>
  <c r="AC55" i="9"/>
  <c r="AD55" i="9" l="1"/>
  <c r="AA55" i="9"/>
  <c r="AF55" i="9"/>
  <c r="AI55" i="9" s="1"/>
  <c r="AL55" i="9" s="1"/>
  <c r="AO55" i="9" s="1"/>
  <c r="V56" i="9" s="1"/>
  <c r="Y56" i="9" s="1"/>
  <c r="AH55" i="9" l="1"/>
  <c r="AK55" i="9" s="1"/>
  <c r="AN55" i="9" s="1"/>
  <c r="U56" i="9" s="1"/>
  <c r="X56" i="9" s="1"/>
  <c r="AJ55" i="9"/>
  <c r="AM55" i="9" s="1"/>
  <c r="AP55" i="9" s="1"/>
  <c r="W56" i="9" s="1"/>
  <c r="Z56" i="9"/>
  <c r="AG56" i="9"/>
  <c r="AA56" i="9"/>
  <c r="AD56" i="9"/>
  <c r="AJ56" i="9" s="1"/>
  <c r="AM56" i="9" s="1"/>
  <c r="AP56" i="9" s="1"/>
  <c r="W57" i="9" s="1"/>
  <c r="AF56" i="9"/>
  <c r="AC56" i="9"/>
  <c r="AB56" i="9"/>
  <c r="AE56" i="9"/>
  <c r="AI56" i="9" l="1"/>
  <c r="AL56" i="9" s="1"/>
  <c r="AO56" i="9" s="1"/>
  <c r="V57" i="9" s="1"/>
  <c r="Y57" i="9" s="1"/>
  <c r="AH56" i="9"/>
  <c r="AK56" i="9" s="1"/>
  <c r="AN56" i="9" s="1"/>
  <c r="U57" i="9" s="1"/>
  <c r="X57" i="9" s="1"/>
  <c r="AG57" i="9" s="1"/>
  <c r="Z57" i="9" l="1"/>
  <c r="AE57" i="9" l="1"/>
  <c r="AF57" i="9"/>
  <c r="AA57" i="9"/>
  <c r="AC57" i="9"/>
  <c r="AD57" i="9"/>
  <c r="AJ57" i="9" s="1"/>
  <c r="AM57" i="9" s="1"/>
  <c r="AP57" i="9" s="1"/>
  <c r="W58" i="9" s="1"/>
  <c r="AB57" i="9"/>
  <c r="AI57" i="9" l="1"/>
  <c r="AL57" i="9" s="1"/>
  <c r="AO57" i="9" s="1"/>
  <c r="V58" i="9" s="1"/>
  <c r="Y58" i="9" s="1"/>
  <c r="AH57" i="9"/>
  <c r="AK57" i="9" s="1"/>
  <c r="AN57" i="9" s="1"/>
  <c r="U58" i="9" s="1"/>
  <c r="X58" i="9" s="1"/>
  <c r="AG58" i="9" l="1"/>
  <c r="Z58" i="9"/>
  <c r="AF58" i="9" s="1"/>
  <c r="AE58" i="9" l="1"/>
  <c r="AD58" i="9"/>
  <c r="AC58" i="9"/>
  <c r="AA58" i="9"/>
  <c r="AB58" i="9"/>
  <c r="AJ58" i="9" s="1"/>
  <c r="AM58" i="9" s="1"/>
  <c r="AP58" i="9" s="1"/>
  <c r="W59" i="9" s="1"/>
  <c r="AI58" i="9" l="1"/>
  <c r="AL58" i="9" s="1"/>
  <c r="AO58" i="9" s="1"/>
  <c r="V59" i="9" s="1"/>
  <c r="Y59" i="9" s="1"/>
  <c r="AH58" i="9"/>
  <c r="AK58" i="9" s="1"/>
  <c r="AN58" i="9" s="1"/>
  <c r="U59" i="9" s="1"/>
  <c r="X59" i="9" s="1"/>
  <c r="AG59" i="9" l="1"/>
  <c r="Z59" i="9"/>
  <c r="AE59" i="9" s="1"/>
  <c r="AB59" i="9" l="1"/>
  <c r="AF59" i="9"/>
  <c r="AD59" i="9"/>
  <c r="AJ59" i="9" s="1"/>
  <c r="AM59" i="9" s="1"/>
  <c r="AP59" i="9" s="1"/>
  <c r="W60" i="9" s="1"/>
  <c r="AC59" i="9"/>
  <c r="AA59" i="9"/>
  <c r="AH59" i="9" l="1"/>
  <c r="AK59" i="9" s="1"/>
  <c r="AN59" i="9" s="1"/>
  <c r="U60" i="9" s="1"/>
  <c r="X60" i="9" s="1"/>
  <c r="AI59" i="9"/>
  <c r="AL59" i="9" s="1"/>
  <c r="AO59" i="9" s="1"/>
  <c r="V60" i="9" s="1"/>
  <c r="Y60" i="9" s="1"/>
  <c r="Z60" i="9" l="1"/>
  <c r="AF60" i="9" s="1"/>
  <c r="AB60" i="9"/>
  <c r="AD60" i="9"/>
  <c r="AA60" i="9"/>
  <c r="AC60" i="9"/>
  <c r="AG60" i="9"/>
  <c r="AE60" i="9" l="1"/>
  <c r="AH60" i="9" s="1"/>
  <c r="AK60" i="9" s="1"/>
  <c r="AN60" i="9" s="1"/>
  <c r="U61" i="9" s="1"/>
  <c r="X61" i="9" s="1"/>
  <c r="AJ60" i="9" l="1"/>
  <c r="AM60" i="9" s="1"/>
  <c r="AP60" i="9" s="1"/>
  <c r="W61" i="9" s="1"/>
  <c r="AI60" i="9"/>
  <c r="AL60" i="9" s="1"/>
  <c r="AO60" i="9" s="1"/>
  <c r="V61" i="9" s="1"/>
  <c r="Y61" i="9" s="1"/>
  <c r="Z61" i="9" s="1"/>
  <c r="AE61" i="9" s="1"/>
  <c r="AC61" i="9" l="1"/>
  <c r="AA61" i="9"/>
  <c r="AF61" i="9"/>
  <c r="AB61" i="9"/>
  <c r="AH61" i="9" s="1"/>
  <c r="AK61" i="9" s="1"/>
  <c r="AN61" i="9" s="1"/>
  <c r="U62" i="9" s="1"/>
  <c r="X62" i="9" s="1"/>
  <c r="AG61" i="9"/>
  <c r="AD61" i="9"/>
  <c r="AJ61" i="9" l="1"/>
  <c r="AM61" i="9" s="1"/>
  <c r="AP61" i="9" s="1"/>
  <c r="W62" i="9" s="1"/>
  <c r="AI61" i="9"/>
  <c r="AL61" i="9" s="1"/>
  <c r="AO61" i="9" s="1"/>
  <c r="V62" i="9" s="1"/>
  <c r="Y62" i="9" s="1"/>
  <c r="AG62" i="9" l="1"/>
  <c r="Z62" i="9"/>
  <c r="AF62" i="9" s="1"/>
  <c r="AE62" i="9"/>
  <c r="AA62" i="9"/>
  <c r="AC62" i="9"/>
  <c r="AD62" i="9"/>
  <c r="AB62" i="9" l="1"/>
  <c r="AH62" i="9" s="1"/>
  <c r="AK62" i="9" s="1"/>
  <c r="AN62" i="9" s="1"/>
  <c r="U63" i="9" s="1"/>
  <c r="X63" i="9" s="1"/>
  <c r="AJ62" i="9" l="1"/>
  <c r="AM62" i="9" s="1"/>
  <c r="AP62" i="9" s="1"/>
  <c r="W63" i="9" s="1"/>
  <c r="AI62" i="9"/>
  <c r="AL62" i="9" s="1"/>
  <c r="AO62" i="9" s="1"/>
  <c r="V63" i="9" s="1"/>
  <c r="Y63" i="9" s="1"/>
  <c r="Z63" i="9" s="1"/>
  <c r="AE63" i="9" s="1"/>
  <c r="AG63" i="9" l="1"/>
  <c r="AC63" i="9"/>
  <c r="AA63" i="9"/>
  <c r="AB63" i="9"/>
  <c r="AF63" i="9"/>
  <c r="AD63" i="9"/>
  <c r="AH63" i="9" l="1"/>
  <c r="AK63" i="9" s="1"/>
  <c r="AN63" i="9" s="1"/>
  <c r="U64" i="9" s="1"/>
  <c r="X64" i="9" s="1"/>
  <c r="AI63" i="9"/>
  <c r="AL63" i="9" s="1"/>
  <c r="AO63" i="9" s="1"/>
  <c r="V64" i="9" s="1"/>
  <c r="Y64" i="9" s="1"/>
  <c r="AG64" i="9"/>
  <c r="AJ63" i="9"/>
  <c r="AM63" i="9" s="1"/>
  <c r="AP63" i="9" s="1"/>
  <c r="W64" i="9" s="1"/>
  <c r="Z64" i="9" l="1"/>
  <c r="AE64" i="9" s="1"/>
  <c r="AF64" i="9"/>
  <c r="AC64" i="9"/>
  <c r="AA64" i="9"/>
  <c r="AD64" i="9"/>
  <c r="AB64" i="9" l="1"/>
  <c r="AJ64" i="9" s="1"/>
  <c r="AM64" i="9" s="1"/>
  <c r="AP64" i="9" s="1"/>
  <c r="W65" i="9" s="1"/>
  <c r="AH64" i="9"/>
  <c r="AK64" i="9" s="1"/>
  <c r="AN64" i="9" s="1"/>
  <c r="U65" i="9" s="1"/>
  <c r="X65" i="9" s="1"/>
  <c r="AI64" i="9"/>
  <c r="AL64" i="9" s="1"/>
  <c r="AO64" i="9" s="1"/>
  <c r="V65" i="9" s="1"/>
  <c r="Y65" i="9" s="1"/>
  <c r="Z65" i="9" s="1"/>
  <c r="AE65" i="9" s="1"/>
  <c r="AG65" i="9" l="1"/>
  <c r="AF65" i="9"/>
  <c r="AD65" i="9"/>
  <c r="AC65" i="9"/>
  <c r="AB65" i="9"/>
  <c r="AH65" i="9" s="1"/>
  <c r="AK65" i="9" s="1"/>
  <c r="AN65" i="9" s="1"/>
  <c r="U66" i="9" s="1"/>
  <c r="X66" i="9" s="1"/>
  <c r="AA65" i="9"/>
  <c r="AJ65" i="9" l="1"/>
  <c r="AM65" i="9" s="1"/>
  <c r="AP65" i="9" s="1"/>
  <c r="W66" i="9" s="1"/>
  <c r="AI65" i="9"/>
  <c r="AL65" i="9" s="1"/>
  <c r="AO65" i="9" s="1"/>
  <c r="V66" i="9" s="1"/>
  <c r="Y66" i="9" s="1"/>
  <c r="Z66" i="9" l="1"/>
  <c r="AF66" i="9" s="1"/>
  <c r="AG66" i="9"/>
  <c r="AD66" i="9"/>
  <c r="AC66" i="9"/>
  <c r="AA66" i="9"/>
  <c r="AB66" i="9" l="1"/>
  <c r="AI66" i="9" s="1"/>
  <c r="AL66" i="9" s="1"/>
  <c r="AO66" i="9" s="1"/>
  <c r="V67" i="9" s="1"/>
  <c r="Y67" i="9" s="1"/>
  <c r="AE66" i="9"/>
  <c r="AJ66" i="9"/>
  <c r="AM66" i="9" s="1"/>
  <c r="AP66" i="9" s="1"/>
  <c r="W67" i="9" s="1"/>
  <c r="AH66" i="9" l="1"/>
  <c r="AK66" i="9" s="1"/>
  <c r="AN66" i="9" s="1"/>
  <c r="U67" i="9" s="1"/>
  <c r="X67" i="9" s="1"/>
  <c r="AG67" i="9" s="1"/>
  <c r="Z67" i="9" l="1"/>
  <c r="AA67" i="9" s="1"/>
  <c r="AD67" i="9"/>
  <c r="AC67" i="9"/>
  <c r="AB67" i="9"/>
  <c r="AF67" i="9"/>
  <c r="AE67" i="9" l="1"/>
  <c r="AJ67" i="9" s="1"/>
  <c r="AM67" i="9" s="1"/>
  <c r="AP67" i="9" s="1"/>
  <c r="W68" i="9" s="1"/>
  <c r="AH67" i="9"/>
  <c r="AK67" i="9" s="1"/>
  <c r="AN67" i="9" s="1"/>
  <c r="U68" i="9" s="1"/>
  <c r="X68" i="9" s="1"/>
  <c r="AI67" i="9" l="1"/>
  <c r="AL67" i="9" s="1"/>
  <c r="AO67" i="9" s="1"/>
  <c r="V68" i="9" s="1"/>
  <c r="Y68" i="9" s="1"/>
  <c r="Z68" i="9" s="1"/>
  <c r="AD68" i="9" l="1"/>
  <c r="AF68" i="9"/>
  <c r="AA68" i="9"/>
  <c r="AG68" i="9"/>
  <c r="AC68" i="9"/>
  <c r="AE68" i="9"/>
  <c r="AB68" i="9"/>
  <c r="AH68" i="9" s="1"/>
  <c r="AK68" i="9" s="1"/>
  <c r="AN68" i="9" s="1"/>
  <c r="U69" i="9" s="1"/>
  <c r="X69" i="9" s="1"/>
  <c r="AJ68" i="9"/>
  <c r="AM68" i="9" s="1"/>
  <c r="AP68" i="9" s="1"/>
  <c r="W69" i="9" s="1"/>
  <c r="AI68" i="9"/>
  <c r="AL68" i="9" s="1"/>
  <c r="AO68" i="9" s="1"/>
  <c r="V69" i="9" s="1"/>
  <c r="Y69" i="9" s="1"/>
  <c r="Z69" i="9" l="1"/>
  <c r="AF69" i="9" s="1"/>
  <c r="AE69" i="9"/>
  <c r="AA69" i="9"/>
  <c r="AG69" i="9"/>
  <c r="AB69" i="9"/>
  <c r="AD69" i="9"/>
  <c r="AJ69" i="9" s="1"/>
  <c r="AM69" i="9" s="1"/>
  <c r="AP69" i="9" s="1"/>
  <c r="W70" i="9" s="1"/>
  <c r="AC69" i="9"/>
  <c r="AH69" i="9" l="1"/>
  <c r="AK69" i="9" s="1"/>
  <c r="AN69" i="9" s="1"/>
  <c r="U70" i="9" s="1"/>
  <c r="X70" i="9" s="1"/>
  <c r="AI69" i="9"/>
  <c r="AL69" i="9" s="1"/>
  <c r="AO69" i="9" s="1"/>
  <c r="V70" i="9" s="1"/>
  <c r="Y70" i="9" s="1"/>
  <c r="Z70" i="9" l="1"/>
  <c r="AE70" i="9" s="1"/>
  <c r="AB70" i="9"/>
  <c r="AC70" i="9"/>
  <c r="AD70" i="9"/>
  <c r="AF70" i="9"/>
  <c r="AG70" i="9"/>
  <c r="AA70" i="9"/>
  <c r="AH70" i="9" l="1"/>
  <c r="AK70" i="9" s="1"/>
  <c r="AN70" i="9" s="1"/>
  <c r="U71" i="9" s="1"/>
  <c r="X71" i="9" s="1"/>
  <c r="AI70" i="9"/>
  <c r="AL70" i="9" s="1"/>
  <c r="AO70" i="9" s="1"/>
  <c r="V71" i="9" s="1"/>
  <c r="Y71" i="9" s="1"/>
  <c r="AJ70" i="9"/>
  <c r="AM70" i="9" s="1"/>
  <c r="AP70" i="9" s="1"/>
  <c r="W71" i="9" s="1"/>
  <c r="Z71" i="9" l="1"/>
  <c r="AE71" i="9" s="1"/>
  <c r="AC71" i="9"/>
  <c r="AA71" i="9"/>
  <c r="AF71" i="9"/>
  <c r="AD71" i="9"/>
  <c r="AG71" i="9"/>
  <c r="AB71" i="9" l="1"/>
  <c r="AI71" i="9" s="1"/>
  <c r="AL71" i="9" s="1"/>
  <c r="AO71" i="9" s="1"/>
  <c r="V72" i="9" s="1"/>
  <c r="Y72" i="9" s="1"/>
  <c r="AJ71" i="9"/>
  <c r="AM71" i="9" s="1"/>
  <c r="AP71" i="9" s="1"/>
  <c r="W72" i="9" s="1"/>
  <c r="AH71" i="9"/>
  <c r="AK71" i="9" s="1"/>
  <c r="AN71" i="9" s="1"/>
  <c r="U72" i="9" s="1"/>
  <c r="X72" i="9" s="1"/>
  <c r="AG72" i="9" l="1"/>
  <c r="Z72" i="9"/>
  <c r="AF72" i="9" s="1"/>
  <c r="AE72" i="9" l="1"/>
  <c r="AD72" i="9"/>
  <c r="AC72" i="9"/>
  <c r="AA72" i="9"/>
  <c r="AB72" i="9"/>
  <c r="AI72" i="9" s="1"/>
  <c r="AL72" i="9" s="1"/>
  <c r="AO72" i="9" s="1"/>
  <c r="V73" i="9" s="1"/>
  <c r="Y73" i="9" s="1"/>
  <c r="AJ72" i="9" l="1"/>
  <c r="AM72" i="9" s="1"/>
  <c r="AP72" i="9" s="1"/>
  <c r="W73" i="9" s="1"/>
  <c r="AH72" i="9"/>
  <c r="AK72" i="9" s="1"/>
  <c r="AN72" i="9" s="1"/>
  <c r="U73" i="9" s="1"/>
  <c r="X73" i="9" s="1"/>
  <c r="AG73" i="9" l="1"/>
  <c r="Z73" i="9"/>
  <c r="AE73" i="9" s="1"/>
  <c r="AD73" i="9" l="1"/>
  <c r="AC73" i="9"/>
  <c r="AA73" i="9"/>
  <c r="AF73" i="9"/>
  <c r="AB73" i="9"/>
  <c r="AJ73" i="9" s="1"/>
  <c r="AM73" i="9" s="1"/>
  <c r="AP73" i="9" s="1"/>
  <c r="AI73" i="9" l="1"/>
  <c r="AL73" i="9" s="1"/>
  <c r="AO73" i="9" s="1"/>
  <c r="AH73" i="9"/>
  <c r="AK73" i="9" s="1"/>
  <c r="AN73" i="9" s="1"/>
</calcChain>
</file>

<file path=xl/sharedStrings.xml><?xml version="1.0" encoding="utf-8"?>
<sst xmlns="http://schemas.openxmlformats.org/spreadsheetml/2006/main" count="237" uniqueCount="107">
  <si>
    <t>T /°C</t>
  </si>
  <si>
    <t>T /K</t>
  </si>
  <si>
    <t>R =</t>
  </si>
  <si>
    <t>x1</t>
  </si>
  <si>
    <t>x2</t>
  </si>
  <si>
    <t>x3</t>
  </si>
  <si>
    <t>γ1</t>
  </si>
  <si>
    <t>γ2</t>
  </si>
  <si>
    <t>Upper layer</t>
  </si>
  <si>
    <t>Lower layer</t>
  </si>
  <si>
    <t>β</t>
  </si>
  <si>
    <t>S</t>
  </si>
  <si>
    <t>Methanol (1) + Heptane (2) + [EMIM][DEP] (3)</t>
  </si>
  <si>
    <t>x1I</t>
  </si>
  <si>
    <t>x2I</t>
  </si>
  <si>
    <t>x1II</t>
  </si>
  <si>
    <t>x2II</t>
  </si>
  <si>
    <t>OF</t>
  </si>
  <si>
    <t>xexp-xcal</t>
  </si>
  <si>
    <t>T(K)</t>
  </si>
  <si>
    <t>y1</t>
  </si>
  <si>
    <t>P</t>
  </si>
  <si>
    <t>kPa</t>
  </si>
  <si>
    <t>konoda 1</t>
  </si>
  <si>
    <t>konoda 2</t>
  </si>
  <si>
    <t>konoda 3</t>
  </si>
  <si>
    <t>konoda 4</t>
  </si>
  <si>
    <t>konoda 5</t>
  </si>
  <si>
    <t>konoda 6</t>
  </si>
  <si>
    <t>konoda 7</t>
  </si>
  <si>
    <t>konoda 8</t>
  </si>
  <si>
    <t>konoda 9</t>
  </si>
  <si>
    <t>Rafinat</t>
  </si>
  <si>
    <t>Extrak</t>
  </si>
  <si>
    <r>
      <t>x</t>
    </r>
    <r>
      <rPr>
        <b/>
        <vertAlign val="subscript"/>
        <sz val="11"/>
        <color rgb="FF000000"/>
        <rFont val="Calibri"/>
        <family val="2"/>
      </rPr>
      <t>1</t>
    </r>
  </si>
  <si>
    <r>
      <t>x</t>
    </r>
    <r>
      <rPr>
        <b/>
        <vertAlign val="subscript"/>
        <sz val="11"/>
        <color rgb="FF000000"/>
        <rFont val="Calibri"/>
        <family val="2"/>
      </rPr>
      <t>2</t>
    </r>
  </si>
  <si>
    <r>
      <t>x</t>
    </r>
    <r>
      <rPr>
        <b/>
        <vertAlign val="subscript"/>
        <sz val="11"/>
        <color rgb="FF000000"/>
        <rFont val="Calibri"/>
        <family val="2"/>
      </rPr>
      <t>3</t>
    </r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</si>
  <si>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</si>
  <si>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</si>
  <si>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</si>
  <si>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</si>
  <si>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</si>
  <si>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</si>
  <si>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</si>
  <si>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</si>
  <si>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</si>
  <si>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</si>
  <si>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</si>
  <si>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</si>
  <si>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r>
      <t>φ</t>
    </r>
    <r>
      <rPr>
        <b/>
        <vertAlign val="subscript"/>
        <sz val="11"/>
        <color rgb="FF000000"/>
        <rFont val="Calibri"/>
        <family val="2"/>
      </rPr>
      <t>1</t>
    </r>
  </si>
  <si>
    <r>
      <t>φ</t>
    </r>
    <r>
      <rPr>
        <b/>
        <vertAlign val="subscript"/>
        <sz val="11"/>
        <color rgb="FF000000"/>
        <rFont val="Calibri"/>
        <family val="2"/>
      </rPr>
      <t>2</t>
    </r>
    <r>
      <rPr>
        <sz val="11"/>
        <color theme="1"/>
        <rFont val="Calibri"/>
        <family val="2"/>
        <scheme val="minor"/>
      </rPr>
      <t/>
    </r>
  </si>
  <si>
    <r>
      <t>φ</t>
    </r>
    <r>
      <rPr>
        <b/>
        <vertAlign val="subscript"/>
        <sz val="11"/>
        <color rgb="FF000000"/>
        <rFont val="Calibri"/>
        <family val="2"/>
      </rPr>
      <t>3</t>
    </r>
    <r>
      <rPr>
        <sz val="11"/>
        <color theme="1"/>
        <rFont val="Calibri"/>
        <family val="2"/>
        <scheme val="minor"/>
      </rPr>
      <t/>
    </r>
  </si>
  <si>
    <r>
      <t>θ</t>
    </r>
    <r>
      <rPr>
        <b/>
        <vertAlign val="subscript"/>
        <sz val="11"/>
        <color rgb="FF000000"/>
        <rFont val="Calibri"/>
        <family val="2"/>
      </rPr>
      <t>1</t>
    </r>
  </si>
  <si>
    <r>
      <t>θ</t>
    </r>
    <r>
      <rPr>
        <b/>
        <vertAlign val="subscript"/>
        <sz val="11"/>
        <color rgb="FF000000"/>
        <rFont val="Calibri"/>
        <family val="2"/>
      </rPr>
      <t>2</t>
    </r>
    <r>
      <rPr>
        <sz val="11"/>
        <color theme="1"/>
        <rFont val="Calibri"/>
        <family val="2"/>
        <scheme val="minor"/>
      </rPr>
      <t/>
    </r>
  </si>
  <si>
    <r>
      <t>θ</t>
    </r>
    <r>
      <rPr>
        <b/>
        <vertAlign val="subscript"/>
        <sz val="11"/>
        <color rgb="FF000000"/>
        <rFont val="Calibri"/>
        <family val="2"/>
      </rPr>
      <t>3</t>
    </r>
    <r>
      <rPr>
        <sz val="11"/>
        <color theme="1"/>
        <rFont val="Calibri"/>
        <family val="2"/>
        <scheme val="minor"/>
      </rPr>
      <t/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</si>
  <si>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1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</si>
  <si>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2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</si>
  <si>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3</t>
    </r>
  </si>
  <si>
    <r>
      <t>Σx</t>
    </r>
    <r>
      <rPr>
        <b/>
        <vertAlign val="subscript"/>
        <sz val="11"/>
        <color rgb="FF000000"/>
        <rFont val="Calibri"/>
        <family val="2"/>
      </rPr>
      <t>i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</si>
  <si>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22</t>
    </r>
    <r>
      <rPr>
        <b/>
        <sz val="11"/>
        <color rgb="FF000000"/>
        <rFont val="Calibri"/>
        <family val="2"/>
      </rPr>
      <t xml:space="preserve"> =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</si>
  <si>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11</t>
    </r>
    <r>
      <rPr>
        <b/>
        <sz val="11"/>
        <color rgb="FF000000"/>
        <rFont val="Calibri"/>
        <family val="2"/>
      </rPr>
      <t xml:space="preserve"> =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</si>
  <si>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33</t>
    </r>
    <r>
      <rPr>
        <b/>
        <sz val="11"/>
        <color rgb="FF000000"/>
        <rFont val="Calibri"/>
        <family val="2"/>
      </rPr>
      <t xml:space="preserve"> =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</si>
  <si>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11</t>
    </r>
    <r>
      <rPr>
        <b/>
        <sz val="11"/>
        <color rgb="FF000000"/>
        <rFont val="Calibri"/>
        <family val="2"/>
      </rPr>
      <t xml:space="preserve"> =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</si>
  <si>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33</t>
    </r>
    <r>
      <rPr>
        <b/>
        <sz val="11"/>
        <color rgb="FF000000"/>
        <rFont val="Calibri"/>
        <family val="2"/>
      </rPr>
      <t xml:space="preserve"> =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</si>
  <si>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22</t>
    </r>
    <r>
      <rPr>
        <b/>
        <sz val="11"/>
        <color rgb="FF000000"/>
        <rFont val="Calibri"/>
        <family val="2"/>
      </rPr>
      <t xml:space="preserve"> =</t>
    </r>
  </si>
  <si>
    <r>
      <t>α</t>
    </r>
    <r>
      <rPr>
        <b/>
        <vertAlign val="subscript"/>
        <sz val="11"/>
        <color rgb="FF000000"/>
        <rFont val="Calibri"/>
        <family val="2"/>
      </rPr>
      <t>12</t>
    </r>
    <r>
      <rPr>
        <b/>
        <sz val="11"/>
        <color rgb="FF000000"/>
        <rFont val="Calibri"/>
        <family val="2"/>
      </rPr>
      <t xml:space="preserve"> = α</t>
    </r>
    <r>
      <rPr>
        <b/>
        <vertAlign val="subscript"/>
        <sz val="11"/>
        <color rgb="FF000000"/>
        <rFont val="Calibri"/>
        <family val="2"/>
      </rPr>
      <t>21</t>
    </r>
    <r>
      <rPr>
        <b/>
        <sz val="11"/>
        <color rgb="FF000000"/>
        <rFont val="Calibri"/>
        <family val="2"/>
      </rPr>
      <t xml:space="preserve"> =</t>
    </r>
  </si>
  <si>
    <r>
      <t>α</t>
    </r>
    <r>
      <rPr>
        <b/>
        <vertAlign val="subscript"/>
        <sz val="11"/>
        <color rgb="FF000000"/>
        <rFont val="Calibri"/>
        <family val="2"/>
      </rPr>
      <t>13</t>
    </r>
    <r>
      <rPr>
        <b/>
        <sz val="11"/>
        <color rgb="FF000000"/>
        <rFont val="Calibri"/>
        <family val="2"/>
      </rPr>
      <t xml:space="preserve"> = α</t>
    </r>
    <r>
      <rPr>
        <b/>
        <vertAlign val="subscript"/>
        <sz val="11"/>
        <color rgb="FF000000"/>
        <rFont val="Calibri"/>
        <family val="2"/>
      </rPr>
      <t>31</t>
    </r>
    <r>
      <rPr>
        <b/>
        <sz val="11"/>
        <color rgb="FF000000"/>
        <rFont val="Calibri"/>
        <family val="2"/>
      </rPr>
      <t xml:space="preserve"> =</t>
    </r>
  </si>
  <si>
    <r>
      <t>α</t>
    </r>
    <r>
      <rPr>
        <b/>
        <vertAlign val="subscript"/>
        <sz val="11"/>
        <color rgb="FF000000"/>
        <rFont val="Calibri"/>
        <family val="2"/>
      </rPr>
      <t>23</t>
    </r>
    <r>
      <rPr>
        <b/>
        <sz val="11"/>
        <color rgb="FF000000"/>
        <rFont val="Calibri"/>
        <family val="2"/>
      </rPr>
      <t xml:space="preserve"> = α</t>
    </r>
    <r>
      <rPr>
        <b/>
        <vertAlign val="subscript"/>
        <sz val="11"/>
        <color rgb="FF000000"/>
        <rFont val="Calibri"/>
        <family val="2"/>
      </rPr>
      <t>32</t>
    </r>
    <r>
      <rPr>
        <b/>
        <sz val="11"/>
        <color rgb="FF000000"/>
        <rFont val="Calibri"/>
        <family val="2"/>
      </rPr>
      <t xml:space="preserve"> =</t>
    </r>
  </si>
  <si>
    <r>
      <t>J mol</t>
    </r>
    <r>
      <rPr>
        <b/>
        <vertAlign val="superscript"/>
        <sz val="11"/>
        <color rgb="FF000000"/>
        <rFont val="Calibri"/>
        <family val="2"/>
      </rPr>
      <t>−1</t>
    </r>
  </si>
  <si>
    <r>
      <t>J mol</t>
    </r>
    <r>
      <rPr>
        <b/>
        <vertAlign val="superscript"/>
        <sz val="11"/>
        <color rgb="FF000000"/>
        <rFont val="Calibri"/>
        <family val="2"/>
      </rPr>
      <t>−1</t>
    </r>
    <r>
      <rPr>
        <sz val="11"/>
        <color theme="1"/>
        <rFont val="Calibri"/>
        <family val="2"/>
        <scheme val="minor"/>
      </rPr>
      <t/>
    </r>
  </si>
  <si>
    <r>
      <t>J mol</t>
    </r>
    <r>
      <rPr>
        <b/>
        <vertAlign val="superscript"/>
        <sz val="11"/>
        <color rgb="FF000000"/>
        <rFont val="Calibri"/>
        <family val="2"/>
      </rPr>
      <t>−1</t>
    </r>
    <r>
      <rPr>
        <b/>
        <sz val="11"/>
        <color rgb="FF000000"/>
        <rFont val="Calibri"/>
        <family val="2"/>
      </rPr>
      <t xml:space="preserve"> K</t>
    </r>
    <r>
      <rPr>
        <b/>
        <vertAlign val="superscript"/>
        <sz val="11"/>
        <color rgb="FF000000"/>
        <rFont val="Calibri"/>
        <family val="2"/>
      </rPr>
      <t>−1</t>
    </r>
  </si>
  <si>
    <t>https://www.sciencedirect.com/science/article/pii/S0021961415000890?via%3Dihub</t>
  </si>
  <si>
    <t>y1/y1</t>
  </si>
  <si>
    <t>y2/y2</t>
  </si>
  <si>
    <t>y3/y3</t>
  </si>
  <si>
    <t>lny</t>
  </si>
  <si>
    <t>y</t>
  </si>
  <si>
    <t>Methanol</t>
  </si>
  <si>
    <t>https://www.chembk.com/en/chem/EMIM%20DEP</t>
  </si>
  <si>
    <t>σ</t>
  </si>
  <si>
    <t>1 hPa</t>
  </si>
  <si>
    <t>=</t>
  </si>
  <si>
    <t>100 Pa</t>
  </si>
  <si>
    <t xml:space="preserve">or </t>
  </si>
  <si>
    <t>pri T=313.5 K</t>
  </si>
  <si>
    <t>Heptan</t>
  </si>
  <si>
    <t>IL</t>
  </si>
  <si>
    <t>g12 − g22 =</t>
  </si>
  <si>
    <t>J mol−1</t>
  </si>
  <si>
    <t>g21 − g11 =</t>
  </si>
  <si>
    <t>g13 − g33 =</t>
  </si>
  <si>
    <t>g31 − g11 =</t>
  </si>
  <si>
    <t>g23 − g33 =</t>
  </si>
  <si>
    <t>g32 − g22 =</t>
  </si>
  <si>
    <t>α12 = α21 =</t>
  </si>
  <si>
    <t>α13 = α31 =</t>
  </si>
  <si>
    <t>α23 = α32 =</t>
  </si>
  <si>
    <t>J mol−1 K−1</t>
  </si>
  <si>
    <t>Heptane (1)+Methanol (2) + [EMIM][DEP] (3)</t>
  </si>
  <si>
    <t>Extrakt</t>
  </si>
  <si>
    <t>lnγ1</t>
  </si>
  <si>
    <t>lnγ2</t>
  </si>
  <si>
    <t>lnγ3</t>
  </si>
  <si>
    <t>K1</t>
  </si>
  <si>
    <t>K2</t>
  </si>
  <si>
    <t>K3</t>
  </si>
  <si>
    <t>Σxi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</si>
</sst>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00"/>
    <numFmt numFmtId="165" formatCode="0.00000"/>
    <numFmt numFmtId="166" formatCode="0.000"/>
    <numFmt numFmtId="167" formatCode="0.0E+00"/>
  </numFmts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rgb="FF1F1F1F"/>
      <name val="Georgia"/>
      <family val="1"/>
    </font>
    <font>
      <b/>
      <i/>
      <sz val="11"/>
      <color rgb="FF1F1F1F"/>
      <name val="Georgia"/>
      <family val="1"/>
    </font>
    <font>
      <sz val="10"/>
      <color rgb="FF1F1F1F"/>
      <name val="Georgia"/>
      <family val="1"/>
    </font>
    <font>
      <sz val="11"/>
      <color rgb="FF1F1F1F"/>
      <name val="Georgia"/>
      <family val="1"/>
    </font>
    <font>
      <i/>
      <sz val="11"/>
      <color rgb="FF1F1F1F"/>
      <name val="Georg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vertAlign val="superscript"/>
      <sz val="11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 style="medium">
        <color rgb="FF8E8E8E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8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10">
    <xf numFmtId="0" fontId="0" fillId="0" borderId="0" xfId="0"/>
    <xf numFmtId="0" fontId="1" fillId="0" borderId="0" xfId="1" applyFont="1" applyAlignment="1">
      <alignment horizontal="right"/>
    </xf>
    <xf numFmtId="2" fontId="1" fillId="0" borderId="0" xfId="1" applyNumberFormat="1" applyAlignment="1">
      <alignment horizontal="center"/>
    </xf>
    <xf numFmtId="0" fontId="1" fillId="0" borderId="0" xfId="1"/>
    <xf numFmtId="0" fontId="1" fillId="0" borderId="0" xfId="1" applyFont="1" applyAlignment="1">
      <alignment horizontal="center"/>
    </xf>
    <xf numFmtId="0" fontId="1" fillId="0" borderId="0" xfId="1" applyAlignment="1">
      <alignment horizontal="center"/>
    </xf>
    <xf numFmtId="164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/>
    </xf>
    <xf numFmtId="165" fontId="1" fillId="0" borderId="0" xfId="1" applyNumberForma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1" xfId="0" applyFont="1" applyBorder="1" applyAlignment="1">
      <alignment vertical="center" wrapText="1"/>
    </xf>
    <xf numFmtId="164" fontId="1" fillId="0" borderId="1" xfId="1" applyNumberFormat="1" applyBorder="1" applyAlignment="1">
      <alignment horizontal="center"/>
    </xf>
    <xf numFmtId="0" fontId="1" fillId="0" borderId="1" xfId="1" applyBorder="1"/>
    <xf numFmtId="2" fontId="1" fillId="0" borderId="1" xfId="1" applyNumberFormat="1" applyBorder="1" applyAlignment="1">
      <alignment horizontal="center"/>
    </xf>
    <xf numFmtId="166" fontId="1" fillId="0" borderId="0" xfId="1" applyNumberFormat="1" applyAlignment="1">
      <alignment horizontal="center"/>
    </xf>
    <xf numFmtId="166" fontId="1" fillId="0" borderId="1" xfId="1" applyNumberFormat="1" applyBorder="1" applyAlignment="1">
      <alignment horizontal="center"/>
    </xf>
    <xf numFmtId="166" fontId="0" fillId="0" borderId="0" xfId="0" applyNumberFormat="1"/>
    <xf numFmtId="167" fontId="0" fillId="0" borderId="0" xfId="2" applyNumberFormat="1" applyFont="1"/>
    <xf numFmtId="0" fontId="6" fillId="0" borderId="12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13" xfId="0" applyBorder="1"/>
    <xf numFmtId="0" fontId="6" fillId="0" borderId="8" xfId="0" applyFont="1" applyBorder="1" applyAlignment="1">
      <alignment vertical="center" wrapText="1"/>
    </xf>
    <xf numFmtId="164" fontId="1" fillId="0" borderId="12" xfId="1" applyNumberFormat="1" applyBorder="1" applyAlignment="1">
      <alignment horizontal="center"/>
    </xf>
    <xf numFmtId="164" fontId="1" fillId="0" borderId="0" xfId="1" applyNumberFormat="1" applyBorder="1" applyAlignment="1">
      <alignment horizontal="center"/>
    </xf>
    <xf numFmtId="164" fontId="1" fillId="0" borderId="13" xfId="1" applyNumberFormat="1" applyBorder="1" applyAlignment="1">
      <alignment horizontal="center"/>
    </xf>
    <xf numFmtId="164" fontId="1" fillId="0" borderId="8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10" xfId="1" applyFont="1" applyFill="1" applyBorder="1" applyAlignment="1">
      <alignment horizontal="center"/>
    </xf>
    <xf numFmtId="0" fontId="10" fillId="0" borderId="11" xfId="1" applyFont="1" applyFill="1" applyBorder="1" applyAlignment="1">
      <alignment horizontal="center"/>
    </xf>
    <xf numFmtId="166" fontId="1" fillId="0" borderId="0" xfId="1" applyNumberFormat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right"/>
    </xf>
    <xf numFmtId="0" fontId="10" fillId="0" borderId="0" xfId="1" applyFont="1"/>
    <xf numFmtId="0" fontId="1" fillId="0" borderId="12" xfId="1" applyBorder="1"/>
    <xf numFmtId="0" fontId="1" fillId="0" borderId="0" xfId="1" applyBorder="1"/>
    <xf numFmtId="0" fontId="1" fillId="0" borderId="13" xfId="1" applyBorder="1"/>
    <xf numFmtId="0" fontId="1" fillId="0" borderId="8" xfId="1" applyBorder="1"/>
    <xf numFmtId="0" fontId="1" fillId="0" borderId="9" xfId="1" applyBorder="1"/>
    <xf numFmtId="167" fontId="0" fillId="0" borderId="0" xfId="0" applyNumberFormat="1"/>
    <xf numFmtId="2" fontId="1" fillId="0" borderId="8" xfId="1" applyNumberFormat="1" applyBorder="1" applyAlignment="1">
      <alignment horizontal="center"/>
    </xf>
    <xf numFmtId="2" fontId="1" fillId="0" borderId="9" xfId="1" applyNumberFormat="1" applyBorder="1" applyAlignment="1">
      <alignment horizontal="center"/>
    </xf>
    <xf numFmtId="12" fontId="1" fillId="0" borderId="8" xfId="2" applyNumberFormat="1" applyFont="1" applyBorder="1" applyAlignment="1">
      <alignment horizontal="center"/>
    </xf>
    <xf numFmtId="12" fontId="1" fillId="0" borderId="1" xfId="2" applyNumberFormat="1" applyFont="1" applyBorder="1" applyAlignment="1">
      <alignment horizontal="center"/>
    </xf>
    <xf numFmtId="164" fontId="16" fillId="0" borderId="12" xfId="1" applyNumberFormat="1" applyFont="1" applyBorder="1" applyAlignment="1">
      <alignment horizontal="center"/>
    </xf>
    <xf numFmtId="0" fontId="1" fillId="0" borderId="0" xfId="1" applyNumberFormat="1" applyAlignment="1">
      <alignment horizontal="center"/>
    </xf>
    <xf numFmtId="0" fontId="1" fillId="0" borderId="0" xfId="1" applyNumberFormat="1"/>
    <xf numFmtId="164" fontId="1" fillId="0" borderId="0" xfId="1" applyNumberFormat="1"/>
    <xf numFmtId="0" fontId="0" fillId="0" borderId="0" xfId="0" applyNumberFormat="1"/>
    <xf numFmtId="11" fontId="1" fillId="0" borderId="0" xfId="1" applyNumberForma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17" fillId="0" borderId="0" xfId="3"/>
    <xf numFmtId="0" fontId="9" fillId="0" borderId="14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164" fontId="1" fillId="0" borderId="14" xfId="1" applyNumberFormat="1" applyBorder="1" applyAlignment="1">
      <alignment horizontal="center"/>
    </xf>
    <xf numFmtId="164" fontId="1" fillId="0" borderId="11" xfId="1" applyNumberFormat="1" applyBorder="1" applyAlignment="1">
      <alignment horizontal="center"/>
    </xf>
    <xf numFmtId="0" fontId="9" fillId="0" borderId="10" xfId="0" applyFont="1" applyBorder="1"/>
    <xf numFmtId="0" fontId="9" fillId="0" borderId="14" xfId="0" applyFont="1" applyBorder="1"/>
    <xf numFmtId="0" fontId="9" fillId="0" borderId="11" xfId="0" applyFont="1" applyBorder="1"/>
    <xf numFmtId="0" fontId="10" fillId="0" borderId="0" xfId="1" applyFont="1" applyFill="1" applyBorder="1" applyAlignment="1">
      <alignment horizontal="center"/>
    </xf>
    <xf numFmtId="0" fontId="10" fillId="0" borderId="14" xfId="1" applyFont="1" applyFill="1" applyBorder="1" applyAlignment="1">
      <alignment horizontal="center"/>
    </xf>
    <xf numFmtId="0" fontId="19" fillId="0" borderId="0" xfId="0" applyFont="1" applyBorder="1" applyAlignment="1"/>
    <xf numFmtId="0" fontId="1" fillId="0" borderId="0" xfId="1" applyFont="1" applyBorder="1" applyAlignment="1">
      <alignment horizontal="center"/>
    </xf>
    <xf numFmtId="0" fontId="0" fillId="0" borderId="0" xfId="0" applyBorder="1"/>
    <xf numFmtId="0" fontId="1" fillId="0" borderId="0" xfId="1" applyFont="1" applyFill="1" applyBorder="1" applyAlignment="1"/>
    <xf numFmtId="164" fontId="0" fillId="0" borderId="0" xfId="0" applyNumberFormat="1"/>
    <xf numFmtId="0" fontId="3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64" fontId="10" fillId="0" borderId="10" xfId="1" applyNumberFormat="1" applyFont="1" applyBorder="1" applyAlignment="1">
      <alignment horizontal="center"/>
    </xf>
    <xf numFmtId="164" fontId="10" fillId="0" borderId="11" xfId="1" applyNumberFormat="1" applyFont="1" applyBorder="1" applyAlignment="1">
      <alignment horizontal="center"/>
    </xf>
    <xf numFmtId="2" fontId="11" fillId="0" borderId="15" xfId="1" applyNumberFormat="1" applyFont="1" applyBorder="1" applyAlignment="1">
      <alignment horizontal="center" vertical="center" textRotation="255"/>
    </xf>
    <xf numFmtId="2" fontId="11" fillId="0" borderId="16" xfId="1" applyNumberFormat="1" applyFont="1" applyBorder="1" applyAlignment="1">
      <alignment horizontal="center" vertical="center" textRotation="255"/>
    </xf>
    <xf numFmtId="2" fontId="11" fillId="0" borderId="17" xfId="1" applyNumberFormat="1" applyFont="1" applyBorder="1" applyAlignment="1">
      <alignment horizontal="center" vertical="center" textRotation="255"/>
    </xf>
    <xf numFmtId="2" fontId="12" fillId="0" borderId="15" xfId="1" applyNumberFormat="1" applyFont="1" applyBorder="1" applyAlignment="1">
      <alignment horizontal="center" vertical="center" textRotation="255"/>
    </xf>
    <xf numFmtId="2" fontId="12" fillId="0" borderId="16" xfId="1" applyNumberFormat="1" applyFont="1" applyBorder="1" applyAlignment="1">
      <alignment horizontal="center" vertical="center" textRotation="255"/>
    </xf>
    <xf numFmtId="2" fontId="12" fillId="0" borderId="17" xfId="1" applyNumberFormat="1" applyFont="1" applyBorder="1" applyAlignment="1">
      <alignment horizontal="center" vertical="center" textRotation="255"/>
    </xf>
    <xf numFmtId="0" fontId="17" fillId="0" borderId="0" xfId="3" applyAlignment="1">
      <alignment horizontal="center"/>
    </xf>
    <xf numFmtId="0" fontId="0" fillId="0" borderId="0" xfId="0" applyAlignment="1">
      <alignment horizontal="center"/>
    </xf>
    <xf numFmtId="166" fontId="10" fillId="0" borderId="10" xfId="1" applyNumberFormat="1" applyFont="1" applyBorder="1" applyAlignment="1">
      <alignment horizontal="center"/>
    </xf>
    <xf numFmtId="166" fontId="10" fillId="0" borderId="11" xfId="1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8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2" xfId="0" applyBorder="1"/>
    <xf numFmtId="0" fontId="21" fillId="0" borderId="18" xfId="0" applyFont="1" applyBorder="1"/>
    <xf numFmtId="166" fontId="6" fillId="0" borderId="0" xfId="0" applyNumberFormat="1" applyFont="1" applyAlignment="1">
      <alignment vertical="center" wrapText="1"/>
    </xf>
    <xf numFmtId="0" fontId="20" fillId="0" borderId="15" xfId="0" applyFont="1" applyBorder="1"/>
    <xf numFmtId="0" fontId="20" fillId="0" borderId="16" xfId="0" applyFont="1" applyBorder="1"/>
  </cellXfs>
  <cellStyles count="4">
    <cellStyle name="Normal 2" xfId="1"/>
    <cellStyle name="Гиперссылка" xfId="3" builtinId="8"/>
    <cellStyle name="Обычный" xfId="0" builtinId="0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EXPERIMENT</c:v>
          </c:tx>
          <c:spPr>
            <a:ln w="28575">
              <a:noFill/>
            </a:ln>
          </c:spPr>
          <c:marker>
            <c:symbol val="x"/>
            <c:size val="5"/>
          </c:marker>
          <c:xVal>
            <c:numRef>
              <c:f>Лист6!$A$21:$A$43</c:f>
              <c:numCache>
                <c:formatCode>General</c:formatCode>
                <c:ptCount val="23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1.0999999999999999E-2</c:v>
                </c:pt>
                <c:pt idx="5">
                  <c:v>1.7000000000000001E-2</c:v>
                </c:pt>
                <c:pt idx="6">
                  <c:v>2.4E-2</c:v>
                </c:pt>
                <c:pt idx="7">
                  <c:v>2.9000000000000001E-2</c:v>
                </c:pt>
                <c:pt idx="8">
                  <c:v>3.5000000000000003E-2</c:v>
                </c:pt>
                <c:pt idx="9">
                  <c:v>0</c:v>
                </c:pt>
                <c:pt idx="10">
                  <c:v>9.4E-2</c:v>
                </c:pt>
                <c:pt idx="11">
                  <c:v>0.183</c:v>
                </c:pt>
                <c:pt idx="12">
                  <c:v>0.26900000000000002</c:v>
                </c:pt>
                <c:pt idx="13">
                  <c:v>0.34200000000000003</c:v>
                </c:pt>
                <c:pt idx="14">
                  <c:v>0.46600000000000003</c:v>
                </c:pt>
                <c:pt idx="15">
                  <c:v>0.60599999999999998</c:v>
                </c:pt>
                <c:pt idx="16">
                  <c:v>0.70399999999999996</c:v>
                </c:pt>
                <c:pt idx="17">
                  <c:v>0.79200000000000004</c:v>
                </c:pt>
              </c:numCache>
            </c:numRef>
          </c:xVal>
          <c:yVal>
            <c:numRef>
              <c:f>Лист6!$C$21:$C$44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0.99099999999999999</c:v>
                </c:pt>
                <c:pt idx="10">
                  <c:v>0.89500000000000002</c:v>
                </c:pt>
                <c:pt idx="11">
                  <c:v>0.80200000000000005</c:v>
                </c:pt>
                <c:pt idx="12">
                  <c:v>0.71299999999999997</c:v>
                </c:pt>
                <c:pt idx="13">
                  <c:v>0.63700000000000001</c:v>
                </c:pt>
                <c:pt idx="14">
                  <c:v>0.5109999999999999</c:v>
                </c:pt>
                <c:pt idx="15">
                  <c:v>0.36699999999999999</c:v>
                </c:pt>
                <c:pt idx="16">
                  <c:v>0.26500000000000001</c:v>
                </c:pt>
                <c:pt idx="17">
                  <c:v>0.17199999999999993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66496"/>
        <c:axId val="153068672"/>
      </c:scatterChart>
      <c:scatterChart>
        <c:scatterStyle val="smoothMarker"/>
        <c:varyColors val="0"/>
        <c:ser>
          <c:idx val="1"/>
          <c:order val="1"/>
          <c:tx>
            <c:v>"</c:v>
          </c:tx>
          <c:spPr>
            <a:ln w="3175"/>
          </c:spPr>
          <c:marker>
            <c:symbol val="none"/>
          </c:marker>
          <c:xVal>
            <c:numRef>
              <c:f>Лист6!$E$21:$E$22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Лист6!$F$21:$F$22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Лист6!$H$16:$H$17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Лист6!$J$16:$J$17</c:f>
              <c:numCache>
                <c:formatCode>General</c:formatCode>
                <c:ptCount val="2"/>
                <c:pt idx="0">
                  <c:v>0</c:v>
                </c:pt>
                <c:pt idx="1">
                  <c:v>0.99099999999999999</c:v>
                </c:pt>
              </c:numCache>
            </c:numRef>
          </c:yVal>
          <c:smooth val="1"/>
        </c:ser>
        <c:ser>
          <c:idx val="3"/>
          <c:order val="3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Лист6!$H$18:$H$19</c:f>
              <c:numCache>
                <c:formatCode>General</c:formatCode>
                <c:ptCount val="2"/>
                <c:pt idx="0">
                  <c:v>3.0000000000000001E-3</c:v>
                </c:pt>
                <c:pt idx="1">
                  <c:v>9.4E-2</c:v>
                </c:pt>
              </c:numCache>
            </c:numRef>
          </c:xVal>
          <c:yVal>
            <c:numRef>
              <c:f>Лист6!$J$18:$J$19</c:f>
              <c:numCache>
                <c:formatCode>General</c:formatCode>
                <c:ptCount val="2"/>
                <c:pt idx="0">
                  <c:v>0</c:v>
                </c:pt>
                <c:pt idx="1">
                  <c:v>0.89500000000000002</c:v>
                </c:pt>
              </c:numCache>
            </c:numRef>
          </c:yVal>
          <c:smooth val="1"/>
        </c:ser>
        <c:ser>
          <c:idx val="4"/>
          <c:order val="4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Лист6!$H$20:$H$21</c:f>
              <c:numCache>
                <c:formatCode>General</c:formatCode>
                <c:ptCount val="2"/>
                <c:pt idx="0">
                  <c:v>5.0000000000000001E-3</c:v>
                </c:pt>
                <c:pt idx="1">
                  <c:v>0.183</c:v>
                </c:pt>
              </c:numCache>
            </c:numRef>
          </c:xVal>
          <c:yVal>
            <c:numRef>
              <c:f>Лист6!$J$20:$J$21</c:f>
              <c:numCache>
                <c:formatCode>General</c:formatCode>
                <c:ptCount val="2"/>
                <c:pt idx="0">
                  <c:v>0</c:v>
                </c:pt>
                <c:pt idx="1">
                  <c:v>0.80200000000000005</c:v>
                </c:pt>
              </c:numCache>
            </c:numRef>
          </c:yVal>
          <c:smooth val="1"/>
        </c:ser>
        <c:ser>
          <c:idx val="5"/>
          <c:order val="5"/>
          <c:tx>
            <c:v> '</c:v>
          </c:tx>
          <c:spPr>
            <a:ln w="3175"/>
          </c:spPr>
          <c:marker>
            <c:symbol val="none"/>
          </c:marker>
          <c:xVal>
            <c:numRef>
              <c:f>Лист6!$H$22:$H$23</c:f>
              <c:numCache>
                <c:formatCode>General</c:formatCode>
                <c:ptCount val="2"/>
                <c:pt idx="0">
                  <c:v>8.0000000000000002E-3</c:v>
                </c:pt>
                <c:pt idx="1">
                  <c:v>0.26900000000000002</c:v>
                </c:pt>
              </c:numCache>
            </c:numRef>
          </c:xVal>
          <c:yVal>
            <c:numRef>
              <c:f>Лист6!$J$22:$J$23</c:f>
              <c:numCache>
                <c:formatCode>General</c:formatCode>
                <c:ptCount val="2"/>
                <c:pt idx="0">
                  <c:v>0</c:v>
                </c:pt>
                <c:pt idx="1">
                  <c:v>0.71299999999999997</c:v>
                </c:pt>
              </c:numCache>
            </c:numRef>
          </c:yVal>
          <c:smooth val="1"/>
        </c:ser>
        <c:ser>
          <c:idx val="6"/>
          <c:order val="6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Лист6!$H$24:$H$25</c:f>
              <c:numCache>
                <c:formatCode>General</c:formatCode>
                <c:ptCount val="2"/>
                <c:pt idx="0">
                  <c:v>1.0999999999999999E-2</c:v>
                </c:pt>
                <c:pt idx="1">
                  <c:v>0.34200000000000003</c:v>
                </c:pt>
              </c:numCache>
            </c:numRef>
          </c:xVal>
          <c:yVal>
            <c:numRef>
              <c:f>Лист6!$J$24:$J$25</c:f>
              <c:numCache>
                <c:formatCode>General</c:formatCode>
                <c:ptCount val="2"/>
                <c:pt idx="0">
                  <c:v>0</c:v>
                </c:pt>
                <c:pt idx="1">
                  <c:v>0.63700000000000001</c:v>
                </c:pt>
              </c:numCache>
            </c:numRef>
          </c:yVal>
          <c:smooth val="1"/>
        </c:ser>
        <c:ser>
          <c:idx val="7"/>
          <c:order val="7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Лист6!$H$26:$H$27</c:f>
              <c:numCache>
                <c:formatCode>General</c:formatCode>
                <c:ptCount val="2"/>
                <c:pt idx="0">
                  <c:v>1.7000000000000001E-2</c:v>
                </c:pt>
                <c:pt idx="1">
                  <c:v>0.46600000000000003</c:v>
                </c:pt>
              </c:numCache>
            </c:numRef>
          </c:xVal>
          <c:yVal>
            <c:numRef>
              <c:f>Лист6!$J$26:$J$27</c:f>
              <c:numCache>
                <c:formatCode>General</c:formatCode>
                <c:ptCount val="2"/>
                <c:pt idx="0">
                  <c:v>0</c:v>
                </c:pt>
                <c:pt idx="1">
                  <c:v>0.5109999999999999</c:v>
                </c:pt>
              </c:numCache>
            </c:numRef>
          </c:yVal>
          <c:smooth val="1"/>
        </c:ser>
        <c:ser>
          <c:idx val="8"/>
          <c:order val="8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Лист6!$H$28:$H$29</c:f>
              <c:numCache>
                <c:formatCode>General</c:formatCode>
                <c:ptCount val="2"/>
                <c:pt idx="0">
                  <c:v>2.4E-2</c:v>
                </c:pt>
                <c:pt idx="1">
                  <c:v>0.60599999999999998</c:v>
                </c:pt>
              </c:numCache>
            </c:numRef>
          </c:xVal>
          <c:yVal>
            <c:numRef>
              <c:f>Лист6!$J$28:$J$29</c:f>
              <c:numCache>
                <c:formatCode>General</c:formatCode>
                <c:ptCount val="2"/>
                <c:pt idx="0">
                  <c:v>0</c:v>
                </c:pt>
                <c:pt idx="1">
                  <c:v>0.36699999999999999</c:v>
                </c:pt>
              </c:numCache>
            </c:numRef>
          </c:yVal>
          <c:smooth val="1"/>
        </c:ser>
        <c:ser>
          <c:idx val="9"/>
          <c:order val="9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Лист6!$H$30:$H$31</c:f>
              <c:numCache>
                <c:formatCode>General</c:formatCode>
                <c:ptCount val="2"/>
                <c:pt idx="0">
                  <c:v>2.9000000000000001E-2</c:v>
                </c:pt>
                <c:pt idx="1">
                  <c:v>0.70399999999999996</c:v>
                </c:pt>
              </c:numCache>
            </c:numRef>
          </c:xVal>
          <c:yVal>
            <c:numRef>
              <c:f>Лист6!$J$30:$J$31</c:f>
              <c:numCache>
                <c:formatCode>General</c:formatCode>
                <c:ptCount val="2"/>
                <c:pt idx="0">
                  <c:v>0</c:v>
                </c:pt>
                <c:pt idx="1">
                  <c:v>0.26500000000000001</c:v>
                </c:pt>
              </c:numCache>
            </c:numRef>
          </c:yVal>
          <c:smooth val="1"/>
        </c:ser>
        <c:ser>
          <c:idx val="10"/>
          <c:order val="10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Лист6!$H$32:$H$33</c:f>
              <c:numCache>
                <c:formatCode>General</c:formatCode>
                <c:ptCount val="2"/>
                <c:pt idx="0">
                  <c:v>3.5000000000000003E-2</c:v>
                </c:pt>
                <c:pt idx="1">
                  <c:v>0.79200000000000004</c:v>
                </c:pt>
              </c:numCache>
            </c:numRef>
          </c:xVal>
          <c:yVal>
            <c:numRef>
              <c:f>Лист6!$J$32:$J$33</c:f>
              <c:numCache>
                <c:formatCode>General</c:formatCode>
                <c:ptCount val="2"/>
                <c:pt idx="0">
                  <c:v>0</c:v>
                </c:pt>
                <c:pt idx="1">
                  <c:v>0.17199999999999993</c:v>
                </c:pt>
              </c:numCache>
            </c:numRef>
          </c:yVal>
          <c:smooth val="1"/>
        </c:ser>
        <c:ser>
          <c:idx val="11"/>
          <c:order val="11"/>
          <c:tx>
            <c:v>NRTL EXT</c:v>
          </c:tx>
          <c:spPr>
            <a:ln w="3175">
              <a:prstDash val="dash"/>
            </a:ln>
          </c:spPr>
          <c:marker>
            <c:symbol val="none"/>
          </c:marker>
          <c:xVal>
            <c:numRef>
              <c:f>Лист6!$AK$59:$AK$67</c:f>
              <c:numCache>
                <c:formatCode>0.000</c:formatCode>
                <c:ptCount val="9"/>
                <c:pt idx="0">
                  <c:v>0</c:v>
                </c:pt>
                <c:pt idx="1">
                  <c:v>0.11092550417646074</c:v>
                </c:pt>
                <c:pt idx="2">
                  <c:v>0.18270760482941339</c:v>
                </c:pt>
                <c:pt idx="3">
                  <c:v>0.27535492067157064</c:v>
                </c:pt>
                <c:pt idx="4">
                  <c:v>0.35464229874240649</c:v>
                </c:pt>
                <c:pt idx="5">
                  <c:v>0.48319242331814299</c:v>
                </c:pt>
                <c:pt idx="6">
                  <c:v>0.61185980153852326</c:v>
                </c:pt>
                <c:pt idx="7">
                  <c:v>0.70451590065264824</c:v>
                </c:pt>
                <c:pt idx="8">
                  <c:v>0.79456137970766949</c:v>
                </c:pt>
              </c:numCache>
            </c:numRef>
          </c:xVal>
          <c:yVal>
            <c:numRef>
              <c:f>Лист6!$AL$59:$AL$67</c:f>
              <c:numCache>
                <c:formatCode>0.000</c:formatCode>
                <c:ptCount val="9"/>
                <c:pt idx="0">
                  <c:v>0.99130938022083459</c:v>
                </c:pt>
                <c:pt idx="1">
                  <c:v>0.87832613516180091</c:v>
                </c:pt>
                <c:pt idx="2">
                  <c:v>0.80262700244141094</c:v>
                </c:pt>
                <c:pt idx="3">
                  <c:v>0.70683774254255904</c:v>
                </c:pt>
                <c:pt idx="4">
                  <c:v>0.62437657751604037</c:v>
                </c:pt>
                <c:pt idx="5">
                  <c:v>0.49388246939664088</c:v>
                </c:pt>
                <c:pt idx="6">
                  <c:v>0.36129993138564653</c:v>
                </c:pt>
                <c:pt idx="7">
                  <c:v>0.26461127186954625</c:v>
                </c:pt>
                <c:pt idx="8">
                  <c:v>0.16922953107522365</c:v>
                </c:pt>
              </c:numCache>
            </c:numRef>
          </c:yVal>
          <c:smooth val="1"/>
        </c:ser>
        <c:ser>
          <c:idx val="12"/>
          <c:order val="12"/>
          <c:tx>
            <c:v>NRTL RAF</c:v>
          </c:tx>
          <c:spPr>
            <a:ln w="3175">
              <a:prstDash val="dash"/>
            </a:ln>
          </c:spPr>
          <c:marker>
            <c:symbol val="none"/>
          </c:marker>
          <c:xVal>
            <c:numRef>
              <c:f>Лист6!$AK$68:$AK$76</c:f>
              <c:numCache>
                <c:formatCode>0.000</c:formatCode>
                <c:ptCount val="9"/>
                <c:pt idx="0">
                  <c:v>0</c:v>
                </c:pt>
                <c:pt idx="1">
                  <c:v>2.5422467276001131E-3</c:v>
                </c:pt>
                <c:pt idx="2">
                  <c:v>5.0080017241444213E-3</c:v>
                </c:pt>
                <c:pt idx="3">
                  <c:v>7.81536787049757E-3</c:v>
                </c:pt>
                <c:pt idx="4">
                  <c:v>1.0607871687445041E-2</c:v>
                </c:pt>
                <c:pt idx="5">
                  <c:v>1.6395124628814817E-2</c:v>
                </c:pt>
                <c:pt idx="6">
                  <c:v>2.3770151206908955E-2</c:v>
                </c:pt>
                <c:pt idx="7">
                  <c:v>2.8978763972661314E-2</c:v>
                </c:pt>
                <c:pt idx="8">
                  <c:v>3.4887172606096951E-2</c:v>
                </c:pt>
              </c:numCache>
            </c:numRef>
          </c:xVal>
          <c:yVal>
            <c:numRef>
              <c:f>Лист6!$AL$68:$AL$76</c:f>
              <c:numCache>
                <c:formatCode>0.000</c:formatCode>
                <c:ptCount val="9"/>
                <c:pt idx="0">
                  <c:v>8.9249639653457831E-5</c:v>
                </c:pt>
                <c:pt idx="1">
                  <c:v>1.0138173682663864E-4</c:v>
                </c:pt>
                <c:pt idx="2">
                  <c:v>1.066442267485035E-4</c:v>
                </c:pt>
                <c:pt idx="3">
                  <c:v>1.194731602990549E-4</c:v>
                </c:pt>
                <c:pt idx="4">
                  <c:v>1.3406193142952023E-4</c:v>
                </c:pt>
                <c:pt idx="5">
                  <c:v>1.6803005439688308E-4</c:v>
                </c:pt>
                <c:pt idx="6">
                  <c:v>2.1403856548524389E-4</c:v>
                </c:pt>
                <c:pt idx="7">
                  <c:v>2.5858561748180866E-4</c:v>
                </c:pt>
                <c:pt idx="8">
                  <c:v>3.4537958955439986E-4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Лист6!$AR$61</c:f>
              <c:strCache>
                <c:ptCount val="1"/>
                <c:pt idx="0">
                  <c:v>konoda 1</c:v>
                </c:pt>
              </c:strCache>
            </c:strRef>
          </c:tx>
          <c:marker>
            <c:symbol val="none"/>
          </c:marker>
          <c:xVal>
            <c:numRef>
              <c:f>Лист6!$AR$62:$AR$63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Лист6!$AS$62:$AS$63</c:f>
              <c:numCache>
                <c:formatCode>0.000</c:formatCode>
                <c:ptCount val="2"/>
                <c:pt idx="0">
                  <c:v>0.99130938022083459</c:v>
                </c:pt>
                <c:pt idx="1">
                  <c:v>8.9249639653457831E-5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Лист6!$AR$64</c:f>
              <c:strCache>
                <c:ptCount val="1"/>
                <c:pt idx="0">
                  <c:v>konoda 2</c:v>
                </c:pt>
              </c:strCache>
            </c:strRef>
          </c:tx>
          <c:spPr>
            <a:ln w="28575">
              <a:prstDash val="lgDash"/>
            </a:ln>
          </c:spPr>
          <c:marker>
            <c:symbol val="none"/>
          </c:marker>
          <c:xVal>
            <c:numRef>
              <c:f>Лист6!$AR$65:$AR$66</c:f>
              <c:numCache>
                <c:formatCode>0.000</c:formatCode>
                <c:ptCount val="2"/>
                <c:pt idx="0">
                  <c:v>0.11092550417646074</c:v>
                </c:pt>
                <c:pt idx="1">
                  <c:v>2.5422467276001131E-3</c:v>
                </c:pt>
              </c:numCache>
            </c:numRef>
          </c:xVal>
          <c:yVal>
            <c:numRef>
              <c:f>Лист6!$AS$65:$AS$66</c:f>
              <c:numCache>
                <c:formatCode>0.000</c:formatCode>
                <c:ptCount val="2"/>
                <c:pt idx="0">
                  <c:v>0.87832613516180091</c:v>
                </c:pt>
                <c:pt idx="1">
                  <c:v>1.0138173682663864E-4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Лист6!$AR$67</c:f>
              <c:strCache>
                <c:ptCount val="1"/>
                <c:pt idx="0">
                  <c:v>konoda 3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Лист6!$AR$68:$AR$69</c:f>
              <c:numCache>
                <c:formatCode>0.000</c:formatCode>
                <c:ptCount val="2"/>
                <c:pt idx="0">
                  <c:v>0.18270760482941339</c:v>
                </c:pt>
                <c:pt idx="1">
                  <c:v>5.0080017241444213E-3</c:v>
                </c:pt>
              </c:numCache>
            </c:numRef>
          </c:xVal>
          <c:yVal>
            <c:numRef>
              <c:f>Лист6!$AS$68:$AS$69</c:f>
              <c:numCache>
                <c:formatCode>0.000</c:formatCode>
                <c:ptCount val="2"/>
                <c:pt idx="0">
                  <c:v>0.80262700244141094</c:v>
                </c:pt>
                <c:pt idx="1">
                  <c:v>1.066442267485035E-4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Лист6!$AR$70</c:f>
              <c:strCache>
                <c:ptCount val="1"/>
                <c:pt idx="0">
                  <c:v>konoda 4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Лист6!$AR$71:$AR$72</c:f>
              <c:numCache>
                <c:formatCode>0.000</c:formatCode>
                <c:ptCount val="2"/>
                <c:pt idx="0">
                  <c:v>0.27535492067157064</c:v>
                </c:pt>
                <c:pt idx="1">
                  <c:v>7.81536787049757E-3</c:v>
                </c:pt>
              </c:numCache>
            </c:numRef>
          </c:xVal>
          <c:yVal>
            <c:numRef>
              <c:f>Лист6!$AS$71:$AS$72</c:f>
              <c:numCache>
                <c:formatCode>0.000</c:formatCode>
                <c:ptCount val="2"/>
                <c:pt idx="0">
                  <c:v>0.70683774254255904</c:v>
                </c:pt>
                <c:pt idx="1">
                  <c:v>1.194731602990549E-4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Лист6!$AU$61</c:f>
              <c:strCache>
                <c:ptCount val="1"/>
                <c:pt idx="0">
                  <c:v>konoda 5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Лист6!$AU$62:$AU$63</c:f>
              <c:numCache>
                <c:formatCode>0.000</c:formatCode>
                <c:ptCount val="2"/>
                <c:pt idx="0">
                  <c:v>0.35464229874240649</c:v>
                </c:pt>
                <c:pt idx="1">
                  <c:v>1.0607871687445041E-2</c:v>
                </c:pt>
              </c:numCache>
            </c:numRef>
          </c:xVal>
          <c:yVal>
            <c:numRef>
              <c:f>Лист6!$AV$62:$AV$63</c:f>
              <c:numCache>
                <c:formatCode>0.000</c:formatCode>
                <c:ptCount val="2"/>
                <c:pt idx="0">
                  <c:v>0.62437657751604037</c:v>
                </c:pt>
                <c:pt idx="1">
                  <c:v>1.3406193142952023E-4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Лист6!$AU$64</c:f>
              <c:strCache>
                <c:ptCount val="1"/>
                <c:pt idx="0">
                  <c:v>konoda 6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Лист6!$AU$65:$AU$66</c:f>
              <c:numCache>
                <c:formatCode>0.000</c:formatCode>
                <c:ptCount val="2"/>
                <c:pt idx="0">
                  <c:v>0.48319242331814299</c:v>
                </c:pt>
                <c:pt idx="1">
                  <c:v>1.6395124628814817E-2</c:v>
                </c:pt>
              </c:numCache>
            </c:numRef>
          </c:xVal>
          <c:yVal>
            <c:numRef>
              <c:f>Лист6!$AV$65:$AV$66</c:f>
              <c:numCache>
                <c:formatCode>0.000</c:formatCode>
                <c:ptCount val="2"/>
                <c:pt idx="0">
                  <c:v>0.49388246939664088</c:v>
                </c:pt>
                <c:pt idx="1">
                  <c:v>1.6803005439688308E-4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Лист6!$AU$67</c:f>
              <c:strCache>
                <c:ptCount val="1"/>
                <c:pt idx="0">
                  <c:v>konoda 7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Лист6!$AU$68:$AU$69</c:f>
              <c:numCache>
                <c:formatCode>0.000</c:formatCode>
                <c:ptCount val="2"/>
                <c:pt idx="0">
                  <c:v>0.61185980153852326</c:v>
                </c:pt>
                <c:pt idx="1">
                  <c:v>2.3770151206908955E-2</c:v>
                </c:pt>
              </c:numCache>
            </c:numRef>
          </c:xVal>
          <c:yVal>
            <c:numRef>
              <c:f>Лист6!$AV$68:$AV$69</c:f>
              <c:numCache>
                <c:formatCode>0.000</c:formatCode>
                <c:ptCount val="2"/>
                <c:pt idx="0">
                  <c:v>0.36129993138564653</c:v>
                </c:pt>
                <c:pt idx="1">
                  <c:v>2.1403856548524389E-4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Лист6!$AU$70</c:f>
              <c:strCache>
                <c:ptCount val="1"/>
                <c:pt idx="0">
                  <c:v>konoda 8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Лист6!$AU$71:$AU$72</c:f>
              <c:numCache>
                <c:formatCode>0.000</c:formatCode>
                <c:ptCount val="2"/>
                <c:pt idx="0">
                  <c:v>0.70451590065264824</c:v>
                </c:pt>
                <c:pt idx="1">
                  <c:v>2.8978763972661314E-2</c:v>
                </c:pt>
              </c:numCache>
            </c:numRef>
          </c:xVal>
          <c:yVal>
            <c:numRef>
              <c:f>Лист6!$AV$71:$AV$72</c:f>
              <c:numCache>
                <c:formatCode>0.000</c:formatCode>
                <c:ptCount val="2"/>
                <c:pt idx="0">
                  <c:v>0.26461127186954625</c:v>
                </c:pt>
                <c:pt idx="1">
                  <c:v>2.5858561748180866E-4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Лист6!$AX$61</c:f>
              <c:strCache>
                <c:ptCount val="1"/>
                <c:pt idx="0">
                  <c:v>konoda 9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Лист6!$AX$62:$AX$63</c:f>
              <c:numCache>
                <c:formatCode>0.000</c:formatCode>
                <c:ptCount val="2"/>
                <c:pt idx="0">
                  <c:v>0.79456137970766949</c:v>
                </c:pt>
                <c:pt idx="1">
                  <c:v>3.4887172606096951E-2</c:v>
                </c:pt>
              </c:numCache>
            </c:numRef>
          </c:xVal>
          <c:yVal>
            <c:numRef>
              <c:f>Лист6!$AY$62:$AY$63</c:f>
              <c:numCache>
                <c:formatCode>0.000</c:formatCode>
                <c:ptCount val="2"/>
                <c:pt idx="0">
                  <c:v>0.16922953107522365</c:v>
                </c:pt>
                <c:pt idx="1">
                  <c:v>3.4537958955439986E-4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66496"/>
        <c:axId val="153068672"/>
      </c:scatterChart>
      <c:valAx>
        <c:axId val="153066496"/>
        <c:scaling>
          <c:orientation val="minMax"/>
          <c:max val="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 Methanol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068672"/>
        <c:crosses val="autoZero"/>
        <c:crossBetween val="midCat"/>
      </c:valAx>
      <c:valAx>
        <c:axId val="153068672"/>
        <c:scaling>
          <c:orientation val="minMax"/>
          <c:max val="1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x3 [EMIM][DEP]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066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Лист6!$A$21:$A$29</c:f>
              <c:numCache>
                <c:formatCode>General</c:formatCode>
                <c:ptCount val="9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1.0999999999999999E-2</c:v>
                </c:pt>
                <c:pt idx="5">
                  <c:v>1.7000000000000001E-2</c:v>
                </c:pt>
                <c:pt idx="6">
                  <c:v>2.4E-2</c:v>
                </c:pt>
                <c:pt idx="7">
                  <c:v>2.9000000000000001E-2</c:v>
                </c:pt>
                <c:pt idx="8">
                  <c:v>3.5000000000000003E-2</c:v>
                </c:pt>
              </c:numCache>
            </c:numRef>
          </c:xVal>
          <c:yVal>
            <c:numRef>
              <c:f>Лист6!$A$30:$A$38</c:f>
              <c:numCache>
                <c:formatCode>General</c:formatCode>
                <c:ptCount val="9"/>
                <c:pt idx="0">
                  <c:v>0</c:v>
                </c:pt>
                <c:pt idx="1">
                  <c:v>9.4E-2</c:v>
                </c:pt>
                <c:pt idx="2">
                  <c:v>0.183</c:v>
                </c:pt>
                <c:pt idx="3">
                  <c:v>0.26900000000000002</c:v>
                </c:pt>
                <c:pt idx="4">
                  <c:v>0.34200000000000003</c:v>
                </c:pt>
                <c:pt idx="5">
                  <c:v>0.46600000000000003</c:v>
                </c:pt>
                <c:pt idx="6">
                  <c:v>0.60599999999999998</c:v>
                </c:pt>
                <c:pt idx="7">
                  <c:v>0.70399999999999996</c:v>
                </c:pt>
                <c:pt idx="8">
                  <c:v>0.79200000000000004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87232"/>
        <c:axId val="153497600"/>
      </c:scatterChart>
      <c:scatterChart>
        <c:scatterStyle val="smoothMarker"/>
        <c:varyColors val="0"/>
        <c:ser>
          <c:idx val="1"/>
          <c:order val="1"/>
          <c:tx>
            <c:v>'</c:v>
          </c:tx>
          <c:marker>
            <c:symbol val="none"/>
          </c:marker>
          <c:xVal>
            <c:numRef>
              <c:f>Лист6!$E$23:$E$24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Лист6!$F$23:$F$25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ser>
          <c:idx val="2"/>
          <c:order val="2"/>
          <c:tx>
            <c:v>NRTL</c:v>
          </c:tx>
          <c:spPr>
            <a:ln w="3175"/>
          </c:spPr>
          <c:marker>
            <c:symbol val="none"/>
          </c:marker>
          <c:xVal>
            <c:numRef>
              <c:f>Лист6!$AK$68:$AK$76</c:f>
              <c:numCache>
                <c:formatCode>0.000</c:formatCode>
                <c:ptCount val="9"/>
                <c:pt idx="0">
                  <c:v>0</c:v>
                </c:pt>
                <c:pt idx="1">
                  <c:v>2.5422467276001131E-3</c:v>
                </c:pt>
                <c:pt idx="2">
                  <c:v>5.0080017241444213E-3</c:v>
                </c:pt>
                <c:pt idx="3">
                  <c:v>7.81536787049757E-3</c:v>
                </c:pt>
                <c:pt idx="4">
                  <c:v>1.0607871687445041E-2</c:v>
                </c:pt>
                <c:pt idx="5">
                  <c:v>1.6395124628814817E-2</c:v>
                </c:pt>
                <c:pt idx="6">
                  <c:v>2.3770151206908955E-2</c:v>
                </c:pt>
                <c:pt idx="7">
                  <c:v>2.8978763972661314E-2</c:v>
                </c:pt>
                <c:pt idx="8">
                  <c:v>3.4887172606096951E-2</c:v>
                </c:pt>
              </c:numCache>
            </c:numRef>
          </c:xVal>
          <c:yVal>
            <c:numRef>
              <c:f>Лист6!$AK$59:$AK$67</c:f>
              <c:numCache>
                <c:formatCode>0.000</c:formatCode>
                <c:ptCount val="9"/>
                <c:pt idx="0">
                  <c:v>0</c:v>
                </c:pt>
                <c:pt idx="1">
                  <c:v>0.11092550417646074</c:v>
                </c:pt>
                <c:pt idx="2">
                  <c:v>0.18270760482941339</c:v>
                </c:pt>
                <c:pt idx="3">
                  <c:v>0.27535492067157064</c:v>
                </c:pt>
                <c:pt idx="4">
                  <c:v>0.35464229874240649</c:v>
                </c:pt>
                <c:pt idx="5">
                  <c:v>0.48319242331814299</c:v>
                </c:pt>
                <c:pt idx="6">
                  <c:v>0.61185980153852326</c:v>
                </c:pt>
                <c:pt idx="7">
                  <c:v>0.70451590065264824</c:v>
                </c:pt>
                <c:pt idx="8">
                  <c:v>0.79456137970766949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87232"/>
        <c:axId val="153497600"/>
      </c:scatterChart>
      <c:valAx>
        <c:axId val="153487232"/>
        <c:scaling>
          <c:orientation val="minMax"/>
          <c:max val="4.0000000000000008E-2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rafinat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497600"/>
        <c:crosses val="autoZero"/>
        <c:crossBetween val="midCat"/>
      </c:valAx>
      <c:valAx>
        <c:axId val="1534976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extrakt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487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NRTL</c:v>
          </c:tx>
          <c:spPr>
            <a:ln w="28575">
              <a:noFill/>
            </a:ln>
          </c:spPr>
          <c:xVal>
            <c:numRef>
              <c:f>Лист1!$AK$5:$AK$22</c:f>
              <c:numCache>
                <c:formatCode>0.000</c:formatCode>
                <c:ptCount val="18"/>
                <c:pt idx="0">
                  <c:v>0</c:v>
                </c:pt>
                <c:pt idx="1">
                  <c:v>0.11092550417646074</c:v>
                </c:pt>
                <c:pt idx="2">
                  <c:v>0.18270760482941339</c:v>
                </c:pt>
                <c:pt idx="3">
                  <c:v>0.27535492067157064</c:v>
                </c:pt>
                <c:pt idx="4">
                  <c:v>0.35464229874240649</c:v>
                </c:pt>
                <c:pt idx="5">
                  <c:v>0.48319242331814322</c:v>
                </c:pt>
                <c:pt idx="6">
                  <c:v>0.61185980153852326</c:v>
                </c:pt>
                <c:pt idx="7">
                  <c:v>0.70451590065264857</c:v>
                </c:pt>
                <c:pt idx="8">
                  <c:v>0.79456137970766949</c:v>
                </c:pt>
                <c:pt idx="9">
                  <c:v>0</c:v>
                </c:pt>
                <c:pt idx="10">
                  <c:v>2.5422467276001131E-3</c:v>
                </c:pt>
                <c:pt idx="11">
                  <c:v>5.0080017241444213E-3</c:v>
                </c:pt>
                <c:pt idx="12">
                  <c:v>7.81536787049757E-3</c:v>
                </c:pt>
                <c:pt idx="13">
                  <c:v>1.0607871687445041E-2</c:v>
                </c:pt>
                <c:pt idx="14">
                  <c:v>1.639512462881481E-2</c:v>
                </c:pt>
                <c:pt idx="15">
                  <c:v>2.3770151206908955E-2</c:v>
                </c:pt>
                <c:pt idx="16">
                  <c:v>2.8978763972661303E-2</c:v>
                </c:pt>
                <c:pt idx="17">
                  <c:v>3.4887172606096951E-2</c:v>
                </c:pt>
              </c:numCache>
            </c:numRef>
          </c:xVal>
          <c:yVal>
            <c:numRef>
              <c:f>Лист1!$AL$5:$AL$22</c:f>
              <c:numCache>
                <c:formatCode>0.000</c:formatCode>
                <c:ptCount val="18"/>
                <c:pt idx="0">
                  <c:v>0.99130938022083459</c:v>
                </c:pt>
                <c:pt idx="1">
                  <c:v>0.87832613516180091</c:v>
                </c:pt>
                <c:pt idx="2">
                  <c:v>0.80262700244141094</c:v>
                </c:pt>
                <c:pt idx="3">
                  <c:v>0.70683774254255904</c:v>
                </c:pt>
                <c:pt idx="4">
                  <c:v>0.62437657751604037</c:v>
                </c:pt>
                <c:pt idx="5">
                  <c:v>0.49388246939664066</c:v>
                </c:pt>
                <c:pt idx="6">
                  <c:v>0.36129993138564653</c:v>
                </c:pt>
                <c:pt idx="7">
                  <c:v>0.26461127186954592</c:v>
                </c:pt>
                <c:pt idx="8">
                  <c:v>0.16922953107522365</c:v>
                </c:pt>
                <c:pt idx="9" formatCode="0.00E+00">
                  <c:v>8.9249639653457831E-5</c:v>
                </c:pt>
                <c:pt idx="10" formatCode="0.00E+00">
                  <c:v>1.0138173682663864E-4</c:v>
                </c:pt>
                <c:pt idx="11" formatCode="0.00E+00">
                  <c:v>1.066442267485035E-4</c:v>
                </c:pt>
                <c:pt idx="12" formatCode="0.00E+00">
                  <c:v>1.194731602990549E-4</c:v>
                </c:pt>
                <c:pt idx="13" formatCode="0.00E+00">
                  <c:v>1.3406193142952023E-4</c:v>
                </c:pt>
                <c:pt idx="14" formatCode="0.00E+00">
                  <c:v>1.6803005439688308E-4</c:v>
                </c:pt>
                <c:pt idx="15" formatCode="0.00E+00">
                  <c:v>2.1403856548524389E-4</c:v>
                </c:pt>
                <c:pt idx="16" formatCode="0.00E+00">
                  <c:v>2.5858561748180866E-4</c:v>
                </c:pt>
                <c:pt idx="17" formatCode="0.00E+00">
                  <c:v>3.4537958955439986E-4</c:v>
                </c:pt>
              </c:numCache>
            </c:numRef>
          </c:yVal>
          <c:smooth val="0"/>
        </c:ser>
        <c:ser>
          <c:idx val="1"/>
          <c:order val="1"/>
          <c:tx>
            <c:v>Exp</c:v>
          </c:tx>
          <c:spPr>
            <a:ln w="28575">
              <a:noFill/>
            </a:ln>
          </c:spPr>
          <c:xVal>
            <c:numRef>
              <c:f>Лист1!$I$5:$I$22</c:f>
              <c:numCache>
                <c:formatCode>General</c:formatCode>
                <c:ptCount val="18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1.0999999999999999E-2</c:v>
                </c:pt>
                <c:pt idx="5">
                  <c:v>1.7000000000000001E-2</c:v>
                </c:pt>
                <c:pt idx="6">
                  <c:v>2.4E-2</c:v>
                </c:pt>
                <c:pt idx="7">
                  <c:v>2.9000000000000001E-2</c:v>
                </c:pt>
                <c:pt idx="8">
                  <c:v>3.5000000000000003E-2</c:v>
                </c:pt>
                <c:pt idx="9">
                  <c:v>0</c:v>
                </c:pt>
                <c:pt idx="10">
                  <c:v>9.4E-2</c:v>
                </c:pt>
                <c:pt idx="11">
                  <c:v>0.183</c:v>
                </c:pt>
                <c:pt idx="12">
                  <c:v>0.26900000000000002</c:v>
                </c:pt>
                <c:pt idx="13">
                  <c:v>0.34200000000000003</c:v>
                </c:pt>
                <c:pt idx="14">
                  <c:v>0.46600000000000003</c:v>
                </c:pt>
                <c:pt idx="15">
                  <c:v>0.60599999999999998</c:v>
                </c:pt>
                <c:pt idx="16">
                  <c:v>0.70399999999999996</c:v>
                </c:pt>
                <c:pt idx="17">
                  <c:v>0.79200000000000004</c:v>
                </c:pt>
              </c:numCache>
            </c:numRef>
          </c:xVal>
          <c:yVal>
            <c:numRef>
              <c:f>Лист1!$J$5:$J$22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0.99099999999999999</c:v>
                </c:pt>
                <c:pt idx="10">
                  <c:v>0.89500000000000002</c:v>
                </c:pt>
                <c:pt idx="11">
                  <c:v>0.80200000000000005</c:v>
                </c:pt>
                <c:pt idx="12">
                  <c:v>0.71299999999999997</c:v>
                </c:pt>
                <c:pt idx="13">
                  <c:v>0.63700000000000001</c:v>
                </c:pt>
                <c:pt idx="14">
                  <c:v>0.5109999999999999</c:v>
                </c:pt>
                <c:pt idx="15">
                  <c:v>0.36699999999999999</c:v>
                </c:pt>
                <c:pt idx="16">
                  <c:v>0.26500000000000001</c:v>
                </c:pt>
                <c:pt idx="17">
                  <c:v>0.17199999999999993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66528"/>
        <c:axId val="153368064"/>
      </c:scatterChart>
      <c:valAx>
        <c:axId val="153366528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153368064"/>
        <c:crosses val="autoZero"/>
        <c:crossBetween val="midCat"/>
      </c:valAx>
      <c:valAx>
        <c:axId val="15336806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533665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1</c:v>
              </c:pt>
              <c:pt idx="1">
                <c:v>0</c:v>
              </c:pt>
            </c:numLit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77280"/>
        <c:axId val="152207744"/>
      </c:scatterChar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'LLE calc'!$U$2:$U$19</c:f>
              <c:numCache>
                <c:formatCode>General</c:formatCode>
                <c:ptCount val="18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1.0999999999999999E-2</c:v>
                </c:pt>
                <c:pt idx="5">
                  <c:v>1.7000000000000001E-2</c:v>
                </c:pt>
                <c:pt idx="6">
                  <c:v>2.4E-2</c:v>
                </c:pt>
                <c:pt idx="7">
                  <c:v>2.9000000000000001E-2</c:v>
                </c:pt>
                <c:pt idx="8">
                  <c:v>3.5000000000000003E-2</c:v>
                </c:pt>
                <c:pt idx="9">
                  <c:v>0</c:v>
                </c:pt>
                <c:pt idx="10">
                  <c:v>9.4E-2</c:v>
                </c:pt>
                <c:pt idx="11">
                  <c:v>0.183</c:v>
                </c:pt>
                <c:pt idx="12">
                  <c:v>0.26900000000000002</c:v>
                </c:pt>
                <c:pt idx="13">
                  <c:v>0.34200000000000003</c:v>
                </c:pt>
                <c:pt idx="14">
                  <c:v>0.46600000000000003</c:v>
                </c:pt>
                <c:pt idx="15">
                  <c:v>0.60599999999999998</c:v>
                </c:pt>
                <c:pt idx="16">
                  <c:v>0.70399999999999996</c:v>
                </c:pt>
                <c:pt idx="17">
                  <c:v>0.79200000000000004</c:v>
                </c:pt>
              </c:numCache>
            </c:numRef>
          </c:xVal>
          <c:yVal>
            <c:numRef>
              <c:f>'LLE calc'!$V$2:$V$19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0.99099999999999999</c:v>
                </c:pt>
                <c:pt idx="10">
                  <c:v>0.89500000000000002</c:v>
                </c:pt>
                <c:pt idx="11">
                  <c:v>0.80199999999999994</c:v>
                </c:pt>
                <c:pt idx="12">
                  <c:v>0.71299999999999997</c:v>
                </c:pt>
                <c:pt idx="13">
                  <c:v>0.6369999999999999</c:v>
                </c:pt>
                <c:pt idx="14">
                  <c:v>0.51100000000000001</c:v>
                </c:pt>
                <c:pt idx="15">
                  <c:v>0.36699999999999999</c:v>
                </c:pt>
                <c:pt idx="16">
                  <c:v>0.26500000000000001</c:v>
                </c:pt>
                <c:pt idx="17">
                  <c:v>0.17199999999999996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77280"/>
        <c:axId val="152207744"/>
      </c:scatterChart>
      <c:valAx>
        <c:axId val="15217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207744"/>
        <c:crosses val="autoZero"/>
        <c:crossBetween val="midCat"/>
      </c:valAx>
      <c:valAx>
        <c:axId val="152207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1772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image" Target="../media/image10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3</xdr:row>
      <xdr:rowOff>47626</xdr:rowOff>
    </xdr:from>
    <xdr:to>
      <xdr:col>25</xdr:col>
      <xdr:colOff>180975</xdr:colOff>
      <xdr:row>24</xdr:row>
      <xdr:rowOff>123825</xdr:rowOff>
    </xdr:to>
    <xdr:graphicFrame macro="">
      <xdr:nvGraphicFramePr>
        <xdr:cNvPr id="11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26</xdr:row>
      <xdr:rowOff>61912</xdr:rowOff>
    </xdr:from>
    <xdr:to>
      <xdr:col>18</xdr:col>
      <xdr:colOff>342900</xdr:colOff>
      <xdr:row>40</xdr:row>
      <xdr:rowOff>90487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28575</xdr:colOff>
      <xdr:row>39</xdr:row>
      <xdr:rowOff>154440</xdr:rowOff>
    </xdr:from>
    <xdr:to>
      <xdr:col>7</xdr:col>
      <xdr:colOff>539750</xdr:colOff>
      <xdr:row>55</xdr:row>
      <xdr:rowOff>15247</xdr:rowOff>
    </xdr:to>
    <xdr:pic>
      <xdr:nvPicPr>
        <xdr:cNvPr id="4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5" y="7717290"/>
          <a:ext cx="4486275" cy="29088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5</xdr:col>
      <xdr:colOff>577850</xdr:colOff>
      <xdr:row>73</xdr:row>
      <xdr:rowOff>78721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525500"/>
          <a:ext cx="3943350" cy="1050271"/>
        </a:xfrm>
        <a:prstGeom prst="rect">
          <a:avLst/>
        </a:prstGeom>
      </xdr:spPr>
    </xdr:pic>
    <xdr:clientData/>
  </xdr:twoCellAnchor>
  <xdr:twoCellAnchor editAs="oneCell">
    <xdr:from>
      <xdr:col>41</xdr:col>
      <xdr:colOff>85725</xdr:colOff>
      <xdr:row>52</xdr:row>
      <xdr:rowOff>85725</xdr:rowOff>
    </xdr:from>
    <xdr:to>
      <xdr:col>44</xdr:col>
      <xdr:colOff>552163</xdr:colOff>
      <xdr:row>56</xdr:row>
      <xdr:rowOff>95154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079325" y="10125075"/>
          <a:ext cx="2295238" cy="7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352424</xdr:colOff>
      <xdr:row>4</xdr:row>
      <xdr:rowOff>85726</xdr:rowOff>
    </xdr:from>
    <xdr:to>
      <xdr:col>24</xdr:col>
      <xdr:colOff>504337</xdr:colOff>
      <xdr:row>13</xdr:row>
      <xdr:rowOff>171450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34824" y="876301"/>
          <a:ext cx="3199913" cy="18002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6</xdr:col>
      <xdr:colOff>34925</xdr:colOff>
      <xdr:row>75</xdr:row>
      <xdr:rowOff>190452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4668500"/>
          <a:ext cx="4010025" cy="380952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33</xdr:col>
      <xdr:colOff>18766</xdr:colOff>
      <xdr:row>4</xdr:row>
      <xdr:rowOff>190426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0" y="390525"/>
          <a:ext cx="2276191" cy="590476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38</xdr:col>
      <xdr:colOff>215190</xdr:colOff>
      <xdr:row>12</xdr:row>
      <xdr:rowOff>161762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88000" y="1171575"/>
          <a:ext cx="5685715" cy="1304762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</xdr:row>
      <xdr:rowOff>0</xdr:rowOff>
    </xdr:from>
    <xdr:to>
      <xdr:col>39</xdr:col>
      <xdr:colOff>519875</xdr:colOff>
      <xdr:row>40</xdr:row>
      <xdr:rowOff>170797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0" y="2695575"/>
          <a:ext cx="6600000" cy="5228572"/>
        </a:xfrm>
        <a:prstGeom prst="rect">
          <a:avLst/>
        </a:prstGeom>
      </xdr:spPr>
    </xdr:pic>
    <xdr:clientData/>
  </xdr:twoCellAnchor>
  <xdr:twoCellAnchor editAs="oneCell">
    <xdr:from>
      <xdr:col>41</xdr:col>
      <xdr:colOff>257175</xdr:colOff>
      <xdr:row>13</xdr:row>
      <xdr:rowOff>171450</xdr:rowOff>
    </xdr:from>
    <xdr:to>
      <xdr:col>52</xdr:col>
      <xdr:colOff>94433</xdr:colOff>
      <xdr:row>41</xdr:row>
      <xdr:rowOff>27913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269950" y="2676525"/>
          <a:ext cx="6542858" cy="5295238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50</xdr:col>
      <xdr:colOff>589791</xdr:colOff>
      <xdr:row>8</xdr:row>
      <xdr:rowOff>190405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993600" y="981075"/>
          <a:ext cx="6076191" cy="761905"/>
        </a:xfrm>
        <a:prstGeom prst="rect">
          <a:avLst/>
        </a:prstGeom>
      </xdr:spPr>
    </xdr:pic>
    <xdr:clientData/>
  </xdr:twoCellAnchor>
  <xdr:twoCellAnchor editAs="oneCell">
    <xdr:from>
      <xdr:col>19</xdr:col>
      <xdr:colOff>390074</xdr:colOff>
      <xdr:row>42</xdr:row>
      <xdr:rowOff>165100</xdr:rowOff>
    </xdr:from>
    <xdr:to>
      <xdr:col>29</xdr:col>
      <xdr:colOff>571500</xdr:colOff>
      <xdr:row>56</xdr:row>
      <xdr:rowOff>165099</xdr:rowOff>
    </xdr:to>
    <xdr:pic>
      <xdr:nvPicPr>
        <xdr:cNvPr id="14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72474" y="8343900"/>
          <a:ext cx="6404426" cy="2666999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34</xdr:row>
      <xdr:rowOff>0</xdr:rowOff>
    </xdr:from>
    <xdr:to>
      <xdr:col>60</xdr:col>
      <xdr:colOff>94781</xdr:colOff>
      <xdr:row>57</xdr:row>
      <xdr:rowOff>161355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937575" y="6600825"/>
          <a:ext cx="3752381" cy="45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577850</xdr:colOff>
      <xdr:row>19</xdr:row>
      <xdr:rowOff>59671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92175"/>
          <a:ext cx="3940175" cy="1050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6</xdr:col>
      <xdr:colOff>34925</xdr:colOff>
      <xdr:row>21</xdr:row>
      <xdr:rowOff>190452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54225"/>
          <a:ext cx="4006850" cy="380952"/>
        </a:xfrm>
        <a:prstGeom prst="rect">
          <a:avLst/>
        </a:prstGeom>
      </xdr:spPr>
    </xdr:pic>
    <xdr:clientData/>
  </xdr:twoCellAnchor>
  <xdr:twoCellAnchor>
    <xdr:from>
      <xdr:col>32</xdr:col>
      <xdr:colOff>209550</xdr:colOff>
      <xdr:row>23</xdr:row>
      <xdr:rowOff>14287</xdr:rowOff>
    </xdr:from>
    <xdr:to>
      <xdr:col>39</xdr:col>
      <xdr:colOff>514350</xdr:colOff>
      <xdr:row>37</xdr:row>
      <xdr:rowOff>90487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5</xdr:row>
      <xdr:rowOff>85725</xdr:rowOff>
    </xdr:from>
    <xdr:to>
      <xdr:col>8</xdr:col>
      <xdr:colOff>358775</xdr:colOff>
      <xdr:row>20</xdr:row>
      <xdr:rowOff>137032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066800"/>
          <a:ext cx="4483100" cy="2908807"/>
        </a:xfrm>
        <a:prstGeom prst="rect">
          <a:avLst/>
        </a:prstGeom>
      </xdr:spPr>
    </xdr:pic>
    <xdr:clientData/>
  </xdr:twoCellAnchor>
  <xdr:twoCellAnchor>
    <xdr:from>
      <xdr:col>22</xdr:col>
      <xdr:colOff>609599</xdr:colOff>
      <xdr:row>1</xdr:row>
      <xdr:rowOff>14286</xdr:rowOff>
    </xdr:from>
    <xdr:to>
      <xdr:col>36</xdr:col>
      <xdr:colOff>276224</xdr:colOff>
      <xdr:row>23</xdr:row>
      <xdr:rowOff>47624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hembk.com/en/chem/EMIM%20DEP" TargetMode="External"/><Relationship Id="rId1" Type="http://schemas.openxmlformats.org/officeDocument/2006/relationships/hyperlink" Target="https://www.sciencedirect.com/science/article/pii/S0021961415000890?via%3Dihu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0"/>
  <sheetViews>
    <sheetView topLeftCell="J56" zoomScaleNormal="100" workbookViewId="0">
      <selection activeCell="J66" sqref="J66"/>
    </sheetView>
  </sheetViews>
  <sheetFormatPr defaultRowHeight="15" x14ac:dyDescent="0.25"/>
  <cols>
    <col min="3" max="3" width="13.85546875" bestFit="1" customWidth="1"/>
    <col min="29" max="29" width="11" bestFit="1" customWidth="1"/>
    <col min="30" max="30" width="9.85546875" bestFit="1" customWidth="1"/>
    <col min="31" max="31" width="10.5703125" bestFit="1" customWidth="1"/>
    <col min="32" max="34" width="11.5703125" bestFit="1" customWidth="1"/>
  </cols>
  <sheetData>
    <row r="1" spans="1:59" x14ac:dyDescent="0.25">
      <c r="A1" s="93" t="s">
        <v>71</v>
      </c>
      <c r="B1" s="94"/>
      <c r="C1" s="94"/>
      <c r="D1" s="94"/>
      <c r="E1" s="94"/>
      <c r="F1" s="94"/>
      <c r="G1" s="94"/>
      <c r="H1" s="94"/>
      <c r="I1" s="94"/>
    </row>
    <row r="2" spans="1:59" ht="15.75" thickBot="1" x14ac:dyDescent="0.3">
      <c r="A2" s="63" t="s">
        <v>78</v>
      </c>
    </row>
    <row r="3" spans="1:59" ht="15.75" thickBot="1" x14ac:dyDescent="0.3">
      <c r="A3" s="82" t="s">
        <v>8</v>
      </c>
      <c r="B3" s="82"/>
      <c r="C3" s="82" t="s">
        <v>9</v>
      </c>
      <c r="D3" s="82"/>
      <c r="E3" s="83" t="s">
        <v>10</v>
      </c>
      <c r="F3" s="83" t="s">
        <v>11</v>
      </c>
      <c r="BC3" t="s">
        <v>77</v>
      </c>
    </row>
    <row r="4" spans="1:59" ht="15.75" thickBot="1" x14ac:dyDescent="0.3">
      <c r="A4" s="11" t="s">
        <v>13</v>
      </c>
      <c r="B4" s="11" t="s">
        <v>14</v>
      </c>
      <c r="C4" s="11" t="s">
        <v>15</v>
      </c>
      <c r="D4" s="11" t="s">
        <v>16</v>
      </c>
      <c r="E4" s="84"/>
      <c r="F4" s="84"/>
      <c r="BC4" t="s">
        <v>21</v>
      </c>
      <c r="BD4">
        <v>85</v>
      </c>
      <c r="BE4" t="s">
        <v>22</v>
      </c>
    </row>
    <row r="5" spans="1:59" x14ac:dyDescent="0.25">
      <c r="A5" s="101" t="s">
        <v>12</v>
      </c>
      <c r="B5" s="101"/>
      <c r="C5" s="101"/>
      <c r="D5" s="101"/>
      <c r="E5" s="101"/>
      <c r="F5" s="101"/>
      <c r="BC5" t="s">
        <v>19</v>
      </c>
      <c r="BD5" t="s">
        <v>3</v>
      </c>
      <c r="BE5" t="s">
        <v>20</v>
      </c>
      <c r="BF5" t="s">
        <v>6</v>
      </c>
      <c r="BG5" t="s">
        <v>7</v>
      </c>
    </row>
    <row r="6" spans="1:59" x14ac:dyDescent="0.25">
      <c r="A6" s="12">
        <v>0</v>
      </c>
      <c r="B6" s="12">
        <v>1</v>
      </c>
      <c r="C6" s="12">
        <v>0</v>
      </c>
      <c r="D6" s="12">
        <v>8.9999999999999993E-3</v>
      </c>
      <c r="E6" s="13"/>
      <c r="F6" s="13"/>
      <c r="BC6">
        <v>365.65</v>
      </c>
      <c r="BD6">
        <v>0</v>
      </c>
      <c r="BE6">
        <v>0</v>
      </c>
      <c r="BG6">
        <v>1</v>
      </c>
    </row>
    <row r="7" spans="1:59" x14ac:dyDescent="0.25">
      <c r="A7" s="12">
        <v>3.0000000000000001E-3</v>
      </c>
      <c r="B7" s="12">
        <v>0.997</v>
      </c>
      <c r="C7" s="12">
        <v>9.4E-2</v>
      </c>
      <c r="D7" s="12">
        <v>1.0999999999999999E-2</v>
      </c>
      <c r="E7" s="12">
        <v>31.3</v>
      </c>
      <c r="F7" s="12">
        <v>2839.9</v>
      </c>
      <c r="BC7">
        <v>331.55</v>
      </c>
      <c r="BD7">
        <v>0.247</v>
      </c>
      <c r="BE7">
        <v>0.73699999999999999</v>
      </c>
      <c r="BF7">
        <v>3.8180000000000001</v>
      </c>
      <c r="BG7">
        <v>1.339</v>
      </c>
    </row>
    <row r="8" spans="1:59" x14ac:dyDescent="0.25">
      <c r="A8" s="12">
        <v>5.0000000000000001E-3</v>
      </c>
      <c r="B8" s="12">
        <v>0.995</v>
      </c>
      <c r="C8" s="12">
        <v>0.183</v>
      </c>
      <c r="D8" s="12">
        <v>1.4999999999999999E-2</v>
      </c>
      <c r="E8" s="12">
        <v>36.6</v>
      </c>
      <c r="F8" s="12">
        <v>2427.8000000000002</v>
      </c>
      <c r="BC8">
        <v>330.85</v>
      </c>
      <c r="BD8">
        <v>0.34899999999999998</v>
      </c>
      <c r="BE8">
        <v>0.73799999999999999</v>
      </c>
      <c r="BF8">
        <v>2.786</v>
      </c>
      <c r="BG8">
        <v>1.5840000000000001</v>
      </c>
    </row>
    <row r="9" spans="1:59" x14ac:dyDescent="0.25">
      <c r="A9" s="12">
        <v>8.0000000000000002E-3</v>
      </c>
      <c r="B9" s="12">
        <v>0.99199999999999999</v>
      </c>
      <c r="C9" s="12">
        <v>0.26900000000000002</v>
      </c>
      <c r="D9" s="12">
        <v>1.7999999999999999E-2</v>
      </c>
      <c r="E9" s="12">
        <v>33.6</v>
      </c>
      <c r="F9" s="12">
        <v>1853.1</v>
      </c>
      <c r="BC9">
        <v>329.95</v>
      </c>
      <c r="BD9">
        <v>0.39900000000000002</v>
      </c>
      <c r="BE9">
        <v>0.74</v>
      </c>
      <c r="BF9">
        <v>2.5350000000000001</v>
      </c>
      <c r="BG9">
        <v>1.7629999999999999</v>
      </c>
    </row>
    <row r="10" spans="1:59" x14ac:dyDescent="0.25">
      <c r="A10" s="12">
        <v>1.0999999999999999E-2</v>
      </c>
      <c r="B10" s="12">
        <v>0.98899999999999999</v>
      </c>
      <c r="C10" s="12">
        <v>0.34200000000000003</v>
      </c>
      <c r="D10" s="12">
        <v>2.1000000000000001E-2</v>
      </c>
      <c r="E10" s="12">
        <v>31.1</v>
      </c>
      <c r="F10" s="12">
        <v>1464.2</v>
      </c>
      <c r="BC10">
        <v>329.65</v>
      </c>
      <c r="BD10">
        <v>0.501</v>
      </c>
      <c r="BE10">
        <v>0.74299999999999999</v>
      </c>
      <c r="BF10">
        <v>2.0489999999999999</v>
      </c>
      <c r="BG10">
        <v>2.1309999999999998</v>
      </c>
    </row>
    <row r="11" spans="1:59" x14ac:dyDescent="0.25">
      <c r="A11" s="12">
        <v>1.7000000000000001E-2</v>
      </c>
      <c r="B11" s="12">
        <v>0.98299999999999998</v>
      </c>
      <c r="C11" s="12">
        <v>0.46600000000000003</v>
      </c>
      <c r="D11" s="12">
        <v>2.3E-2</v>
      </c>
      <c r="E11" s="12">
        <v>27.4</v>
      </c>
      <c r="F11" s="12">
        <v>1171.5999999999999</v>
      </c>
      <c r="BC11">
        <v>329.55</v>
      </c>
      <c r="BD11">
        <v>0.57399999999999995</v>
      </c>
      <c r="BE11">
        <v>0.747</v>
      </c>
      <c r="BF11">
        <v>1.806</v>
      </c>
      <c r="BG11">
        <v>2.464</v>
      </c>
    </row>
    <row r="12" spans="1:59" x14ac:dyDescent="0.25">
      <c r="A12" s="12">
        <v>2.4E-2</v>
      </c>
      <c r="B12" s="12">
        <v>0.97599999999999998</v>
      </c>
      <c r="C12" s="12">
        <v>0.60599999999999998</v>
      </c>
      <c r="D12" s="12">
        <v>2.7E-2</v>
      </c>
      <c r="E12" s="12">
        <v>25.3</v>
      </c>
      <c r="F12" s="12">
        <v>912.7</v>
      </c>
      <c r="BC12">
        <v>329.25</v>
      </c>
      <c r="BD12">
        <v>0.629</v>
      </c>
      <c r="BE12">
        <v>0.749</v>
      </c>
      <c r="BF12">
        <v>1.673</v>
      </c>
      <c r="BG12">
        <v>2.843</v>
      </c>
    </row>
    <row r="13" spans="1:59" x14ac:dyDescent="0.25">
      <c r="A13" s="12">
        <v>2.9000000000000001E-2</v>
      </c>
      <c r="B13" s="12">
        <v>0.97099999999999997</v>
      </c>
      <c r="C13" s="12">
        <v>0.70399999999999996</v>
      </c>
      <c r="D13" s="12">
        <v>3.1E-2</v>
      </c>
      <c r="E13" s="12">
        <v>24.3</v>
      </c>
      <c r="F13" s="12">
        <v>760.4</v>
      </c>
      <c r="BC13">
        <v>329.25</v>
      </c>
      <c r="BD13">
        <v>0.67200000000000004</v>
      </c>
      <c r="BE13">
        <v>0.75</v>
      </c>
      <c r="BF13">
        <v>1.5680000000000001</v>
      </c>
      <c r="BG13">
        <v>3.2</v>
      </c>
    </row>
    <row r="14" spans="1:59" x14ac:dyDescent="0.25">
      <c r="A14" s="12">
        <v>3.5000000000000003E-2</v>
      </c>
      <c r="B14" s="12">
        <v>0.96499999999999997</v>
      </c>
      <c r="C14" s="12">
        <v>0.79200000000000004</v>
      </c>
      <c r="D14" s="12">
        <v>3.5999999999999997E-2</v>
      </c>
      <c r="E14" s="12">
        <v>22.6</v>
      </c>
      <c r="F14" s="12">
        <v>606.6</v>
      </c>
      <c r="BC14">
        <v>328.95</v>
      </c>
      <c r="BD14">
        <v>0.70699999999999996</v>
      </c>
      <c r="BE14">
        <v>0.76700000000000002</v>
      </c>
      <c r="BF14">
        <v>1.544</v>
      </c>
      <c r="BG14">
        <v>3.3759999999999999</v>
      </c>
    </row>
    <row r="15" spans="1:59" ht="15.75" thickBot="1" x14ac:dyDescent="0.3">
      <c r="A15" s="97"/>
      <c r="B15" s="97"/>
      <c r="C15" s="97"/>
      <c r="D15" s="97"/>
      <c r="E15" s="97"/>
      <c r="F15" s="97"/>
      <c r="BC15">
        <v>328.25</v>
      </c>
      <c r="BD15">
        <v>0.73499999999999999</v>
      </c>
      <c r="BE15">
        <v>0.77500000000000002</v>
      </c>
      <c r="BF15">
        <v>1.546</v>
      </c>
      <c r="BG15">
        <v>3.7029999999999998</v>
      </c>
    </row>
    <row r="16" spans="1:59" x14ac:dyDescent="0.25">
      <c r="H16" s="15">
        <v>0</v>
      </c>
      <c r="I16" s="16">
        <v>1</v>
      </c>
      <c r="J16" s="17">
        <f>1-SUM(H16:I16)</f>
        <v>0</v>
      </c>
      <c r="BC16">
        <v>327.55</v>
      </c>
      <c r="BD16">
        <v>0.749</v>
      </c>
      <c r="BE16">
        <v>0.77500000000000002</v>
      </c>
      <c r="BF16">
        <v>1.5620000000000001</v>
      </c>
      <c r="BG16">
        <v>4.0199999999999996</v>
      </c>
    </row>
    <row r="17" spans="1:59" ht="15.75" thickBot="1" x14ac:dyDescent="0.3">
      <c r="H17" s="18">
        <v>0</v>
      </c>
      <c r="I17" s="10">
        <v>8.9999999999999993E-3</v>
      </c>
      <c r="J17" s="19">
        <v>0.99099999999999999</v>
      </c>
      <c r="BC17">
        <v>328.45</v>
      </c>
      <c r="BD17">
        <v>0.75800000000000001</v>
      </c>
      <c r="BE17">
        <v>0.77500000000000002</v>
      </c>
      <c r="BF17">
        <v>1.4870000000000001</v>
      </c>
      <c r="BG17">
        <v>4.0190000000000001</v>
      </c>
    </row>
    <row r="18" spans="1:59" x14ac:dyDescent="0.25">
      <c r="H18" s="15">
        <v>3.0000000000000001E-3</v>
      </c>
      <c r="I18" s="16">
        <v>0.997</v>
      </c>
      <c r="J18" s="17">
        <f t="shared" ref="J18" si="0">1-SUM(H18:I18)</f>
        <v>0</v>
      </c>
      <c r="BC18">
        <v>327.45</v>
      </c>
      <c r="BD18">
        <v>0.77400000000000002</v>
      </c>
      <c r="BE18">
        <v>0.77700000000000002</v>
      </c>
      <c r="BF18">
        <v>1.5209999999999999</v>
      </c>
      <c r="BG18">
        <v>4.4539999999999997</v>
      </c>
    </row>
    <row r="19" spans="1:59" ht="15.75" thickBot="1" x14ac:dyDescent="0.3">
      <c r="H19" s="18">
        <v>9.4E-2</v>
      </c>
      <c r="I19" s="10">
        <v>1.0999999999999999E-2</v>
      </c>
      <c r="J19" s="19">
        <v>0.89500000000000002</v>
      </c>
      <c r="BC19">
        <v>327.45</v>
      </c>
      <c r="BD19">
        <v>0.77800000000000002</v>
      </c>
      <c r="BE19">
        <v>0.77900000000000003</v>
      </c>
      <c r="BF19">
        <v>1.518</v>
      </c>
      <c r="BG19">
        <v>4.4859999999999998</v>
      </c>
    </row>
    <row r="20" spans="1:59" x14ac:dyDescent="0.25">
      <c r="A20" t="s">
        <v>3</v>
      </c>
      <c r="B20" t="s">
        <v>4</v>
      </c>
      <c r="C20" t="s">
        <v>5</v>
      </c>
      <c r="H20" s="15">
        <v>5.0000000000000001E-3</v>
      </c>
      <c r="I20" s="16">
        <v>0.995</v>
      </c>
      <c r="J20" s="17">
        <f>1-SUM(H20:I20)</f>
        <v>0</v>
      </c>
      <c r="BC20">
        <v>327.35000000000002</v>
      </c>
      <c r="BD20">
        <v>0.80200000000000005</v>
      </c>
      <c r="BE20">
        <v>0.78100000000000003</v>
      </c>
      <c r="BF20">
        <v>1.484</v>
      </c>
      <c r="BG20">
        <v>4.984</v>
      </c>
    </row>
    <row r="21" spans="1:59" ht="15.75" thickBot="1" x14ac:dyDescent="0.3">
      <c r="A21" s="12">
        <v>0</v>
      </c>
      <c r="B21" s="12">
        <v>1</v>
      </c>
      <c r="C21">
        <f>1-SUM(A21:B21)</f>
        <v>0</v>
      </c>
      <c r="E21" s="12">
        <v>0</v>
      </c>
      <c r="F21" s="12">
        <v>1</v>
      </c>
      <c r="H21" s="18">
        <v>0.183</v>
      </c>
      <c r="I21" s="10">
        <v>1.4999999999999999E-2</v>
      </c>
      <c r="J21" s="19">
        <v>0.80200000000000005</v>
      </c>
      <c r="BC21">
        <v>327.45</v>
      </c>
      <c r="BD21">
        <v>0.83</v>
      </c>
      <c r="BE21">
        <v>0.78300000000000003</v>
      </c>
      <c r="BF21">
        <v>1.43</v>
      </c>
      <c r="BG21">
        <v>5.75</v>
      </c>
    </row>
    <row r="22" spans="1:59" x14ac:dyDescent="0.25">
      <c r="A22" s="12">
        <v>3.0000000000000001E-3</v>
      </c>
      <c r="B22" s="12">
        <v>0.997</v>
      </c>
      <c r="C22">
        <f t="shared" ref="C22:C29" si="1">1-SUM(A22:B22)</f>
        <v>0</v>
      </c>
      <c r="E22" s="12">
        <v>1</v>
      </c>
      <c r="F22" s="12">
        <v>0</v>
      </c>
      <c r="H22" s="15">
        <v>8.0000000000000002E-3</v>
      </c>
      <c r="I22" s="16">
        <v>0.99199999999999999</v>
      </c>
      <c r="J22" s="17">
        <f>1-SUM(H22:I22)</f>
        <v>0</v>
      </c>
      <c r="BC22">
        <v>327.55</v>
      </c>
      <c r="BD22">
        <v>0.86099999999999999</v>
      </c>
      <c r="BE22">
        <v>0.78600000000000003</v>
      </c>
      <c r="BF22">
        <v>1.3779999999999999</v>
      </c>
      <c r="BG22">
        <v>6.9260000000000002</v>
      </c>
    </row>
    <row r="23" spans="1:59" ht="15.75" thickBot="1" x14ac:dyDescent="0.3">
      <c r="A23" s="12">
        <v>5.0000000000000001E-3</v>
      </c>
      <c r="B23" s="12">
        <v>0.995</v>
      </c>
      <c r="C23">
        <f t="shared" si="1"/>
        <v>0</v>
      </c>
      <c r="E23" s="12">
        <v>0</v>
      </c>
      <c r="F23" s="12">
        <v>0</v>
      </c>
      <c r="H23" s="18">
        <v>0.26900000000000002</v>
      </c>
      <c r="I23" s="10">
        <v>1.7999999999999999E-2</v>
      </c>
      <c r="J23" s="19">
        <v>0.71299999999999997</v>
      </c>
      <c r="BC23">
        <v>327.64999999999998</v>
      </c>
      <c r="BD23">
        <v>0.89400000000000002</v>
      </c>
      <c r="BE23">
        <v>0.79500000000000004</v>
      </c>
      <c r="BF23">
        <v>1.3360000000000001</v>
      </c>
      <c r="BG23">
        <v>8.6869999999999994</v>
      </c>
    </row>
    <row r="24" spans="1:59" x14ac:dyDescent="0.25">
      <c r="A24" s="12">
        <v>8.0000000000000002E-3</v>
      </c>
      <c r="B24" s="12">
        <v>0.99199999999999999</v>
      </c>
      <c r="C24">
        <f t="shared" si="1"/>
        <v>0</v>
      </c>
      <c r="E24" s="12">
        <v>1</v>
      </c>
      <c r="F24" s="12">
        <v>1</v>
      </c>
      <c r="H24" s="15">
        <v>1.0999999999999999E-2</v>
      </c>
      <c r="I24" s="16">
        <v>0.98899999999999999</v>
      </c>
      <c r="J24" s="17">
        <f>1-SUM(H24:I24)</f>
        <v>0</v>
      </c>
      <c r="BC24">
        <v>327.75</v>
      </c>
      <c r="BD24">
        <v>0.91100000000000003</v>
      </c>
      <c r="BE24">
        <v>0.8</v>
      </c>
      <c r="BF24">
        <v>1.3140000000000001</v>
      </c>
      <c r="BG24">
        <v>10.048999999999999</v>
      </c>
    </row>
    <row r="25" spans="1:59" ht="15.75" thickBot="1" x14ac:dyDescent="0.3">
      <c r="A25" s="12">
        <v>1.0999999999999999E-2</v>
      </c>
      <c r="B25" s="12">
        <v>0.98899999999999999</v>
      </c>
      <c r="C25">
        <f t="shared" si="1"/>
        <v>0</v>
      </c>
      <c r="E25" s="12"/>
      <c r="F25" s="12"/>
      <c r="H25" s="18">
        <v>0.34200000000000003</v>
      </c>
      <c r="I25" s="10">
        <v>2.1000000000000001E-2</v>
      </c>
      <c r="J25" s="19">
        <v>0.63700000000000001</v>
      </c>
      <c r="BC25">
        <v>327.85</v>
      </c>
      <c r="BD25">
        <v>0.92900000000000005</v>
      </c>
      <c r="BE25">
        <v>0.81799999999999995</v>
      </c>
      <c r="BF25">
        <v>1.3120000000000001</v>
      </c>
      <c r="BG25">
        <v>11.348000000000001</v>
      </c>
    </row>
    <row r="26" spans="1:59" x14ac:dyDescent="0.25">
      <c r="A26" s="12">
        <v>1.7000000000000001E-2</v>
      </c>
      <c r="B26" s="12">
        <v>0.98299999999999998</v>
      </c>
      <c r="C26">
        <f t="shared" si="1"/>
        <v>0</v>
      </c>
      <c r="E26" s="12"/>
      <c r="F26" s="12"/>
      <c r="H26" s="15">
        <v>1.7000000000000001E-2</v>
      </c>
      <c r="I26" s="16">
        <v>0.98299999999999998</v>
      </c>
      <c r="J26" s="17">
        <f>1-SUM(H26:I26)</f>
        <v>0</v>
      </c>
      <c r="BC26">
        <v>328.65</v>
      </c>
      <c r="BD26">
        <v>0.95799999999999996</v>
      </c>
      <c r="BE26">
        <v>0.82399999999999995</v>
      </c>
      <c r="BF26">
        <v>1.2390000000000001</v>
      </c>
      <c r="BG26">
        <v>18.216000000000001</v>
      </c>
    </row>
    <row r="27" spans="1:59" ht="15.75" thickBot="1" x14ac:dyDescent="0.3">
      <c r="A27" s="12">
        <v>2.4E-2</v>
      </c>
      <c r="B27" s="12">
        <v>0.97599999999999998</v>
      </c>
      <c r="C27">
        <f t="shared" si="1"/>
        <v>0</v>
      </c>
      <c r="E27" s="12"/>
      <c r="F27" s="12"/>
      <c r="H27" s="18">
        <v>0.46600000000000003</v>
      </c>
      <c r="I27" s="10">
        <v>2.3E-2</v>
      </c>
      <c r="J27" s="19">
        <v>0.5109999999999999</v>
      </c>
      <c r="BC27">
        <v>333.15</v>
      </c>
      <c r="BD27">
        <v>1</v>
      </c>
      <c r="BE27">
        <v>1</v>
      </c>
      <c r="BF27">
        <v>1</v>
      </c>
    </row>
    <row r="28" spans="1:59" x14ac:dyDescent="0.25">
      <c r="A28" s="12">
        <v>2.9000000000000001E-2</v>
      </c>
      <c r="B28" s="12">
        <v>0.97099999999999997</v>
      </c>
      <c r="C28">
        <f t="shared" si="1"/>
        <v>0</v>
      </c>
      <c r="E28" s="12"/>
      <c r="F28" s="12"/>
      <c r="H28" s="15">
        <v>2.4E-2</v>
      </c>
      <c r="I28" s="16">
        <v>0.97599999999999998</v>
      </c>
      <c r="J28" s="17">
        <f>1-SUM(H28:I28)</f>
        <v>0</v>
      </c>
    </row>
    <row r="29" spans="1:59" ht="15.75" thickBot="1" x14ac:dyDescent="0.3">
      <c r="A29" s="12">
        <v>3.5000000000000003E-2</v>
      </c>
      <c r="B29" s="12">
        <v>0.96499999999999997</v>
      </c>
      <c r="C29">
        <f t="shared" si="1"/>
        <v>0</v>
      </c>
      <c r="E29" s="12"/>
      <c r="F29" s="12"/>
      <c r="H29" s="18">
        <v>0.60599999999999998</v>
      </c>
      <c r="I29" s="10">
        <v>2.7E-2</v>
      </c>
      <c r="J29" s="19">
        <v>0.36699999999999999</v>
      </c>
    </row>
    <row r="30" spans="1:59" x14ac:dyDescent="0.25">
      <c r="A30" s="12">
        <v>0</v>
      </c>
      <c r="B30" s="12">
        <v>8.9999999999999993E-3</v>
      </c>
      <c r="C30">
        <f>1-SUM(A30:B30)</f>
        <v>0.99099999999999999</v>
      </c>
      <c r="D30" s="12"/>
      <c r="E30" s="12"/>
      <c r="F30" s="12"/>
      <c r="H30" s="15">
        <v>2.9000000000000001E-2</v>
      </c>
      <c r="I30" s="16">
        <v>0.97099999999999997</v>
      </c>
      <c r="J30" s="17">
        <f>1-SUM(H30:I30)</f>
        <v>0</v>
      </c>
    </row>
    <row r="31" spans="1:59" ht="15.75" thickBot="1" x14ac:dyDescent="0.3">
      <c r="A31" s="12">
        <v>9.4E-2</v>
      </c>
      <c r="B31" s="12">
        <v>1.0999999999999999E-2</v>
      </c>
      <c r="C31">
        <f t="shared" ref="C31:C38" si="2">1-SUM(A31:B31)</f>
        <v>0.89500000000000002</v>
      </c>
      <c r="D31" s="12"/>
      <c r="E31" s="12"/>
      <c r="F31" s="12"/>
      <c r="H31" s="18">
        <v>0.70399999999999996</v>
      </c>
      <c r="I31" s="10">
        <v>3.1E-2</v>
      </c>
      <c r="J31" s="19">
        <v>0.26500000000000001</v>
      </c>
    </row>
    <row r="32" spans="1:59" x14ac:dyDescent="0.25">
      <c r="A32" s="12">
        <v>0.183</v>
      </c>
      <c r="B32" s="12">
        <v>1.4999999999999999E-2</v>
      </c>
      <c r="C32">
        <f t="shared" si="2"/>
        <v>0.80200000000000005</v>
      </c>
      <c r="D32" s="12"/>
      <c r="E32" s="12"/>
      <c r="F32" s="12"/>
      <c r="H32" s="15">
        <v>3.5000000000000003E-2</v>
      </c>
      <c r="I32" s="16">
        <v>0.96499999999999997</v>
      </c>
      <c r="J32" s="17">
        <f>1-SUM(H32:I32)</f>
        <v>0</v>
      </c>
    </row>
    <row r="33" spans="1:63" ht="15.75" thickBot="1" x14ac:dyDescent="0.3">
      <c r="A33" s="12">
        <v>0.26900000000000002</v>
      </c>
      <c r="B33" s="12">
        <v>1.7999999999999999E-2</v>
      </c>
      <c r="C33">
        <f t="shared" si="2"/>
        <v>0.71299999999999997</v>
      </c>
      <c r="D33" s="12"/>
      <c r="E33" s="12"/>
      <c r="F33" s="12"/>
      <c r="H33" s="18">
        <v>0.79200000000000004</v>
      </c>
      <c r="I33" s="10">
        <v>3.5999999999999997E-2</v>
      </c>
      <c r="J33" s="19">
        <v>0.17199999999999993</v>
      </c>
    </row>
    <row r="34" spans="1:63" x14ac:dyDescent="0.25">
      <c r="A34" s="12">
        <v>0.34200000000000003</v>
      </c>
      <c r="B34" s="12">
        <v>2.1000000000000001E-2</v>
      </c>
      <c r="C34">
        <f t="shared" si="2"/>
        <v>0.63700000000000001</v>
      </c>
      <c r="D34" s="12"/>
      <c r="E34" s="12"/>
      <c r="F34" s="12"/>
      <c r="L34">
        <v>1000</v>
      </c>
      <c r="M34">
        <v>1</v>
      </c>
    </row>
    <row r="35" spans="1:63" x14ac:dyDescent="0.25">
      <c r="A35" s="12">
        <v>0.46600000000000003</v>
      </c>
      <c r="B35" s="12">
        <v>2.3E-2</v>
      </c>
      <c r="C35">
        <f t="shared" si="2"/>
        <v>0.5109999999999999</v>
      </c>
      <c r="D35" s="12"/>
      <c r="E35" s="12"/>
      <c r="F35" s="12"/>
      <c r="K35" t="s">
        <v>3</v>
      </c>
      <c r="L35">
        <v>0.60599999999999998</v>
      </c>
      <c r="M35">
        <f>L35*$L$34</f>
        <v>606</v>
      </c>
      <c r="O35">
        <f>M35+M36</f>
        <v>633</v>
      </c>
    </row>
    <row r="36" spans="1:63" ht="15.75" thickBot="1" x14ac:dyDescent="0.3">
      <c r="A36" s="12">
        <v>0.60599999999999998</v>
      </c>
      <c r="B36" s="12">
        <v>2.7E-2</v>
      </c>
      <c r="C36">
        <f t="shared" si="2"/>
        <v>0.36699999999999999</v>
      </c>
      <c r="D36" s="14"/>
      <c r="E36" s="14"/>
      <c r="F36" s="14"/>
      <c r="K36" t="s">
        <v>4</v>
      </c>
      <c r="L36">
        <v>2.7E-2</v>
      </c>
      <c r="M36">
        <f t="shared" ref="M36:M37" si="3">L36*$L$34</f>
        <v>27</v>
      </c>
      <c r="O36">
        <f>M35/O35</f>
        <v>0.95734597156398105</v>
      </c>
    </row>
    <row r="37" spans="1:63" x14ac:dyDescent="0.25">
      <c r="A37" s="12">
        <v>0.70399999999999996</v>
      </c>
      <c r="B37" s="12">
        <v>3.1E-2</v>
      </c>
      <c r="C37">
        <f t="shared" si="2"/>
        <v>0.26500000000000001</v>
      </c>
      <c r="K37" t="s">
        <v>5</v>
      </c>
      <c r="L37">
        <f>1-L36-L35</f>
        <v>0.36699999999999999</v>
      </c>
      <c r="M37">
        <f t="shared" si="3"/>
        <v>367</v>
      </c>
    </row>
    <row r="38" spans="1:63" x14ac:dyDescent="0.25">
      <c r="A38" s="12">
        <v>0.79200000000000004</v>
      </c>
      <c r="B38" s="12">
        <v>3.5999999999999997E-2</v>
      </c>
      <c r="C38">
        <f t="shared" si="2"/>
        <v>0.17199999999999993</v>
      </c>
    </row>
    <row r="41" spans="1:63" x14ac:dyDescent="0.25">
      <c r="BI41" t="s">
        <v>83</v>
      </c>
      <c r="BJ41">
        <v>1.13432</v>
      </c>
      <c r="BK41" t="s">
        <v>84</v>
      </c>
    </row>
    <row r="49" spans="2:64" x14ac:dyDescent="0.25">
      <c r="BJ49" t="s">
        <v>80</v>
      </c>
      <c r="BK49" t="s">
        <v>81</v>
      </c>
      <c r="BL49" t="s">
        <v>82</v>
      </c>
    </row>
    <row r="57" spans="2:64" ht="15.75" thickBot="1" x14ac:dyDescent="0.3"/>
    <row r="58" spans="2:64" ht="18.75" thickBot="1" x14ac:dyDescent="0.4">
      <c r="B58" s="44" t="s">
        <v>87</v>
      </c>
      <c r="C58" s="2">
        <v>10283.700000000001</v>
      </c>
      <c r="D58" s="45" t="s">
        <v>88</v>
      </c>
      <c r="E58" s="3"/>
      <c r="F58" s="43" t="s">
        <v>0</v>
      </c>
      <c r="G58" s="43" t="s">
        <v>1</v>
      </c>
      <c r="H58" s="37" t="s">
        <v>3</v>
      </c>
      <c r="I58" s="38" t="s">
        <v>4</v>
      </c>
      <c r="J58" s="39" t="s">
        <v>5</v>
      </c>
      <c r="K58" s="37" t="s">
        <v>37</v>
      </c>
      <c r="L58" s="38" t="s">
        <v>38</v>
      </c>
      <c r="M58" s="38" t="s">
        <v>39</v>
      </c>
      <c r="N58" s="38" t="s">
        <v>40</v>
      </c>
      <c r="O58" s="38" t="s">
        <v>41</v>
      </c>
      <c r="P58" s="38" t="s">
        <v>42</v>
      </c>
      <c r="Q58" s="38" t="s">
        <v>43</v>
      </c>
      <c r="R58" s="38" t="s">
        <v>44</v>
      </c>
      <c r="S58" s="38" t="s">
        <v>45</v>
      </c>
      <c r="T58" s="38" t="s">
        <v>46</v>
      </c>
      <c r="U58" s="38" t="s">
        <v>47</v>
      </c>
      <c r="V58" s="39" t="s">
        <v>48</v>
      </c>
      <c r="W58" s="37" t="s">
        <v>49</v>
      </c>
      <c r="X58" s="38" t="s">
        <v>50</v>
      </c>
      <c r="Y58" s="39" t="s">
        <v>51</v>
      </c>
      <c r="Z58" s="37" t="s">
        <v>52</v>
      </c>
      <c r="AA58" s="38" t="s">
        <v>53</v>
      </c>
      <c r="AB58" s="39" t="s">
        <v>54</v>
      </c>
      <c r="AC58" s="37" t="s">
        <v>55</v>
      </c>
      <c r="AD58" s="38" t="s">
        <v>56</v>
      </c>
      <c r="AE58" s="39" t="s">
        <v>57</v>
      </c>
      <c r="AF58" s="54" t="s">
        <v>72</v>
      </c>
      <c r="AG58" s="55" t="s">
        <v>73</v>
      </c>
      <c r="AH58" s="55" t="s">
        <v>74</v>
      </c>
      <c r="AI58" s="4"/>
      <c r="AJ58" s="37" t="s">
        <v>3</v>
      </c>
      <c r="AK58" s="38" t="s">
        <v>4</v>
      </c>
      <c r="AL58" s="38" t="s">
        <v>5</v>
      </c>
      <c r="AM58" s="39" t="s">
        <v>58</v>
      </c>
      <c r="AN58" s="98" t="s">
        <v>18</v>
      </c>
      <c r="AO58" s="99"/>
      <c r="AP58" s="100"/>
      <c r="AQ58" s="40" t="s">
        <v>17</v>
      </c>
      <c r="AR58" s="41" t="s">
        <v>79</v>
      </c>
    </row>
    <row r="59" spans="2:64" x14ac:dyDescent="0.25">
      <c r="B59" s="44" t="s">
        <v>89</v>
      </c>
      <c r="C59" s="2">
        <v>10263.6</v>
      </c>
      <c r="D59" s="45" t="s">
        <v>88</v>
      </c>
      <c r="E59" s="3"/>
      <c r="F59" s="2">
        <v>25.050000000000011</v>
      </c>
      <c r="G59" s="2">
        <v>298.2</v>
      </c>
      <c r="H59" s="28">
        <v>1</v>
      </c>
      <c r="I59" s="29">
        <v>0</v>
      </c>
      <c r="J59" s="30">
        <v>0</v>
      </c>
      <c r="K59" s="32">
        <f>$C$58/$G$59/$C$67</f>
        <v>4.1479330638630927</v>
      </c>
      <c r="L59" s="33">
        <f>$C$59/$G$59/$C$67</f>
        <v>4.139825723646668</v>
      </c>
      <c r="M59" s="33">
        <f>$C$60/$G$59/$C$67</f>
        <v>8.7903735459021473</v>
      </c>
      <c r="N59" s="33">
        <f>$C$61/$G$59/$C$67</f>
        <v>5.4306675592001206</v>
      </c>
      <c r="O59" s="33">
        <f>$C$62/$G$59/$C$67</f>
        <v>3.4647383942819778</v>
      </c>
      <c r="P59" s="33">
        <f>$C$63/$G$59/$C$67</f>
        <v>0.30892596376914361</v>
      </c>
      <c r="Q59" s="33">
        <f>EXP(-$C$64*K59)</f>
        <v>0.15337555691866434</v>
      </c>
      <c r="R59" s="33">
        <f>EXP(-$C$64*L59)</f>
        <v>0.15393863544920203</v>
      </c>
      <c r="S59" s="33">
        <f>EXP(-$C$65*M59)</f>
        <v>2.3027404986655366E-2</v>
      </c>
      <c r="T59" s="33">
        <f>EXP(-$C$65*N59)</f>
        <v>9.7319452885038737E-2</v>
      </c>
      <c r="U59" s="33">
        <f>EXP(-$C$66*O59)</f>
        <v>0.23416591247282573</v>
      </c>
      <c r="V59" s="34">
        <f>EXP(-$C$66*P59)</f>
        <v>0.87858732068206491</v>
      </c>
      <c r="W59" s="46">
        <f>H59+R59*I59+T59*J59</f>
        <v>1</v>
      </c>
      <c r="X59" s="47">
        <f>Q59*H59+I59+V59*J59</f>
        <v>0.15337555691866434</v>
      </c>
      <c r="Y59" s="48">
        <f>S59*H59+U59*I59+J59</f>
        <v>2.3027404986655366E-2</v>
      </c>
      <c r="Z59" s="46">
        <f>I59*L59*R59+J59*N59*T59</f>
        <v>0</v>
      </c>
      <c r="AA59" s="47">
        <f>H59*K59*Q59+J59*P59*V59</f>
        <v>0.63619154373134357</v>
      </c>
      <c r="AB59" s="48">
        <f>H59*M59*S59+I59*O59*U59</f>
        <v>0.20241949162547052</v>
      </c>
      <c r="AC59" s="32">
        <f>EXP((Z59/W59)-(H59*Z59/W59^2)+(I59*Q59/X59)*(K59-AA59/X59)+(J59*S59/Y59)*(M59-AB59/Y59))</f>
        <v>1</v>
      </c>
      <c r="AD59" s="33">
        <f>EXP((AA59/X59)-(I59*AA59/X59^2)+(H59*R59*(L59-(Z59/W59))/W59)+(J59*U59*(O59-(AB59/Y59))/Y59))</f>
        <v>119.72676482297258</v>
      </c>
      <c r="AE59" s="34">
        <f>EXP((AB59/Y59)-(J59*AB59/Y59^2)+(H59*T59*(N59-(Z59/W59))/W59)+(I59*V59*(P59-(AA59/X59))/X59))</f>
        <v>11146.525807503465</v>
      </c>
      <c r="AF59" s="2">
        <f>AC59/AC68</f>
        <v>8.6906197791654545E-3</v>
      </c>
      <c r="AG59" s="2">
        <f>AD59/AD68</f>
        <v>39.265884090907768</v>
      </c>
      <c r="AH59" s="2">
        <f>AE59/AE68</f>
        <v>11103.686287674611</v>
      </c>
      <c r="AI59" s="87" t="s">
        <v>33</v>
      </c>
      <c r="AJ59" s="24">
        <f>H59*AC59/AC68</f>
        <v>8.6906197791654545E-3</v>
      </c>
      <c r="AK59" s="24">
        <f t="shared" ref="AK59:AK67" si="4">I59*AD59/AD68</f>
        <v>0</v>
      </c>
      <c r="AL59" s="24">
        <f>1-AJ59-AK59</f>
        <v>0.99130938022083459</v>
      </c>
      <c r="AM59" s="6">
        <f t="shared" ref="AM59:AM76" si="5">SUM(AJ59:AL59)</f>
        <v>1</v>
      </c>
      <c r="AN59" s="27">
        <f t="shared" ref="AN59:AN67" si="6">(H68-AJ59)^2</f>
        <v>9.5716121043631723E-8</v>
      </c>
      <c r="AO59" s="27">
        <f t="shared" ref="AO59:AO67" si="7">(I68-AK59)^2</f>
        <v>0</v>
      </c>
      <c r="AP59" s="27">
        <f t="shared" ref="AP59:AP67" si="8">(J68-AL59)^2</f>
        <v>9.5716121043664996E-8</v>
      </c>
      <c r="AQ59" s="51">
        <f>SUM(AN59:AO76)</f>
        <v>3.359353888348847E-3</v>
      </c>
      <c r="AR59" s="60">
        <f>100*SQRT(AQ59/6/9)</f>
        <v>0.78873479187649198</v>
      </c>
    </row>
    <row r="60" spans="2:64" ht="15.75" thickBot="1" x14ac:dyDescent="0.3">
      <c r="B60" s="44" t="s">
        <v>90</v>
      </c>
      <c r="C60" s="2">
        <v>21793.4</v>
      </c>
      <c r="D60" s="45" t="s">
        <v>88</v>
      </c>
      <c r="E60" s="3"/>
      <c r="F60" s="2"/>
      <c r="G60" s="2"/>
      <c r="H60" s="28">
        <v>0.997</v>
      </c>
      <c r="I60" s="29">
        <v>3.0000000000000001E-3</v>
      </c>
      <c r="J60" s="30">
        <v>0</v>
      </c>
      <c r="K60" s="32">
        <f t="shared" ref="K60:K76" si="9">$C$58/$G$59/$C$67</f>
        <v>4.1479330638630927</v>
      </c>
      <c r="L60" s="33">
        <f t="shared" ref="L60:L76" si="10">$C$59/$G$59/$C$67</f>
        <v>4.139825723646668</v>
      </c>
      <c r="M60" s="33">
        <f t="shared" ref="M60:M76" si="11">$C$60/$G$59/$C$67</f>
        <v>8.7903735459021473</v>
      </c>
      <c r="N60" s="33">
        <f t="shared" ref="N60:N76" si="12">$C$61/$G$59/$C$67</f>
        <v>5.4306675592001206</v>
      </c>
      <c r="O60" s="33">
        <f t="shared" ref="O60:O76" si="13">$C$62/$G$59/$C$67</f>
        <v>3.4647383942819778</v>
      </c>
      <c r="P60" s="33">
        <f t="shared" ref="P60:P76" si="14">$C$63/$G$59/$C$67</f>
        <v>0.30892596376914361</v>
      </c>
      <c r="Q60" s="33">
        <f t="shared" ref="Q60:Q76" si="15">EXP(-$C$64*K60)</f>
        <v>0.15337555691866434</v>
      </c>
      <c r="R60" s="33">
        <f t="shared" ref="R60:R76" si="16">EXP(-$C$64*L60)</f>
        <v>0.15393863544920203</v>
      </c>
      <c r="S60" s="33">
        <f t="shared" ref="S60:S76" si="17">EXP(-$C$65*M60)</f>
        <v>2.3027404986655366E-2</v>
      </c>
      <c r="T60" s="33">
        <f t="shared" ref="T60:T76" si="18">EXP(-$C$65*N60)</f>
        <v>9.7319452885038737E-2</v>
      </c>
      <c r="U60" s="33">
        <f t="shared" ref="U60:U76" si="19">EXP(-$C$66*O60)</f>
        <v>0.23416591247282573</v>
      </c>
      <c r="V60" s="34">
        <f t="shared" ref="V60:V76" si="20">EXP(-$C$66*P60)</f>
        <v>0.87858732068206491</v>
      </c>
      <c r="W60" s="46">
        <f t="shared" ref="W60:W76" si="21">H60+R60*I60+T60*J60</f>
        <v>0.99746181590634764</v>
      </c>
      <c r="X60" s="47">
        <f t="shared" ref="X60:X76" si="22">Q60*H60+I60+V60*J60</f>
        <v>0.15591543024790835</v>
      </c>
      <c r="Y60" s="48">
        <f t="shared" ref="Y60:Y76" si="23">S60*H60+U60*I60+J60</f>
        <v>2.3660820509113879E-2</v>
      </c>
      <c r="Z60" s="46">
        <f t="shared" ref="Z60:Z76" si="24">I60*L60*R60+J60*N60*T60</f>
        <v>1.9118373686870204E-3</v>
      </c>
      <c r="AA60" s="47">
        <f t="shared" ref="AA60:AA76" si="25">H60*K60*Q60+J60*P60*V60</f>
        <v>0.63428296910014947</v>
      </c>
      <c r="AB60" s="48">
        <f t="shared" ref="AB60:AB76" si="26">H60*M60*S60+I60*O60*U60</f>
        <v>0.20424620403332411</v>
      </c>
      <c r="AC60" s="32">
        <f t="shared" ref="AC60:AC76" si="27">EXP((Z60/W60)-(H60*Z60/W60^2)+(I60*Q60/X60)*(K60-AA60/X60)+(J60*S60/Y60)*(M60-AB60/Y60))</f>
        <v>1.0002364486057944</v>
      </c>
      <c r="AD60" s="33">
        <f t="shared" ref="AD60:AD76" si="28">EXP((AA60/X60)-(I60*AA60/X60^2)+(H60*R60*(L60-(Z60/W60))/W60)+(J60*U60*(O60-(AB60/Y60))/Y60))</f>
        <v>102.15951427620131</v>
      </c>
      <c r="AE60" s="34">
        <f t="shared" ref="AE60:AE76" si="29">EXP((AB60/Y60)-(J60*AB60/Y60^2)+(H60*T60*(N60-(Z60/W60))/W60)+(I60*V60*(P60-(AA60/X60))/X60))</f>
        <v>8926.5263419856456</v>
      </c>
      <c r="AF60" s="2">
        <f t="shared" ref="AF60:AF67" si="30">AC60/AC69</f>
        <v>1.0780702770048474E-2</v>
      </c>
      <c r="AG60" s="2">
        <f t="shared" ref="AG60:AG67" si="31">AD60/AD69</f>
        <v>36.975168058820252</v>
      </c>
      <c r="AH60" s="2">
        <f t="shared" ref="AH60:AH67" si="32">AE60/AE69</f>
        <v>8828.0199966433556</v>
      </c>
      <c r="AI60" s="88"/>
      <c r="AJ60" s="24">
        <f t="shared" ref="AJ60:AJ67" si="33">H60*AC60/AC69</f>
        <v>1.0748360661738329E-2</v>
      </c>
      <c r="AK60" s="24">
        <f t="shared" si="4"/>
        <v>0.11092550417646074</v>
      </c>
      <c r="AL60" s="24">
        <f t="shared" ref="AL60:AL67" si="34">1-AJ60-AK60</f>
        <v>0.87832613516180091</v>
      </c>
      <c r="AM60" s="6">
        <f t="shared" si="5"/>
        <v>1</v>
      </c>
      <c r="AN60" s="27">
        <f t="shared" si="6"/>
        <v>6.3322356560771225E-8</v>
      </c>
      <c r="AO60" s="27">
        <f t="shared" si="7"/>
        <v>2.8647269162739003E-4</v>
      </c>
      <c r="AP60" s="27">
        <f t="shared" si="8"/>
        <v>2.7801776864253241E-4</v>
      </c>
    </row>
    <row r="61" spans="2:64" ht="15.75" thickBot="1" x14ac:dyDescent="0.3">
      <c r="B61" s="44" t="s">
        <v>91</v>
      </c>
      <c r="C61" s="2">
        <v>13463.9</v>
      </c>
      <c r="D61" s="45" t="s">
        <v>88</v>
      </c>
      <c r="E61" s="3"/>
      <c r="F61" s="2"/>
      <c r="G61" s="2"/>
      <c r="H61" s="28">
        <v>0.995</v>
      </c>
      <c r="I61" s="29">
        <v>5.0000000000000001E-3</v>
      </c>
      <c r="J61" s="30">
        <v>0</v>
      </c>
      <c r="K61" s="32">
        <f t="shared" si="9"/>
        <v>4.1479330638630927</v>
      </c>
      <c r="L61" s="33">
        <f t="shared" si="10"/>
        <v>4.139825723646668</v>
      </c>
      <c r="M61" s="33">
        <f t="shared" si="11"/>
        <v>8.7903735459021473</v>
      </c>
      <c r="N61" s="33">
        <f t="shared" si="12"/>
        <v>5.4306675592001206</v>
      </c>
      <c r="O61" s="33">
        <f t="shared" si="13"/>
        <v>3.4647383942819778</v>
      </c>
      <c r="P61" s="33">
        <f t="shared" si="14"/>
        <v>0.30892596376914361</v>
      </c>
      <c r="Q61" s="33">
        <f t="shared" si="15"/>
        <v>0.15337555691866434</v>
      </c>
      <c r="R61" s="33">
        <f t="shared" si="16"/>
        <v>0.15393863544920203</v>
      </c>
      <c r="S61" s="33">
        <f t="shared" si="17"/>
        <v>2.3027404986655366E-2</v>
      </c>
      <c r="T61" s="33">
        <f t="shared" si="18"/>
        <v>9.7319452885038737E-2</v>
      </c>
      <c r="U61" s="33">
        <f t="shared" si="19"/>
        <v>0.23416591247282573</v>
      </c>
      <c r="V61" s="34">
        <f t="shared" si="20"/>
        <v>0.87858732068206491</v>
      </c>
      <c r="W61" s="46">
        <f t="shared" si="21"/>
        <v>0.99576969317724595</v>
      </c>
      <c r="X61" s="47">
        <f t="shared" si="22"/>
        <v>0.15760867913407101</v>
      </c>
      <c r="Y61" s="48">
        <f t="shared" si="23"/>
        <v>2.408309752408622E-2</v>
      </c>
      <c r="Z61" s="46">
        <f t="shared" si="24"/>
        <v>3.1863956144783669E-3</v>
      </c>
      <c r="AA61" s="47">
        <f t="shared" si="25"/>
        <v>0.63301058601268678</v>
      </c>
      <c r="AB61" s="48">
        <f t="shared" si="26"/>
        <v>0.20546401230522651</v>
      </c>
      <c r="AC61" s="32">
        <f t="shared" si="27"/>
        <v>1.0006429566552038</v>
      </c>
      <c r="AD61" s="33">
        <f t="shared" si="28"/>
        <v>92.316484241538333</v>
      </c>
      <c r="AE61" s="34">
        <f t="shared" si="29"/>
        <v>7753.6298684263584</v>
      </c>
      <c r="AF61" s="2">
        <f t="shared" si="30"/>
        <v>1.4739088170025795E-2</v>
      </c>
      <c r="AG61" s="2">
        <f t="shared" si="31"/>
        <v>36.541520965882683</v>
      </c>
      <c r="AH61" s="2">
        <f t="shared" si="32"/>
        <v>7520.3320840924398</v>
      </c>
      <c r="AI61" s="88"/>
      <c r="AJ61" s="24">
        <f t="shared" si="33"/>
        <v>1.4665392729175665E-2</v>
      </c>
      <c r="AK61" s="24">
        <f t="shared" si="4"/>
        <v>0.18270760482941339</v>
      </c>
      <c r="AL61" s="24">
        <f t="shared" si="34"/>
        <v>0.80262700244141094</v>
      </c>
      <c r="AM61" s="6">
        <f t="shared" si="5"/>
        <v>1</v>
      </c>
      <c r="AN61" s="27">
        <f t="shared" si="6"/>
        <v>1.1196202568850927E-7</v>
      </c>
      <c r="AO61" s="27">
        <f t="shared" si="7"/>
        <v>8.5494935782367648E-8</v>
      </c>
      <c r="AP61" s="27">
        <f t="shared" si="8"/>
        <v>3.9313206153522338E-7</v>
      </c>
      <c r="AR61" s="85" t="s">
        <v>23</v>
      </c>
      <c r="AS61" s="86"/>
      <c r="AT61" s="6"/>
      <c r="AU61" s="85" t="s">
        <v>27</v>
      </c>
      <c r="AV61" s="86"/>
      <c r="AX61" s="85" t="s">
        <v>31</v>
      </c>
      <c r="AY61" s="86"/>
    </row>
    <row r="62" spans="2:64" x14ac:dyDescent="0.25">
      <c r="B62" s="44" t="s">
        <v>92</v>
      </c>
      <c r="C62" s="2">
        <v>8589.9</v>
      </c>
      <c r="D62" s="45" t="s">
        <v>88</v>
      </c>
      <c r="E62" s="3"/>
      <c r="F62" s="2"/>
      <c r="G62" s="2"/>
      <c r="H62" s="28">
        <v>0.99199999999999999</v>
      </c>
      <c r="I62" s="29">
        <v>8.0000000000000002E-3</v>
      </c>
      <c r="J62" s="30">
        <v>0</v>
      </c>
      <c r="K62" s="32">
        <f t="shared" si="9"/>
        <v>4.1479330638630927</v>
      </c>
      <c r="L62" s="33">
        <f t="shared" si="10"/>
        <v>4.139825723646668</v>
      </c>
      <c r="M62" s="33">
        <f t="shared" si="11"/>
        <v>8.7903735459021473</v>
      </c>
      <c r="N62" s="33">
        <f t="shared" si="12"/>
        <v>5.4306675592001206</v>
      </c>
      <c r="O62" s="33">
        <f t="shared" si="13"/>
        <v>3.4647383942819778</v>
      </c>
      <c r="P62" s="33">
        <f t="shared" si="14"/>
        <v>0.30892596376914361</v>
      </c>
      <c r="Q62" s="33">
        <f t="shared" si="15"/>
        <v>0.15337555691866434</v>
      </c>
      <c r="R62" s="33">
        <f t="shared" si="16"/>
        <v>0.15393863544920203</v>
      </c>
      <c r="S62" s="33">
        <f t="shared" si="17"/>
        <v>2.3027404986655366E-2</v>
      </c>
      <c r="T62" s="33">
        <f t="shared" si="18"/>
        <v>9.7319452885038737E-2</v>
      </c>
      <c r="U62" s="33">
        <f t="shared" si="19"/>
        <v>0.23416591247282573</v>
      </c>
      <c r="V62" s="34">
        <f t="shared" si="20"/>
        <v>0.87858732068206491</v>
      </c>
      <c r="W62" s="46">
        <f t="shared" si="21"/>
        <v>0.99323150908359359</v>
      </c>
      <c r="X62" s="47">
        <f t="shared" si="22"/>
        <v>0.16014855246331502</v>
      </c>
      <c r="Y62" s="48">
        <f t="shared" si="23"/>
        <v>2.4716513046544729E-2</v>
      </c>
      <c r="Z62" s="46">
        <f t="shared" si="24"/>
        <v>5.0982329831653879E-3</v>
      </c>
      <c r="AA62" s="47">
        <f t="shared" si="25"/>
        <v>0.6311020113814928</v>
      </c>
      <c r="AB62" s="48">
        <f t="shared" si="26"/>
        <v>0.20729072471308016</v>
      </c>
      <c r="AC62" s="32">
        <f t="shared" si="27"/>
        <v>1.0015951649052961</v>
      </c>
      <c r="AD62" s="33">
        <f t="shared" si="28"/>
        <v>79.804101156321778</v>
      </c>
      <c r="AE62" s="34">
        <f t="shared" si="29"/>
        <v>6340.359208158985</v>
      </c>
      <c r="AF62" s="2">
        <f t="shared" si="30"/>
        <v>1.7950944340595101E-2</v>
      </c>
      <c r="AG62" s="2">
        <f t="shared" si="31"/>
        <v>34.419365083946325</v>
      </c>
      <c r="AH62" s="2">
        <f t="shared" si="32"/>
        <v>5967.8675797583319</v>
      </c>
      <c r="AI62" s="88"/>
      <c r="AJ62" s="24">
        <f t="shared" si="33"/>
        <v>1.7807336785870338E-2</v>
      </c>
      <c r="AK62" s="24">
        <f t="shared" si="4"/>
        <v>0.27535492067157064</v>
      </c>
      <c r="AL62" s="24">
        <f t="shared" si="34"/>
        <v>0.70683774254255904</v>
      </c>
      <c r="AM62" s="6">
        <f t="shared" si="5"/>
        <v>1</v>
      </c>
      <c r="AN62" s="27">
        <f t="shared" si="6"/>
        <v>3.7119114078771642E-8</v>
      </c>
      <c r="AO62" s="27">
        <f t="shared" si="7"/>
        <v>4.038501674195556E-5</v>
      </c>
      <c r="AP62" s="27">
        <f t="shared" si="8"/>
        <v>3.7973416971786265E-5</v>
      </c>
      <c r="AR62" s="24">
        <f>AK59</f>
        <v>0</v>
      </c>
      <c r="AS62" s="24">
        <f>AL59</f>
        <v>0.99130938022083459</v>
      </c>
      <c r="AT62" s="24"/>
      <c r="AU62" s="26">
        <f>AK63</f>
        <v>0.35464229874240649</v>
      </c>
      <c r="AV62" s="26">
        <f>AL63</f>
        <v>0.62437657751604037</v>
      </c>
      <c r="AW62" s="26"/>
      <c r="AX62" s="26">
        <f>AK67</f>
        <v>0.79456137970766949</v>
      </c>
      <c r="AY62" s="26">
        <f>AL67</f>
        <v>0.16922953107522365</v>
      </c>
    </row>
    <row r="63" spans="2:64" ht="15.75" thickBot="1" x14ac:dyDescent="0.3">
      <c r="B63" s="44" t="s">
        <v>93</v>
      </c>
      <c r="C63" s="2">
        <v>765.9</v>
      </c>
      <c r="D63" s="45" t="s">
        <v>88</v>
      </c>
      <c r="E63" s="3"/>
      <c r="F63" s="2"/>
      <c r="G63" s="2"/>
      <c r="H63" s="28">
        <v>0.98899999999999999</v>
      </c>
      <c r="I63" s="29">
        <v>1.0999999999999999E-2</v>
      </c>
      <c r="J63" s="30">
        <v>0</v>
      </c>
      <c r="K63" s="32">
        <f t="shared" si="9"/>
        <v>4.1479330638630927</v>
      </c>
      <c r="L63" s="33">
        <f t="shared" si="10"/>
        <v>4.139825723646668</v>
      </c>
      <c r="M63" s="33">
        <f t="shared" si="11"/>
        <v>8.7903735459021473</v>
      </c>
      <c r="N63" s="33">
        <f t="shared" si="12"/>
        <v>5.4306675592001206</v>
      </c>
      <c r="O63" s="33">
        <f t="shared" si="13"/>
        <v>3.4647383942819778</v>
      </c>
      <c r="P63" s="33">
        <f t="shared" si="14"/>
        <v>0.30892596376914361</v>
      </c>
      <c r="Q63" s="33">
        <f t="shared" si="15"/>
        <v>0.15337555691866434</v>
      </c>
      <c r="R63" s="33">
        <f t="shared" si="16"/>
        <v>0.15393863544920203</v>
      </c>
      <c r="S63" s="33">
        <f t="shared" si="17"/>
        <v>2.3027404986655366E-2</v>
      </c>
      <c r="T63" s="33">
        <f t="shared" si="18"/>
        <v>9.7319452885038737E-2</v>
      </c>
      <c r="U63" s="33">
        <f t="shared" si="19"/>
        <v>0.23416591247282573</v>
      </c>
      <c r="V63" s="34">
        <f t="shared" si="20"/>
        <v>0.87858732068206491</v>
      </c>
      <c r="W63" s="46">
        <f t="shared" si="21"/>
        <v>0.99069332498994123</v>
      </c>
      <c r="X63" s="47">
        <f t="shared" si="22"/>
        <v>0.16268842579255904</v>
      </c>
      <c r="Y63" s="48">
        <f t="shared" si="23"/>
        <v>2.5349928569003241E-2</v>
      </c>
      <c r="Z63" s="46">
        <f t="shared" si="24"/>
        <v>7.0100703518524068E-3</v>
      </c>
      <c r="AA63" s="47">
        <f t="shared" si="25"/>
        <v>0.62919343675029871</v>
      </c>
      <c r="AB63" s="48">
        <f t="shared" si="26"/>
        <v>0.20911743712093375</v>
      </c>
      <c r="AC63" s="32">
        <f t="shared" si="27"/>
        <v>1.002924802236945</v>
      </c>
      <c r="AD63" s="33">
        <f t="shared" si="28"/>
        <v>69.483024743605355</v>
      </c>
      <c r="AE63" s="34">
        <f t="shared" si="29"/>
        <v>5243.5602989862346</v>
      </c>
      <c r="AF63" s="2">
        <f t="shared" si="30"/>
        <v>2.1214483055159904E-2</v>
      </c>
      <c r="AG63" s="2">
        <f t="shared" si="31"/>
        <v>32.240208976582409</v>
      </c>
      <c r="AH63" s="2">
        <f t="shared" si="32"/>
        <v>4751.5353031810318</v>
      </c>
      <c r="AI63" s="88"/>
      <c r="AJ63" s="24">
        <f t="shared" si="33"/>
        <v>2.0981123741553146E-2</v>
      </c>
      <c r="AK63" s="24">
        <f t="shared" si="4"/>
        <v>0.35464229874240649</v>
      </c>
      <c r="AL63" s="24">
        <f>1-AJ63-AK63</f>
        <v>0.62437657751604037</v>
      </c>
      <c r="AM63" s="6">
        <f t="shared" si="5"/>
        <v>1</v>
      </c>
      <c r="AN63" s="27">
        <f t="shared" si="6"/>
        <v>3.5631313295247222E-10</v>
      </c>
      <c r="AO63" s="27">
        <f t="shared" si="7"/>
        <v>1.5982771749225211E-4</v>
      </c>
      <c r="AP63" s="27">
        <f t="shared" si="8"/>
        <v>1.593507952085379E-4</v>
      </c>
      <c r="AR63" s="24">
        <f>AK68</f>
        <v>0</v>
      </c>
      <c r="AS63" s="24">
        <f>AL68</f>
        <v>8.9249639653457831E-5</v>
      </c>
      <c r="AT63" s="24"/>
      <c r="AU63" s="26">
        <f>AK72</f>
        <v>1.0607871687445041E-2</v>
      </c>
      <c r="AV63" s="26">
        <f>AL72</f>
        <v>1.3406193142952023E-4</v>
      </c>
      <c r="AW63" s="26"/>
      <c r="AX63" s="26">
        <f>AK76</f>
        <v>3.4887172606096951E-2</v>
      </c>
      <c r="AY63" s="26">
        <f>AL76</f>
        <v>3.4537958955439986E-4</v>
      </c>
    </row>
    <row r="64" spans="2:64" ht="15.75" thickBot="1" x14ac:dyDescent="0.3">
      <c r="B64" s="44" t="s">
        <v>94</v>
      </c>
      <c r="C64" s="5">
        <v>0.45200000000000001</v>
      </c>
      <c r="D64" s="3"/>
      <c r="E64" s="3"/>
      <c r="F64" s="2"/>
      <c r="G64" s="2"/>
      <c r="H64" s="28">
        <v>0.98299999999999998</v>
      </c>
      <c r="I64" s="29">
        <v>1.7000000000000001E-2</v>
      </c>
      <c r="J64" s="30">
        <v>0</v>
      </c>
      <c r="K64" s="32">
        <f t="shared" si="9"/>
        <v>4.1479330638630927</v>
      </c>
      <c r="L64" s="33">
        <f t="shared" si="10"/>
        <v>4.139825723646668</v>
      </c>
      <c r="M64" s="33">
        <f t="shared" si="11"/>
        <v>8.7903735459021473</v>
      </c>
      <c r="N64" s="33">
        <f t="shared" si="12"/>
        <v>5.4306675592001206</v>
      </c>
      <c r="O64" s="33">
        <f t="shared" si="13"/>
        <v>3.4647383942819778</v>
      </c>
      <c r="P64" s="33">
        <f t="shared" si="14"/>
        <v>0.30892596376914361</v>
      </c>
      <c r="Q64" s="33">
        <f t="shared" si="15"/>
        <v>0.15337555691866434</v>
      </c>
      <c r="R64" s="33">
        <f t="shared" si="16"/>
        <v>0.15393863544920203</v>
      </c>
      <c r="S64" s="33">
        <f t="shared" si="17"/>
        <v>2.3027404986655366E-2</v>
      </c>
      <c r="T64" s="33">
        <f t="shared" si="18"/>
        <v>9.7319452885038737E-2</v>
      </c>
      <c r="U64" s="33">
        <f t="shared" si="19"/>
        <v>0.23416591247282573</v>
      </c>
      <c r="V64" s="34">
        <f t="shared" si="20"/>
        <v>0.87858732068206491</v>
      </c>
      <c r="W64" s="46">
        <f t="shared" si="21"/>
        <v>0.98561695680263639</v>
      </c>
      <c r="X64" s="47">
        <f t="shared" si="22"/>
        <v>0.16776817245104703</v>
      </c>
      <c r="Y64" s="48">
        <f t="shared" si="23"/>
        <v>2.6616759613920262E-2</v>
      </c>
      <c r="Z64" s="46">
        <f t="shared" si="24"/>
        <v>1.083374508922645E-2</v>
      </c>
      <c r="AA64" s="47">
        <f t="shared" si="25"/>
        <v>0.62537628748791074</v>
      </c>
      <c r="AB64" s="48">
        <f t="shared" si="26"/>
        <v>0.21277086193664096</v>
      </c>
      <c r="AC64" s="32">
        <f t="shared" si="27"/>
        <v>1.0065830656964183</v>
      </c>
      <c r="AD64" s="33">
        <f t="shared" si="28"/>
        <v>53.720795221988126</v>
      </c>
      <c r="AE64" s="34">
        <f t="shared" si="29"/>
        <v>3698.0073470665038</v>
      </c>
      <c r="AF64" s="2">
        <f t="shared" si="30"/>
        <v>2.3321574043963539E-2</v>
      </c>
      <c r="AG64" s="2">
        <f t="shared" si="31"/>
        <v>28.423083724596644</v>
      </c>
      <c r="AH64" s="2">
        <f t="shared" si="32"/>
        <v>3041.1226243671254</v>
      </c>
      <c r="AI64" s="88"/>
      <c r="AJ64" s="24">
        <f t="shared" si="33"/>
        <v>2.2925107285216156E-2</v>
      </c>
      <c r="AK64" s="24">
        <f t="shared" si="4"/>
        <v>0.48319242331814299</v>
      </c>
      <c r="AL64" s="24">
        <f t="shared" si="34"/>
        <v>0.49388246939664088</v>
      </c>
      <c r="AM64" s="6">
        <f t="shared" si="5"/>
        <v>1</v>
      </c>
      <c r="AN64" s="27">
        <f t="shared" si="6"/>
        <v>5.6089187276940918E-9</v>
      </c>
      <c r="AO64" s="27">
        <f t="shared" si="7"/>
        <v>2.9557941955022607E-4</v>
      </c>
      <c r="AP64" s="27">
        <f t="shared" si="8"/>
        <v>2.9300985395693267E-4</v>
      </c>
      <c r="AR64" s="95" t="s">
        <v>24</v>
      </c>
      <c r="AS64" s="96"/>
      <c r="AT64" s="24"/>
      <c r="AU64" s="95" t="s">
        <v>28</v>
      </c>
      <c r="AV64" s="96"/>
      <c r="AW64" s="26"/>
      <c r="AX64" s="26"/>
      <c r="AY64" s="26"/>
    </row>
    <row r="65" spans="2:51" x14ac:dyDescent="0.25">
      <c r="B65" s="44" t="s">
        <v>95</v>
      </c>
      <c r="C65" s="5">
        <v>0.42899999999999999</v>
      </c>
      <c r="D65" s="3"/>
      <c r="E65" s="3"/>
      <c r="F65" s="2"/>
      <c r="G65" s="2"/>
      <c r="H65" s="28">
        <v>0.97599999999999998</v>
      </c>
      <c r="I65" s="29">
        <v>2.4E-2</v>
      </c>
      <c r="J65" s="30">
        <v>0</v>
      </c>
      <c r="K65" s="32">
        <f t="shared" si="9"/>
        <v>4.1479330638630927</v>
      </c>
      <c r="L65" s="33">
        <f t="shared" si="10"/>
        <v>4.139825723646668</v>
      </c>
      <c r="M65" s="33">
        <f t="shared" si="11"/>
        <v>8.7903735459021473</v>
      </c>
      <c r="N65" s="33">
        <f t="shared" si="12"/>
        <v>5.4306675592001206</v>
      </c>
      <c r="O65" s="33">
        <f t="shared" si="13"/>
        <v>3.4647383942819778</v>
      </c>
      <c r="P65" s="33">
        <f t="shared" si="14"/>
        <v>0.30892596376914361</v>
      </c>
      <c r="Q65" s="33">
        <f t="shared" si="15"/>
        <v>0.15337555691866434</v>
      </c>
      <c r="R65" s="33">
        <f t="shared" si="16"/>
        <v>0.15393863544920203</v>
      </c>
      <c r="S65" s="33">
        <f t="shared" si="17"/>
        <v>2.3027404986655366E-2</v>
      </c>
      <c r="T65" s="33">
        <f t="shared" si="18"/>
        <v>9.7319452885038737E-2</v>
      </c>
      <c r="U65" s="33">
        <f t="shared" si="19"/>
        <v>0.23416591247282573</v>
      </c>
      <c r="V65" s="34">
        <f t="shared" si="20"/>
        <v>0.87858732068206491</v>
      </c>
      <c r="W65" s="46">
        <f t="shared" si="21"/>
        <v>0.97969452725078088</v>
      </c>
      <c r="X65" s="47">
        <f t="shared" si="22"/>
        <v>0.17369454355261638</v>
      </c>
      <c r="Y65" s="48">
        <f t="shared" si="23"/>
        <v>2.8094729166323454E-2</v>
      </c>
      <c r="Z65" s="46">
        <f t="shared" si="24"/>
        <v>1.5294698949496163E-2</v>
      </c>
      <c r="AA65" s="47">
        <f t="shared" si="25"/>
        <v>0.62092294668179115</v>
      </c>
      <c r="AB65" s="48">
        <f t="shared" si="26"/>
        <v>0.21703319088829937</v>
      </c>
      <c r="AC65" s="32">
        <f t="shared" si="27"/>
        <v>1.0122797911073418</v>
      </c>
      <c r="AD65" s="33">
        <f t="shared" si="28"/>
        <v>40.990371346180616</v>
      </c>
      <c r="AE65" s="34">
        <f t="shared" si="29"/>
        <v>2574.9466597041292</v>
      </c>
      <c r="AF65" s="2">
        <f t="shared" si="30"/>
        <v>2.75002736432686E-2</v>
      </c>
      <c r="AG65" s="2">
        <f t="shared" si="31"/>
        <v>25.494158397438465</v>
      </c>
      <c r="AH65" s="2">
        <f t="shared" si="32"/>
        <v>1714.6442706153414</v>
      </c>
      <c r="AI65" s="88"/>
      <c r="AJ65" s="24">
        <f t="shared" si="33"/>
        <v>2.6840267075830152E-2</v>
      </c>
      <c r="AK65" s="24">
        <f t="shared" si="4"/>
        <v>0.61185980153852326</v>
      </c>
      <c r="AL65" s="24">
        <f t="shared" si="34"/>
        <v>0.36129993138564653</v>
      </c>
      <c r="AM65" s="6">
        <f t="shared" si="5"/>
        <v>1</v>
      </c>
      <c r="AN65" s="27">
        <f t="shared" si="6"/>
        <v>2.5514607063850258E-8</v>
      </c>
      <c r="AO65" s="27">
        <f t="shared" si="7"/>
        <v>3.4337274070879795E-5</v>
      </c>
      <c r="AP65" s="27">
        <f t="shared" si="8"/>
        <v>3.249078220833737E-5</v>
      </c>
      <c r="AR65" s="24">
        <f>AK60</f>
        <v>0.11092550417646074</v>
      </c>
      <c r="AS65" s="24">
        <f>AL60</f>
        <v>0.87832613516180091</v>
      </c>
      <c r="AT65" s="24"/>
      <c r="AU65" s="26">
        <f>AK64</f>
        <v>0.48319242331814299</v>
      </c>
      <c r="AV65" s="26">
        <f>AL64</f>
        <v>0.49388246939664088</v>
      </c>
      <c r="AW65" s="26"/>
      <c r="AX65" s="26"/>
      <c r="AY65" s="26"/>
    </row>
    <row r="66" spans="2:51" ht="15.75" thickBot="1" x14ac:dyDescent="0.3">
      <c r="B66" s="44" t="s">
        <v>96</v>
      </c>
      <c r="C66" s="5">
        <v>0.41899999999999998</v>
      </c>
      <c r="D66" s="7"/>
      <c r="E66" s="3"/>
      <c r="F66" s="2"/>
      <c r="G66" s="2"/>
      <c r="H66" s="28">
        <v>0.97099999999999997</v>
      </c>
      <c r="I66" s="29">
        <v>2.9000000000000001E-2</v>
      </c>
      <c r="J66" s="30">
        <v>0</v>
      </c>
      <c r="K66" s="32">
        <f t="shared" si="9"/>
        <v>4.1479330638630927</v>
      </c>
      <c r="L66" s="33">
        <f t="shared" si="10"/>
        <v>4.139825723646668</v>
      </c>
      <c r="M66" s="33">
        <f t="shared" si="11"/>
        <v>8.7903735459021473</v>
      </c>
      <c r="N66" s="33">
        <f t="shared" si="12"/>
        <v>5.4306675592001206</v>
      </c>
      <c r="O66" s="33">
        <f t="shared" si="13"/>
        <v>3.4647383942819778</v>
      </c>
      <c r="P66" s="33">
        <f t="shared" si="14"/>
        <v>0.30892596376914361</v>
      </c>
      <c r="Q66" s="33">
        <f t="shared" si="15"/>
        <v>0.15337555691866434</v>
      </c>
      <c r="R66" s="33">
        <f t="shared" si="16"/>
        <v>0.15393863544920203</v>
      </c>
      <c r="S66" s="33">
        <f t="shared" si="17"/>
        <v>2.3027404986655366E-2</v>
      </c>
      <c r="T66" s="33">
        <f t="shared" si="18"/>
        <v>9.7319452885038737E-2</v>
      </c>
      <c r="U66" s="33">
        <f t="shared" si="19"/>
        <v>0.23416591247282573</v>
      </c>
      <c r="V66" s="34">
        <f t="shared" si="20"/>
        <v>0.87858732068206491</v>
      </c>
      <c r="W66" s="46">
        <f t="shared" si="21"/>
        <v>0.97546422042802683</v>
      </c>
      <c r="X66" s="47">
        <f t="shared" si="22"/>
        <v>0.17792766576802307</v>
      </c>
      <c r="Y66" s="48">
        <f t="shared" si="23"/>
        <v>2.9150421703754308E-2</v>
      </c>
      <c r="Z66" s="46">
        <f t="shared" si="24"/>
        <v>1.848109456397453E-2</v>
      </c>
      <c r="AA66" s="47">
        <f t="shared" si="25"/>
        <v>0.61774198896313459</v>
      </c>
      <c r="AB66" s="48">
        <f t="shared" si="26"/>
        <v>0.22007771156805536</v>
      </c>
      <c r="AC66" s="32">
        <f t="shared" si="27"/>
        <v>1.0171322053324472</v>
      </c>
      <c r="AD66" s="33">
        <f t="shared" si="28"/>
        <v>34.379449563873393</v>
      </c>
      <c r="AE66" s="34">
        <f t="shared" si="29"/>
        <v>2040.7076874486627</v>
      </c>
      <c r="AF66" s="2">
        <f t="shared" si="30"/>
        <v>3.1794878967873884E-2</v>
      </c>
      <c r="AG66" s="2">
        <f t="shared" si="31"/>
        <v>24.293651746643043</v>
      </c>
      <c r="AH66" s="2">
        <f t="shared" si="32"/>
        <v>1024.805643023215</v>
      </c>
      <c r="AI66" s="88"/>
      <c r="AJ66" s="24">
        <f t="shared" si="33"/>
        <v>3.087282747780554E-2</v>
      </c>
      <c r="AK66" s="24">
        <f t="shared" si="4"/>
        <v>0.70451590065264824</v>
      </c>
      <c r="AL66" s="24">
        <f t="shared" si="34"/>
        <v>0.26461127186954625</v>
      </c>
      <c r="AM66" s="6">
        <f t="shared" si="5"/>
        <v>1</v>
      </c>
      <c r="AN66" s="27">
        <f t="shared" si="6"/>
        <v>1.6172850401300319E-8</v>
      </c>
      <c r="AO66" s="27">
        <f t="shared" si="7"/>
        <v>2.6615348340292364E-7</v>
      </c>
      <c r="AP66" s="27">
        <f t="shared" si="8"/>
        <v>1.5110955940607836E-7</v>
      </c>
      <c r="AR66" s="24">
        <f>AK69</f>
        <v>2.5422467276001131E-3</v>
      </c>
      <c r="AS66" s="24">
        <f>AL69</f>
        <v>1.0138173682663864E-4</v>
      </c>
      <c r="AT66" s="24"/>
      <c r="AU66" s="26">
        <f>AK73</f>
        <v>1.6395124628814817E-2</v>
      </c>
      <c r="AV66" s="26">
        <f>AL73</f>
        <v>1.6803005439688308E-4</v>
      </c>
      <c r="AW66" s="26"/>
      <c r="AX66" s="26"/>
      <c r="AY66" s="26"/>
    </row>
    <row r="67" spans="2:51" ht="15.75" thickBot="1" x14ac:dyDescent="0.3">
      <c r="B67" s="44" t="s">
        <v>2</v>
      </c>
      <c r="C67" s="6">
        <v>8.3140000000000001</v>
      </c>
      <c r="D67" s="45" t="s">
        <v>97</v>
      </c>
      <c r="E67" s="3"/>
      <c r="F67" s="2"/>
      <c r="G67" s="2"/>
      <c r="H67" s="31">
        <v>0.96499999999999997</v>
      </c>
      <c r="I67" s="20">
        <v>3.5000000000000003E-2</v>
      </c>
      <c r="J67" s="19">
        <v>0</v>
      </c>
      <c r="K67" s="35">
        <f t="shared" si="9"/>
        <v>4.1479330638630927</v>
      </c>
      <c r="L67" s="21">
        <f t="shared" si="10"/>
        <v>4.139825723646668</v>
      </c>
      <c r="M67" s="21">
        <f t="shared" si="11"/>
        <v>8.7903735459021473</v>
      </c>
      <c r="N67" s="21">
        <f t="shared" si="12"/>
        <v>5.4306675592001206</v>
      </c>
      <c r="O67" s="21">
        <f t="shared" si="13"/>
        <v>3.4647383942819778</v>
      </c>
      <c r="P67" s="21">
        <f t="shared" si="14"/>
        <v>0.30892596376914361</v>
      </c>
      <c r="Q67" s="21">
        <f t="shared" si="15"/>
        <v>0.15337555691866434</v>
      </c>
      <c r="R67" s="21">
        <f t="shared" si="16"/>
        <v>0.15393863544920203</v>
      </c>
      <c r="S67" s="21">
        <f t="shared" si="17"/>
        <v>2.3027404986655366E-2</v>
      </c>
      <c r="T67" s="21">
        <f t="shared" si="18"/>
        <v>9.7319452885038737E-2</v>
      </c>
      <c r="U67" s="21">
        <f t="shared" si="19"/>
        <v>0.23416591247282573</v>
      </c>
      <c r="V67" s="36">
        <f t="shared" si="20"/>
        <v>0.87858732068206491</v>
      </c>
      <c r="W67" s="49">
        <f t="shared" si="21"/>
        <v>0.97038785224072199</v>
      </c>
      <c r="X67" s="22">
        <f t="shared" si="22"/>
        <v>0.18300741242651108</v>
      </c>
      <c r="Y67" s="50">
        <f t="shared" si="23"/>
        <v>3.0417252748671329E-2</v>
      </c>
      <c r="Z67" s="49">
        <f t="shared" si="24"/>
        <v>2.230476930134857E-2</v>
      </c>
      <c r="AA67" s="22">
        <f t="shared" si="25"/>
        <v>0.61392483970074641</v>
      </c>
      <c r="AB67" s="50">
        <f t="shared" si="26"/>
        <v>0.2237311363837626</v>
      </c>
      <c r="AC67" s="35">
        <f t="shared" si="27"/>
        <v>1.0236729573697936</v>
      </c>
      <c r="AD67" s="21">
        <f t="shared" si="28"/>
        <v>28.312234525200147</v>
      </c>
      <c r="AE67" s="36">
        <f t="shared" si="29"/>
        <v>1582.8527157919252</v>
      </c>
      <c r="AF67" s="52">
        <f t="shared" si="30"/>
        <v>3.7522372245706564E-2</v>
      </c>
      <c r="AG67" s="23">
        <f t="shared" si="31"/>
        <v>22.70175370593341</v>
      </c>
      <c r="AH67" s="53">
        <f t="shared" si="32"/>
        <v>498.00279229560164</v>
      </c>
      <c r="AI67" s="89"/>
      <c r="AJ67" s="25">
        <f t="shared" si="33"/>
        <v>3.6209089217106832E-2</v>
      </c>
      <c r="AK67" s="25">
        <f t="shared" si="4"/>
        <v>0.79456137970766949</v>
      </c>
      <c r="AL67" s="25">
        <f t="shared" si="34"/>
        <v>0.16922953107522365</v>
      </c>
      <c r="AM67" s="21">
        <f t="shared" si="5"/>
        <v>1</v>
      </c>
      <c r="AN67" s="27">
        <f t="shared" si="6"/>
        <v>4.3718300710349217E-8</v>
      </c>
      <c r="AO67" s="27">
        <f t="shared" si="7"/>
        <v>6.5606660068608543E-6</v>
      </c>
      <c r="AP67" s="27">
        <f t="shared" si="8"/>
        <v>7.6754980631510453E-6</v>
      </c>
      <c r="AR67" s="95" t="s">
        <v>25</v>
      </c>
      <c r="AS67" s="96"/>
      <c r="AT67" s="24"/>
      <c r="AU67" s="95" t="s">
        <v>29</v>
      </c>
      <c r="AV67" s="96"/>
      <c r="AW67" s="26"/>
      <c r="AX67" s="26"/>
      <c r="AY67" s="26"/>
    </row>
    <row r="68" spans="2:51" x14ac:dyDescent="0.25">
      <c r="B68" s="1"/>
      <c r="C68" s="6"/>
      <c r="D68" s="8"/>
      <c r="E68" s="3"/>
      <c r="F68" s="2"/>
      <c r="G68" s="2"/>
      <c r="H68" s="28">
        <v>8.9999999999999993E-3</v>
      </c>
      <c r="I68" s="29">
        <v>0</v>
      </c>
      <c r="J68" s="30">
        <v>0.99099999999999999</v>
      </c>
      <c r="K68" s="32">
        <f t="shared" si="9"/>
        <v>4.1479330638630927</v>
      </c>
      <c r="L68" s="33">
        <f t="shared" si="10"/>
        <v>4.139825723646668</v>
      </c>
      <c r="M68" s="33">
        <f t="shared" si="11"/>
        <v>8.7903735459021473</v>
      </c>
      <c r="N68" s="33">
        <f t="shared" si="12"/>
        <v>5.4306675592001206</v>
      </c>
      <c r="O68" s="33">
        <f t="shared" si="13"/>
        <v>3.4647383942819778</v>
      </c>
      <c r="P68" s="33">
        <f t="shared" si="14"/>
        <v>0.30892596376914361</v>
      </c>
      <c r="Q68" s="33">
        <f t="shared" si="15"/>
        <v>0.15337555691866434</v>
      </c>
      <c r="R68" s="33">
        <f t="shared" si="16"/>
        <v>0.15393863544920203</v>
      </c>
      <c r="S68" s="33">
        <f t="shared" si="17"/>
        <v>2.3027404986655366E-2</v>
      </c>
      <c r="T68" s="33">
        <f t="shared" si="18"/>
        <v>9.7319452885038737E-2</v>
      </c>
      <c r="U68" s="33">
        <f t="shared" si="19"/>
        <v>0.23416591247282573</v>
      </c>
      <c r="V68" s="34">
        <f t="shared" si="20"/>
        <v>0.87858732068206491</v>
      </c>
      <c r="W68" s="46">
        <f t="shared" si="21"/>
        <v>0.10544357780907339</v>
      </c>
      <c r="X68" s="47">
        <f t="shared" si="22"/>
        <v>0.87206041480819441</v>
      </c>
      <c r="Y68" s="48">
        <f t="shared" si="23"/>
        <v>0.99120724664487991</v>
      </c>
      <c r="Z68" s="46">
        <f t="shared" si="24"/>
        <v>0.5237530093009275</v>
      </c>
      <c r="AA68" s="47">
        <f t="shared" si="25"/>
        <v>0.27470139277746514</v>
      </c>
      <c r="AB68" s="48">
        <f t="shared" si="26"/>
        <v>1.8217754246292346E-3</v>
      </c>
      <c r="AC68" s="56">
        <f>EXP((Z68/W68)-(H68*Z68/W68^2)+(I68*Q68/X68)*(K68-AA68/X68)+(J68*S68/Y68)*(M68-AB68/Y68))</f>
        <v>115.06659195899471</v>
      </c>
      <c r="AD68" s="33">
        <f t="shared" si="28"/>
        <v>3.049129482116919</v>
      </c>
      <c r="AE68" s="34">
        <f t="shared" si="29"/>
        <v>1.00385813492195</v>
      </c>
      <c r="AF68" s="2">
        <f>AC68/AC59</f>
        <v>115.06659195899471</v>
      </c>
      <c r="AG68" s="2">
        <f t="shared" ref="AG68:AH68" si="35">AD68/AD59</f>
        <v>2.5467400598565802E-2</v>
      </c>
      <c r="AH68" s="2">
        <f t="shared" si="35"/>
        <v>9.0060181285023046E-5</v>
      </c>
      <c r="AI68" s="90" t="s">
        <v>32</v>
      </c>
      <c r="AJ68" s="24">
        <f>H68*AC68/AC59</f>
        <v>1.0355993276309523</v>
      </c>
      <c r="AK68" s="24">
        <f>I68*AD68/AD59</f>
        <v>0</v>
      </c>
      <c r="AL68" s="24">
        <f>J68*AE68/AE59</f>
        <v>8.9249639653457831E-5</v>
      </c>
      <c r="AM68" s="6">
        <f t="shared" si="5"/>
        <v>1.0356885772706057</v>
      </c>
      <c r="AN68" s="27">
        <f t="shared" ref="AN68:AN76" si="36">(H59-AJ68)^2</f>
        <v>1.2673121277758843E-3</v>
      </c>
      <c r="AO68" s="27">
        <f t="shared" ref="AO68:AO76" si="37">(I59-AK68)^2</f>
        <v>0</v>
      </c>
      <c r="AP68" s="27">
        <f t="shared" ref="AP68:AP76" si="38">(J59-AL68)^2</f>
        <v>7.9654981782720718E-9</v>
      </c>
      <c r="AR68" s="42">
        <f>AK61</f>
        <v>0.18270760482941339</v>
      </c>
      <c r="AS68" s="24">
        <f>AL61</f>
        <v>0.80262700244141094</v>
      </c>
      <c r="AT68" s="24"/>
      <c r="AU68" s="26">
        <f>AK65</f>
        <v>0.61185980153852326</v>
      </c>
      <c r="AV68" s="26">
        <f>AL65</f>
        <v>0.36129993138564653</v>
      </c>
      <c r="AW68" s="26"/>
      <c r="AX68" s="26"/>
      <c r="AY68" s="26"/>
    </row>
    <row r="69" spans="2:51" ht="15.75" thickBot="1" x14ac:dyDescent="0.3">
      <c r="B69" s="3"/>
      <c r="C69" s="3"/>
      <c r="D69" s="3"/>
      <c r="E69" s="3"/>
      <c r="F69" s="2"/>
      <c r="G69" s="2"/>
      <c r="H69" s="28">
        <v>1.0999999999999999E-2</v>
      </c>
      <c r="I69" s="29">
        <v>9.4E-2</v>
      </c>
      <c r="J69" s="30">
        <v>0.89500000000000002</v>
      </c>
      <c r="K69" s="32">
        <f t="shared" si="9"/>
        <v>4.1479330638630927</v>
      </c>
      <c r="L69" s="33">
        <f t="shared" si="10"/>
        <v>4.139825723646668</v>
      </c>
      <c r="M69" s="33">
        <f t="shared" si="11"/>
        <v>8.7903735459021473</v>
      </c>
      <c r="N69" s="33">
        <f t="shared" si="12"/>
        <v>5.4306675592001206</v>
      </c>
      <c r="O69" s="33">
        <f t="shared" si="13"/>
        <v>3.4647383942819778</v>
      </c>
      <c r="P69" s="33">
        <f t="shared" si="14"/>
        <v>0.30892596376914361</v>
      </c>
      <c r="Q69" s="33">
        <f t="shared" si="15"/>
        <v>0.15337555691866434</v>
      </c>
      <c r="R69" s="33">
        <f t="shared" si="16"/>
        <v>0.15393863544920203</v>
      </c>
      <c r="S69" s="33">
        <f t="shared" si="17"/>
        <v>2.3027404986655366E-2</v>
      </c>
      <c r="T69" s="33">
        <f t="shared" si="18"/>
        <v>9.7319452885038737E-2</v>
      </c>
      <c r="U69" s="33">
        <f t="shared" si="19"/>
        <v>0.23416591247282573</v>
      </c>
      <c r="V69" s="34">
        <f t="shared" si="20"/>
        <v>0.87858732068206491</v>
      </c>
      <c r="W69" s="46">
        <f t="shared" si="21"/>
        <v>0.11257114206433466</v>
      </c>
      <c r="X69" s="47">
        <f t="shared" si="22"/>
        <v>0.88202278313655336</v>
      </c>
      <c r="Y69" s="48">
        <f t="shared" si="23"/>
        <v>0.91726489722729887</v>
      </c>
      <c r="Z69" s="46">
        <f t="shared" si="24"/>
        <v>0.53292032566957992</v>
      </c>
      <c r="AA69" s="47">
        <f t="shared" si="25"/>
        <v>0.24991760612441039</v>
      </c>
      <c r="AB69" s="48">
        <f t="shared" si="26"/>
        <v>7.8491035400087381E-2</v>
      </c>
      <c r="AC69" s="32">
        <f>EXP((Z69/W69)-(H69*Z69/W69^2)+(I69*Q69/X69)*(K69-AA69/X69)+(J69*S69/Y69)*(M69-AB69/Y69))</f>
        <v>92.780263953172408</v>
      </c>
      <c r="AD69" s="33">
        <f t="shared" si="28"/>
        <v>2.7629222432115936</v>
      </c>
      <c r="AE69" s="34">
        <f t="shared" si="29"/>
        <v>1.011158373608096</v>
      </c>
      <c r="AF69" s="2">
        <f t="shared" ref="AF69:AF76" si="39">AC69/AC60</f>
        <v>92.758331375042957</v>
      </c>
      <c r="AG69" s="2">
        <f t="shared" ref="AG69:AG76" si="40">AD69/AD60</f>
        <v>2.7045177953192692E-2</v>
      </c>
      <c r="AH69" s="2">
        <f t="shared" ref="AH69:AH76" si="41">AE69/AE60</f>
        <v>1.1327568360518283E-4</v>
      </c>
      <c r="AI69" s="91"/>
      <c r="AJ69" s="24">
        <f t="shared" ref="AJ69:AJ76" si="42">H69*AC69/AC60</f>
        <v>1.0203416451254725</v>
      </c>
      <c r="AK69" s="24">
        <f t="shared" ref="AK69:AL69" si="43">I69*AD69/AD60</f>
        <v>2.5422467276001131E-3</v>
      </c>
      <c r="AL69" s="24">
        <f t="shared" si="43"/>
        <v>1.0138173682663864E-4</v>
      </c>
      <c r="AM69" s="6">
        <f t="shared" si="5"/>
        <v>1.0229852735898994</v>
      </c>
      <c r="AN69" s="27">
        <f t="shared" si="36"/>
        <v>5.4483239716349619E-4</v>
      </c>
      <c r="AO69" s="27">
        <f t="shared" si="37"/>
        <v>2.0953805839280508E-7</v>
      </c>
      <c r="AP69" s="27">
        <f t="shared" si="38"/>
        <v>1.0278256561985818E-8</v>
      </c>
      <c r="AR69" s="24">
        <f>AK70</f>
        <v>5.0080017241444213E-3</v>
      </c>
      <c r="AS69" s="24">
        <f>AL70</f>
        <v>1.066442267485035E-4</v>
      </c>
      <c r="AT69" s="24"/>
      <c r="AU69" s="26">
        <f>AK74</f>
        <v>2.3770151206908955E-2</v>
      </c>
      <c r="AV69" s="26">
        <f>AL74</f>
        <v>2.1403856548524389E-4</v>
      </c>
      <c r="AW69" s="26"/>
      <c r="AX69" s="26"/>
      <c r="AY69" s="26"/>
    </row>
    <row r="70" spans="2:51" ht="15.75" thickBot="1" x14ac:dyDescent="0.3">
      <c r="B70" s="3"/>
      <c r="C70" s="1"/>
      <c r="D70" s="7"/>
      <c r="E70" s="3"/>
      <c r="F70" s="2"/>
      <c r="G70" s="2"/>
      <c r="H70" s="28">
        <v>1.4999999999999999E-2</v>
      </c>
      <c r="I70" s="29">
        <v>0.183</v>
      </c>
      <c r="J70" s="30">
        <v>0.80200000000000005</v>
      </c>
      <c r="K70" s="32">
        <f t="shared" si="9"/>
        <v>4.1479330638630927</v>
      </c>
      <c r="L70" s="33">
        <f t="shared" si="10"/>
        <v>4.139825723646668</v>
      </c>
      <c r="M70" s="33">
        <f t="shared" si="11"/>
        <v>8.7903735459021473</v>
      </c>
      <c r="N70" s="33">
        <f t="shared" si="12"/>
        <v>5.4306675592001206</v>
      </c>
      <c r="O70" s="33">
        <f t="shared" si="13"/>
        <v>3.4647383942819778</v>
      </c>
      <c r="P70" s="33">
        <f t="shared" si="14"/>
        <v>0.30892596376914361</v>
      </c>
      <c r="Q70" s="33">
        <f t="shared" si="15"/>
        <v>0.15337555691866434</v>
      </c>
      <c r="R70" s="33">
        <f t="shared" si="16"/>
        <v>0.15393863544920203</v>
      </c>
      <c r="S70" s="33">
        <f t="shared" si="17"/>
        <v>2.3027404986655366E-2</v>
      </c>
      <c r="T70" s="33">
        <f t="shared" si="18"/>
        <v>9.7319452885038737E-2</v>
      </c>
      <c r="U70" s="33">
        <f t="shared" si="19"/>
        <v>0.23416591247282573</v>
      </c>
      <c r="V70" s="34">
        <f t="shared" si="20"/>
        <v>0.87858732068206491</v>
      </c>
      <c r="W70" s="46">
        <f t="shared" si="21"/>
        <v>0.12122097150100504</v>
      </c>
      <c r="X70" s="47">
        <f t="shared" si="22"/>
        <v>0.88992766454079608</v>
      </c>
      <c r="Y70" s="48">
        <f t="shared" si="23"/>
        <v>0.84519777305732702</v>
      </c>
      <c r="Z70" s="46">
        <f t="shared" si="24"/>
        <v>0.54048677521073951</v>
      </c>
      <c r="AA70" s="47">
        <f t="shared" si="25"/>
        <v>0.22722045786320952</v>
      </c>
      <c r="AB70" s="48">
        <f t="shared" si="26"/>
        <v>0.1515085162209131</v>
      </c>
      <c r="AC70" s="32">
        <f t="shared" si="27"/>
        <v>67.890424774726924</v>
      </c>
      <c r="AD70" s="33">
        <f t="shared" si="28"/>
        <v>2.5263448756752749</v>
      </c>
      <c r="AE70" s="34">
        <f t="shared" si="29"/>
        <v>1.0310222715865709</v>
      </c>
      <c r="AF70" s="2">
        <f t="shared" si="39"/>
        <v>67.846802221704181</v>
      </c>
      <c r="AG70" s="2">
        <f t="shared" si="40"/>
        <v>2.7366129640133453E-2</v>
      </c>
      <c r="AH70" s="2">
        <f t="shared" si="41"/>
        <v>1.3297285130736095E-4</v>
      </c>
      <c r="AI70" s="91"/>
      <c r="AJ70" s="24">
        <f t="shared" si="42"/>
        <v>1.0177020333255629</v>
      </c>
      <c r="AK70" s="24">
        <f t="shared" ref="AK70:AL70" si="44">I70*AD70/AD61</f>
        <v>5.0080017241444213E-3</v>
      </c>
      <c r="AL70" s="24">
        <f t="shared" si="44"/>
        <v>1.066442267485035E-4</v>
      </c>
      <c r="AM70" s="6">
        <f t="shared" si="5"/>
        <v>1.0228166792764559</v>
      </c>
      <c r="AN70" s="27">
        <f t="shared" si="36"/>
        <v>5.1538231711496687E-4</v>
      </c>
      <c r="AO70" s="27">
        <f t="shared" si="37"/>
        <v>6.402758928341283E-11</v>
      </c>
      <c r="AP70" s="27">
        <f t="shared" si="38"/>
        <v>1.1372991098786229E-8</v>
      </c>
      <c r="AR70" s="95" t="s">
        <v>26</v>
      </c>
      <c r="AS70" s="96"/>
      <c r="AT70" s="24"/>
      <c r="AU70" s="95" t="s">
        <v>30</v>
      </c>
      <c r="AV70" s="96"/>
      <c r="AW70" s="26"/>
      <c r="AX70" s="26"/>
      <c r="AY70" s="26"/>
    </row>
    <row r="71" spans="2:51" x14ac:dyDescent="0.25">
      <c r="B71" s="3"/>
      <c r="C71" s="1"/>
      <c r="D71" s="7"/>
      <c r="E71" s="3"/>
      <c r="F71" s="2"/>
      <c r="G71" s="2"/>
      <c r="H71" s="28">
        <v>1.7999999999999999E-2</v>
      </c>
      <c r="I71" s="29">
        <v>0.26900000000000002</v>
      </c>
      <c r="J71" s="30">
        <v>0.71299999999999997</v>
      </c>
      <c r="K71" s="32">
        <f t="shared" si="9"/>
        <v>4.1479330638630927</v>
      </c>
      <c r="L71" s="33">
        <f t="shared" si="10"/>
        <v>4.139825723646668</v>
      </c>
      <c r="M71" s="33">
        <f t="shared" si="11"/>
        <v>8.7903735459021473</v>
      </c>
      <c r="N71" s="33">
        <f t="shared" si="12"/>
        <v>5.4306675592001206</v>
      </c>
      <c r="O71" s="33">
        <f t="shared" si="13"/>
        <v>3.4647383942819778</v>
      </c>
      <c r="P71" s="33">
        <f t="shared" si="14"/>
        <v>0.30892596376914361</v>
      </c>
      <c r="Q71" s="33">
        <f t="shared" si="15"/>
        <v>0.15337555691866434</v>
      </c>
      <c r="R71" s="33">
        <f t="shared" si="16"/>
        <v>0.15393863544920203</v>
      </c>
      <c r="S71" s="33">
        <f t="shared" si="17"/>
        <v>2.3027404986655366E-2</v>
      </c>
      <c r="T71" s="33">
        <f t="shared" si="18"/>
        <v>9.7319452885038737E-2</v>
      </c>
      <c r="U71" s="33">
        <f t="shared" si="19"/>
        <v>0.23416591247282573</v>
      </c>
      <c r="V71" s="34">
        <f t="shared" si="20"/>
        <v>0.87858732068206491</v>
      </c>
      <c r="W71" s="46">
        <f t="shared" si="21"/>
        <v>0.12879826284286797</v>
      </c>
      <c r="X71" s="47">
        <f t="shared" si="22"/>
        <v>0.89819351967084826</v>
      </c>
      <c r="Y71" s="48">
        <f t="shared" si="23"/>
        <v>0.77640512374494985</v>
      </c>
      <c r="Z71" s="46">
        <f t="shared" si="24"/>
        <v>0.54825542576585984</v>
      </c>
      <c r="AA71" s="47">
        <f t="shared" si="25"/>
        <v>0.20497279179746547</v>
      </c>
      <c r="AB71" s="48">
        <f t="shared" si="26"/>
        <v>0.22188960666738333</v>
      </c>
      <c r="AC71" s="32">
        <f t="shared" si="27"/>
        <v>55.796238119921206</v>
      </c>
      <c r="AD71" s="33">
        <f t="shared" si="28"/>
        <v>2.3185814427920266</v>
      </c>
      <c r="AE71" s="34">
        <f t="shared" si="29"/>
        <v>1.0624162020055641</v>
      </c>
      <c r="AF71" s="2">
        <f t="shared" si="39"/>
        <v>55.707375669287416</v>
      </c>
      <c r="AG71" s="2">
        <f t="shared" si="40"/>
        <v>2.905341215798353E-2</v>
      </c>
      <c r="AH71" s="2">
        <f t="shared" si="41"/>
        <v>1.6756403969011907E-4</v>
      </c>
      <c r="AI71" s="91"/>
      <c r="AJ71" s="24">
        <f t="shared" si="42"/>
        <v>1.0027327620471735</v>
      </c>
      <c r="AK71" s="24">
        <f t="shared" ref="AK71:AL71" si="45">I71*AD71/AD62</f>
        <v>7.81536787049757E-3</v>
      </c>
      <c r="AL71" s="24">
        <f t="shared" si="45"/>
        <v>1.194731602990549E-4</v>
      </c>
      <c r="AM71" s="6">
        <f t="shared" si="5"/>
        <v>1.0106676030779702</v>
      </c>
      <c r="AN71" s="27">
        <f t="shared" si="36"/>
        <v>1.1519218116124897E-4</v>
      </c>
      <c r="AO71" s="27">
        <f t="shared" si="37"/>
        <v>3.4089023244602144E-8</v>
      </c>
      <c r="AP71" s="27">
        <f t="shared" si="38"/>
        <v>1.4273836031843668E-8</v>
      </c>
      <c r="AR71" s="26">
        <f>AK62</f>
        <v>0.27535492067157064</v>
      </c>
      <c r="AS71" s="26">
        <f>AL62</f>
        <v>0.70683774254255904</v>
      </c>
      <c r="AT71" s="26"/>
      <c r="AU71" s="26">
        <f>AK66</f>
        <v>0.70451590065264824</v>
      </c>
      <c r="AV71" s="26">
        <f>AL66</f>
        <v>0.26461127186954625</v>
      </c>
      <c r="AW71" s="26"/>
      <c r="AX71" s="26"/>
      <c r="AY71" s="26"/>
    </row>
    <row r="72" spans="2:51" x14ac:dyDescent="0.25">
      <c r="B72" s="3"/>
      <c r="C72" s="3"/>
      <c r="D72" s="3"/>
      <c r="E72" s="3"/>
      <c r="F72" s="2"/>
      <c r="G72" s="2"/>
      <c r="H72" s="28">
        <v>2.1000000000000001E-2</v>
      </c>
      <c r="I72" s="29">
        <v>0.34200000000000003</v>
      </c>
      <c r="J72" s="30">
        <v>0.63700000000000001</v>
      </c>
      <c r="K72" s="32">
        <f t="shared" si="9"/>
        <v>4.1479330638630927</v>
      </c>
      <c r="L72" s="33">
        <f t="shared" si="10"/>
        <v>4.139825723646668</v>
      </c>
      <c r="M72" s="33">
        <f t="shared" si="11"/>
        <v>8.7903735459021473</v>
      </c>
      <c r="N72" s="33">
        <f t="shared" si="12"/>
        <v>5.4306675592001206</v>
      </c>
      <c r="O72" s="33">
        <f t="shared" si="13"/>
        <v>3.4647383942819778</v>
      </c>
      <c r="P72" s="33">
        <f t="shared" si="14"/>
        <v>0.30892596376914361</v>
      </c>
      <c r="Q72" s="33">
        <f t="shared" si="15"/>
        <v>0.15337555691866434</v>
      </c>
      <c r="R72" s="33">
        <f t="shared" si="16"/>
        <v>0.15393863544920203</v>
      </c>
      <c r="S72" s="33">
        <f t="shared" si="17"/>
        <v>2.3027404986655366E-2</v>
      </c>
      <c r="T72" s="33">
        <f t="shared" si="18"/>
        <v>9.7319452885038737E-2</v>
      </c>
      <c r="U72" s="33">
        <f t="shared" si="19"/>
        <v>0.23416591247282573</v>
      </c>
      <c r="V72" s="34">
        <f t="shared" si="20"/>
        <v>0.87858732068206491</v>
      </c>
      <c r="W72" s="46">
        <f t="shared" si="21"/>
        <v>0.13563950481139678</v>
      </c>
      <c r="X72" s="47">
        <f t="shared" si="22"/>
        <v>0.90488100996976728</v>
      </c>
      <c r="Y72" s="48">
        <f t="shared" si="23"/>
        <v>0.71756831757042616</v>
      </c>
      <c r="Z72" s="46">
        <f t="shared" si="24"/>
        <v>0.55461007246694072</v>
      </c>
      <c r="AA72" s="47">
        <f t="shared" si="25"/>
        <v>0.18625356538408322</v>
      </c>
      <c r="AB72" s="48">
        <f t="shared" si="26"/>
        <v>0.2817234899553569</v>
      </c>
      <c r="AC72" s="32">
        <f t="shared" si="27"/>
        <v>47.275476834822427</v>
      </c>
      <c r="AD72" s="33">
        <f t="shared" si="28"/>
        <v>2.1551666986424984</v>
      </c>
      <c r="AE72" s="34">
        <f t="shared" si="29"/>
        <v>1.1035507397947364</v>
      </c>
      <c r="AF72" s="2">
        <f t="shared" si="39"/>
        <v>47.137608651594007</v>
      </c>
      <c r="AG72" s="2">
        <f t="shared" si="40"/>
        <v>3.1017168676739884E-2</v>
      </c>
      <c r="AH72" s="2">
        <f t="shared" si="41"/>
        <v>2.104582910981479E-4</v>
      </c>
      <c r="AI72" s="91"/>
      <c r="AJ72" s="24">
        <f t="shared" si="42"/>
        <v>0.98988978168347419</v>
      </c>
      <c r="AK72" s="24">
        <f t="shared" ref="AK72:AL72" si="46">I72*AD72/AD63</f>
        <v>1.0607871687445041E-2</v>
      </c>
      <c r="AL72" s="24">
        <f t="shared" si="46"/>
        <v>1.3406193142952023E-4</v>
      </c>
      <c r="AM72" s="6">
        <f t="shared" si="5"/>
        <v>1.000631715302349</v>
      </c>
      <c r="AN72" s="27">
        <f t="shared" si="36"/>
        <v>7.9171144424618153E-7</v>
      </c>
      <c r="AO72" s="27">
        <f t="shared" si="37"/>
        <v>1.5376461350719872E-7</v>
      </c>
      <c r="AP72" s="27">
        <f t="shared" si="38"/>
        <v>1.7972601458613383E-8</v>
      </c>
      <c r="AR72" s="26">
        <f>AK71</f>
        <v>7.81536787049757E-3</v>
      </c>
      <c r="AS72" s="26">
        <f>AL71</f>
        <v>1.194731602990549E-4</v>
      </c>
      <c r="AT72" s="26"/>
      <c r="AU72" s="26">
        <f>AK75</f>
        <v>2.8978763972661314E-2</v>
      </c>
      <c r="AV72" s="26">
        <f>AL75</f>
        <v>2.5858561748180866E-4</v>
      </c>
      <c r="AW72" s="26"/>
      <c r="AX72" s="26"/>
      <c r="AY72" s="26"/>
    </row>
    <row r="73" spans="2:51" x14ac:dyDescent="0.25">
      <c r="B73" s="3"/>
      <c r="C73" s="3"/>
      <c r="D73" s="3"/>
      <c r="E73" s="3"/>
      <c r="F73" s="2"/>
      <c r="G73" s="2"/>
      <c r="H73" s="28">
        <v>2.3E-2</v>
      </c>
      <c r="I73" s="29">
        <v>0.46600000000000003</v>
      </c>
      <c r="J73" s="30">
        <v>0.5109999999999999</v>
      </c>
      <c r="K73" s="32">
        <f t="shared" si="9"/>
        <v>4.1479330638630927</v>
      </c>
      <c r="L73" s="33">
        <f t="shared" si="10"/>
        <v>4.139825723646668</v>
      </c>
      <c r="M73" s="33">
        <f t="shared" si="11"/>
        <v>8.7903735459021473</v>
      </c>
      <c r="N73" s="33">
        <f t="shared" si="12"/>
        <v>5.4306675592001206</v>
      </c>
      <c r="O73" s="33">
        <f t="shared" si="13"/>
        <v>3.4647383942819778</v>
      </c>
      <c r="P73" s="33">
        <f t="shared" si="14"/>
        <v>0.30892596376914361</v>
      </c>
      <c r="Q73" s="33">
        <f t="shared" si="15"/>
        <v>0.15337555691866434</v>
      </c>
      <c r="R73" s="33">
        <f t="shared" si="16"/>
        <v>0.15393863544920203</v>
      </c>
      <c r="S73" s="33">
        <f t="shared" si="17"/>
        <v>2.3027404986655366E-2</v>
      </c>
      <c r="T73" s="33">
        <f t="shared" si="18"/>
        <v>9.7319452885038737E-2</v>
      </c>
      <c r="U73" s="33">
        <f t="shared" si="19"/>
        <v>0.23416591247282573</v>
      </c>
      <c r="V73" s="34">
        <f t="shared" si="20"/>
        <v>0.87858732068206491</v>
      </c>
      <c r="W73" s="46">
        <f t="shared" si="21"/>
        <v>0.14446564454358293</v>
      </c>
      <c r="X73" s="47">
        <f t="shared" si="22"/>
        <v>0.91848575867766447</v>
      </c>
      <c r="Y73" s="48">
        <f t="shared" si="23"/>
        <v>0.62065094552702971</v>
      </c>
      <c r="Z73" s="46">
        <f t="shared" si="24"/>
        <v>0.56704047465260676</v>
      </c>
      <c r="AA73" s="47">
        <f t="shared" si="25"/>
        <v>0.15332722568711676</v>
      </c>
      <c r="AB73" s="48">
        <f t="shared" si="26"/>
        <v>0.38273245875811512</v>
      </c>
      <c r="AC73" s="32">
        <f t="shared" si="27"/>
        <v>43.16102608678586</v>
      </c>
      <c r="AD73" s="33">
        <f t="shared" si="28"/>
        <v>1.8900410575612336</v>
      </c>
      <c r="AE73" s="34">
        <f t="shared" si="29"/>
        <v>1.2160007352008964</v>
      </c>
      <c r="AF73" s="2">
        <f t="shared" si="39"/>
        <v>42.878752442476582</v>
      </c>
      <c r="AG73" s="2">
        <f t="shared" si="40"/>
        <v>3.5182670877285015E-2</v>
      </c>
      <c r="AH73" s="2">
        <f t="shared" si="41"/>
        <v>3.2882593815437009E-4</v>
      </c>
      <c r="AI73" s="91"/>
      <c r="AJ73" s="24">
        <f t="shared" si="42"/>
        <v>0.98621130617696129</v>
      </c>
      <c r="AK73" s="24">
        <f t="shared" ref="AK73:AL73" si="47">I73*AD73/AD64</f>
        <v>1.6395124628814817E-2</v>
      </c>
      <c r="AL73" s="24">
        <f t="shared" si="47"/>
        <v>1.6803005439688308E-4</v>
      </c>
      <c r="AM73" s="6">
        <f t="shared" si="5"/>
        <v>1.002774460860173</v>
      </c>
      <c r="AN73" s="27">
        <f t="shared" si="36"/>
        <v>1.0312487362189826E-5</v>
      </c>
      <c r="AO73" s="27">
        <f t="shared" si="37"/>
        <v>3.6587421466641478E-7</v>
      </c>
      <c r="AP73" s="27">
        <f t="shared" si="38"/>
        <v>2.8234099180619488E-8</v>
      </c>
    </row>
    <row r="74" spans="2:51" x14ac:dyDescent="0.25">
      <c r="B74" s="3"/>
      <c r="C74" s="3"/>
      <c r="D74" s="3"/>
      <c r="E74" s="3"/>
      <c r="F74" s="2"/>
      <c r="G74" s="2"/>
      <c r="H74" s="28">
        <v>2.7E-2</v>
      </c>
      <c r="I74" s="29">
        <v>0.60599999999999998</v>
      </c>
      <c r="J74" s="30">
        <v>0.36699999999999999</v>
      </c>
      <c r="K74" s="32">
        <f t="shared" si="9"/>
        <v>4.1479330638630927</v>
      </c>
      <c r="L74" s="33">
        <f t="shared" si="10"/>
        <v>4.139825723646668</v>
      </c>
      <c r="M74" s="33">
        <f t="shared" si="11"/>
        <v>8.7903735459021473</v>
      </c>
      <c r="N74" s="33">
        <f t="shared" si="12"/>
        <v>5.4306675592001206</v>
      </c>
      <c r="O74" s="33">
        <f t="shared" si="13"/>
        <v>3.4647383942819778</v>
      </c>
      <c r="P74" s="33">
        <f t="shared" si="14"/>
        <v>0.30892596376914361</v>
      </c>
      <c r="Q74" s="33">
        <f t="shared" si="15"/>
        <v>0.15337555691866434</v>
      </c>
      <c r="R74" s="33">
        <f t="shared" si="16"/>
        <v>0.15393863544920203</v>
      </c>
      <c r="S74" s="33">
        <f t="shared" si="17"/>
        <v>2.3027404986655366E-2</v>
      </c>
      <c r="T74" s="33">
        <f t="shared" si="18"/>
        <v>9.7319452885038737E-2</v>
      </c>
      <c r="U74" s="33">
        <f t="shared" si="19"/>
        <v>0.23416591247282573</v>
      </c>
      <c r="V74" s="34">
        <f t="shared" si="20"/>
        <v>0.87858732068206491</v>
      </c>
      <c r="W74" s="46">
        <f t="shared" si="21"/>
        <v>0.15600305229102562</v>
      </c>
      <c r="X74" s="47">
        <f t="shared" si="22"/>
        <v>0.93258268672712186</v>
      </c>
      <c r="Y74" s="48">
        <f t="shared" si="23"/>
        <v>0.50952628289317203</v>
      </c>
      <c r="Z74" s="46">
        <f t="shared" si="24"/>
        <v>0.58015417008268966</v>
      </c>
      <c r="AA74" s="47">
        <f t="shared" si="25"/>
        <v>0.11678773725126601</v>
      </c>
      <c r="AB74" s="48">
        <f t="shared" si="26"/>
        <v>0.49712744458535107</v>
      </c>
      <c r="AC74" s="32">
        <f t="shared" si="27"/>
        <v>36.80980794004293</v>
      </c>
      <c r="AD74" s="33">
        <f t="shared" si="28"/>
        <v>1.6078338695149528</v>
      </c>
      <c r="AE74" s="34">
        <f t="shared" si="29"/>
        <v>1.5017381178313141</v>
      </c>
      <c r="AF74" s="2">
        <f t="shared" si="39"/>
        <v>36.363274524898259</v>
      </c>
      <c r="AG74" s="2">
        <f t="shared" si="40"/>
        <v>3.9224671958595636E-2</v>
      </c>
      <c r="AH74" s="2">
        <f t="shared" si="41"/>
        <v>5.8321135009603239E-4</v>
      </c>
      <c r="AI74" s="91"/>
      <c r="AJ74" s="24">
        <f t="shared" si="42"/>
        <v>0.98180841217225301</v>
      </c>
      <c r="AK74" s="24">
        <f t="shared" ref="AK74:AL74" si="48">I74*AD74/AD65</f>
        <v>2.3770151206908955E-2</v>
      </c>
      <c r="AL74" s="24">
        <f t="shared" si="48"/>
        <v>2.1403856548524389E-4</v>
      </c>
      <c r="AM74" s="6">
        <f t="shared" si="5"/>
        <v>1.0057926019446473</v>
      </c>
      <c r="AN74" s="27">
        <f t="shared" si="36"/>
        <v>3.3737651962777167E-5</v>
      </c>
      <c r="AO74" s="27">
        <f t="shared" si="37"/>
        <v>5.283046768541023E-8</v>
      </c>
      <c r="AP74" s="27">
        <f t="shared" si="38"/>
        <v>4.5812507514981036E-8</v>
      </c>
    </row>
    <row r="75" spans="2:51" x14ac:dyDescent="0.25">
      <c r="B75" s="3"/>
      <c r="C75" s="3"/>
      <c r="D75" s="3"/>
      <c r="E75" s="3"/>
      <c r="F75" s="2"/>
      <c r="G75" s="2"/>
      <c r="H75" s="28">
        <v>3.1E-2</v>
      </c>
      <c r="I75" s="29">
        <v>0.70399999999999996</v>
      </c>
      <c r="J75" s="30">
        <v>0.26500000000000001</v>
      </c>
      <c r="K75" s="32">
        <f t="shared" si="9"/>
        <v>4.1479330638630927</v>
      </c>
      <c r="L75" s="33">
        <f t="shared" si="10"/>
        <v>4.139825723646668</v>
      </c>
      <c r="M75" s="33">
        <f t="shared" si="11"/>
        <v>8.7903735459021473</v>
      </c>
      <c r="N75" s="33">
        <f t="shared" si="12"/>
        <v>5.4306675592001206</v>
      </c>
      <c r="O75" s="33">
        <f t="shared" si="13"/>
        <v>3.4647383942819778</v>
      </c>
      <c r="P75" s="33">
        <f t="shared" si="14"/>
        <v>0.30892596376914361</v>
      </c>
      <c r="Q75" s="33">
        <f t="shared" si="15"/>
        <v>0.15337555691866434</v>
      </c>
      <c r="R75" s="33">
        <f t="shared" si="16"/>
        <v>0.15393863544920203</v>
      </c>
      <c r="S75" s="33">
        <f t="shared" si="17"/>
        <v>2.3027404986655366E-2</v>
      </c>
      <c r="T75" s="33">
        <f t="shared" si="18"/>
        <v>9.7319452885038737E-2</v>
      </c>
      <c r="U75" s="33">
        <f t="shared" si="19"/>
        <v>0.23416591247282573</v>
      </c>
      <c r="V75" s="34">
        <f t="shared" si="20"/>
        <v>0.87858732068206491</v>
      </c>
      <c r="W75" s="46">
        <f t="shared" si="21"/>
        <v>0.16516245437077348</v>
      </c>
      <c r="X75" s="47">
        <f t="shared" si="22"/>
        <v>0.94158028224522583</v>
      </c>
      <c r="Y75" s="48">
        <f t="shared" si="23"/>
        <v>0.43056665193545562</v>
      </c>
      <c r="Z75" s="46">
        <f t="shared" si="24"/>
        <v>0.58869954536895341</v>
      </c>
      <c r="AA75" s="47">
        <f t="shared" si="25"/>
        <v>9.1647823076891635E-2</v>
      </c>
      <c r="AB75" s="48">
        <f t="shared" si="26"/>
        <v>0.57744683805436692</v>
      </c>
      <c r="AC75" s="32">
        <f t="shared" si="27"/>
        <v>31.990441176397489</v>
      </c>
      <c r="AD75" s="33">
        <f t="shared" si="28"/>
        <v>1.4151618670759958</v>
      </c>
      <c r="AE75" s="34">
        <f t="shared" si="29"/>
        <v>1.9913119149388159</v>
      </c>
      <c r="AF75" s="2">
        <f t="shared" si="39"/>
        <v>31.451605807665377</v>
      </c>
      <c r="AG75" s="2">
        <f t="shared" si="40"/>
        <v>4.1163017006621186E-2</v>
      </c>
      <c r="AH75" s="2">
        <f t="shared" si="41"/>
        <v>9.7579478295022136E-4</v>
      </c>
      <c r="AI75" s="91"/>
      <c r="AJ75" s="24">
        <f t="shared" si="42"/>
        <v>0.97499978003762666</v>
      </c>
      <c r="AK75" s="24">
        <f t="shared" ref="AK75:AL75" si="49">I75*AD75/AD66</f>
        <v>2.8978763972661314E-2</v>
      </c>
      <c r="AL75" s="24">
        <f t="shared" si="49"/>
        <v>2.5858561748180866E-4</v>
      </c>
      <c r="AM75" s="6">
        <f t="shared" si="5"/>
        <v>1.0042371296277697</v>
      </c>
      <c r="AN75" s="27">
        <f t="shared" si="36"/>
        <v>1.5998240349396949E-5</v>
      </c>
      <c r="AO75" s="27">
        <f t="shared" si="37"/>
        <v>4.509688571294929E-10</v>
      </c>
      <c r="AP75" s="27">
        <f t="shared" si="38"/>
        <v>6.6866521568448266E-8</v>
      </c>
    </row>
    <row r="76" spans="2:51" ht="15.75" thickBot="1" x14ac:dyDescent="0.3">
      <c r="B76" s="3"/>
      <c r="C76" s="3"/>
      <c r="D76" s="3"/>
      <c r="E76" s="3"/>
      <c r="F76" s="2"/>
      <c r="G76" s="2"/>
      <c r="H76" s="31">
        <v>3.5999999999999997E-2</v>
      </c>
      <c r="I76" s="20">
        <v>0.79200000000000004</v>
      </c>
      <c r="J76" s="19">
        <v>0.17199999999999993</v>
      </c>
      <c r="K76" s="35">
        <f t="shared" si="9"/>
        <v>4.1479330638630927</v>
      </c>
      <c r="L76" s="21">
        <f t="shared" si="10"/>
        <v>4.139825723646668</v>
      </c>
      <c r="M76" s="21">
        <f t="shared" si="11"/>
        <v>8.7903735459021473</v>
      </c>
      <c r="N76" s="21">
        <f t="shared" si="12"/>
        <v>5.4306675592001206</v>
      </c>
      <c r="O76" s="21">
        <f t="shared" si="13"/>
        <v>3.4647383942819778</v>
      </c>
      <c r="P76" s="21">
        <f t="shared" si="14"/>
        <v>0.30892596376914361</v>
      </c>
      <c r="Q76" s="21">
        <f t="shared" si="15"/>
        <v>0.15337555691866434</v>
      </c>
      <c r="R76" s="21">
        <f t="shared" si="16"/>
        <v>0.15393863544920203</v>
      </c>
      <c r="S76" s="21">
        <f t="shared" si="17"/>
        <v>2.3027404986655366E-2</v>
      </c>
      <c r="T76" s="21">
        <f t="shared" si="18"/>
        <v>9.7319452885038737E-2</v>
      </c>
      <c r="U76" s="21">
        <f t="shared" si="19"/>
        <v>0.23416591247282573</v>
      </c>
      <c r="V76" s="36">
        <f t="shared" si="20"/>
        <v>0.87858732068206491</v>
      </c>
      <c r="W76" s="49">
        <f t="shared" si="21"/>
        <v>0.17465834517199466</v>
      </c>
      <c r="X76" s="22">
        <f t="shared" si="22"/>
        <v>0.94863853920638708</v>
      </c>
      <c r="Y76" s="50">
        <f t="shared" si="23"/>
        <v>0.35828838925799755</v>
      </c>
      <c r="Z76" s="49">
        <f t="shared" si="24"/>
        <v>0.59562871578721743</v>
      </c>
      <c r="AA76" s="22">
        <f t="shared" si="25"/>
        <v>6.9586866359422073E-2</v>
      </c>
      <c r="AB76" s="50">
        <f t="shared" si="26"/>
        <v>0.64985541473924147</v>
      </c>
      <c r="AC76" s="35">
        <f t="shared" si="27"/>
        <v>27.281669470856169</v>
      </c>
      <c r="AD76" s="21">
        <f t="shared" si="28"/>
        <v>1.2471386524557511</v>
      </c>
      <c r="AE76" s="36">
        <f t="shared" si="29"/>
        <v>3.1784012866586191</v>
      </c>
      <c r="AF76" s="2">
        <f t="shared" si="39"/>
        <v>26.650766999797657</v>
      </c>
      <c r="AG76" s="2">
        <f t="shared" si="40"/>
        <v>4.4049460361233521E-2</v>
      </c>
      <c r="AH76" s="2">
        <f t="shared" si="41"/>
        <v>2.0080208695023257E-3</v>
      </c>
      <c r="AI76" s="92"/>
      <c r="AJ76" s="24">
        <f t="shared" si="42"/>
        <v>0.95942761199271565</v>
      </c>
      <c r="AK76" s="24">
        <f t="shared" ref="AK76:AL76" si="50">I76*AD76/AD67</f>
        <v>3.4887172606096951E-2</v>
      </c>
      <c r="AL76" s="24">
        <f t="shared" si="50"/>
        <v>3.4537958955439986E-4</v>
      </c>
      <c r="AM76" s="6">
        <f t="shared" si="5"/>
        <v>0.994660164188367</v>
      </c>
      <c r="AN76" s="27">
        <f t="shared" si="36"/>
        <v>3.1051508103726151E-5</v>
      </c>
      <c r="AO76" s="27">
        <f t="shared" si="37"/>
        <v>1.2730020814954435E-8</v>
      </c>
      <c r="AP76" s="27">
        <f t="shared" si="38"/>
        <v>1.1928706088076572E-7</v>
      </c>
    </row>
    <row r="77" spans="2:51" x14ac:dyDescent="0.25">
      <c r="B77" s="3"/>
      <c r="C77" s="3"/>
      <c r="D77" s="3"/>
      <c r="E77" s="3"/>
      <c r="F77" s="2"/>
      <c r="G77" s="2"/>
      <c r="H77" s="2"/>
      <c r="I77" s="2"/>
      <c r="J77" s="2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3"/>
      <c r="X77" s="3"/>
      <c r="Y77" s="3"/>
      <c r="Z77" s="3"/>
      <c r="AA77" s="3"/>
      <c r="AB77" s="3"/>
      <c r="AC77" s="6"/>
      <c r="AD77" s="6"/>
      <c r="AE77" s="6"/>
      <c r="AF77" s="2"/>
      <c r="AG77" s="2"/>
      <c r="AH77" s="2"/>
      <c r="AI77" s="2"/>
      <c r="AJ77" s="6"/>
      <c r="AK77" s="6"/>
      <c r="AL77" s="6"/>
      <c r="AM77" s="6"/>
    </row>
    <row r="78" spans="2:51" x14ac:dyDescent="0.25">
      <c r="B78" s="3"/>
      <c r="C78" s="3"/>
      <c r="D78" s="3"/>
      <c r="E78" s="3"/>
      <c r="F78" s="2"/>
      <c r="G78" s="2"/>
      <c r="H78" s="2"/>
      <c r="I78" s="2"/>
      <c r="J78" s="2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3"/>
      <c r="X78" s="3"/>
      <c r="Y78" s="3"/>
      <c r="Z78" s="3"/>
      <c r="AA78" s="3"/>
      <c r="AB78" s="3"/>
      <c r="AC78" s="6"/>
      <c r="AD78" s="6"/>
      <c r="AE78" s="6"/>
      <c r="AF78" s="2"/>
      <c r="AG78" s="2"/>
      <c r="AH78" s="2"/>
      <c r="AI78" s="2"/>
      <c r="AJ78" s="6"/>
      <c r="AK78" s="6"/>
      <c r="AL78" s="6"/>
      <c r="AM78" s="6"/>
    </row>
    <row r="79" spans="2:51" x14ac:dyDescent="0.25">
      <c r="B79" s="3"/>
      <c r="C79" s="3"/>
      <c r="D79" s="3"/>
      <c r="E79" s="3"/>
      <c r="F79" s="2"/>
      <c r="G79" s="2"/>
      <c r="H79" s="2"/>
      <c r="I79" s="2"/>
      <c r="J79" s="2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3"/>
      <c r="X79" s="3"/>
      <c r="Y79" s="3"/>
      <c r="Z79" s="3"/>
      <c r="AA79" s="3"/>
      <c r="AB79" s="3"/>
      <c r="AC79" s="6"/>
      <c r="AD79" s="6"/>
      <c r="AE79" s="6"/>
      <c r="AF79" s="2"/>
      <c r="AG79" s="2"/>
      <c r="AH79" s="2"/>
      <c r="AI79" s="2"/>
      <c r="AJ79" s="6"/>
      <c r="AK79" s="6"/>
      <c r="AL79" s="6"/>
      <c r="AM79" s="6"/>
    </row>
    <row r="80" spans="2:51" x14ac:dyDescent="0.25">
      <c r="B80" s="3"/>
      <c r="C80" s="3"/>
      <c r="D80" s="3"/>
      <c r="E80" s="3"/>
      <c r="F80" s="2"/>
      <c r="G80" s="2"/>
      <c r="H80" s="2"/>
      <c r="I80" s="2"/>
      <c r="J80" s="2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3"/>
      <c r="X80" s="3"/>
      <c r="Y80" s="3"/>
      <c r="Z80" s="3"/>
      <c r="AA80" s="3"/>
      <c r="AB80" s="3"/>
      <c r="AC80" s="6"/>
      <c r="AD80" s="6"/>
      <c r="AE80" s="6"/>
      <c r="AF80" s="2"/>
      <c r="AG80" s="2"/>
      <c r="AH80" s="2"/>
      <c r="AI80" s="2"/>
      <c r="AJ80" s="6"/>
      <c r="AK80" s="6"/>
      <c r="AL80" s="6"/>
      <c r="AM80" s="6"/>
    </row>
    <row r="81" spans="2:39" x14ac:dyDescent="0.25">
      <c r="B81" s="3"/>
      <c r="C81" s="3"/>
      <c r="D81" s="3"/>
      <c r="E81" s="3"/>
      <c r="F81" s="2"/>
      <c r="G81" s="2"/>
      <c r="H81" s="2"/>
      <c r="I81" s="2"/>
      <c r="J81" s="2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3"/>
      <c r="X81" s="3"/>
      <c r="Y81" s="3"/>
      <c r="Z81" s="3"/>
      <c r="AA81" s="3"/>
      <c r="AB81" s="3"/>
      <c r="AC81" s="6"/>
      <c r="AD81" s="6"/>
      <c r="AE81" s="6"/>
      <c r="AF81" s="2"/>
      <c r="AG81" s="2"/>
      <c r="AH81" s="2"/>
      <c r="AI81" s="2"/>
      <c r="AJ81" s="6"/>
      <c r="AK81" s="6"/>
      <c r="AL81" s="6"/>
      <c r="AM81" s="6"/>
    </row>
    <row r="82" spans="2:39" x14ac:dyDescent="0.25">
      <c r="B82" s="3"/>
      <c r="C82" s="3"/>
      <c r="D82" s="3"/>
      <c r="E82" s="3"/>
      <c r="F82" s="2"/>
      <c r="G82" s="2"/>
      <c r="H82" s="2"/>
      <c r="I82" s="2"/>
      <c r="J82" s="2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3"/>
      <c r="X82" s="3"/>
      <c r="Y82" s="3"/>
      <c r="Z82" s="3"/>
      <c r="AA82" s="3"/>
      <c r="AB82" s="3"/>
      <c r="AC82" s="6"/>
      <c r="AD82" s="6"/>
      <c r="AE82" s="6"/>
      <c r="AF82" s="2"/>
      <c r="AG82" s="2"/>
      <c r="AH82" s="2"/>
      <c r="AI82" s="2"/>
      <c r="AJ82" s="6"/>
    </row>
    <row r="83" spans="2:39" x14ac:dyDescent="0.25">
      <c r="B83" s="3"/>
      <c r="C83" s="3"/>
      <c r="D83" s="3"/>
      <c r="E83" s="3"/>
      <c r="F83" s="2"/>
      <c r="G83" s="2"/>
      <c r="H83" s="2"/>
      <c r="I83" s="2"/>
      <c r="J83" s="2"/>
      <c r="K83" s="6"/>
      <c r="L83" s="6"/>
      <c r="M83" s="6"/>
      <c r="N83" s="6"/>
      <c r="O83" s="6"/>
      <c r="P83" s="6"/>
      <c r="Q83" s="6"/>
      <c r="R83" s="6"/>
      <c r="S83" s="6"/>
      <c r="T83" s="57">
        <v>1</v>
      </c>
      <c r="U83" s="57">
        <v>2</v>
      </c>
      <c r="V83" s="57">
        <v>3</v>
      </c>
      <c r="W83" s="58">
        <v>4</v>
      </c>
      <c r="X83" s="3" t="s">
        <v>75</v>
      </c>
      <c r="Y83" s="3" t="s">
        <v>76</v>
      </c>
      <c r="Z83" s="3"/>
      <c r="AA83" s="3"/>
      <c r="AB83" s="3"/>
      <c r="AC83" s="6"/>
      <c r="AD83" s="6"/>
      <c r="AE83" s="6"/>
      <c r="AF83" s="2"/>
      <c r="AG83" s="2"/>
      <c r="AH83" s="2"/>
      <c r="AI83" s="2"/>
      <c r="AJ83" s="6"/>
    </row>
    <row r="84" spans="2:39" x14ac:dyDescent="0.25">
      <c r="B84" s="3"/>
      <c r="C84" s="3"/>
      <c r="D84" s="3"/>
      <c r="E84" s="3"/>
      <c r="F84" s="2"/>
      <c r="G84" s="2"/>
      <c r="H84" s="2"/>
      <c r="I84" s="2"/>
      <c r="J84" s="2"/>
      <c r="K84" s="6"/>
      <c r="L84" s="6"/>
      <c r="M84" s="6"/>
      <c r="N84" s="6"/>
      <c r="O84" s="6"/>
      <c r="P84" s="6"/>
      <c r="Q84" s="6"/>
      <c r="R84" s="6"/>
      <c r="S84" s="6"/>
      <c r="T84" s="6">
        <f>Z68/W68</f>
        <v>4.9671399641738896</v>
      </c>
      <c r="U84" s="6">
        <f>-H68*Z68/W68^2</f>
        <v>-0.42396379757248914</v>
      </c>
      <c r="V84" s="6">
        <f>I68*Q68/X68*(K68-AA68/X68)</f>
        <v>0</v>
      </c>
      <c r="W84" s="3">
        <f>J68*S68/Y68*(M68-AB68/Y68)</f>
        <v>0.20233485468400214</v>
      </c>
      <c r="X84" s="59">
        <f>T84+U84+V84+W84</f>
        <v>4.7455110212854024</v>
      </c>
      <c r="Y84" s="3">
        <f>EXP(X84)</f>
        <v>115.06659195899471</v>
      </c>
      <c r="Z84" s="3"/>
      <c r="AA84" s="3"/>
      <c r="AB84" s="3"/>
      <c r="AC84" s="6"/>
      <c r="AD84" s="6"/>
      <c r="AE84" s="6"/>
      <c r="AF84" s="2"/>
      <c r="AG84" s="2"/>
      <c r="AH84" s="2"/>
      <c r="AI84" s="2"/>
      <c r="AJ84" s="6"/>
    </row>
    <row r="85" spans="2:39" x14ac:dyDescent="0.25">
      <c r="B85" s="3"/>
      <c r="C85" s="2"/>
      <c r="D85" s="3"/>
      <c r="E85" s="3"/>
      <c r="F85" s="2"/>
      <c r="G85" s="2"/>
      <c r="H85" s="2"/>
      <c r="I85" s="2"/>
      <c r="J85" s="2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3"/>
      <c r="X85" s="3"/>
      <c r="Y85" s="3"/>
      <c r="Z85" s="3"/>
      <c r="AA85" s="3"/>
      <c r="AB85" s="3"/>
      <c r="AC85" s="6"/>
      <c r="AD85" s="6"/>
      <c r="AE85" s="6"/>
      <c r="AF85" s="2"/>
      <c r="AG85" s="2"/>
      <c r="AH85" s="2"/>
      <c r="AI85" s="2"/>
      <c r="AJ85" s="6"/>
    </row>
    <row r="86" spans="2:39" x14ac:dyDescent="0.25">
      <c r="B86" s="3"/>
      <c r="C86" s="2"/>
      <c r="D86" s="3"/>
      <c r="E86" s="3"/>
      <c r="F86" s="2"/>
      <c r="G86" s="2"/>
      <c r="H86" s="9"/>
      <c r="I86" s="9"/>
      <c r="J86" s="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3"/>
      <c r="X86" s="3"/>
      <c r="Y86" s="3"/>
      <c r="Z86" s="3"/>
      <c r="AA86" s="3"/>
      <c r="AB86" s="3"/>
      <c r="AC86" s="6"/>
      <c r="AD86" s="6"/>
      <c r="AE86" s="6"/>
      <c r="AF86" s="2"/>
      <c r="AG86" s="2"/>
      <c r="AH86" s="2"/>
      <c r="AI86" s="2"/>
      <c r="AJ86" s="6"/>
    </row>
    <row r="87" spans="2:39" x14ac:dyDescent="0.25">
      <c r="B87" s="3"/>
      <c r="C87" s="2"/>
      <c r="D87" s="3"/>
      <c r="E87" s="3"/>
      <c r="F87" s="2"/>
      <c r="G87" s="2"/>
      <c r="H87" s="9"/>
      <c r="I87" s="9"/>
      <c r="J87" s="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3"/>
      <c r="X87" s="3"/>
      <c r="Y87" s="3"/>
      <c r="Z87" s="3"/>
      <c r="AA87" s="3"/>
      <c r="AB87" s="3"/>
      <c r="AC87" s="6"/>
      <c r="AD87" s="6"/>
      <c r="AE87" s="6"/>
      <c r="AF87" s="2"/>
      <c r="AG87" s="2"/>
      <c r="AH87" s="2"/>
      <c r="AI87" s="2"/>
      <c r="AJ87" s="6"/>
    </row>
    <row r="88" spans="2:39" x14ac:dyDescent="0.25">
      <c r="B88" s="3"/>
      <c r="C88" s="2"/>
      <c r="D88" s="3"/>
      <c r="E88" s="3"/>
      <c r="F88" s="2"/>
      <c r="G88" s="2"/>
      <c r="H88" s="9"/>
      <c r="I88" s="9"/>
      <c r="J88" s="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3"/>
      <c r="X88" s="3"/>
      <c r="Y88" s="3"/>
      <c r="Z88" s="3"/>
      <c r="AA88" s="3"/>
      <c r="AB88" s="3"/>
      <c r="AC88" s="6"/>
      <c r="AD88" s="6"/>
      <c r="AE88" s="6"/>
      <c r="AF88" s="2"/>
      <c r="AG88" s="2"/>
      <c r="AH88" s="2"/>
      <c r="AI88" s="2"/>
      <c r="AJ88" s="6"/>
    </row>
    <row r="89" spans="2:39" x14ac:dyDescent="0.25">
      <c r="B89" s="3"/>
      <c r="C89" s="2"/>
      <c r="D89" s="3"/>
      <c r="E89" s="3"/>
      <c r="F89" s="2"/>
      <c r="G89" s="2"/>
      <c r="H89" s="9"/>
      <c r="I89" s="9"/>
      <c r="J89" s="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3"/>
      <c r="X89" s="3"/>
      <c r="Y89" s="3"/>
      <c r="Z89" s="3"/>
      <c r="AA89" s="3"/>
      <c r="AB89" s="3"/>
      <c r="AC89" s="6"/>
      <c r="AD89" s="6"/>
      <c r="AE89" s="6"/>
      <c r="AF89" s="2"/>
      <c r="AG89" s="2"/>
      <c r="AH89" s="2"/>
      <c r="AI89" s="2"/>
      <c r="AJ89" s="6"/>
    </row>
    <row r="90" spans="2:39" x14ac:dyDescent="0.25">
      <c r="B90" s="3"/>
      <c r="C90" s="2"/>
      <c r="D90" s="3"/>
      <c r="E90" s="3"/>
      <c r="F90" s="2"/>
      <c r="G90" s="2"/>
      <c r="H90" s="9"/>
      <c r="I90" s="9"/>
      <c r="J90" s="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3"/>
      <c r="X90" s="3"/>
      <c r="Y90" s="3"/>
      <c r="Z90" s="3"/>
      <c r="AA90" s="3"/>
      <c r="AB90" s="3"/>
      <c r="AC90" s="6"/>
      <c r="AD90" s="6"/>
      <c r="AE90" s="6"/>
      <c r="AF90" s="2"/>
      <c r="AG90" s="2"/>
      <c r="AH90" s="2"/>
      <c r="AI90" s="2"/>
      <c r="AJ90" s="6"/>
    </row>
    <row r="91" spans="2:39" x14ac:dyDescent="0.25">
      <c r="B91" s="3"/>
      <c r="C91" s="3"/>
      <c r="D91" s="3"/>
      <c r="E91" s="3"/>
      <c r="F91" s="2"/>
      <c r="G91" s="2"/>
      <c r="H91" s="9"/>
      <c r="I91" s="9"/>
      <c r="J91" s="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3"/>
      <c r="X91" s="3"/>
      <c r="Y91" s="3"/>
      <c r="Z91" s="3"/>
      <c r="AA91" s="3"/>
      <c r="AB91" s="3"/>
      <c r="AC91" s="6"/>
      <c r="AD91" s="6"/>
      <c r="AE91" s="6"/>
      <c r="AF91" s="2"/>
      <c r="AG91" s="2"/>
      <c r="AH91" s="2"/>
      <c r="AI91" s="2"/>
      <c r="AJ91" s="6"/>
    </row>
    <row r="92" spans="2:39" x14ac:dyDescent="0.25">
      <c r="B92" s="3"/>
      <c r="C92" s="3"/>
      <c r="D92" s="3"/>
      <c r="E92" s="3"/>
      <c r="F92" s="2"/>
      <c r="G92" s="2"/>
      <c r="H92" s="9"/>
      <c r="I92" s="9"/>
      <c r="J92" s="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3"/>
      <c r="X92" s="3"/>
      <c r="Y92" s="3"/>
      <c r="Z92" s="3"/>
      <c r="AA92" s="3"/>
      <c r="AB92" s="3"/>
      <c r="AC92" s="6"/>
      <c r="AD92" s="6"/>
      <c r="AE92" s="6"/>
      <c r="AF92" s="2"/>
      <c r="AG92" s="2"/>
      <c r="AH92" s="2"/>
      <c r="AI92" s="2"/>
      <c r="AJ92" s="6"/>
      <c r="AK92" s="6"/>
      <c r="AL92" s="6"/>
      <c r="AM92" s="6"/>
    </row>
    <row r="93" spans="2:39" x14ac:dyDescent="0.25">
      <c r="B93" s="3"/>
      <c r="C93" s="3"/>
      <c r="D93" s="3"/>
      <c r="E93" s="3"/>
      <c r="F93" s="2"/>
      <c r="G93" s="2"/>
      <c r="H93" s="2"/>
      <c r="I93" s="2"/>
      <c r="J93" s="2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3"/>
      <c r="X93" s="3"/>
      <c r="Y93" s="3"/>
      <c r="Z93" s="3"/>
      <c r="AA93" s="3"/>
      <c r="AB93" s="3"/>
      <c r="AC93" s="6"/>
      <c r="AD93" s="6"/>
      <c r="AE93" s="6"/>
      <c r="AF93" s="2"/>
      <c r="AG93" s="2"/>
      <c r="AH93" s="2"/>
      <c r="AI93" s="2"/>
      <c r="AJ93" s="6"/>
      <c r="AK93" s="6"/>
      <c r="AL93" s="6"/>
      <c r="AM93" s="6"/>
    </row>
    <row r="94" spans="2:39" x14ac:dyDescent="0.25">
      <c r="B94" s="3"/>
      <c r="C94" s="3"/>
      <c r="D94" s="3"/>
      <c r="E94" s="3"/>
      <c r="F94" s="2"/>
      <c r="G94" s="2"/>
      <c r="H94" s="2"/>
      <c r="I94" s="2"/>
      <c r="J94" s="2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3"/>
      <c r="X94" s="3"/>
      <c r="Y94" s="3"/>
      <c r="Z94" s="3"/>
      <c r="AA94" s="3"/>
      <c r="AB94" s="3"/>
      <c r="AC94" s="6"/>
      <c r="AD94" s="6"/>
      <c r="AE94" s="6"/>
      <c r="AF94" s="2"/>
      <c r="AG94" s="2"/>
      <c r="AH94" s="2"/>
      <c r="AI94" s="2"/>
      <c r="AJ94" s="6"/>
      <c r="AK94" s="6"/>
      <c r="AL94" s="6"/>
      <c r="AM94" s="6"/>
    </row>
    <row r="95" spans="2:39" x14ac:dyDescent="0.25">
      <c r="B95" s="3"/>
      <c r="C95" s="3"/>
      <c r="D95" s="3"/>
      <c r="E95" s="3"/>
      <c r="F95" s="2"/>
      <c r="G95" s="2"/>
      <c r="H95" s="2"/>
      <c r="I95" s="2"/>
      <c r="J95" s="2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3"/>
      <c r="X95" s="3"/>
      <c r="Y95" s="3"/>
      <c r="Z95" s="3"/>
      <c r="AA95" s="3"/>
      <c r="AB95" s="3"/>
      <c r="AC95" s="6"/>
      <c r="AD95" s="6"/>
      <c r="AE95" s="6"/>
      <c r="AF95" s="2"/>
      <c r="AG95" s="2"/>
      <c r="AH95" s="2"/>
      <c r="AI95" s="2"/>
      <c r="AJ95" s="6"/>
      <c r="AK95" s="6"/>
      <c r="AL95" s="6"/>
      <c r="AM95" s="6"/>
    </row>
    <row r="96" spans="2:39" x14ac:dyDescent="0.25">
      <c r="B96" s="3"/>
      <c r="C96" s="3"/>
      <c r="D96" s="3"/>
      <c r="E96" s="3"/>
      <c r="F96" s="2"/>
      <c r="G96" s="2"/>
      <c r="H96" s="2"/>
      <c r="I96" s="2"/>
      <c r="J96" s="2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3"/>
      <c r="X96" s="3"/>
      <c r="Y96" s="3"/>
      <c r="Z96" s="3"/>
      <c r="AA96" s="3"/>
      <c r="AB96" s="3"/>
      <c r="AC96" s="6"/>
      <c r="AD96" s="6"/>
      <c r="AE96" s="6"/>
      <c r="AF96" s="2"/>
      <c r="AG96" s="2"/>
      <c r="AH96" s="2"/>
      <c r="AI96" s="2"/>
      <c r="AJ96" s="6"/>
      <c r="AK96" s="6"/>
      <c r="AL96" s="6"/>
      <c r="AM96" s="6"/>
    </row>
    <row r="97" spans="2:39" x14ac:dyDescent="0.25">
      <c r="B97" s="3"/>
      <c r="C97" s="3"/>
      <c r="D97" s="3"/>
      <c r="E97" s="3"/>
      <c r="F97" s="2"/>
      <c r="G97" s="2"/>
      <c r="H97" s="2"/>
      <c r="I97" s="2"/>
      <c r="J97" s="2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3"/>
      <c r="X97" s="3"/>
      <c r="Y97" s="3"/>
      <c r="Z97" s="3"/>
      <c r="AA97" s="3"/>
      <c r="AB97" s="3"/>
      <c r="AC97" s="6"/>
      <c r="AD97" s="6"/>
      <c r="AE97" s="6"/>
      <c r="AF97" s="2"/>
      <c r="AG97" s="2"/>
      <c r="AH97" s="2"/>
      <c r="AI97" s="2"/>
      <c r="AJ97" s="6"/>
      <c r="AK97" s="6"/>
      <c r="AL97" s="6"/>
      <c r="AM97" s="6"/>
    </row>
    <row r="98" spans="2:39" x14ac:dyDescent="0.25">
      <c r="B98" s="3"/>
      <c r="C98" s="3"/>
      <c r="D98" s="3"/>
      <c r="E98" s="3"/>
      <c r="F98" s="2"/>
      <c r="G98" s="2"/>
      <c r="H98" s="2"/>
      <c r="I98" s="2"/>
      <c r="J98" s="2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3"/>
      <c r="X98" s="3"/>
      <c r="Y98" s="3"/>
      <c r="Z98" s="3"/>
      <c r="AA98" s="3"/>
      <c r="AB98" s="3"/>
      <c r="AC98" s="6"/>
      <c r="AD98" s="6"/>
      <c r="AE98" s="6"/>
      <c r="AF98" s="2"/>
      <c r="AG98" s="2"/>
      <c r="AH98" s="2"/>
      <c r="AI98" s="2"/>
      <c r="AJ98" s="6"/>
      <c r="AK98" s="6"/>
      <c r="AL98" s="6"/>
      <c r="AM98" s="6"/>
    </row>
    <row r="99" spans="2:39" x14ac:dyDescent="0.25">
      <c r="B99" s="3"/>
      <c r="C99" s="3"/>
      <c r="D99" s="3"/>
      <c r="E99" s="3"/>
      <c r="F99" s="2"/>
      <c r="G99" s="2"/>
      <c r="H99" s="2"/>
      <c r="I99" s="2"/>
      <c r="J99" s="2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3"/>
      <c r="X99" s="3"/>
      <c r="Y99" s="3"/>
      <c r="Z99" s="3"/>
      <c r="AA99" s="3"/>
      <c r="AB99" s="3"/>
      <c r="AC99" s="6"/>
      <c r="AD99" s="6"/>
      <c r="AE99" s="6"/>
      <c r="AF99" s="2"/>
      <c r="AG99" s="2"/>
      <c r="AH99" s="2"/>
      <c r="AI99" s="2"/>
      <c r="AJ99" s="6"/>
      <c r="AK99" s="6"/>
      <c r="AL99" s="6"/>
      <c r="AM99" s="6"/>
    </row>
    <row r="100" spans="2:39" x14ac:dyDescent="0.25">
      <c r="B100" s="3"/>
      <c r="C100" s="3"/>
      <c r="D100" s="3"/>
      <c r="E100" s="3"/>
      <c r="F100" s="2"/>
      <c r="G100" s="2"/>
      <c r="H100" s="2"/>
      <c r="I100" s="2"/>
      <c r="J100" s="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3"/>
      <c r="X100" s="3"/>
      <c r="Y100" s="3"/>
      <c r="Z100" s="3"/>
      <c r="AA100" s="3"/>
      <c r="AB100" s="3"/>
      <c r="AC100" s="6"/>
      <c r="AD100" s="6"/>
      <c r="AE100" s="6"/>
      <c r="AF100" s="2"/>
      <c r="AG100" s="2"/>
      <c r="AH100" s="2"/>
      <c r="AI100" s="2"/>
      <c r="AJ100" s="6"/>
      <c r="AK100" s="6"/>
      <c r="AL100" s="6"/>
      <c r="AM100" s="6"/>
    </row>
    <row r="101" spans="2:39" x14ac:dyDescent="0.25">
      <c r="B101" s="3"/>
      <c r="C101" s="3"/>
      <c r="D101" s="3"/>
      <c r="E101" s="3"/>
      <c r="F101" s="2"/>
      <c r="G101" s="2"/>
      <c r="H101" s="2"/>
      <c r="I101" s="2"/>
      <c r="J101" s="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3"/>
      <c r="X101" s="3"/>
      <c r="Y101" s="3"/>
      <c r="Z101" s="3"/>
      <c r="AA101" s="3"/>
      <c r="AB101" s="3"/>
      <c r="AC101" s="6"/>
      <c r="AD101" s="6"/>
      <c r="AE101" s="6"/>
      <c r="AF101" s="2"/>
      <c r="AG101" s="2"/>
      <c r="AH101" s="2"/>
      <c r="AI101" s="2"/>
      <c r="AJ101" s="6"/>
      <c r="AK101" s="6"/>
      <c r="AL101" s="6"/>
      <c r="AM101" s="6"/>
    </row>
    <row r="102" spans="2:39" x14ac:dyDescent="0.25">
      <c r="B102" s="3"/>
      <c r="C102" s="3"/>
      <c r="D102" s="3"/>
      <c r="E102" s="3"/>
      <c r="F102" s="2"/>
      <c r="G102" s="2"/>
      <c r="H102" s="2"/>
      <c r="I102" s="2"/>
      <c r="J102" s="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3"/>
      <c r="X102" s="3"/>
      <c r="Y102" s="3"/>
      <c r="Z102" s="3"/>
      <c r="AA102" s="3"/>
      <c r="AB102" s="3"/>
      <c r="AC102" s="6"/>
      <c r="AD102" s="6"/>
      <c r="AE102" s="6"/>
      <c r="AF102" s="2"/>
      <c r="AG102" s="2"/>
      <c r="AH102" s="2"/>
      <c r="AI102" s="2"/>
      <c r="AJ102" s="6"/>
      <c r="AK102" s="6"/>
      <c r="AL102" s="6"/>
      <c r="AM102" s="6"/>
    </row>
    <row r="103" spans="2:39" x14ac:dyDescent="0.25">
      <c r="B103" s="3"/>
      <c r="C103" s="3"/>
      <c r="D103" s="3"/>
      <c r="E103" s="3"/>
      <c r="F103" s="2"/>
      <c r="G103" s="2"/>
      <c r="H103" s="2"/>
      <c r="I103" s="2"/>
      <c r="J103" s="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3"/>
      <c r="X103" s="3"/>
      <c r="Y103" s="3"/>
      <c r="Z103" s="3"/>
      <c r="AA103" s="3"/>
      <c r="AB103" s="3"/>
      <c r="AC103" s="6"/>
      <c r="AD103" s="6"/>
      <c r="AE103" s="6"/>
      <c r="AF103" s="2"/>
      <c r="AG103" s="2"/>
      <c r="AH103" s="2"/>
      <c r="AI103" s="2"/>
      <c r="AJ103" s="6"/>
      <c r="AK103" s="6"/>
      <c r="AL103" s="6"/>
      <c r="AM103" s="6"/>
    </row>
    <row r="104" spans="2:39" x14ac:dyDescent="0.25">
      <c r="B104" s="3"/>
      <c r="C104" s="3"/>
      <c r="D104" s="3"/>
      <c r="E104" s="3"/>
      <c r="F104" s="2"/>
      <c r="G104" s="2"/>
      <c r="H104" s="2"/>
      <c r="I104" s="2"/>
      <c r="J104" s="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3"/>
      <c r="X104" s="3"/>
      <c r="Y104" s="3"/>
      <c r="Z104" s="3"/>
      <c r="AA104" s="3"/>
      <c r="AB104" s="3"/>
      <c r="AC104" s="6"/>
      <c r="AD104" s="6"/>
      <c r="AE104" s="6"/>
      <c r="AF104" s="2"/>
      <c r="AG104" s="2"/>
      <c r="AH104" s="2"/>
      <c r="AI104" s="2"/>
      <c r="AJ104" s="6"/>
      <c r="AK104" s="6"/>
      <c r="AL104" s="6"/>
      <c r="AM104" s="6"/>
    </row>
    <row r="105" spans="2:39" x14ac:dyDescent="0.25">
      <c r="B105" s="3"/>
      <c r="C105" s="3"/>
      <c r="D105" s="3"/>
      <c r="E105" s="3"/>
      <c r="F105" s="2"/>
      <c r="G105" s="2"/>
      <c r="H105" s="2"/>
      <c r="I105" s="2"/>
      <c r="J105" s="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3"/>
      <c r="X105" s="3"/>
      <c r="Y105" s="3"/>
      <c r="Z105" s="3"/>
      <c r="AA105" s="3"/>
      <c r="AB105" s="3"/>
      <c r="AC105" s="6"/>
      <c r="AD105" s="6"/>
      <c r="AE105" s="6"/>
      <c r="AF105" s="2"/>
      <c r="AG105" s="2"/>
      <c r="AH105" s="2"/>
      <c r="AI105" s="2"/>
      <c r="AJ105" s="6"/>
      <c r="AK105" s="6"/>
      <c r="AL105" s="6"/>
      <c r="AM105" s="6"/>
    </row>
    <row r="106" spans="2:39" x14ac:dyDescent="0.25">
      <c r="B106" s="3"/>
      <c r="C106" s="3"/>
      <c r="D106" s="3"/>
      <c r="E106" s="3"/>
      <c r="F106" s="2"/>
      <c r="G106" s="2"/>
      <c r="H106" s="2"/>
      <c r="I106" s="2"/>
      <c r="J106" s="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3"/>
      <c r="X106" s="3"/>
      <c r="Y106" s="3"/>
      <c r="Z106" s="3"/>
      <c r="AA106" s="3"/>
      <c r="AB106" s="3"/>
      <c r="AC106" s="6"/>
      <c r="AD106" s="6"/>
      <c r="AE106" s="6"/>
      <c r="AF106" s="2"/>
      <c r="AG106" s="2"/>
      <c r="AH106" s="2"/>
      <c r="AI106" s="2"/>
      <c r="AJ106" s="6"/>
      <c r="AK106" s="6"/>
      <c r="AL106" s="6"/>
      <c r="AM106" s="6"/>
    </row>
    <row r="107" spans="2:39" x14ac:dyDescent="0.25">
      <c r="B107" s="3"/>
      <c r="C107" s="3"/>
      <c r="D107" s="3"/>
      <c r="E107" s="3"/>
      <c r="F107" s="2"/>
      <c r="G107" s="2"/>
      <c r="H107" s="2"/>
      <c r="I107" s="2"/>
      <c r="J107" s="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3"/>
      <c r="X107" s="3"/>
      <c r="Y107" s="3"/>
      <c r="Z107" s="3"/>
      <c r="AA107" s="3"/>
      <c r="AB107" s="3"/>
      <c r="AC107" s="6"/>
      <c r="AD107" s="6"/>
      <c r="AE107" s="6"/>
      <c r="AF107" s="2"/>
      <c r="AG107" s="2"/>
      <c r="AH107" s="2"/>
      <c r="AI107" s="2"/>
      <c r="AJ107" s="6"/>
      <c r="AK107" s="6"/>
      <c r="AL107" s="6"/>
      <c r="AM107" s="6"/>
    </row>
    <row r="108" spans="2:39" x14ac:dyDescent="0.25">
      <c r="B108" s="3"/>
      <c r="C108" s="3"/>
      <c r="D108" s="3"/>
      <c r="E108" s="3"/>
      <c r="F108" s="2"/>
      <c r="G108" s="2"/>
      <c r="H108" s="2"/>
      <c r="I108" s="2"/>
      <c r="J108" s="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3"/>
      <c r="X108" s="3"/>
      <c r="Y108" s="3"/>
      <c r="Z108" s="3"/>
      <c r="AA108" s="3"/>
      <c r="AB108" s="3"/>
      <c r="AC108" s="6"/>
      <c r="AD108" s="6"/>
      <c r="AE108" s="6"/>
      <c r="AF108" s="2"/>
      <c r="AG108" s="2"/>
      <c r="AH108" s="2"/>
      <c r="AI108" s="2"/>
      <c r="AJ108" s="6"/>
      <c r="AK108" s="6"/>
      <c r="AL108" s="6"/>
      <c r="AM108" s="6"/>
    </row>
    <row r="109" spans="2:39" x14ac:dyDescent="0.25">
      <c r="B109" s="3"/>
      <c r="C109" s="3"/>
      <c r="D109" s="3"/>
      <c r="E109" s="3"/>
      <c r="F109" s="2"/>
      <c r="G109" s="2"/>
      <c r="H109" s="2"/>
      <c r="I109" s="2"/>
      <c r="J109" s="2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3"/>
      <c r="X109" s="3"/>
      <c r="Y109" s="3"/>
      <c r="Z109" s="3"/>
      <c r="AA109" s="3"/>
      <c r="AB109" s="3"/>
      <c r="AC109" s="6"/>
      <c r="AD109" s="6"/>
      <c r="AE109" s="6"/>
      <c r="AF109" s="2"/>
      <c r="AG109" s="2"/>
      <c r="AH109" s="2"/>
      <c r="AI109" s="2"/>
      <c r="AJ109" s="6"/>
      <c r="AK109" s="6"/>
      <c r="AL109" s="6"/>
      <c r="AM109" s="6"/>
    </row>
    <row r="110" spans="2:39" x14ac:dyDescent="0.25">
      <c r="B110" s="3"/>
      <c r="C110" s="3"/>
      <c r="D110" s="3"/>
      <c r="E110" s="3"/>
      <c r="F110" s="2"/>
      <c r="G110" s="2"/>
      <c r="H110" s="2"/>
      <c r="I110" s="2"/>
      <c r="J110" s="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3"/>
      <c r="X110" s="3"/>
      <c r="Y110" s="3"/>
      <c r="Z110" s="3"/>
      <c r="AA110" s="3"/>
      <c r="AB110" s="3"/>
      <c r="AC110" s="6"/>
      <c r="AD110" s="6"/>
      <c r="AE110" s="6"/>
      <c r="AF110" s="2"/>
      <c r="AG110" s="2"/>
      <c r="AH110" s="2"/>
      <c r="AI110" s="2"/>
      <c r="AJ110" s="6"/>
      <c r="AK110" s="6"/>
      <c r="AL110" s="6"/>
      <c r="AM110" s="6"/>
    </row>
  </sheetData>
  <mergeCells count="19">
    <mergeCell ref="AI68:AI76"/>
    <mergeCell ref="A1:I1"/>
    <mergeCell ref="AR70:AS70"/>
    <mergeCell ref="AU61:AV61"/>
    <mergeCell ref="AU64:AV64"/>
    <mergeCell ref="AU67:AV67"/>
    <mergeCell ref="AU70:AV70"/>
    <mergeCell ref="A15:F15"/>
    <mergeCell ref="AN58:AP58"/>
    <mergeCell ref="AR61:AS61"/>
    <mergeCell ref="AR64:AS64"/>
    <mergeCell ref="AR67:AS67"/>
    <mergeCell ref="A5:F5"/>
    <mergeCell ref="A3:B3"/>
    <mergeCell ref="C3:D3"/>
    <mergeCell ref="E3:E4"/>
    <mergeCell ref="F3:F4"/>
    <mergeCell ref="AX61:AY61"/>
    <mergeCell ref="AI59:AI67"/>
  </mergeCells>
  <hyperlinks>
    <hyperlink ref="A1" r:id="rId1"/>
    <hyperlink ref="A2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S49"/>
  <sheetViews>
    <sheetView topLeftCell="A2" workbookViewId="0">
      <selection activeCell="B4" sqref="B4:J22"/>
    </sheetView>
  </sheetViews>
  <sheetFormatPr defaultRowHeight="15" x14ac:dyDescent="0.25"/>
  <cols>
    <col min="31" max="31" width="10.5703125" bestFit="1" customWidth="1"/>
  </cols>
  <sheetData>
    <row r="3" spans="2:45" ht="15.75" thickBot="1" x14ac:dyDescent="0.3">
      <c r="H3" t="s">
        <v>85</v>
      </c>
      <c r="I3" t="s">
        <v>77</v>
      </c>
      <c r="J3" t="s">
        <v>86</v>
      </c>
    </row>
    <row r="4" spans="2:45" ht="19.5" thickBot="1" x14ac:dyDescent="0.4">
      <c r="B4" s="44" t="s">
        <v>59</v>
      </c>
      <c r="C4" s="2">
        <v>10283.700000000001</v>
      </c>
      <c r="D4" s="45" t="s">
        <v>68</v>
      </c>
      <c r="E4" s="3"/>
      <c r="F4" s="43" t="s">
        <v>0</v>
      </c>
      <c r="G4" s="43" t="s">
        <v>1</v>
      </c>
      <c r="H4" s="37" t="s">
        <v>34</v>
      </c>
      <c r="I4" s="38" t="s">
        <v>35</v>
      </c>
      <c r="J4" s="39" t="s">
        <v>36</v>
      </c>
      <c r="K4" s="37" t="s">
        <v>37</v>
      </c>
      <c r="L4" s="38" t="s">
        <v>38</v>
      </c>
      <c r="M4" s="38" t="s">
        <v>39</v>
      </c>
      <c r="N4" s="38" t="s">
        <v>40</v>
      </c>
      <c r="O4" s="38" t="s">
        <v>41</v>
      </c>
      <c r="P4" s="38" t="s">
        <v>42</v>
      </c>
      <c r="Q4" s="38" t="s">
        <v>43</v>
      </c>
      <c r="R4" s="38" t="s">
        <v>44</v>
      </c>
      <c r="S4" s="38" t="s">
        <v>45</v>
      </c>
      <c r="T4" s="38" t="s">
        <v>46</v>
      </c>
      <c r="U4" s="38" t="s">
        <v>47</v>
      </c>
      <c r="V4" s="39" t="s">
        <v>48</v>
      </c>
      <c r="W4" s="37" t="s">
        <v>49</v>
      </c>
      <c r="X4" s="38" t="s">
        <v>50</v>
      </c>
      <c r="Y4" s="39" t="s">
        <v>51</v>
      </c>
      <c r="Z4" s="37" t="s">
        <v>52</v>
      </c>
      <c r="AA4" s="38" t="s">
        <v>53</v>
      </c>
      <c r="AB4" s="39" t="s">
        <v>54</v>
      </c>
      <c r="AC4" s="37" t="s">
        <v>55</v>
      </c>
      <c r="AD4" s="38" t="s">
        <v>56</v>
      </c>
      <c r="AE4" s="39" t="s">
        <v>57</v>
      </c>
      <c r="AF4" s="54" t="s">
        <v>72</v>
      </c>
      <c r="AG4" s="55" t="s">
        <v>73</v>
      </c>
      <c r="AH4" s="55" t="s">
        <v>74</v>
      </c>
      <c r="AI4" s="4"/>
      <c r="AJ4" s="37" t="s">
        <v>3</v>
      </c>
      <c r="AK4" s="38" t="s">
        <v>4</v>
      </c>
      <c r="AL4" s="38" t="s">
        <v>5</v>
      </c>
      <c r="AM4" s="39" t="s">
        <v>58</v>
      </c>
      <c r="AN4" s="98" t="s">
        <v>18</v>
      </c>
      <c r="AO4" s="99"/>
      <c r="AP4" s="100"/>
      <c r="AQ4" s="40" t="s">
        <v>17</v>
      </c>
      <c r="AR4" s="41" t="s">
        <v>79</v>
      </c>
    </row>
    <row r="5" spans="2:45" ht="18.75" x14ac:dyDescent="0.35">
      <c r="B5" s="44" t="s">
        <v>60</v>
      </c>
      <c r="C5" s="2">
        <v>10263.6</v>
      </c>
      <c r="D5" s="45" t="s">
        <v>68</v>
      </c>
      <c r="E5" s="3"/>
      <c r="F5" s="2">
        <f>298.2-273.15</f>
        <v>25.050000000000011</v>
      </c>
      <c r="G5" s="2">
        <f>F5+273.15</f>
        <v>298.2</v>
      </c>
      <c r="H5" s="29">
        <v>1</v>
      </c>
      <c r="I5" s="28">
        <v>0</v>
      </c>
      <c r="J5" s="30">
        <f>1-SUM(H5:I5)</f>
        <v>0</v>
      </c>
      <c r="K5" s="32">
        <f>C$4/$C$13/$G$5</f>
        <v>4.1479330638630927</v>
      </c>
      <c r="L5" s="32">
        <f>C$5/$C$13/$G$5</f>
        <v>4.1398257236466671</v>
      </c>
      <c r="M5" s="32">
        <f>C$6/$C$13/$G$5</f>
        <v>8.7903735459021473</v>
      </c>
      <c r="N5" s="32">
        <f>C$7/$C$13/$G$5</f>
        <v>5.4306675592001215</v>
      </c>
      <c r="O5" s="32">
        <f>C$8/$C$13/$G$5</f>
        <v>3.4647383942819778</v>
      </c>
      <c r="P5" s="32">
        <f>C$9/$C$13/$G$5</f>
        <v>0.30892596376914361</v>
      </c>
      <c r="Q5" s="33">
        <f>EXP(-$C$10*K5)</f>
        <v>0.15337555691866434</v>
      </c>
      <c r="R5" s="33">
        <f>EXP(-$C$10*L5)</f>
        <v>0.15393863544920208</v>
      </c>
      <c r="S5" s="33">
        <f>EXP(-$C$11*M5)</f>
        <v>2.3027404986655366E-2</v>
      </c>
      <c r="T5" s="33">
        <f>EXP(-$C$11*N5)</f>
        <v>9.7319452885038696E-2</v>
      </c>
      <c r="U5" s="33">
        <f>EXP(-$C$12*O5)</f>
        <v>0.23416591247282573</v>
      </c>
      <c r="V5" s="33">
        <f>EXP(-$C$12*P5)</f>
        <v>0.87858732068206491</v>
      </c>
      <c r="W5" s="46">
        <f>H5+R5*I5+T5*J5</f>
        <v>1</v>
      </c>
      <c r="X5" s="47">
        <f>Q5*H5+I5+V5*J5</f>
        <v>0.15337555691866434</v>
      </c>
      <c r="Y5" s="48">
        <f>S5*H5+U5*I5+J5</f>
        <v>2.3027404986655366E-2</v>
      </c>
      <c r="Z5" s="46">
        <f>I5*L5*R5+J5*N5*T5</f>
        <v>0</v>
      </c>
      <c r="AA5" s="47">
        <f>H5*K5*Q5+J5*P5*V5</f>
        <v>0.63619154373134357</v>
      </c>
      <c r="AB5" s="48">
        <f>H5*M5*S5+I5*O5*U5</f>
        <v>0.20241949162547052</v>
      </c>
      <c r="AC5" s="32">
        <f>EXP((Z5/W5)-(H5*Z5/W5^2)+(I5*Q5/X5)*(K5-AA5/X5)+(J5*S5/Y5)*(M5-AB5/Y5))</f>
        <v>1</v>
      </c>
      <c r="AD5" s="33">
        <f>EXP((AA5/X5)-(I5*AA5/X5^2)+(H5*R5*(L5-(Z5/W5))/W5)+(J5*U5*(O5-(AB5/Y5))/Y5))</f>
        <v>119.72676482297258</v>
      </c>
      <c r="AE5" s="34">
        <f>EXP((AB5/Y5)-(J5*AB5/Y5^2)+(H5*T5*(N5-(Z5/W5))/W5)+(I5*V5*(P5-(AA5/X5))/X5))</f>
        <v>11146.525807503465</v>
      </c>
      <c r="AF5" s="2">
        <f>AC5/AC14</f>
        <v>8.6906197791654458E-3</v>
      </c>
      <c r="AG5" s="2">
        <f>AD5/AD14</f>
        <v>39.265884090907775</v>
      </c>
      <c r="AH5" s="2">
        <f>AE5/AE14</f>
        <v>11103.686287674611</v>
      </c>
      <c r="AI5" s="87" t="s">
        <v>33</v>
      </c>
      <c r="AJ5" s="24">
        <f>H5*AC5/AC14</f>
        <v>8.6906197791654458E-3</v>
      </c>
      <c r="AK5" s="24">
        <f t="shared" ref="AK5:AK13" si="0">I5*AD5/AD14</f>
        <v>0</v>
      </c>
      <c r="AL5" s="24">
        <f>1-AJ5-AK5</f>
        <v>0.99130938022083459</v>
      </c>
      <c r="AM5" s="6">
        <f t="shared" ref="AM5:AM22" si="1">SUM(AJ5:AL5)</f>
        <v>1</v>
      </c>
      <c r="AN5" s="27">
        <f t="shared" ref="AN5:AP13" si="2">(H14-AJ5)^2</f>
        <v>9.5716121043637083E-8</v>
      </c>
      <c r="AO5" s="27">
        <f t="shared" si="2"/>
        <v>0</v>
      </c>
      <c r="AP5" s="27">
        <f t="shared" si="2"/>
        <v>9.5716121043664996E-8</v>
      </c>
      <c r="AQ5" s="51">
        <f>SUM(AN5:AO22)</f>
        <v>3.3593538883489259E-3</v>
      </c>
      <c r="AR5" s="60">
        <f>100*SQRT(AQ5/6/9)</f>
        <v>0.78873479187650108</v>
      </c>
    </row>
    <row r="6" spans="2:45" ht="19.5" thickBot="1" x14ac:dyDescent="0.4">
      <c r="B6" s="44" t="s">
        <v>61</v>
      </c>
      <c r="C6" s="2">
        <v>21793.4</v>
      </c>
      <c r="D6" s="45" t="s">
        <v>69</v>
      </c>
      <c r="E6" s="3"/>
      <c r="F6" s="2"/>
      <c r="G6" s="2"/>
      <c r="H6" s="29">
        <v>0.997</v>
      </c>
      <c r="I6" s="28">
        <v>3.0000000000000001E-3</v>
      </c>
      <c r="J6" s="30">
        <f t="shared" ref="J6:J13" si="3">1-SUM(H6:I6)</f>
        <v>0</v>
      </c>
      <c r="K6" s="32">
        <f t="shared" ref="K6:K22" si="4">C$4/$C$13/$G$5</f>
        <v>4.1479330638630927</v>
      </c>
      <c r="L6" s="32">
        <f t="shared" ref="L6:L22" si="5">C$5/$C$13/$G$5</f>
        <v>4.1398257236466671</v>
      </c>
      <c r="M6" s="32">
        <f t="shared" ref="M6:M22" si="6">C$6/$C$13/$G$5</f>
        <v>8.7903735459021473</v>
      </c>
      <c r="N6" s="32">
        <f t="shared" ref="N6:N22" si="7">C$7/$C$13/$G$5</f>
        <v>5.4306675592001215</v>
      </c>
      <c r="O6" s="32">
        <f t="shared" ref="O6:O22" si="8">C$8/$C$13/$G$5</f>
        <v>3.4647383942819778</v>
      </c>
      <c r="P6" s="32">
        <f t="shared" ref="P6:P22" si="9">C$9/$C$13/$G$5</f>
        <v>0.30892596376914361</v>
      </c>
      <c r="Q6" s="33">
        <f t="shared" ref="Q6:Q22" si="10">EXP(-$C$10*K6)</f>
        <v>0.15337555691866434</v>
      </c>
      <c r="R6" s="33">
        <f t="shared" ref="R6:R22" si="11">EXP(-$C$10*L6)</f>
        <v>0.15393863544920208</v>
      </c>
      <c r="S6" s="33">
        <f t="shared" ref="S6:S22" si="12">EXP(-$C$11*M6)</f>
        <v>2.3027404986655366E-2</v>
      </c>
      <c r="T6" s="33">
        <f t="shared" ref="T6:T22" si="13">EXP(-$C$11*N6)</f>
        <v>9.7319452885038696E-2</v>
      </c>
      <c r="U6" s="33">
        <f t="shared" ref="U6:U22" si="14">EXP(-$C$12*O6)</f>
        <v>0.23416591247282573</v>
      </c>
      <c r="V6" s="33">
        <f t="shared" ref="V6:V22" si="15">EXP(-$C$12*P6)</f>
        <v>0.87858732068206491</v>
      </c>
      <c r="W6" s="46">
        <f t="shared" ref="W6:W22" si="16">H6+R6*I6+T6*J6</f>
        <v>0.99746181590634764</v>
      </c>
      <c r="X6" s="47">
        <f t="shared" ref="X6:X22" si="17">Q6*H6+I6+V6*J6</f>
        <v>0.15591543024790835</v>
      </c>
      <c r="Y6" s="48">
        <f t="shared" ref="Y6:Y22" si="18">S6*H6+U6*I6+J6</f>
        <v>2.3660820509113879E-2</v>
      </c>
      <c r="Z6" s="46">
        <f t="shared" ref="Z6:Z22" si="19">I6*L6*R6+J6*N6*T6</f>
        <v>1.9118373686870206E-3</v>
      </c>
      <c r="AA6" s="47">
        <f t="shared" ref="AA6:AA22" si="20">H6*K6*Q6+J6*P6*V6</f>
        <v>0.63428296910014947</v>
      </c>
      <c r="AB6" s="48">
        <f t="shared" ref="AB6:AB22" si="21">H6*M6*S6+I6*O6*U6</f>
        <v>0.20424620403332411</v>
      </c>
      <c r="AC6" s="32">
        <f t="shared" ref="AC6:AC22" si="22">EXP((Z6/W6)-(H6*Z6/W6^2)+(I6*Q6/X6)*(K6-AA6/X6)+(J6*S6/Y6)*(M6-AB6/Y6))</f>
        <v>1.0002364486057944</v>
      </c>
      <c r="AD6" s="33">
        <f t="shared" ref="AD6:AD22" si="23">EXP((AA6/X6)-(I6*AA6/X6^2)+(H6*R6*(L6-(Z6/W6))/W6)+(J6*U6*(O6-(AB6/Y6))/Y6))</f>
        <v>102.15951427620131</v>
      </c>
      <c r="AE6" s="34">
        <f t="shared" ref="AE6:AE22" si="24">EXP((AB6/Y6)-(J6*AB6/Y6^2)+(H6*T6*(N6-(Z6/W6))/W6)+(I6*V6*(P6-(AA6/X6))/X6))</f>
        <v>8926.5263419856456</v>
      </c>
      <c r="AF6" s="2">
        <f t="shared" ref="AF6:AH13" si="25">AC6/AC15</f>
        <v>1.0780702770048474E-2</v>
      </c>
      <c r="AG6" s="2">
        <f t="shared" si="25"/>
        <v>36.975168058820252</v>
      </c>
      <c r="AH6" s="2">
        <f t="shared" si="25"/>
        <v>8828.0199966433556</v>
      </c>
      <c r="AI6" s="88"/>
      <c r="AJ6" s="24">
        <f t="shared" ref="AJ6:AJ13" si="26">H6*AC6/AC15</f>
        <v>1.0748360661738329E-2</v>
      </c>
      <c r="AK6" s="24">
        <f t="shared" si="0"/>
        <v>0.11092550417646074</v>
      </c>
      <c r="AL6" s="24">
        <f t="shared" ref="AL6:AL13" si="27">1-AJ6-AK6</f>
        <v>0.87832613516180091</v>
      </c>
      <c r="AM6" s="6">
        <f t="shared" si="1"/>
        <v>1</v>
      </c>
      <c r="AN6" s="27">
        <f t="shared" si="2"/>
        <v>6.3322356560771225E-8</v>
      </c>
      <c r="AO6" s="27">
        <f t="shared" si="2"/>
        <v>2.8647269162739003E-4</v>
      </c>
      <c r="AP6" s="27">
        <f t="shared" si="2"/>
        <v>2.7801776864253241E-4</v>
      </c>
    </row>
    <row r="7" spans="2:45" ht="19.5" thickBot="1" x14ac:dyDescent="0.4">
      <c r="B7" s="44" t="s">
        <v>62</v>
      </c>
      <c r="C7" s="2">
        <v>13463.9</v>
      </c>
      <c r="D7" s="45" t="s">
        <v>69</v>
      </c>
      <c r="E7" s="3"/>
      <c r="F7" s="2"/>
      <c r="G7" s="2"/>
      <c r="H7" s="29">
        <v>0.995</v>
      </c>
      <c r="I7" s="28">
        <v>5.0000000000000001E-3</v>
      </c>
      <c r="J7" s="30">
        <f t="shared" si="3"/>
        <v>0</v>
      </c>
      <c r="K7" s="32">
        <f t="shared" si="4"/>
        <v>4.1479330638630927</v>
      </c>
      <c r="L7" s="32">
        <f t="shared" si="5"/>
        <v>4.1398257236466671</v>
      </c>
      <c r="M7" s="32">
        <f t="shared" si="6"/>
        <v>8.7903735459021473</v>
      </c>
      <c r="N7" s="32">
        <f t="shared" si="7"/>
        <v>5.4306675592001215</v>
      </c>
      <c r="O7" s="32">
        <f t="shared" si="8"/>
        <v>3.4647383942819778</v>
      </c>
      <c r="P7" s="32">
        <f t="shared" si="9"/>
        <v>0.30892596376914361</v>
      </c>
      <c r="Q7" s="33">
        <f t="shared" si="10"/>
        <v>0.15337555691866434</v>
      </c>
      <c r="R7" s="33">
        <f t="shared" si="11"/>
        <v>0.15393863544920208</v>
      </c>
      <c r="S7" s="33">
        <f t="shared" si="12"/>
        <v>2.3027404986655366E-2</v>
      </c>
      <c r="T7" s="33">
        <f t="shared" si="13"/>
        <v>9.7319452885038696E-2</v>
      </c>
      <c r="U7" s="33">
        <f t="shared" si="14"/>
        <v>0.23416591247282573</v>
      </c>
      <c r="V7" s="33">
        <f t="shared" si="15"/>
        <v>0.87858732068206491</v>
      </c>
      <c r="W7" s="46">
        <f t="shared" si="16"/>
        <v>0.99576969317724595</v>
      </c>
      <c r="X7" s="47">
        <f t="shared" si="17"/>
        <v>0.15760867913407101</v>
      </c>
      <c r="Y7" s="48">
        <f t="shared" si="18"/>
        <v>2.408309752408622E-2</v>
      </c>
      <c r="Z7" s="46">
        <f t="shared" si="19"/>
        <v>3.1863956144783678E-3</v>
      </c>
      <c r="AA7" s="47">
        <f t="shared" si="20"/>
        <v>0.63301058601268678</v>
      </c>
      <c r="AB7" s="48">
        <f t="shared" si="21"/>
        <v>0.20546401230522651</v>
      </c>
      <c r="AC7" s="32">
        <f t="shared" si="22"/>
        <v>1.0006429566552038</v>
      </c>
      <c r="AD7" s="33">
        <f t="shared" si="23"/>
        <v>92.316484241538333</v>
      </c>
      <c r="AE7" s="34">
        <f t="shared" si="24"/>
        <v>7753.6298684263584</v>
      </c>
      <c r="AF7" s="2">
        <f t="shared" si="25"/>
        <v>1.4739088170025795E-2</v>
      </c>
      <c r="AG7" s="2">
        <f t="shared" si="25"/>
        <v>36.541520965882683</v>
      </c>
      <c r="AH7" s="2">
        <f t="shared" si="25"/>
        <v>7520.3320840924398</v>
      </c>
      <c r="AI7" s="88"/>
      <c r="AJ7" s="24">
        <f t="shared" si="26"/>
        <v>1.4665392729175665E-2</v>
      </c>
      <c r="AK7" s="24">
        <f t="shared" si="0"/>
        <v>0.18270760482941339</v>
      </c>
      <c r="AL7" s="24">
        <f t="shared" si="27"/>
        <v>0.80262700244141094</v>
      </c>
      <c r="AM7" s="6">
        <f t="shared" si="1"/>
        <v>1</v>
      </c>
      <c r="AN7" s="27">
        <f t="shared" si="2"/>
        <v>1.1196202568850927E-7</v>
      </c>
      <c r="AO7" s="27">
        <f t="shared" si="2"/>
        <v>8.5494935782367648E-8</v>
      </c>
      <c r="AP7" s="27">
        <f t="shared" si="2"/>
        <v>3.9313206153522338E-7</v>
      </c>
      <c r="AR7" s="85" t="s">
        <v>23</v>
      </c>
      <c r="AS7" s="86"/>
    </row>
    <row r="8" spans="2:45" ht="18.75" x14ac:dyDescent="0.35">
      <c r="B8" s="44" t="s">
        <v>63</v>
      </c>
      <c r="C8" s="2">
        <v>8589.9</v>
      </c>
      <c r="D8" s="45" t="s">
        <v>69</v>
      </c>
      <c r="E8" s="3"/>
      <c r="F8" s="2"/>
      <c r="G8" s="2"/>
      <c r="H8" s="29">
        <v>0.99199999999999999</v>
      </c>
      <c r="I8" s="28">
        <v>8.0000000000000002E-3</v>
      </c>
      <c r="J8" s="30">
        <f t="shared" si="3"/>
        <v>0</v>
      </c>
      <c r="K8" s="32">
        <f t="shared" si="4"/>
        <v>4.1479330638630927</v>
      </c>
      <c r="L8" s="32">
        <f t="shared" si="5"/>
        <v>4.1398257236466671</v>
      </c>
      <c r="M8" s="32">
        <f t="shared" si="6"/>
        <v>8.7903735459021473</v>
      </c>
      <c r="N8" s="32">
        <f t="shared" si="7"/>
        <v>5.4306675592001215</v>
      </c>
      <c r="O8" s="32">
        <f t="shared" si="8"/>
        <v>3.4647383942819778</v>
      </c>
      <c r="P8" s="32">
        <f t="shared" si="9"/>
        <v>0.30892596376914361</v>
      </c>
      <c r="Q8" s="33">
        <f t="shared" si="10"/>
        <v>0.15337555691866434</v>
      </c>
      <c r="R8" s="33">
        <f t="shared" si="11"/>
        <v>0.15393863544920208</v>
      </c>
      <c r="S8" s="33">
        <f t="shared" si="12"/>
        <v>2.3027404986655366E-2</v>
      </c>
      <c r="T8" s="33">
        <f t="shared" si="13"/>
        <v>9.7319452885038696E-2</v>
      </c>
      <c r="U8" s="33">
        <f t="shared" si="14"/>
        <v>0.23416591247282573</v>
      </c>
      <c r="V8" s="33">
        <f t="shared" si="15"/>
        <v>0.87858732068206491</v>
      </c>
      <c r="W8" s="46">
        <f t="shared" si="16"/>
        <v>0.99323150908359359</v>
      </c>
      <c r="X8" s="47">
        <f t="shared" si="17"/>
        <v>0.16014855246331502</v>
      </c>
      <c r="Y8" s="48">
        <f t="shared" si="18"/>
        <v>2.4716513046544729E-2</v>
      </c>
      <c r="Z8" s="46">
        <f t="shared" si="19"/>
        <v>5.0982329831653888E-3</v>
      </c>
      <c r="AA8" s="47">
        <f t="shared" si="20"/>
        <v>0.6311020113814928</v>
      </c>
      <c r="AB8" s="48">
        <f t="shared" si="21"/>
        <v>0.20729072471308016</v>
      </c>
      <c r="AC8" s="32">
        <f t="shared" si="22"/>
        <v>1.0015951649052961</v>
      </c>
      <c r="AD8" s="33">
        <f t="shared" si="23"/>
        <v>79.804101156321778</v>
      </c>
      <c r="AE8" s="34">
        <f t="shared" si="24"/>
        <v>6340.359208158985</v>
      </c>
      <c r="AF8" s="2">
        <f t="shared" si="25"/>
        <v>1.7950944340595083E-2</v>
      </c>
      <c r="AG8" s="2">
        <f t="shared" si="25"/>
        <v>34.419365083946325</v>
      </c>
      <c r="AH8" s="2">
        <f t="shared" si="25"/>
        <v>5967.8675797583319</v>
      </c>
      <c r="AI8" s="88"/>
      <c r="AJ8" s="24">
        <f t="shared" si="26"/>
        <v>1.7807336785870324E-2</v>
      </c>
      <c r="AK8" s="24">
        <f t="shared" si="0"/>
        <v>0.27535492067157064</v>
      </c>
      <c r="AL8" s="24">
        <f t="shared" si="27"/>
        <v>0.70683774254255904</v>
      </c>
      <c r="AM8" s="6">
        <f t="shared" si="1"/>
        <v>1</v>
      </c>
      <c r="AN8" s="27">
        <f t="shared" si="2"/>
        <v>3.7119114078776989E-8</v>
      </c>
      <c r="AO8" s="27">
        <f t="shared" si="2"/>
        <v>4.038501674195556E-5</v>
      </c>
      <c r="AP8" s="27">
        <f t="shared" si="2"/>
        <v>3.7973416971786265E-5</v>
      </c>
      <c r="AR8" s="24">
        <f>AK5</f>
        <v>0</v>
      </c>
      <c r="AS8" s="24">
        <f>AL5</f>
        <v>0.99130938022083459</v>
      </c>
    </row>
    <row r="9" spans="2:45" ht="19.5" thickBot="1" x14ac:dyDescent="0.4">
      <c r="B9" s="44" t="s">
        <v>64</v>
      </c>
      <c r="C9" s="2">
        <v>765.9</v>
      </c>
      <c r="D9" s="45" t="s">
        <v>69</v>
      </c>
      <c r="E9" s="3"/>
      <c r="F9" s="2"/>
      <c r="G9" s="2"/>
      <c r="H9" s="29">
        <v>0.98899999999999999</v>
      </c>
      <c r="I9" s="28">
        <v>1.0999999999999999E-2</v>
      </c>
      <c r="J9" s="30">
        <f t="shared" si="3"/>
        <v>0</v>
      </c>
      <c r="K9" s="32">
        <f t="shared" si="4"/>
        <v>4.1479330638630927</v>
      </c>
      <c r="L9" s="32">
        <f t="shared" si="5"/>
        <v>4.1398257236466671</v>
      </c>
      <c r="M9" s="32">
        <f t="shared" si="6"/>
        <v>8.7903735459021473</v>
      </c>
      <c r="N9" s="32">
        <f t="shared" si="7"/>
        <v>5.4306675592001215</v>
      </c>
      <c r="O9" s="32">
        <f t="shared" si="8"/>
        <v>3.4647383942819778</v>
      </c>
      <c r="P9" s="32">
        <f t="shared" si="9"/>
        <v>0.30892596376914361</v>
      </c>
      <c r="Q9" s="33">
        <f t="shared" si="10"/>
        <v>0.15337555691866434</v>
      </c>
      <c r="R9" s="33">
        <f t="shared" si="11"/>
        <v>0.15393863544920208</v>
      </c>
      <c r="S9" s="33">
        <f t="shared" si="12"/>
        <v>2.3027404986655366E-2</v>
      </c>
      <c r="T9" s="33">
        <f t="shared" si="13"/>
        <v>9.7319452885038696E-2</v>
      </c>
      <c r="U9" s="33">
        <f t="shared" si="14"/>
        <v>0.23416591247282573</v>
      </c>
      <c r="V9" s="33">
        <f t="shared" si="15"/>
        <v>0.87858732068206491</v>
      </c>
      <c r="W9" s="46">
        <f t="shared" si="16"/>
        <v>0.99069332498994123</v>
      </c>
      <c r="X9" s="47">
        <f t="shared" si="17"/>
        <v>0.16268842579255904</v>
      </c>
      <c r="Y9" s="48">
        <f t="shared" si="18"/>
        <v>2.5349928569003241E-2</v>
      </c>
      <c r="Z9" s="46">
        <f t="shared" si="19"/>
        <v>7.0100703518524085E-3</v>
      </c>
      <c r="AA9" s="47">
        <f t="shared" si="20"/>
        <v>0.62919343675029871</v>
      </c>
      <c r="AB9" s="48">
        <f t="shared" si="21"/>
        <v>0.20911743712093375</v>
      </c>
      <c r="AC9" s="32">
        <f t="shared" si="22"/>
        <v>1.002924802236945</v>
      </c>
      <c r="AD9" s="33">
        <f t="shared" si="23"/>
        <v>69.483024743605355</v>
      </c>
      <c r="AE9" s="34">
        <f t="shared" si="24"/>
        <v>5243.5602989862346</v>
      </c>
      <c r="AF9" s="2">
        <f t="shared" si="25"/>
        <v>2.1214483055159904E-2</v>
      </c>
      <c r="AG9" s="2">
        <f t="shared" si="25"/>
        <v>32.240208976582409</v>
      </c>
      <c r="AH9" s="2">
        <f t="shared" si="25"/>
        <v>4751.5353031810318</v>
      </c>
      <c r="AI9" s="88"/>
      <c r="AJ9" s="24">
        <f t="shared" si="26"/>
        <v>2.0981123741553146E-2</v>
      </c>
      <c r="AK9" s="24">
        <f t="shared" si="0"/>
        <v>0.35464229874240649</v>
      </c>
      <c r="AL9" s="24">
        <f>1-AJ9-AK9</f>
        <v>0.62437657751604037</v>
      </c>
      <c r="AM9" s="6">
        <f t="shared" si="1"/>
        <v>1</v>
      </c>
      <c r="AN9" s="27">
        <f t="shared" si="2"/>
        <v>3.5631313295247222E-10</v>
      </c>
      <c r="AO9" s="27">
        <f t="shared" si="2"/>
        <v>1.5982771749225211E-4</v>
      </c>
      <c r="AP9" s="27">
        <f t="shared" si="2"/>
        <v>1.593507952085379E-4</v>
      </c>
      <c r="AR9" s="24">
        <f>AK14</f>
        <v>0</v>
      </c>
      <c r="AS9" s="24">
        <f>AL14</f>
        <v>8.9249639653457831E-5</v>
      </c>
    </row>
    <row r="10" spans="2:45" ht="18.75" thickBot="1" x14ac:dyDescent="0.4">
      <c r="B10" s="44" t="s">
        <v>65</v>
      </c>
      <c r="C10" s="5">
        <v>0.45200000000000001</v>
      </c>
      <c r="D10" s="3"/>
      <c r="E10" s="3"/>
      <c r="F10" s="2"/>
      <c r="G10" s="2"/>
      <c r="H10" s="29">
        <v>0.98299999999999998</v>
      </c>
      <c r="I10" s="28">
        <v>1.7000000000000001E-2</v>
      </c>
      <c r="J10" s="30">
        <f t="shared" si="3"/>
        <v>0</v>
      </c>
      <c r="K10" s="32">
        <f t="shared" si="4"/>
        <v>4.1479330638630927</v>
      </c>
      <c r="L10" s="32">
        <f t="shared" si="5"/>
        <v>4.1398257236466671</v>
      </c>
      <c r="M10" s="32">
        <f t="shared" si="6"/>
        <v>8.7903735459021473</v>
      </c>
      <c r="N10" s="32">
        <f t="shared" si="7"/>
        <v>5.4306675592001215</v>
      </c>
      <c r="O10" s="32">
        <f t="shared" si="8"/>
        <v>3.4647383942819778</v>
      </c>
      <c r="P10" s="32">
        <f t="shared" si="9"/>
        <v>0.30892596376914361</v>
      </c>
      <c r="Q10" s="33">
        <f t="shared" si="10"/>
        <v>0.15337555691866434</v>
      </c>
      <c r="R10" s="33">
        <f t="shared" si="11"/>
        <v>0.15393863544920208</v>
      </c>
      <c r="S10" s="33">
        <f t="shared" si="12"/>
        <v>2.3027404986655366E-2</v>
      </c>
      <c r="T10" s="33">
        <f t="shared" si="13"/>
        <v>9.7319452885038696E-2</v>
      </c>
      <c r="U10" s="33">
        <f t="shared" si="14"/>
        <v>0.23416591247282573</v>
      </c>
      <c r="V10" s="33">
        <f t="shared" si="15"/>
        <v>0.87858732068206491</v>
      </c>
      <c r="W10" s="46">
        <f t="shared" si="16"/>
        <v>0.98561695680263639</v>
      </c>
      <c r="X10" s="47">
        <f t="shared" si="17"/>
        <v>0.16776817245104703</v>
      </c>
      <c r="Y10" s="48">
        <f t="shared" si="18"/>
        <v>2.6616759613920262E-2</v>
      </c>
      <c r="Z10" s="46">
        <f t="shared" si="19"/>
        <v>1.0833745089226451E-2</v>
      </c>
      <c r="AA10" s="47">
        <f t="shared" si="20"/>
        <v>0.62537628748791074</v>
      </c>
      <c r="AB10" s="48">
        <f t="shared" si="21"/>
        <v>0.21277086193664096</v>
      </c>
      <c r="AC10" s="32">
        <f t="shared" si="22"/>
        <v>1.0065830656964183</v>
      </c>
      <c r="AD10" s="33">
        <f t="shared" si="23"/>
        <v>53.720795221988155</v>
      </c>
      <c r="AE10" s="34">
        <f t="shared" si="24"/>
        <v>3698.0073470665038</v>
      </c>
      <c r="AF10" s="2">
        <f t="shared" si="25"/>
        <v>2.332157404396356E-2</v>
      </c>
      <c r="AG10" s="2">
        <f t="shared" si="25"/>
        <v>28.423083724596658</v>
      </c>
      <c r="AH10" s="2">
        <f t="shared" si="25"/>
        <v>3041.1226243671254</v>
      </c>
      <c r="AI10" s="88"/>
      <c r="AJ10" s="24">
        <f t="shared" si="26"/>
        <v>2.2925107285216177E-2</v>
      </c>
      <c r="AK10" s="24">
        <f t="shared" si="0"/>
        <v>0.48319242331814322</v>
      </c>
      <c r="AL10" s="24">
        <f t="shared" si="27"/>
        <v>0.49388246939664066</v>
      </c>
      <c r="AM10" s="6">
        <f t="shared" si="1"/>
        <v>1</v>
      </c>
      <c r="AN10" s="27">
        <f t="shared" si="2"/>
        <v>5.6089187276909733E-9</v>
      </c>
      <c r="AO10" s="27">
        <f t="shared" si="2"/>
        <v>2.9557941955023372E-4</v>
      </c>
      <c r="AP10" s="27">
        <f t="shared" si="2"/>
        <v>2.9300985395694026E-4</v>
      </c>
      <c r="AR10" s="95" t="s">
        <v>24</v>
      </c>
      <c r="AS10" s="96"/>
    </row>
    <row r="11" spans="2:45" ht="18" x14ac:dyDescent="0.35">
      <c r="B11" s="44" t="s">
        <v>66</v>
      </c>
      <c r="C11" s="5">
        <v>0.42899999999999999</v>
      </c>
      <c r="D11" s="3"/>
      <c r="E11" s="3"/>
      <c r="F11" s="2"/>
      <c r="G11" s="2"/>
      <c r="H11" s="29">
        <v>0.97599999999999998</v>
      </c>
      <c r="I11" s="28">
        <v>2.4E-2</v>
      </c>
      <c r="J11" s="30">
        <f t="shared" si="3"/>
        <v>0</v>
      </c>
      <c r="K11" s="32">
        <f t="shared" si="4"/>
        <v>4.1479330638630927</v>
      </c>
      <c r="L11" s="32">
        <f t="shared" si="5"/>
        <v>4.1398257236466671</v>
      </c>
      <c r="M11" s="32">
        <f t="shared" si="6"/>
        <v>8.7903735459021473</v>
      </c>
      <c r="N11" s="32">
        <f t="shared" si="7"/>
        <v>5.4306675592001215</v>
      </c>
      <c r="O11" s="32">
        <f t="shared" si="8"/>
        <v>3.4647383942819778</v>
      </c>
      <c r="P11" s="32">
        <f t="shared" si="9"/>
        <v>0.30892596376914361</v>
      </c>
      <c r="Q11" s="33">
        <f t="shared" si="10"/>
        <v>0.15337555691866434</v>
      </c>
      <c r="R11" s="33">
        <f t="shared" si="11"/>
        <v>0.15393863544920208</v>
      </c>
      <c r="S11" s="33">
        <f t="shared" si="12"/>
        <v>2.3027404986655366E-2</v>
      </c>
      <c r="T11" s="33">
        <f t="shared" si="13"/>
        <v>9.7319452885038696E-2</v>
      </c>
      <c r="U11" s="33">
        <f t="shared" si="14"/>
        <v>0.23416591247282573</v>
      </c>
      <c r="V11" s="33">
        <f t="shared" si="15"/>
        <v>0.87858732068206491</v>
      </c>
      <c r="W11" s="46">
        <f t="shared" si="16"/>
        <v>0.97969452725078088</v>
      </c>
      <c r="X11" s="47">
        <f t="shared" si="17"/>
        <v>0.17369454355261638</v>
      </c>
      <c r="Y11" s="48">
        <f t="shared" si="18"/>
        <v>2.8094729166323454E-2</v>
      </c>
      <c r="Z11" s="46">
        <f t="shared" si="19"/>
        <v>1.5294698949496165E-2</v>
      </c>
      <c r="AA11" s="47">
        <f t="shared" si="20"/>
        <v>0.62092294668179115</v>
      </c>
      <c r="AB11" s="48">
        <f t="shared" si="21"/>
        <v>0.21703319088829937</v>
      </c>
      <c r="AC11" s="32">
        <f t="shared" si="22"/>
        <v>1.0122797911073418</v>
      </c>
      <c r="AD11" s="33">
        <f t="shared" si="23"/>
        <v>40.990371346180616</v>
      </c>
      <c r="AE11" s="34">
        <f t="shared" si="24"/>
        <v>2574.9466597041292</v>
      </c>
      <c r="AF11" s="2">
        <f t="shared" si="25"/>
        <v>2.7500273643268625E-2</v>
      </c>
      <c r="AG11" s="2">
        <f t="shared" si="25"/>
        <v>25.494158397438465</v>
      </c>
      <c r="AH11" s="2">
        <f t="shared" si="25"/>
        <v>1714.6442706153414</v>
      </c>
      <c r="AI11" s="88"/>
      <c r="AJ11" s="24">
        <f t="shared" si="26"/>
        <v>2.684026707583018E-2</v>
      </c>
      <c r="AK11" s="24">
        <f t="shared" si="0"/>
        <v>0.61185980153852326</v>
      </c>
      <c r="AL11" s="24">
        <f t="shared" si="27"/>
        <v>0.36129993138564653</v>
      </c>
      <c r="AM11" s="6">
        <f t="shared" si="1"/>
        <v>1</v>
      </c>
      <c r="AN11" s="27">
        <f t="shared" si="2"/>
        <v>2.5514607063841394E-8</v>
      </c>
      <c r="AO11" s="27">
        <f t="shared" si="2"/>
        <v>3.4337274070879795E-5</v>
      </c>
      <c r="AP11" s="27">
        <f t="shared" si="2"/>
        <v>3.249078220833737E-5</v>
      </c>
      <c r="AR11" s="24">
        <f>AK6</f>
        <v>0.11092550417646074</v>
      </c>
      <c r="AS11" s="24">
        <f>AL6</f>
        <v>0.87832613516180091</v>
      </c>
    </row>
    <row r="12" spans="2:45" ht="18.75" thickBot="1" x14ac:dyDescent="0.4">
      <c r="B12" s="44" t="s">
        <v>67</v>
      </c>
      <c r="C12" s="5">
        <v>0.41899999999999998</v>
      </c>
      <c r="D12" s="7"/>
      <c r="E12" s="3"/>
      <c r="F12" s="2"/>
      <c r="G12" s="2"/>
      <c r="H12" s="29">
        <v>0.97099999999999997</v>
      </c>
      <c r="I12" s="28">
        <v>2.9000000000000001E-2</v>
      </c>
      <c r="J12" s="30">
        <f t="shared" si="3"/>
        <v>0</v>
      </c>
      <c r="K12" s="32">
        <f t="shared" si="4"/>
        <v>4.1479330638630927</v>
      </c>
      <c r="L12" s="32">
        <f t="shared" si="5"/>
        <v>4.1398257236466671</v>
      </c>
      <c r="M12" s="32">
        <f t="shared" si="6"/>
        <v>8.7903735459021473</v>
      </c>
      <c r="N12" s="32">
        <f t="shared" si="7"/>
        <v>5.4306675592001215</v>
      </c>
      <c r="O12" s="32">
        <f t="shared" si="8"/>
        <v>3.4647383942819778</v>
      </c>
      <c r="P12" s="32">
        <f t="shared" si="9"/>
        <v>0.30892596376914361</v>
      </c>
      <c r="Q12" s="33">
        <f t="shared" si="10"/>
        <v>0.15337555691866434</v>
      </c>
      <c r="R12" s="33">
        <f t="shared" si="11"/>
        <v>0.15393863544920208</v>
      </c>
      <c r="S12" s="33">
        <f t="shared" si="12"/>
        <v>2.3027404986655366E-2</v>
      </c>
      <c r="T12" s="33">
        <f t="shared" si="13"/>
        <v>9.7319452885038696E-2</v>
      </c>
      <c r="U12" s="33">
        <f t="shared" si="14"/>
        <v>0.23416591247282573</v>
      </c>
      <c r="V12" s="33">
        <f t="shared" si="15"/>
        <v>0.87858732068206491</v>
      </c>
      <c r="W12" s="46">
        <f t="shared" si="16"/>
        <v>0.97546422042802683</v>
      </c>
      <c r="X12" s="47">
        <f t="shared" si="17"/>
        <v>0.17792766576802307</v>
      </c>
      <c r="Y12" s="48">
        <f t="shared" si="18"/>
        <v>2.9150421703754308E-2</v>
      </c>
      <c r="Z12" s="46">
        <f t="shared" si="19"/>
        <v>1.848109456397453E-2</v>
      </c>
      <c r="AA12" s="47">
        <f t="shared" si="20"/>
        <v>0.61774198896313459</v>
      </c>
      <c r="AB12" s="48">
        <f t="shared" si="21"/>
        <v>0.22007771156805536</v>
      </c>
      <c r="AC12" s="32">
        <f t="shared" si="22"/>
        <v>1.0171322053324472</v>
      </c>
      <c r="AD12" s="33">
        <f t="shared" si="23"/>
        <v>34.379449563873408</v>
      </c>
      <c r="AE12" s="34">
        <f t="shared" si="24"/>
        <v>2040.7076874486627</v>
      </c>
      <c r="AF12" s="2">
        <f t="shared" si="25"/>
        <v>3.1794878967873884E-2</v>
      </c>
      <c r="AG12" s="2">
        <f t="shared" si="25"/>
        <v>24.293651746643054</v>
      </c>
      <c r="AH12" s="2">
        <f t="shared" si="25"/>
        <v>1024.805643023215</v>
      </c>
      <c r="AI12" s="88"/>
      <c r="AJ12" s="24">
        <f t="shared" si="26"/>
        <v>3.087282747780554E-2</v>
      </c>
      <c r="AK12" s="24">
        <f t="shared" si="0"/>
        <v>0.70451590065264857</v>
      </c>
      <c r="AL12" s="24">
        <f t="shared" si="27"/>
        <v>0.26461127186954592</v>
      </c>
      <c r="AM12" s="6">
        <f t="shared" si="1"/>
        <v>1</v>
      </c>
      <c r="AN12" s="27">
        <f t="shared" si="2"/>
        <v>1.6172850401300319E-8</v>
      </c>
      <c r="AO12" s="27">
        <f t="shared" si="2"/>
        <v>2.6615348340326732E-7</v>
      </c>
      <c r="AP12" s="27">
        <f t="shared" si="2"/>
        <v>1.5110955940633732E-7</v>
      </c>
      <c r="AR12" s="24">
        <f>AK15</f>
        <v>2.5422467276001131E-3</v>
      </c>
      <c r="AS12" s="24">
        <f>AL15</f>
        <v>1.0138173682663864E-4</v>
      </c>
    </row>
    <row r="13" spans="2:45" ht="18" thickBot="1" x14ac:dyDescent="0.3">
      <c r="B13" s="44" t="s">
        <v>2</v>
      </c>
      <c r="C13" s="6">
        <v>8.3140000000000001</v>
      </c>
      <c r="D13" s="45" t="s">
        <v>70</v>
      </c>
      <c r="E13" s="3"/>
      <c r="F13" s="2"/>
      <c r="G13" s="2"/>
      <c r="H13" s="20">
        <v>0.96499999999999997</v>
      </c>
      <c r="I13" s="31">
        <v>3.5000000000000003E-2</v>
      </c>
      <c r="J13" s="19">
        <f t="shared" si="3"/>
        <v>0</v>
      </c>
      <c r="K13" s="32">
        <f t="shared" si="4"/>
        <v>4.1479330638630927</v>
      </c>
      <c r="L13" s="32">
        <f t="shared" si="5"/>
        <v>4.1398257236466671</v>
      </c>
      <c r="M13" s="32">
        <f t="shared" si="6"/>
        <v>8.7903735459021473</v>
      </c>
      <c r="N13" s="32">
        <f t="shared" si="7"/>
        <v>5.4306675592001215</v>
      </c>
      <c r="O13" s="32">
        <f t="shared" si="8"/>
        <v>3.4647383942819778</v>
      </c>
      <c r="P13" s="32">
        <f t="shared" si="9"/>
        <v>0.30892596376914361</v>
      </c>
      <c r="Q13" s="33">
        <f t="shared" si="10"/>
        <v>0.15337555691866434</v>
      </c>
      <c r="R13" s="33">
        <f t="shared" si="11"/>
        <v>0.15393863544920208</v>
      </c>
      <c r="S13" s="33">
        <f t="shared" si="12"/>
        <v>2.3027404986655366E-2</v>
      </c>
      <c r="T13" s="33">
        <f t="shared" si="13"/>
        <v>9.7319452885038696E-2</v>
      </c>
      <c r="U13" s="33">
        <f t="shared" si="14"/>
        <v>0.23416591247282573</v>
      </c>
      <c r="V13" s="33">
        <f t="shared" si="15"/>
        <v>0.87858732068206491</v>
      </c>
      <c r="W13" s="49">
        <f t="shared" si="16"/>
        <v>0.97038785224072199</v>
      </c>
      <c r="X13" s="22">
        <f t="shared" si="17"/>
        <v>0.18300741242651108</v>
      </c>
      <c r="Y13" s="50">
        <f t="shared" si="18"/>
        <v>3.0417252748671329E-2</v>
      </c>
      <c r="Z13" s="49">
        <f t="shared" si="19"/>
        <v>2.2304769301348573E-2</v>
      </c>
      <c r="AA13" s="22">
        <f t="shared" si="20"/>
        <v>0.61392483970074641</v>
      </c>
      <c r="AB13" s="50">
        <f t="shared" si="21"/>
        <v>0.2237311363837626</v>
      </c>
      <c r="AC13" s="35">
        <f t="shared" si="22"/>
        <v>1.0236729573697936</v>
      </c>
      <c r="AD13" s="21">
        <f t="shared" si="23"/>
        <v>28.312234525200147</v>
      </c>
      <c r="AE13" s="36">
        <f t="shared" si="24"/>
        <v>1582.8527157919252</v>
      </c>
      <c r="AF13" s="52">
        <f t="shared" si="25"/>
        <v>3.7522372245706578E-2</v>
      </c>
      <c r="AG13" s="23">
        <f t="shared" si="25"/>
        <v>22.70175370593341</v>
      </c>
      <c r="AH13" s="53">
        <f t="shared" si="25"/>
        <v>498.00279229560164</v>
      </c>
      <c r="AI13" s="89"/>
      <c r="AJ13" s="25">
        <f t="shared" si="26"/>
        <v>3.6209089217106846E-2</v>
      </c>
      <c r="AK13" s="25">
        <f t="shared" si="0"/>
        <v>0.79456137970766949</v>
      </c>
      <c r="AL13" s="25">
        <f t="shared" si="27"/>
        <v>0.16922953107522365</v>
      </c>
      <c r="AM13" s="21">
        <f t="shared" si="1"/>
        <v>1</v>
      </c>
      <c r="AN13" s="27">
        <f t="shared" si="2"/>
        <v>4.371830071035502E-8</v>
      </c>
      <c r="AO13" s="27">
        <f t="shared" si="2"/>
        <v>6.5606660068608543E-6</v>
      </c>
      <c r="AP13" s="27">
        <f t="shared" si="2"/>
        <v>7.6754980631510453E-6</v>
      </c>
      <c r="AR13" s="95" t="s">
        <v>25</v>
      </c>
      <c r="AS13" s="96"/>
    </row>
    <row r="14" spans="2:45" x14ac:dyDescent="0.25">
      <c r="B14" s="1"/>
      <c r="C14" s="6"/>
      <c r="D14" s="8"/>
      <c r="E14" s="3"/>
      <c r="F14" s="2"/>
      <c r="G14" s="2"/>
      <c r="H14" s="29">
        <v>8.9999999999999993E-3</v>
      </c>
      <c r="I14" s="28">
        <v>0</v>
      </c>
      <c r="J14" s="30">
        <f>1-SUM(H14:I14)</f>
        <v>0.99099999999999999</v>
      </c>
      <c r="K14" s="32">
        <f t="shared" si="4"/>
        <v>4.1479330638630927</v>
      </c>
      <c r="L14" s="32">
        <f t="shared" si="5"/>
        <v>4.1398257236466671</v>
      </c>
      <c r="M14" s="32">
        <f t="shared" si="6"/>
        <v>8.7903735459021473</v>
      </c>
      <c r="N14" s="32">
        <f t="shared" si="7"/>
        <v>5.4306675592001215</v>
      </c>
      <c r="O14" s="32">
        <f t="shared" si="8"/>
        <v>3.4647383942819778</v>
      </c>
      <c r="P14" s="32">
        <f t="shared" si="9"/>
        <v>0.30892596376914361</v>
      </c>
      <c r="Q14" s="33">
        <f t="shared" si="10"/>
        <v>0.15337555691866434</v>
      </c>
      <c r="R14" s="33">
        <f t="shared" si="11"/>
        <v>0.15393863544920208</v>
      </c>
      <c r="S14" s="33">
        <f t="shared" si="12"/>
        <v>2.3027404986655366E-2</v>
      </c>
      <c r="T14" s="33">
        <f t="shared" si="13"/>
        <v>9.7319452885038696E-2</v>
      </c>
      <c r="U14" s="33">
        <f t="shared" si="14"/>
        <v>0.23416591247282573</v>
      </c>
      <c r="V14" s="33">
        <f t="shared" si="15"/>
        <v>0.87858732068206491</v>
      </c>
      <c r="W14" s="46">
        <f>H14+R14*I14+T14*J14</f>
        <v>0.10544357780907335</v>
      </c>
      <c r="X14" s="47">
        <f t="shared" si="17"/>
        <v>0.87206041480819441</v>
      </c>
      <c r="Y14" s="48">
        <f t="shared" si="18"/>
        <v>0.99120724664487991</v>
      </c>
      <c r="Z14" s="46">
        <f t="shared" si="19"/>
        <v>0.52375300930092739</v>
      </c>
      <c r="AA14" s="47">
        <f t="shared" si="20"/>
        <v>0.27470139277746514</v>
      </c>
      <c r="AB14" s="48">
        <f t="shared" si="21"/>
        <v>1.8217754246292346E-3</v>
      </c>
      <c r="AC14" s="56">
        <f>EXP((Z14/W14)-(H14*Z14/W14^2)+(I14*Q14/X14)*(K14-AA14/X14)+(J14*S14/Y14)*(M14-AB14/Y14))</f>
        <v>115.06659195899481</v>
      </c>
      <c r="AD14" s="33">
        <f t="shared" si="23"/>
        <v>3.0491294821169186</v>
      </c>
      <c r="AE14" s="34">
        <f t="shared" si="24"/>
        <v>1.00385813492195</v>
      </c>
      <c r="AF14" s="2">
        <f>AC14/AC5</f>
        <v>115.06659195899481</v>
      </c>
      <c r="AG14" s="2">
        <f t="shared" ref="AG14:AH22" si="28">AD14/AD5</f>
        <v>2.5467400598565799E-2</v>
      </c>
      <c r="AH14" s="2">
        <f t="shared" si="28"/>
        <v>9.0060181285023046E-5</v>
      </c>
      <c r="AI14" s="90" t="s">
        <v>32</v>
      </c>
      <c r="AJ14" s="24">
        <f>H14*AC14/AC5</f>
        <v>1.0355993276309532</v>
      </c>
      <c r="AK14" s="24">
        <f>I14*AD14/AD5</f>
        <v>0</v>
      </c>
      <c r="AL14" s="61">
        <f>J14*AE14/AE5</f>
        <v>8.9249639653457831E-5</v>
      </c>
      <c r="AM14" s="6">
        <f t="shared" si="1"/>
        <v>1.0356885772706066</v>
      </c>
      <c r="AN14" s="27">
        <f t="shared" ref="AN14:AP22" si="29">(H5-AJ14)^2</f>
        <v>1.2673121277759474E-3</v>
      </c>
      <c r="AO14" s="27">
        <f t="shared" si="29"/>
        <v>0</v>
      </c>
      <c r="AP14" s="27">
        <f t="shared" si="29"/>
        <v>7.9654981782720718E-9</v>
      </c>
      <c r="AR14" s="42">
        <f>AJ7</f>
        <v>1.4665392729175665E-2</v>
      </c>
      <c r="AS14" s="24">
        <f>AL7</f>
        <v>0.80262700244141094</v>
      </c>
    </row>
    <row r="15" spans="2:45" ht="15.75" thickBot="1" x14ac:dyDescent="0.3">
      <c r="B15" s="3"/>
      <c r="C15" s="3"/>
      <c r="D15" s="3"/>
      <c r="E15" s="3"/>
      <c r="F15" s="2"/>
      <c r="G15" s="2"/>
      <c r="H15" s="29">
        <v>1.0999999999999999E-2</v>
      </c>
      <c r="I15" s="28">
        <v>9.4E-2</v>
      </c>
      <c r="J15" s="30">
        <f t="shared" ref="J15:J22" si="30">1-SUM(H15:I15)</f>
        <v>0.89500000000000002</v>
      </c>
      <c r="K15" s="32">
        <f t="shared" si="4"/>
        <v>4.1479330638630927</v>
      </c>
      <c r="L15" s="32">
        <f t="shared" si="5"/>
        <v>4.1398257236466671</v>
      </c>
      <c r="M15" s="32">
        <f t="shared" si="6"/>
        <v>8.7903735459021473</v>
      </c>
      <c r="N15" s="32">
        <f t="shared" si="7"/>
        <v>5.4306675592001215</v>
      </c>
      <c r="O15" s="32">
        <f t="shared" si="8"/>
        <v>3.4647383942819778</v>
      </c>
      <c r="P15" s="32">
        <f t="shared" si="9"/>
        <v>0.30892596376914361</v>
      </c>
      <c r="Q15" s="33">
        <f t="shared" si="10"/>
        <v>0.15337555691866434</v>
      </c>
      <c r="R15" s="33">
        <f t="shared" si="11"/>
        <v>0.15393863544920208</v>
      </c>
      <c r="S15" s="33">
        <f t="shared" si="12"/>
        <v>2.3027404986655366E-2</v>
      </c>
      <c r="T15" s="33">
        <f t="shared" si="13"/>
        <v>9.7319452885038696E-2</v>
      </c>
      <c r="U15" s="33">
        <f t="shared" si="14"/>
        <v>0.23416591247282573</v>
      </c>
      <c r="V15" s="33">
        <f t="shared" si="15"/>
        <v>0.87858732068206491</v>
      </c>
      <c r="W15" s="46">
        <f t="shared" si="16"/>
        <v>0.11257114206433463</v>
      </c>
      <c r="X15" s="47">
        <f t="shared" si="17"/>
        <v>0.88202278313655336</v>
      </c>
      <c r="Y15" s="48">
        <f t="shared" si="18"/>
        <v>0.91726489722729887</v>
      </c>
      <c r="Z15" s="46">
        <f t="shared" si="19"/>
        <v>0.53292032566957981</v>
      </c>
      <c r="AA15" s="47">
        <f t="shared" si="20"/>
        <v>0.24991760612441039</v>
      </c>
      <c r="AB15" s="48">
        <f t="shared" si="21"/>
        <v>7.8491035400087381E-2</v>
      </c>
      <c r="AC15" s="32">
        <f>EXP((Z15/W15)-(H15*Z15/W15^2)+(I15*Q15/X15)*(K15-AA15/X15)+(J15*S15/Y15)*(M15-AB15/Y15))</f>
        <v>92.780263953172408</v>
      </c>
      <c r="AD15" s="33">
        <f t="shared" si="23"/>
        <v>2.7629222432115936</v>
      </c>
      <c r="AE15" s="34">
        <f t="shared" si="24"/>
        <v>1.011158373608096</v>
      </c>
      <c r="AF15" s="2">
        <f t="shared" ref="AF15:AF22" si="31">AC15/AC6</f>
        <v>92.758331375042957</v>
      </c>
      <c r="AG15" s="2">
        <f t="shared" si="28"/>
        <v>2.7045177953192692E-2</v>
      </c>
      <c r="AH15" s="2">
        <f t="shared" si="28"/>
        <v>1.1327568360518283E-4</v>
      </c>
      <c r="AI15" s="91"/>
      <c r="AJ15" s="24">
        <f t="shared" ref="AJ15:AK22" si="32">H15*AC15/AC6</f>
        <v>1.0203416451254725</v>
      </c>
      <c r="AK15" s="24">
        <f t="shared" si="32"/>
        <v>2.5422467276001131E-3</v>
      </c>
      <c r="AL15" s="61">
        <f t="shared" ref="AL15:AL22" si="33">J15*AE15/AE6</f>
        <v>1.0138173682663864E-4</v>
      </c>
      <c r="AM15" s="6">
        <f t="shared" si="1"/>
        <v>1.0229852735898994</v>
      </c>
      <c r="AN15" s="27">
        <f t="shared" si="29"/>
        <v>5.4483239716349619E-4</v>
      </c>
      <c r="AO15" s="27">
        <f t="shared" si="29"/>
        <v>2.0953805839280508E-7</v>
      </c>
      <c r="AP15" s="27">
        <f t="shared" si="29"/>
        <v>1.0278256561985818E-8</v>
      </c>
      <c r="AR15" s="24">
        <f>AJ16</f>
        <v>1.0177020333255629</v>
      </c>
      <c r="AS15" s="24">
        <f>AL16</f>
        <v>1.066442267485035E-4</v>
      </c>
    </row>
    <row r="16" spans="2:45" ht="15.75" thickBot="1" x14ac:dyDescent="0.3">
      <c r="B16" s="3"/>
      <c r="C16" s="1"/>
      <c r="D16" s="7"/>
      <c r="E16" s="3"/>
      <c r="F16" s="2"/>
      <c r="G16" s="2"/>
      <c r="H16" s="29">
        <v>1.4999999999999999E-2</v>
      </c>
      <c r="I16" s="28">
        <v>0.183</v>
      </c>
      <c r="J16" s="30">
        <f t="shared" si="30"/>
        <v>0.80200000000000005</v>
      </c>
      <c r="K16" s="32">
        <f t="shared" si="4"/>
        <v>4.1479330638630927</v>
      </c>
      <c r="L16" s="32">
        <f t="shared" si="5"/>
        <v>4.1398257236466671</v>
      </c>
      <c r="M16" s="32">
        <f t="shared" si="6"/>
        <v>8.7903735459021473</v>
      </c>
      <c r="N16" s="32">
        <f t="shared" si="7"/>
        <v>5.4306675592001215</v>
      </c>
      <c r="O16" s="32">
        <f t="shared" si="8"/>
        <v>3.4647383942819778</v>
      </c>
      <c r="P16" s="32">
        <f t="shared" si="9"/>
        <v>0.30892596376914361</v>
      </c>
      <c r="Q16" s="33">
        <f t="shared" si="10"/>
        <v>0.15337555691866434</v>
      </c>
      <c r="R16" s="33">
        <f t="shared" si="11"/>
        <v>0.15393863544920208</v>
      </c>
      <c r="S16" s="33">
        <f t="shared" si="12"/>
        <v>2.3027404986655366E-2</v>
      </c>
      <c r="T16" s="33">
        <f t="shared" si="13"/>
        <v>9.7319452885038696E-2</v>
      </c>
      <c r="U16" s="33">
        <f t="shared" si="14"/>
        <v>0.23416591247282573</v>
      </c>
      <c r="V16" s="33">
        <f t="shared" si="15"/>
        <v>0.87858732068206491</v>
      </c>
      <c r="W16" s="46">
        <f t="shared" si="16"/>
        <v>0.12122097150100501</v>
      </c>
      <c r="X16" s="47">
        <f t="shared" si="17"/>
        <v>0.88992766454079608</v>
      </c>
      <c r="Y16" s="48">
        <f t="shared" si="18"/>
        <v>0.84519777305732702</v>
      </c>
      <c r="Z16" s="46">
        <f t="shared" si="19"/>
        <v>0.54048677521073951</v>
      </c>
      <c r="AA16" s="47">
        <f t="shared" si="20"/>
        <v>0.22722045786320952</v>
      </c>
      <c r="AB16" s="48">
        <f t="shared" si="21"/>
        <v>0.1515085162209131</v>
      </c>
      <c r="AC16" s="32">
        <f t="shared" si="22"/>
        <v>67.890424774726924</v>
      </c>
      <c r="AD16" s="33">
        <f t="shared" si="23"/>
        <v>2.5263448756752749</v>
      </c>
      <c r="AE16" s="34">
        <f t="shared" si="24"/>
        <v>1.0310222715865709</v>
      </c>
      <c r="AF16" s="2">
        <f t="shared" si="31"/>
        <v>67.846802221704181</v>
      </c>
      <c r="AG16" s="2">
        <f t="shared" si="28"/>
        <v>2.7366129640133453E-2</v>
      </c>
      <c r="AH16" s="2">
        <f t="shared" si="28"/>
        <v>1.3297285130736095E-4</v>
      </c>
      <c r="AI16" s="91"/>
      <c r="AJ16" s="24">
        <f t="shared" si="32"/>
        <v>1.0177020333255629</v>
      </c>
      <c r="AK16" s="24">
        <f t="shared" si="32"/>
        <v>5.0080017241444213E-3</v>
      </c>
      <c r="AL16" s="61">
        <f t="shared" si="33"/>
        <v>1.066442267485035E-4</v>
      </c>
      <c r="AM16" s="6">
        <f t="shared" si="1"/>
        <v>1.0228166792764559</v>
      </c>
      <c r="AN16" s="27">
        <f t="shared" si="29"/>
        <v>5.1538231711496687E-4</v>
      </c>
      <c r="AO16" s="27">
        <f t="shared" si="29"/>
        <v>6.402758928341283E-11</v>
      </c>
      <c r="AP16" s="27">
        <f t="shared" si="29"/>
        <v>1.1372991098786229E-8</v>
      </c>
      <c r="AR16" s="95" t="s">
        <v>26</v>
      </c>
      <c r="AS16" s="96"/>
    </row>
    <row r="17" spans="2:45" x14ac:dyDescent="0.25">
      <c r="B17" s="3"/>
      <c r="C17" s="1"/>
      <c r="D17" s="7"/>
      <c r="E17" s="3"/>
      <c r="F17" s="2"/>
      <c r="G17" s="2"/>
      <c r="H17" s="29">
        <v>1.7999999999999999E-2</v>
      </c>
      <c r="I17" s="28">
        <v>0.26900000000000002</v>
      </c>
      <c r="J17" s="30">
        <f t="shared" si="30"/>
        <v>0.71299999999999997</v>
      </c>
      <c r="K17" s="32">
        <f t="shared" si="4"/>
        <v>4.1479330638630927</v>
      </c>
      <c r="L17" s="32">
        <f t="shared" si="5"/>
        <v>4.1398257236466671</v>
      </c>
      <c r="M17" s="32">
        <f t="shared" si="6"/>
        <v>8.7903735459021473</v>
      </c>
      <c r="N17" s="32">
        <f t="shared" si="7"/>
        <v>5.4306675592001215</v>
      </c>
      <c r="O17" s="32">
        <f t="shared" si="8"/>
        <v>3.4647383942819778</v>
      </c>
      <c r="P17" s="32">
        <f t="shared" si="9"/>
        <v>0.30892596376914361</v>
      </c>
      <c r="Q17" s="33">
        <f t="shared" si="10"/>
        <v>0.15337555691866434</v>
      </c>
      <c r="R17" s="33">
        <f t="shared" si="11"/>
        <v>0.15393863544920208</v>
      </c>
      <c r="S17" s="33">
        <f t="shared" si="12"/>
        <v>2.3027404986655366E-2</v>
      </c>
      <c r="T17" s="33">
        <f t="shared" si="13"/>
        <v>9.7319452885038696E-2</v>
      </c>
      <c r="U17" s="33">
        <f t="shared" si="14"/>
        <v>0.23416591247282573</v>
      </c>
      <c r="V17" s="33">
        <f t="shared" si="15"/>
        <v>0.87858732068206491</v>
      </c>
      <c r="W17" s="46">
        <f t="shared" si="16"/>
        <v>0.12879826284286794</v>
      </c>
      <c r="X17" s="47">
        <f t="shared" si="17"/>
        <v>0.89819351967084826</v>
      </c>
      <c r="Y17" s="48">
        <f t="shared" si="18"/>
        <v>0.77640512374494985</v>
      </c>
      <c r="Z17" s="46">
        <f t="shared" si="19"/>
        <v>0.54825542576585973</v>
      </c>
      <c r="AA17" s="47">
        <f t="shared" si="20"/>
        <v>0.20497279179746547</v>
      </c>
      <c r="AB17" s="48">
        <f t="shared" si="21"/>
        <v>0.22188960666738333</v>
      </c>
      <c r="AC17" s="32">
        <f t="shared" si="22"/>
        <v>55.796238119921256</v>
      </c>
      <c r="AD17" s="33">
        <f t="shared" si="23"/>
        <v>2.3185814427920266</v>
      </c>
      <c r="AE17" s="34">
        <f t="shared" si="24"/>
        <v>1.0624162020055641</v>
      </c>
      <c r="AF17" s="2">
        <f t="shared" si="31"/>
        <v>55.707375669287465</v>
      </c>
      <c r="AG17" s="2">
        <f t="shared" si="28"/>
        <v>2.905341215798353E-2</v>
      </c>
      <c r="AH17" s="2">
        <f t="shared" si="28"/>
        <v>1.6756403969011907E-4</v>
      </c>
      <c r="AI17" s="91"/>
      <c r="AJ17" s="24">
        <f t="shared" si="32"/>
        <v>1.0027327620471744</v>
      </c>
      <c r="AK17" s="24">
        <f t="shared" si="32"/>
        <v>7.81536787049757E-3</v>
      </c>
      <c r="AL17" s="61">
        <f t="shared" si="33"/>
        <v>1.194731602990549E-4</v>
      </c>
      <c r="AM17" s="6">
        <f t="shared" si="1"/>
        <v>1.0106676030779711</v>
      </c>
      <c r="AN17" s="27">
        <f t="shared" si="29"/>
        <v>1.1519218116126803E-4</v>
      </c>
      <c r="AO17" s="27">
        <f t="shared" si="29"/>
        <v>3.4089023244602144E-8</v>
      </c>
      <c r="AP17" s="27">
        <f t="shared" si="29"/>
        <v>1.4273836031843668E-8</v>
      </c>
      <c r="AR17" s="26">
        <f>AJ8</f>
        <v>1.7807336785870324E-2</v>
      </c>
      <c r="AS17" s="26">
        <f>AL8</f>
        <v>0.70683774254255904</v>
      </c>
    </row>
    <row r="18" spans="2:45" x14ac:dyDescent="0.25">
      <c r="B18" s="3"/>
      <c r="C18" s="3"/>
      <c r="D18" s="3"/>
      <c r="E18" s="3"/>
      <c r="F18" s="2"/>
      <c r="G18" s="2"/>
      <c r="H18" s="29">
        <v>2.1000000000000001E-2</v>
      </c>
      <c r="I18" s="28">
        <v>0.34200000000000003</v>
      </c>
      <c r="J18" s="30">
        <f t="shared" si="30"/>
        <v>0.63700000000000001</v>
      </c>
      <c r="K18" s="32">
        <f t="shared" si="4"/>
        <v>4.1479330638630927</v>
      </c>
      <c r="L18" s="32">
        <f t="shared" si="5"/>
        <v>4.1398257236466671</v>
      </c>
      <c r="M18" s="32">
        <f t="shared" si="6"/>
        <v>8.7903735459021473</v>
      </c>
      <c r="N18" s="32">
        <f t="shared" si="7"/>
        <v>5.4306675592001215</v>
      </c>
      <c r="O18" s="32">
        <f t="shared" si="8"/>
        <v>3.4647383942819778</v>
      </c>
      <c r="P18" s="32">
        <f t="shared" si="9"/>
        <v>0.30892596376914361</v>
      </c>
      <c r="Q18" s="33">
        <f t="shared" si="10"/>
        <v>0.15337555691866434</v>
      </c>
      <c r="R18" s="33">
        <f t="shared" si="11"/>
        <v>0.15393863544920208</v>
      </c>
      <c r="S18" s="33">
        <f t="shared" si="12"/>
        <v>2.3027404986655366E-2</v>
      </c>
      <c r="T18" s="33">
        <f t="shared" si="13"/>
        <v>9.7319452885038696E-2</v>
      </c>
      <c r="U18" s="33">
        <f t="shared" si="14"/>
        <v>0.23416591247282573</v>
      </c>
      <c r="V18" s="33">
        <f t="shared" si="15"/>
        <v>0.87858732068206491</v>
      </c>
      <c r="W18" s="46">
        <f t="shared" si="16"/>
        <v>0.13563950481139678</v>
      </c>
      <c r="X18" s="47">
        <f t="shared" si="17"/>
        <v>0.90488100996976728</v>
      </c>
      <c r="Y18" s="48">
        <f t="shared" si="18"/>
        <v>0.71756831757042616</v>
      </c>
      <c r="Z18" s="46">
        <f t="shared" si="19"/>
        <v>0.55461007246694072</v>
      </c>
      <c r="AA18" s="47">
        <f t="shared" si="20"/>
        <v>0.18625356538408322</v>
      </c>
      <c r="AB18" s="48">
        <f t="shared" si="21"/>
        <v>0.2817234899553569</v>
      </c>
      <c r="AC18" s="32">
        <f t="shared" si="22"/>
        <v>47.275476834822427</v>
      </c>
      <c r="AD18" s="33">
        <f t="shared" si="23"/>
        <v>2.1551666986424984</v>
      </c>
      <c r="AE18" s="34">
        <f t="shared" si="24"/>
        <v>1.1035507397947364</v>
      </c>
      <c r="AF18" s="2">
        <f t="shared" si="31"/>
        <v>47.137608651594007</v>
      </c>
      <c r="AG18" s="2">
        <f t="shared" si="28"/>
        <v>3.1017168676739884E-2</v>
      </c>
      <c r="AH18" s="2">
        <f t="shared" si="28"/>
        <v>2.104582910981479E-4</v>
      </c>
      <c r="AI18" s="91"/>
      <c r="AJ18" s="24">
        <f t="shared" si="32"/>
        <v>0.98988978168347419</v>
      </c>
      <c r="AK18" s="24">
        <f t="shared" si="32"/>
        <v>1.0607871687445041E-2</v>
      </c>
      <c r="AL18" s="61">
        <f t="shared" si="33"/>
        <v>1.3406193142952023E-4</v>
      </c>
      <c r="AM18" s="6">
        <f t="shared" si="1"/>
        <v>1.000631715302349</v>
      </c>
      <c r="AN18" s="27">
        <f t="shared" si="29"/>
        <v>7.9171144424618153E-7</v>
      </c>
      <c r="AO18" s="27">
        <f t="shared" si="29"/>
        <v>1.5376461350719872E-7</v>
      </c>
      <c r="AP18" s="27">
        <f t="shared" si="29"/>
        <v>1.7972601458613383E-8</v>
      </c>
      <c r="AR18" s="26">
        <f>AJ17</f>
        <v>1.0027327620471744</v>
      </c>
      <c r="AS18" s="26">
        <f>AL17</f>
        <v>1.194731602990549E-4</v>
      </c>
    </row>
    <row r="19" spans="2:45" x14ac:dyDescent="0.25">
      <c r="B19" s="3"/>
      <c r="C19" s="3"/>
      <c r="D19" s="3"/>
      <c r="E19" s="3"/>
      <c r="F19" s="2"/>
      <c r="G19" s="2"/>
      <c r="H19" s="29">
        <v>2.3E-2</v>
      </c>
      <c r="I19" s="28">
        <v>0.46600000000000003</v>
      </c>
      <c r="J19" s="30">
        <f t="shared" si="30"/>
        <v>0.5109999999999999</v>
      </c>
      <c r="K19" s="32">
        <f t="shared" si="4"/>
        <v>4.1479330638630927</v>
      </c>
      <c r="L19" s="32">
        <f t="shared" si="5"/>
        <v>4.1398257236466671</v>
      </c>
      <c r="M19" s="32">
        <f t="shared" si="6"/>
        <v>8.7903735459021473</v>
      </c>
      <c r="N19" s="32">
        <f t="shared" si="7"/>
        <v>5.4306675592001215</v>
      </c>
      <c r="O19" s="32">
        <f t="shared" si="8"/>
        <v>3.4647383942819778</v>
      </c>
      <c r="P19" s="32">
        <f t="shared" si="9"/>
        <v>0.30892596376914361</v>
      </c>
      <c r="Q19" s="33">
        <f t="shared" si="10"/>
        <v>0.15337555691866434</v>
      </c>
      <c r="R19" s="33">
        <f t="shared" si="11"/>
        <v>0.15393863544920208</v>
      </c>
      <c r="S19" s="33">
        <f t="shared" si="12"/>
        <v>2.3027404986655366E-2</v>
      </c>
      <c r="T19" s="33">
        <f t="shared" si="13"/>
        <v>9.7319452885038696E-2</v>
      </c>
      <c r="U19" s="33">
        <f t="shared" si="14"/>
        <v>0.23416591247282573</v>
      </c>
      <c r="V19" s="33">
        <f t="shared" si="15"/>
        <v>0.87858732068206491</v>
      </c>
      <c r="W19" s="46">
        <f t="shared" si="16"/>
        <v>0.14446564454358296</v>
      </c>
      <c r="X19" s="47">
        <f t="shared" si="17"/>
        <v>0.91848575867766447</v>
      </c>
      <c r="Y19" s="48">
        <f t="shared" si="18"/>
        <v>0.62065094552702971</v>
      </c>
      <c r="Z19" s="46">
        <f t="shared" si="19"/>
        <v>0.56704047465260676</v>
      </c>
      <c r="AA19" s="47">
        <f t="shared" si="20"/>
        <v>0.15332722568711676</v>
      </c>
      <c r="AB19" s="48">
        <f t="shared" si="21"/>
        <v>0.38273245875811512</v>
      </c>
      <c r="AC19" s="32">
        <f t="shared" si="22"/>
        <v>43.161026086785824</v>
      </c>
      <c r="AD19" s="33">
        <f t="shared" si="23"/>
        <v>1.8900410575612336</v>
      </c>
      <c r="AE19" s="34">
        <f t="shared" si="24"/>
        <v>1.2160007352008964</v>
      </c>
      <c r="AF19" s="2">
        <f t="shared" si="31"/>
        <v>42.878752442476546</v>
      </c>
      <c r="AG19" s="2">
        <f t="shared" si="28"/>
        <v>3.5182670877284994E-2</v>
      </c>
      <c r="AH19" s="2">
        <f t="shared" si="28"/>
        <v>3.2882593815437009E-4</v>
      </c>
      <c r="AI19" s="91"/>
      <c r="AJ19" s="24">
        <f t="shared" si="32"/>
        <v>0.98621130617696051</v>
      </c>
      <c r="AK19" s="24">
        <f t="shared" si="32"/>
        <v>1.639512462881481E-2</v>
      </c>
      <c r="AL19" s="61">
        <f t="shared" si="33"/>
        <v>1.6803005439688308E-4</v>
      </c>
      <c r="AM19" s="6">
        <f t="shared" si="1"/>
        <v>1.0027744608601723</v>
      </c>
      <c r="AN19" s="27">
        <f t="shared" si="29"/>
        <v>1.0312487362184833E-5</v>
      </c>
      <c r="AO19" s="27">
        <f t="shared" si="29"/>
        <v>3.6587421466642315E-7</v>
      </c>
      <c r="AP19" s="27">
        <f t="shared" si="29"/>
        <v>2.8234099180619488E-8</v>
      </c>
    </row>
    <row r="20" spans="2:45" x14ac:dyDescent="0.25">
      <c r="B20" s="3"/>
      <c r="C20" s="3"/>
      <c r="D20" s="3"/>
      <c r="E20" s="3"/>
      <c r="F20" s="2"/>
      <c r="G20" s="2"/>
      <c r="H20" s="29">
        <v>2.7E-2</v>
      </c>
      <c r="I20" s="28">
        <v>0.60599999999999998</v>
      </c>
      <c r="J20" s="30">
        <f t="shared" si="30"/>
        <v>0.36699999999999999</v>
      </c>
      <c r="K20" s="32">
        <f t="shared" si="4"/>
        <v>4.1479330638630927</v>
      </c>
      <c r="L20" s="32">
        <f t="shared" si="5"/>
        <v>4.1398257236466671</v>
      </c>
      <c r="M20" s="32">
        <f t="shared" si="6"/>
        <v>8.7903735459021473</v>
      </c>
      <c r="N20" s="32">
        <f t="shared" si="7"/>
        <v>5.4306675592001215</v>
      </c>
      <c r="O20" s="32">
        <f t="shared" si="8"/>
        <v>3.4647383942819778</v>
      </c>
      <c r="P20" s="32">
        <f t="shared" si="9"/>
        <v>0.30892596376914361</v>
      </c>
      <c r="Q20" s="33">
        <f t="shared" si="10"/>
        <v>0.15337555691866434</v>
      </c>
      <c r="R20" s="33">
        <f t="shared" si="11"/>
        <v>0.15393863544920208</v>
      </c>
      <c r="S20" s="33">
        <f t="shared" si="12"/>
        <v>2.3027404986655366E-2</v>
      </c>
      <c r="T20" s="33">
        <f t="shared" si="13"/>
        <v>9.7319452885038696E-2</v>
      </c>
      <c r="U20" s="33">
        <f t="shared" si="14"/>
        <v>0.23416591247282573</v>
      </c>
      <c r="V20" s="33">
        <f t="shared" si="15"/>
        <v>0.87858732068206491</v>
      </c>
      <c r="W20" s="46">
        <f t="shared" si="16"/>
        <v>0.15600305229102568</v>
      </c>
      <c r="X20" s="47">
        <f t="shared" si="17"/>
        <v>0.93258268672712186</v>
      </c>
      <c r="Y20" s="48">
        <f t="shared" si="18"/>
        <v>0.50952628289317203</v>
      </c>
      <c r="Z20" s="46">
        <f t="shared" si="19"/>
        <v>0.58015417008268966</v>
      </c>
      <c r="AA20" s="47">
        <f t="shared" si="20"/>
        <v>0.11678773725126601</v>
      </c>
      <c r="AB20" s="48">
        <f t="shared" si="21"/>
        <v>0.49712744458535107</v>
      </c>
      <c r="AC20" s="32">
        <f t="shared" si="22"/>
        <v>36.809807940042894</v>
      </c>
      <c r="AD20" s="33">
        <f t="shared" si="23"/>
        <v>1.6078338695149528</v>
      </c>
      <c r="AE20" s="34">
        <f t="shared" si="24"/>
        <v>1.5017381178313141</v>
      </c>
      <c r="AF20" s="2">
        <f t="shared" si="31"/>
        <v>36.363274524898223</v>
      </c>
      <c r="AG20" s="2">
        <f t="shared" si="28"/>
        <v>3.9224671958595636E-2</v>
      </c>
      <c r="AH20" s="2">
        <f t="shared" si="28"/>
        <v>5.8321135009603239E-4</v>
      </c>
      <c r="AI20" s="91"/>
      <c r="AJ20" s="24">
        <f t="shared" si="32"/>
        <v>0.98180841217225201</v>
      </c>
      <c r="AK20" s="24">
        <f t="shared" si="32"/>
        <v>2.3770151206908955E-2</v>
      </c>
      <c r="AL20" s="61">
        <f t="shared" si="33"/>
        <v>2.1403856548524389E-4</v>
      </c>
      <c r="AM20" s="6">
        <f t="shared" si="1"/>
        <v>1.0057926019446461</v>
      </c>
      <c r="AN20" s="27">
        <f t="shared" si="29"/>
        <v>3.3737651962765559E-5</v>
      </c>
      <c r="AO20" s="27">
        <f t="shared" si="29"/>
        <v>5.283046768541023E-8</v>
      </c>
      <c r="AP20" s="27">
        <f t="shared" si="29"/>
        <v>4.5812507514981036E-8</v>
      </c>
    </row>
    <row r="21" spans="2:45" x14ac:dyDescent="0.25">
      <c r="B21" s="3"/>
      <c r="C21" s="3"/>
      <c r="D21" s="3"/>
      <c r="E21" s="3"/>
      <c r="F21" s="2"/>
      <c r="G21" s="2"/>
      <c r="H21" s="29">
        <v>3.1E-2</v>
      </c>
      <c r="I21" s="28">
        <v>0.70399999999999996</v>
      </c>
      <c r="J21" s="30">
        <f t="shared" si="30"/>
        <v>0.26500000000000001</v>
      </c>
      <c r="K21" s="32">
        <f t="shared" si="4"/>
        <v>4.1479330638630927</v>
      </c>
      <c r="L21" s="32">
        <f t="shared" si="5"/>
        <v>4.1398257236466671</v>
      </c>
      <c r="M21" s="32">
        <f t="shared" si="6"/>
        <v>8.7903735459021473</v>
      </c>
      <c r="N21" s="32">
        <f t="shared" si="7"/>
        <v>5.4306675592001215</v>
      </c>
      <c r="O21" s="32">
        <f t="shared" si="8"/>
        <v>3.4647383942819778</v>
      </c>
      <c r="P21" s="32">
        <f t="shared" si="9"/>
        <v>0.30892596376914361</v>
      </c>
      <c r="Q21" s="33">
        <f t="shared" si="10"/>
        <v>0.15337555691866434</v>
      </c>
      <c r="R21" s="33">
        <f t="shared" si="11"/>
        <v>0.15393863544920208</v>
      </c>
      <c r="S21" s="33">
        <f t="shared" si="12"/>
        <v>2.3027404986655366E-2</v>
      </c>
      <c r="T21" s="33">
        <f t="shared" si="13"/>
        <v>9.7319452885038696E-2</v>
      </c>
      <c r="U21" s="33">
        <f t="shared" si="14"/>
        <v>0.23416591247282573</v>
      </c>
      <c r="V21" s="33">
        <f t="shared" si="15"/>
        <v>0.87858732068206491</v>
      </c>
      <c r="W21" s="46">
        <f t="shared" si="16"/>
        <v>0.16516245437077351</v>
      </c>
      <c r="X21" s="47">
        <f t="shared" si="17"/>
        <v>0.94158028224522583</v>
      </c>
      <c r="Y21" s="48">
        <f t="shared" si="18"/>
        <v>0.43056665193545562</v>
      </c>
      <c r="Z21" s="46">
        <f t="shared" si="19"/>
        <v>0.58869954536895353</v>
      </c>
      <c r="AA21" s="47">
        <f t="shared" si="20"/>
        <v>9.1647823076891635E-2</v>
      </c>
      <c r="AB21" s="48">
        <f t="shared" si="21"/>
        <v>0.57744683805436692</v>
      </c>
      <c r="AC21" s="32">
        <f t="shared" si="22"/>
        <v>31.990441176397489</v>
      </c>
      <c r="AD21" s="33">
        <f t="shared" si="23"/>
        <v>1.4151618670759958</v>
      </c>
      <c r="AE21" s="34">
        <f t="shared" si="24"/>
        <v>1.9913119149388159</v>
      </c>
      <c r="AF21" s="2">
        <f t="shared" si="31"/>
        <v>31.451605807665377</v>
      </c>
      <c r="AG21" s="2">
        <f t="shared" si="28"/>
        <v>4.1163017006621165E-2</v>
      </c>
      <c r="AH21" s="2">
        <f t="shared" si="28"/>
        <v>9.7579478295022136E-4</v>
      </c>
      <c r="AI21" s="91"/>
      <c r="AJ21" s="24">
        <f t="shared" si="32"/>
        <v>0.97499978003762666</v>
      </c>
      <c r="AK21" s="24">
        <f t="shared" si="32"/>
        <v>2.8978763972661303E-2</v>
      </c>
      <c r="AL21" s="61">
        <f t="shared" si="33"/>
        <v>2.5858561748180866E-4</v>
      </c>
      <c r="AM21" s="6">
        <f t="shared" si="1"/>
        <v>1.0042371296277697</v>
      </c>
      <c r="AN21" s="27">
        <f t="shared" si="29"/>
        <v>1.5998240349396949E-5</v>
      </c>
      <c r="AO21" s="27">
        <f t="shared" si="29"/>
        <v>4.5096885712993498E-10</v>
      </c>
      <c r="AP21" s="27">
        <f t="shared" si="29"/>
        <v>6.6866521568448266E-8</v>
      </c>
    </row>
    <row r="22" spans="2:45" ht="15.75" thickBot="1" x14ac:dyDescent="0.3">
      <c r="B22" s="3"/>
      <c r="C22" s="3"/>
      <c r="D22" s="3"/>
      <c r="E22" s="3"/>
      <c r="F22" s="2"/>
      <c r="G22" s="2"/>
      <c r="H22" s="20">
        <v>3.5999999999999997E-2</v>
      </c>
      <c r="I22" s="31">
        <v>0.79200000000000004</v>
      </c>
      <c r="J22" s="19">
        <f t="shared" si="30"/>
        <v>0.17199999999999993</v>
      </c>
      <c r="K22" s="32">
        <f t="shared" si="4"/>
        <v>4.1479330638630927</v>
      </c>
      <c r="L22" s="32">
        <f t="shared" si="5"/>
        <v>4.1398257236466671</v>
      </c>
      <c r="M22" s="32">
        <f t="shared" si="6"/>
        <v>8.7903735459021473</v>
      </c>
      <c r="N22" s="32">
        <f t="shared" si="7"/>
        <v>5.4306675592001215</v>
      </c>
      <c r="O22" s="32">
        <f t="shared" si="8"/>
        <v>3.4647383942819778</v>
      </c>
      <c r="P22" s="32">
        <f t="shared" si="9"/>
        <v>0.30892596376914361</v>
      </c>
      <c r="Q22" s="33">
        <f t="shared" si="10"/>
        <v>0.15337555691866434</v>
      </c>
      <c r="R22" s="33">
        <f t="shared" si="11"/>
        <v>0.15393863544920208</v>
      </c>
      <c r="S22" s="33">
        <f t="shared" si="12"/>
        <v>2.3027404986655366E-2</v>
      </c>
      <c r="T22" s="33">
        <f t="shared" si="13"/>
        <v>9.7319452885038696E-2</v>
      </c>
      <c r="U22" s="33">
        <f t="shared" si="14"/>
        <v>0.23416591247282573</v>
      </c>
      <c r="V22" s="33">
        <f t="shared" si="15"/>
        <v>0.87858732068206491</v>
      </c>
      <c r="W22" s="49">
        <f t="shared" si="16"/>
        <v>0.17465834517199472</v>
      </c>
      <c r="X22" s="22">
        <f t="shared" si="17"/>
        <v>0.94863853920638708</v>
      </c>
      <c r="Y22" s="50">
        <f t="shared" si="18"/>
        <v>0.35828838925799755</v>
      </c>
      <c r="Z22" s="49">
        <f t="shared" si="19"/>
        <v>0.59562871578721754</v>
      </c>
      <c r="AA22" s="22">
        <f t="shared" si="20"/>
        <v>6.9586866359422073E-2</v>
      </c>
      <c r="AB22" s="50">
        <f t="shared" si="21"/>
        <v>0.64985541473924147</v>
      </c>
      <c r="AC22" s="35">
        <f t="shared" si="22"/>
        <v>27.281669470856158</v>
      </c>
      <c r="AD22" s="21">
        <f t="shared" si="23"/>
        <v>1.2471386524557511</v>
      </c>
      <c r="AE22" s="36">
        <f t="shared" si="24"/>
        <v>3.1784012866586191</v>
      </c>
      <c r="AF22" s="2">
        <f t="shared" si="31"/>
        <v>26.650766999797646</v>
      </c>
      <c r="AG22" s="2">
        <f t="shared" si="28"/>
        <v>4.4049460361233521E-2</v>
      </c>
      <c r="AH22" s="2">
        <f t="shared" si="28"/>
        <v>2.0080208695023257E-3</v>
      </c>
      <c r="AI22" s="92"/>
      <c r="AJ22" s="24">
        <f t="shared" si="32"/>
        <v>0.9594276119927152</v>
      </c>
      <c r="AK22" s="24">
        <f t="shared" si="32"/>
        <v>3.4887172606096951E-2</v>
      </c>
      <c r="AL22" s="61">
        <f t="shared" si="33"/>
        <v>3.4537958955439986E-4</v>
      </c>
      <c r="AM22" s="6">
        <f t="shared" si="1"/>
        <v>0.99466016418836656</v>
      </c>
      <c r="AN22" s="27">
        <f t="shared" si="29"/>
        <v>3.1051508103731105E-5</v>
      </c>
      <c r="AO22" s="27">
        <f t="shared" si="29"/>
        <v>1.2730020814954435E-8</v>
      </c>
      <c r="AP22" s="27">
        <f t="shared" si="29"/>
        <v>1.1928706088076572E-7</v>
      </c>
    </row>
    <row r="32" spans="2:45" x14ac:dyDescent="0.25">
      <c r="G32" s="28">
        <v>0</v>
      </c>
      <c r="H32" s="29">
        <v>1</v>
      </c>
      <c r="I32" s="30">
        <f>1-SUM(G32:H32)</f>
        <v>0</v>
      </c>
    </row>
    <row r="33" spans="7:9" x14ac:dyDescent="0.25">
      <c r="G33" s="28">
        <v>3.0000000000000001E-3</v>
      </c>
      <c r="H33" s="29">
        <v>0.997</v>
      </c>
      <c r="I33" s="30">
        <f t="shared" ref="I33:I40" si="34">1-SUM(G33:H33)</f>
        <v>0</v>
      </c>
    </row>
    <row r="34" spans="7:9" x14ac:dyDescent="0.25">
      <c r="G34" s="28">
        <v>5.0000000000000001E-3</v>
      </c>
      <c r="H34" s="29">
        <v>0.995</v>
      </c>
      <c r="I34" s="30">
        <f t="shared" si="34"/>
        <v>0</v>
      </c>
    </row>
    <row r="35" spans="7:9" x14ac:dyDescent="0.25">
      <c r="G35" s="28">
        <v>8.0000000000000002E-3</v>
      </c>
      <c r="H35" s="29">
        <v>0.99199999999999999</v>
      </c>
      <c r="I35" s="30">
        <f t="shared" si="34"/>
        <v>0</v>
      </c>
    </row>
    <row r="36" spans="7:9" x14ac:dyDescent="0.25">
      <c r="G36" s="28">
        <v>1.0999999999999999E-2</v>
      </c>
      <c r="H36" s="29">
        <v>0.98899999999999999</v>
      </c>
      <c r="I36" s="30">
        <f t="shared" si="34"/>
        <v>0</v>
      </c>
    </row>
    <row r="37" spans="7:9" x14ac:dyDescent="0.25">
      <c r="G37" s="28">
        <v>1.7000000000000001E-2</v>
      </c>
      <c r="H37" s="29">
        <v>0.98299999999999998</v>
      </c>
      <c r="I37" s="30">
        <f t="shared" si="34"/>
        <v>0</v>
      </c>
    </row>
    <row r="38" spans="7:9" x14ac:dyDescent="0.25">
      <c r="G38" s="28">
        <v>2.4E-2</v>
      </c>
      <c r="H38" s="29">
        <v>0.97599999999999998</v>
      </c>
      <c r="I38" s="30">
        <f t="shared" si="34"/>
        <v>0</v>
      </c>
    </row>
    <row r="39" spans="7:9" x14ac:dyDescent="0.25">
      <c r="G39" s="28">
        <v>2.9000000000000001E-2</v>
      </c>
      <c r="H39" s="29">
        <v>0.97099999999999997</v>
      </c>
      <c r="I39" s="30">
        <f t="shared" si="34"/>
        <v>0</v>
      </c>
    </row>
    <row r="40" spans="7:9" ht="15.75" thickBot="1" x14ac:dyDescent="0.3">
      <c r="G40" s="31">
        <v>3.5000000000000003E-2</v>
      </c>
      <c r="H40" s="20">
        <v>0.96499999999999997</v>
      </c>
      <c r="I40" s="19">
        <f t="shared" si="34"/>
        <v>0</v>
      </c>
    </row>
    <row r="41" spans="7:9" x14ac:dyDescent="0.25">
      <c r="G41" s="28">
        <v>0</v>
      </c>
      <c r="H41" s="29">
        <v>8.9999999999999993E-3</v>
      </c>
      <c r="I41" s="30">
        <f>1-SUM(G41:H41)</f>
        <v>0.99099999999999999</v>
      </c>
    </row>
    <row r="42" spans="7:9" x14ac:dyDescent="0.25">
      <c r="G42" s="28">
        <v>9.4E-2</v>
      </c>
      <c r="H42" s="29">
        <v>1.0999999999999999E-2</v>
      </c>
      <c r="I42" s="30">
        <f t="shared" ref="I42:I49" si="35">1-SUM(G42:H42)</f>
        <v>0.89500000000000002</v>
      </c>
    </row>
    <row r="43" spans="7:9" x14ac:dyDescent="0.25">
      <c r="G43" s="28">
        <v>0.183</v>
      </c>
      <c r="H43" s="29">
        <v>1.4999999999999999E-2</v>
      </c>
      <c r="I43" s="30">
        <f t="shared" si="35"/>
        <v>0.80200000000000005</v>
      </c>
    </row>
    <row r="44" spans="7:9" x14ac:dyDescent="0.25">
      <c r="G44" s="28">
        <v>0.26900000000000002</v>
      </c>
      <c r="H44" s="29">
        <v>1.7999999999999999E-2</v>
      </c>
      <c r="I44" s="30">
        <f t="shared" si="35"/>
        <v>0.71299999999999997</v>
      </c>
    </row>
    <row r="45" spans="7:9" x14ac:dyDescent="0.25">
      <c r="G45" s="28">
        <v>0.34200000000000003</v>
      </c>
      <c r="H45" s="29">
        <v>2.1000000000000001E-2</v>
      </c>
      <c r="I45" s="30">
        <f t="shared" si="35"/>
        <v>0.63700000000000001</v>
      </c>
    </row>
    <row r="46" spans="7:9" x14ac:dyDescent="0.25">
      <c r="G46" s="28">
        <v>0.46600000000000003</v>
      </c>
      <c r="H46" s="29">
        <v>2.3E-2</v>
      </c>
      <c r="I46" s="30">
        <f t="shared" si="35"/>
        <v>0.5109999999999999</v>
      </c>
    </row>
    <row r="47" spans="7:9" x14ac:dyDescent="0.25">
      <c r="G47" s="28">
        <v>0.60599999999999998</v>
      </c>
      <c r="H47" s="29">
        <v>2.7E-2</v>
      </c>
      <c r="I47" s="30">
        <f t="shared" si="35"/>
        <v>0.36699999999999999</v>
      </c>
    </row>
    <row r="48" spans="7:9" x14ac:dyDescent="0.25">
      <c r="G48" s="28">
        <v>0.70399999999999996</v>
      </c>
      <c r="H48" s="29">
        <v>3.1E-2</v>
      </c>
      <c r="I48" s="30">
        <f t="shared" si="35"/>
        <v>0.26500000000000001</v>
      </c>
    </row>
    <row r="49" spans="7:9" ht="15.75" thickBot="1" x14ac:dyDescent="0.3">
      <c r="G49" s="31">
        <v>0.79200000000000004</v>
      </c>
      <c r="H49" s="20">
        <v>3.5999999999999997E-2</v>
      </c>
      <c r="I49" s="19">
        <f t="shared" si="35"/>
        <v>0.17199999999999993</v>
      </c>
    </row>
  </sheetData>
  <mergeCells count="7">
    <mergeCell ref="AI14:AI22"/>
    <mergeCell ref="AR16:AS16"/>
    <mergeCell ref="AN4:AP4"/>
    <mergeCell ref="AI5:AI13"/>
    <mergeCell ref="AR7:AS7"/>
    <mergeCell ref="AR10:AS10"/>
    <mergeCell ref="AR13:AS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5"/>
  <sheetViews>
    <sheetView tabSelected="1" topLeftCell="B19" workbookViewId="0">
      <selection activeCell="J28" sqref="J28"/>
    </sheetView>
  </sheetViews>
  <sheetFormatPr defaultRowHeight="15" x14ac:dyDescent="0.25"/>
  <cols>
    <col min="1" max="1" width="10.85546875" bestFit="1" customWidth="1"/>
    <col min="6" max="7" width="9.140625" bestFit="1" customWidth="1"/>
    <col min="8" max="8" width="7.5703125" bestFit="1" customWidth="1"/>
    <col min="12" max="12" width="11" bestFit="1" customWidth="1"/>
    <col min="15" max="15" width="12" bestFit="1" customWidth="1"/>
    <col min="24" max="24" width="14.140625" bestFit="1" customWidth="1"/>
    <col min="25" max="25" width="11.85546875" bestFit="1" customWidth="1"/>
    <col min="26" max="26" width="13.7109375" bestFit="1" customWidth="1"/>
    <col min="33" max="33" width="12" bestFit="1" customWidth="1"/>
    <col min="44" max="44" width="12" bestFit="1" customWidth="1"/>
  </cols>
  <sheetData>
    <row r="1" spans="11:22" ht="15.75" thickBot="1" x14ac:dyDescent="0.3">
      <c r="K1" s="103" t="s">
        <v>32</v>
      </c>
      <c r="L1" s="103"/>
      <c r="M1" s="103" t="s">
        <v>99</v>
      </c>
      <c r="N1" s="103"/>
    </row>
    <row r="2" spans="11:22" ht="15.75" thickBot="1" x14ac:dyDescent="0.3">
      <c r="K2" s="82" t="s">
        <v>8</v>
      </c>
      <c r="L2" s="82"/>
      <c r="M2" s="82" t="s">
        <v>9</v>
      </c>
      <c r="N2" s="82"/>
      <c r="O2" s="83" t="s">
        <v>10</v>
      </c>
      <c r="P2" s="83" t="s">
        <v>11</v>
      </c>
      <c r="T2" s="12">
        <v>1</v>
      </c>
      <c r="U2" s="12">
        <v>0</v>
      </c>
      <c r="V2">
        <f>1-U2-T2</f>
        <v>0</v>
      </c>
    </row>
    <row r="3" spans="11:22" ht="15.75" thickBot="1" x14ac:dyDescent="0.3">
      <c r="K3" s="11" t="s">
        <v>13</v>
      </c>
      <c r="L3" s="11" t="s">
        <v>14</v>
      </c>
      <c r="M3" s="11" t="s">
        <v>15</v>
      </c>
      <c r="N3" s="11" t="s">
        <v>16</v>
      </c>
      <c r="O3" s="84"/>
      <c r="P3" s="84"/>
      <c r="T3" s="12">
        <v>0.997</v>
      </c>
      <c r="U3" s="12">
        <v>3.0000000000000001E-3</v>
      </c>
      <c r="V3">
        <f t="shared" ref="V3:V19" si="0">1-U3-T3</f>
        <v>0</v>
      </c>
    </row>
    <row r="4" spans="11:22" x14ac:dyDescent="0.25">
      <c r="K4" s="101" t="s">
        <v>98</v>
      </c>
      <c r="L4" s="101"/>
      <c r="M4" s="101"/>
      <c r="N4" s="101"/>
      <c r="O4" s="101"/>
      <c r="P4" s="101"/>
      <c r="T4" s="12">
        <v>0.995</v>
      </c>
      <c r="U4" s="12">
        <v>5.0000000000000001E-3</v>
      </c>
      <c r="V4">
        <f t="shared" si="0"/>
        <v>0</v>
      </c>
    </row>
    <row r="5" spans="11:22" x14ac:dyDescent="0.25">
      <c r="K5" s="12">
        <v>1</v>
      </c>
      <c r="L5" s="12">
        <v>0</v>
      </c>
      <c r="M5" s="12">
        <v>8.9999999999999993E-3</v>
      </c>
      <c r="N5" s="12">
        <v>0</v>
      </c>
      <c r="O5" s="62"/>
      <c r="P5" s="62"/>
      <c r="T5" s="12">
        <v>0.99199999999999999</v>
      </c>
      <c r="U5" s="12">
        <v>8.0000000000000002E-3</v>
      </c>
      <c r="V5">
        <f t="shared" si="0"/>
        <v>0</v>
      </c>
    </row>
    <row r="6" spans="11:22" x14ac:dyDescent="0.25">
      <c r="K6" s="12">
        <v>0.997</v>
      </c>
      <c r="L6" s="12">
        <v>3.0000000000000001E-3</v>
      </c>
      <c r="M6" s="12">
        <v>1.0999999999999999E-2</v>
      </c>
      <c r="N6" s="12">
        <v>9.4E-2</v>
      </c>
      <c r="O6" s="12">
        <v>31.3</v>
      </c>
      <c r="P6" s="12">
        <v>2839.9</v>
      </c>
      <c r="T6" s="12">
        <v>0.98899999999999999</v>
      </c>
      <c r="U6" s="12">
        <v>1.0999999999999999E-2</v>
      </c>
      <c r="V6">
        <f t="shared" si="0"/>
        <v>0</v>
      </c>
    </row>
    <row r="7" spans="11:22" x14ac:dyDescent="0.25">
      <c r="K7" s="12">
        <v>0.995</v>
      </c>
      <c r="L7" s="12">
        <v>5.0000000000000001E-3</v>
      </c>
      <c r="M7" s="12">
        <v>1.4999999999999999E-2</v>
      </c>
      <c r="N7" s="12">
        <v>0.183</v>
      </c>
      <c r="O7" s="12">
        <v>36.6</v>
      </c>
      <c r="P7" s="12">
        <v>2427.8000000000002</v>
      </c>
      <c r="T7" s="12">
        <v>0.98299999999999998</v>
      </c>
      <c r="U7" s="12">
        <v>1.7000000000000001E-2</v>
      </c>
      <c r="V7">
        <f t="shared" si="0"/>
        <v>0</v>
      </c>
    </row>
    <row r="8" spans="11:22" x14ac:dyDescent="0.25">
      <c r="K8" s="12">
        <v>0.99199999999999999</v>
      </c>
      <c r="L8" s="12">
        <v>8.0000000000000002E-3</v>
      </c>
      <c r="M8" s="12">
        <v>1.7999999999999999E-2</v>
      </c>
      <c r="N8" s="12">
        <v>0.26900000000000002</v>
      </c>
      <c r="O8" s="12">
        <v>33.6</v>
      </c>
      <c r="P8" s="12">
        <v>1853.1</v>
      </c>
      <c r="T8" s="12">
        <v>0.97599999999999998</v>
      </c>
      <c r="U8" s="12">
        <v>2.4E-2</v>
      </c>
      <c r="V8">
        <f t="shared" si="0"/>
        <v>0</v>
      </c>
    </row>
    <row r="9" spans="11:22" x14ac:dyDescent="0.25">
      <c r="K9" s="12">
        <v>0.98899999999999999</v>
      </c>
      <c r="L9" s="12">
        <v>1.0999999999999999E-2</v>
      </c>
      <c r="M9" s="12">
        <v>2.1000000000000001E-2</v>
      </c>
      <c r="N9" s="12">
        <v>0.34200000000000003</v>
      </c>
      <c r="O9" s="12">
        <v>31.1</v>
      </c>
      <c r="P9" s="12">
        <v>1464.2</v>
      </c>
      <c r="T9" s="12">
        <v>0.97099999999999997</v>
      </c>
      <c r="U9" s="12">
        <v>2.9000000000000001E-2</v>
      </c>
      <c r="V9">
        <f t="shared" si="0"/>
        <v>0</v>
      </c>
    </row>
    <row r="10" spans="11:22" x14ac:dyDescent="0.25">
      <c r="K10" s="12">
        <v>0.98299999999999998</v>
      </c>
      <c r="L10" s="12">
        <v>1.7000000000000001E-2</v>
      </c>
      <c r="M10" s="12">
        <v>2.3E-2</v>
      </c>
      <c r="N10" s="12">
        <v>0.46600000000000003</v>
      </c>
      <c r="O10" s="12">
        <v>27.4</v>
      </c>
      <c r="P10" s="12">
        <v>1171.5999999999999</v>
      </c>
      <c r="T10" s="12">
        <v>0.96499999999999997</v>
      </c>
      <c r="U10" s="12">
        <v>3.5000000000000003E-2</v>
      </c>
      <c r="V10">
        <f t="shared" si="0"/>
        <v>0</v>
      </c>
    </row>
    <row r="11" spans="11:22" x14ac:dyDescent="0.25">
      <c r="K11" s="12">
        <v>0.97599999999999998</v>
      </c>
      <c r="L11" s="12">
        <v>2.4E-2</v>
      </c>
      <c r="M11" s="12">
        <v>2.7E-2</v>
      </c>
      <c r="N11" s="12">
        <v>0.60599999999999998</v>
      </c>
      <c r="O11" s="12">
        <v>25.3</v>
      </c>
      <c r="P11" s="12">
        <v>912.7</v>
      </c>
      <c r="T11" s="12">
        <v>8.9999999999999993E-3</v>
      </c>
      <c r="U11" s="12">
        <v>0</v>
      </c>
      <c r="V11">
        <f t="shared" si="0"/>
        <v>0.99099999999999999</v>
      </c>
    </row>
    <row r="12" spans="11:22" x14ac:dyDescent="0.25">
      <c r="K12" s="12">
        <v>0.97099999999999997</v>
      </c>
      <c r="L12" s="12">
        <v>2.9000000000000001E-2</v>
      </c>
      <c r="M12" s="12">
        <v>3.1E-2</v>
      </c>
      <c r="N12" s="12">
        <v>0.70399999999999996</v>
      </c>
      <c r="O12" s="12">
        <v>24.3</v>
      </c>
      <c r="P12" s="12">
        <v>760.4</v>
      </c>
      <c r="T12" s="12">
        <v>1.0999999999999999E-2</v>
      </c>
      <c r="U12" s="12">
        <v>9.4E-2</v>
      </c>
      <c r="V12">
        <f t="shared" si="0"/>
        <v>0.89500000000000002</v>
      </c>
    </row>
    <row r="13" spans="11:22" x14ac:dyDescent="0.25">
      <c r="K13" s="12">
        <v>0.96499999999999997</v>
      </c>
      <c r="L13" s="12">
        <v>3.5000000000000003E-2</v>
      </c>
      <c r="M13" s="12">
        <v>3.5999999999999997E-2</v>
      </c>
      <c r="N13" s="12">
        <v>0.79200000000000004</v>
      </c>
      <c r="O13" s="12">
        <v>22.6</v>
      </c>
      <c r="P13" s="12">
        <v>606.6</v>
      </c>
      <c r="T13" s="12">
        <v>1.4999999999999999E-2</v>
      </c>
      <c r="U13" s="12">
        <v>0.183</v>
      </c>
      <c r="V13">
        <f t="shared" si="0"/>
        <v>0.80199999999999994</v>
      </c>
    </row>
    <row r="14" spans="11:22" x14ac:dyDescent="0.25">
      <c r="T14" s="12">
        <v>1.7999999999999999E-2</v>
      </c>
      <c r="U14" s="12">
        <v>0.26900000000000002</v>
      </c>
      <c r="V14">
        <f t="shared" si="0"/>
        <v>0.71299999999999997</v>
      </c>
    </row>
    <row r="15" spans="11:22" x14ac:dyDescent="0.25">
      <c r="T15" s="12">
        <v>2.1000000000000001E-2</v>
      </c>
      <c r="U15" s="12">
        <v>0.34200000000000003</v>
      </c>
      <c r="V15">
        <f t="shared" si="0"/>
        <v>0.6369999999999999</v>
      </c>
    </row>
    <row r="16" spans="11:22" x14ac:dyDescent="0.25">
      <c r="T16" s="12">
        <v>2.3E-2</v>
      </c>
      <c r="U16" s="12">
        <v>0.46600000000000003</v>
      </c>
      <c r="V16">
        <f t="shared" si="0"/>
        <v>0.51100000000000001</v>
      </c>
    </row>
    <row r="17" spans="1:52" x14ac:dyDescent="0.25">
      <c r="T17" s="12">
        <v>2.7E-2</v>
      </c>
      <c r="U17" s="12">
        <v>0.60599999999999998</v>
      </c>
      <c r="V17">
        <f t="shared" si="0"/>
        <v>0.36699999999999999</v>
      </c>
    </row>
    <row r="18" spans="1:52" x14ac:dyDescent="0.25">
      <c r="T18" s="12">
        <v>3.1E-2</v>
      </c>
      <c r="U18" s="12">
        <v>0.70399999999999996</v>
      </c>
      <c r="V18">
        <f t="shared" si="0"/>
        <v>0.26500000000000001</v>
      </c>
    </row>
    <row r="19" spans="1:52" x14ac:dyDescent="0.25">
      <c r="T19" s="12">
        <v>3.5999999999999997E-2</v>
      </c>
      <c r="U19" s="12">
        <v>0.79200000000000004</v>
      </c>
      <c r="V19">
        <f t="shared" si="0"/>
        <v>0.17199999999999996</v>
      </c>
    </row>
    <row r="21" spans="1:52" ht="15.75" thickBot="1" x14ac:dyDescent="0.3"/>
    <row r="22" spans="1:52" ht="18.75" thickBot="1" x14ac:dyDescent="0.4">
      <c r="A22" s="44" t="s">
        <v>87</v>
      </c>
      <c r="B22" s="2">
        <v>10283.700000000001</v>
      </c>
      <c r="C22" s="45" t="s">
        <v>88</v>
      </c>
      <c r="E22" s="43" t="s">
        <v>0</v>
      </c>
      <c r="F22" s="43" t="s">
        <v>1</v>
      </c>
      <c r="G22" s="66" t="s">
        <v>37</v>
      </c>
      <c r="H22" s="67" t="s">
        <v>38</v>
      </c>
      <c r="I22" s="67" t="s">
        <v>39</v>
      </c>
      <c r="J22" s="67" t="s">
        <v>40</v>
      </c>
      <c r="K22" s="67" t="s">
        <v>41</v>
      </c>
      <c r="L22" s="67" t="s">
        <v>42</v>
      </c>
      <c r="M22" s="67" t="s">
        <v>43</v>
      </c>
      <c r="N22" s="67" t="s">
        <v>44</v>
      </c>
      <c r="O22" s="67" t="s">
        <v>45</v>
      </c>
      <c r="P22" s="67" t="s">
        <v>46</v>
      </c>
      <c r="Q22" s="67" t="s">
        <v>47</v>
      </c>
      <c r="R22" s="68" t="s">
        <v>48</v>
      </c>
    </row>
    <row r="23" spans="1:52" ht="15.75" thickBot="1" x14ac:dyDescent="0.3">
      <c r="A23" s="44" t="s">
        <v>89</v>
      </c>
      <c r="B23" s="2">
        <v>10263.6</v>
      </c>
      <c r="C23" s="45" t="s">
        <v>88</v>
      </c>
      <c r="E23" s="2">
        <v>25.050000000000011</v>
      </c>
      <c r="F23" s="2">
        <v>298.2</v>
      </c>
      <c r="G23" s="69">
        <f>B22/$F$23/$B$31</f>
        <v>4.1479330638630927</v>
      </c>
      <c r="H23" s="70">
        <f>B23/$F$23/$B$31</f>
        <v>4.139825723646668</v>
      </c>
      <c r="I23" s="70">
        <f>B24/$F$23/$B$31</f>
        <v>8.7903735459021473</v>
      </c>
      <c r="J23" s="70">
        <f>B25/$F$23/$B$31</f>
        <v>5.4306675592001206</v>
      </c>
      <c r="K23" s="70">
        <f>B26/$F$23/$B$31</f>
        <v>3.4647383942819778</v>
      </c>
      <c r="L23" s="70">
        <f>B27/$F$23/$B$31</f>
        <v>0.30892596376914361</v>
      </c>
      <c r="M23" s="70">
        <f>EXP(-$B$28*G23)</f>
        <v>0.15337555691866434</v>
      </c>
      <c r="N23" s="70">
        <f>EXP(-$B$28*H23)</f>
        <v>0.15393863544920203</v>
      </c>
      <c r="O23" s="70">
        <f>EXP(-$B$29*I23)</f>
        <v>2.3027404986655366E-2</v>
      </c>
      <c r="P23" s="70">
        <f>EXP(-$B$29*J23)</f>
        <v>9.7319452885038737E-2</v>
      </c>
      <c r="Q23" s="70">
        <f>EXP(-$B$30*K23)</f>
        <v>0.23416591247282573</v>
      </c>
      <c r="R23" s="71">
        <f>EXP(-$B$30*L23)</f>
        <v>0.87858732068206491</v>
      </c>
    </row>
    <row r="24" spans="1:52" x14ac:dyDescent="0.25">
      <c r="A24" s="44" t="s">
        <v>90</v>
      </c>
      <c r="B24" s="2">
        <v>21793.4</v>
      </c>
      <c r="C24" s="45" t="s">
        <v>88</v>
      </c>
    </row>
    <row r="25" spans="1:52" x14ac:dyDescent="0.25">
      <c r="A25" s="44" t="s">
        <v>91</v>
      </c>
      <c r="B25" s="2">
        <v>13463.9</v>
      </c>
      <c r="C25" s="45" t="s">
        <v>88</v>
      </c>
    </row>
    <row r="26" spans="1:52" x14ac:dyDescent="0.25">
      <c r="A26" s="44" t="s">
        <v>92</v>
      </c>
      <c r="B26" s="2">
        <v>8589.9</v>
      </c>
      <c r="C26" s="45" t="s">
        <v>88</v>
      </c>
    </row>
    <row r="27" spans="1:52" ht="21.75" thickBot="1" x14ac:dyDescent="0.4">
      <c r="A27" s="44" t="s">
        <v>93</v>
      </c>
      <c r="B27" s="2">
        <v>765.9</v>
      </c>
      <c r="C27" s="45" t="s">
        <v>88</v>
      </c>
      <c r="F27" s="102" t="s">
        <v>32</v>
      </c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X27" s="104" t="s">
        <v>99</v>
      </c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W27" s="77"/>
      <c r="AX27" s="77"/>
      <c r="AY27" s="77"/>
      <c r="AZ27" s="77"/>
    </row>
    <row r="28" spans="1:52" ht="18.75" thickBot="1" x14ac:dyDescent="0.4">
      <c r="A28" s="44" t="s">
        <v>94</v>
      </c>
      <c r="B28" s="5">
        <v>0.45200000000000001</v>
      </c>
      <c r="C28" s="3"/>
      <c r="E28" s="106" t="s">
        <v>106</v>
      </c>
      <c r="F28" s="72" t="s">
        <v>3</v>
      </c>
      <c r="G28" s="73" t="s">
        <v>4</v>
      </c>
      <c r="H28" s="74" t="s">
        <v>5</v>
      </c>
      <c r="I28" s="37" t="s">
        <v>49</v>
      </c>
      <c r="J28" s="38" t="s">
        <v>50</v>
      </c>
      <c r="K28" s="39" t="s">
        <v>51</v>
      </c>
      <c r="L28" s="37" t="s">
        <v>52</v>
      </c>
      <c r="M28" s="38" t="s">
        <v>53</v>
      </c>
      <c r="N28" s="39" t="s">
        <v>54</v>
      </c>
      <c r="O28" s="40" t="s">
        <v>100</v>
      </c>
      <c r="P28" s="76" t="s">
        <v>101</v>
      </c>
      <c r="Q28" s="41" t="s">
        <v>102</v>
      </c>
      <c r="R28" s="37" t="s">
        <v>55</v>
      </c>
      <c r="S28" s="38" t="s">
        <v>56</v>
      </c>
      <c r="T28" s="38" t="s">
        <v>57</v>
      </c>
      <c r="U28" s="37"/>
      <c r="V28" s="38"/>
      <c r="W28" s="39"/>
      <c r="X28" s="64" t="s">
        <v>3</v>
      </c>
      <c r="Y28" s="64" t="s">
        <v>4</v>
      </c>
      <c r="Z28" s="65" t="s">
        <v>5</v>
      </c>
      <c r="AA28" s="106" t="s">
        <v>106</v>
      </c>
      <c r="AB28" s="37" t="s">
        <v>49</v>
      </c>
      <c r="AC28" s="38" t="s">
        <v>50</v>
      </c>
      <c r="AD28" s="39" t="s">
        <v>51</v>
      </c>
      <c r="AE28" s="37" t="s">
        <v>52</v>
      </c>
      <c r="AF28" s="38" t="s">
        <v>53</v>
      </c>
      <c r="AG28" s="39" t="s">
        <v>54</v>
      </c>
      <c r="AH28" s="40" t="s">
        <v>100</v>
      </c>
      <c r="AI28" s="76" t="s">
        <v>101</v>
      </c>
      <c r="AJ28" s="41" t="s">
        <v>102</v>
      </c>
      <c r="AK28" s="37" t="s">
        <v>55</v>
      </c>
      <c r="AL28" s="38" t="s">
        <v>56</v>
      </c>
      <c r="AM28" s="39" t="s">
        <v>57</v>
      </c>
      <c r="AN28" s="40" t="s">
        <v>103</v>
      </c>
      <c r="AO28" s="76" t="s">
        <v>104</v>
      </c>
      <c r="AP28" s="41" t="s">
        <v>105</v>
      </c>
      <c r="AT28" s="75"/>
      <c r="AU28" s="75"/>
      <c r="AV28" s="75"/>
      <c r="AW28" s="80"/>
      <c r="AX28" s="80"/>
      <c r="AY28" s="80"/>
      <c r="AZ28" s="78"/>
    </row>
    <row r="29" spans="1:52" x14ac:dyDescent="0.25">
      <c r="A29" s="44" t="s">
        <v>95</v>
      </c>
      <c r="B29" s="5">
        <v>0.42899999999999999</v>
      </c>
      <c r="C29" s="3"/>
      <c r="E29" s="81">
        <f>SUM(F29:H29)</f>
        <v>1</v>
      </c>
      <c r="F29" s="107">
        <f>1-G29-H29</f>
        <v>0.99989000000000006</v>
      </c>
      <c r="G29" s="107">
        <f>10^-5</f>
        <v>1.0000000000000001E-5</v>
      </c>
      <c r="H29" s="26">
        <f>10^-4</f>
        <v>1E-4</v>
      </c>
      <c r="I29">
        <f>F29+$N$23*G29+$P$23*H29</f>
        <v>0.99990127133164308</v>
      </c>
      <c r="J29">
        <f>$M$23*F29+G29+$R$23*H29</f>
        <v>0.15345654433947151</v>
      </c>
      <c r="K29">
        <f>$O$23*F29+$Q$23*G29+H29</f>
        <v>2.3127213631231564E-2</v>
      </c>
      <c r="L29">
        <f>G29*$H$23*$N$23+H29*$J$23*$P$23</f>
        <v>5.9223750795145183E-5</v>
      </c>
      <c r="M29">
        <f>F29*$G$23*$M$23+H29*$L$23*$R$23</f>
        <v>0.63614870450501282</v>
      </c>
      <c r="N29">
        <f>F29*$I$23*$O$23+G29*$K$23*$Q$23</f>
        <v>0.2024053387176675</v>
      </c>
      <c r="O29">
        <f>L29/I29-F29*L29/I29^2+(G29*$M$23/J29)*($G$23-M29/J29)+(H29*$O$23/K29)*($I$23-N29/K29)</f>
        <v>3.8635027424749783E-6</v>
      </c>
      <c r="P29">
        <f>M29/J29-G29*M29/J29^2+(F29*$N$23/I29)*($H$243-L29/I29)+(H29*$Q$23/K29)*($K$23-N29/K29)</f>
        <v>4.1398323121417606</v>
      </c>
      <c r="Q29">
        <f>N29/K29-H29*N29/K29+F29*$P$23/I29*($J$23-L29/I29)+G29*$R$23/J29*($L$23-M29/J29)</f>
        <v>9.2792285683412743</v>
      </c>
      <c r="R29">
        <f>EXP(O29)</f>
        <v>1.0000038635102058</v>
      </c>
      <c r="S29">
        <f t="shared" ref="S29:T29" si="1">EXP(P29)</f>
        <v>62.792291061515222</v>
      </c>
      <c r="T29">
        <f t="shared" si="1"/>
        <v>10713.164253818459</v>
      </c>
      <c r="U29" s="105"/>
      <c r="V29" s="79"/>
      <c r="W29" s="30"/>
      <c r="X29" s="107">
        <v>8.9999999999999993E-3</v>
      </c>
      <c r="Y29" s="107">
        <f>10^-5</f>
        <v>1.0000000000000001E-5</v>
      </c>
      <c r="Z29" s="26">
        <f>1-Y29-X29</f>
        <v>0.99099000000000004</v>
      </c>
      <c r="AA29" s="108">
        <f>SUM(X29:Z29)</f>
        <v>1</v>
      </c>
      <c r="AB29">
        <f>X29+$N$23*Y29+$P$23*Z29</f>
        <v>0.10544414400089903</v>
      </c>
      <c r="AC29">
        <f>$M$23*X29+Y29+$R$23*Z29</f>
        <v>0.87206162893498751</v>
      </c>
      <c r="AD29">
        <f>$O$23*X29+$Q$23*Y29+Z29</f>
        <v>0.99119958830400468</v>
      </c>
      <c r="AE29">
        <f>Y29*$H$23*$N$23+Z29*$J$23*$P$23</f>
        <v>0.52375409699619979</v>
      </c>
      <c r="AF29">
        <f>X29*$G$23*$M$23+Z29*$L$23*$R$23</f>
        <v>0.2746986785931172</v>
      </c>
      <c r="AG29">
        <f>X29*$I$23*$O$23+Y29*$K$23*$Q$23</f>
        <v>1.8298886609050013E-3</v>
      </c>
      <c r="AH29">
        <f>AE29/AB29-X29*AE29/AB29^2+(Y29*$M$23/AC29)*($G$23-AF29/AC29)+(Z29*$O$23/AD29)*($I$23-AG29/AD29)</f>
        <v>4.7455044117529903</v>
      </c>
      <c r="AI29">
        <f>AF29/AC29-Y29*AF29/AC29^2+(X29*$N$23/AB29)*($H$243-AE29/AB29)+(Z29*$Q$23/AD29)*($K$23-AG29/AD29)</f>
        <v>1.0604515657859208</v>
      </c>
      <c r="AJ29">
        <f>AG29/AD29-Z29*AG29/AD29+X29*$P$23/AB29*($J$23-AE29/AB29)+Y29*$R$23/AC29*($L$23-AF29/AC29)</f>
        <v>3.8670148039970684E-3</v>
      </c>
      <c r="AK29">
        <f>EXP(AH29)</f>
        <v>115.065831425139</v>
      </c>
      <c r="AL29">
        <f t="shared" ref="AL29" si="2">EXP(AI29)</f>
        <v>2.8876746699788356</v>
      </c>
      <c r="AM29">
        <f t="shared" ref="AM29" si="3">EXP(AJ29)</f>
        <v>1.0038745013528321</v>
      </c>
      <c r="AN29">
        <f>R29/AK29</f>
        <v>8.6907107968085297E-3</v>
      </c>
      <c r="AO29">
        <f t="shared" ref="AO29:AP29" si="4">S29/AL29</f>
        <v>21.74493259726361</v>
      </c>
      <c r="AP29">
        <f t="shared" si="4"/>
        <v>10671.816287176618</v>
      </c>
    </row>
    <row r="30" spans="1:52" x14ac:dyDescent="0.25">
      <c r="A30" s="44" t="s">
        <v>96</v>
      </c>
      <c r="B30" s="5">
        <v>0.41899999999999998</v>
      </c>
      <c r="C30" s="7"/>
      <c r="E30" s="81">
        <f t="shared" ref="E30:E46" si="5">SUM(F30:H30)</f>
        <v>1</v>
      </c>
      <c r="F30" s="107">
        <f>1-G30-H30</f>
        <v>0.99978999999999996</v>
      </c>
      <c r="G30" s="107">
        <f>G29+0.0001</f>
        <v>1.1E-4</v>
      </c>
      <c r="H30" s="26">
        <f t="shared" ref="H30:H73" si="6">10^-4</f>
        <v>1E-4</v>
      </c>
      <c r="I30">
        <f t="shared" ref="I30:I46" si="7">F30+$N$23*G30+$P$23*H30</f>
        <v>0.99981666519518786</v>
      </c>
      <c r="J30">
        <f t="shared" ref="J30:J46" si="8">$M$23*F30+G30+$R$23*H30</f>
        <v>0.15354120678377961</v>
      </c>
      <c r="K30">
        <f t="shared" ref="K30:K46" si="9">$O$23*F30+$Q$23*G30+H30</f>
        <v>2.3148327481980178E-2</v>
      </c>
      <c r="L30">
        <f t="shared" ref="L30:L46" si="10">G30*$H$23*$N$23+H30*$J$23*$P$23</f>
        <v>1.2295166308471251E-4</v>
      </c>
      <c r="M30">
        <f t="shared" ref="M30:M46" si="11">F30*$G$23*$M$23+H30*$L$23*$R$23</f>
        <v>0.63608508535063957</v>
      </c>
      <c r="N30">
        <f t="shared" ref="N30:N46" si="12">F30*$I$23*$O$23+G30*$K$23*$Q$23</f>
        <v>0.20246622913126258</v>
      </c>
      <c r="O30">
        <f t="shared" ref="O30:O46" si="13">L30/I30-F30*L30/I30^2+(G30*$M$23/J30)*($G$23-M30/J30)+(H30*$O$23/K30)*($I$23-N30/K30)</f>
        <v>4.9382789634032883E-6</v>
      </c>
      <c r="P30">
        <f t="shared" ref="P30:P46" si="14">M30/J30-G30*M30/J30^2+(F30*$N$23/I30)*($H$243-L30/I30)+(H30*$Q$23/K30)*($K$23-N30/K30)</f>
        <v>4.1344348260801809</v>
      </c>
      <c r="Q30">
        <f t="shared" ref="Q30:Q46" si="15">N30/K30-H30*N30/K30+F30*$P$23/I30*($J$23-L30/I30)+G30*$R$23/J30*($L$23-M30/J30)</f>
        <v>9.2716690609303996</v>
      </c>
      <c r="R30">
        <f t="shared" ref="R30:R46" si="16">EXP(O30)</f>
        <v>1.0000049382911567</v>
      </c>
      <c r="S30">
        <f t="shared" ref="S30:S46" si="17">EXP(P30)</f>
        <v>62.454283561713723</v>
      </c>
      <c r="T30">
        <f t="shared" ref="T30:T46" si="18">EXP(Q30)</f>
        <v>10632.483347419302</v>
      </c>
      <c r="U30" s="105">
        <f>AN29</f>
        <v>8.6907107968085297E-3</v>
      </c>
      <c r="V30" s="79">
        <f>AO29</f>
        <v>21.74493259726361</v>
      </c>
      <c r="W30" s="30">
        <f>AP29</f>
        <v>10671.816287176618</v>
      </c>
      <c r="X30" s="107">
        <f>U30*F30</f>
        <v>8.6888857475411994E-3</v>
      </c>
      <c r="Y30" s="107">
        <f>V30*G30</f>
        <v>2.3919425856989973E-3</v>
      </c>
      <c r="Z30" s="26">
        <f t="shared" ref="Z30:Z73" si="19">1-Y30-X30</f>
        <v>0.9889191716667598</v>
      </c>
      <c r="AA30" s="109">
        <f t="shared" ref="AA30:AA46" si="20">SUM(X30:Z30)</f>
        <v>1</v>
      </c>
      <c r="AB30">
        <f>X30+$N$23*Y30+$P$23*Z30</f>
        <v>0.1052981708593913</v>
      </c>
      <c r="AC30">
        <f>$M$23*X30+Y30+$R$23*Z30</f>
        <v>0.87257645068205625</v>
      </c>
      <c r="AD30">
        <f>$O$23*X30+$Q$23*Y30+Z30</f>
        <v>0.98967936557591407</v>
      </c>
      <c r="AE30">
        <f>Y30*$H$23*$N$23+Z30*$J$23*$P$23</f>
        <v>0.52417760663291602</v>
      </c>
      <c r="AF30">
        <f>X30*$G$23*$M$23+Z30*$L$23*$R$23</f>
        <v>0.27393868935162707</v>
      </c>
      <c r="AG30">
        <f>X30*$I$23*$O$23+Y30*$K$23*$Q$23</f>
        <v>3.699439371393522E-3</v>
      </c>
      <c r="AH30">
        <f>AE30/AB30-X30*AE30/AB30^2+(Y30*$M$23/AC30)*($G$23-AF30/AC30)+(Z30*$O$23/AD30)*($I$23-AG30/AD30)</f>
        <v>4.7710493533984133</v>
      </c>
      <c r="AI30">
        <f>AF30/AC30-Y30*AF30/AC30^2+(X30*$N$23/AB30)*($H$243-AE30/AB30)+(Z30*$Q$23/AD30)*($K$23-AG30/AD30)</f>
        <v>1.059673842475505</v>
      </c>
      <c r="AJ30">
        <f>AG30/AD30-Z30*AG30/AD30+X30*$P$23/AB30*($J$23-AE30/AB30)+Y30*$R$23/AC30*($L$23-AF30/AC30)</f>
        <v>3.6642358225447264E-3</v>
      </c>
      <c r="AK30">
        <f>EXP(AH30)</f>
        <v>118.04304586362309</v>
      </c>
      <c r="AL30">
        <f>EXP(AI30)</f>
        <v>2.8854297311588759</v>
      </c>
      <c r="AM30">
        <f>EXP(AJ30)</f>
        <v>1.0036709573418627</v>
      </c>
      <c r="AN30">
        <f t="shared" ref="AN30:AN73" si="21">R30/AK30</f>
        <v>8.4715277462975441E-3</v>
      </c>
      <c r="AO30">
        <f t="shared" ref="AO30:AO73" si="22">S30/AL30</f>
        <v>21.644707853145395</v>
      </c>
      <c r="AP30">
        <f t="shared" ref="AP30:AP73" si="23">T30/AM30</f>
        <v>10593.594713130418</v>
      </c>
    </row>
    <row r="31" spans="1:52" x14ac:dyDescent="0.25">
      <c r="A31" s="44" t="s">
        <v>2</v>
      </c>
      <c r="B31" s="6">
        <v>8.3140000000000001</v>
      </c>
      <c r="C31" s="45" t="s">
        <v>97</v>
      </c>
      <c r="E31" s="81">
        <f t="shared" si="5"/>
        <v>1</v>
      </c>
      <c r="F31" s="107">
        <f t="shared" ref="F31:F73" si="24">1-G31-H31</f>
        <v>0.99968999999999997</v>
      </c>
      <c r="G31" s="107">
        <f t="shared" ref="G31:G73" si="25">G30+0.0001</f>
        <v>2.1000000000000001E-4</v>
      </c>
      <c r="H31" s="26">
        <f t="shared" si="6"/>
        <v>1E-4</v>
      </c>
      <c r="I31">
        <f t="shared" si="7"/>
        <v>0.99973205905873286</v>
      </c>
      <c r="J31">
        <f t="shared" si="8"/>
        <v>0.15362586922808774</v>
      </c>
      <c r="K31">
        <f t="shared" si="9"/>
        <v>2.3169441332728795E-2</v>
      </c>
      <c r="L31">
        <f t="shared" si="10"/>
        <v>1.8667957537427988E-4</v>
      </c>
      <c r="M31">
        <f t="shared" si="11"/>
        <v>0.63602146619626654</v>
      </c>
      <c r="N31">
        <f t="shared" si="12"/>
        <v>0.20252711954485769</v>
      </c>
      <c r="O31">
        <f t="shared" si="13"/>
        <v>6.5510131198535537E-6</v>
      </c>
      <c r="P31">
        <f t="shared" si="14"/>
        <v>4.1290467707839804</v>
      </c>
      <c r="Q31">
        <f t="shared" si="15"/>
        <v>9.2641248075260858</v>
      </c>
      <c r="R31">
        <f t="shared" si="16"/>
        <v>1.0000065510345777</v>
      </c>
      <c r="S31">
        <f t="shared" si="17"/>
        <v>62.118681361912792</v>
      </c>
      <c r="T31">
        <f t="shared" si="18"/>
        <v>10552.571017186148</v>
      </c>
      <c r="U31" s="105">
        <f t="shared" ref="U31:U46" si="26">AN30</f>
        <v>8.4715277462975441E-3</v>
      </c>
      <c r="V31" s="79">
        <f t="shared" ref="V31:V46" si="27">AO30</f>
        <v>21.644707853145395</v>
      </c>
      <c r="W31" s="30">
        <f t="shared" ref="W31:W46" si="28">AP30</f>
        <v>10593.594713130418</v>
      </c>
      <c r="X31" s="107">
        <f t="shared" ref="X31:X46" si="29">U31*F31</f>
        <v>8.4689015726961917E-3</v>
      </c>
      <c r="Y31" s="107">
        <f t="shared" ref="Y31:Y73" si="30">V31*G31</f>
        <v>4.5453886491605327E-3</v>
      </c>
      <c r="Z31" s="26">
        <f t="shared" si="19"/>
        <v>0.98698570977814326</v>
      </c>
      <c r="AA31" s="109">
        <f t="shared" si="20"/>
        <v>1</v>
      </c>
      <c r="AB31">
        <f>X31+$N$23*Y31+$P$23*Z31</f>
        <v>0.10522152177989479</v>
      </c>
      <c r="AC31">
        <f>$M$23*X31+Y31+$R$23*Z31</f>
        <v>0.87299744144982716</v>
      </c>
      <c r="AD31">
        <f>$O$23*X31+$Q$23*Y31+Z31</f>
        <v>0.98824510168502411</v>
      </c>
      <c r="AE31">
        <f>Y31*$H$23*$N$23+Z31*$J$23*$P$23</f>
        <v>0.52452809969046144</v>
      </c>
      <c r="AF31">
        <f>X31*$G$23*$M$23+Z31*$L$23*$R$23</f>
        <v>0.27327396008028798</v>
      </c>
      <c r="AG31">
        <f>X31*$I$23*$O$23+Y31*$K$23*$Q$23</f>
        <v>5.4020519585540648E-3</v>
      </c>
      <c r="AH31">
        <f>AE31/AB31-X31*AE31/AB31^2+(Y31*$M$23/AC31)*($G$23-AF31/AC31)+(Z31*$O$23/AD31)*($I$23-AG31/AD31)</f>
        <v>4.7888631914176116</v>
      </c>
      <c r="AI31">
        <f>AF31/AC31-Y31*AF31/AC31^2+(X31*$N$23/AB31)*($H$243-AE31/AB31)+(Z31*$Q$23/AD31)*($K$23-AG31/AD31)</f>
        <v>1.0586471380898839</v>
      </c>
      <c r="AJ31">
        <f>AG31/AD31-Z31*AG31/AD31+X31*$P$23/AB31*($J$23-AE31/AB31)+Y31*$R$23/AC31*($L$23-AF31/AC31)</f>
        <v>3.5433228726153673E-3</v>
      </c>
      <c r="AK31">
        <f>EXP(AH31)</f>
        <v>120.16468674015753</v>
      </c>
      <c r="AL31">
        <f>EXP(AI31)</f>
        <v>2.8824687680764862</v>
      </c>
      <c r="AM31">
        <f>EXP(AJ31)</f>
        <v>1.0035496078621617</v>
      </c>
      <c r="AN31">
        <f t="shared" si="21"/>
        <v>8.321966945222253E-3</v>
      </c>
      <c r="AO31">
        <f t="shared" si="22"/>
        <v>21.550513244022241</v>
      </c>
      <c r="AP31">
        <f t="shared" si="23"/>
        <v>10515.246017250751</v>
      </c>
    </row>
    <row r="32" spans="1:52" x14ac:dyDescent="0.25">
      <c r="E32" s="81">
        <f t="shared" si="5"/>
        <v>1</v>
      </c>
      <c r="F32" s="107">
        <f t="shared" si="24"/>
        <v>0.99958999999999998</v>
      </c>
      <c r="G32" s="107">
        <f t="shared" si="25"/>
        <v>3.1E-4</v>
      </c>
      <c r="H32" s="26">
        <f t="shared" si="6"/>
        <v>1E-4</v>
      </c>
      <c r="I32">
        <f t="shared" si="7"/>
        <v>0.99964745292227775</v>
      </c>
      <c r="J32">
        <f t="shared" si="8"/>
        <v>0.1537105316723959</v>
      </c>
      <c r="K32">
        <f t="shared" si="9"/>
        <v>2.3190555183477412E-2</v>
      </c>
      <c r="L32">
        <f t="shared" si="10"/>
        <v>2.504074876638472E-4</v>
      </c>
      <c r="M32">
        <f t="shared" si="11"/>
        <v>0.6359578470418934</v>
      </c>
      <c r="N32">
        <f t="shared" si="12"/>
        <v>0.20258800995845283</v>
      </c>
      <c r="O32">
        <f t="shared" si="13"/>
        <v>8.6999359214959815E-6</v>
      </c>
      <c r="P32">
        <f t="shared" si="14"/>
        <v>4.1236681249267271</v>
      </c>
      <c r="Q32">
        <f t="shared" si="15"/>
        <v>9.2565957673002153</v>
      </c>
      <c r="R32">
        <f t="shared" si="16"/>
        <v>1.0000086999737661</v>
      </c>
      <c r="S32">
        <f t="shared" si="17"/>
        <v>61.785463906417462</v>
      </c>
      <c r="T32">
        <f t="shared" si="18"/>
        <v>10473.418630169586</v>
      </c>
      <c r="U32" s="105">
        <f t="shared" si="26"/>
        <v>8.321966945222253E-3</v>
      </c>
      <c r="V32" s="79">
        <f t="shared" si="27"/>
        <v>21.550513244022241</v>
      </c>
      <c r="W32" s="30">
        <f t="shared" si="28"/>
        <v>10515.246017250751</v>
      </c>
      <c r="X32" s="107">
        <f t="shared" si="29"/>
        <v>8.3185549387747113E-3</v>
      </c>
      <c r="Y32" s="107">
        <f t="shared" si="30"/>
        <v>6.6806591056468951E-3</v>
      </c>
      <c r="Z32" s="26">
        <f t="shared" si="19"/>
        <v>0.98500078595557838</v>
      </c>
      <c r="AA32" s="109">
        <f t="shared" si="20"/>
        <v>1</v>
      </c>
      <c r="AB32">
        <f>X32+$N$23*Y32+$P$23*Z32</f>
        <v>0.10520670406592933</v>
      </c>
      <c r="AC32">
        <f>$M$23*X32+Y32+$R$23*Z32</f>
        <v>0.87336572350457964</v>
      </c>
      <c r="AD32">
        <f>$O$23*X32+$Q$23*Y32+Z32</f>
        <v>0.98675672332445097</v>
      </c>
      <c r="AE32">
        <f>Y32*$H$23*$N$23+Z32*$J$23*$P$23</f>
        <v>0.5248398116872327</v>
      </c>
      <c r="AF32">
        <f>X32*$G$23*$M$23+Z32*$L$23*$R$23</f>
        <v>0.27263956590604671</v>
      </c>
      <c r="AG32">
        <f>X32*$I$23*$O$23+Y32*$K$23*$Q$23</f>
        <v>7.1040142419618911E-3</v>
      </c>
      <c r="AH32">
        <f>AE32/AB32-X32*AE32/AB32^2+(Y32*$M$23/AC32)*($G$23-AF32/AC32)+(Z32*$O$23/AD32)*($I$23-AG32/AD32)</f>
        <v>4.8006014233438377</v>
      </c>
      <c r="AI32">
        <f>AF32/AC32-Y32*AF32/AC32^2+(X32*$N$23/AB32)*($H$243-AE32/AB32)+(Z32*$Q$23/AD32)*($K$23-AG32/AD32)</f>
        <v>1.0572597452343229</v>
      </c>
      <c r="AJ32">
        <f>AG32/AD32-Z32*AG32/AD32+X32*$P$23/AB32*($J$23-AE32/AB32)+Y32*$R$23/AC32*($L$23-AF32/AC32)</f>
        <v>3.4874368301519403E-3</v>
      </c>
      <c r="AK32">
        <f>EXP(AH32)</f>
        <v>121.58351870052525</v>
      </c>
      <c r="AL32">
        <f>EXP(AI32)</f>
        <v>2.8784724243916506</v>
      </c>
      <c r="AM32">
        <f>EXP(AJ32)</f>
        <v>1.0034935250133015</v>
      </c>
      <c r="AN32">
        <f t="shared" si="21"/>
        <v>8.2248705306589062E-3</v>
      </c>
      <c r="AO32">
        <f t="shared" si="22"/>
        <v>21.464671116130454</v>
      </c>
      <c r="AP32">
        <f t="shared" si="23"/>
        <v>10436.956860315326</v>
      </c>
    </row>
    <row r="33" spans="5:42" x14ac:dyDescent="0.25">
      <c r="E33" s="81">
        <f t="shared" si="5"/>
        <v>1</v>
      </c>
      <c r="F33" s="107">
        <f t="shared" si="24"/>
        <v>0.99948999999999999</v>
      </c>
      <c r="G33" s="107">
        <f t="shared" si="25"/>
        <v>4.0999999999999999E-4</v>
      </c>
      <c r="H33" s="26">
        <f t="shared" si="6"/>
        <v>1E-4</v>
      </c>
      <c r="I33">
        <f t="shared" si="7"/>
        <v>0.99956284678582263</v>
      </c>
      <c r="J33">
        <f t="shared" si="8"/>
        <v>0.153795194116704</v>
      </c>
      <c r="K33">
        <f t="shared" si="9"/>
        <v>2.3211669034226029E-2</v>
      </c>
      <c r="L33">
        <f t="shared" si="10"/>
        <v>3.1413539995341457E-4</v>
      </c>
      <c r="M33">
        <f t="shared" si="11"/>
        <v>0.63589422788752037</v>
      </c>
      <c r="N33">
        <f t="shared" si="12"/>
        <v>0.20264890037204797</v>
      </c>
      <c r="O33">
        <f t="shared" si="13"/>
        <v>1.1383283912836088E-5</v>
      </c>
      <c r="P33">
        <f t="shared" si="14"/>
        <v>4.1182988672414593</v>
      </c>
      <c r="Q33">
        <f t="shared" si="15"/>
        <v>9.2490818995640556</v>
      </c>
      <c r="R33">
        <f t="shared" si="16"/>
        <v>1.0000113833487028</v>
      </c>
      <c r="S33">
        <f t="shared" si="17"/>
        <v>61.454610842023989</v>
      </c>
      <c r="T33">
        <f t="shared" si="18"/>
        <v>10395.017663946848</v>
      </c>
      <c r="U33" s="105">
        <f t="shared" si="26"/>
        <v>8.2248705306589062E-3</v>
      </c>
      <c r="V33" s="79">
        <f t="shared" si="27"/>
        <v>21.464671116130454</v>
      </c>
      <c r="W33" s="30">
        <f t="shared" si="28"/>
        <v>10436.956860315326</v>
      </c>
      <c r="X33" s="107">
        <f t="shared" si="29"/>
        <v>8.22067584668827E-3</v>
      </c>
      <c r="Y33" s="107">
        <f t="shared" si="30"/>
        <v>8.8005151576134866E-3</v>
      </c>
      <c r="Z33" s="26">
        <f t="shared" si="19"/>
        <v>0.98297880899569823</v>
      </c>
      <c r="AA33" s="109">
        <f t="shared" si="20"/>
        <v>1</v>
      </c>
      <c r="AB33">
        <f>X33+$N$23*Y33+$P$23*Z33</f>
        <v>0.10523837503034965</v>
      </c>
      <c r="AC33">
        <f>$M$23*X33+Y33+$R$23*Z33</f>
        <v>0.87369408397662485</v>
      </c>
      <c r="AD33">
        <f>$O$23*X33+$Q$23*Y33+Z33</f>
        <v>0.98522889048979745</v>
      </c>
      <c r="AE33">
        <f>Y33*$H$23*$N$23+Z33*$J$23*$P$23</f>
        <v>0.52512211746719129</v>
      </c>
      <c r="AF33">
        <f>X33*$G$23*$M$23+Z33*$L$23*$R$23</f>
        <v>0.27202849423370684</v>
      </c>
      <c r="AG33">
        <f>X33*$I$23*$O$23+Y33*$K$23*$Q$23</f>
        <v>8.8040909079228884E-3</v>
      </c>
      <c r="AH33">
        <f>AE33/AB33-X33*AE33/AB33^2+(Y33*$M$23/AC33)*($G$23-AF33/AC33)+(Z33*$O$23/AD33)*($I$23-AG33/AD33)</f>
        <v>4.8077339838973669</v>
      </c>
      <c r="AI33">
        <f>AF33/AC33-Y33*AF33/AC33^2+(X33*$N$23/AB33)*($H$243-AE33/AB33)+(Z33*$Q$23/AD33)*($K$23-AG33/AD33)</f>
        <v>1.0555989590473362</v>
      </c>
      <c r="AJ33">
        <f>AG33/AD33-Z33*AG33/AD33+X33*$P$23/AB33*($J$23-AE33/AB33)+Y33*$R$23/AC33*($L$23-AF33/AC33)</f>
        <v>3.4818614955483065E-3</v>
      </c>
      <c r="AK33">
        <f>EXP(AH33)</f>
        <v>122.45382056072724</v>
      </c>
      <c r="AL33">
        <f>EXP(AI33)</f>
        <v>2.8736958646696991</v>
      </c>
      <c r="AM33">
        <f>EXP(AJ33)</f>
        <v>1.0034879302167234</v>
      </c>
      <c r="AN33">
        <f t="shared" si="21"/>
        <v>8.1664367740390559E-3</v>
      </c>
      <c r="AO33">
        <f t="shared" si="22"/>
        <v>21.385217412033803</v>
      </c>
      <c r="AP33">
        <f t="shared" si="23"/>
        <v>10358.886590396593</v>
      </c>
    </row>
    <row r="34" spans="5:42" x14ac:dyDescent="0.25">
      <c r="E34" s="81">
        <f t="shared" si="5"/>
        <v>1</v>
      </c>
      <c r="F34" s="107">
        <f t="shared" si="24"/>
        <v>0.99939</v>
      </c>
      <c r="G34" s="107">
        <f t="shared" si="25"/>
        <v>5.1000000000000004E-4</v>
      </c>
      <c r="H34" s="26">
        <f t="shared" si="6"/>
        <v>1E-4</v>
      </c>
      <c r="I34">
        <f t="shared" si="7"/>
        <v>0.99947824064936763</v>
      </c>
      <c r="J34">
        <f t="shared" si="8"/>
        <v>0.15387985656101216</v>
      </c>
      <c r="K34">
        <f t="shared" si="9"/>
        <v>2.3232782884974646E-2</v>
      </c>
      <c r="L34">
        <f t="shared" si="10"/>
        <v>3.7786331224298194E-4</v>
      </c>
      <c r="M34">
        <f t="shared" si="11"/>
        <v>0.63583060873314712</v>
      </c>
      <c r="N34">
        <f t="shared" si="12"/>
        <v>0.20270979078564308</v>
      </c>
      <c r="O34">
        <f t="shared" si="13"/>
        <v>1.459929945190021E-5</v>
      </c>
      <c r="P34">
        <f t="shared" si="14"/>
        <v>4.1129389765204838</v>
      </c>
      <c r="Q34">
        <f t="shared" si="15"/>
        <v>9.2415831637676558</v>
      </c>
      <c r="R34">
        <f t="shared" si="16"/>
        <v>1.0000145994060221</v>
      </c>
      <c r="S34">
        <f t="shared" si="17"/>
        <v>61.126102015776929</v>
      </c>
      <c r="T34">
        <f t="shared" si="18"/>
        <v>10317.359705042789</v>
      </c>
      <c r="U34" s="105">
        <f t="shared" si="26"/>
        <v>8.1664367740390559E-3</v>
      </c>
      <c r="V34" s="79">
        <f t="shared" si="27"/>
        <v>21.385217412033803</v>
      </c>
      <c r="W34" s="30">
        <f t="shared" si="28"/>
        <v>10358.886590396593</v>
      </c>
      <c r="X34" s="107">
        <f t="shared" si="29"/>
        <v>8.1614552476068913E-3</v>
      </c>
      <c r="Y34" s="107">
        <f t="shared" si="30"/>
        <v>1.0906460880137241E-2</v>
      </c>
      <c r="Z34" s="26">
        <f t="shared" si="19"/>
        <v>0.98093208387225583</v>
      </c>
      <c r="AA34" s="109">
        <f t="shared" si="20"/>
        <v>1</v>
      </c>
      <c r="AB34">
        <f>X34+$N$23*Y34+$P$23*Z34</f>
        <v>0.10530415467290419</v>
      </c>
      <c r="AC34">
        <f>$M$23*X34+Y34+$R$23*Z34</f>
        <v>0.87399271996440553</v>
      </c>
      <c r="AD34">
        <f>$O$23*X34+$Q$23*Y34+Z34</f>
        <v>0.9836739423713694</v>
      </c>
      <c r="AE34">
        <f>Y34*$H$23*$N$23+Z34*$J$23*$P$23</f>
        <v>0.52538247884268552</v>
      </c>
      <c r="AF34">
        <f>X34*$G$23*$M$23+Z34*$L$23*$R$23</f>
        <v>0.27143529965989199</v>
      </c>
      <c r="AG34">
        <f>X34*$I$23*$O$23+Y34*$K$23*$Q$23</f>
        <v>1.0500707027440628E-2</v>
      </c>
      <c r="AH34">
        <f>AE34/AB34-X34*AE34/AB34^2+(Y34*$M$23/AC34)*($G$23-AF34/AC34)+(Z34*$O$23/AD34)*($I$23-AG34/AD34)</f>
        <v>4.8114646885482104</v>
      </c>
      <c r="AI34">
        <f>AF34/AC34-Y34*AF34/AC34^2+(X34*$N$23/AB34)*($H$243-AE34/AB34)+(Z34*$Q$23/AD34)*($K$23-AG34/AD34)</f>
        <v>1.0537380969229255</v>
      </c>
      <c r="AJ34">
        <f>AG34/AD34-Z34*AG34/AD34+X34*$P$23/AB34*($J$23-AE34/AB34)+Y34*$R$23/AC34*($L$23-AF34/AC34)</f>
        <v>3.5154233961640887E-3</v>
      </c>
      <c r="AK34">
        <f>EXP(AH34)</f>
        <v>122.91151282508372</v>
      </c>
      <c r="AL34">
        <f>EXP(AI34)</f>
        <v>2.8683532853215312</v>
      </c>
      <c r="AM34">
        <f>EXP(AJ34)</f>
        <v>1.0035216097440778</v>
      </c>
      <c r="AN34">
        <f t="shared" si="21"/>
        <v>8.1360531362847203E-3</v>
      </c>
      <c r="AO34">
        <f t="shared" si="22"/>
        <v>21.310520683969699</v>
      </c>
      <c r="AP34">
        <f t="shared" si="23"/>
        <v>10281.15349471544</v>
      </c>
    </row>
    <row r="35" spans="5:42" x14ac:dyDescent="0.25">
      <c r="E35" s="81">
        <f t="shared" si="5"/>
        <v>1</v>
      </c>
      <c r="F35" s="107">
        <f t="shared" si="24"/>
        <v>0.99929000000000001</v>
      </c>
      <c r="G35" s="107">
        <f t="shared" si="25"/>
        <v>6.1000000000000008E-4</v>
      </c>
      <c r="H35" s="26">
        <f t="shared" si="6"/>
        <v>1E-4</v>
      </c>
      <c r="I35">
        <f t="shared" si="7"/>
        <v>0.99939363451291252</v>
      </c>
      <c r="J35">
        <f t="shared" si="8"/>
        <v>0.15396451900532029</v>
      </c>
      <c r="K35">
        <f t="shared" si="9"/>
        <v>2.3253896735723263E-2</v>
      </c>
      <c r="L35">
        <f t="shared" si="10"/>
        <v>4.4159122453254926E-4</v>
      </c>
      <c r="M35">
        <f t="shared" si="11"/>
        <v>0.63576698957877398</v>
      </c>
      <c r="N35">
        <f t="shared" si="12"/>
        <v>0.20277068119923822</v>
      </c>
      <c r="O35">
        <f t="shared" si="13"/>
        <v>1.8346230688996148E-5</v>
      </c>
      <c r="P35">
        <f t="shared" si="14"/>
        <v>4.1075884316151958</v>
      </c>
      <c r="Q35">
        <f t="shared" si="15"/>
        <v>9.2340995194992974</v>
      </c>
      <c r="R35">
        <f t="shared" si="16"/>
        <v>1.000018346398982</v>
      </c>
      <c r="S35">
        <f t="shared" si="17"/>
        <v>60.799917472754942</v>
      </c>
      <c r="T35">
        <f t="shared" si="18"/>
        <v>10240.436447376203</v>
      </c>
      <c r="U35" s="105">
        <f t="shared" si="26"/>
        <v>8.1360531362847203E-3</v>
      </c>
      <c r="V35" s="79">
        <f t="shared" si="27"/>
        <v>21.310520683969699</v>
      </c>
      <c r="W35" s="30">
        <f t="shared" si="28"/>
        <v>10281.15349471544</v>
      </c>
      <c r="X35" s="107">
        <f t="shared" si="29"/>
        <v>8.1302765385579574E-3</v>
      </c>
      <c r="Y35" s="107">
        <f t="shared" si="30"/>
        <v>1.2999417617221518E-2</v>
      </c>
      <c r="Z35" s="26">
        <f t="shared" si="19"/>
        <v>0.97887030584422052</v>
      </c>
      <c r="AA35" s="109">
        <f t="shared" si="20"/>
        <v>1</v>
      </c>
      <c r="AB35">
        <f>X35+$N$23*Y35+$P$23*Z35</f>
        <v>0.10539451175835743</v>
      </c>
      <c r="AC35">
        <f>$M$23*X35+Y35+$R$23*Z35</f>
        <v>0.87426944261613271</v>
      </c>
      <c r="AD35">
        <f>$O$23*X35+$Q$23*Y35+Z35</f>
        <v>0.98210154550267936</v>
      </c>
      <c r="AE35">
        <f>Y35*$H$23*$N$23+Z35*$J$23*$P$23</f>
        <v>0.52562660700441155</v>
      </c>
      <c r="AF35">
        <f>X35*$G$23*$M$23+Z35*$L$23*$R$23</f>
        <v>0.27085585946358232</v>
      </c>
      <c r="AG35">
        <f>X35*$I$23*$O$23+Y35*$K$23*$Q$23</f>
        <v>1.2192461101297658E-2</v>
      </c>
      <c r="AH35">
        <f>AE35/AB35-X35*AE35/AB35^2+(Y35*$M$23/AC35)*($G$23-AF35/AC35)+(Z35*$O$23/AD35)*($I$23-AG35/AD35)</f>
        <v>4.8127292157242607</v>
      </c>
      <c r="AI35">
        <f>AF35/AC35-Y35*AF35/AC35^2+(X35*$N$23/AB35)*($H$243-AE35/AB35)+(Z35*$Q$23/AD35)*($K$23-AG35/AD35)</f>
        <v>1.0517349261437952</v>
      </c>
      <c r="AJ35">
        <f>AG35/AD35-Z35*AG35/AD35+X35*$P$23/AB35*($J$23-AE35/AB35)+Y35*$R$23/AC35*($L$23-AF35/AC35)</f>
        <v>3.5798405435003059E-3</v>
      </c>
      <c r="AK35">
        <f>EXP(AH35)</f>
        <v>123.06703608427051</v>
      </c>
      <c r="AL35">
        <f>EXP(AI35)</f>
        <v>2.8626132349062057</v>
      </c>
      <c r="AM35">
        <f>EXP(AJ35)</f>
        <v>1.0035862558256035</v>
      </c>
      <c r="AN35">
        <f t="shared" si="21"/>
        <v>8.1258018249031078E-3</v>
      </c>
      <c r="AO35">
        <f t="shared" si="22"/>
        <v>21.23930565658377</v>
      </c>
      <c r="AP35">
        <f t="shared" si="23"/>
        <v>10203.84285648858</v>
      </c>
    </row>
    <row r="36" spans="5:42" x14ac:dyDescent="0.25">
      <c r="E36" s="81">
        <f t="shared" si="5"/>
        <v>1</v>
      </c>
      <c r="F36" s="107">
        <f t="shared" si="24"/>
        <v>0.99919000000000002</v>
      </c>
      <c r="G36" s="107">
        <f t="shared" si="25"/>
        <v>7.1000000000000013E-4</v>
      </c>
      <c r="H36" s="26">
        <f t="shared" si="6"/>
        <v>1E-4</v>
      </c>
      <c r="I36">
        <f t="shared" si="7"/>
        <v>0.99930902837645752</v>
      </c>
      <c r="J36">
        <f t="shared" si="8"/>
        <v>0.15404918144962843</v>
      </c>
      <c r="K36">
        <f t="shared" si="9"/>
        <v>2.327501058647188E-2</v>
      </c>
      <c r="L36">
        <f t="shared" si="10"/>
        <v>5.0531913682211663E-4</v>
      </c>
      <c r="M36">
        <f t="shared" si="11"/>
        <v>0.63570337042440095</v>
      </c>
      <c r="N36">
        <f t="shared" si="12"/>
        <v>0.20283157161283336</v>
      </c>
      <c r="O36">
        <f t="shared" si="13"/>
        <v>2.262233154557881E-5</v>
      </c>
      <c r="P36">
        <f t="shared" si="14"/>
        <v>4.1022472114358655</v>
      </c>
      <c r="Q36">
        <f t="shared" si="15"/>
        <v>9.2266309264848658</v>
      </c>
      <c r="R36">
        <f t="shared" si="16"/>
        <v>1.0000226225874325</v>
      </c>
      <c r="S36">
        <f t="shared" si="17"/>
        <v>60.476037453881567</v>
      </c>
      <c r="T36">
        <f t="shared" si="18"/>
        <v>10164.239690729648</v>
      </c>
      <c r="U36" s="105">
        <f t="shared" si="26"/>
        <v>8.1258018249031078E-3</v>
      </c>
      <c r="V36" s="79">
        <f t="shared" si="27"/>
        <v>21.23930565658377</v>
      </c>
      <c r="W36" s="30">
        <f t="shared" si="28"/>
        <v>10203.84285648858</v>
      </c>
      <c r="X36" s="107">
        <f t="shared" si="29"/>
        <v>8.1192199254249368E-3</v>
      </c>
      <c r="Y36" s="107">
        <f t="shared" si="30"/>
        <v>1.507990701617448E-2</v>
      </c>
      <c r="Z36" s="26">
        <f t="shared" si="19"/>
        <v>0.97680087305840058</v>
      </c>
      <c r="AA36" s="109">
        <f t="shared" si="20"/>
        <v>1</v>
      </c>
      <c r="AB36">
        <f>X36+$N$23*Y36+$P$23*Z36</f>
        <v>0.1055023267778674</v>
      </c>
      <c r="AC36">
        <f>$M$23*X36+Y36+$R$23*Z36</f>
        <v>0.8745300587942636</v>
      </c>
      <c r="AD36">
        <f>$O$23*X36+$Q$23*Y36+Z36</f>
        <v>0.98051903781024696</v>
      </c>
      <c r="AE36">
        <f>Y36*$H$23*$N$23+Z36*$J$23*$P$23</f>
        <v>0.52585874437888702</v>
      </c>
      <c r="AF36">
        <f>X36*$G$23*$M$23+Z36*$L$23*$R$23</f>
        <v>0.27028714313215979</v>
      </c>
      <c r="AG36">
        <f>X36*$I$23*$O$23+Y36*$K$23*$Q$23</f>
        <v>1.38781732335815E-2</v>
      </c>
      <c r="AH36">
        <f>AE36/AB36-X36*AE36/AB36^2+(Y36*$M$23/AC36)*($G$23-AF36/AC36)+(Z36*$O$23/AD36)*($I$23-AG36/AD36)</f>
        <v>4.8122301214558512</v>
      </c>
      <c r="AI36">
        <f>AF36/AC36-Y36*AF36/AC36^2+(X36*$N$23/AB36)*($H$243-AE36/AB36)+(Z36*$Q$23/AD36)*($K$23-AG36/AD36)</f>
        <v>1.0496332533490944</v>
      </c>
      <c r="AJ36">
        <f>AG36/AD36-Z36*AG36/AD36+X36*$P$23/AB36*($J$23-AE36/AB36)+Y36*$R$23/AC36*($L$23-AF36/AC36)</f>
        <v>3.669057678727734E-3</v>
      </c>
      <c r="AK36">
        <f>EXP(AH36)</f>
        <v>123.00562935707818</v>
      </c>
      <c r="AL36">
        <f>EXP(AI36)</f>
        <v>2.8566032762441411</v>
      </c>
      <c r="AM36">
        <f>EXP(AJ36)</f>
        <v>1.0036757969105421</v>
      </c>
      <c r="AN36">
        <f t="shared" si="21"/>
        <v>8.1298931424059057E-3</v>
      </c>
      <c r="AO36">
        <f t="shared" si="22"/>
        <v>21.170611248963979</v>
      </c>
      <c r="AP36">
        <f t="shared" si="23"/>
        <v>10127.014840864584</v>
      </c>
    </row>
    <row r="37" spans="5:42" x14ac:dyDescent="0.25">
      <c r="E37" s="81">
        <f t="shared" si="5"/>
        <v>1</v>
      </c>
      <c r="F37" s="107">
        <f t="shared" si="24"/>
        <v>0.99909000000000003</v>
      </c>
      <c r="G37" s="107">
        <f t="shared" si="25"/>
        <v>8.1000000000000017E-4</v>
      </c>
      <c r="H37" s="26">
        <f t="shared" si="6"/>
        <v>1E-4</v>
      </c>
      <c r="I37">
        <f t="shared" si="7"/>
        <v>0.99922442224000241</v>
      </c>
      <c r="J37">
        <f t="shared" si="8"/>
        <v>0.15413384389393656</v>
      </c>
      <c r="K37">
        <f t="shared" si="9"/>
        <v>2.3296124437220501E-2</v>
      </c>
      <c r="L37">
        <f t="shared" si="10"/>
        <v>5.6904704911168395E-4</v>
      </c>
      <c r="M37">
        <f t="shared" si="11"/>
        <v>0.63563975127002781</v>
      </c>
      <c r="N37">
        <f t="shared" si="12"/>
        <v>0.20289246202642847</v>
      </c>
      <c r="O37">
        <f t="shared" si="13"/>
        <v>2.7425861693189346E-5</v>
      </c>
      <c r="P37">
        <f t="shared" si="14"/>
        <v>4.0969152949514465</v>
      </c>
      <c r="Q37">
        <f t="shared" si="15"/>
        <v>9.2191773445873029</v>
      </c>
      <c r="R37">
        <f t="shared" si="16"/>
        <v>1.0000274262377855</v>
      </c>
      <c r="S37">
        <f t="shared" si="17"/>
        <v>60.154442393764121</v>
      </c>
      <c r="T37">
        <f t="shared" si="18"/>
        <v>10088.761339244029</v>
      </c>
      <c r="U37" s="105">
        <f t="shared" si="26"/>
        <v>8.1298931424059057E-3</v>
      </c>
      <c r="V37" s="79">
        <f t="shared" si="27"/>
        <v>21.170611248963979</v>
      </c>
      <c r="W37" s="30">
        <f t="shared" si="28"/>
        <v>10127.014840864584</v>
      </c>
      <c r="X37" s="107">
        <f t="shared" si="29"/>
        <v>8.1224949396463166E-3</v>
      </c>
      <c r="Y37" s="107">
        <f t="shared" si="30"/>
        <v>1.7148195111660828E-2</v>
      </c>
      <c r="Z37" s="26">
        <f t="shared" si="19"/>
        <v>0.97472930994869278</v>
      </c>
      <c r="AA37" s="109">
        <f t="shared" si="20"/>
        <v>0.99999999999999989</v>
      </c>
      <c r="AB37">
        <f>X37+$N$23*Y37+$P$23*Z37</f>
        <v>0.10562238785077019</v>
      </c>
      <c r="AC37">
        <f>$M$23*X37+Y37+$R$23*Z37</f>
        <v>0.87477880011469811</v>
      </c>
      <c r="AD37">
        <f>$O$23*X37+$Q$23*Y37+Z37</f>
        <v>0.97893187268475423</v>
      </c>
      <c r="AE37">
        <f>Y37*$H$23*$N$23+Z37*$J$23*$P$23</f>
        <v>0.52608198022077435</v>
      </c>
      <c r="AF37">
        <f>X37*$G$23*$M$23+Z37*$L$23*$R$23</f>
        <v>0.26972696625169279</v>
      </c>
      <c r="AG37">
        <f>X37*$I$23*$O$23+Y37*$K$23*$Q$23</f>
        <v>1.5556887160798888E-2</v>
      </c>
      <c r="AH37">
        <f>AE37/AB37-X37*AE37/AB37^2+(Y37*$M$23/AC37)*($G$23-AF37/AC37)+(Z37*$O$23/AD37)*($I$23-AG37/AD37)</f>
        <v>4.8104829096177202</v>
      </c>
      <c r="AI37">
        <f>AF37/AC37-Y37*AF37/AC37^2+(X37*$N$23/AB37)*($H$243-AE37/AB37)+(Z37*$Q$23/AD37)*($K$23-AG37/AD37)</f>
        <v>1.0474654638835057</v>
      </c>
      <c r="AJ37">
        <f>AG37/AD37-Z37*AG37/AD37+X37*$P$23/AB37*($J$23-AE37/AB37)+Y37*$R$23/AC37*($L$23-AF37/AC37)</f>
        <v>3.7786780508737806E-3</v>
      </c>
      <c r="AK37">
        <f>EXP(AH37)</f>
        <v>122.79090010867733</v>
      </c>
      <c r="AL37">
        <f>EXP(AI37)</f>
        <v>2.8504174689409063</v>
      </c>
      <c r="AM37">
        <f>EXP(AJ37)</f>
        <v>1.0037858262555319</v>
      </c>
      <c r="AN37">
        <f t="shared" si="21"/>
        <v>8.1441493250126937E-3</v>
      </c>
      <c r="AO37">
        <f t="shared" si="22"/>
        <v>21.103730611121659</v>
      </c>
      <c r="AP37">
        <f t="shared" si="23"/>
        <v>10050.711093300248</v>
      </c>
    </row>
    <row r="38" spans="5:42" x14ac:dyDescent="0.25">
      <c r="E38" s="81">
        <f t="shared" si="5"/>
        <v>1</v>
      </c>
      <c r="F38" s="107">
        <f t="shared" si="24"/>
        <v>0.99899000000000004</v>
      </c>
      <c r="G38" s="107">
        <f t="shared" si="25"/>
        <v>9.1000000000000022E-4</v>
      </c>
      <c r="H38" s="26">
        <f t="shared" si="6"/>
        <v>1E-4</v>
      </c>
      <c r="I38">
        <f t="shared" si="7"/>
        <v>0.9991398161035473</v>
      </c>
      <c r="J38">
        <f t="shared" si="8"/>
        <v>0.15421850633824469</v>
      </c>
      <c r="K38">
        <f t="shared" si="9"/>
        <v>2.3317238287969118E-2</v>
      </c>
      <c r="L38">
        <f t="shared" si="10"/>
        <v>6.3277496140125137E-4</v>
      </c>
      <c r="M38">
        <f t="shared" si="11"/>
        <v>0.63557613211565456</v>
      </c>
      <c r="N38">
        <f t="shared" si="12"/>
        <v>0.20295335244002355</v>
      </c>
      <c r="O38">
        <f t="shared" si="13"/>
        <v>3.2755086532481444E-5</v>
      </c>
      <c r="P38">
        <f t="shared" si="14"/>
        <v>4.0915926611893916</v>
      </c>
      <c r="Q38">
        <f t="shared" si="15"/>
        <v>9.2117387338060297</v>
      </c>
      <c r="R38">
        <f t="shared" si="16"/>
        <v>1.0000327556229862</v>
      </c>
      <c r="S38">
        <f t="shared" si="17"/>
        <v>59.835112918559219</v>
      </c>
      <c r="T38">
        <f t="shared" si="18"/>
        <v>10013.993399936397</v>
      </c>
      <c r="U38" s="105">
        <f t="shared" si="26"/>
        <v>8.1441493250126937E-3</v>
      </c>
      <c r="V38" s="79">
        <f t="shared" si="27"/>
        <v>21.103730611121659</v>
      </c>
      <c r="W38" s="30">
        <f t="shared" si="28"/>
        <v>10050.711093300248</v>
      </c>
      <c r="X38" s="107">
        <f t="shared" si="29"/>
        <v>8.1359237341944307E-3</v>
      </c>
      <c r="Y38" s="107">
        <f t="shared" si="30"/>
        <v>1.9204394856120716E-2</v>
      </c>
      <c r="Z38" s="26">
        <f t="shared" si="19"/>
        <v>0.97265968140968484</v>
      </c>
      <c r="AA38" s="109">
        <f t="shared" si="20"/>
        <v>1</v>
      </c>
      <c r="AB38">
        <f>X38+$N$23*Y38+$P$23*Z38</f>
        <v>0.10575093011109993</v>
      </c>
      <c r="AC38">
        <f>$M$23*X38+Y38+$R$23*Z38</f>
        <v>0.87501871011510635</v>
      </c>
      <c r="AD38">
        <f>$O$23*X38+$Q$23*Y38+Z38</f>
        <v>0.97734404526542462</v>
      </c>
      <c r="AE38">
        <f>Y38*$H$23*$N$23+Z38*$J$23*$P$23</f>
        <v>0.52629853484810074</v>
      </c>
      <c r="AF38">
        <f>X38*$G$23*$M$23+Z38*$L$23*$R$23</f>
        <v>0.26917377419855798</v>
      </c>
      <c r="AG38">
        <f>X38*$I$23*$O$23+Y38*$K$23*$Q$23</f>
        <v>1.7227848846261884E-2</v>
      </c>
      <c r="AH38">
        <f>AE38/AB38-X38*AE38/AB38^2+(Y38*$M$23/AC38)*($G$23-AF38/AC38)+(Z38*$O$23/AD38)*($I$23-AG38/AD38)</f>
        <v>4.807860095627313</v>
      </c>
      <c r="AI38">
        <f>AF38/AC38-Y38*AF38/AC38^2+(X38*$N$23/AB38)*($H$243-AE38/AB38)+(Z38*$Q$23/AD38)*($K$23-AG38/AD38)</f>
        <v>1.0452550964343834</v>
      </c>
      <c r="AJ38">
        <f>AG38/AD38-Z38*AG38/AD38+X38*$P$23/AB38*($J$23-AE38/AB38)+Y38*$R$23/AC38*($L$23-AF38/AC38)</f>
        <v>3.9055152494921496E-3</v>
      </c>
      <c r="AK38">
        <f>EXP(AH38)</f>
        <v>122.46926439768067</v>
      </c>
      <c r="AL38">
        <f>EXP(AI38)</f>
        <v>2.8441239570004799</v>
      </c>
      <c r="AM38">
        <f>EXP(AJ38)</f>
        <v>1.0039131517123785</v>
      </c>
      <c r="AN38">
        <f t="shared" si="21"/>
        <v>8.165581466838016E-3</v>
      </c>
      <c r="AO38">
        <f t="shared" si="22"/>
        <v>21.038152282808227</v>
      </c>
      <c r="AP38">
        <f t="shared" si="23"/>
        <v>9974.9598686454992</v>
      </c>
    </row>
    <row r="39" spans="5:42" x14ac:dyDescent="0.25">
      <c r="E39" s="81">
        <f t="shared" si="5"/>
        <v>1</v>
      </c>
      <c r="F39" s="107">
        <f t="shared" si="24"/>
        <v>0.99889000000000006</v>
      </c>
      <c r="G39" s="107">
        <f t="shared" si="25"/>
        <v>1.0100000000000003E-3</v>
      </c>
      <c r="H39" s="26">
        <f t="shared" si="6"/>
        <v>1E-4</v>
      </c>
      <c r="I39">
        <f t="shared" si="7"/>
        <v>0.99905520996709229</v>
      </c>
      <c r="J39">
        <f t="shared" si="8"/>
        <v>0.15430316878255285</v>
      </c>
      <c r="K39">
        <f t="shared" si="9"/>
        <v>2.3338352138717735E-2</v>
      </c>
      <c r="L39">
        <f t="shared" si="10"/>
        <v>6.9650287369081869E-4</v>
      </c>
      <c r="M39">
        <f t="shared" si="11"/>
        <v>0.63551251296128153</v>
      </c>
      <c r="N39">
        <f t="shared" si="12"/>
        <v>0.20301424285361869</v>
      </c>
      <c r="O39">
        <f t="shared" si="13"/>
        <v>3.8608277172338839E-5</v>
      </c>
      <c r="P39">
        <f t="shared" si="14"/>
        <v>4.0862792892354483</v>
      </c>
      <c r="Q39">
        <f t="shared" si="15"/>
        <v>9.204315054276357</v>
      </c>
      <c r="R39">
        <f t="shared" si="16"/>
        <v>1.0000386090224815</v>
      </c>
      <c r="S39">
        <f t="shared" si="17"/>
        <v>59.518029843863147</v>
      </c>
      <c r="T39">
        <f t="shared" si="18"/>
        <v>9939.9279812407294</v>
      </c>
      <c r="U39" s="105">
        <f t="shared" si="26"/>
        <v>8.165581466838016E-3</v>
      </c>
      <c r="V39" s="79">
        <f t="shared" si="27"/>
        <v>21.038152282808227</v>
      </c>
      <c r="W39" s="30">
        <f t="shared" si="28"/>
        <v>9974.9598686454992</v>
      </c>
      <c r="X39" s="107">
        <f t="shared" si="29"/>
        <v>8.1565176714098256E-3</v>
      </c>
      <c r="Y39" s="107">
        <f t="shared" si="30"/>
        <v>2.1248533805636315E-2</v>
      </c>
      <c r="Z39" s="26">
        <f t="shared" si="19"/>
        <v>0.97059494852295392</v>
      </c>
      <c r="AA39" s="109">
        <f t="shared" si="20"/>
        <v>1</v>
      </c>
      <c r="AB39">
        <f>X39+$N$23*Y39+$P$23*Z39</f>
        <v>0.10588525733398194</v>
      </c>
      <c r="AC39">
        <f>$M$23*X39+Y39+$R$23*Z39</f>
        <v>0.8752519595363345</v>
      </c>
      <c r="AD39">
        <f>$O$23*X39+$Q$23*Y39+Z39</f>
        <v>0.97575845426596075</v>
      </c>
      <c r="AE39">
        <f>Y39*$H$23*$N$23+Z39*$J$23*$P$23</f>
        <v>0.52650999078180893</v>
      </c>
      <c r="AF39">
        <f>X39*$G$23*$M$23+Z39*$L$23*$R$23</f>
        <v>0.26862646931887602</v>
      </c>
      <c r="AG39">
        <f>X39*$I$23*$O$23+Y39*$K$23*$Q$23</f>
        <v>1.8890475688355356E-2</v>
      </c>
      <c r="AH39">
        <f>AE39/AB39-X39*AE39/AB39^2+(Y39*$M$23/AC39)*($G$23-AF39/AC39)+(Z39*$O$23/AD39)*($I$23-AG39/AD39)</f>
        <v>4.8046281885690272</v>
      </c>
      <c r="AI39">
        <f>AF39/AC39-Y39*AF39/AC39^2+(X39*$N$23/AB39)*($H$243-AE39/AB39)+(Z39*$Q$23/AD39)*($K$23-AG39/AD39)</f>
        <v>1.0430190675806965</v>
      </c>
      <c r="AJ39">
        <f>AG39/AD39-Z39*AG39/AD39+X39*$P$23/AB39*($J$23-AE39/AB39)+Y39*$R$23/AC39*($L$23-AF39/AC39)</f>
        <v>4.0472551012092871E-3</v>
      </c>
      <c r="AK39">
        <f>EXP(AH39)</f>
        <v>122.07409403855733</v>
      </c>
      <c r="AL39">
        <f>EXP(AI39)</f>
        <v>2.8377715185337729</v>
      </c>
      <c r="AM39">
        <f>EXP(AJ39)</f>
        <v>1.0040554562985164</v>
      </c>
      <c r="AN39">
        <f t="shared" si="21"/>
        <v>8.1920625084190048E-3</v>
      </c>
      <c r="AO39">
        <f t="shared" si="22"/>
        <v>20.973510184010543</v>
      </c>
      <c r="AP39">
        <f t="shared" si="23"/>
        <v>9899.7798566670826</v>
      </c>
    </row>
    <row r="40" spans="5:42" x14ac:dyDescent="0.25">
      <c r="E40" s="81">
        <f t="shared" si="5"/>
        <v>1</v>
      </c>
      <c r="F40" s="107">
        <f t="shared" si="24"/>
        <v>0.99878999999999996</v>
      </c>
      <c r="G40" s="107">
        <f t="shared" si="25"/>
        <v>1.1100000000000003E-3</v>
      </c>
      <c r="H40" s="26">
        <f t="shared" si="6"/>
        <v>1E-4</v>
      </c>
      <c r="I40">
        <f t="shared" si="7"/>
        <v>0.99897060383063707</v>
      </c>
      <c r="J40">
        <f t="shared" si="8"/>
        <v>0.15438783122686095</v>
      </c>
      <c r="K40">
        <f t="shared" si="9"/>
        <v>2.3359465989466349E-2</v>
      </c>
      <c r="L40">
        <f t="shared" si="10"/>
        <v>7.6023078598038611E-4</v>
      </c>
      <c r="M40">
        <f t="shared" si="11"/>
        <v>0.63544889380690828</v>
      </c>
      <c r="N40">
        <f t="shared" si="12"/>
        <v>0.20307513326721383</v>
      </c>
      <c r="O40">
        <f t="shared" si="13"/>
        <v>4.4983710409074733E-5</v>
      </c>
      <c r="P40">
        <f t="shared" si="14"/>
        <v>4.0809751582334721</v>
      </c>
      <c r="Q40">
        <f t="shared" si="15"/>
        <v>9.1969062662689343</v>
      </c>
      <c r="R40">
        <f t="shared" si="16"/>
        <v>1.0000449847221913</v>
      </c>
      <c r="S40">
        <f t="shared" si="17"/>
        <v>59.20317417262892</v>
      </c>
      <c r="T40">
        <f t="shared" si="18"/>
        <v>9866.5572915718367</v>
      </c>
      <c r="U40" s="105">
        <f t="shared" si="26"/>
        <v>8.1920625084190048E-3</v>
      </c>
      <c r="V40" s="79">
        <f t="shared" si="27"/>
        <v>20.973510184010543</v>
      </c>
      <c r="W40" s="30">
        <f t="shared" si="28"/>
        <v>9899.7798566670826</v>
      </c>
      <c r="X40" s="107">
        <f t="shared" si="29"/>
        <v>8.1821501127838179E-3</v>
      </c>
      <c r="Y40" s="107">
        <f t="shared" si="30"/>
        <v>2.3280596304251708E-2</v>
      </c>
      <c r="Z40" s="26">
        <f t="shared" si="19"/>
        <v>0.9685372535829645</v>
      </c>
      <c r="AA40" s="109">
        <f t="shared" si="20"/>
        <v>1</v>
      </c>
      <c r="AB40">
        <f>X40+$N$23*Y40+$P$23*Z40</f>
        <v>0.10602344895777618</v>
      </c>
      <c r="AC40">
        <f>$M$23*X40+Y40+$R$23*Z40</f>
        <v>0.87548008874081451</v>
      </c>
      <c r="AD40">
        <f>$O$23*X40+$Q$23*Y40+Z40</f>
        <v>0.97417718934376973</v>
      </c>
      <c r="AE40">
        <f>Y40*$H$23*$N$23+Z40*$J$23*$P$23</f>
        <v>0.52671747026786642</v>
      </c>
      <c r="AF40">
        <f>X40*$G$23*$M$23+Z40*$L$23*$R$23</f>
        <v>0.2680842801214216</v>
      </c>
      <c r="AG40">
        <f>X40*$I$23*$O$23+Y40*$K$23*$Q$23</f>
        <v>2.0544324511946554E-2</v>
      </c>
      <c r="AH40">
        <f>AE40/AB40-X40*AE40/AB40^2+(Y40*$M$23/AC40)*($G$23-AF40/AC40)+(Z40*$O$23/AD40)*($I$23-AG40/AD40)</f>
        <v>4.8009766451179967</v>
      </c>
      <c r="AI40">
        <f>AF40/AC40-Y40*AF40/AC40^2+(X40*$N$23/AB40)*($H$243-AE40/AB40)+(Z40*$Q$23/AD40)*($K$23-AG40/AD40)</f>
        <v>1.040769444520794</v>
      </c>
      <c r="AJ40">
        <f>AG40/AD40-Z40*AG40/AD40+X40*$P$23/AB40*($J$23-AE40/AB40)+Y40*$R$23/AC40*($L$23-AF40/AC40)</f>
        <v>4.2022072220359655E-3</v>
      </c>
      <c r="AK40">
        <f>EXP(AH40)</f>
        <v>121.62914804414685</v>
      </c>
      <c r="AL40">
        <f>EXP(AI40)</f>
        <v>2.8313947776079478</v>
      </c>
      <c r="AM40">
        <f>EXP(AJ40)</f>
        <v>1.004211048875286</v>
      </c>
      <c r="AN40">
        <f t="shared" si="21"/>
        <v>8.2220832818726327E-3</v>
      </c>
      <c r="AO40">
        <f t="shared" si="22"/>
        <v>20.909544172658833</v>
      </c>
      <c r="AP40">
        <f t="shared" si="23"/>
        <v>9825.1829658938295</v>
      </c>
    </row>
    <row r="41" spans="5:42" x14ac:dyDescent="0.25">
      <c r="E41" s="81">
        <f t="shared" si="5"/>
        <v>1</v>
      </c>
      <c r="F41" s="107">
        <f t="shared" si="24"/>
        <v>0.99868999999999997</v>
      </c>
      <c r="G41" s="107">
        <f t="shared" si="25"/>
        <v>1.2100000000000004E-3</v>
      </c>
      <c r="H41" s="26">
        <f t="shared" si="6"/>
        <v>1E-4</v>
      </c>
      <c r="I41">
        <f t="shared" si="7"/>
        <v>0.99888599769418207</v>
      </c>
      <c r="J41">
        <f t="shared" si="8"/>
        <v>0.15447249367116908</v>
      </c>
      <c r="K41">
        <f t="shared" si="9"/>
        <v>2.3380579840214966E-2</v>
      </c>
      <c r="L41">
        <f t="shared" si="10"/>
        <v>8.2395869826995354E-4</v>
      </c>
      <c r="M41">
        <f t="shared" si="11"/>
        <v>0.63538527465253514</v>
      </c>
      <c r="N41">
        <f t="shared" si="12"/>
        <v>0.20313602368080894</v>
      </c>
      <c r="O41">
        <f t="shared" si="13"/>
        <v>5.1879668705718534E-5</v>
      </c>
      <c r="P41">
        <f t="shared" si="14"/>
        <v>4.075680247385228</v>
      </c>
      <c r="Q41">
        <f t="shared" si="15"/>
        <v>9.1895123301891495</v>
      </c>
      <c r="R41">
        <f t="shared" si="16"/>
        <v>1.0000518810144789</v>
      </c>
      <c r="S41">
        <f t="shared" si="17"/>
        <v>58.890527093107863</v>
      </c>
      <c r="T41">
        <f t="shared" si="18"/>
        <v>9793.8736379110978</v>
      </c>
      <c r="U41" s="105">
        <f t="shared" si="26"/>
        <v>8.2220832818726327E-3</v>
      </c>
      <c r="V41" s="79">
        <f t="shared" si="27"/>
        <v>20.909544172658833</v>
      </c>
      <c r="W41" s="30">
        <f t="shared" si="28"/>
        <v>9825.1829658938295</v>
      </c>
      <c r="X41" s="107">
        <f t="shared" si="29"/>
        <v>8.2113123527733801E-3</v>
      </c>
      <c r="Y41" s="107">
        <f t="shared" si="30"/>
        <v>2.5300548448917194E-2</v>
      </c>
      <c r="Z41" s="26">
        <f t="shared" si="19"/>
        <v>0.96648813919830945</v>
      </c>
      <c r="AA41" s="109">
        <f t="shared" si="20"/>
        <v>1</v>
      </c>
      <c r="AB41">
        <f>X41+$N$23*Y41+$P$23*Z41</f>
        <v>0.10616414118377475</v>
      </c>
      <c r="AC41">
        <f>$M$23*X41+Y41+$R$23*Z41</f>
        <v>0.87570418774329428</v>
      </c>
      <c r="AD41">
        <f>$O$23*X41+$Q$23*Y41+Z41</f>
        <v>0.97260175042693231</v>
      </c>
      <c r="AE41">
        <f>Y41*$H$23*$N$23+Z41*$J$23*$P$23</f>
        <v>0.52692176698401105</v>
      </c>
      <c r="AF41">
        <f>X41*$G$23*$M$23+Z41*$L$23*$R$23</f>
        <v>0.26754666547289596</v>
      </c>
      <c r="AG41">
        <f>X41*$I$23*$O$23+Y41*$K$23*$Q$23</f>
        <v>2.2189062419281182E-2</v>
      </c>
      <c r="AH41">
        <f>AE41/AB41-X41*AE41/AB41^2+(Y41*$M$23/AC41)*($G$23-AF41/AC41)+(Z41*$O$23/AD41)*($I$23-AG41/AD41)</f>
        <v>4.7970396242763682</v>
      </c>
      <c r="AI41">
        <f>AF41/AC41-Y41*AF41/AC41^2+(X41*$N$23/AB41)*($H$243-AE41/AB41)+(Z41*$Q$23/AD41)*($K$23-AG41/AD41)</f>
        <v>1.0385147931958549</v>
      </c>
      <c r="AJ41">
        <f>AG41/AD41-Z41*AG41/AD41+X41*$P$23/AB41*($J$23-AE41/AB41)+Y41*$R$23/AC41*($L$23-AF41/AC41)</f>
        <v>4.3691253605127253E-3</v>
      </c>
      <c r="AK41">
        <f>EXP(AH41)</f>
        <v>121.15123295149979</v>
      </c>
      <c r="AL41">
        <f>EXP(AI41)</f>
        <v>2.8250181608461724</v>
      </c>
      <c r="AM41">
        <f>EXP(AJ41)</f>
        <v>1.0043786839044764</v>
      </c>
      <c r="AN41">
        <f t="shared" si="21"/>
        <v>8.2545745235199346E-3</v>
      </c>
      <c r="AO41">
        <f t="shared" si="22"/>
        <v>20.846070269321206</v>
      </c>
      <c r="AP41">
        <f t="shared" si="23"/>
        <v>9751.1763191128866</v>
      </c>
    </row>
    <row r="42" spans="5:42" x14ac:dyDescent="0.25">
      <c r="E42" s="81">
        <f t="shared" si="5"/>
        <v>1</v>
      </c>
      <c r="F42" s="107">
        <f t="shared" si="24"/>
        <v>0.99858999999999998</v>
      </c>
      <c r="G42" s="107">
        <f t="shared" si="25"/>
        <v>1.3100000000000004E-3</v>
      </c>
      <c r="H42" s="26">
        <f t="shared" si="6"/>
        <v>1E-4</v>
      </c>
      <c r="I42">
        <f t="shared" si="7"/>
        <v>0.99880139155772696</v>
      </c>
      <c r="J42">
        <f t="shared" si="8"/>
        <v>0.15455715611547724</v>
      </c>
      <c r="K42">
        <f t="shared" si="9"/>
        <v>2.3401693690963583E-2</v>
      </c>
      <c r="L42">
        <f t="shared" si="10"/>
        <v>8.8768661055952096E-4</v>
      </c>
      <c r="M42">
        <f t="shared" si="11"/>
        <v>0.63532165549816211</v>
      </c>
      <c r="N42">
        <f t="shared" si="12"/>
        <v>0.20319691409440407</v>
      </c>
      <c r="O42">
        <f t="shared" si="13"/>
        <v>5.9294440171381324E-5</v>
      </c>
      <c r="P42">
        <f t="shared" si="14"/>
        <v>4.0703945359502063</v>
      </c>
      <c r="Q42">
        <f t="shared" si="15"/>
        <v>9.1821332065766192</v>
      </c>
      <c r="R42">
        <f t="shared" si="16"/>
        <v>1.0000592961981214</v>
      </c>
      <c r="S42">
        <f t="shared" si="17"/>
        <v>58.58006997681705</v>
      </c>
      <c r="T42">
        <f t="shared" si="18"/>
        <v>9721.8694244150702</v>
      </c>
      <c r="U42" s="105">
        <f t="shared" si="26"/>
        <v>8.2545745235199346E-3</v>
      </c>
      <c r="V42" s="79">
        <f t="shared" si="27"/>
        <v>20.846070269321206</v>
      </c>
      <c r="W42" s="30">
        <f t="shared" si="28"/>
        <v>9751.1763191128866</v>
      </c>
      <c r="X42" s="107">
        <f t="shared" si="29"/>
        <v>8.2429355734417713E-3</v>
      </c>
      <c r="Y42" s="107">
        <f t="shared" si="30"/>
        <v>2.7308352052810788E-2</v>
      </c>
      <c r="Z42" s="26">
        <f t="shared" si="19"/>
        <v>0.96444871237374741</v>
      </c>
      <c r="AA42" s="109">
        <f t="shared" si="20"/>
        <v>1</v>
      </c>
      <c r="AB42">
        <f>X42+$N$23*Y42+$P$23*Z42</f>
        <v>0.10630636704871106</v>
      </c>
      <c r="AC42">
        <f>$M$23*X42+Y42+$R$23*Z42</f>
        <v>0.87592502702675024</v>
      </c>
      <c r="AD42">
        <f>$O$23*X42+$Q$23*Y42+Z42</f>
        <v>0.97103321096605155</v>
      </c>
      <c r="AE42">
        <f>Y42*$H$23*$N$23+Z42*$J$23*$P$23</f>
        <v>0.52712344165721581</v>
      </c>
      <c r="AF42">
        <f>X42*$G$23*$M$23+Z42*$L$23*$R$23</f>
        <v>0.26701324586186503</v>
      </c>
      <c r="AG42">
        <f>X42*$I$23*$O$23+Y42*$K$23*$Q$23</f>
        <v>2.3824442078904905E-2</v>
      </c>
      <c r="AH42">
        <f>AE42/AB42-X42*AE42/AB42^2+(Y42*$M$23/AC42)*($G$23-AF42/AC42)+(Z42*$O$23/AD42)*($I$23-AG42/AD42)</f>
        <v>4.792911920067934</v>
      </c>
      <c r="AI42">
        <f>AF42/AC42-Y42*AF42/AC42^2+(X42*$N$23/AB42)*($H$243-AE42/AB42)+(Z42*$Q$23/AD42)*($K$23-AG42/AD42)</f>
        <v>1.0362611744322545</v>
      </c>
      <c r="AJ42">
        <f>AG42/AD42-Z42*AG42/AD42+X42*$P$23/AB42*($J$23-AE42/AB42)+Y42*$R$23/AC42*($L$23-AF42/AC42)</f>
        <v>4.5470787626866573E-3</v>
      </c>
      <c r="AK42">
        <f>EXP(AH42)</f>
        <v>120.65218716264955</v>
      </c>
      <c r="AL42">
        <f>EXP(AI42)</f>
        <v>2.8186588153730043</v>
      </c>
      <c r="AM42">
        <f>EXP(AJ42)</f>
        <v>1.004557432412329</v>
      </c>
      <c r="AN42">
        <f t="shared" si="21"/>
        <v>8.2887788420275815E-3</v>
      </c>
      <c r="AO42">
        <f t="shared" si="22"/>
        <v>20.782958780722424</v>
      </c>
      <c r="AP42">
        <f t="shared" si="23"/>
        <v>9677.7636705838904</v>
      </c>
    </row>
    <row r="43" spans="5:42" x14ac:dyDescent="0.25">
      <c r="E43" s="81">
        <f t="shared" si="5"/>
        <v>1</v>
      </c>
      <c r="F43" s="107">
        <f t="shared" si="24"/>
        <v>0.99848999999999999</v>
      </c>
      <c r="G43" s="107">
        <f t="shared" si="25"/>
        <v>1.4100000000000004E-3</v>
      </c>
      <c r="H43" s="26">
        <f t="shared" si="6"/>
        <v>1E-4</v>
      </c>
      <c r="I43">
        <f t="shared" si="7"/>
        <v>0.99871678542127185</v>
      </c>
      <c r="J43">
        <f t="shared" si="8"/>
        <v>0.15464181855978534</v>
      </c>
      <c r="K43">
        <f t="shared" si="9"/>
        <v>2.34228075417122E-2</v>
      </c>
      <c r="L43">
        <f t="shared" si="10"/>
        <v>9.5141452284908817E-4</v>
      </c>
      <c r="M43">
        <f t="shared" si="11"/>
        <v>0.63525803634378897</v>
      </c>
      <c r="N43">
        <f t="shared" si="12"/>
        <v>0.20325780450799916</v>
      </c>
      <c r="O43">
        <f t="shared" si="13"/>
        <v>6.7226318540716289E-5</v>
      </c>
      <c r="P43">
        <f t="shared" si="14"/>
        <v>4.0651180032454297</v>
      </c>
      <c r="Q43">
        <f t="shared" si="15"/>
        <v>9.1747688561045582</v>
      </c>
      <c r="R43">
        <f t="shared" si="16"/>
        <v>1.0000672285782803</v>
      </c>
      <c r="S43">
        <f t="shared" si="17"/>
        <v>58.271784376530867</v>
      </c>
      <c r="T43">
        <f t="shared" si="18"/>
        <v>9650.537151044482</v>
      </c>
      <c r="U43" s="105">
        <f t="shared" si="26"/>
        <v>8.2887788420275815E-3</v>
      </c>
      <c r="V43" s="79">
        <f t="shared" si="27"/>
        <v>20.782958780722424</v>
      </c>
      <c r="W43" s="30">
        <f t="shared" si="28"/>
        <v>9677.7636705838904</v>
      </c>
      <c r="X43" s="107">
        <f t="shared" si="29"/>
        <v>8.2762627859761205E-3</v>
      </c>
      <c r="Y43" s="107">
        <f t="shared" si="30"/>
        <v>2.9303971880818628E-2</v>
      </c>
      <c r="Z43" s="26">
        <f t="shared" si="19"/>
        <v>0.96241976533320517</v>
      </c>
      <c r="AA43" s="109">
        <f t="shared" si="20"/>
        <v>0.99999999999999989</v>
      </c>
      <c r="AB43">
        <f>X43+$N$23*Y43+$P$23*Z43</f>
        <v>0.10644944123852604</v>
      </c>
      <c r="AC43">
        <f>$M$23*X43+Y43+$R$23*Z43</f>
        <v>0.87614315129038534</v>
      </c>
      <c r="AD43">
        <f>$O$23*X43+$Q$23*Y43+Z43</f>
        <v>0.96947233750270378</v>
      </c>
      <c r="AE43">
        <f>Y43*$H$23*$N$23+Z43*$J$23*$P$23</f>
        <v>0.52732289053082559</v>
      </c>
      <c r="AF43">
        <f>X43*$G$23*$M$23+Z43*$L$23*$R$23</f>
        <v>0.26648375472262537</v>
      </c>
      <c r="AG43">
        <f>X43*$I$23*$O$23+Y43*$K$23*$Q$23</f>
        <v>2.545028167444666E-2</v>
      </c>
      <c r="AH43">
        <f>AE43/AB43-X43*AE43/AB43^2+(Y43*$M$23/AC43)*($G$23-AF43/AC43)+(Z43*$O$23/AD43)*($I$23-AG43/AD43)</f>
        <v>4.7886604423756891</v>
      </c>
      <c r="AI43">
        <f>AF43/AC43-Y43*AF43/AC43^2+(X43*$N$23/AB43)*($H$243-AE43/AB43)+(Z43*$Q$23/AD43)*($K$23-AG43/AD43)</f>
        <v>1.0340128667283202</v>
      </c>
      <c r="AJ43">
        <f>AG43/AD43-Z43*AG43/AD43+X43*$P$23/AB43*($J$23-AE43/AB43)+Y43*$R$23/AC43*($L$23-AF43/AC43)</f>
        <v>4.7353606183221757E-3</v>
      </c>
      <c r="AK43">
        <f>EXP(AH43)</f>
        <v>120.14032593469649</v>
      </c>
      <c r="AL43">
        <f>EXP(AI43)</f>
        <v>2.8123287217093065</v>
      </c>
      <c r="AM43">
        <f>EXP(AJ43)</f>
        <v>1.0047465901567227</v>
      </c>
      <c r="AN43">
        <f t="shared" si="21"/>
        <v>8.3241594426993418E-3</v>
      </c>
      <c r="AO43">
        <f t="shared" si="22"/>
        <v>20.720118500626</v>
      </c>
      <c r="AP43">
        <f t="shared" si="23"/>
        <v>9604.9464069732931</v>
      </c>
    </row>
    <row r="44" spans="5:42" x14ac:dyDescent="0.25">
      <c r="E44" s="81">
        <f t="shared" si="5"/>
        <v>1</v>
      </c>
      <c r="F44" s="107">
        <f t="shared" si="24"/>
        <v>0.99839</v>
      </c>
      <c r="G44" s="107">
        <f t="shared" si="25"/>
        <v>1.5100000000000005E-3</v>
      </c>
      <c r="H44" s="26">
        <f t="shared" si="6"/>
        <v>1E-4</v>
      </c>
      <c r="I44">
        <f t="shared" si="7"/>
        <v>0.99863217928481685</v>
      </c>
      <c r="J44">
        <f t="shared" si="8"/>
        <v>0.1547264810040935</v>
      </c>
      <c r="K44">
        <f t="shared" si="9"/>
        <v>2.344392139246082E-2</v>
      </c>
      <c r="L44">
        <f t="shared" si="10"/>
        <v>1.0151424351386555E-3</v>
      </c>
      <c r="M44">
        <f t="shared" si="11"/>
        <v>0.63519441718941572</v>
      </c>
      <c r="N44">
        <f t="shared" si="12"/>
        <v>0.2033186949215943</v>
      </c>
      <c r="O44">
        <f t="shared" si="13"/>
        <v>7.5673603153452929E-5</v>
      </c>
      <c r="P44">
        <f t="shared" si="14"/>
        <v>4.0598506286452549</v>
      </c>
      <c r="Q44">
        <f t="shared" si="15"/>
        <v>9.1674192395792886</v>
      </c>
      <c r="R44">
        <f t="shared" si="16"/>
        <v>1.0000756764664729</v>
      </c>
      <c r="S44">
        <f t="shared" si="17"/>
        <v>57.965652024296475</v>
      </c>
      <c r="T44">
        <f t="shared" si="18"/>
        <v>9579.8694122158322</v>
      </c>
      <c r="U44" s="105">
        <f t="shared" si="26"/>
        <v>8.3241594426993418E-3</v>
      </c>
      <c r="V44" s="79">
        <f t="shared" si="27"/>
        <v>20.720118500626</v>
      </c>
      <c r="W44" s="30">
        <f t="shared" si="28"/>
        <v>9604.9464069732931</v>
      </c>
      <c r="X44" s="107">
        <f t="shared" si="29"/>
        <v>8.3107575459965954E-3</v>
      </c>
      <c r="Y44" s="107">
        <f t="shared" si="30"/>
        <v>3.128737893594527E-2</v>
      </c>
      <c r="Z44" s="26">
        <f t="shared" si="19"/>
        <v>0.96040186351805812</v>
      </c>
      <c r="AA44" s="109">
        <f t="shared" si="20"/>
        <v>1</v>
      </c>
      <c r="AB44">
        <f>X44+$N$23*Y44+$P$23*Z44</f>
        <v>0.10659287787352718</v>
      </c>
      <c r="AC44">
        <f>$M$23*X44+Y44+$R$23*Z44</f>
        <v>0.87635894604937137</v>
      </c>
      <c r="AD44">
        <f>$O$23*X44+$Q$23*Y44+Z44</f>
        <v>0.96791967633523435</v>
      </c>
      <c r="AE44">
        <f>Y44*$H$23*$N$23+Z44*$J$23*$P$23</f>
        <v>0.52752039396685302</v>
      </c>
      <c r="AF44">
        <f>X44*$G$23*$M$23+Z44*$L$23*$R$23</f>
        <v>0.26595800424501215</v>
      </c>
      <c r="AG44">
        <f>X44*$I$23*$O$23+Y44*$K$23*$Q$23</f>
        <v>2.7066449093160257E-2</v>
      </c>
      <c r="AH44">
        <f>AE44/AB44-X44*AE44/AB44^2+(Y44*$M$23/AC44)*($G$23-AF44/AC44)+(Z44*$O$23/AD44)*($I$23-AG44/AD44)</f>
        <v>4.7843324050241476</v>
      </c>
      <c r="AI44">
        <f>AF44/AC44-Y44*AF44/AC44^2+(X44*$N$23/AB44)*($H$243-AE44/AB44)+(Z44*$Q$23/AD44)*($K$23-AG44/AD44)</f>
        <v>1.0317728846610177</v>
      </c>
      <c r="AJ44">
        <f>AG44/AD44-Z44*AG44/AD44+X44*$P$23/AB44*($J$23-AE44/AB44)+Y44*$R$23/AC44*($L$23-AF44/AC44)</f>
        <v>4.9334231225526791E-3</v>
      </c>
      <c r="AK44">
        <f>EXP(AH44)</f>
        <v>119.6214777237609</v>
      </c>
      <c r="AL44">
        <f>EXP(AI44)</f>
        <v>2.8060362059975623</v>
      </c>
      <c r="AM44">
        <f>EXP(AJ44)</f>
        <v>1.0049456124912666</v>
      </c>
      <c r="AN44">
        <f t="shared" si="21"/>
        <v>8.3603354138119274E-3</v>
      </c>
      <c r="AO44">
        <f t="shared" si="22"/>
        <v>20.657485423887945</v>
      </c>
      <c r="AP44">
        <f t="shared" si="23"/>
        <v>9532.7242520789514</v>
      </c>
    </row>
    <row r="45" spans="5:42" x14ac:dyDescent="0.25">
      <c r="E45" s="81">
        <f t="shared" si="5"/>
        <v>1</v>
      </c>
      <c r="F45" s="107">
        <f t="shared" si="24"/>
        <v>0.99829000000000001</v>
      </c>
      <c r="G45" s="107">
        <f t="shared" si="25"/>
        <v>1.6100000000000005E-3</v>
      </c>
      <c r="H45" s="26">
        <f t="shared" si="6"/>
        <v>1E-4</v>
      </c>
      <c r="I45">
        <f t="shared" si="7"/>
        <v>0.99854757314836173</v>
      </c>
      <c r="J45">
        <f t="shared" si="8"/>
        <v>0.15481114344840163</v>
      </c>
      <c r="K45">
        <f t="shared" si="9"/>
        <v>2.3465035243209437E-2</v>
      </c>
      <c r="L45">
        <f t="shared" si="10"/>
        <v>1.0788703474282229E-3</v>
      </c>
      <c r="M45">
        <f t="shared" si="11"/>
        <v>0.63513079803504269</v>
      </c>
      <c r="N45">
        <f t="shared" si="12"/>
        <v>0.20337958533518941</v>
      </c>
      <c r="O45">
        <f t="shared" si="13"/>
        <v>8.4634598934009908E-5</v>
      </c>
      <c r="P45">
        <f t="shared" si="14"/>
        <v>4.0545923915812043</v>
      </c>
      <c r="Q45">
        <f t="shared" si="15"/>
        <v>9.1600843179396332</v>
      </c>
      <c r="R45">
        <f t="shared" si="16"/>
        <v>1.0000846381805428</v>
      </c>
      <c r="S45">
        <f t="shared" si="17"/>
        <v>57.66165482947504</v>
      </c>
      <c r="T45">
        <f t="shared" si="18"/>
        <v>9509.8588954727038</v>
      </c>
      <c r="U45" s="105">
        <f t="shared" si="26"/>
        <v>8.3603354138119274E-3</v>
      </c>
      <c r="V45" s="79">
        <f t="shared" si="27"/>
        <v>20.657485423887945</v>
      </c>
      <c r="W45" s="30">
        <f t="shared" si="28"/>
        <v>9532.7242520789514</v>
      </c>
      <c r="X45" s="107">
        <f t="shared" si="29"/>
        <v>8.346039240254309E-3</v>
      </c>
      <c r="Y45" s="107">
        <f t="shared" si="30"/>
        <v>3.3258551532459601E-2</v>
      </c>
      <c r="Z45" s="26">
        <f t="shared" si="19"/>
        <v>0.95839540922728605</v>
      </c>
      <c r="AA45" s="109">
        <f t="shared" si="20"/>
        <v>1</v>
      </c>
      <c r="AB45">
        <f>X45+$N$23*Y45+$P$23*Z45</f>
        <v>0.10673633215371039</v>
      </c>
      <c r="AC45">
        <f>$M$23*X45+Y45+$R$23*Z45</f>
        <v>0.87657268469599103</v>
      </c>
      <c r="AD45">
        <f>$O$23*X45+$Q$23*Y45+Z45</f>
        <v>0.96637561592002885</v>
      </c>
      <c r="AE45">
        <f>Y45*$H$23*$N$23+Z45*$J$23*$P$23</f>
        <v>0.52771615076430567</v>
      </c>
      <c r="AF45">
        <f>X45*$G$23*$M$23+Z45*$L$23*$R$23</f>
        <v>0.26543586147745418</v>
      </c>
      <c r="AG45">
        <f>X45*$I$23*$O$23+Y45*$K$23*$Q$23</f>
        <v>2.8672849697359327E-2</v>
      </c>
      <c r="AH45">
        <f>AE45/AB45-X45*AE45/AB45^2+(Y45*$M$23/AC45)*($G$23-AF45/AC45)+(Z45*$O$23/AD45)*($I$23-AG45/AD45)</f>
        <v>4.7799611281519105</v>
      </c>
      <c r="AI45">
        <f>AF45/AC45-Y45*AF45/AC45^2+(X45*$N$23/AB45)*($H$243-AE45/AB45)+(Z45*$Q$23/AD45)*($K$23-AG45/AD45)</f>
        <v>1.0295433480113698</v>
      </c>
      <c r="AJ45">
        <f>AG45/AD45-Z45*AG45/AD45+X45*$P$23/AB45*($J$23-AE45/AB45)+Y45*$R$23/AC45*($L$23-AF45/AC45)</f>
        <v>5.1408314955335597E-3</v>
      </c>
      <c r="AK45">
        <f>EXP(AH45)</f>
        <v>119.09972032859551</v>
      </c>
      <c r="AL45">
        <f>EXP(AI45)</f>
        <v>2.799787014425513</v>
      </c>
      <c r="AM45">
        <f>EXP(AJ45)</f>
        <v>1.0051540682426745</v>
      </c>
      <c r="AN45">
        <f t="shared" si="21"/>
        <v>8.3970359915314201E-3</v>
      </c>
      <c r="AO45">
        <f t="shared" si="22"/>
        <v>20.595014739471747</v>
      </c>
      <c r="AP45">
        <f t="shared" si="23"/>
        <v>9461.0957622635196</v>
      </c>
    </row>
    <row r="46" spans="5:42" x14ac:dyDescent="0.25">
      <c r="E46" s="81">
        <f t="shared" si="5"/>
        <v>1</v>
      </c>
      <c r="F46" s="107">
        <f t="shared" si="24"/>
        <v>0.99819000000000002</v>
      </c>
      <c r="G46" s="107">
        <f t="shared" si="25"/>
        <v>1.7100000000000006E-3</v>
      </c>
      <c r="H46" s="26">
        <f t="shared" si="6"/>
        <v>1E-4</v>
      </c>
      <c r="I46">
        <f t="shared" si="7"/>
        <v>0.99846296701190673</v>
      </c>
      <c r="J46">
        <f t="shared" si="8"/>
        <v>0.15489580589270976</v>
      </c>
      <c r="K46">
        <f t="shared" si="9"/>
        <v>2.3486149093958051E-2</v>
      </c>
      <c r="L46">
        <f t="shared" si="10"/>
        <v>1.1425982597177903E-3</v>
      </c>
      <c r="M46">
        <f t="shared" si="11"/>
        <v>0.63506717888066955</v>
      </c>
      <c r="N46">
        <f t="shared" si="12"/>
        <v>0.20344047574878454</v>
      </c>
      <c r="O46">
        <f t="shared" si="13"/>
        <v>9.4107616371220175E-5</v>
      </c>
      <c r="P46">
        <f t="shared" si="14"/>
        <v>4.0493432715417512</v>
      </c>
      <c r="Q46">
        <f t="shared" si="15"/>
        <v>9.1527640522563889</v>
      </c>
      <c r="R46">
        <f t="shared" si="16"/>
        <v>1.0000941120446318</v>
      </c>
      <c r="S46">
        <f t="shared" si="17"/>
        <v>57.359774876803932</v>
      </c>
      <c r="T46">
        <f t="shared" si="18"/>
        <v>9440.4983801783983</v>
      </c>
      <c r="U46" s="105">
        <f t="shared" si="26"/>
        <v>8.3970359915314201E-3</v>
      </c>
      <c r="V46" s="79">
        <f t="shared" si="27"/>
        <v>20.595014739471747</v>
      </c>
      <c r="W46" s="30">
        <f t="shared" si="28"/>
        <v>9461.0957622635196</v>
      </c>
      <c r="X46" s="107">
        <f t="shared" si="29"/>
        <v>8.3818373563867479E-3</v>
      </c>
      <c r="Y46" s="107">
        <f t="shared" si="30"/>
        <v>3.5217475204496702E-2</v>
      </c>
      <c r="Z46" s="26">
        <f t="shared" si="19"/>
        <v>0.95640068743911655</v>
      </c>
      <c r="AA46" s="109">
        <f t="shared" si="20"/>
        <v>1</v>
      </c>
      <c r="AB46">
        <f>X46+$N$23*Y46+$P$23*Z46</f>
        <v>0.10687955907378284</v>
      </c>
      <c r="AC46">
        <f>$M$23*X46+Y46+$R$23*Z46</f>
        <v>0.87678456165265262</v>
      </c>
      <c r="AD46">
        <f>$O$23*X46+$Q$23*Y46+Z46</f>
        <v>0.96484043161870447</v>
      </c>
      <c r="AE46">
        <f>Y46*$H$23*$N$23+Z46*$J$23*$P$23</f>
        <v>0.52791030231811764</v>
      </c>
      <c r="AF46">
        <f>X46*$G$23*$M$23+Z46*$L$23*$R$23</f>
        <v>0.26491723167061865</v>
      </c>
      <c r="AG46">
        <f>X46*$I$23*$O$23+Y46*$K$23*$Q$23</f>
        <v>3.0269416993570959E-2</v>
      </c>
      <c r="AH46">
        <f>AE46/AB46-X46*AE46/AB46^2+(Y46*$M$23/AC46)*($G$23-AF46/AC46)+(Z46*$O$23/AD46)*($I$23-AG46/AD46)</f>
        <v>4.7755701343866512</v>
      </c>
      <c r="AI46">
        <f>AF46/AC46-Y46*AF46/AC46^2+(X46*$N$23/AB46)*($H$243-AE46/AB46)+(Z46*$Q$23/AD46)*($K$23-AG46/AD46)</f>
        <v>1.0273257434441128</v>
      </c>
      <c r="AJ46">
        <f>AG46/AD46-Z46*AG46/AD46+X46*$P$23/AB46*($J$23-AE46/AB46)+Y46*$R$23/AC46*($L$23-AF46/AC46)</f>
        <v>5.3572314445730499E-3</v>
      </c>
      <c r="AK46">
        <f>EXP(AH46)</f>
        <v>118.57790069100203</v>
      </c>
      <c r="AL46">
        <f>EXP(AI46)</f>
        <v>2.7935850732231873</v>
      </c>
      <c r="AM46">
        <f>EXP(AJ46)</f>
        <v>1.0053716070686656</v>
      </c>
      <c r="AN46">
        <f t="shared" si="21"/>
        <v>8.4340682894255472E-3</v>
      </c>
      <c r="AO46">
        <f t="shared" si="22"/>
        <v>20.532675173061143</v>
      </c>
      <c r="AP46">
        <f t="shared" si="23"/>
        <v>9390.058674626589</v>
      </c>
    </row>
    <row r="47" spans="5:42" x14ac:dyDescent="0.25">
      <c r="E47" s="81">
        <f t="shared" ref="E47:E73" si="31">SUM(F47:H47)</f>
        <v>1</v>
      </c>
      <c r="F47" s="107">
        <f t="shared" si="24"/>
        <v>0.99809000000000003</v>
      </c>
      <c r="G47" s="107">
        <f t="shared" si="25"/>
        <v>1.8100000000000006E-3</v>
      </c>
      <c r="H47" s="26">
        <f t="shared" si="6"/>
        <v>1E-4</v>
      </c>
      <c r="I47">
        <f t="shared" ref="I47:I73" si="32">F47+$N$23*G47+$P$23*H47</f>
        <v>0.99837836087545162</v>
      </c>
      <c r="J47">
        <f t="shared" ref="J47:J73" si="33">$M$23*F47+G47+$R$23*H47</f>
        <v>0.1549804683370179</v>
      </c>
      <c r="K47">
        <f t="shared" ref="K47:K73" si="34">$O$23*F47+$Q$23*G47+H47</f>
        <v>2.3507262944706668E-2</v>
      </c>
      <c r="L47">
        <f t="shared" ref="L47:L73" si="35">G47*$H$23*$N$23+H47*$J$23*$P$23</f>
        <v>1.2063261720073575E-3</v>
      </c>
      <c r="M47">
        <f t="shared" ref="M47:M73" si="36">F47*$G$23*$M$23+H47*$L$23*$R$23</f>
        <v>0.63500355972629641</v>
      </c>
      <c r="N47">
        <f t="shared" ref="N47:N73" si="37">F47*$I$23*$O$23+G47*$K$23*$Q$23</f>
        <v>0.20350136616237968</v>
      </c>
      <c r="O47">
        <f t="shared" ref="O47:O73" si="38">L47/I47-F47*L47/I47^2+(G47*$M$23/J47)*($G$23-M47/J47)+(H47*$O$23/K47)*($I$23-N47/K47)</f>
        <v>1.0409097149809832E-4</v>
      </c>
      <c r="P47">
        <f t="shared" ref="P47:P73" si="39">M47/J47-G47*M47/J47^2+(F47*$N$23/I47)*($H$243-L47/I47)+(H47*$Q$23/K47)*($K$23-N47/K47)</f>
        <v>4.0441032480721502</v>
      </c>
      <c r="Q47">
        <f t="shared" ref="Q47:Q73" si="40">N47/K47-H47*N47/K47+F47*$P$23/I47*($J$23-L47/I47)+G47*$R$23/J47*($L$23-M47/J47)</f>
        <v>9.1454584037317623</v>
      </c>
      <c r="R47">
        <f t="shared" ref="R47:R73" si="41">EXP(O47)</f>
        <v>1.0001040963891512</v>
      </c>
      <c r="S47">
        <f t="shared" ref="S47:S73" si="42">EXP(P47)</f>
        <v>57.059994424484863</v>
      </c>
      <c r="T47">
        <f t="shared" ref="T47:T73" si="43">EXP(Q47)</f>
        <v>9371.7807362283475</v>
      </c>
      <c r="U47" s="105">
        <f t="shared" ref="U47:U73" si="44">AN46</f>
        <v>8.4340682894255472E-3</v>
      </c>
      <c r="V47" s="79">
        <f t="shared" ref="V47:V73" si="45">AO46</f>
        <v>20.532675173061143</v>
      </c>
      <c r="W47" s="30">
        <f t="shared" ref="W47:W73" si="46">AP46</f>
        <v>9390.058674626589</v>
      </c>
      <c r="X47" s="107">
        <f t="shared" ref="X47:X73" si="47">U47*F47</f>
        <v>8.417959218992745E-3</v>
      </c>
      <c r="Y47" s="107">
        <f t="shared" si="30"/>
        <v>3.7164142063240681E-2</v>
      </c>
      <c r="Z47" s="26">
        <f t="shared" si="19"/>
        <v>0.9544178987177665</v>
      </c>
      <c r="AA47" s="109">
        <f t="shared" ref="AA47:AA73" si="48">SUM(X47:Z47)</f>
        <v>0.99999999999999989</v>
      </c>
      <c r="AB47">
        <f t="shared" ref="AB47:AB73" si="49">X47+$N$23*Y47+$P$23*Z47</f>
        <v>0.10702238426274965</v>
      </c>
      <c r="AC47">
        <f t="shared" ref="AC47:AC73" si="50">$M$23*X47+Y47+$R$23*Z47</f>
        <v>0.87699471569202125</v>
      </c>
      <c r="AD47">
        <f t="shared" ref="AD47:AD73" si="51">$O$23*X47+$Q$23*Y47+Z47</f>
        <v>0.96331431771137188</v>
      </c>
      <c r="AE47">
        <f t="shared" ref="AE47:AE73" si="52">Y47*$H$23*$N$23+Z47*$J$23*$P$23</f>
        <v>0.52810294960102433</v>
      </c>
      <c r="AF47">
        <f t="shared" ref="AF47:AF73" si="53">X47*$G$23*$M$23+Z47*$L$23*$R$23</f>
        <v>0.26440204668287032</v>
      </c>
      <c r="AG47">
        <f t="shared" ref="AG47:AG73" si="54">X47*$I$23*$O$23+Y47*$K$23*$Q$23</f>
        <v>3.1856105580155676E-2</v>
      </c>
      <c r="AH47">
        <f t="shared" ref="AH47:AH73" si="55">AE47/AB47-X47*AE47/AB47^2+(Y47*$M$23/AC47)*($G$23-AF47/AC47)+(Z47*$O$23/AD47)*($I$23-AG47/AD47)</f>
        <v>4.7711760346963121</v>
      </c>
      <c r="AI47">
        <f t="shared" ref="AI47:AI73" si="56">AF47/AC47-Y47*AF47/AC47^2+(X47*$N$23/AB47)*($H$243-AE47/AB47)+(Z47*$Q$23/AD47)*($K$23-AG47/AD47)</f>
        <v>1.0251211095655222</v>
      </c>
      <c r="AJ47">
        <f t="shared" ref="AJ47:AJ73" si="57">AG47/AD47-Z47*AG47/AD47+X47*$P$23/AB47*($J$23-AE47/AB47)+Y47*$R$23/AC47*($L$23-AF47/AC47)</f>
        <v>5.5823261342241208E-3</v>
      </c>
      <c r="AK47">
        <f t="shared" ref="AK47:AK73" si="58">EXP(AH47)</f>
        <v>118.05800065710734</v>
      </c>
      <c r="AL47">
        <f t="shared" ref="AL47:AL73" si="59">EXP(AI47)</f>
        <v>2.7874330249268726</v>
      </c>
      <c r="AM47">
        <f t="shared" ref="AM47:AM73" si="60">EXP(AJ47)</f>
        <v>1.0055979363503469</v>
      </c>
      <c r="AN47">
        <f t="shared" si="21"/>
        <v>8.4712945401633211E-3</v>
      </c>
      <c r="AO47">
        <f t="shared" si="22"/>
        <v>20.470444998757166</v>
      </c>
      <c r="AP47">
        <f t="shared" si="23"/>
        <v>9319.6101517885891</v>
      </c>
    </row>
    <row r="48" spans="5:42" x14ac:dyDescent="0.25">
      <c r="E48" s="81">
        <f t="shared" si="31"/>
        <v>1</v>
      </c>
      <c r="F48" s="107">
        <f t="shared" si="24"/>
        <v>0.99799000000000004</v>
      </c>
      <c r="G48" s="107">
        <f t="shared" si="25"/>
        <v>1.9100000000000007E-3</v>
      </c>
      <c r="H48" s="26">
        <f t="shared" si="6"/>
        <v>1E-4</v>
      </c>
      <c r="I48">
        <f t="shared" si="32"/>
        <v>0.99829375473899651</v>
      </c>
      <c r="J48">
        <f t="shared" si="33"/>
        <v>0.15506513078132603</v>
      </c>
      <c r="K48">
        <f t="shared" si="34"/>
        <v>2.3528376795455285E-2</v>
      </c>
      <c r="L48">
        <f t="shared" si="35"/>
        <v>1.270054084296925E-3</v>
      </c>
      <c r="M48">
        <f t="shared" si="36"/>
        <v>0.63493994057192327</v>
      </c>
      <c r="N48">
        <f t="shared" si="37"/>
        <v>0.20356225657597476</v>
      </c>
      <c r="O48">
        <f t="shared" si="38"/>
        <v>1.1458298587171667E-4</v>
      </c>
      <c r="P48">
        <f t="shared" si="39"/>
        <v>4.0388723007742469</v>
      </c>
      <c r="Q48">
        <f t="shared" si="40"/>
        <v>9.1381673336988261</v>
      </c>
      <c r="R48">
        <f t="shared" si="41"/>
        <v>1.0001145895507528</v>
      </c>
      <c r="S48">
        <f t="shared" si="42"/>
        <v>56.762295902293872</v>
      </c>
      <c r="T48">
        <f t="shared" si="43"/>
        <v>9303.6989227825616</v>
      </c>
      <c r="U48" s="105">
        <f t="shared" si="44"/>
        <v>8.4712945401633211E-3</v>
      </c>
      <c r="V48" s="79">
        <f t="shared" si="45"/>
        <v>20.470444998757166</v>
      </c>
      <c r="W48" s="30">
        <f t="shared" si="46"/>
        <v>9319.6101517885891</v>
      </c>
      <c r="X48" s="107">
        <f t="shared" si="47"/>
        <v>8.4542672381375927E-3</v>
      </c>
      <c r="Y48" s="107">
        <f t="shared" si="30"/>
        <v>3.9098549947626203E-2</v>
      </c>
      <c r="Z48" s="26">
        <f t="shared" si="19"/>
        <v>0.95244718281423624</v>
      </c>
      <c r="AA48" s="109">
        <f t="shared" si="48"/>
        <v>1</v>
      </c>
      <c r="AB48">
        <f t="shared" si="49"/>
        <v>0.10716468339849558</v>
      </c>
      <c r="AC48">
        <f t="shared" si="50"/>
        <v>0.87720324633355551</v>
      </c>
      <c r="AD48">
        <f t="shared" si="51"/>
        <v>0.96179741027464449</v>
      </c>
      <c r="AE48">
        <f t="shared" si="52"/>
        <v>0.52829416509556881</v>
      </c>
      <c r="AF48">
        <f t="shared" si="53"/>
        <v>0.26389025691165408</v>
      </c>
      <c r="AG48">
        <f t="shared" si="54"/>
        <v>3.3432885852905492E-2</v>
      </c>
      <c r="AH48">
        <f t="shared" si="55"/>
        <v>4.7667905599219162</v>
      </c>
      <c r="AI48">
        <f t="shared" si="56"/>
        <v>1.0229301676517359</v>
      </c>
      <c r="AJ48">
        <f t="shared" si="57"/>
        <v>5.8158598740856654E-3</v>
      </c>
      <c r="AK48">
        <f t="shared" si="58"/>
        <v>117.54139388426023</v>
      </c>
      <c r="AL48">
        <f t="shared" si="59"/>
        <v>2.7813326063523442</v>
      </c>
      <c r="AM48">
        <f t="shared" si="60"/>
        <v>1.0058328048210086</v>
      </c>
      <c r="AN48">
        <f t="shared" si="21"/>
        <v>8.5086160415584148E-3</v>
      </c>
      <c r="AO48">
        <f t="shared" si="22"/>
        <v>20.40830923013424</v>
      </c>
      <c r="AP48">
        <f t="shared" si="23"/>
        <v>9249.7469541552564</v>
      </c>
    </row>
    <row r="49" spans="5:42" x14ac:dyDescent="0.25">
      <c r="E49" s="81">
        <f t="shared" si="31"/>
        <v>1</v>
      </c>
      <c r="F49" s="107">
        <f t="shared" si="24"/>
        <v>0.99789000000000005</v>
      </c>
      <c r="G49" s="107">
        <f t="shared" si="25"/>
        <v>2.0100000000000005E-3</v>
      </c>
      <c r="H49" s="26">
        <f t="shared" si="6"/>
        <v>1E-4</v>
      </c>
      <c r="I49">
        <f t="shared" si="32"/>
        <v>0.99820914860254151</v>
      </c>
      <c r="J49">
        <f t="shared" si="33"/>
        <v>0.15514979322563419</v>
      </c>
      <c r="K49">
        <f t="shared" si="34"/>
        <v>2.3549490646203902E-2</v>
      </c>
      <c r="L49">
        <f t="shared" si="35"/>
        <v>1.3337819965864922E-3</v>
      </c>
      <c r="M49">
        <f t="shared" si="36"/>
        <v>0.63487632141755013</v>
      </c>
      <c r="N49">
        <f t="shared" si="37"/>
        <v>0.2036231469895699</v>
      </c>
      <c r="O49">
        <f t="shared" si="38"/>
        <v>1.2558198655316462E-4</v>
      </c>
      <c r="P49">
        <f t="shared" si="39"/>
        <v>4.0336504093062846</v>
      </c>
      <c r="Q49">
        <f t="shared" si="40"/>
        <v>9.1308908036209857</v>
      </c>
      <c r="R49">
        <f t="shared" si="41"/>
        <v>1.0001255898723009</v>
      </c>
      <c r="S49">
        <f t="shared" si="42"/>
        <v>56.466661909713864</v>
      </c>
      <c r="T49">
        <f t="shared" si="43"/>
        <v>9236.2459870176845</v>
      </c>
      <c r="U49" s="105">
        <f t="shared" si="44"/>
        <v>8.5086160415584148E-3</v>
      </c>
      <c r="V49" s="79">
        <f t="shared" si="45"/>
        <v>20.40830923013424</v>
      </c>
      <c r="W49" s="30">
        <f t="shared" si="46"/>
        <v>9249.7469541552564</v>
      </c>
      <c r="X49" s="107">
        <f t="shared" si="47"/>
        <v>8.4906628617107266E-3</v>
      </c>
      <c r="Y49" s="107">
        <f t="shared" si="30"/>
        <v>4.102070155256983E-2</v>
      </c>
      <c r="Z49" s="26">
        <f t="shared" si="19"/>
        <v>0.95048863558571939</v>
      </c>
      <c r="AA49" s="109">
        <f t="shared" si="48"/>
        <v>1</v>
      </c>
      <c r="AB49">
        <f t="shared" si="49"/>
        <v>0.10730636767253146</v>
      </c>
      <c r="AC49">
        <f t="shared" si="50"/>
        <v>0.87741022537560209</v>
      </c>
      <c r="AD49">
        <f t="shared" si="51"/>
        <v>0.96028980352737414</v>
      </c>
      <c r="AE49">
        <f t="shared" si="52"/>
        <v>0.52848400118061167</v>
      </c>
      <c r="AF49">
        <f t="shared" si="53"/>
        <v>0.26338182567635998</v>
      </c>
      <c r="AG49">
        <f t="shared" si="54"/>
        <v>3.4999740049401741E-2</v>
      </c>
      <c r="AH49">
        <f t="shared" si="55"/>
        <v>4.7624219909768941</v>
      </c>
      <c r="AI49">
        <f t="shared" si="56"/>
        <v>1.020753413982479</v>
      </c>
      <c r="AJ49">
        <f t="shared" si="57"/>
        <v>6.0576065522528573E-3</v>
      </c>
      <c r="AK49">
        <f t="shared" si="58"/>
        <v>117.02902617287108</v>
      </c>
      <c r="AL49">
        <f t="shared" si="59"/>
        <v>2.775284914951226</v>
      </c>
      <c r="AM49">
        <f t="shared" si="60"/>
        <v>1.006075990953901</v>
      </c>
      <c r="AN49">
        <f t="shared" si="21"/>
        <v>8.5459618231373755E-3</v>
      </c>
      <c r="AO49">
        <f t="shared" si="22"/>
        <v>20.346257642057711</v>
      </c>
      <c r="AP49">
        <f t="shared" si="23"/>
        <v>9180.4655613145369</v>
      </c>
    </row>
    <row r="50" spans="5:42" x14ac:dyDescent="0.25">
      <c r="E50" s="81">
        <f t="shared" si="31"/>
        <v>1</v>
      </c>
      <c r="F50" s="107">
        <f t="shared" si="24"/>
        <v>0.99779000000000007</v>
      </c>
      <c r="G50" s="107">
        <f t="shared" si="25"/>
        <v>2.1100000000000003E-3</v>
      </c>
      <c r="H50" s="26">
        <f t="shared" si="6"/>
        <v>1E-4</v>
      </c>
      <c r="I50">
        <f t="shared" si="32"/>
        <v>0.9981245424660864</v>
      </c>
      <c r="J50">
        <f t="shared" si="33"/>
        <v>0.15523445566994232</v>
      </c>
      <c r="K50">
        <f t="shared" si="34"/>
        <v>2.3570604496952519E-2</v>
      </c>
      <c r="L50">
        <f t="shared" si="35"/>
        <v>1.3975099088760594E-3</v>
      </c>
      <c r="M50">
        <f t="shared" si="36"/>
        <v>0.63481270226317699</v>
      </c>
      <c r="N50">
        <f t="shared" si="37"/>
        <v>0.20368403740316501</v>
      </c>
      <c r="O50">
        <f t="shared" si="38"/>
        <v>1.3708630608756374E-4</v>
      </c>
      <c r="P50">
        <f t="shared" si="39"/>
        <v>4.0284375533827292</v>
      </c>
      <c r="Q50">
        <f t="shared" si="40"/>
        <v>9.1236287750914133</v>
      </c>
      <c r="R50">
        <f t="shared" si="41"/>
        <v>1.0001370957028446</v>
      </c>
      <c r="S50">
        <f t="shared" si="42"/>
        <v>56.173075214090602</v>
      </c>
      <c r="T50">
        <f t="shared" si="43"/>
        <v>9169.4150628978932</v>
      </c>
      <c r="U50" s="105">
        <f t="shared" si="44"/>
        <v>8.5459618231373755E-3</v>
      </c>
      <c r="V50" s="79">
        <f t="shared" si="45"/>
        <v>20.346257642057711</v>
      </c>
      <c r="W50" s="30">
        <f t="shared" si="46"/>
        <v>9180.4655613145369</v>
      </c>
      <c r="X50" s="107">
        <f t="shared" si="47"/>
        <v>8.5270752475082416E-3</v>
      </c>
      <c r="Y50" s="107">
        <f t="shared" si="30"/>
        <v>4.2930603624741777E-2</v>
      </c>
      <c r="Z50" s="26">
        <f t="shared" si="19"/>
        <v>0.94854232112774994</v>
      </c>
      <c r="AA50" s="109">
        <f t="shared" si="48"/>
        <v>1</v>
      </c>
      <c r="AB50">
        <f t="shared" si="49"/>
        <v>0.10744737351896891</v>
      </c>
      <c r="AC50">
        <f t="shared" si="50"/>
        <v>0.87761570501289232</v>
      </c>
      <c r="AD50">
        <f t="shared" si="51"/>
        <v>0.95879156151362288</v>
      </c>
      <c r="AE50">
        <f t="shared" si="52"/>
        <v>0.52867249603076971</v>
      </c>
      <c r="AF50">
        <f t="shared" si="53"/>
        <v>0.26287672530448647</v>
      </c>
      <c r="AG50">
        <f t="shared" si="54"/>
        <v>3.6556659303534481E-2</v>
      </c>
      <c r="AH50">
        <f t="shared" si="55"/>
        <v>4.7580761663541349</v>
      </c>
      <c r="AI50">
        <f t="shared" si="56"/>
        <v>1.0185911850880114</v>
      </c>
      <c r="AJ50">
        <f t="shared" si="57"/>
        <v>6.3073614230348737E-3</v>
      </c>
      <c r="AK50">
        <f t="shared" si="58"/>
        <v>116.52154206651726</v>
      </c>
      <c r="AL50">
        <f t="shared" si="59"/>
        <v>2.7692905965973149</v>
      </c>
      <c r="AM50">
        <f t="shared" si="60"/>
        <v>1.0063272947138815</v>
      </c>
      <c r="AN50">
        <f t="shared" si="21"/>
        <v>8.5832806360553338E-3</v>
      </c>
      <c r="AO50">
        <f t="shared" si="22"/>
        <v>20.284283376801131</v>
      </c>
      <c r="AP50">
        <f t="shared" si="23"/>
        <v>9111.7622577304101</v>
      </c>
    </row>
    <row r="51" spans="5:42" x14ac:dyDescent="0.25">
      <c r="E51" s="81">
        <f t="shared" si="31"/>
        <v>1</v>
      </c>
      <c r="F51" s="107">
        <f t="shared" si="24"/>
        <v>0.99768999999999997</v>
      </c>
      <c r="G51" s="107">
        <f t="shared" si="25"/>
        <v>2.2100000000000002E-3</v>
      </c>
      <c r="H51" s="26">
        <f t="shared" si="6"/>
        <v>1E-4</v>
      </c>
      <c r="I51">
        <f t="shared" si="32"/>
        <v>0.99803993632963128</v>
      </c>
      <c r="J51">
        <f t="shared" si="33"/>
        <v>0.15531911811425042</v>
      </c>
      <c r="K51">
        <f t="shared" si="34"/>
        <v>2.3591718347701136E-2</v>
      </c>
      <c r="L51">
        <f t="shared" si="35"/>
        <v>1.4612378211656268E-3</v>
      </c>
      <c r="M51">
        <f t="shared" si="36"/>
        <v>0.63474908310880385</v>
      </c>
      <c r="N51">
        <f t="shared" si="37"/>
        <v>0.20374492781676012</v>
      </c>
      <c r="O51">
        <f t="shared" si="38"/>
        <v>1.4909428248419953E-4</v>
      </c>
      <c r="P51">
        <f t="shared" si="39"/>
        <v>4.0232337127740765</v>
      </c>
      <c r="Q51">
        <f t="shared" si="40"/>
        <v>9.1163812098325323</v>
      </c>
      <c r="R51">
        <f t="shared" si="41"/>
        <v>1.0001491053975891</v>
      </c>
      <c r="S51">
        <f t="shared" si="42"/>
        <v>55.881518748809903</v>
      </c>
      <c r="T51">
        <f t="shared" si="43"/>
        <v>9103.199369965123</v>
      </c>
      <c r="U51" s="105">
        <f t="shared" si="44"/>
        <v>8.5832806360553338E-3</v>
      </c>
      <c r="V51" s="79">
        <f t="shared" si="45"/>
        <v>20.284283376801131</v>
      </c>
      <c r="W51" s="30">
        <f t="shared" si="46"/>
        <v>9111.7622577304101</v>
      </c>
      <c r="X51" s="107">
        <f t="shared" si="47"/>
        <v>8.5634532577860464E-3</v>
      </c>
      <c r="Y51" s="107">
        <f t="shared" si="30"/>
        <v>4.4828266262730503E-2</v>
      </c>
      <c r="Z51" s="26">
        <f t="shared" si="19"/>
        <v>0.94660828047948342</v>
      </c>
      <c r="AA51" s="109">
        <f t="shared" si="48"/>
        <v>1</v>
      </c>
      <c r="AB51">
        <f t="shared" si="49"/>
        <v>0.1075876553485349</v>
      </c>
      <c r="AC51">
        <f t="shared" si="50"/>
        <v>0.87781972355721638</v>
      </c>
      <c r="AD51">
        <f t="shared" si="51"/>
        <v>0.95730272645972181</v>
      </c>
      <c r="AE51">
        <f t="shared" si="52"/>
        <v>0.52885967777125009</v>
      </c>
      <c r="AF51">
        <f t="shared" si="53"/>
        <v>0.26237493440141657</v>
      </c>
      <c r="AG51">
        <f t="shared" si="54"/>
        <v>3.8103641457250995E-2</v>
      </c>
      <c r="AH51">
        <f t="shared" si="55"/>
        <v>4.7537571926134969</v>
      </c>
      <c r="AI51">
        <f t="shared" si="56"/>
        <v>1.0164437038983953</v>
      </c>
      <c r="AJ51">
        <f t="shared" si="57"/>
        <v>6.56493526783205E-3</v>
      </c>
      <c r="AK51">
        <f t="shared" si="58"/>
        <v>116.01937379250859</v>
      </c>
      <c r="AL51">
        <f t="shared" si="59"/>
        <v>2.7633499780987987</v>
      </c>
      <c r="AM51">
        <f t="shared" si="60"/>
        <v>1.0065865316892042</v>
      </c>
      <c r="AN51">
        <f t="shared" si="21"/>
        <v>8.6205352839283204E-3</v>
      </c>
      <c r="AO51">
        <f t="shared" si="22"/>
        <v>20.222381960918582</v>
      </c>
      <c r="AP51">
        <f t="shared" si="23"/>
        <v>9043.6331933515739</v>
      </c>
    </row>
    <row r="52" spans="5:42" x14ac:dyDescent="0.25">
      <c r="E52" s="81">
        <f t="shared" si="31"/>
        <v>1</v>
      </c>
      <c r="F52" s="107">
        <f t="shared" si="24"/>
        <v>0.99758999999999998</v>
      </c>
      <c r="G52" s="107">
        <f t="shared" si="25"/>
        <v>2.31E-3</v>
      </c>
      <c r="H52" s="26">
        <f t="shared" si="6"/>
        <v>1E-4</v>
      </c>
      <c r="I52">
        <f t="shared" si="32"/>
        <v>0.99795533019317617</v>
      </c>
      <c r="J52">
        <f t="shared" si="33"/>
        <v>0.15540378055855855</v>
      </c>
      <c r="K52">
        <f t="shared" si="34"/>
        <v>2.3612832198449753E-2</v>
      </c>
      <c r="L52">
        <f t="shared" si="35"/>
        <v>1.524965733455194E-3</v>
      </c>
      <c r="M52">
        <f t="shared" si="36"/>
        <v>0.63468546395443071</v>
      </c>
      <c r="N52">
        <f t="shared" si="37"/>
        <v>0.20380581823035523</v>
      </c>
      <c r="O52">
        <f t="shared" si="38"/>
        <v>1.6160425919671258E-4</v>
      </c>
      <c r="P52">
        <f t="shared" si="39"/>
        <v>4.0180388673066654</v>
      </c>
      <c r="Q52">
        <f t="shared" si="40"/>
        <v>9.1091480696954612</v>
      </c>
      <c r="R52">
        <f t="shared" si="41"/>
        <v>1.0001616173178685</v>
      </c>
      <c r="S52">
        <f t="shared" si="42"/>
        <v>55.591975611496927</v>
      </c>
      <c r="T52">
        <f t="shared" si="43"/>
        <v>9037.5922121474669</v>
      </c>
      <c r="U52" s="105">
        <f t="shared" si="44"/>
        <v>8.6205352839283204E-3</v>
      </c>
      <c r="V52" s="79">
        <f t="shared" si="45"/>
        <v>20.222381960918582</v>
      </c>
      <c r="W52" s="30">
        <f t="shared" si="46"/>
        <v>9043.6331933515739</v>
      </c>
      <c r="X52" s="107">
        <f t="shared" si="47"/>
        <v>8.5997597938940532E-3</v>
      </c>
      <c r="Y52" s="107">
        <f t="shared" si="30"/>
        <v>4.6713702329721926E-2</v>
      </c>
      <c r="Z52" s="26">
        <f t="shared" si="19"/>
        <v>0.94468653787638401</v>
      </c>
      <c r="AA52" s="109">
        <f t="shared" si="48"/>
        <v>1</v>
      </c>
      <c r="AB52">
        <f t="shared" si="49"/>
        <v>0.10772718040130277</v>
      </c>
      <c r="AC52">
        <f t="shared" si="50"/>
        <v>0.8780223094747055</v>
      </c>
      <c r="AD52">
        <f t="shared" si="51"/>
        <v>0.95582332475896925</v>
      </c>
      <c r="AE52">
        <f t="shared" si="52"/>
        <v>0.52904556740816799</v>
      </c>
      <c r="AF52">
        <f t="shared" si="53"/>
        <v>0.2618764359432546</v>
      </c>
      <c r="AG52">
        <f t="shared" si="54"/>
        <v>3.9640689437268041E-2</v>
      </c>
      <c r="AH52">
        <f t="shared" si="55"/>
        <v>4.7494679460831062</v>
      </c>
      <c r="AI52">
        <f t="shared" si="56"/>
        <v>1.0143111124256337</v>
      </c>
      <c r="AJ52">
        <f t="shared" si="57"/>
        <v>6.8301502372205237E-3</v>
      </c>
      <c r="AK52">
        <f t="shared" si="58"/>
        <v>115.52280381285138</v>
      </c>
      <c r="AL52">
        <f t="shared" si="59"/>
        <v>2.7574631608184932</v>
      </c>
      <c r="AM52">
        <f t="shared" si="60"/>
        <v>1.0068535289096578</v>
      </c>
      <c r="AN52">
        <f t="shared" si="21"/>
        <v>8.6576986041487086E-3</v>
      </c>
      <c r="AO52">
        <f t="shared" si="22"/>
        <v>20.160550610944753</v>
      </c>
      <c r="AP52">
        <f t="shared" si="23"/>
        <v>8976.0744265697303</v>
      </c>
    </row>
    <row r="53" spans="5:42" x14ac:dyDescent="0.25">
      <c r="E53" s="81">
        <f t="shared" si="31"/>
        <v>1</v>
      </c>
      <c r="F53" s="107">
        <f t="shared" si="24"/>
        <v>0.99748999999999999</v>
      </c>
      <c r="G53" s="107">
        <f t="shared" si="25"/>
        <v>2.4099999999999998E-3</v>
      </c>
      <c r="H53" s="26">
        <f t="shared" si="6"/>
        <v>1E-4</v>
      </c>
      <c r="I53">
        <f t="shared" si="32"/>
        <v>0.99787072405672106</v>
      </c>
      <c r="J53">
        <f t="shared" si="33"/>
        <v>0.15548844300286668</v>
      </c>
      <c r="K53">
        <f t="shared" si="34"/>
        <v>2.363394604919837E-2</v>
      </c>
      <c r="L53">
        <f t="shared" si="35"/>
        <v>1.588693645744761E-3</v>
      </c>
      <c r="M53">
        <f t="shared" si="36"/>
        <v>0.63462184480005757</v>
      </c>
      <c r="N53">
        <f t="shared" si="37"/>
        <v>0.20386670864395037</v>
      </c>
      <c r="O53">
        <f t="shared" si="38"/>
        <v>1.7461458510336687E-4</v>
      </c>
      <c r="P53">
        <f t="shared" si="39"/>
        <v>4.0128529968625051</v>
      </c>
      <c r="Q53">
        <f t="shared" si="40"/>
        <v>9.1019293166594988</v>
      </c>
      <c r="R53">
        <f t="shared" si="41"/>
        <v>1.0001746298311174</v>
      </c>
      <c r="S53">
        <f t="shared" si="42"/>
        <v>55.304429062237887</v>
      </c>
      <c r="T53">
        <f t="shared" si="43"/>
        <v>8972.5869765861498</v>
      </c>
      <c r="U53" s="105">
        <f t="shared" si="44"/>
        <v>8.6576986041487086E-3</v>
      </c>
      <c r="V53" s="79">
        <f t="shared" si="45"/>
        <v>20.160550610944753</v>
      </c>
      <c r="W53" s="30">
        <f t="shared" si="46"/>
        <v>8976.0744265697303</v>
      </c>
      <c r="X53" s="107">
        <f t="shared" si="47"/>
        <v>8.6359677806522959E-3</v>
      </c>
      <c r="Y53" s="107">
        <f t="shared" si="30"/>
        <v>4.8586926972376848E-2</v>
      </c>
      <c r="Z53" s="26">
        <f t="shared" si="19"/>
        <v>0.94277710524697078</v>
      </c>
      <c r="AA53" s="109">
        <f t="shared" si="48"/>
        <v>0.99999999999999989</v>
      </c>
      <c r="AB53">
        <f t="shared" si="49"/>
        <v>0.10786592509462579</v>
      </c>
      <c r="AC53">
        <f t="shared" si="50"/>
        <v>0.87822348423959518</v>
      </c>
      <c r="AD53">
        <f t="shared" si="51"/>
        <v>0.95435337126324471</v>
      </c>
      <c r="AE53">
        <f t="shared" si="52"/>
        <v>0.52923018089851082</v>
      </c>
      <c r="AF53">
        <f t="shared" si="53"/>
        <v>0.26138121594261998</v>
      </c>
      <c r="AG53">
        <f t="shared" si="54"/>
        <v>4.1167810051885238E-2</v>
      </c>
      <c r="AH53">
        <f t="shared" si="55"/>
        <v>4.7452104276725748</v>
      </c>
      <c r="AI53">
        <f t="shared" si="56"/>
        <v>1.0121934949425047</v>
      </c>
      <c r="AJ53">
        <f t="shared" si="57"/>
        <v>7.1028368858595927E-3</v>
      </c>
      <c r="AK53">
        <f t="shared" si="58"/>
        <v>115.03200887438958</v>
      </c>
      <c r="AL53">
        <f t="shared" si="59"/>
        <v>2.7516300869094779</v>
      </c>
      <c r="AM53">
        <f t="shared" si="60"/>
        <v>1.007128121861341</v>
      </c>
      <c r="AN53">
        <f t="shared" si="21"/>
        <v>8.6947506143552501E-3</v>
      </c>
      <c r="AO53">
        <f t="shared" si="22"/>
        <v>20.098787742342807</v>
      </c>
      <c r="AP53">
        <f t="shared" si="23"/>
        <v>8909.0819547400879</v>
      </c>
    </row>
    <row r="54" spans="5:42" x14ac:dyDescent="0.25">
      <c r="E54" s="81">
        <f t="shared" si="31"/>
        <v>1</v>
      </c>
      <c r="F54" s="107">
        <f t="shared" si="24"/>
        <v>0.99739</v>
      </c>
      <c r="G54" s="107">
        <f t="shared" si="25"/>
        <v>2.5099999999999996E-3</v>
      </c>
      <c r="H54" s="26">
        <f t="shared" si="6"/>
        <v>1E-4</v>
      </c>
      <c r="I54">
        <f t="shared" si="32"/>
        <v>0.99778611792026606</v>
      </c>
      <c r="J54">
        <f t="shared" si="33"/>
        <v>0.15557310544717484</v>
      </c>
      <c r="K54">
        <f t="shared" si="34"/>
        <v>2.3655059899946988E-2</v>
      </c>
      <c r="L54">
        <f t="shared" si="35"/>
        <v>1.6524215580343282E-3</v>
      </c>
      <c r="M54">
        <f t="shared" si="36"/>
        <v>0.63455822564568454</v>
      </c>
      <c r="N54">
        <f t="shared" si="37"/>
        <v>0.20392759905754548</v>
      </c>
      <c r="O54">
        <f t="shared" si="38"/>
        <v>1.8812361448740833E-4</v>
      </c>
      <c r="P54">
        <f t="shared" si="39"/>
        <v>4.0076760813790848</v>
      </c>
      <c r="Q54">
        <f t="shared" si="40"/>
        <v>9.0947249128315679</v>
      </c>
      <c r="R54">
        <f t="shared" si="41"/>
        <v>1.0001881413108442</v>
      </c>
      <c r="S54">
        <f t="shared" si="42"/>
        <v>55.018862521821973</v>
      </c>
      <c r="T54">
        <f t="shared" si="43"/>
        <v>8908.1771324800757</v>
      </c>
      <c r="U54" s="105">
        <f t="shared" si="44"/>
        <v>8.6947506143552501E-3</v>
      </c>
      <c r="V54" s="79">
        <f t="shared" si="45"/>
        <v>20.098787742342807</v>
      </c>
      <c r="W54" s="30">
        <f t="shared" si="46"/>
        <v>8909.0819547400879</v>
      </c>
      <c r="X54" s="107">
        <f t="shared" si="47"/>
        <v>8.6720573152517834E-3</v>
      </c>
      <c r="Y54" s="107">
        <f t="shared" si="30"/>
        <v>5.0447957233280438E-2</v>
      </c>
      <c r="Z54" s="26">
        <f t="shared" si="19"/>
        <v>0.94087998545146778</v>
      </c>
      <c r="AA54" s="109">
        <f t="shared" si="48"/>
        <v>1</v>
      </c>
      <c r="AB54">
        <f t="shared" si="49"/>
        <v>0.10800387242756274</v>
      </c>
      <c r="AC54">
        <f t="shared" si="50"/>
        <v>0.87842326435482299</v>
      </c>
      <c r="AD54">
        <f t="shared" si="51"/>
        <v>0.95289287236525477</v>
      </c>
      <c r="AE54">
        <f t="shared" si="52"/>
        <v>0.52941353061481833</v>
      </c>
      <c r="AF54">
        <f t="shared" si="53"/>
        <v>0.26088926251383143</v>
      </c>
      <c r="AG54">
        <f t="shared" si="54"/>
        <v>4.2685013099438125E-2</v>
      </c>
      <c r="AH54">
        <f t="shared" si="55"/>
        <v>4.7409860142228331</v>
      </c>
      <c r="AI54">
        <f t="shared" si="56"/>
        <v>1.01009089444801</v>
      </c>
      <c r="AJ54">
        <f t="shared" si="57"/>
        <v>7.3828320551229103E-3</v>
      </c>
      <c r="AK54">
        <f t="shared" si="58"/>
        <v>114.54709107672302</v>
      </c>
      <c r="AL54">
        <f t="shared" si="59"/>
        <v>2.74585058624778</v>
      </c>
      <c r="AM54">
        <f t="shared" si="60"/>
        <v>1.0074101523520362</v>
      </c>
      <c r="AN54">
        <f t="shared" si="21"/>
        <v>8.7316764826522193E-3</v>
      </c>
      <c r="AO54">
        <f t="shared" si="22"/>
        <v>20.037092621636617</v>
      </c>
      <c r="AP54">
        <f t="shared" si="23"/>
        <v>8842.6517359209047</v>
      </c>
    </row>
    <row r="55" spans="5:42" x14ac:dyDescent="0.25">
      <c r="E55" s="81">
        <f t="shared" si="31"/>
        <v>1</v>
      </c>
      <c r="F55" s="107">
        <f t="shared" si="24"/>
        <v>0.99729000000000001</v>
      </c>
      <c r="G55" s="107">
        <f t="shared" si="25"/>
        <v>2.6099999999999995E-3</v>
      </c>
      <c r="H55" s="26">
        <f t="shared" si="6"/>
        <v>1E-4</v>
      </c>
      <c r="I55">
        <f t="shared" si="32"/>
        <v>0.99770151178381095</v>
      </c>
      <c r="J55">
        <f t="shared" si="33"/>
        <v>0.15565776789148297</v>
      </c>
      <c r="K55">
        <f t="shared" si="34"/>
        <v>2.3676173750695605E-2</v>
      </c>
      <c r="L55">
        <f t="shared" si="35"/>
        <v>1.7161494703238954E-3</v>
      </c>
      <c r="M55">
        <f t="shared" si="36"/>
        <v>0.63449460649131129</v>
      </c>
      <c r="N55">
        <f t="shared" si="37"/>
        <v>0.20398848947114062</v>
      </c>
      <c r="O55">
        <f t="shared" si="38"/>
        <v>2.0212970701750363E-4</v>
      </c>
      <c r="P55">
        <f t="shared" si="39"/>
        <v>4.0025081008491936</v>
      </c>
      <c r="Q55">
        <f t="shared" si="40"/>
        <v>9.0875348204457111</v>
      </c>
      <c r="R55">
        <f t="shared" si="41"/>
        <v>1.0002021501366032</v>
      </c>
      <c r="S55">
        <f t="shared" si="42"/>
        <v>54.735259570004935</v>
      </c>
      <c r="T55">
        <f t="shared" si="43"/>
        <v>8844.3562299484511</v>
      </c>
      <c r="U55" s="105">
        <f t="shared" si="44"/>
        <v>8.7316764826522193E-3</v>
      </c>
      <c r="V55" s="79">
        <f t="shared" si="45"/>
        <v>20.037092621636617</v>
      </c>
      <c r="W55" s="30">
        <f t="shared" si="46"/>
        <v>8842.6517359209047</v>
      </c>
      <c r="X55" s="107">
        <f t="shared" si="47"/>
        <v>8.7080136393842319E-3</v>
      </c>
      <c r="Y55" s="107">
        <f t="shared" si="30"/>
        <v>5.2296811742471562E-2</v>
      </c>
      <c r="Z55" s="26">
        <f t="shared" si="19"/>
        <v>0.93899517461814419</v>
      </c>
      <c r="AA55" s="109">
        <f t="shared" si="48"/>
        <v>1</v>
      </c>
      <c r="AB55">
        <f t="shared" si="49"/>
        <v>0.10814101013289332</v>
      </c>
      <c r="AC55">
        <f t="shared" si="50"/>
        <v>0.87862166278521048</v>
      </c>
      <c r="AD55">
        <f t="shared" si="51"/>
        <v>0.95144182821594303</v>
      </c>
      <c r="AE55">
        <f t="shared" si="52"/>
        <v>0.52959562638337832</v>
      </c>
      <c r="AF55">
        <f t="shared" si="53"/>
        <v>0.26040056521691896</v>
      </c>
      <c r="AG55">
        <f t="shared" si="54"/>
        <v>4.4192310707548164E-2</v>
      </c>
      <c r="AH55">
        <f t="shared" si="55"/>
        <v>4.7367956368757413</v>
      </c>
      <c r="AI55">
        <f t="shared" si="56"/>
        <v>1.0080033243839517</v>
      </c>
      <c r="AJ55">
        <f t="shared" si="57"/>
        <v>7.6699773592572669E-3</v>
      </c>
      <c r="AK55">
        <f t="shared" si="58"/>
        <v>114.06809981905189</v>
      </c>
      <c r="AL55">
        <f t="shared" si="59"/>
        <v>2.7401244097404129</v>
      </c>
      <c r="AM55">
        <f t="shared" si="60"/>
        <v>1.0076994669823023</v>
      </c>
      <c r="AN55">
        <f t="shared" si="21"/>
        <v>8.7684650811509987E-3</v>
      </c>
      <c r="AO55">
        <f t="shared" si="22"/>
        <v>19.97546511955284</v>
      </c>
      <c r="AP55">
        <f t="shared" si="23"/>
        <v>8776.779704403456</v>
      </c>
    </row>
    <row r="56" spans="5:42" x14ac:dyDescent="0.25">
      <c r="E56" s="81">
        <f t="shared" si="31"/>
        <v>1</v>
      </c>
      <c r="F56" s="107">
        <f t="shared" si="24"/>
        <v>0.99719000000000002</v>
      </c>
      <c r="G56" s="107">
        <f t="shared" si="25"/>
        <v>2.7099999999999993E-3</v>
      </c>
      <c r="H56" s="26">
        <f t="shared" si="6"/>
        <v>1E-4</v>
      </c>
      <c r="I56">
        <f t="shared" si="32"/>
        <v>0.99761690564735583</v>
      </c>
      <c r="J56">
        <f t="shared" si="33"/>
        <v>0.15574243033579108</v>
      </c>
      <c r="K56">
        <f t="shared" si="34"/>
        <v>2.3697287601444222E-2</v>
      </c>
      <c r="L56">
        <f t="shared" si="35"/>
        <v>1.7798773826134629E-3</v>
      </c>
      <c r="M56">
        <f t="shared" si="36"/>
        <v>0.63443098733693815</v>
      </c>
      <c r="N56">
        <f t="shared" si="37"/>
        <v>0.20404937988473576</v>
      </c>
      <c r="O56">
        <f t="shared" si="38"/>
        <v>2.1663122772825266E-4</v>
      </c>
      <c r="P56">
        <f t="shared" si="39"/>
        <v>3.9973490353207355</v>
      </c>
      <c r="Q56">
        <f t="shared" si="40"/>
        <v>9.0803590018625453</v>
      </c>
      <c r="R56">
        <f t="shared" si="41"/>
        <v>1.000216654693967</v>
      </c>
      <c r="S56">
        <f t="shared" si="42"/>
        <v>54.453603943793048</v>
      </c>
      <c r="T56">
        <f t="shared" si="43"/>
        <v>8781.1178989103719</v>
      </c>
      <c r="U56" s="105">
        <f t="shared" si="44"/>
        <v>8.7684650811509987E-3</v>
      </c>
      <c r="V56" s="79">
        <f t="shared" si="45"/>
        <v>19.97546511955284</v>
      </c>
      <c r="W56" s="30">
        <f t="shared" si="46"/>
        <v>8776.779704403456</v>
      </c>
      <c r="X56" s="107">
        <f t="shared" si="47"/>
        <v>8.743825694272964E-3</v>
      </c>
      <c r="Y56" s="107">
        <f t="shared" si="30"/>
        <v>5.4133510473988185E-2</v>
      </c>
      <c r="Z56" s="26">
        <f t="shared" si="19"/>
        <v>0.93712266383173881</v>
      </c>
      <c r="AA56" s="109">
        <f t="shared" si="48"/>
        <v>1</v>
      </c>
      <c r="AB56">
        <f t="shared" si="49"/>
        <v>0.10827732935898869</v>
      </c>
      <c r="AC56">
        <f t="shared" si="50"/>
        <v>0.8788186899758138</v>
      </c>
      <c r="AD56">
        <f t="shared" si="51"/>
        <v>0.95000023432263225</v>
      </c>
      <c r="AE56">
        <f t="shared" si="52"/>
        <v>0.52977647622142732</v>
      </c>
      <c r="AF56">
        <f t="shared" si="53"/>
        <v>0.25991511459661604</v>
      </c>
      <c r="AG56">
        <f t="shared" si="54"/>
        <v>4.5689716843112342E-2</v>
      </c>
      <c r="AH56">
        <f t="shared" si="55"/>
        <v>4.7326399078837929</v>
      </c>
      <c r="AI56">
        <f t="shared" si="56"/>
        <v>1.0059307769871757</v>
      </c>
      <c r="AJ56">
        <f t="shared" si="57"/>
        <v>7.9641181019973629E-3</v>
      </c>
      <c r="AK56">
        <f t="shared" si="58"/>
        <v>113.59504732935493</v>
      </c>
      <c r="AL56">
        <f t="shared" si="59"/>
        <v>2.7344512530020095</v>
      </c>
      <c r="AM56">
        <f t="shared" si="60"/>
        <v>1.0079959160487162</v>
      </c>
      <c r="AN56">
        <f t="shared" si="21"/>
        <v>8.8051079532892075E-3</v>
      </c>
      <c r="AO56">
        <f t="shared" si="22"/>
        <v>19.913905535529775</v>
      </c>
      <c r="AP56">
        <f t="shared" si="23"/>
        <v>8711.4617818411698</v>
      </c>
    </row>
    <row r="57" spans="5:42" x14ac:dyDescent="0.25">
      <c r="E57" s="81">
        <f t="shared" si="31"/>
        <v>1</v>
      </c>
      <c r="F57" s="107">
        <f t="shared" si="24"/>
        <v>0.99709000000000003</v>
      </c>
      <c r="G57" s="107">
        <f t="shared" si="25"/>
        <v>2.8099999999999991E-3</v>
      </c>
      <c r="H57" s="26">
        <f t="shared" si="6"/>
        <v>1E-4</v>
      </c>
      <c r="I57">
        <f t="shared" si="32"/>
        <v>0.99753229951090083</v>
      </c>
      <c r="J57">
        <f t="shared" si="33"/>
        <v>0.15582709278009924</v>
      </c>
      <c r="K57">
        <f t="shared" si="34"/>
        <v>2.3718401452192839E-2</v>
      </c>
      <c r="L57">
        <f t="shared" si="35"/>
        <v>1.8436052949030301E-3</v>
      </c>
      <c r="M57">
        <f t="shared" si="36"/>
        <v>0.63436736818256512</v>
      </c>
      <c r="N57">
        <f t="shared" si="37"/>
        <v>0.20411027029833084</v>
      </c>
      <c r="O57">
        <f t="shared" si="38"/>
        <v>2.3162654700078676E-4</v>
      </c>
      <c r="P57">
        <f t="shared" si="39"/>
        <v>3.9921988648965554</v>
      </c>
      <c r="Q57">
        <f t="shared" si="40"/>
        <v>9.0731974195687499</v>
      </c>
      <c r="R57">
        <f t="shared" si="41"/>
        <v>1.0002316533745006</v>
      </c>
      <c r="S57">
        <f t="shared" si="42"/>
        <v>54.173879535748192</v>
      </c>
      <c r="T57">
        <f t="shared" si="43"/>
        <v>8718.455847981757</v>
      </c>
      <c r="U57" s="105">
        <f t="shared" si="44"/>
        <v>8.8051079532892075E-3</v>
      </c>
      <c r="V57" s="79">
        <f t="shared" si="45"/>
        <v>19.913905535529775</v>
      </c>
      <c r="W57" s="30">
        <f t="shared" si="46"/>
        <v>8711.4617818411698</v>
      </c>
      <c r="X57" s="107">
        <f t="shared" si="47"/>
        <v>8.7794850891451358E-3</v>
      </c>
      <c r="Y57" s="107">
        <f t="shared" si="30"/>
        <v>5.5958074554838651E-2</v>
      </c>
      <c r="Z57" s="26">
        <f t="shared" si="19"/>
        <v>0.93526244035601613</v>
      </c>
      <c r="AA57" s="109">
        <f t="shared" si="48"/>
        <v>0.99999999999999989</v>
      </c>
      <c r="AB57">
        <f t="shared" si="49"/>
        <v>0.10841282372785538</v>
      </c>
      <c r="AC57">
        <f t="shared" si="50"/>
        <v>0.87901435457680721</v>
      </c>
      <c r="AD57">
        <f t="shared" si="51"/>
        <v>0.94856808270309434</v>
      </c>
      <c r="AE57">
        <f t="shared" si="52"/>
        <v>0.52995608686154372</v>
      </c>
      <c r="AF57">
        <f t="shared" si="53"/>
        <v>0.25943290185793494</v>
      </c>
      <c r="AG57">
        <f t="shared" si="54"/>
        <v>4.7177246948515737E-2</v>
      </c>
      <c r="AH57">
        <f t="shared" si="55"/>
        <v>4.728519210931279</v>
      </c>
      <c r="AI57">
        <f t="shared" si="56"/>
        <v>1.0038732292544303</v>
      </c>
      <c r="AJ57">
        <f t="shared" si="57"/>
        <v>8.2651025007609465E-3</v>
      </c>
      <c r="AK57">
        <f t="shared" si="58"/>
        <v>113.12791967075484</v>
      </c>
      <c r="AL57">
        <f t="shared" si="59"/>
        <v>2.7288307732116768</v>
      </c>
      <c r="AM57">
        <f t="shared" si="60"/>
        <v>1.0082993527560311</v>
      </c>
      <c r="AN57">
        <f t="shared" si="21"/>
        <v>8.8415985751842171E-3</v>
      </c>
      <c r="AO57">
        <f t="shared" si="22"/>
        <v>19.852414472733557</v>
      </c>
      <c r="AP57">
        <f t="shared" si="23"/>
        <v>8646.6938852546118</v>
      </c>
    </row>
    <row r="58" spans="5:42" x14ac:dyDescent="0.25">
      <c r="E58" s="81">
        <f t="shared" ref="E58:E73" si="61">SUM(F58:H58)</f>
        <v>1</v>
      </c>
      <c r="F58" s="107">
        <f t="shared" si="24"/>
        <v>0.99699000000000004</v>
      </c>
      <c r="G58" s="107">
        <f t="shared" si="25"/>
        <v>2.909999999999999E-3</v>
      </c>
      <c r="H58" s="26">
        <f t="shared" si="6"/>
        <v>1E-4</v>
      </c>
      <c r="I58">
        <f t="shared" ref="I58:I73" si="62">F58+$N$23*G58+$P$23*H58</f>
        <v>0.99744769337444572</v>
      </c>
      <c r="J58">
        <f t="shared" ref="J58:J73" si="63">$M$23*F58+G58+$R$23*H58</f>
        <v>0.15591175522440737</v>
      </c>
      <c r="K58">
        <f t="shared" ref="K58:K73" si="64">$O$23*F58+$Q$23*G58+H58</f>
        <v>2.3739515302941456E-2</v>
      </c>
      <c r="L58">
        <f t="shared" ref="L58:L73" si="65">G58*$H$23*$N$23+H58*$J$23*$P$23</f>
        <v>1.9073332071925973E-3</v>
      </c>
      <c r="M58">
        <f t="shared" ref="M58:M73" si="66">F58*$G$23*$M$23+H58*$L$23*$R$23</f>
        <v>0.63430374902819198</v>
      </c>
      <c r="N58">
        <f t="shared" ref="N58:N73" si="67">F58*$I$23*$O$23+G58*$K$23*$Q$23</f>
        <v>0.20417116071192598</v>
      </c>
      <c r="O58">
        <f t="shared" ref="O58:O73" si="68">L58/I58-F58*L58/I58^2+(G58*$M$23/J58)*($G$23-M58/J58)+(H58*$O$23/K58)*($I$23-N58/K58)</f>
        <v>2.4711404054343015E-4</v>
      </c>
      <c r="P58">
        <f t="shared" ref="P58:P73" si="69">M58/J58-G58*M58/J58^2+(F58*$N$23/I58)*($H$243-L58/I58)+(H58*$Q$23/K58)*($K$23-N58/K58)</f>
        <v>3.9870575697342541</v>
      </c>
      <c r="Q58">
        <f t="shared" ref="Q58:Q73" si="70">N58/K58-H58*N58/K58+F58*$P$23/I58*($J$23-L58/I58)+G58*$R$23/J58*($L$23-M58/J58)</f>
        <v>9.0660500361765468</v>
      </c>
      <c r="R58">
        <f t="shared" ref="R58:R73" si="71">EXP(O58)</f>
        <v>1.000247144575733</v>
      </c>
      <c r="S58">
        <f t="shared" ref="S58:S73" si="72">EXP(P58)</f>
        <v>53.896070392312424</v>
      </c>
      <c r="T58">
        <f t="shared" ref="T58:T73" si="73">EXP(Q58)</f>
        <v>8656.3638633889605</v>
      </c>
      <c r="U58" s="105">
        <f t="shared" ref="U58:U73" si="74">AN57</f>
        <v>8.8415985751842171E-3</v>
      </c>
      <c r="V58" s="79">
        <f t="shared" ref="V58:V73" si="75">AO57</f>
        <v>19.852414472733557</v>
      </c>
      <c r="W58" s="30">
        <f t="shared" ref="W58:W73" si="76">AP57</f>
        <v>8646.6938852546118</v>
      </c>
      <c r="X58" s="107">
        <f t="shared" ref="X58:X73" si="77">U58*F58</f>
        <v>8.8149853634729124E-3</v>
      </c>
      <c r="Y58" s="107">
        <f t="shared" si="30"/>
        <v>5.7770526115654627E-2</v>
      </c>
      <c r="Z58" s="26">
        <f t="shared" si="19"/>
        <v>0.9334144885208725</v>
      </c>
      <c r="AA58" s="109">
        <f t="shared" ref="AA58:AA73" si="78">SUM(X58:Z58)</f>
        <v>1</v>
      </c>
      <c r="AB58">
        <f t="shared" ref="AB58:AB73" si="79">X58+$N$23*Y58+$P$23*Z58</f>
        <v>0.10854748866071887</v>
      </c>
      <c r="AC58">
        <f t="shared" ref="AC58:AC73" si="80">$M$23*X58+Y58+$R$23*Z58</f>
        <v>0.87920866396038055</v>
      </c>
      <c r="AD58">
        <f t="shared" ref="AD58:AD73" si="81">$O$23*X58+$Q$23*Y58+Z58</f>
        <v>0.94714536272069605</v>
      </c>
      <c r="AE58">
        <f t="shared" ref="AE58:AE73" si="82">Y58*$H$23*$N$23+Z58*$J$23*$P$23</f>
        <v>0.53013446412531695</v>
      </c>
      <c r="AF58">
        <f t="shared" ref="AF58:AF73" si="83">X58*$G$23*$M$23+Z58*$L$23*$R$23</f>
        <v>0.25895391863758738</v>
      </c>
      <c r="AG58">
        <f t="shared" ref="AG58:AG73" si="84">X58*$I$23*$O$23+Y58*$K$23*$Q$23</f>
        <v>4.8654917671125952E-2</v>
      </c>
      <c r="AH58">
        <f t="shared" ref="AH58:AH73" si="85">AE58/AB58-X58*AE58/AB58^2+(Y58*$M$23/AC58)*($G$23-AF58/AC58)+(Z58*$O$23/AD58)*($I$23-AG58/AD58)</f>
        <v>4.7244337655870261</v>
      </c>
      <c r="AI58">
        <f t="shared" ref="AI58:AI73" si="86">AF58/AC58-Y58*AF58/AC58^2+(X58*$N$23/AB58)*($H$243-AE58/AB58)+(Z58*$Q$23/AD58)*($K$23-AG58/AD58)</f>
        <v>1.0018306472101681</v>
      </c>
      <c r="AJ58">
        <f t="shared" ref="AJ58:AJ73" si="87">AG58/AD58-Z58*AG58/AD58+X58*$P$23/AB58*($J$23-AE58/AB58)+Y58*$R$23/AC58*($L$23-AF58/AC58)</f>
        <v>8.5727811310275254E-3</v>
      </c>
      <c r="AK58">
        <f t="shared" ref="AK58:AK73" si="88">EXP(AH58)</f>
        <v>112.66668455499327</v>
      </c>
      <c r="AL58">
        <f t="shared" ref="AL58:AL73" si="89">EXP(AI58)</f>
        <v>2.7232626011325718</v>
      </c>
      <c r="AM58">
        <f t="shared" ref="AM58:AM73" si="90">EXP(AJ58)</f>
        <v>1.0086096326505845</v>
      </c>
      <c r="AN58">
        <f t="shared" si="21"/>
        <v>8.8779318263111449E-3</v>
      </c>
      <c r="AO58">
        <f t="shared" si="22"/>
        <v>19.790992748880591</v>
      </c>
      <c r="AP58">
        <f t="shared" si="23"/>
        <v>8582.4719328134852</v>
      </c>
    </row>
    <row r="59" spans="5:42" x14ac:dyDescent="0.25">
      <c r="E59" s="81">
        <f t="shared" si="61"/>
        <v>1</v>
      </c>
      <c r="F59" s="107">
        <f t="shared" si="24"/>
        <v>0.99689000000000005</v>
      </c>
      <c r="G59" s="107">
        <f t="shared" si="25"/>
        <v>3.0099999999999988E-3</v>
      </c>
      <c r="H59" s="26">
        <f t="shared" si="6"/>
        <v>1E-4</v>
      </c>
      <c r="I59">
        <f t="shared" si="62"/>
        <v>0.99736308723799072</v>
      </c>
      <c r="J59">
        <f t="shared" si="63"/>
        <v>0.1559964176687155</v>
      </c>
      <c r="K59">
        <f t="shared" si="64"/>
        <v>2.3760629153690076E-2</v>
      </c>
      <c r="L59">
        <f t="shared" si="65"/>
        <v>1.9710611194821647E-3</v>
      </c>
      <c r="M59">
        <f t="shared" si="66"/>
        <v>0.63424012987381873</v>
      </c>
      <c r="N59">
        <f t="shared" si="67"/>
        <v>0.20423205112552109</v>
      </c>
      <c r="O59">
        <f t="shared" si="68"/>
        <v>2.6309208937246747E-4</v>
      </c>
      <c r="P59">
        <f t="shared" si="69"/>
        <v>3.9819251300460086</v>
      </c>
      <c r="Q59">
        <f t="shared" si="70"/>
        <v>9.0589168144231671</v>
      </c>
      <c r="R59">
        <f t="shared" si="71"/>
        <v>1.0002631267011315</v>
      </c>
      <c r="S59">
        <f t="shared" si="72"/>
        <v>53.620160712152881</v>
      </c>
      <c r="T59">
        <f t="shared" si="73"/>
        <v>8594.8358078987567</v>
      </c>
      <c r="U59" s="105">
        <f t="shared" si="74"/>
        <v>8.8779318263111449E-3</v>
      </c>
      <c r="V59" s="79">
        <f t="shared" si="75"/>
        <v>19.790992748880591</v>
      </c>
      <c r="W59" s="30">
        <f t="shared" si="76"/>
        <v>8582.4719328134852</v>
      </c>
      <c r="X59" s="107">
        <f t="shared" si="77"/>
        <v>8.8503214583313169E-3</v>
      </c>
      <c r="Y59" s="107">
        <f t="shared" si="30"/>
        <v>5.9570888174130553E-2</v>
      </c>
      <c r="Z59" s="26">
        <f t="shared" si="19"/>
        <v>0.9315787903675381</v>
      </c>
      <c r="AA59" s="109">
        <f t="shared" si="78"/>
        <v>1</v>
      </c>
      <c r="AB59">
        <f t="shared" si="79"/>
        <v>0.10868132089422898</v>
      </c>
      <c r="AC59">
        <f t="shared" si="80"/>
        <v>0.87940162458996562</v>
      </c>
      <c r="AD59">
        <f t="shared" si="81"/>
        <v>0.94573206169013313</v>
      </c>
      <c r="AE59">
        <f t="shared" si="82"/>
        <v>0.53031161319006115</v>
      </c>
      <c r="AF59">
        <f t="shared" si="83"/>
        <v>0.25847815684278685</v>
      </c>
      <c r="AG59">
        <f t="shared" si="84"/>
        <v>5.0122746661717309E-2</v>
      </c>
      <c r="AH59">
        <f t="shared" si="85"/>
        <v>4.7203836733843918</v>
      </c>
      <c r="AI59">
        <f t="shared" si="86"/>
        <v>0.99980298896585162</v>
      </c>
      <c r="AJ59">
        <f t="shared" si="87"/>
        <v>8.8870065286231655E-3</v>
      </c>
      <c r="AK59">
        <f t="shared" si="88"/>
        <v>112.21129689786626</v>
      </c>
      <c r="AL59">
        <f t="shared" si="89"/>
        <v>2.7177463496942584</v>
      </c>
      <c r="AM59">
        <f t="shared" si="90"/>
        <v>1.0089266132124861</v>
      </c>
      <c r="AN59">
        <f t="shared" si="21"/>
        <v>8.9141036094749198E-3</v>
      </c>
      <c r="AO59">
        <f t="shared" si="22"/>
        <v>19.729641332490448</v>
      </c>
      <c r="AP59">
        <f t="shared" si="23"/>
        <v>8518.7918480336793</v>
      </c>
    </row>
    <row r="60" spans="5:42" x14ac:dyDescent="0.25">
      <c r="E60" s="81">
        <f t="shared" si="61"/>
        <v>1</v>
      </c>
      <c r="F60" s="107">
        <f t="shared" si="24"/>
        <v>0.99679000000000006</v>
      </c>
      <c r="G60" s="107">
        <f t="shared" si="25"/>
        <v>3.1099999999999986E-3</v>
      </c>
      <c r="H60" s="26">
        <f t="shared" si="6"/>
        <v>1E-4</v>
      </c>
      <c r="I60">
        <f t="shared" si="62"/>
        <v>0.99727848110153561</v>
      </c>
      <c r="J60">
        <f t="shared" si="63"/>
        <v>0.15608108011302363</v>
      </c>
      <c r="K60">
        <f t="shared" si="64"/>
        <v>2.3781743004438693E-2</v>
      </c>
      <c r="L60">
        <f t="shared" si="65"/>
        <v>2.0347890317717319E-3</v>
      </c>
      <c r="M60">
        <f t="shared" si="66"/>
        <v>0.6341765107194457</v>
      </c>
      <c r="N60">
        <f t="shared" si="67"/>
        <v>0.20429294153911623</v>
      </c>
      <c r="O60">
        <f t="shared" si="68"/>
        <v>2.7955907979294859E-4</v>
      </c>
      <c r="P60">
        <f t="shared" si="69"/>
        <v>3.9768015260983987</v>
      </c>
      <c r="Q60">
        <f t="shared" si="70"/>
        <v>9.051797717170361</v>
      </c>
      <c r="R60">
        <f t="shared" si="71"/>
        <v>1.0002795981600741</v>
      </c>
      <c r="S60">
        <f t="shared" si="72"/>
        <v>53.346134844526581</v>
      </c>
      <c r="T60">
        <f t="shared" si="73"/>
        <v>8533.8656197649125</v>
      </c>
      <c r="U60" s="105">
        <f t="shared" si="74"/>
        <v>8.9141036094749198E-3</v>
      </c>
      <c r="V60" s="79">
        <f t="shared" si="75"/>
        <v>19.729641332490448</v>
      </c>
      <c r="W60" s="30">
        <f t="shared" si="76"/>
        <v>8518.7918480336793</v>
      </c>
      <c r="X60" s="107">
        <f t="shared" si="77"/>
        <v>8.8854893368885066E-3</v>
      </c>
      <c r="Y60" s="107">
        <f t="shared" si="30"/>
        <v>6.1359184544045264E-2</v>
      </c>
      <c r="Z60" s="26">
        <f t="shared" si="19"/>
        <v>0.92975532611906619</v>
      </c>
      <c r="AA60" s="109">
        <f t="shared" si="78"/>
        <v>1</v>
      </c>
      <c r="AB60">
        <f t="shared" si="79"/>
        <v>0.1088143181327329</v>
      </c>
      <c r="AC60">
        <f t="shared" si="80"/>
        <v>0.87959324228441527</v>
      </c>
      <c r="AD60">
        <f t="shared" si="81"/>
        <v>0.94432816531787622</v>
      </c>
      <c r="AE60">
        <f t="shared" si="82"/>
        <v>0.53048753877949417</v>
      </c>
      <c r="AF60">
        <f t="shared" si="83"/>
        <v>0.25800560853750731</v>
      </c>
      <c r="AG60">
        <f t="shared" si="84"/>
        <v>5.1580752423837806E-2</v>
      </c>
      <c r="AH60">
        <f t="shared" si="85"/>
        <v>4.7163689508281106</v>
      </c>
      <c r="AI60">
        <f t="shared" si="86"/>
        <v>0.99779020691710651</v>
      </c>
      <c r="AJ60">
        <f t="shared" si="87"/>
        <v>9.2076329054470996E-3</v>
      </c>
      <c r="AK60">
        <f t="shared" si="88"/>
        <v>111.76170277485382</v>
      </c>
      <c r="AL60">
        <f t="shared" si="89"/>
        <v>2.7122816201282713</v>
      </c>
      <c r="AM60">
        <f t="shared" si="90"/>
        <v>1.0092501535619751</v>
      </c>
      <c r="AN60">
        <f t="shared" si="21"/>
        <v>8.9501105774592322E-3</v>
      </c>
      <c r="AO60">
        <f t="shared" si="22"/>
        <v>19.668361297232732</v>
      </c>
      <c r="AP60">
        <f t="shared" si="23"/>
        <v>8455.6495628423727</v>
      </c>
    </row>
    <row r="61" spans="5:42" x14ac:dyDescent="0.25">
      <c r="E61" s="81">
        <f t="shared" si="61"/>
        <v>1</v>
      </c>
      <c r="F61" s="107">
        <f t="shared" si="24"/>
        <v>0.99668999999999996</v>
      </c>
      <c r="G61" s="107">
        <f t="shared" si="25"/>
        <v>3.2099999999999984E-3</v>
      </c>
      <c r="H61" s="26">
        <f t="shared" si="6"/>
        <v>1E-4</v>
      </c>
      <c r="I61">
        <f t="shared" si="62"/>
        <v>0.99719387496508038</v>
      </c>
      <c r="J61">
        <f t="shared" si="63"/>
        <v>0.15616574255733176</v>
      </c>
      <c r="K61">
        <f t="shared" si="64"/>
        <v>2.3802856855187307E-2</v>
      </c>
      <c r="L61">
        <f t="shared" si="65"/>
        <v>2.0985169440612987E-3</v>
      </c>
      <c r="M61">
        <f t="shared" si="66"/>
        <v>0.63411289156507245</v>
      </c>
      <c r="N61">
        <f t="shared" si="67"/>
        <v>0.20435383195271134</v>
      </c>
      <c r="O61">
        <f t="shared" si="68"/>
        <v>2.9651340337962922E-4</v>
      </c>
      <c r="P61">
        <f t="shared" si="69"/>
        <v>3.9716867382122203</v>
      </c>
      <c r="Q61">
        <f t="shared" si="70"/>
        <v>9.0446927074038506</v>
      </c>
      <c r="R61">
        <f t="shared" si="71"/>
        <v>1.000296557367824</v>
      </c>
      <c r="S61">
        <f t="shared" si="72"/>
        <v>53.073977287663993</v>
      </c>
      <c r="T61">
        <f t="shared" si="73"/>
        <v>8473.4473116901972</v>
      </c>
      <c r="U61" s="105">
        <f t="shared" si="74"/>
        <v>8.9501105774592322E-3</v>
      </c>
      <c r="V61" s="79">
        <f t="shared" si="75"/>
        <v>19.668361297232732</v>
      </c>
      <c r="W61" s="30">
        <f t="shared" si="76"/>
        <v>8455.6495628423727</v>
      </c>
      <c r="X61" s="107">
        <f t="shared" si="77"/>
        <v>8.9204857114478422E-3</v>
      </c>
      <c r="Y61" s="107">
        <f t="shared" si="30"/>
        <v>6.3135439764117035E-2</v>
      </c>
      <c r="Z61" s="26">
        <f t="shared" si="19"/>
        <v>0.92794407452443506</v>
      </c>
      <c r="AA61" s="109">
        <f t="shared" si="78"/>
        <v>0.99999999999999989</v>
      </c>
      <c r="AB61">
        <f t="shared" si="79"/>
        <v>0.10894647879785295</v>
      </c>
      <c r="AC61">
        <f t="shared" si="80"/>
        <v>0.87978352240731705</v>
      </c>
      <c r="AD61">
        <f t="shared" si="81"/>
        <v>0.94293365802332785</v>
      </c>
      <c r="AE61">
        <f t="shared" si="82"/>
        <v>0.53066224530025985</v>
      </c>
      <c r="AF61">
        <f t="shared" si="83"/>
        <v>0.25753626586222478</v>
      </c>
      <c r="AG61">
        <f t="shared" si="84"/>
        <v>5.3028954200835463E-2</v>
      </c>
      <c r="AH61">
        <f t="shared" si="85"/>
        <v>4.7123895530815352</v>
      </c>
      <c r="AI61">
        <f t="shared" si="86"/>
        <v>0.9957922493246667</v>
      </c>
      <c r="AJ61">
        <f t="shared" si="87"/>
        <v>9.5345159468342468E-3</v>
      </c>
      <c r="AK61">
        <f t="shared" si="88"/>
        <v>111.31784224121505</v>
      </c>
      <c r="AL61">
        <f t="shared" si="89"/>
        <v>2.706868006358722</v>
      </c>
      <c r="AM61">
        <f t="shared" si="90"/>
        <v>1.0095801142480301</v>
      </c>
      <c r="AN61">
        <f t="shared" si="21"/>
        <v>8.9859499360423964E-3</v>
      </c>
      <c r="AO61">
        <f t="shared" si="22"/>
        <v>19.607153789171676</v>
      </c>
      <c r="AP61">
        <f t="shared" si="23"/>
        <v>8393.0410198318059</v>
      </c>
    </row>
    <row r="62" spans="5:42" x14ac:dyDescent="0.25">
      <c r="E62" s="81">
        <f t="shared" si="61"/>
        <v>1</v>
      </c>
      <c r="F62" s="107">
        <f t="shared" si="24"/>
        <v>0.99658999999999998</v>
      </c>
      <c r="G62" s="107">
        <f t="shared" si="25"/>
        <v>3.3099999999999983E-3</v>
      </c>
      <c r="H62" s="26">
        <f t="shared" si="6"/>
        <v>1E-4</v>
      </c>
      <c r="I62">
        <f t="shared" si="62"/>
        <v>0.99710926882862538</v>
      </c>
      <c r="J62">
        <f t="shared" si="63"/>
        <v>0.15625040500163989</v>
      </c>
      <c r="K62">
        <f t="shared" si="64"/>
        <v>2.3823970705935924E-2</v>
      </c>
      <c r="L62">
        <f t="shared" si="65"/>
        <v>2.1622448563508663E-3</v>
      </c>
      <c r="M62">
        <f t="shared" si="66"/>
        <v>0.6340492724106993</v>
      </c>
      <c r="N62">
        <f t="shared" si="67"/>
        <v>0.20441472236630645</v>
      </c>
      <c r="O62">
        <f t="shared" si="68"/>
        <v>3.1395345695791927E-4</v>
      </c>
      <c r="P62">
        <f t="shared" si="69"/>
        <v>3.9665807467623178</v>
      </c>
      <c r="Q62">
        <f t="shared" si="70"/>
        <v>9.037601748232845</v>
      </c>
      <c r="R62">
        <f t="shared" si="71"/>
        <v>1.0003140027455024</v>
      </c>
      <c r="S62">
        <f t="shared" si="72"/>
        <v>52.803672687172707</v>
      </c>
      <c r="T62">
        <f t="shared" si="73"/>
        <v>8413.5749698046202</v>
      </c>
      <c r="U62" s="105">
        <f t="shared" si="74"/>
        <v>8.9859499360423964E-3</v>
      </c>
      <c r="V62" s="79">
        <f t="shared" si="75"/>
        <v>19.607153789171676</v>
      </c>
      <c r="W62" s="30">
        <f t="shared" si="76"/>
        <v>8393.0410198318059</v>
      </c>
      <c r="X62" s="107">
        <f t="shared" si="77"/>
        <v>8.9553078467604907E-3</v>
      </c>
      <c r="Y62" s="107">
        <f t="shared" si="30"/>
        <v>6.4899679042158209E-2</v>
      </c>
      <c r="Z62" s="26">
        <f t="shared" si="19"/>
        <v>0.92614501311108133</v>
      </c>
      <c r="AA62" s="109">
        <f t="shared" si="78"/>
        <v>1</v>
      </c>
      <c r="AB62">
        <f t="shared" si="79"/>
        <v>0.10907780184777896</v>
      </c>
      <c r="AC62">
        <f t="shared" si="80"/>
        <v>0.87997247000285406</v>
      </c>
      <c r="AD62">
        <f t="shared" si="81"/>
        <v>0.94154852317374937</v>
      </c>
      <c r="AE62">
        <f t="shared" si="82"/>
        <v>0.53083573693980557</v>
      </c>
      <c r="AF62">
        <f t="shared" si="83"/>
        <v>0.25707012097732906</v>
      </c>
      <c r="AG62">
        <f t="shared" si="84"/>
        <v>5.4467371890736381E-2</v>
      </c>
      <c r="AH62">
        <f t="shared" si="85"/>
        <v>4.7084453909977055</v>
      </c>
      <c r="AI62">
        <f t="shared" si="86"/>
        <v>0.99380906145409453</v>
      </c>
      <c r="AJ62">
        <f t="shared" si="87"/>
        <v>9.8675126677567476E-3</v>
      </c>
      <c r="AK62">
        <f t="shared" si="88"/>
        <v>110.87965134460991</v>
      </c>
      <c r="AL62">
        <f t="shared" si="89"/>
        <v>2.7015050981462387</v>
      </c>
      <c r="AM62">
        <f t="shared" si="90"/>
        <v>1.0099163570963592</v>
      </c>
      <c r="AN62">
        <f t="shared" si="21"/>
        <v>9.0216193017830029E-3</v>
      </c>
      <c r="AO62">
        <f t="shared" si="22"/>
        <v>19.54602000322204</v>
      </c>
      <c r="AP62">
        <f t="shared" si="23"/>
        <v>8330.9621739316535</v>
      </c>
    </row>
    <row r="63" spans="5:42" x14ac:dyDescent="0.25">
      <c r="E63" s="81">
        <f t="shared" si="61"/>
        <v>1</v>
      </c>
      <c r="F63" s="107">
        <f t="shared" si="24"/>
        <v>0.99648999999999999</v>
      </c>
      <c r="G63" s="107">
        <f t="shared" si="25"/>
        <v>3.4099999999999981E-3</v>
      </c>
      <c r="H63" s="26">
        <f t="shared" si="6"/>
        <v>1E-4</v>
      </c>
      <c r="I63">
        <f t="shared" si="62"/>
        <v>0.99702466269217027</v>
      </c>
      <c r="J63">
        <f t="shared" si="63"/>
        <v>0.15633506744594802</v>
      </c>
      <c r="K63">
        <f t="shared" si="64"/>
        <v>2.3845084556684541E-2</v>
      </c>
      <c r="L63">
        <f t="shared" si="65"/>
        <v>2.2259727686404335E-3</v>
      </c>
      <c r="M63">
        <f t="shared" si="66"/>
        <v>0.63398565325632628</v>
      </c>
      <c r="N63">
        <f t="shared" si="67"/>
        <v>0.20447561277990156</v>
      </c>
      <c r="O63">
        <f t="shared" si="68"/>
        <v>3.318776425849591E-4</v>
      </c>
      <c r="P63">
        <f t="shared" si="69"/>
        <v>3.961483532177402</v>
      </c>
      <c r="Q63">
        <f t="shared" si="70"/>
        <v>9.0305248028895289</v>
      </c>
      <c r="R63">
        <f t="shared" si="71"/>
        <v>1.0003319327200626</v>
      </c>
      <c r="S63">
        <f t="shared" si="72"/>
        <v>52.535205834459347</v>
      </c>
      <c r="T63">
        <f t="shared" si="73"/>
        <v>8354.2427526588544</v>
      </c>
      <c r="U63" s="105">
        <f t="shared" si="74"/>
        <v>9.0216193017830029E-3</v>
      </c>
      <c r="V63" s="79">
        <f t="shared" si="75"/>
        <v>19.54602000322204</v>
      </c>
      <c r="W63" s="30">
        <f t="shared" si="76"/>
        <v>8330.9621739316535</v>
      </c>
      <c r="X63" s="107">
        <f t="shared" si="77"/>
        <v>8.989953418033745E-3</v>
      </c>
      <c r="Y63" s="107">
        <f t="shared" si="30"/>
        <v>6.6651928210987116E-2</v>
      </c>
      <c r="Z63" s="26">
        <f t="shared" si="19"/>
        <v>0.92435811837097914</v>
      </c>
      <c r="AA63" s="109">
        <f t="shared" si="78"/>
        <v>1</v>
      </c>
      <c r="AB63">
        <f t="shared" si="79"/>
        <v>0.10920828664659885</v>
      </c>
      <c r="AC63">
        <f t="shared" si="80"/>
        <v>0.88016008989342454</v>
      </c>
      <c r="AD63">
        <f t="shared" si="81"/>
        <v>0.94017274325674649</v>
      </c>
      <c r="AE63">
        <f t="shared" si="82"/>
        <v>0.53100801773662987</v>
      </c>
      <c r="AF63">
        <f t="shared" si="83"/>
        <v>0.25660716602329525</v>
      </c>
      <c r="AG63">
        <f t="shared" si="84"/>
        <v>5.5896025981733065E-2</v>
      </c>
      <c r="AH63">
        <f t="shared" si="85"/>
        <v>4.7045363433875709</v>
      </c>
      <c r="AI63">
        <f t="shared" si="86"/>
        <v>0.99184058639896711</v>
      </c>
      <c r="AJ63">
        <f t="shared" si="87"/>
        <v>1.0206481311494599E-2</v>
      </c>
      <c r="AK63">
        <f t="shared" si="88"/>
        <v>110.4470635624785</v>
      </c>
      <c r="AL63">
        <f t="shared" si="89"/>
        <v>2.6961924833395852</v>
      </c>
      <c r="AM63">
        <f t="shared" si="90"/>
        <v>1.0102587451003331</v>
      </c>
      <c r="AN63">
        <f t="shared" si="21"/>
        <v>9.0571165991587231E-3</v>
      </c>
      <c r="AO63">
        <f t="shared" si="22"/>
        <v>19.484961166195248</v>
      </c>
      <c r="AP63">
        <f t="shared" si="23"/>
        <v>8269.4089936624696</v>
      </c>
    </row>
    <row r="64" spans="5:42" x14ac:dyDescent="0.25">
      <c r="E64" s="81">
        <f t="shared" si="61"/>
        <v>1</v>
      </c>
      <c r="F64" s="107">
        <f t="shared" si="24"/>
        <v>0.99639</v>
      </c>
      <c r="G64" s="107">
        <f t="shared" si="25"/>
        <v>3.5099999999999979E-3</v>
      </c>
      <c r="H64" s="26">
        <f t="shared" si="6"/>
        <v>1E-4</v>
      </c>
      <c r="I64">
        <f t="shared" si="62"/>
        <v>0.99694005655571527</v>
      </c>
      <c r="J64">
        <f t="shared" si="63"/>
        <v>0.15641972989025615</v>
      </c>
      <c r="K64">
        <f t="shared" si="64"/>
        <v>2.3866198407433158E-2</v>
      </c>
      <c r="L64">
        <f t="shared" si="65"/>
        <v>2.2897006809300007E-3</v>
      </c>
      <c r="M64">
        <f t="shared" si="66"/>
        <v>0.63392203410195314</v>
      </c>
      <c r="N64">
        <f t="shared" si="67"/>
        <v>0.2045365031934967</v>
      </c>
      <c r="O64">
        <f t="shared" si="68"/>
        <v>3.502843675307738E-4</v>
      </c>
      <c r="P64">
        <f t="shared" si="69"/>
        <v>3.9563950749398713</v>
      </c>
      <c r="Q64">
        <f t="shared" si="70"/>
        <v>9.0234618347285505</v>
      </c>
      <c r="R64">
        <f t="shared" si="71"/>
        <v>1.0003503457242637</v>
      </c>
      <c r="S64">
        <f t="shared" si="72"/>
        <v>52.268561665170168</v>
      </c>
      <c r="T64">
        <f t="shared" si="73"/>
        <v>8295.4448902328186</v>
      </c>
      <c r="U64" s="105">
        <f t="shared" si="74"/>
        <v>9.0571165991587231E-3</v>
      </c>
      <c r="V64" s="79">
        <f t="shared" si="75"/>
        <v>19.484961166195248</v>
      </c>
      <c r="W64" s="30">
        <f t="shared" si="76"/>
        <v>8269.4089936624696</v>
      </c>
      <c r="X64" s="107">
        <f t="shared" si="77"/>
        <v>9.0244204082357594E-3</v>
      </c>
      <c r="Y64" s="107">
        <f t="shared" si="30"/>
        <v>6.8392213693345277E-2</v>
      </c>
      <c r="Z64" s="26">
        <f t="shared" si="19"/>
        <v>0.92258336589841894</v>
      </c>
      <c r="AA64" s="109">
        <f t="shared" si="78"/>
        <v>1</v>
      </c>
      <c r="AB64">
        <f t="shared" si="79"/>
        <v>0.1093379328696112</v>
      </c>
      <c r="AC64">
        <f t="shared" si="80"/>
        <v>0.88034638674985966</v>
      </c>
      <c r="AD64">
        <f t="shared" si="81"/>
        <v>0.9388063000074679</v>
      </c>
      <c r="AE64">
        <f t="shared" si="82"/>
        <v>0.53117909163074239</v>
      </c>
      <c r="AF64">
        <f t="shared" si="83"/>
        <v>0.25614739309274515</v>
      </c>
      <c r="AG64">
        <f t="shared" si="84"/>
        <v>5.7314937502933462E-2</v>
      </c>
      <c r="AH64">
        <f t="shared" si="85"/>
        <v>4.7006622658738095</v>
      </c>
      <c r="AI64">
        <f t="shared" si="86"/>
        <v>0.98988676567657463</v>
      </c>
      <c r="AJ64">
        <f t="shared" si="87"/>
        <v>1.055128127899636E-2</v>
      </c>
      <c r="AK64">
        <f t="shared" si="88"/>
        <v>110.02001082888378</v>
      </c>
      <c r="AL64">
        <f t="shared" si="89"/>
        <v>2.6909297494874758</v>
      </c>
      <c r="AM64">
        <f t="shared" si="90"/>
        <v>1.0106071423430394</v>
      </c>
      <c r="AN64">
        <f t="shared" si="21"/>
        <v>9.0924399860324284E-3</v>
      </c>
      <c r="AO64">
        <f t="shared" si="22"/>
        <v>19.423978524569595</v>
      </c>
      <c r="AP64">
        <f t="shared" si="23"/>
        <v>8208.3774620870645</v>
      </c>
    </row>
    <row r="65" spans="5:53" x14ac:dyDescent="0.25">
      <c r="E65" s="81">
        <f t="shared" si="61"/>
        <v>1</v>
      </c>
      <c r="F65" s="107">
        <f t="shared" si="24"/>
        <v>0.99629000000000001</v>
      </c>
      <c r="G65" s="107">
        <f t="shared" si="25"/>
        <v>3.6099999999999978E-3</v>
      </c>
      <c r="H65" s="26">
        <f t="shared" si="6"/>
        <v>1E-4</v>
      </c>
      <c r="I65">
        <f t="shared" si="62"/>
        <v>0.99685545041926016</v>
      </c>
      <c r="J65">
        <f t="shared" si="63"/>
        <v>0.15650439233456431</v>
      </c>
      <c r="K65">
        <f t="shared" si="64"/>
        <v>2.3887312258181775E-2</v>
      </c>
      <c r="L65">
        <f t="shared" si="65"/>
        <v>2.3534285932195679E-3</v>
      </c>
      <c r="M65">
        <f t="shared" si="66"/>
        <v>0.63385841494757988</v>
      </c>
      <c r="N65">
        <f t="shared" si="67"/>
        <v>0.20459739360709181</v>
      </c>
      <c r="O65">
        <f t="shared" si="68"/>
        <v>3.6917204425945642E-4</v>
      </c>
      <c r="P65">
        <f t="shared" si="69"/>
        <v>3.9513153555856415</v>
      </c>
      <c r="Q65">
        <f t="shared" si="70"/>
        <v>9.0164128072265139</v>
      </c>
      <c r="R65">
        <f t="shared" si="71"/>
        <v>1.0003692401966451</v>
      </c>
      <c r="S65">
        <f t="shared" si="72"/>
        <v>52.003725257650693</v>
      </c>
      <c r="T65">
        <f t="shared" si="73"/>
        <v>8237.1756829592305</v>
      </c>
      <c r="U65" s="105">
        <f t="shared" si="74"/>
        <v>9.0924399860324284E-3</v>
      </c>
      <c r="V65" s="79">
        <f t="shared" si="75"/>
        <v>19.423978524569595</v>
      </c>
      <c r="W65" s="30">
        <f t="shared" si="76"/>
        <v>8208.3774620870645</v>
      </c>
      <c r="X65" s="107">
        <f t="shared" si="77"/>
        <v>9.0587070336842473E-3</v>
      </c>
      <c r="Y65" s="107">
        <f t="shared" si="30"/>
        <v>7.0120562473696191E-2</v>
      </c>
      <c r="Z65" s="26">
        <f t="shared" si="19"/>
        <v>0.92082073049261948</v>
      </c>
      <c r="AA65" s="109">
        <f t="shared" si="78"/>
        <v>0.99999999999999989</v>
      </c>
      <c r="AB65">
        <f t="shared" si="79"/>
        <v>0.10946674043455901</v>
      </c>
      <c r="AC65">
        <f t="shared" si="80"/>
        <v>0.88053136514196284</v>
      </c>
      <c r="AD65">
        <f t="shared" si="81"/>
        <v>0.93744917450290044</v>
      </c>
      <c r="AE65">
        <f t="shared" si="82"/>
        <v>0.5313489624999238</v>
      </c>
      <c r="AF65">
        <f t="shared" si="83"/>
        <v>0.25569079421095858</v>
      </c>
      <c r="AG65">
        <f t="shared" si="84"/>
        <v>5.8724127986418309E-2</v>
      </c>
      <c r="AH65">
        <f t="shared" si="85"/>
        <v>4.6968229972923954</v>
      </c>
      <c r="AI65">
        <f t="shared" si="86"/>
        <v>0.98794753965981441</v>
      </c>
      <c r="AJ65">
        <f t="shared" si="87"/>
        <v>1.0901773080438932E-2</v>
      </c>
      <c r="AK65">
        <f t="shared" si="88"/>
        <v>109.59842426784878</v>
      </c>
      <c r="AL65">
        <f t="shared" si="89"/>
        <v>2.6857164849908171</v>
      </c>
      <c r="AM65">
        <f t="shared" si="90"/>
        <v>1.0109614139419287</v>
      </c>
      <c r="AN65">
        <f t="shared" si="21"/>
        <v>9.1275877995456549E-3</v>
      </c>
      <c r="AO65">
        <f t="shared" si="22"/>
        <v>19.363073335653485</v>
      </c>
      <c r="AP65">
        <f t="shared" si="23"/>
        <v>8147.8635775434132</v>
      </c>
    </row>
    <row r="66" spans="5:53" x14ac:dyDescent="0.25">
      <c r="E66" s="81">
        <f t="shared" si="61"/>
        <v>1</v>
      </c>
      <c r="F66" s="107">
        <f t="shared" si="24"/>
        <v>0.99619000000000002</v>
      </c>
      <c r="G66" s="107">
        <f t="shared" si="25"/>
        <v>3.7099999999999976E-3</v>
      </c>
      <c r="H66" s="26">
        <f t="shared" si="6"/>
        <v>1E-4</v>
      </c>
      <c r="I66">
        <f t="shared" si="62"/>
        <v>0.99677084428280505</v>
      </c>
      <c r="J66">
        <f t="shared" si="63"/>
        <v>0.15658905477887242</v>
      </c>
      <c r="K66">
        <f t="shared" si="64"/>
        <v>2.3908426108930389E-2</v>
      </c>
      <c r="L66">
        <f t="shared" si="65"/>
        <v>2.4171565055091352E-3</v>
      </c>
      <c r="M66">
        <f t="shared" si="66"/>
        <v>0.63379479579320686</v>
      </c>
      <c r="N66">
        <f t="shared" si="67"/>
        <v>0.20465828402068692</v>
      </c>
      <c r="O66">
        <f t="shared" si="68"/>
        <v>3.8853909041046148E-4</v>
      </c>
      <c r="P66">
        <f t="shared" si="69"/>
        <v>3.9462443547039752</v>
      </c>
      <c r="Q66">
        <f t="shared" si="70"/>
        <v>9.0093776839814961</v>
      </c>
      <c r="R66">
        <f t="shared" si="71"/>
        <v>1.0003886145814995</v>
      </c>
      <c r="S66">
        <f t="shared" si="72"/>
        <v>51.740681831423366</v>
      </c>
      <c r="T66">
        <f t="shared" si="73"/>
        <v>8179.4295007620149</v>
      </c>
      <c r="U66" s="105">
        <f t="shared" si="74"/>
        <v>9.1275877995456549E-3</v>
      </c>
      <c r="V66" s="79">
        <f t="shared" si="75"/>
        <v>19.363073335653485</v>
      </c>
      <c r="W66" s="30">
        <f t="shared" si="76"/>
        <v>8147.8635775434132</v>
      </c>
      <c r="X66" s="107">
        <f t="shared" si="77"/>
        <v>9.0928116900293853E-3</v>
      </c>
      <c r="Y66" s="107">
        <f t="shared" si="30"/>
        <v>7.1837002075274381E-2</v>
      </c>
      <c r="Z66" s="26">
        <f t="shared" si="19"/>
        <v>0.91907018623469627</v>
      </c>
      <c r="AA66" s="109">
        <f t="shared" si="78"/>
        <v>1</v>
      </c>
      <c r="AB66">
        <f t="shared" si="79"/>
        <v>0.10959470945156993</v>
      </c>
      <c r="AC66">
        <f t="shared" si="80"/>
        <v>0.88071502957489733</v>
      </c>
      <c r="AD66">
        <f t="shared" si="81"/>
        <v>0.93610134723221883</v>
      </c>
      <c r="AE66">
        <f t="shared" si="82"/>
        <v>0.53151763418577769</v>
      </c>
      <c r="AF66">
        <f t="shared" si="83"/>
        <v>0.25523736132239871</v>
      </c>
      <c r="AG66">
        <f t="shared" si="84"/>
        <v>6.0123619437686439E-2</v>
      </c>
      <c r="AH66">
        <f t="shared" si="85"/>
        <v>4.6930183643296504</v>
      </c>
      <c r="AI66">
        <f t="shared" si="86"/>
        <v>0.98602284789093031</v>
      </c>
      <c r="AJ66">
        <f t="shared" si="87"/>
        <v>1.1257818302853476E-2</v>
      </c>
      <c r="AK66">
        <f t="shared" si="88"/>
        <v>109.18223471649389</v>
      </c>
      <c r="AL66">
        <f t="shared" si="89"/>
        <v>2.6805522799242976</v>
      </c>
      <c r="AM66">
        <f t="shared" si="90"/>
        <v>1.0113214260098933</v>
      </c>
      <c r="AN66">
        <f t="shared" si="21"/>
        <v>9.1625585167691495E-3</v>
      </c>
      <c r="AO66">
        <f t="shared" si="22"/>
        <v>19.302246861189587</v>
      </c>
      <c r="AP66">
        <f t="shared" si="23"/>
        <v>8087.8633542190964</v>
      </c>
    </row>
    <row r="67" spans="5:53" x14ac:dyDescent="0.25">
      <c r="E67" s="81">
        <f t="shared" si="61"/>
        <v>1</v>
      </c>
      <c r="F67" s="107">
        <f t="shared" si="24"/>
        <v>0.99609000000000003</v>
      </c>
      <c r="G67" s="107">
        <f t="shared" si="25"/>
        <v>3.8099999999999974E-3</v>
      </c>
      <c r="H67" s="26">
        <f t="shared" si="6"/>
        <v>1E-4</v>
      </c>
      <c r="I67">
        <f t="shared" si="62"/>
        <v>0.99668623814635005</v>
      </c>
      <c r="J67">
        <f t="shared" si="63"/>
        <v>0.15667371722318058</v>
      </c>
      <c r="K67">
        <f t="shared" si="64"/>
        <v>2.392953995967901E-2</v>
      </c>
      <c r="L67">
        <f t="shared" si="65"/>
        <v>2.4808844177987024E-3</v>
      </c>
      <c r="M67">
        <f t="shared" si="66"/>
        <v>0.63373117663883372</v>
      </c>
      <c r="N67">
        <f t="shared" si="67"/>
        <v>0.20471917443428206</v>
      </c>
      <c r="O67">
        <f t="shared" si="68"/>
        <v>4.083839287800075E-4</v>
      </c>
      <c r="P67">
        <f t="shared" si="69"/>
        <v>3.9411820529372914</v>
      </c>
      <c r="Q67">
        <f t="shared" si="70"/>
        <v>9.0023564287125204</v>
      </c>
      <c r="R67">
        <f t="shared" si="71"/>
        <v>1.0004084673288494</v>
      </c>
      <c r="S67">
        <f t="shared" si="72"/>
        <v>51.479416745682215</v>
      </c>
      <c r="T67">
        <f t="shared" si="73"/>
        <v>8122.2007821088073</v>
      </c>
      <c r="U67" s="105">
        <f t="shared" si="74"/>
        <v>9.1625585167691495E-3</v>
      </c>
      <c r="V67" s="79">
        <f t="shared" si="75"/>
        <v>19.302246861189587</v>
      </c>
      <c r="W67" s="30">
        <f t="shared" si="76"/>
        <v>8087.8633542190964</v>
      </c>
      <c r="X67" s="107">
        <f t="shared" si="77"/>
        <v>9.1267329129685829E-3</v>
      </c>
      <c r="Y67" s="107">
        <f t="shared" si="30"/>
        <v>7.3541560541132284E-2</v>
      </c>
      <c r="Z67" s="26">
        <f t="shared" si="19"/>
        <v>0.91733170654589913</v>
      </c>
      <c r="AA67" s="109">
        <f t="shared" si="78"/>
        <v>1</v>
      </c>
      <c r="AB67">
        <f t="shared" si="79"/>
        <v>0.10972184018662118</v>
      </c>
      <c r="AC67">
        <f t="shared" si="80"/>
        <v>0.88089738451537447</v>
      </c>
      <c r="AD67">
        <f t="shared" si="81"/>
        <v>0.93476279814968088</v>
      </c>
      <c r="AE67">
        <f t="shared" si="82"/>
        <v>0.5316851105124315</v>
      </c>
      <c r="AF67">
        <f t="shared" si="83"/>
        <v>0.25478708628152585</v>
      </c>
      <c r="AG67">
        <f t="shared" si="84"/>
        <v>6.1513434312325463E-2</v>
      </c>
      <c r="AH67">
        <f t="shared" si="85"/>
        <v>4.6892481848873864</v>
      </c>
      <c r="AI67">
        <f t="shared" si="86"/>
        <v>0.98411262930985632</v>
      </c>
      <c r="AJ67">
        <f t="shared" si="87"/>
        <v>1.16192795893795E-2</v>
      </c>
      <c r="AK67">
        <f t="shared" si="88"/>
        <v>108.77137309739445</v>
      </c>
      <c r="AL67">
        <f t="shared" si="89"/>
        <v>2.6754367266196599</v>
      </c>
      <c r="AM67">
        <f t="shared" si="90"/>
        <v>1.0116870456283182</v>
      </c>
      <c r="AN67">
        <f t="shared" si="21"/>
        <v>9.1973507260322846E-3</v>
      </c>
      <c r="AO67">
        <f t="shared" si="22"/>
        <v>19.241500362718362</v>
      </c>
      <c r="AP67">
        <f t="shared" si="23"/>
        <v>8028.3728226098165</v>
      </c>
    </row>
    <row r="68" spans="5:53" x14ac:dyDescent="0.25">
      <c r="E68" s="81">
        <f t="shared" si="61"/>
        <v>1</v>
      </c>
      <c r="F68" s="107">
        <f t="shared" si="24"/>
        <v>0.99599000000000004</v>
      </c>
      <c r="G68" s="107">
        <f t="shared" si="25"/>
        <v>3.9099999999999977E-3</v>
      </c>
      <c r="H68" s="26">
        <f t="shared" si="6"/>
        <v>1E-4</v>
      </c>
      <c r="I68">
        <f t="shared" si="62"/>
        <v>0.99660163200989493</v>
      </c>
      <c r="J68">
        <f t="shared" si="63"/>
        <v>0.15675837966748871</v>
      </c>
      <c r="K68">
        <f t="shared" si="64"/>
        <v>2.3950653810427627E-2</v>
      </c>
      <c r="L68">
        <f t="shared" si="65"/>
        <v>2.54461233008827E-3</v>
      </c>
      <c r="M68">
        <f t="shared" si="66"/>
        <v>0.63366755748446069</v>
      </c>
      <c r="N68">
        <f t="shared" si="67"/>
        <v>0.20478006484787717</v>
      </c>
      <c r="O68">
        <f t="shared" si="68"/>
        <v>4.2870498730245438E-4</v>
      </c>
      <c r="P68">
        <f t="shared" si="69"/>
        <v>3.9361284309810132</v>
      </c>
      <c r="Q68">
        <f t="shared" si="70"/>
        <v>8.9953490052590972</v>
      </c>
      <c r="R68">
        <f t="shared" si="71"/>
        <v>1.0004287968944188</v>
      </c>
      <c r="S68">
        <f t="shared" si="72"/>
        <v>51.219915497807158</v>
      </c>
      <c r="T68">
        <f t="shared" si="73"/>
        <v>8065.4840330781944</v>
      </c>
      <c r="U68" s="105">
        <f t="shared" si="74"/>
        <v>9.1973507260322846E-3</v>
      </c>
      <c r="V68" s="79">
        <f t="shared" si="75"/>
        <v>19.241500362718362</v>
      </c>
      <c r="W68" s="30">
        <f t="shared" si="76"/>
        <v>8028.3728226098165</v>
      </c>
      <c r="X68" s="107">
        <f t="shared" si="77"/>
        <v>9.1604693496208957E-3</v>
      </c>
      <c r="Y68" s="107">
        <f t="shared" si="30"/>
        <v>7.5234266418228751E-2</v>
      </c>
      <c r="Z68" s="26">
        <f t="shared" si="19"/>
        <v>0.91560526423215038</v>
      </c>
      <c r="AA68" s="109">
        <f t="shared" si="78"/>
        <v>1</v>
      </c>
      <c r="AB68">
        <f t="shared" si="79"/>
        <v>0.10984813303479896</v>
      </c>
      <c r="AC68">
        <f t="shared" si="80"/>
        <v>0.88107843441048228</v>
      </c>
      <c r="AD68">
        <f t="shared" si="81"/>
        <v>0.9334335067147802</v>
      </c>
      <c r="AE68">
        <f t="shared" si="82"/>
        <v>0.53185139529993486</v>
      </c>
      <c r="AF68">
        <f t="shared" si="83"/>
        <v>0.25433996084667465</v>
      </c>
      <c r="AG68">
        <f t="shared" si="84"/>
        <v>6.2893595497308136E-2</v>
      </c>
      <c r="AH68">
        <f t="shared" si="85"/>
        <v>4.6855122705295074</v>
      </c>
      <c r="AI68">
        <f t="shared" si="86"/>
        <v>0.98221682242074504</v>
      </c>
      <c r="AJ68">
        <f t="shared" si="87"/>
        <v>1.1986020626928745E-2</v>
      </c>
      <c r="AK68">
        <f t="shared" si="88"/>
        <v>108.36577068260736</v>
      </c>
      <c r="AL68">
        <f t="shared" si="89"/>
        <v>2.6703694200769732</v>
      </c>
      <c r="AM68">
        <f t="shared" si="90"/>
        <v>1.0120581408288671</v>
      </c>
      <c r="AN68">
        <f t="shared" si="21"/>
        <v>9.2319631059938276E-3</v>
      </c>
      <c r="AO68">
        <f t="shared" si="22"/>
        <v>19.18083509821302</v>
      </c>
      <c r="AP68">
        <f t="shared" si="23"/>
        <v>7969.3880298938466</v>
      </c>
    </row>
    <row r="69" spans="5:53" x14ac:dyDescent="0.25">
      <c r="E69" s="81">
        <f t="shared" si="61"/>
        <v>1</v>
      </c>
      <c r="F69" s="107">
        <f t="shared" si="24"/>
        <v>0.99589000000000005</v>
      </c>
      <c r="G69" s="107">
        <f t="shared" si="25"/>
        <v>4.0099999999999979E-3</v>
      </c>
      <c r="H69" s="26">
        <f t="shared" si="6"/>
        <v>1E-4</v>
      </c>
      <c r="I69">
        <f t="shared" si="62"/>
        <v>0.99651702587343993</v>
      </c>
      <c r="J69">
        <f t="shared" si="63"/>
        <v>0.15684304211179684</v>
      </c>
      <c r="K69">
        <f t="shared" si="64"/>
        <v>2.3971767661176244E-2</v>
      </c>
      <c r="L69">
        <f t="shared" si="65"/>
        <v>2.6083402423778372E-3</v>
      </c>
      <c r="M69">
        <f t="shared" si="66"/>
        <v>0.63360393833008744</v>
      </c>
      <c r="N69">
        <f t="shared" si="67"/>
        <v>0.20484095526147231</v>
      </c>
      <c r="O69">
        <f t="shared" si="68"/>
        <v>4.4950069903188894E-4</v>
      </c>
      <c r="P69">
        <f t="shared" si="69"/>
        <v>3.9310834695833767</v>
      </c>
      <c r="Q69">
        <f t="shared" si="70"/>
        <v>8.9883553775806995</v>
      </c>
      <c r="R69">
        <f t="shared" si="71"/>
        <v>1.0004496017396098</v>
      </c>
      <c r="S69">
        <f t="shared" si="72"/>
        <v>50.962163721893802</v>
      </c>
      <c r="T69">
        <f t="shared" si="73"/>
        <v>8009.2738264403852</v>
      </c>
      <c r="U69" s="105">
        <f t="shared" si="74"/>
        <v>9.2319631059938276E-3</v>
      </c>
      <c r="V69" s="79">
        <f t="shared" si="75"/>
        <v>19.18083509821302</v>
      </c>
      <c r="W69" s="30">
        <f t="shared" si="76"/>
        <v>7969.3880298938466</v>
      </c>
      <c r="X69" s="107">
        <f t="shared" si="77"/>
        <v>9.1940197376281941E-3</v>
      </c>
      <c r="Y69" s="107">
        <f t="shared" si="30"/>
        <v>7.6915148743834177E-2</v>
      </c>
      <c r="Z69" s="26">
        <f t="shared" si="19"/>
        <v>0.91389083151853756</v>
      </c>
      <c r="AA69" s="109">
        <f t="shared" si="78"/>
        <v>0.99999999999999989</v>
      </c>
      <c r="AB69">
        <f t="shared" si="79"/>
        <v>0.10997358850066363</v>
      </c>
      <c r="AC69">
        <f t="shared" si="80"/>
        <v>0.88125818370119047</v>
      </c>
      <c r="AD69">
        <f t="shared" si="81"/>
        <v>0.93211345192307427</v>
      </c>
      <c r="AE69">
        <f t="shared" si="82"/>
        <v>0.53201649237382653</v>
      </c>
      <c r="AF69">
        <f t="shared" si="83"/>
        <v>0.25389597667612013</v>
      </c>
      <c r="AG69">
        <f t="shared" si="84"/>
        <v>6.4264126295732124E-2</v>
      </c>
      <c r="AH69">
        <f t="shared" si="85"/>
        <v>4.6818104282641357</v>
      </c>
      <c r="AI69">
        <f t="shared" si="86"/>
        <v>0.98033536541365229</v>
      </c>
      <c r="AJ69">
        <f t="shared" si="87"/>
        <v>1.2357906139922501E-2</v>
      </c>
      <c r="AK69">
        <f t="shared" si="88"/>
        <v>107.9653592797598</v>
      </c>
      <c r="AL69">
        <f t="shared" si="89"/>
        <v>2.6653499582515461</v>
      </c>
      <c r="AM69">
        <f t="shared" si="90"/>
        <v>1.0124345805816557</v>
      </c>
      <c r="AN69">
        <f t="shared" si="21"/>
        <v>9.2663944103334589E-3</v>
      </c>
      <c r="AO69">
        <f t="shared" si="22"/>
        <v>19.120252319633359</v>
      </c>
      <c r="AP69">
        <f t="shared" si="23"/>
        <v>7910.9050402436496</v>
      </c>
    </row>
    <row r="70" spans="5:53" x14ac:dyDescent="0.25">
      <c r="E70" s="81">
        <f t="shared" si="61"/>
        <v>1</v>
      </c>
      <c r="F70" s="107">
        <f t="shared" si="24"/>
        <v>0.99579000000000006</v>
      </c>
      <c r="G70" s="107">
        <f t="shared" si="25"/>
        <v>4.1099999999999982E-3</v>
      </c>
      <c r="H70" s="26">
        <f t="shared" si="6"/>
        <v>1E-4</v>
      </c>
      <c r="I70">
        <f t="shared" si="62"/>
        <v>0.99643241973698482</v>
      </c>
      <c r="J70">
        <f t="shared" si="63"/>
        <v>0.15692770455610497</v>
      </c>
      <c r="K70">
        <f t="shared" si="64"/>
        <v>2.3992881511924861E-2</v>
      </c>
      <c r="L70">
        <f t="shared" si="65"/>
        <v>2.6720681546674049E-3</v>
      </c>
      <c r="M70">
        <f t="shared" si="66"/>
        <v>0.63354031917571429</v>
      </c>
      <c r="N70">
        <f t="shared" si="67"/>
        <v>0.20490184567506745</v>
      </c>
      <c r="O70">
        <f t="shared" si="68"/>
        <v>4.7076950212364508E-4</v>
      </c>
      <c r="P70">
        <f t="shared" si="69"/>
        <v>3.9260471495452736</v>
      </c>
      <c r="Q70">
        <f t="shared" si="70"/>
        <v>8.9813755097562833</v>
      </c>
      <c r="R70">
        <f t="shared" si="71"/>
        <v>1.0004708803314768</v>
      </c>
      <c r="S70">
        <f t="shared" si="72"/>
        <v>50.706147187302228</v>
      </c>
      <c r="T70">
        <f t="shared" si="73"/>
        <v>7953.5648007519931</v>
      </c>
      <c r="U70" s="105">
        <f t="shared" si="74"/>
        <v>9.2663944103334589E-3</v>
      </c>
      <c r="V70" s="79">
        <f t="shared" si="75"/>
        <v>19.120252319633359</v>
      </c>
      <c r="W70" s="30">
        <f t="shared" si="76"/>
        <v>7910.9050402436496</v>
      </c>
      <c r="X70" s="107">
        <f t="shared" si="77"/>
        <v>9.2273828898659562E-3</v>
      </c>
      <c r="Y70" s="107">
        <f t="shared" si="30"/>
        <v>7.8584237033693063E-2</v>
      </c>
      <c r="Z70" s="26">
        <f t="shared" si="19"/>
        <v>0.91218838007644099</v>
      </c>
      <c r="AA70" s="109">
        <f t="shared" si="78"/>
        <v>1</v>
      </c>
      <c r="AB70">
        <f t="shared" si="79"/>
        <v>0.11009820718377833</v>
      </c>
      <c r="AC70">
        <f t="shared" si="80"/>
        <v>0.88143663683200135</v>
      </c>
      <c r="AD70">
        <f t="shared" si="81"/>
        <v>0.93080261233018846</v>
      </c>
      <c r="AE70">
        <f t="shared" si="82"/>
        <v>0.53218040557192681</v>
      </c>
      <c r="AF70">
        <f t="shared" si="83"/>
        <v>0.25345512532571413</v>
      </c>
      <c r="AG70">
        <f t="shared" si="84"/>
        <v>6.5625050414121158E-2</v>
      </c>
      <c r="AH70">
        <f t="shared" si="85"/>
        <v>4.6781424618441516</v>
      </c>
      <c r="AI70">
        <f t="shared" si="86"/>
        <v>0.97846819625364545</v>
      </c>
      <c r="AJ70">
        <f t="shared" si="87"/>
        <v>1.2734801888400347E-2</v>
      </c>
      <c r="AK70">
        <f t="shared" si="88"/>
        <v>107.57007136198722</v>
      </c>
      <c r="AL70">
        <f t="shared" si="89"/>
        <v>2.6603779422508462</v>
      </c>
      <c r="AM70">
        <f t="shared" si="90"/>
        <v>1.0128162347880949</v>
      </c>
      <c r="AN70">
        <f t="shared" si="21"/>
        <v>9.30064345653135E-3</v>
      </c>
      <c r="AO70">
        <f t="shared" si="22"/>
        <v>19.05975327114675</v>
      </c>
      <c r="AP70">
        <f t="shared" si="23"/>
        <v>7852.9199350917461</v>
      </c>
    </row>
    <row r="71" spans="5:53" x14ac:dyDescent="0.25">
      <c r="E71" s="81">
        <f t="shared" si="61"/>
        <v>1</v>
      </c>
      <c r="F71" s="107">
        <f t="shared" si="24"/>
        <v>0.99568999999999996</v>
      </c>
      <c r="G71" s="107">
        <f t="shared" si="25"/>
        <v>4.2099999999999985E-3</v>
      </c>
      <c r="H71" s="26">
        <f t="shared" si="6"/>
        <v>1E-4</v>
      </c>
      <c r="I71">
        <f t="shared" si="62"/>
        <v>0.9963478136005296</v>
      </c>
      <c r="J71">
        <f t="shared" si="63"/>
        <v>0.15701236700041307</v>
      </c>
      <c r="K71">
        <f t="shared" si="64"/>
        <v>2.4013995362673474E-2</v>
      </c>
      <c r="L71">
        <f t="shared" si="65"/>
        <v>2.7357960669569725E-3</v>
      </c>
      <c r="M71">
        <f t="shared" si="66"/>
        <v>0.63347670002134104</v>
      </c>
      <c r="N71">
        <f t="shared" si="67"/>
        <v>0.20496273608866253</v>
      </c>
      <c r="O71">
        <f t="shared" si="68"/>
        <v>4.9250983981601482E-4</v>
      </c>
      <c r="P71">
        <f t="shared" si="69"/>
        <v>3.92101945172007</v>
      </c>
      <c r="Q71">
        <f t="shared" si="70"/>
        <v>8.9744093659838029</v>
      </c>
      <c r="R71">
        <f t="shared" si="71"/>
        <v>1.0004926311427007</v>
      </c>
      <c r="S71">
        <f t="shared" si="72"/>
        <v>50.451851797221636</v>
      </c>
      <c r="T71">
        <f t="shared" si="73"/>
        <v>7898.3516594642788</v>
      </c>
      <c r="U71" s="105">
        <f t="shared" si="74"/>
        <v>9.30064345653135E-3</v>
      </c>
      <c r="V71" s="79">
        <f t="shared" si="75"/>
        <v>19.05975327114675</v>
      </c>
      <c r="W71" s="30">
        <f t="shared" si="76"/>
        <v>7852.9199350917461</v>
      </c>
      <c r="X71" s="107">
        <f t="shared" si="77"/>
        <v>9.2605576832336996E-3</v>
      </c>
      <c r="Y71" s="107">
        <f t="shared" si="30"/>
        <v>8.0241561271527789E-2</v>
      </c>
      <c r="Z71" s="26">
        <f t="shared" si="19"/>
        <v>0.91049788104523843</v>
      </c>
      <c r="AA71" s="109">
        <f t="shared" si="78"/>
        <v>0.99999999999999989</v>
      </c>
      <c r="AB71">
        <f t="shared" si="79"/>
        <v>0.11022198976799591</v>
      </c>
      <c r="AC71">
        <f t="shared" si="80"/>
        <v>0.88161379825780462</v>
      </c>
      <c r="AD71">
        <f t="shared" si="81"/>
        <v>0.92950096607080401</v>
      </c>
      <c r="AE71">
        <f t="shared" si="82"/>
        <v>0.5323431387491202</v>
      </c>
      <c r="AF71">
        <f t="shared" si="83"/>
        <v>0.2530173982476448</v>
      </c>
      <c r="AG71">
        <f t="shared" si="84"/>
        <v>6.6976391951640263E-2</v>
      </c>
      <c r="AH71">
        <f t="shared" si="85"/>
        <v>4.6745081727181397</v>
      </c>
      <c r="AI71">
        <f t="shared" si="86"/>
        <v>0.97661525274619898</v>
      </c>
      <c r="AJ71">
        <f t="shared" si="87"/>
        <v>1.3116574669261418E-2</v>
      </c>
      <c r="AK71">
        <f t="shared" si="88"/>
        <v>107.17984015738004</v>
      </c>
      <c r="AL71">
        <f t="shared" si="89"/>
        <v>2.6554529764662007</v>
      </c>
      <c r="AM71">
        <f t="shared" si="90"/>
        <v>1.0132029742771591</v>
      </c>
      <c r="AN71">
        <f t="shared" si="21"/>
        <v>9.3347091176251406E-3</v>
      </c>
      <c r="AO71">
        <f t="shared" si="22"/>
        <v>18.999339187832838</v>
      </c>
      <c r="AP71">
        <f t="shared" si="23"/>
        <v>7795.4288133620348</v>
      </c>
    </row>
    <row r="72" spans="5:53" x14ac:dyDescent="0.25">
      <c r="E72" s="81">
        <f t="shared" si="61"/>
        <v>1</v>
      </c>
      <c r="F72" s="107">
        <f t="shared" si="24"/>
        <v>0.99558999999999997</v>
      </c>
      <c r="G72" s="107">
        <f t="shared" si="25"/>
        <v>4.3099999999999987E-3</v>
      </c>
      <c r="H72" s="26">
        <f t="shared" si="6"/>
        <v>1E-4</v>
      </c>
      <c r="I72">
        <f t="shared" si="62"/>
        <v>0.9962632074640746</v>
      </c>
      <c r="J72">
        <f t="shared" si="63"/>
        <v>0.15709702944472123</v>
      </c>
      <c r="K72">
        <f t="shared" si="64"/>
        <v>2.4035109213422091E-2</v>
      </c>
      <c r="L72">
        <f t="shared" si="65"/>
        <v>2.7995239792465401E-3</v>
      </c>
      <c r="M72">
        <f t="shared" si="66"/>
        <v>0.63341308086696801</v>
      </c>
      <c r="N72">
        <f t="shared" si="67"/>
        <v>0.20502362650225764</v>
      </c>
      <c r="O72">
        <f t="shared" si="68"/>
        <v>5.1472016041198023E-4</v>
      </c>
      <c r="P72">
        <f t="shared" si="69"/>
        <v>3.9160003570134383</v>
      </c>
      <c r="Q72">
        <f t="shared" si="70"/>
        <v>8.9674569105797151</v>
      </c>
      <c r="R72">
        <f t="shared" si="71"/>
        <v>1.0005148526515648</v>
      </c>
      <c r="S72">
        <f t="shared" si="72"/>
        <v>50.199263587252375</v>
      </c>
      <c r="T72">
        <f t="shared" si="73"/>
        <v>7843.6291700446072</v>
      </c>
      <c r="U72" s="105">
        <f t="shared" si="74"/>
        <v>9.3347091176251406E-3</v>
      </c>
      <c r="V72" s="79">
        <f t="shared" si="75"/>
        <v>18.999339187832838</v>
      </c>
      <c r="W72" s="30">
        <f t="shared" si="76"/>
        <v>7795.4288133620348</v>
      </c>
      <c r="X72" s="107">
        <f t="shared" si="77"/>
        <v>9.2935430504164137E-3</v>
      </c>
      <c r="Y72" s="107">
        <f t="shared" si="30"/>
        <v>8.1887151899559502E-2</v>
      </c>
      <c r="Z72" s="26">
        <f t="shared" si="19"/>
        <v>0.90881930505002406</v>
      </c>
      <c r="AA72" s="109">
        <f t="shared" si="78"/>
        <v>1</v>
      </c>
      <c r="AB72">
        <f t="shared" si="79"/>
        <v>0.11034493701348559</v>
      </c>
      <c r="AC72">
        <f t="shared" si="80"/>
        <v>0.88178967244870166</v>
      </c>
      <c r="AD72">
        <f t="shared" si="81"/>
        <v>0.92820849087396817</v>
      </c>
      <c r="AE72">
        <f t="shared" si="82"/>
        <v>0.53250469578067905</v>
      </c>
      <c r="AF72">
        <f t="shared" si="83"/>
        <v>0.25258278679000429</v>
      </c>
      <c r="AG72">
        <f t="shared" si="84"/>
        <v>6.8318175390737312E-2</v>
      </c>
      <c r="AH72">
        <f t="shared" si="85"/>
        <v>4.6709073607270906</v>
      </c>
      <c r="AI72">
        <f t="shared" si="86"/>
        <v>0.97477647258529654</v>
      </c>
      <c r="AJ72">
        <f t="shared" si="87"/>
        <v>1.3503092319731094E-2</v>
      </c>
      <c r="AK72">
        <f t="shared" si="88"/>
        <v>106.79459970920254</v>
      </c>
      <c r="AL72">
        <f t="shared" si="89"/>
        <v>2.6505746686571832</v>
      </c>
      <c r="AM72">
        <f t="shared" si="90"/>
        <v>1.0135946708041597</v>
      </c>
      <c r="AN72">
        <f t="shared" si="21"/>
        <v>9.3685903161388976E-3</v>
      </c>
      <c r="AO72">
        <f t="shared" si="22"/>
        <v>18.939011294740848</v>
      </c>
      <c r="AP72">
        <f t="shared" si="23"/>
        <v>7738.4277916750252</v>
      </c>
    </row>
    <row r="73" spans="5:53" x14ac:dyDescent="0.25">
      <c r="E73" s="81">
        <f t="shared" si="61"/>
        <v>1</v>
      </c>
      <c r="F73" s="107">
        <f t="shared" si="24"/>
        <v>0.99548999999999999</v>
      </c>
      <c r="G73" s="107">
        <f t="shared" si="25"/>
        <v>4.409999999999999E-3</v>
      </c>
      <c r="H73" s="26">
        <f t="shared" si="6"/>
        <v>1E-4</v>
      </c>
      <c r="I73">
        <f t="shared" si="62"/>
        <v>0.99617860132761948</v>
      </c>
      <c r="J73">
        <f t="shared" si="63"/>
        <v>0.15718169188902936</v>
      </c>
      <c r="K73">
        <f t="shared" si="64"/>
        <v>2.4056223064170709E-2</v>
      </c>
      <c r="L73">
        <f t="shared" si="65"/>
        <v>2.8632518915361073E-3</v>
      </c>
      <c r="M73">
        <f t="shared" si="66"/>
        <v>0.63334946171259487</v>
      </c>
      <c r="N73">
        <f t="shared" si="67"/>
        <v>0.20508451691585278</v>
      </c>
      <c r="O73">
        <f t="shared" si="68"/>
        <v>5.3739891726100003E-4</v>
      </c>
      <c r="P73">
        <f t="shared" si="69"/>
        <v>3.91098984638319</v>
      </c>
      <c r="Q73">
        <f t="shared" si="70"/>
        <v>8.9605181079785119</v>
      </c>
      <c r="R73">
        <f t="shared" si="71"/>
        <v>1.0005375433419292</v>
      </c>
      <c r="S73">
        <f t="shared" si="72"/>
        <v>49.948368724004773</v>
      </c>
      <c r="T73">
        <f t="shared" si="73"/>
        <v>7789.3921631111971</v>
      </c>
      <c r="U73" s="105">
        <f t="shared" si="74"/>
        <v>9.3685903161388976E-3</v>
      </c>
      <c r="V73" s="79">
        <f t="shared" si="75"/>
        <v>18.939011294740848</v>
      </c>
      <c r="W73" s="30">
        <f t="shared" si="76"/>
        <v>7738.4277916750252</v>
      </c>
      <c r="X73" s="107">
        <f t="shared" si="77"/>
        <v>9.3263379738131105E-3</v>
      </c>
      <c r="Y73" s="107">
        <f t="shared" si="30"/>
        <v>8.3521039809807116E-2</v>
      </c>
      <c r="Z73" s="26">
        <f t="shared" si="19"/>
        <v>0.90715262221637982</v>
      </c>
      <c r="AA73" s="109">
        <f t="shared" si="78"/>
        <v>1</v>
      </c>
      <c r="AB73">
        <f t="shared" si="79"/>
        <v>0.1104670497507596</v>
      </c>
      <c r="AC73">
        <f t="shared" si="80"/>
        <v>0.88196426389335103</v>
      </c>
      <c r="AD73">
        <f t="shared" si="81"/>
        <v>0.92692516407568792</v>
      </c>
      <c r="AE73">
        <f t="shared" si="82"/>
        <v>0.53266508056452555</v>
      </c>
      <c r="AF73">
        <f t="shared" si="83"/>
        <v>0.25215128219693578</v>
      </c>
      <c r="AG73">
        <f t="shared" si="84"/>
        <v>6.9650425588854953E-2</v>
      </c>
      <c r="AH73">
        <f t="shared" si="85"/>
        <v>4.6673398246159099</v>
      </c>
      <c r="AI73">
        <f t="shared" si="86"/>
        <v>0.97295179338890714</v>
      </c>
      <c r="AJ73">
        <f t="shared" si="87"/>
        <v>1.3894223722391432E-2</v>
      </c>
      <c r="AK73">
        <f t="shared" si="88"/>
        <v>106.41428491500723</v>
      </c>
      <c r="AL73">
        <f t="shared" si="89"/>
        <v>2.645742630001684</v>
      </c>
      <c r="AM73">
        <f t="shared" si="90"/>
        <v>1.0139911970513589</v>
      </c>
      <c r="AN73">
        <f t="shared" si="21"/>
        <v>9.4022860195983604E-3</v>
      </c>
      <c r="AO73">
        <f t="shared" si="22"/>
        <v>18.878770806203846</v>
      </c>
      <c r="AP73">
        <f t="shared" si="23"/>
        <v>7681.9130045333741</v>
      </c>
    </row>
    <row r="74" spans="5:53" x14ac:dyDescent="0.25">
      <c r="F74" s="12"/>
      <c r="G74" s="12"/>
    </row>
    <row r="75" spans="5:53" x14ac:dyDescent="0.25">
      <c r="BA75">
        <f>SUM(AX75:AZ75)</f>
        <v>0</v>
      </c>
    </row>
  </sheetData>
  <mergeCells count="9">
    <mergeCell ref="M1:N1"/>
    <mergeCell ref="K1:L1"/>
    <mergeCell ref="X27:AM27"/>
    <mergeCell ref="F27:T27"/>
    <mergeCell ref="K2:L2"/>
    <mergeCell ref="M2:N2"/>
    <mergeCell ref="O2:O3"/>
    <mergeCell ref="P2:P3"/>
    <mergeCell ref="K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Лист6</vt:lpstr>
      <vt:lpstr>Лист1</vt:lpstr>
      <vt:lpstr>LLE calc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2024-04-01T16:40:32Z</dcterms:modified>
</cp:coreProperties>
</file>