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/>
  <bookViews>
    <workbookView xWindow="0" yWindow="0" windowWidth="20490" windowHeight="9045" activeTab="1"/>
  </bookViews>
  <sheets>
    <sheet name="Theory" sheetId="1" r:id="rId1"/>
    <sheet name="VLE Calculation - NRTL" sheetId="2" r:id="rId2"/>
    <sheet name="Ternary plot" sheetId="3" r:id="rId3"/>
    <sheet name="Ternary plot 1" sheetId="4" r:id="rId4"/>
    <sheet name="Ternary plot 2" sheetId="5" r:id="rId5"/>
    <sheet name="Ternary plot 3" sheetId="6" r:id="rId6"/>
    <sheet name="Ternary plot 4" sheetId="7" r:id="rId7"/>
    <sheet name="Ternary plot 5" sheetId="8" r:id="rId8"/>
    <sheet name="Ternary plot 6" sheetId="9" r:id="rId9"/>
    <sheet name="Ternary plot 7" sheetId="10" r:id="rId10"/>
    <sheet name="Ternary plot 8" sheetId="11" r:id="rId11"/>
    <sheet name="Literature Data" sheetId="12" r:id="rId12"/>
    <sheet name="Disclaimer" sheetId="13" r:id="rId13"/>
  </sheets>
  <definedNames>
    <definedName name="solver_adj" localSheetId="1" hidden="1">'VLE Calculation - NRTL'!#REF!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'VLE Calculation - NRTL'!$C$25</definedName>
    <definedName name="solver_lhs2" localSheetId="1" hidden="1">'VLE Calculation - NRTL'!$C$25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'VLE Calculation - NRTL'!#REF!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2</definedName>
    <definedName name="solver_rhs1" localSheetId="1" hidden="1">'VLE Calculation - NRTL'!#REF!</definedName>
    <definedName name="solver_rhs2" localSheetId="1" hidden="1">'VLE Calculation - NRTL'!#REF!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0.0042293598</definedName>
    <definedName name="solver_ver" localSheetId="1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" i="2" l="1"/>
  <c r="M16" i="2"/>
  <c r="L16" i="2"/>
  <c r="K16" i="2"/>
  <c r="J16" i="2"/>
  <c r="AE16" i="2"/>
  <c r="V16" i="2"/>
  <c r="P16" i="2"/>
  <c r="J17" i="2"/>
  <c r="F181" i="11" l="1"/>
  <c r="D181" i="11"/>
  <c r="F180" i="11"/>
  <c r="D180" i="11"/>
  <c r="F178" i="11"/>
  <c r="D178" i="11"/>
  <c r="F177" i="11"/>
  <c r="D177" i="11"/>
  <c r="F175" i="11"/>
  <c r="D175" i="11"/>
  <c r="F174" i="11"/>
  <c r="D174" i="11"/>
  <c r="F172" i="11"/>
  <c r="D172" i="11"/>
  <c r="F171" i="11"/>
  <c r="D171" i="11"/>
  <c r="F169" i="11"/>
  <c r="D169" i="11"/>
  <c r="F168" i="11"/>
  <c r="D168" i="11"/>
  <c r="F166" i="11"/>
  <c r="D166" i="11"/>
  <c r="F165" i="11"/>
  <c r="D165" i="11"/>
  <c r="F163" i="11"/>
  <c r="D163" i="11"/>
  <c r="F162" i="11"/>
  <c r="D162" i="11"/>
  <c r="F160" i="11"/>
  <c r="D160" i="11"/>
  <c r="F159" i="11"/>
  <c r="D159" i="11"/>
  <c r="F157" i="11"/>
  <c r="D157" i="11"/>
  <c r="F156" i="11"/>
  <c r="D156" i="11"/>
  <c r="F154" i="11"/>
  <c r="D154" i="11"/>
  <c r="F153" i="11"/>
  <c r="D153" i="11"/>
  <c r="F151" i="11"/>
  <c r="D151" i="11"/>
  <c r="F150" i="11"/>
  <c r="D150" i="11"/>
  <c r="F148" i="11"/>
  <c r="D148" i="11"/>
  <c r="F147" i="11"/>
  <c r="D147" i="11"/>
  <c r="F145" i="11"/>
  <c r="D145" i="11"/>
  <c r="F144" i="11"/>
  <c r="D144" i="11"/>
  <c r="F142" i="11"/>
  <c r="D142" i="11"/>
  <c r="F141" i="11"/>
  <c r="D141" i="11"/>
  <c r="F139" i="11"/>
  <c r="D139" i="11"/>
  <c r="F138" i="11"/>
  <c r="D138" i="11"/>
  <c r="F136" i="11"/>
  <c r="D136" i="11"/>
  <c r="F135" i="11"/>
  <c r="D135" i="11"/>
  <c r="F133" i="11"/>
  <c r="D133" i="11"/>
  <c r="F132" i="11"/>
  <c r="D132" i="11"/>
  <c r="F130" i="11"/>
  <c r="D130" i="11"/>
  <c r="F129" i="11"/>
  <c r="D129" i="11"/>
  <c r="F127" i="11"/>
  <c r="D127" i="11"/>
  <c r="F126" i="11"/>
  <c r="D126" i="11"/>
  <c r="F124" i="11"/>
  <c r="D124" i="11"/>
  <c r="F123" i="11"/>
  <c r="D123" i="11"/>
  <c r="F121" i="11"/>
  <c r="D121" i="11"/>
  <c r="F120" i="11"/>
  <c r="D120" i="11"/>
  <c r="F118" i="11"/>
  <c r="D118" i="11"/>
  <c r="F117" i="11"/>
  <c r="D117" i="11"/>
  <c r="F115" i="11"/>
  <c r="D115" i="11"/>
  <c r="F114" i="11"/>
  <c r="D114" i="11"/>
  <c r="F112" i="11"/>
  <c r="D112" i="11"/>
  <c r="F111" i="11"/>
  <c r="D111" i="11"/>
  <c r="F109" i="11"/>
  <c r="D109" i="11"/>
  <c r="F108" i="11"/>
  <c r="D108" i="11"/>
  <c r="F106" i="11"/>
  <c r="D106" i="11"/>
  <c r="F105" i="11"/>
  <c r="D105" i="11"/>
  <c r="F103" i="11"/>
  <c r="D103" i="11"/>
  <c r="F102" i="11"/>
  <c r="D102" i="11"/>
  <c r="A100" i="11"/>
  <c r="A99" i="11"/>
  <c r="E98" i="11"/>
  <c r="F98" i="11" s="1"/>
  <c r="D98" i="11"/>
  <c r="A98" i="11"/>
  <c r="A97" i="11"/>
  <c r="D97" i="11" s="1"/>
  <c r="A96" i="11"/>
  <c r="E96" i="11" s="1"/>
  <c r="F96" i="11" s="1"/>
  <c r="A95" i="11"/>
  <c r="E94" i="11"/>
  <c r="F94" i="11" s="1"/>
  <c r="D94" i="11"/>
  <c r="A94" i="11"/>
  <c r="E93" i="11"/>
  <c r="F93" i="11" s="1"/>
  <c r="D93" i="11"/>
  <c r="A93" i="11"/>
  <c r="A92" i="11"/>
  <c r="A91" i="11"/>
  <c r="D91" i="11" s="1"/>
  <c r="E90" i="11"/>
  <c r="F90" i="11" s="1"/>
  <c r="D90" i="11"/>
  <c r="A90" i="11"/>
  <c r="D88" i="11"/>
  <c r="A88" i="11"/>
  <c r="F88" i="11" s="1"/>
  <c r="F87" i="11"/>
  <c r="A87" i="11"/>
  <c r="D87" i="11" s="1"/>
  <c r="F86" i="11"/>
  <c r="D86" i="11"/>
  <c r="A86" i="11"/>
  <c r="A85" i="11"/>
  <c r="F85" i="11" s="1"/>
  <c r="D84" i="11"/>
  <c r="A84" i="11"/>
  <c r="F84" i="11" s="1"/>
  <c r="A83" i="11"/>
  <c r="D83" i="11" s="1"/>
  <c r="F82" i="11"/>
  <c r="D82" i="11"/>
  <c r="A82" i="11"/>
  <c r="F81" i="11"/>
  <c r="D81" i="11"/>
  <c r="A81" i="11"/>
  <c r="A80" i="11"/>
  <c r="F80" i="11" s="1"/>
  <c r="F79" i="11"/>
  <c r="A79" i="11"/>
  <c r="D79" i="11" s="1"/>
  <c r="F78" i="11"/>
  <c r="D78" i="11"/>
  <c r="A78" i="11"/>
  <c r="S67" i="11"/>
  <c r="O67" i="11" s="1"/>
  <c r="R67" i="11"/>
  <c r="Q67" i="11"/>
  <c r="N67" i="11" s="1"/>
  <c r="S66" i="11"/>
  <c r="R66" i="11"/>
  <c r="Q66" i="11"/>
  <c r="O66" i="11"/>
  <c r="N66" i="11"/>
  <c r="S64" i="11"/>
  <c r="O64" i="11" s="1"/>
  <c r="R64" i="11"/>
  <c r="Q64" i="11"/>
  <c r="S63" i="11"/>
  <c r="R63" i="11"/>
  <c r="Q63" i="11"/>
  <c r="N63" i="11" s="1"/>
  <c r="O63" i="11"/>
  <c r="S61" i="11"/>
  <c r="O61" i="11" s="1"/>
  <c r="R61" i="11"/>
  <c r="Q61" i="11"/>
  <c r="S60" i="11"/>
  <c r="O60" i="11" s="1"/>
  <c r="R60" i="11"/>
  <c r="Q60" i="11"/>
  <c r="N60" i="11"/>
  <c r="S58" i="11"/>
  <c r="O58" i="11" s="1"/>
  <c r="R58" i="11"/>
  <c r="Q58" i="11"/>
  <c r="S57" i="11"/>
  <c r="R57" i="11"/>
  <c r="Q57" i="11"/>
  <c r="N57" i="11" s="1"/>
  <c r="O57" i="11"/>
  <c r="S55" i="11"/>
  <c r="O55" i="11" s="1"/>
  <c r="R55" i="11"/>
  <c r="Q55" i="11"/>
  <c r="N55" i="11"/>
  <c r="S54" i="11"/>
  <c r="R54" i="11"/>
  <c r="Q54" i="11"/>
  <c r="O54" i="11"/>
  <c r="N54" i="11"/>
  <c r="S52" i="11"/>
  <c r="R52" i="11"/>
  <c r="Q52" i="11"/>
  <c r="S51" i="11"/>
  <c r="R51" i="11"/>
  <c r="Q51" i="11"/>
  <c r="N51" i="11" s="1"/>
  <c r="O51" i="11"/>
  <c r="R48" i="11"/>
  <c r="R45" i="11"/>
  <c r="Q45" i="11"/>
  <c r="AD28" i="11"/>
  <c r="Q28" i="11"/>
  <c r="AE27" i="11"/>
  <c r="R27" i="11"/>
  <c r="Q27" i="11"/>
  <c r="AE26" i="11"/>
  <c r="R26" i="11"/>
  <c r="Q26" i="11"/>
  <c r="S26" i="11" s="1"/>
  <c r="AC6" i="11"/>
  <c r="Q6" i="11"/>
  <c r="Q48" i="11" s="1"/>
  <c r="AD5" i="11"/>
  <c r="AC5" i="11"/>
  <c r="R5" i="11"/>
  <c r="R6" i="11" s="1"/>
  <c r="AD6" i="11" s="1"/>
  <c r="Q5" i="11"/>
  <c r="S5" i="11" s="1"/>
  <c r="O5" i="11"/>
  <c r="AD4" i="11"/>
  <c r="AC4" i="11"/>
  <c r="S4" i="11"/>
  <c r="F181" i="10"/>
  <c r="D181" i="10"/>
  <c r="F180" i="10"/>
  <c r="D180" i="10"/>
  <c r="F178" i="10"/>
  <c r="D178" i="10"/>
  <c r="F177" i="10"/>
  <c r="D177" i="10"/>
  <c r="F175" i="10"/>
  <c r="D175" i="10"/>
  <c r="F174" i="10"/>
  <c r="D174" i="10"/>
  <c r="F172" i="10"/>
  <c r="D172" i="10"/>
  <c r="F171" i="10"/>
  <c r="D171" i="10"/>
  <c r="F169" i="10"/>
  <c r="D169" i="10"/>
  <c r="F168" i="10"/>
  <c r="D168" i="10"/>
  <c r="F166" i="10"/>
  <c r="D166" i="10"/>
  <c r="F165" i="10"/>
  <c r="D165" i="10"/>
  <c r="F163" i="10"/>
  <c r="D163" i="10"/>
  <c r="F162" i="10"/>
  <c r="D162" i="10"/>
  <c r="F160" i="10"/>
  <c r="D160" i="10"/>
  <c r="F159" i="10"/>
  <c r="D159" i="10"/>
  <c r="F157" i="10"/>
  <c r="D157" i="10"/>
  <c r="F156" i="10"/>
  <c r="D156" i="10"/>
  <c r="F154" i="10"/>
  <c r="D154" i="10"/>
  <c r="F153" i="10"/>
  <c r="D153" i="10"/>
  <c r="F151" i="10"/>
  <c r="D151" i="10"/>
  <c r="F150" i="10"/>
  <c r="D150" i="10"/>
  <c r="F148" i="10"/>
  <c r="D148" i="10"/>
  <c r="F147" i="10"/>
  <c r="D147" i="10"/>
  <c r="F145" i="10"/>
  <c r="D145" i="10"/>
  <c r="F144" i="10"/>
  <c r="D144" i="10"/>
  <c r="F142" i="10"/>
  <c r="D142" i="10"/>
  <c r="F141" i="10"/>
  <c r="D141" i="10"/>
  <c r="F139" i="10"/>
  <c r="D139" i="10"/>
  <c r="F138" i="10"/>
  <c r="D138" i="10"/>
  <c r="F136" i="10"/>
  <c r="D136" i="10"/>
  <c r="F135" i="10"/>
  <c r="D135" i="10"/>
  <c r="F133" i="10"/>
  <c r="D133" i="10"/>
  <c r="F132" i="10"/>
  <c r="D132" i="10"/>
  <c r="F130" i="10"/>
  <c r="D130" i="10"/>
  <c r="F129" i="10"/>
  <c r="D129" i="10"/>
  <c r="F127" i="10"/>
  <c r="D127" i="10"/>
  <c r="F126" i="10"/>
  <c r="D126" i="10"/>
  <c r="F124" i="10"/>
  <c r="D124" i="10"/>
  <c r="F123" i="10"/>
  <c r="D123" i="10"/>
  <c r="F121" i="10"/>
  <c r="D121" i="10"/>
  <c r="F120" i="10"/>
  <c r="D120" i="10"/>
  <c r="F118" i="10"/>
  <c r="D118" i="10"/>
  <c r="F117" i="10"/>
  <c r="D117" i="10"/>
  <c r="F115" i="10"/>
  <c r="D115" i="10"/>
  <c r="F114" i="10"/>
  <c r="D114" i="10"/>
  <c r="F112" i="10"/>
  <c r="D112" i="10"/>
  <c r="F111" i="10"/>
  <c r="D111" i="10"/>
  <c r="F109" i="10"/>
  <c r="D109" i="10"/>
  <c r="F108" i="10"/>
  <c r="D108" i="10"/>
  <c r="F106" i="10"/>
  <c r="D106" i="10"/>
  <c r="F105" i="10"/>
  <c r="D105" i="10"/>
  <c r="F103" i="10"/>
  <c r="D103" i="10"/>
  <c r="F102" i="10"/>
  <c r="D102" i="10"/>
  <c r="F100" i="10"/>
  <c r="E100" i="10"/>
  <c r="A100" i="10"/>
  <c r="D100" i="10" s="1"/>
  <c r="A99" i="10"/>
  <c r="A98" i="10"/>
  <c r="E97" i="10"/>
  <c r="F97" i="10" s="1"/>
  <c r="A97" i="10"/>
  <c r="D97" i="10" s="1"/>
  <c r="A96" i="10"/>
  <c r="A95" i="10"/>
  <c r="D95" i="10" s="1"/>
  <c r="A94" i="10"/>
  <c r="F93" i="10"/>
  <c r="E93" i="10"/>
  <c r="A93" i="10"/>
  <c r="D93" i="10" s="1"/>
  <c r="E92" i="10"/>
  <c r="F92" i="10" s="1"/>
  <c r="A92" i="10"/>
  <c r="D92" i="10" s="1"/>
  <c r="A91" i="10"/>
  <c r="A90" i="10"/>
  <c r="F88" i="10"/>
  <c r="D88" i="10"/>
  <c r="A88" i="10"/>
  <c r="F87" i="10"/>
  <c r="A87" i="10"/>
  <c r="D87" i="10" s="1"/>
  <c r="A86" i="10"/>
  <c r="F85" i="10"/>
  <c r="A85" i="10"/>
  <c r="D85" i="10" s="1"/>
  <c r="F84" i="10"/>
  <c r="D84" i="10"/>
  <c r="A84" i="10"/>
  <c r="A83" i="10"/>
  <c r="A82" i="10"/>
  <c r="F82" i="10" s="1"/>
  <c r="A81" i="10"/>
  <c r="F80" i="10"/>
  <c r="D80" i="10"/>
  <c r="A80" i="10"/>
  <c r="A79" i="10"/>
  <c r="F79" i="10" s="1"/>
  <c r="A78" i="10"/>
  <c r="S67" i="10"/>
  <c r="R67" i="10"/>
  <c r="Q67" i="10"/>
  <c r="O67" i="10"/>
  <c r="N67" i="10"/>
  <c r="S66" i="10"/>
  <c r="R66" i="10"/>
  <c r="Q66" i="10"/>
  <c r="N66" i="10" s="1"/>
  <c r="O66" i="10"/>
  <c r="S64" i="10"/>
  <c r="R64" i="10"/>
  <c r="Q64" i="10"/>
  <c r="S63" i="10"/>
  <c r="O63" i="10" s="1"/>
  <c r="R63" i="10"/>
  <c r="Q63" i="10"/>
  <c r="S61" i="10"/>
  <c r="R61" i="10"/>
  <c r="Q61" i="10"/>
  <c r="N61" i="10" s="1"/>
  <c r="O61" i="10"/>
  <c r="S60" i="10"/>
  <c r="R60" i="10"/>
  <c r="Q60" i="10"/>
  <c r="N60" i="10" s="1"/>
  <c r="O60" i="10"/>
  <c r="S58" i="10"/>
  <c r="R58" i="10"/>
  <c r="Q58" i="10"/>
  <c r="S57" i="10"/>
  <c r="R57" i="10"/>
  <c r="Q57" i="10"/>
  <c r="S55" i="10"/>
  <c r="O55" i="10" s="1"/>
  <c r="R55" i="10"/>
  <c r="Q55" i="10"/>
  <c r="S54" i="10"/>
  <c r="R54" i="10"/>
  <c r="Q54" i="10"/>
  <c r="N54" i="10" s="1"/>
  <c r="O54" i="10"/>
  <c r="R48" i="10"/>
  <c r="R45" i="10"/>
  <c r="AE29" i="10"/>
  <c r="AD29" i="10"/>
  <c r="R29" i="10"/>
  <c r="Q29" i="10"/>
  <c r="S29" i="10" s="1"/>
  <c r="AE28" i="10"/>
  <c r="S28" i="10"/>
  <c r="R28" i="10"/>
  <c r="Q28" i="10"/>
  <c r="AE27" i="10"/>
  <c r="S27" i="10"/>
  <c r="R27" i="10"/>
  <c r="Q27" i="10"/>
  <c r="AE26" i="10"/>
  <c r="R26" i="10"/>
  <c r="Q26" i="10"/>
  <c r="S26" i="10" s="1"/>
  <c r="N26" i="10" s="1"/>
  <c r="O26" i="10"/>
  <c r="AD7" i="10"/>
  <c r="AD6" i="10"/>
  <c r="AD5" i="10"/>
  <c r="R5" i="10"/>
  <c r="R6" i="10" s="1"/>
  <c r="R7" i="10" s="1"/>
  <c r="R51" i="10" s="1"/>
  <c r="Q5" i="10"/>
  <c r="AD4" i="10"/>
  <c r="AC4" i="10"/>
  <c r="S4" i="10"/>
  <c r="O4" i="10"/>
  <c r="F181" i="9"/>
  <c r="D181" i="9"/>
  <c r="F180" i="9"/>
  <c r="D180" i="9"/>
  <c r="F178" i="9"/>
  <c r="D178" i="9"/>
  <c r="F177" i="9"/>
  <c r="D177" i="9"/>
  <c r="F175" i="9"/>
  <c r="D175" i="9"/>
  <c r="F174" i="9"/>
  <c r="D174" i="9"/>
  <c r="F172" i="9"/>
  <c r="D172" i="9"/>
  <c r="F171" i="9"/>
  <c r="D171" i="9"/>
  <c r="F169" i="9"/>
  <c r="D169" i="9"/>
  <c r="F168" i="9"/>
  <c r="D168" i="9"/>
  <c r="F166" i="9"/>
  <c r="D166" i="9"/>
  <c r="F165" i="9"/>
  <c r="D165" i="9"/>
  <c r="F163" i="9"/>
  <c r="D163" i="9"/>
  <c r="F162" i="9"/>
  <c r="D162" i="9"/>
  <c r="F160" i="9"/>
  <c r="D160" i="9"/>
  <c r="F159" i="9"/>
  <c r="D159" i="9"/>
  <c r="F157" i="9"/>
  <c r="D157" i="9"/>
  <c r="F156" i="9"/>
  <c r="D156" i="9"/>
  <c r="F154" i="9"/>
  <c r="D154" i="9"/>
  <c r="F153" i="9"/>
  <c r="D153" i="9"/>
  <c r="F151" i="9"/>
  <c r="D151" i="9"/>
  <c r="F150" i="9"/>
  <c r="D150" i="9"/>
  <c r="F148" i="9"/>
  <c r="D148" i="9"/>
  <c r="F147" i="9"/>
  <c r="D147" i="9"/>
  <c r="F145" i="9"/>
  <c r="D145" i="9"/>
  <c r="F144" i="9"/>
  <c r="D144" i="9"/>
  <c r="F142" i="9"/>
  <c r="D142" i="9"/>
  <c r="F141" i="9"/>
  <c r="D141" i="9"/>
  <c r="F139" i="9"/>
  <c r="D139" i="9"/>
  <c r="F138" i="9"/>
  <c r="D138" i="9"/>
  <c r="F136" i="9"/>
  <c r="D136" i="9"/>
  <c r="F135" i="9"/>
  <c r="D135" i="9"/>
  <c r="F133" i="9"/>
  <c r="D133" i="9"/>
  <c r="F132" i="9"/>
  <c r="D132" i="9"/>
  <c r="F130" i="9"/>
  <c r="D130" i="9"/>
  <c r="F129" i="9"/>
  <c r="D129" i="9"/>
  <c r="F127" i="9"/>
  <c r="D127" i="9"/>
  <c r="F126" i="9"/>
  <c r="D126" i="9"/>
  <c r="F124" i="9"/>
  <c r="D124" i="9"/>
  <c r="F123" i="9"/>
  <c r="D123" i="9"/>
  <c r="F121" i="9"/>
  <c r="D121" i="9"/>
  <c r="F120" i="9"/>
  <c r="D120" i="9"/>
  <c r="F118" i="9"/>
  <c r="D118" i="9"/>
  <c r="F117" i="9"/>
  <c r="D117" i="9"/>
  <c r="F115" i="9"/>
  <c r="D115" i="9"/>
  <c r="F114" i="9"/>
  <c r="D114" i="9"/>
  <c r="F112" i="9"/>
  <c r="D112" i="9"/>
  <c r="F111" i="9"/>
  <c r="D111" i="9"/>
  <c r="F109" i="9"/>
  <c r="D109" i="9"/>
  <c r="F108" i="9"/>
  <c r="D108" i="9"/>
  <c r="F106" i="9"/>
  <c r="D106" i="9"/>
  <c r="F105" i="9"/>
  <c r="D105" i="9"/>
  <c r="F103" i="9"/>
  <c r="D103" i="9"/>
  <c r="F102" i="9"/>
  <c r="D102" i="9"/>
  <c r="E100" i="9"/>
  <c r="F100" i="9" s="1"/>
  <c r="D100" i="9"/>
  <c r="A100" i="9"/>
  <c r="E99" i="9"/>
  <c r="F99" i="9" s="1"/>
  <c r="D99" i="9"/>
  <c r="A99" i="9"/>
  <c r="E98" i="9"/>
  <c r="F98" i="9" s="1"/>
  <c r="D98" i="9"/>
  <c r="A98" i="9"/>
  <c r="E97" i="9"/>
  <c r="F97" i="9" s="1"/>
  <c r="D97" i="9"/>
  <c r="A97" i="9"/>
  <c r="E96" i="9"/>
  <c r="F96" i="9" s="1"/>
  <c r="D96" i="9"/>
  <c r="A96" i="9"/>
  <c r="E95" i="9"/>
  <c r="F95" i="9" s="1"/>
  <c r="D95" i="9"/>
  <c r="A95" i="9"/>
  <c r="E94" i="9"/>
  <c r="F94" i="9" s="1"/>
  <c r="D94" i="9"/>
  <c r="A94" i="9"/>
  <c r="E93" i="9"/>
  <c r="F93" i="9" s="1"/>
  <c r="D93" i="9"/>
  <c r="A93" i="9"/>
  <c r="E92" i="9"/>
  <c r="F92" i="9" s="1"/>
  <c r="D92" i="9"/>
  <c r="A92" i="9"/>
  <c r="E91" i="9"/>
  <c r="F91" i="9" s="1"/>
  <c r="D91" i="9"/>
  <c r="A91" i="9"/>
  <c r="E90" i="9"/>
  <c r="F90" i="9" s="1"/>
  <c r="D90" i="9"/>
  <c r="A90" i="9"/>
  <c r="D88" i="9"/>
  <c r="A88" i="9"/>
  <c r="F88" i="9" s="1"/>
  <c r="D87" i="9"/>
  <c r="A87" i="9"/>
  <c r="F87" i="9" s="1"/>
  <c r="F86" i="9"/>
  <c r="A86" i="9"/>
  <c r="D86" i="9" s="1"/>
  <c r="F85" i="9"/>
  <c r="D85" i="9"/>
  <c r="A85" i="9"/>
  <c r="F84" i="9"/>
  <c r="D84" i="9"/>
  <c r="A84" i="9"/>
  <c r="D83" i="9"/>
  <c r="A83" i="9"/>
  <c r="F83" i="9" s="1"/>
  <c r="F82" i="9"/>
  <c r="A82" i="9"/>
  <c r="D82" i="9" s="1"/>
  <c r="F81" i="9"/>
  <c r="D81" i="9"/>
  <c r="A81" i="9"/>
  <c r="A80" i="9"/>
  <c r="F80" i="9" s="1"/>
  <c r="D79" i="9"/>
  <c r="A79" i="9"/>
  <c r="F79" i="9" s="1"/>
  <c r="A78" i="9"/>
  <c r="D78" i="9" s="1"/>
  <c r="S67" i="9"/>
  <c r="R67" i="9"/>
  <c r="Q67" i="9"/>
  <c r="O67" i="9"/>
  <c r="N67" i="9"/>
  <c r="S66" i="9"/>
  <c r="R66" i="9"/>
  <c r="Q66" i="9"/>
  <c r="N66" i="9" s="1"/>
  <c r="O66" i="9"/>
  <c r="S64" i="9"/>
  <c r="R64" i="9"/>
  <c r="Q64" i="9"/>
  <c r="N64" i="9" s="1"/>
  <c r="O64" i="9"/>
  <c r="S63" i="9"/>
  <c r="R63" i="9"/>
  <c r="Q63" i="9"/>
  <c r="S61" i="9"/>
  <c r="O61" i="9" s="1"/>
  <c r="R61" i="9"/>
  <c r="Q61" i="9"/>
  <c r="N61" i="9"/>
  <c r="S60" i="9"/>
  <c r="R60" i="9"/>
  <c r="Q60" i="9"/>
  <c r="O60" i="9"/>
  <c r="N60" i="9"/>
  <c r="S58" i="9"/>
  <c r="R58" i="9"/>
  <c r="Q58" i="9"/>
  <c r="N58" i="9" s="1"/>
  <c r="O58" i="9"/>
  <c r="S57" i="9"/>
  <c r="O57" i="9" s="1"/>
  <c r="R57" i="9"/>
  <c r="Q57" i="9"/>
  <c r="AE30" i="9"/>
  <c r="AD30" i="9"/>
  <c r="R30" i="9"/>
  <c r="Q30" i="9"/>
  <c r="AE29" i="9"/>
  <c r="S29" i="9"/>
  <c r="O29" i="9" s="1"/>
  <c r="R29" i="9"/>
  <c r="Q29" i="9"/>
  <c r="N29" i="9"/>
  <c r="AE28" i="9"/>
  <c r="R28" i="9"/>
  <c r="Q28" i="9"/>
  <c r="AE27" i="9"/>
  <c r="S27" i="9"/>
  <c r="O27" i="9" s="1"/>
  <c r="R27" i="9"/>
  <c r="Q27" i="9"/>
  <c r="AE26" i="9"/>
  <c r="R26" i="9"/>
  <c r="Q26" i="9"/>
  <c r="R5" i="9"/>
  <c r="AD5" i="9" s="1"/>
  <c r="Q5" i="9"/>
  <c r="AE4" i="9"/>
  <c r="AD4" i="9"/>
  <c r="AC4" i="9"/>
  <c r="S4" i="9"/>
  <c r="O4" i="9"/>
  <c r="N4" i="9"/>
  <c r="F181" i="8"/>
  <c r="D181" i="8"/>
  <c r="F180" i="8"/>
  <c r="D180" i="8"/>
  <c r="F178" i="8"/>
  <c r="D178" i="8"/>
  <c r="F177" i="8"/>
  <c r="D177" i="8"/>
  <c r="F175" i="8"/>
  <c r="D175" i="8"/>
  <c r="F174" i="8"/>
  <c r="D174" i="8"/>
  <c r="F172" i="8"/>
  <c r="D172" i="8"/>
  <c r="F171" i="8"/>
  <c r="D171" i="8"/>
  <c r="F169" i="8"/>
  <c r="D169" i="8"/>
  <c r="F168" i="8"/>
  <c r="D168" i="8"/>
  <c r="F166" i="8"/>
  <c r="D166" i="8"/>
  <c r="F165" i="8"/>
  <c r="D165" i="8"/>
  <c r="F163" i="8"/>
  <c r="D163" i="8"/>
  <c r="F162" i="8"/>
  <c r="D162" i="8"/>
  <c r="F160" i="8"/>
  <c r="D160" i="8"/>
  <c r="F159" i="8"/>
  <c r="D159" i="8"/>
  <c r="F157" i="8"/>
  <c r="D157" i="8"/>
  <c r="F156" i="8"/>
  <c r="D156" i="8"/>
  <c r="F154" i="8"/>
  <c r="D154" i="8"/>
  <c r="F153" i="8"/>
  <c r="D153" i="8"/>
  <c r="F151" i="8"/>
  <c r="D151" i="8"/>
  <c r="F150" i="8"/>
  <c r="D150" i="8"/>
  <c r="F148" i="8"/>
  <c r="D148" i="8"/>
  <c r="F147" i="8"/>
  <c r="D147" i="8"/>
  <c r="F145" i="8"/>
  <c r="D145" i="8"/>
  <c r="F144" i="8"/>
  <c r="D144" i="8"/>
  <c r="F142" i="8"/>
  <c r="D142" i="8"/>
  <c r="F141" i="8"/>
  <c r="D141" i="8"/>
  <c r="F139" i="8"/>
  <c r="D139" i="8"/>
  <c r="F138" i="8"/>
  <c r="D138" i="8"/>
  <c r="F136" i="8"/>
  <c r="D136" i="8"/>
  <c r="F135" i="8"/>
  <c r="D135" i="8"/>
  <c r="F133" i="8"/>
  <c r="D133" i="8"/>
  <c r="F132" i="8"/>
  <c r="D132" i="8"/>
  <c r="F130" i="8"/>
  <c r="D130" i="8"/>
  <c r="F129" i="8"/>
  <c r="D129" i="8"/>
  <c r="F127" i="8"/>
  <c r="D127" i="8"/>
  <c r="F126" i="8"/>
  <c r="D126" i="8"/>
  <c r="F124" i="8"/>
  <c r="D124" i="8"/>
  <c r="F123" i="8"/>
  <c r="D123" i="8"/>
  <c r="F121" i="8"/>
  <c r="D121" i="8"/>
  <c r="F120" i="8"/>
  <c r="D120" i="8"/>
  <c r="F118" i="8"/>
  <c r="D118" i="8"/>
  <c r="F117" i="8"/>
  <c r="D117" i="8"/>
  <c r="F115" i="8"/>
  <c r="D115" i="8"/>
  <c r="F114" i="8"/>
  <c r="D114" i="8"/>
  <c r="F112" i="8"/>
  <c r="D112" i="8"/>
  <c r="F111" i="8"/>
  <c r="D111" i="8"/>
  <c r="F109" i="8"/>
  <c r="D109" i="8"/>
  <c r="F108" i="8"/>
  <c r="D108" i="8"/>
  <c r="F106" i="8"/>
  <c r="D106" i="8"/>
  <c r="F105" i="8"/>
  <c r="D105" i="8"/>
  <c r="F103" i="8"/>
  <c r="D103" i="8"/>
  <c r="F102" i="8"/>
  <c r="D102" i="8"/>
  <c r="F100" i="8"/>
  <c r="D100" i="8"/>
  <c r="A100" i="8"/>
  <c r="E100" i="8" s="1"/>
  <c r="A99" i="8"/>
  <c r="E99" i="8" s="1"/>
  <c r="F99" i="8" s="1"/>
  <c r="A98" i="8"/>
  <c r="E98" i="8" s="1"/>
  <c r="F98" i="8" s="1"/>
  <c r="A97" i="8"/>
  <c r="F96" i="8"/>
  <c r="D96" i="8"/>
  <c r="A96" i="8"/>
  <c r="E96" i="8" s="1"/>
  <c r="F95" i="8"/>
  <c r="A95" i="8"/>
  <c r="E95" i="8" s="1"/>
  <c r="A94" i="8"/>
  <c r="E94" i="8" s="1"/>
  <c r="F94" i="8" s="1"/>
  <c r="A93" i="8"/>
  <c r="F92" i="8"/>
  <c r="D92" i="8"/>
  <c r="A92" i="8"/>
  <c r="E92" i="8" s="1"/>
  <c r="A91" i="8"/>
  <c r="E91" i="8" s="1"/>
  <c r="F91" i="8" s="1"/>
  <c r="A90" i="8"/>
  <c r="E90" i="8" s="1"/>
  <c r="F90" i="8" s="1"/>
  <c r="F88" i="8"/>
  <c r="A88" i="8"/>
  <c r="D88" i="8" s="1"/>
  <c r="F87" i="8"/>
  <c r="D87" i="8"/>
  <c r="A87" i="8"/>
  <c r="D86" i="8"/>
  <c r="A86" i="8"/>
  <c r="F86" i="8" s="1"/>
  <c r="D85" i="8"/>
  <c r="A85" i="8"/>
  <c r="F85" i="8" s="1"/>
  <c r="F84" i="8"/>
  <c r="A84" i="8"/>
  <c r="D84" i="8" s="1"/>
  <c r="F83" i="8"/>
  <c r="D83" i="8"/>
  <c r="A83" i="8"/>
  <c r="F82" i="8"/>
  <c r="D82" i="8"/>
  <c r="A82" i="8"/>
  <c r="D81" i="8"/>
  <c r="A81" i="8"/>
  <c r="F81" i="8" s="1"/>
  <c r="F80" i="8"/>
  <c r="A80" i="8"/>
  <c r="D80" i="8" s="1"/>
  <c r="F79" i="8"/>
  <c r="D79" i="8"/>
  <c r="A79" i="8"/>
  <c r="A78" i="8"/>
  <c r="F78" i="8" s="1"/>
  <c r="S67" i="8"/>
  <c r="R67" i="8"/>
  <c r="Q67" i="8"/>
  <c r="N67" i="8" s="1"/>
  <c r="O67" i="8"/>
  <c r="S66" i="8"/>
  <c r="O66" i="8" s="1"/>
  <c r="R66" i="8"/>
  <c r="Q66" i="8"/>
  <c r="N66" i="8"/>
  <c r="S64" i="8"/>
  <c r="R64" i="8"/>
  <c r="Q64" i="8"/>
  <c r="O64" i="8"/>
  <c r="N64" i="8"/>
  <c r="S63" i="8"/>
  <c r="R63" i="8"/>
  <c r="Q63" i="8"/>
  <c r="N63" i="8" s="1"/>
  <c r="O63" i="8"/>
  <c r="S61" i="8"/>
  <c r="R61" i="8"/>
  <c r="Q61" i="8"/>
  <c r="N61" i="8" s="1"/>
  <c r="O61" i="8"/>
  <c r="S60" i="8"/>
  <c r="R60" i="8"/>
  <c r="Q60" i="8"/>
  <c r="AD31" i="8"/>
  <c r="AE31" i="8" s="1"/>
  <c r="R31" i="8"/>
  <c r="S31" i="8" s="1"/>
  <c r="Q31" i="8"/>
  <c r="AE30" i="8"/>
  <c r="R30" i="8"/>
  <c r="Q30" i="8"/>
  <c r="S30" i="8" s="1"/>
  <c r="AE29" i="8"/>
  <c r="R29" i="8"/>
  <c r="S29" i="8" s="1"/>
  <c r="Q29" i="8"/>
  <c r="AE28" i="8"/>
  <c r="R28" i="8"/>
  <c r="Q28" i="8"/>
  <c r="S28" i="8" s="1"/>
  <c r="N28" i="8" s="1"/>
  <c r="O28" i="8"/>
  <c r="AE27" i="8"/>
  <c r="R27" i="8"/>
  <c r="S27" i="8" s="1"/>
  <c r="Q27" i="8"/>
  <c r="AE26" i="8"/>
  <c r="R26" i="8"/>
  <c r="Q26" i="8"/>
  <c r="R6" i="8"/>
  <c r="AD5" i="8"/>
  <c r="R5" i="8"/>
  <c r="R45" i="8" s="1"/>
  <c r="Q5" i="8"/>
  <c r="AE4" i="8"/>
  <c r="AD4" i="8"/>
  <c r="AC4" i="8"/>
  <c r="S4" i="8"/>
  <c r="O4" i="8"/>
  <c r="N4" i="8"/>
  <c r="F181" i="7"/>
  <c r="D181" i="7"/>
  <c r="F180" i="7"/>
  <c r="D180" i="7"/>
  <c r="F178" i="7"/>
  <c r="D178" i="7"/>
  <c r="F177" i="7"/>
  <c r="D177" i="7"/>
  <c r="F175" i="7"/>
  <c r="D175" i="7"/>
  <c r="F174" i="7"/>
  <c r="D174" i="7"/>
  <c r="F172" i="7"/>
  <c r="D172" i="7"/>
  <c r="F171" i="7"/>
  <c r="D171" i="7"/>
  <c r="F169" i="7"/>
  <c r="D169" i="7"/>
  <c r="F168" i="7"/>
  <c r="D168" i="7"/>
  <c r="F166" i="7"/>
  <c r="D166" i="7"/>
  <c r="F165" i="7"/>
  <c r="D165" i="7"/>
  <c r="F163" i="7"/>
  <c r="D163" i="7"/>
  <c r="F162" i="7"/>
  <c r="D162" i="7"/>
  <c r="F160" i="7"/>
  <c r="D160" i="7"/>
  <c r="F159" i="7"/>
  <c r="D159" i="7"/>
  <c r="F157" i="7"/>
  <c r="D157" i="7"/>
  <c r="F156" i="7"/>
  <c r="D156" i="7"/>
  <c r="F154" i="7"/>
  <c r="D154" i="7"/>
  <c r="F153" i="7"/>
  <c r="D153" i="7"/>
  <c r="F151" i="7"/>
  <c r="D151" i="7"/>
  <c r="F150" i="7"/>
  <c r="D150" i="7"/>
  <c r="F148" i="7"/>
  <c r="D148" i="7"/>
  <c r="F147" i="7"/>
  <c r="D147" i="7"/>
  <c r="F145" i="7"/>
  <c r="D145" i="7"/>
  <c r="F144" i="7"/>
  <c r="D144" i="7"/>
  <c r="F142" i="7"/>
  <c r="D142" i="7"/>
  <c r="F141" i="7"/>
  <c r="D141" i="7"/>
  <c r="F139" i="7"/>
  <c r="D139" i="7"/>
  <c r="F138" i="7"/>
  <c r="D138" i="7"/>
  <c r="F136" i="7"/>
  <c r="D136" i="7"/>
  <c r="F135" i="7"/>
  <c r="D135" i="7"/>
  <c r="F133" i="7"/>
  <c r="D133" i="7"/>
  <c r="F132" i="7"/>
  <c r="D132" i="7"/>
  <c r="F130" i="7"/>
  <c r="D130" i="7"/>
  <c r="F129" i="7"/>
  <c r="D129" i="7"/>
  <c r="F127" i="7"/>
  <c r="D127" i="7"/>
  <c r="F126" i="7"/>
  <c r="D126" i="7"/>
  <c r="F124" i="7"/>
  <c r="D124" i="7"/>
  <c r="F123" i="7"/>
  <c r="D123" i="7"/>
  <c r="F121" i="7"/>
  <c r="D121" i="7"/>
  <c r="F120" i="7"/>
  <c r="D120" i="7"/>
  <c r="F118" i="7"/>
  <c r="D118" i="7"/>
  <c r="F117" i="7"/>
  <c r="D117" i="7"/>
  <c r="F115" i="7"/>
  <c r="D115" i="7"/>
  <c r="F114" i="7"/>
  <c r="D114" i="7"/>
  <c r="F112" i="7"/>
  <c r="D112" i="7"/>
  <c r="F111" i="7"/>
  <c r="D111" i="7"/>
  <c r="F109" i="7"/>
  <c r="D109" i="7"/>
  <c r="F108" i="7"/>
  <c r="D108" i="7"/>
  <c r="F106" i="7"/>
  <c r="D106" i="7"/>
  <c r="F105" i="7"/>
  <c r="D105" i="7"/>
  <c r="F103" i="7"/>
  <c r="D103" i="7"/>
  <c r="F102" i="7"/>
  <c r="D102" i="7"/>
  <c r="F100" i="7"/>
  <c r="D100" i="7"/>
  <c r="A100" i="7"/>
  <c r="E100" i="7" s="1"/>
  <c r="A99" i="7"/>
  <c r="A98" i="7"/>
  <c r="F97" i="7"/>
  <c r="D97" i="7"/>
  <c r="A97" i="7"/>
  <c r="E97" i="7" s="1"/>
  <c r="A96" i="7"/>
  <c r="D95" i="7"/>
  <c r="A95" i="7"/>
  <c r="E95" i="7" s="1"/>
  <c r="F95" i="7" s="1"/>
  <c r="A94" i="7"/>
  <c r="F93" i="7"/>
  <c r="D93" i="7"/>
  <c r="A93" i="7"/>
  <c r="E93" i="7" s="1"/>
  <c r="E92" i="7"/>
  <c r="F92" i="7" s="1"/>
  <c r="D92" i="7"/>
  <c r="A92" i="7"/>
  <c r="E91" i="7"/>
  <c r="F91" i="7" s="1"/>
  <c r="D91" i="7"/>
  <c r="A91" i="7"/>
  <c r="E90" i="7"/>
  <c r="F90" i="7" s="1"/>
  <c r="D90" i="7"/>
  <c r="A90" i="7"/>
  <c r="F88" i="7"/>
  <c r="D88" i="7"/>
  <c r="A88" i="7"/>
  <c r="A87" i="7"/>
  <c r="F86" i="7"/>
  <c r="A86" i="7"/>
  <c r="D86" i="7" s="1"/>
  <c r="F85" i="7"/>
  <c r="D85" i="7"/>
  <c r="A85" i="7"/>
  <c r="A84" i="7"/>
  <c r="D83" i="7"/>
  <c r="A83" i="7"/>
  <c r="F83" i="7" s="1"/>
  <c r="A82" i="7"/>
  <c r="F81" i="7"/>
  <c r="D81" i="7"/>
  <c r="A81" i="7"/>
  <c r="F80" i="7"/>
  <c r="D80" i="7"/>
  <c r="A80" i="7"/>
  <c r="A79" i="7"/>
  <c r="F78" i="7"/>
  <c r="A78" i="7"/>
  <c r="D78" i="7" s="1"/>
  <c r="S67" i="7"/>
  <c r="O67" i="7" s="1"/>
  <c r="R67" i="7"/>
  <c r="Q67" i="7"/>
  <c r="N67" i="7"/>
  <c r="S66" i="7"/>
  <c r="O66" i="7" s="1"/>
  <c r="R66" i="7"/>
  <c r="Q66" i="7"/>
  <c r="N66" i="7"/>
  <c r="S64" i="7"/>
  <c r="R64" i="7"/>
  <c r="Q64" i="7"/>
  <c r="N64" i="7" s="1"/>
  <c r="O64" i="7"/>
  <c r="S63" i="7"/>
  <c r="O63" i="7" s="1"/>
  <c r="R63" i="7"/>
  <c r="Q63" i="7"/>
  <c r="N63" i="7"/>
  <c r="Q45" i="7"/>
  <c r="AD32" i="7"/>
  <c r="AE32" i="7" s="1"/>
  <c r="R32" i="7"/>
  <c r="Q32" i="7"/>
  <c r="S32" i="7" s="1"/>
  <c r="AE31" i="7"/>
  <c r="S31" i="7"/>
  <c r="O31" i="7" s="1"/>
  <c r="R31" i="7"/>
  <c r="Q31" i="7"/>
  <c r="AE30" i="7"/>
  <c r="R30" i="7"/>
  <c r="Q30" i="7"/>
  <c r="S30" i="7" s="1"/>
  <c r="N30" i="7" s="1"/>
  <c r="O30" i="7"/>
  <c r="AE29" i="7"/>
  <c r="R29" i="7"/>
  <c r="S29" i="7" s="1"/>
  <c r="N29" i="7" s="1"/>
  <c r="Q29" i="7"/>
  <c r="O29" i="7"/>
  <c r="AE28" i="7"/>
  <c r="R28" i="7"/>
  <c r="Q28" i="7"/>
  <c r="S28" i="7" s="1"/>
  <c r="AE27" i="7"/>
  <c r="S27" i="7"/>
  <c r="O27" i="7" s="1"/>
  <c r="R27" i="7"/>
  <c r="Q27" i="7"/>
  <c r="AE26" i="7"/>
  <c r="R26" i="7"/>
  <c r="Q26" i="7"/>
  <c r="S26" i="7" s="1"/>
  <c r="N26" i="7" s="1"/>
  <c r="O26" i="7"/>
  <c r="Q6" i="7"/>
  <c r="AC5" i="7"/>
  <c r="R5" i="7"/>
  <c r="Q5" i="7"/>
  <c r="AE4" i="7"/>
  <c r="AD4" i="7"/>
  <c r="AC4" i="7"/>
  <c r="S4" i="7"/>
  <c r="O4" i="7"/>
  <c r="N4" i="7"/>
  <c r="F181" i="6"/>
  <c r="D181" i="6"/>
  <c r="F180" i="6"/>
  <c r="D180" i="6"/>
  <c r="F178" i="6"/>
  <c r="D178" i="6"/>
  <c r="F177" i="6"/>
  <c r="D177" i="6"/>
  <c r="F175" i="6"/>
  <c r="D175" i="6"/>
  <c r="F174" i="6"/>
  <c r="D174" i="6"/>
  <c r="F172" i="6"/>
  <c r="D172" i="6"/>
  <c r="F171" i="6"/>
  <c r="D171" i="6"/>
  <c r="F169" i="6"/>
  <c r="D169" i="6"/>
  <c r="F168" i="6"/>
  <c r="D168" i="6"/>
  <c r="F166" i="6"/>
  <c r="D166" i="6"/>
  <c r="F165" i="6"/>
  <c r="D165" i="6"/>
  <c r="F163" i="6"/>
  <c r="D163" i="6"/>
  <c r="F162" i="6"/>
  <c r="D162" i="6"/>
  <c r="F160" i="6"/>
  <c r="D160" i="6"/>
  <c r="F159" i="6"/>
  <c r="D159" i="6"/>
  <c r="F157" i="6"/>
  <c r="D157" i="6"/>
  <c r="F156" i="6"/>
  <c r="D156" i="6"/>
  <c r="F154" i="6"/>
  <c r="D154" i="6"/>
  <c r="F153" i="6"/>
  <c r="D153" i="6"/>
  <c r="F151" i="6"/>
  <c r="D151" i="6"/>
  <c r="F150" i="6"/>
  <c r="D150" i="6"/>
  <c r="F148" i="6"/>
  <c r="D148" i="6"/>
  <c r="F147" i="6"/>
  <c r="D147" i="6"/>
  <c r="F145" i="6"/>
  <c r="D145" i="6"/>
  <c r="F144" i="6"/>
  <c r="D144" i="6"/>
  <c r="F142" i="6"/>
  <c r="D142" i="6"/>
  <c r="F141" i="6"/>
  <c r="D141" i="6"/>
  <c r="F139" i="6"/>
  <c r="D139" i="6"/>
  <c r="F138" i="6"/>
  <c r="D138" i="6"/>
  <c r="F136" i="6"/>
  <c r="D136" i="6"/>
  <c r="F135" i="6"/>
  <c r="D135" i="6"/>
  <c r="F133" i="6"/>
  <c r="D133" i="6"/>
  <c r="F132" i="6"/>
  <c r="D132" i="6"/>
  <c r="F130" i="6"/>
  <c r="D130" i="6"/>
  <c r="F129" i="6"/>
  <c r="D129" i="6"/>
  <c r="F127" i="6"/>
  <c r="D127" i="6"/>
  <c r="F126" i="6"/>
  <c r="D126" i="6"/>
  <c r="F124" i="6"/>
  <c r="D124" i="6"/>
  <c r="F123" i="6"/>
  <c r="D123" i="6"/>
  <c r="F121" i="6"/>
  <c r="D121" i="6"/>
  <c r="F120" i="6"/>
  <c r="D120" i="6"/>
  <c r="F118" i="6"/>
  <c r="D118" i="6"/>
  <c r="F117" i="6"/>
  <c r="D117" i="6"/>
  <c r="F115" i="6"/>
  <c r="D115" i="6"/>
  <c r="F114" i="6"/>
  <c r="D114" i="6"/>
  <c r="F112" i="6"/>
  <c r="D112" i="6"/>
  <c r="F111" i="6"/>
  <c r="D111" i="6"/>
  <c r="F109" i="6"/>
  <c r="D109" i="6"/>
  <c r="F108" i="6"/>
  <c r="D108" i="6"/>
  <c r="F106" i="6"/>
  <c r="D106" i="6"/>
  <c r="F105" i="6"/>
  <c r="D105" i="6"/>
  <c r="F103" i="6"/>
  <c r="D103" i="6"/>
  <c r="F102" i="6"/>
  <c r="D102" i="6"/>
  <c r="A100" i="6"/>
  <c r="F99" i="6"/>
  <c r="D99" i="6"/>
  <c r="A99" i="6"/>
  <c r="E99" i="6" s="1"/>
  <c r="A98" i="6"/>
  <c r="E98" i="6" s="1"/>
  <c r="F98" i="6" s="1"/>
  <c r="D97" i="6"/>
  <c r="A97" i="6"/>
  <c r="E97" i="6" s="1"/>
  <c r="F97" i="6" s="1"/>
  <c r="A96" i="6"/>
  <c r="F95" i="6"/>
  <c r="D95" i="6"/>
  <c r="A95" i="6"/>
  <c r="E95" i="6" s="1"/>
  <c r="F94" i="6"/>
  <c r="D94" i="6"/>
  <c r="A94" i="6"/>
  <c r="E94" i="6" s="1"/>
  <c r="A93" i="6"/>
  <c r="E93" i="6" s="1"/>
  <c r="F93" i="6" s="1"/>
  <c r="A92" i="6"/>
  <c r="F91" i="6"/>
  <c r="D91" i="6"/>
  <c r="A91" i="6"/>
  <c r="E91" i="6" s="1"/>
  <c r="A90" i="6"/>
  <c r="E90" i="6" s="1"/>
  <c r="F90" i="6" s="1"/>
  <c r="A88" i="6"/>
  <c r="F87" i="6"/>
  <c r="D87" i="6"/>
  <c r="A87" i="6"/>
  <c r="F86" i="6"/>
  <c r="A86" i="6"/>
  <c r="D86" i="6" s="1"/>
  <c r="A85" i="6"/>
  <c r="F84" i="6"/>
  <c r="A84" i="6"/>
  <c r="D84" i="6" s="1"/>
  <c r="F83" i="6"/>
  <c r="D83" i="6"/>
  <c r="A83" i="6"/>
  <c r="A82" i="6"/>
  <c r="D82" i="6" s="1"/>
  <c r="A81" i="6"/>
  <c r="F81" i="6" s="1"/>
  <c r="A80" i="6"/>
  <c r="F79" i="6"/>
  <c r="D79" i="6"/>
  <c r="A79" i="6"/>
  <c r="A78" i="6"/>
  <c r="F78" i="6" s="1"/>
  <c r="S67" i="6"/>
  <c r="R67" i="6"/>
  <c r="Q67" i="6"/>
  <c r="N67" i="6" s="1"/>
  <c r="O67" i="6"/>
  <c r="S66" i="6"/>
  <c r="O66" i="6" s="1"/>
  <c r="R66" i="6"/>
  <c r="Q66" i="6"/>
  <c r="N66" i="6"/>
  <c r="S63" i="6"/>
  <c r="R63" i="6"/>
  <c r="Q63" i="6"/>
  <c r="N63" i="6" s="1"/>
  <c r="O63" i="6"/>
  <c r="S60" i="6"/>
  <c r="O60" i="6" s="1"/>
  <c r="R60" i="6"/>
  <c r="Q60" i="6"/>
  <c r="N60" i="6" s="1"/>
  <c r="S57" i="6"/>
  <c r="R57" i="6"/>
  <c r="Q57" i="6"/>
  <c r="N57" i="6" s="1"/>
  <c r="O57" i="6"/>
  <c r="S54" i="6"/>
  <c r="O54" i="6" s="1"/>
  <c r="R54" i="6"/>
  <c r="Q54" i="6"/>
  <c r="N54" i="6"/>
  <c r="S51" i="6"/>
  <c r="R51" i="6"/>
  <c r="Q51" i="6"/>
  <c r="N51" i="6" s="1"/>
  <c r="O51" i="6"/>
  <c r="S48" i="6"/>
  <c r="O48" i="6" s="1"/>
  <c r="R48" i="6"/>
  <c r="Q48" i="6"/>
  <c r="N48" i="6" s="1"/>
  <c r="S45" i="6"/>
  <c r="R45" i="6"/>
  <c r="Q45" i="6"/>
  <c r="N45" i="6" s="1"/>
  <c r="O45" i="6"/>
  <c r="AD33" i="6"/>
  <c r="AE33" i="6" s="1"/>
  <c r="R33" i="6"/>
  <c r="S33" i="6" s="1"/>
  <c r="Q33" i="6"/>
  <c r="AE32" i="6"/>
  <c r="R32" i="6"/>
  <c r="Q32" i="6"/>
  <c r="S32" i="6" s="1"/>
  <c r="N32" i="6" s="1"/>
  <c r="O32" i="6"/>
  <c r="AE31" i="6"/>
  <c r="R31" i="6"/>
  <c r="S31" i="6" s="1"/>
  <c r="N31" i="6" s="1"/>
  <c r="Q31" i="6"/>
  <c r="AE30" i="6"/>
  <c r="R30" i="6"/>
  <c r="Q30" i="6"/>
  <c r="AE29" i="6"/>
  <c r="R29" i="6"/>
  <c r="S29" i="6" s="1"/>
  <c r="Q29" i="6"/>
  <c r="AE28" i="6"/>
  <c r="R28" i="6"/>
  <c r="Q28" i="6"/>
  <c r="S28" i="6" s="1"/>
  <c r="N28" i="6" s="1"/>
  <c r="O28" i="6"/>
  <c r="AE27" i="6"/>
  <c r="R27" i="6"/>
  <c r="S27" i="6" s="1"/>
  <c r="N27" i="6" s="1"/>
  <c r="Q27" i="6"/>
  <c r="O27" i="6"/>
  <c r="AE26" i="6"/>
  <c r="R26" i="6"/>
  <c r="Q26" i="6"/>
  <c r="S26" i="6" s="1"/>
  <c r="AE11" i="6"/>
  <c r="AD11" i="6"/>
  <c r="AC11" i="6"/>
  <c r="O11" i="6"/>
  <c r="N11" i="6"/>
  <c r="AE10" i="6"/>
  <c r="AD10" i="6"/>
  <c r="AC10" i="6"/>
  <c r="O10" i="6"/>
  <c r="N10" i="6"/>
  <c r="AE9" i="6"/>
  <c r="AD9" i="6"/>
  <c r="AC9" i="6"/>
  <c r="O9" i="6"/>
  <c r="N9" i="6"/>
  <c r="AE8" i="6"/>
  <c r="AD8" i="6"/>
  <c r="AC8" i="6"/>
  <c r="O8" i="6"/>
  <c r="N8" i="6"/>
  <c r="AE7" i="6"/>
  <c r="AD7" i="6"/>
  <c r="AC7" i="6"/>
  <c r="O7" i="6"/>
  <c r="N7" i="6"/>
  <c r="AE6" i="6"/>
  <c r="AD6" i="6"/>
  <c r="AC6" i="6"/>
  <c r="O6" i="6"/>
  <c r="N6" i="6"/>
  <c r="AE5" i="6"/>
  <c r="AD5" i="6"/>
  <c r="AC5" i="6"/>
  <c r="O5" i="6"/>
  <c r="N5" i="6"/>
  <c r="AE4" i="6"/>
  <c r="AD4" i="6"/>
  <c r="AC4" i="6"/>
  <c r="O4" i="6"/>
  <c r="N4" i="6"/>
  <c r="F181" i="5"/>
  <c r="D181" i="5"/>
  <c r="F180" i="5"/>
  <c r="D180" i="5"/>
  <c r="F178" i="5"/>
  <c r="D178" i="5"/>
  <c r="F177" i="5"/>
  <c r="D177" i="5"/>
  <c r="F175" i="5"/>
  <c r="D175" i="5"/>
  <c r="F174" i="5"/>
  <c r="D174" i="5"/>
  <c r="F172" i="5"/>
  <c r="D172" i="5"/>
  <c r="F171" i="5"/>
  <c r="D171" i="5"/>
  <c r="F169" i="5"/>
  <c r="D169" i="5"/>
  <c r="F168" i="5"/>
  <c r="D168" i="5"/>
  <c r="F166" i="5"/>
  <c r="D166" i="5"/>
  <c r="F165" i="5"/>
  <c r="D165" i="5"/>
  <c r="F163" i="5"/>
  <c r="D163" i="5"/>
  <c r="F162" i="5"/>
  <c r="D162" i="5"/>
  <c r="F160" i="5"/>
  <c r="D160" i="5"/>
  <c r="F159" i="5"/>
  <c r="D159" i="5"/>
  <c r="F157" i="5"/>
  <c r="D157" i="5"/>
  <c r="F156" i="5"/>
  <c r="D156" i="5"/>
  <c r="F154" i="5"/>
  <c r="D154" i="5"/>
  <c r="F153" i="5"/>
  <c r="D153" i="5"/>
  <c r="F151" i="5"/>
  <c r="D151" i="5"/>
  <c r="F150" i="5"/>
  <c r="D150" i="5"/>
  <c r="F148" i="5"/>
  <c r="D148" i="5"/>
  <c r="F147" i="5"/>
  <c r="D147" i="5"/>
  <c r="F145" i="5"/>
  <c r="D145" i="5"/>
  <c r="F144" i="5"/>
  <c r="D144" i="5"/>
  <c r="F142" i="5"/>
  <c r="D142" i="5"/>
  <c r="F141" i="5"/>
  <c r="D141" i="5"/>
  <c r="F139" i="5"/>
  <c r="D139" i="5"/>
  <c r="F138" i="5"/>
  <c r="D138" i="5"/>
  <c r="F136" i="5"/>
  <c r="D136" i="5"/>
  <c r="F135" i="5"/>
  <c r="D135" i="5"/>
  <c r="F133" i="5"/>
  <c r="D133" i="5"/>
  <c r="F132" i="5"/>
  <c r="D132" i="5"/>
  <c r="F130" i="5"/>
  <c r="D130" i="5"/>
  <c r="F129" i="5"/>
  <c r="D129" i="5"/>
  <c r="F127" i="5"/>
  <c r="D127" i="5"/>
  <c r="F126" i="5"/>
  <c r="D126" i="5"/>
  <c r="F124" i="5"/>
  <c r="D124" i="5"/>
  <c r="F123" i="5"/>
  <c r="D123" i="5"/>
  <c r="F121" i="5"/>
  <c r="D121" i="5"/>
  <c r="F120" i="5"/>
  <c r="D120" i="5"/>
  <c r="F118" i="5"/>
  <c r="D118" i="5"/>
  <c r="F117" i="5"/>
  <c r="D117" i="5"/>
  <c r="F115" i="5"/>
  <c r="D115" i="5"/>
  <c r="F114" i="5"/>
  <c r="D114" i="5"/>
  <c r="F112" i="5"/>
  <c r="D112" i="5"/>
  <c r="F111" i="5"/>
  <c r="D111" i="5"/>
  <c r="F109" i="5"/>
  <c r="D109" i="5"/>
  <c r="F108" i="5"/>
  <c r="D108" i="5"/>
  <c r="F106" i="5"/>
  <c r="D106" i="5"/>
  <c r="F105" i="5"/>
  <c r="D105" i="5"/>
  <c r="F103" i="5"/>
  <c r="D103" i="5"/>
  <c r="F102" i="5"/>
  <c r="D102" i="5"/>
  <c r="E100" i="5"/>
  <c r="F100" i="5" s="1"/>
  <c r="D100" i="5"/>
  <c r="A100" i="5"/>
  <c r="E99" i="5"/>
  <c r="F99" i="5" s="1"/>
  <c r="D99" i="5"/>
  <c r="A99" i="5"/>
  <c r="E98" i="5"/>
  <c r="F98" i="5" s="1"/>
  <c r="D98" i="5"/>
  <c r="A98" i="5"/>
  <c r="E97" i="5"/>
  <c r="F97" i="5" s="1"/>
  <c r="D97" i="5"/>
  <c r="A97" i="5"/>
  <c r="E96" i="5"/>
  <c r="F96" i="5" s="1"/>
  <c r="D96" i="5"/>
  <c r="A96" i="5"/>
  <c r="E95" i="5"/>
  <c r="F95" i="5" s="1"/>
  <c r="D95" i="5"/>
  <c r="A95" i="5"/>
  <c r="E94" i="5"/>
  <c r="F94" i="5" s="1"/>
  <c r="D94" i="5"/>
  <c r="A94" i="5"/>
  <c r="E93" i="5"/>
  <c r="F93" i="5" s="1"/>
  <c r="D93" i="5"/>
  <c r="A93" i="5"/>
  <c r="E92" i="5"/>
  <c r="F92" i="5" s="1"/>
  <c r="D92" i="5"/>
  <c r="A92" i="5"/>
  <c r="E91" i="5"/>
  <c r="F91" i="5" s="1"/>
  <c r="D91" i="5"/>
  <c r="A91" i="5"/>
  <c r="E90" i="5"/>
  <c r="F90" i="5" s="1"/>
  <c r="D90" i="5"/>
  <c r="A90" i="5"/>
  <c r="F88" i="5"/>
  <c r="D88" i="5"/>
  <c r="A88" i="5"/>
  <c r="A87" i="5"/>
  <c r="A86" i="5"/>
  <c r="D86" i="5" s="1"/>
  <c r="F85" i="5"/>
  <c r="D85" i="5"/>
  <c r="A85" i="5"/>
  <c r="F84" i="5"/>
  <c r="A84" i="5"/>
  <c r="D84" i="5" s="1"/>
  <c r="A83" i="5"/>
  <c r="F83" i="5" s="1"/>
  <c r="A82" i="5"/>
  <c r="F81" i="5"/>
  <c r="D81" i="5"/>
  <c r="A81" i="5"/>
  <c r="F80" i="5"/>
  <c r="A80" i="5"/>
  <c r="D80" i="5" s="1"/>
  <c r="A79" i="5"/>
  <c r="F78" i="5"/>
  <c r="A78" i="5"/>
  <c r="D78" i="5" s="1"/>
  <c r="S66" i="5"/>
  <c r="R66" i="5"/>
  <c r="Q66" i="5"/>
  <c r="N66" i="5" s="1"/>
  <c r="O66" i="5"/>
  <c r="S63" i="5"/>
  <c r="O63" i="5" s="1"/>
  <c r="R63" i="5"/>
  <c r="Q63" i="5"/>
  <c r="N63" i="5"/>
  <c r="S60" i="5"/>
  <c r="R60" i="5"/>
  <c r="Q60" i="5"/>
  <c r="N60" i="5" s="1"/>
  <c r="O60" i="5"/>
  <c r="S57" i="5"/>
  <c r="O57" i="5" s="1"/>
  <c r="R57" i="5"/>
  <c r="Q57" i="5"/>
  <c r="N57" i="5" s="1"/>
  <c r="S54" i="5"/>
  <c r="R54" i="5"/>
  <c r="Q54" i="5"/>
  <c r="N54" i="5" s="1"/>
  <c r="O54" i="5"/>
  <c r="S51" i="5"/>
  <c r="O51" i="5" s="1"/>
  <c r="R51" i="5"/>
  <c r="Q51" i="5"/>
  <c r="N51" i="5"/>
  <c r="S48" i="5"/>
  <c r="R48" i="5"/>
  <c r="Q48" i="5"/>
  <c r="N48" i="5" s="1"/>
  <c r="O48" i="5"/>
  <c r="S45" i="5"/>
  <c r="O45" i="5" s="1"/>
  <c r="R45" i="5"/>
  <c r="Q45" i="5"/>
  <c r="N45" i="5" s="1"/>
  <c r="AD34" i="5"/>
  <c r="AE34" i="5" s="1"/>
  <c r="R34" i="5"/>
  <c r="Q34" i="5"/>
  <c r="S34" i="5" s="1"/>
  <c r="AE33" i="5"/>
  <c r="R33" i="5"/>
  <c r="S33" i="5" s="1"/>
  <c r="Q33" i="5"/>
  <c r="AE32" i="5"/>
  <c r="R32" i="5"/>
  <c r="Q32" i="5"/>
  <c r="S32" i="5" s="1"/>
  <c r="N32" i="5" s="1"/>
  <c r="O32" i="5"/>
  <c r="AE31" i="5"/>
  <c r="R31" i="5"/>
  <c r="S31" i="5" s="1"/>
  <c r="N31" i="5" s="1"/>
  <c r="Q31" i="5"/>
  <c r="AE30" i="5"/>
  <c r="R30" i="5"/>
  <c r="Q30" i="5"/>
  <c r="AE29" i="5"/>
  <c r="R29" i="5"/>
  <c r="S29" i="5" s="1"/>
  <c r="Q29" i="5"/>
  <c r="AE28" i="5"/>
  <c r="R28" i="5"/>
  <c r="Q28" i="5"/>
  <c r="S28" i="5" s="1"/>
  <c r="N28" i="5" s="1"/>
  <c r="O28" i="5"/>
  <c r="AE27" i="5"/>
  <c r="R27" i="5"/>
  <c r="S27" i="5" s="1"/>
  <c r="N27" i="5" s="1"/>
  <c r="Q27" i="5"/>
  <c r="O27" i="5"/>
  <c r="AE26" i="5"/>
  <c r="R26" i="5"/>
  <c r="Q26" i="5"/>
  <c r="S26" i="5" s="1"/>
  <c r="AE12" i="5"/>
  <c r="AD12" i="5"/>
  <c r="AC12" i="5"/>
  <c r="O12" i="5"/>
  <c r="N12" i="5"/>
  <c r="AE11" i="5"/>
  <c r="AD11" i="5"/>
  <c r="AC11" i="5"/>
  <c r="O11" i="5"/>
  <c r="N11" i="5"/>
  <c r="AE10" i="5"/>
  <c r="AD10" i="5"/>
  <c r="AC10" i="5"/>
  <c r="O10" i="5"/>
  <c r="N10" i="5"/>
  <c r="AE9" i="5"/>
  <c r="AD9" i="5"/>
  <c r="AC9" i="5"/>
  <c r="O9" i="5"/>
  <c r="N9" i="5"/>
  <c r="AE8" i="5"/>
  <c r="AD8" i="5"/>
  <c r="AC8" i="5"/>
  <c r="O8" i="5"/>
  <c r="N8" i="5"/>
  <c r="AE7" i="5"/>
  <c r="AD7" i="5"/>
  <c r="AC7" i="5"/>
  <c r="O7" i="5"/>
  <c r="N7" i="5"/>
  <c r="AE6" i="5"/>
  <c r="AD6" i="5"/>
  <c r="AC6" i="5"/>
  <c r="O6" i="5"/>
  <c r="N6" i="5"/>
  <c r="AE5" i="5"/>
  <c r="AD5" i="5"/>
  <c r="AC5" i="5"/>
  <c r="O5" i="5"/>
  <c r="N5" i="5"/>
  <c r="AE4" i="5"/>
  <c r="AD4" i="5"/>
  <c r="AC4" i="5"/>
  <c r="O4" i="5"/>
  <c r="N4" i="5"/>
  <c r="F181" i="4"/>
  <c r="D181" i="4"/>
  <c r="F180" i="4"/>
  <c r="D180" i="4"/>
  <c r="F178" i="4"/>
  <c r="D178" i="4"/>
  <c r="F177" i="4"/>
  <c r="D177" i="4"/>
  <c r="F175" i="4"/>
  <c r="D175" i="4"/>
  <c r="F174" i="4"/>
  <c r="D174" i="4"/>
  <c r="F172" i="4"/>
  <c r="D172" i="4"/>
  <c r="F171" i="4"/>
  <c r="D171" i="4"/>
  <c r="F169" i="4"/>
  <c r="D169" i="4"/>
  <c r="F168" i="4"/>
  <c r="D168" i="4"/>
  <c r="F166" i="4"/>
  <c r="D166" i="4"/>
  <c r="F165" i="4"/>
  <c r="D165" i="4"/>
  <c r="F163" i="4"/>
  <c r="D163" i="4"/>
  <c r="F162" i="4"/>
  <c r="D162" i="4"/>
  <c r="F160" i="4"/>
  <c r="D160" i="4"/>
  <c r="F159" i="4"/>
  <c r="D159" i="4"/>
  <c r="F157" i="4"/>
  <c r="D157" i="4"/>
  <c r="F156" i="4"/>
  <c r="D156" i="4"/>
  <c r="F154" i="4"/>
  <c r="D154" i="4"/>
  <c r="F153" i="4"/>
  <c r="D153" i="4"/>
  <c r="F151" i="4"/>
  <c r="D151" i="4"/>
  <c r="F150" i="4"/>
  <c r="D150" i="4"/>
  <c r="F148" i="4"/>
  <c r="D148" i="4"/>
  <c r="F147" i="4"/>
  <c r="D147" i="4"/>
  <c r="F145" i="4"/>
  <c r="D145" i="4"/>
  <c r="F144" i="4"/>
  <c r="D144" i="4"/>
  <c r="F142" i="4"/>
  <c r="D142" i="4"/>
  <c r="F141" i="4"/>
  <c r="D141" i="4"/>
  <c r="F139" i="4"/>
  <c r="D139" i="4"/>
  <c r="F138" i="4"/>
  <c r="D138" i="4"/>
  <c r="F136" i="4"/>
  <c r="D136" i="4"/>
  <c r="F135" i="4"/>
  <c r="D135" i="4"/>
  <c r="F133" i="4"/>
  <c r="D133" i="4"/>
  <c r="F132" i="4"/>
  <c r="D132" i="4"/>
  <c r="F130" i="4"/>
  <c r="D130" i="4"/>
  <c r="F129" i="4"/>
  <c r="D129" i="4"/>
  <c r="F127" i="4"/>
  <c r="D127" i="4"/>
  <c r="F126" i="4"/>
  <c r="D126" i="4"/>
  <c r="F124" i="4"/>
  <c r="D124" i="4"/>
  <c r="F123" i="4"/>
  <c r="D123" i="4"/>
  <c r="F121" i="4"/>
  <c r="D121" i="4"/>
  <c r="F120" i="4"/>
  <c r="D120" i="4"/>
  <c r="F118" i="4"/>
  <c r="D118" i="4"/>
  <c r="F117" i="4"/>
  <c r="D117" i="4"/>
  <c r="F115" i="4"/>
  <c r="D115" i="4"/>
  <c r="F114" i="4"/>
  <c r="D114" i="4"/>
  <c r="F112" i="4"/>
  <c r="D112" i="4"/>
  <c r="F111" i="4"/>
  <c r="D111" i="4"/>
  <c r="F109" i="4"/>
  <c r="D109" i="4"/>
  <c r="F108" i="4"/>
  <c r="D108" i="4"/>
  <c r="F106" i="4"/>
  <c r="D106" i="4"/>
  <c r="F105" i="4"/>
  <c r="D105" i="4"/>
  <c r="F103" i="4"/>
  <c r="D103" i="4"/>
  <c r="F102" i="4"/>
  <c r="D102" i="4"/>
  <c r="A100" i="4"/>
  <c r="D100" i="4" s="1"/>
  <c r="A99" i="4"/>
  <c r="E98" i="4"/>
  <c r="F98" i="4" s="1"/>
  <c r="A98" i="4"/>
  <c r="D98" i="4" s="1"/>
  <c r="A97" i="4"/>
  <c r="D97" i="4" s="1"/>
  <c r="A96" i="4"/>
  <c r="D96" i="4" s="1"/>
  <c r="A95" i="4"/>
  <c r="E94" i="4"/>
  <c r="F94" i="4" s="1"/>
  <c r="A94" i="4"/>
  <c r="D94" i="4" s="1"/>
  <c r="A93" i="4"/>
  <c r="D93" i="4" s="1"/>
  <c r="A92" i="4"/>
  <c r="D92" i="4" s="1"/>
  <c r="A91" i="4"/>
  <c r="E90" i="4"/>
  <c r="F90" i="4" s="1"/>
  <c r="A90" i="4"/>
  <c r="D90" i="4" s="1"/>
  <c r="F88" i="4"/>
  <c r="D88" i="4"/>
  <c r="A88" i="4"/>
  <c r="A87" i="4"/>
  <c r="F87" i="4" s="1"/>
  <c r="D86" i="4"/>
  <c r="A86" i="4"/>
  <c r="F86" i="4" s="1"/>
  <c r="A85" i="4"/>
  <c r="D85" i="4" s="1"/>
  <c r="F84" i="4"/>
  <c r="D84" i="4"/>
  <c r="A84" i="4"/>
  <c r="F83" i="4"/>
  <c r="D83" i="4"/>
  <c r="A83" i="4"/>
  <c r="A82" i="4"/>
  <c r="F82" i="4" s="1"/>
  <c r="F81" i="4"/>
  <c r="A81" i="4"/>
  <c r="D81" i="4" s="1"/>
  <c r="F80" i="4"/>
  <c r="D80" i="4"/>
  <c r="A80" i="4"/>
  <c r="A79" i="4"/>
  <c r="F79" i="4" s="1"/>
  <c r="D78" i="4"/>
  <c r="A78" i="4"/>
  <c r="F78" i="4" s="1"/>
  <c r="S66" i="4"/>
  <c r="R66" i="4"/>
  <c r="Q66" i="4"/>
  <c r="N66" i="4" s="1"/>
  <c r="O66" i="4"/>
  <c r="S63" i="4"/>
  <c r="O63" i="4" s="1"/>
  <c r="R63" i="4"/>
  <c r="Q63" i="4"/>
  <c r="S60" i="4"/>
  <c r="R60" i="4"/>
  <c r="Q60" i="4"/>
  <c r="N60" i="4" s="1"/>
  <c r="O60" i="4"/>
  <c r="S57" i="4"/>
  <c r="O57" i="4" s="1"/>
  <c r="R57" i="4"/>
  <c r="Q57" i="4"/>
  <c r="N57" i="4"/>
  <c r="S54" i="4"/>
  <c r="R54" i="4"/>
  <c r="Q54" i="4"/>
  <c r="N54" i="4" s="1"/>
  <c r="O54" i="4"/>
  <c r="S51" i="4"/>
  <c r="R51" i="4"/>
  <c r="Q51" i="4"/>
  <c r="O51" i="4"/>
  <c r="N51" i="4"/>
  <c r="S48" i="4"/>
  <c r="R48" i="4"/>
  <c r="Q48" i="4"/>
  <c r="N48" i="4" s="1"/>
  <c r="O48" i="4"/>
  <c r="S45" i="4"/>
  <c r="R45" i="4"/>
  <c r="Q45" i="4"/>
  <c r="O45" i="4"/>
  <c r="N45" i="4"/>
  <c r="AE35" i="4"/>
  <c r="AD35" i="4"/>
  <c r="S35" i="4"/>
  <c r="O35" i="4" s="1"/>
  <c r="R35" i="4"/>
  <c r="Q35" i="4"/>
  <c r="AE34" i="4"/>
  <c r="R34" i="4"/>
  <c r="Q34" i="4"/>
  <c r="S34" i="4" s="1"/>
  <c r="N34" i="4" s="1"/>
  <c r="O34" i="4"/>
  <c r="AE33" i="4"/>
  <c r="S33" i="4"/>
  <c r="O33" i="4" s="1"/>
  <c r="R33" i="4"/>
  <c r="Q33" i="4"/>
  <c r="AE32" i="4"/>
  <c r="R32" i="4"/>
  <c r="Q32" i="4"/>
  <c r="S32" i="4" s="1"/>
  <c r="AE31" i="4"/>
  <c r="R31" i="4"/>
  <c r="S31" i="4" s="1"/>
  <c r="Q31" i="4"/>
  <c r="AE30" i="4"/>
  <c r="S30" i="4"/>
  <c r="O30" i="4" s="1"/>
  <c r="R30" i="4"/>
  <c r="Q30" i="4"/>
  <c r="N30" i="4"/>
  <c r="AE29" i="4"/>
  <c r="R29" i="4"/>
  <c r="Q29" i="4"/>
  <c r="S29" i="4" s="1"/>
  <c r="O29" i="4" s="1"/>
  <c r="N29" i="4"/>
  <c r="AE28" i="4"/>
  <c r="R28" i="4"/>
  <c r="Q28" i="4"/>
  <c r="S28" i="4" s="1"/>
  <c r="AE27" i="4"/>
  <c r="R27" i="4"/>
  <c r="Q27" i="4"/>
  <c r="S27" i="4" s="1"/>
  <c r="AE26" i="4"/>
  <c r="R26" i="4"/>
  <c r="Q26" i="4"/>
  <c r="S26" i="4" s="1"/>
  <c r="N26" i="4" s="1"/>
  <c r="AE13" i="4"/>
  <c r="AD13" i="4"/>
  <c r="AC13" i="4"/>
  <c r="O13" i="4"/>
  <c r="N13" i="4"/>
  <c r="AE12" i="4"/>
  <c r="AD12" i="4"/>
  <c r="AC12" i="4"/>
  <c r="O12" i="4"/>
  <c r="N12" i="4"/>
  <c r="AE11" i="4"/>
  <c r="AD11" i="4"/>
  <c r="AC11" i="4"/>
  <c r="O11" i="4"/>
  <c r="N11" i="4"/>
  <c r="AE10" i="4"/>
  <c r="AD10" i="4"/>
  <c r="AC10" i="4"/>
  <c r="O10" i="4"/>
  <c r="N10" i="4"/>
  <c r="AE9" i="4"/>
  <c r="AD9" i="4"/>
  <c r="AC9" i="4"/>
  <c r="O9" i="4"/>
  <c r="N9" i="4"/>
  <c r="AE8" i="4"/>
  <c r="AD8" i="4"/>
  <c r="AC8" i="4"/>
  <c r="O8" i="4"/>
  <c r="N8" i="4"/>
  <c r="AE7" i="4"/>
  <c r="AD7" i="4"/>
  <c r="AC7" i="4"/>
  <c r="O7" i="4"/>
  <c r="N7" i="4"/>
  <c r="AE6" i="4"/>
  <c r="AD6" i="4"/>
  <c r="AC6" i="4"/>
  <c r="O6" i="4"/>
  <c r="N6" i="4"/>
  <c r="AE5" i="4"/>
  <c r="AD5" i="4"/>
  <c r="AC5" i="4"/>
  <c r="O5" i="4"/>
  <c r="N5" i="4"/>
  <c r="AE4" i="4"/>
  <c r="AD4" i="4"/>
  <c r="AC4" i="4"/>
  <c r="O4" i="4"/>
  <c r="N4" i="4"/>
  <c r="F177" i="3"/>
  <c r="D177" i="3"/>
  <c r="F176" i="3"/>
  <c r="D176" i="3"/>
  <c r="F174" i="3"/>
  <c r="D174" i="3"/>
  <c r="F173" i="3"/>
  <c r="D173" i="3"/>
  <c r="F171" i="3"/>
  <c r="D171" i="3"/>
  <c r="F170" i="3"/>
  <c r="D170" i="3"/>
  <c r="F168" i="3"/>
  <c r="D168" i="3"/>
  <c r="F167" i="3"/>
  <c r="D167" i="3"/>
  <c r="F165" i="3"/>
  <c r="D165" i="3"/>
  <c r="F164" i="3"/>
  <c r="D164" i="3"/>
  <c r="F162" i="3"/>
  <c r="D162" i="3"/>
  <c r="F161" i="3"/>
  <c r="D161" i="3"/>
  <c r="F159" i="3"/>
  <c r="D159" i="3"/>
  <c r="F158" i="3"/>
  <c r="D158" i="3"/>
  <c r="F156" i="3"/>
  <c r="D156" i="3"/>
  <c r="F155" i="3"/>
  <c r="D155" i="3"/>
  <c r="F153" i="3"/>
  <c r="D153" i="3"/>
  <c r="F152" i="3"/>
  <c r="D152" i="3"/>
  <c r="F150" i="3"/>
  <c r="D150" i="3"/>
  <c r="F149" i="3"/>
  <c r="D149" i="3"/>
  <c r="F147" i="3"/>
  <c r="D147" i="3"/>
  <c r="F146" i="3"/>
  <c r="D146" i="3"/>
  <c r="F144" i="3"/>
  <c r="D144" i="3"/>
  <c r="F143" i="3"/>
  <c r="D143" i="3"/>
  <c r="F141" i="3"/>
  <c r="D141" i="3"/>
  <c r="F140" i="3"/>
  <c r="D140" i="3"/>
  <c r="F138" i="3"/>
  <c r="D138" i="3"/>
  <c r="F137" i="3"/>
  <c r="D137" i="3"/>
  <c r="F135" i="3"/>
  <c r="D135" i="3"/>
  <c r="F134" i="3"/>
  <c r="D134" i="3"/>
  <c r="F132" i="3"/>
  <c r="D132" i="3"/>
  <c r="F131" i="3"/>
  <c r="D131" i="3"/>
  <c r="F129" i="3"/>
  <c r="D129" i="3"/>
  <c r="F128" i="3"/>
  <c r="D128" i="3"/>
  <c r="F126" i="3"/>
  <c r="D126" i="3"/>
  <c r="F125" i="3"/>
  <c r="D125" i="3"/>
  <c r="F123" i="3"/>
  <c r="D123" i="3"/>
  <c r="F122" i="3"/>
  <c r="D122" i="3"/>
  <c r="F120" i="3"/>
  <c r="D120" i="3"/>
  <c r="F119" i="3"/>
  <c r="D119" i="3"/>
  <c r="F117" i="3"/>
  <c r="D117" i="3"/>
  <c r="F116" i="3"/>
  <c r="D116" i="3"/>
  <c r="F114" i="3"/>
  <c r="D114" i="3"/>
  <c r="F113" i="3"/>
  <c r="D113" i="3"/>
  <c r="F111" i="3"/>
  <c r="D111" i="3"/>
  <c r="F110" i="3"/>
  <c r="D110" i="3"/>
  <c r="F108" i="3"/>
  <c r="D108" i="3"/>
  <c r="F107" i="3"/>
  <c r="D107" i="3"/>
  <c r="F105" i="3"/>
  <c r="D105" i="3"/>
  <c r="F104" i="3"/>
  <c r="D104" i="3"/>
  <c r="F102" i="3"/>
  <c r="D102" i="3"/>
  <c r="F101" i="3"/>
  <c r="D101" i="3"/>
  <c r="F99" i="3"/>
  <c r="D99" i="3"/>
  <c r="F98" i="3"/>
  <c r="D98" i="3"/>
  <c r="A96" i="3"/>
  <c r="E95" i="3"/>
  <c r="F95" i="3" s="1"/>
  <c r="A95" i="3"/>
  <c r="D95" i="3" s="1"/>
  <c r="E94" i="3"/>
  <c r="F94" i="3" s="1"/>
  <c r="D94" i="3"/>
  <c r="A94" i="3"/>
  <c r="E93" i="3"/>
  <c r="F93" i="3" s="1"/>
  <c r="D93" i="3"/>
  <c r="A93" i="3"/>
  <c r="E92" i="3"/>
  <c r="F92" i="3" s="1"/>
  <c r="D92" i="3"/>
  <c r="A92" i="3"/>
  <c r="E91" i="3"/>
  <c r="F91" i="3" s="1"/>
  <c r="D91" i="3"/>
  <c r="A91" i="3"/>
  <c r="E90" i="3"/>
  <c r="F90" i="3" s="1"/>
  <c r="D90" i="3"/>
  <c r="A90" i="3"/>
  <c r="E89" i="3"/>
  <c r="F89" i="3" s="1"/>
  <c r="D89" i="3"/>
  <c r="A89" i="3"/>
  <c r="E88" i="3"/>
  <c r="F88" i="3" s="1"/>
  <c r="D88" i="3"/>
  <c r="A88" i="3"/>
  <c r="E87" i="3"/>
  <c r="F87" i="3" s="1"/>
  <c r="D87" i="3"/>
  <c r="A87" i="3"/>
  <c r="E86" i="3"/>
  <c r="F86" i="3" s="1"/>
  <c r="D86" i="3"/>
  <c r="A86" i="3"/>
  <c r="A84" i="3"/>
  <c r="F84" i="3" s="1"/>
  <c r="A83" i="3"/>
  <c r="F83" i="3" s="1"/>
  <c r="A82" i="3"/>
  <c r="D82" i="3" s="1"/>
  <c r="F81" i="3"/>
  <c r="D81" i="3"/>
  <c r="A81" i="3"/>
  <c r="F80" i="3"/>
  <c r="A80" i="3"/>
  <c r="D80" i="3" s="1"/>
  <c r="A79" i="3"/>
  <c r="F79" i="3" s="1"/>
  <c r="A78" i="3"/>
  <c r="D78" i="3" s="1"/>
  <c r="F77" i="3"/>
  <c r="D77" i="3"/>
  <c r="A77" i="3"/>
  <c r="A76" i="3"/>
  <c r="F76" i="3" s="1"/>
  <c r="A75" i="3"/>
  <c r="F75" i="3" s="1"/>
  <c r="A74" i="3"/>
  <c r="D74" i="3" s="1"/>
  <c r="Q52" i="3"/>
  <c r="R52" i="3" s="1"/>
  <c r="O52" i="3"/>
  <c r="N52" i="3"/>
  <c r="R51" i="3"/>
  <c r="Q51" i="3"/>
  <c r="R48" i="3"/>
  <c r="Q48" i="3"/>
  <c r="R46" i="3"/>
  <c r="S46" i="3" s="1"/>
  <c r="O46" i="3"/>
  <c r="N46" i="3"/>
  <c r="R45" i="3"/>
  <c r="Q45" i="3"/>
  <c r="O29" i="3"/>
  <c r="N29" i="3"/>
  <c r="O28" i="3"/>
  <c r="N28" i="3"/>
  <c r="O27" i="3"/>
  <c r="N27" i="3"/>
  <c r="O26" i="3"/>
  <c r="N26" i="3"/>
  <c r="O25" i="3"/>
  <c r="N25" i="3"/>
  <c r="O24" i="3"/>
  <c r="N24" i="3"/>
  <c r="O23" i="3"/>
  <c r="N23" i="3"/>
  <c r="O22" i="3"/>
  <c r="N22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1" i="3"/>
  <c r="N11" i="3"/>
  <c r="O10" i="3"/>
  <c r="N10" i="3"/>
  <c r="O9" i="3"/>
  <c r="N9" i="3"/>
  <c r="O8" i="3"/>
  <c r="N8" i="3"/>
  <c r="O7" i="3"/>
  <c r="N7" i="3"/>
  <c r="O6" i="3"/>
  <c r="N6" i="3"/>
  <c r="O5" i="3"/>
  <c r="N5" i="3"/>
  <c r="AE4" i="3"/>
  <c r="S3" i="3"/>
  <c r="O67" i="2"/>
  <c r="U67" i="2" s="1"/>
  <c r="N67" i="2"/>
  <c r="T67" i="2" s="1"/>
  <c r="L67" i="2"/>
  <c r="K67" i="2"/>
  <c r="J67" i="2"/>
  <c r="P67" i="2" s="1"/>
  <c r="W67" i="2" s="1"/>
  <c r="F67" i="2"/>
  <c r="M67" i="2" s="1"/>
  <c r="S67" i="2" s="1"/>
  <c r="M66" i="2"/>
  <c r="S66" i="2" s="1"/>
  <c r="L66" i="2"/>
  <c r="F66" i="2"/>
  <c r="T65" i="2"/>
  <c r="O65" i="2"/>
  <c r="U65" i="2" s="1"/>
  <c r="N65" i="2"/>
  <c r="L65" i="2"/>
  <c r="R65" i="2" s="1"/>
  <c r="K65" i="2"/>
  <c r="J65" i="2"/>
  <c r="P65" i="2" s="1"/>
  <c r="W65" i="2" s="1"/>
  <c r="F65" i="2"/>
  <c r="M65" i="2" s="1"/>
  <c r="S65" i="2" s="1"/>
  <c r="F64" i="2"/>
  <c r="O63" i="2"/>
  <c r="U63" i="2" s="1"/>
  <c r="N63" i="2"/>
  <c r="T63" i="2" s="1"/>
  <c r="L63" i="2"/>
  <c r="K63" i="2"/>
  <c r="J63" i="2"/>
  <c r="P63" i="2" s="1"/>
  <c r="W63" i="2" s="1"/>
  <c r="F63" i="2"/>
  <c r="M63" i="2" s="1"/>
  <c r="S63" i="2" s="1"/>
  <c r="M62" i="2"/>
  <c r="S62" i="2" s="1"/>
  <c r="L62" i="2"/>
  <c r="F62" i="2"/>
  <c r="T61" i="2"/>
  <c r="O61" i="2"/>
  <c r="U61" i="2" s="1"/>
  <c r="N61" i="2"/>
  <c r="L61" i="2"/>
  <c r="R61" i="2" s="1"/>
  <c r="K61" i="2"/>
  <c r="J61" i="2"/>
  <c r="P61" i="2" s="1"/>
  <c r="W61" i="2" s="1"/>
  <c r="F61" i="2"/>
  <c r="M61" i="2" s="1"/>
  <c r="S61" i="2" s="1"/>
  <c r="F60" i="2"/>
  <c r="R59" i="2"/>
  <c r="O59" i="2"/>
  <c r="U59" i="2" s="1"/>
  <c r="N59" i="2"/>
  <c r="T59" i="2" s="1"/>
  <c r="L59" i="2"/>
  <c r="AA59" i="2" s="1"/>
  <c r="K59" i="2"/>
  <c r="J59" i="2"/>
  <c r="P59" i="2" s="1"/>
  <c r="W59" i="2" s="1"/>
  <c r="F59" i="2"/>
  <c r="M59" i="2" s="1"/>
  <c r="S59" i="2" s="1"/>
  <c r="M58" i="2"/>
  <c r="S58" i="2" s="1"/>
  <c r="L58" i="2"/>
  <c r="F58" i="2"/>
  <c r="T57" i="2"/>
  <c r="O57" i="2"/>
  <c r="U57" i="2" s="1"/>
  <c r="N57" i="2"/>
  <c r="L57" i="2"/>
  <c r="R57" i="2" s="1"/>
  <c r="K57" i="2"/>
  <c r="J57" i="2"/>
  <c r="P57" i="2" s="1"/>
  <c r="W57" i="2" s="1"/>
  <c r="F57" i="2"/>
  <c r="M57" i="2" s="1"/>
  <c r="S57" i="2" s="1"/>
  <c r="F56" i="2"/>
  <c r="O55" i="2"/>
  <c r="U55" i="2" s="1"/>
  <c r="N55" i="2"/>
  <c r="T55" i="2" s="1"/>
  <c r="L55" i="2"/>
  <c r="K55" i="2"/>
  <c r="J55" i="2"/>
  <c r="P55" i="2" s="1"/>
  <c r="W55" i="2" s="1"/>
  <c r="F55" i="2"/>
  <c r="M55" i="2" s="1"/>
  <c r="S55" i="2" s="1"/>
  <c r="M54" i="2"/>
  <c r="S54" i="2" s="1"/>
  <c r="L54" i="2"/>
  <c r="F54" i="2"/>
  <c r="T53" i="2"/>
  <c r="O53" i="2"/>
  <c r="U53" i="2" s="1"/>
  <c r="N53" i="2"/>
  <c r="L53" i="2"/>
  <c r="R53" i="2" s="1"/>
  <c r="K53" i="2"/>
  <c r="J53" i="2"/>
  <c r="P53" i="2" s="1"/>
  <c r="W53" i="2" s="1"/>
  <c r="F53" i="2"/>
  <c r="M53" i="2" s="1"/>
  <c r="S53" i="2" s="1"/>
  <c r="F52" i="2"/>
  <c r="N52" i="2" s="1"/>
  <c r="T52" i="2" s="1"/>
  <c r="O51" i="2"/>
  <c r="U51" i="2" s="1"/>
  <c r="N51" i="2"/>
  <c r="T51" i="2" s="1"/>
  <c r="L51" i="2"/>
  <c r="K51" i="2"/>
  <c r="J51" i="2"/>
  <c r="P51" i="2" s="1"/>
  <c r="W51" i="2" s="1"/>
  <c r="F51" i="2"/>
  <c r="M51" i="2" s="1"/>
  <c r="S51" i="2" s="1"/>
  <c r="M50" i="2"/>
  <c r="S50" i="2" s="1"/>
  <c r="L50" i="2"/>
  <c r="F50" i="2"/>
  <c r="T49" i="2"/>
  <c r="O49" i="2"/>
  <c r="U49" i="2" s="1"/>
  <c r="N49" i="2"/>
  <c r="L49" i="2"/>
  <c r="R49" i="2" s="1"/>
  <c r="K49" i="2"/>
  <c r="J49" i="2"/>
  <c r="P49" i="2" s="1"/>
  <c r="W49" i="2" s="1"/>
  <c r="F49" i="2"/>
  <c r="M49" i="2" s="1"/>
  <c r="S49" i="2" s="1"/>
  <c r="F48" i="2"/>
  <c r="O47" i="2"/>
  <c r="U47" i="2" s="1"/>
  <c r="N47" i="2"/>
  <c r="T47" i="2" s="1"/>
  <c r="L47" i="2"/>
  <c r="K47" i="2"/>
  <c r="J47" i="2"/>
  <c r="P47" i="2" s="1"/>
  <c r="W47" i="2" s="1"/>
  <c r="F47" i="2"/>
  <c r="M47" i="2" s="1"/>
  <c r="S47" i="2" s="1"/>
  <c r="M46" i="2"/>
  <c r="S46" i="2" s="1"/>
  <c r="L46" i="2"/>
  <c r="F46" i="2"/>
  <c r="T45" i="2"/>
  <c r="O45" i="2"/>
  <c r="U45" i="2" s="1"/>
  <c r="N45" i="2"/>
  <c r="L45" i="2"/>
  <c r="R45" i="2" s="1"/>
  <c r="K45" i="2"/>
  <c r="J45" i="2"/>
  <c r="P45" i="2" s="1"/>
  <c r="W45" i="2" s="1"/>
  <c r="F45" i="2"/>
  <c r="M45" i="2" s="1"/>
  <c r="S45" i="2" s="1"/>
  <c r="F44" i="2"/>
  <c r="N44" i="2" s="1"/>
  <c r="T44" i="2" s="1"/>
  <c r="O43" i="2"/>
  <c r="U43" i="2" s="1"/>
  <c r="N43" i="2"/>
  <c r="T43" i="2" s="1"/>
  <c r="L43" i="2"/>
  <c r="K43" i="2"/>
  <c r="J43" i="2"/>
  <c r="P43" i="2" s="1"/>
  <c r="W43" i="2" s="1"/>
  <c r="F43" i="2"/>
  <c r="M43" i="2" s="1"/>
  <c r="S43" i="2" s="1"/>
  <c r="M42" i="2"/>
  <c r="S42" i="2" s="1"/>
  <c r="L42" i="2"/>
  <c r="F42" i="2"/>
  <c r="T41" i="2"/>
  <c r="O41" i="2"/>
  <c r="U41" i="2" s="1"/>
  <c r="N41" i="2"/>
  <c r="L41" i="2"/>
  <c r="R41" i="2" s="1"/>
  <c r="K41" i="2"/>
  <c r="J41" i="2"/>
  <c r="P41" i="2" s="1"/>
  <c r="W41" i="2" s="1"/>
  <c r="F41" i="2"/>
  <c r="M41" i="2" s="1"/>
  <c r="S41" i="2" s="1"/>
  <c r="F40" i="2"/>
  <c r="N40" i="2" s="1"/>
  <c r="T40" i="2" s="1"/>
  <c r="W39" i="2"/>
  <c r="R39" i="2"/>
  <c r="X39" i="2" s="1"/>
  <c r="O39" i="2"/>
  <c r="U39" i="2" s="1"/>
  <c r="N39" i="2"/>
  <c r="T39" i="2" s="1"/>
  <c r="L39" i="2"/>
  <c r="K39" i="2"/>
  <c r="J39" i="2"/>
  <c r="P39" i="2" s="1"/>
  <c r="F39" i="2"/>
  <c r="M39" i="2" s="1"/>
  <c r="S39" i="2" s="1"/>
  <c r="M38" i="2"/>
  <c r="S38" i="2" s="1"/>
  <c r="L38" i="2"/>
  <c r="F38" i="2"/>
  <c r="T37" i="2"/>
  <c r="O37" i="2"/>
  <c r="U37" i="2" s="1"/>
  <c r="N37" i="2"/>
  <c r="L37" i="2"/>
  <c r="R37" i="2" s="1"/>
  <c r="K37" i="2"/>
  <c r="J37" i="2"/>
  <c r="P37" i="2" s="1"/>
  <c r="W37" i="2" s="1"/>
  <c r="F37" i="2"/>
  <c r="M37" i="2" s="1"/>
  <c r="S37" i="2" s="1"/>
  <c r="F36" i="2"/>
  <c r="N36" i="2" s="1"/>
  <c r="T36" i="2" s="1"/>
  <c r="R35" i="2"/>
  <c r="O35" i="2"/>
  <c r="U35" i="2" s="1"/>
  <c r="N35" i="2"/>
  <c r="T35" i="2" s="1"/>
  <c r="L35" i="2"/>
  <c r="K35" i="2"/>
  <c r="J35" i="2"/>
  <c r="P35" i="2" s="1"/>
  <c r="W35" i="2" s="1"/>
  <c r="F35" i="2"/>
  <c r="M35" i="2" s="1"/>
  <c r="S35" i="2" s="1"/>
  <c r="M34" i="2"/>
  <c r="S34" i="2" s="1"/>
  <c r="L34" i="2"/>
  <c r="F34" i="2"/>
  <c r="Z33" i="2"/>
  <c r="T33" i="2"/>
  <c r="O33" i="2"/>
  <c r="U33" i="2" s="1"/>
  <c r="N33" i="2"/>
  <c r="L33" i="2"/>
  <c r="R33" i="2" s="1"/>
  <c r="K33" i="2"/>
  <c r="J33" i="2"/>
  <c r="P33" i="2" s="1"/>
  <c r="W33" i="2" s="1"/>
  <c r="F33" i="2"/>
  <c r="M33" i="2" s="1"/>
  <c r="S33" i="2" s="1"/>
  <c r="F32" i="2"/>
  <c r="N32" i="2" s="1"/>
  <c r="T32" i="2" s="1"/>
  <c r="W31" i="2"/>
  <c r="R31" i="2"/>
  <c r="X31" i="2" s="1"/>
  <c r="O31" i="2"/>
  <c r="U31" i="2" s="1"/>
  <c r="N31" i="2"/>
  <c r="T31" i="2" s="1"/>
  <c r="L31" i="2"/>
  <c r="K31" i="2"/>
  <c r="J31" i="2"/>
  <c r="P31" i="2" s="1"/>
  <c r="F31" i="2"/>
  <c r="M31" i="2" s="1"/>
  <c r="S31" i="2" s="1"/>
  <c r="M30" i="2"/>
  <c r="S30" i="2" s="1"/>
  <c r="L30" i="2"/>
  <c r="F30" i="2"/>
  <c r="T29" i="2"/>
  <c r="O29" i="2"/>
  <c r="U29" i="2" s="1"/>
  <c r="N29" i="2"/>
  <c r="L29" i="2"/>
  <c r="R29" i="2" s="1"/>
  <c r="K29" i="2"/>
  <c r="J29" i="2"/>
  <c r="P29" i="2" s="1"/>
  <c r="W29" i="2" s="1"/>
  <c r="F29" i="2"/>
  <c r="M29" i="2" s="1"/>
  <c r="S29" i="2" s="1"/>
  <c r="T28" i="2"/>
  <c r="N28" i="2"/>
  <c r="F28" i="2"/>
  <c r="O27" i="2"/>
  <c r="U27" i="2" s="1"/>
  <c r="N27" i="2"/>
  <c r="T27" i="2" s="1"/>
  <c r="L27" i="2"/>
  <c r="K27" i="2"/>
  <c r="J27" i="2"/>
  <c r="P27" i="2" s="1"/>
  <c r="W27" i="2" s="1"/>
  <c r="F27" i="2"/>
  <c r="M27" i="2" s="1"/>
  <c r="S27" i="2" s="1"/>
  <c r="M26" i="2"/>
  <c r="S26" i="2" s="1"/>
  <c r="L26" i="2"/>
  <c r="F26" i="2"/>
  <c r="Z25" i="2"/>
  <c r="T25" i="2"/>
  <c r="O25" i="2"/>
  <c r="U25" i="2" s="1"/>
  <c r="N25" i="2"/>
  <c r="L25" i="2"/>
  <c r="R25" i="2" s="1"/>
  <c r="K25" i="2"/>
  <c r="J25" i="2"/>
  <c r="P25" i="2" s="1"/>
  <c r="W25" i="2" s="1"/>
  <c r="F25" i="2"/>
  <c r="M25" i="2" s="1"/>
  <c r="S25" i="2" s="1"/>
  <c r="F24" i="2"/>
  <c r="W23" i="2"/>
  <c r="R23" i="2"/>
  <c r="X23" i="2" s="1"/>
  <c r="O23" i="2"/>
  <c r="U23" i="2" s="1"/>
  <c r="N23" i="2"/>
  <c r="T23" i="2" s="1"/>
  <c r="L23" i="2"/>
  <c r="K23" i="2"/>
  <c r="J23" i="2"/>
  <c r="P23" i="2" s="1"/>
  <c r="F23" i="2"/>
  <c r="M23" i="2" s="1"/>
  <c r="S23" i="2" s="1"/>
  <c r="M22" i="2"/>
  <c r="S22" i="2" s="1"/>
  <c r="L22" i="2"/>
  <c r="F22" i="2"/>
  <c r="T21" i="2"/>
  <c r="O21" i="2"/>
  <c r="U21" i="2" s="1"/>
  <c r="N21" i="2"/>
  <c r="L21" i="2"/>
  <c r="R21" i="2" s="1"/>
  <c r="K21" i="2"/>
  <c r="J21" i="2"/>
  <c r="P21" i="2" s="1"/>
  <c r="W21" i="2" s="1"/>
  <c r="F21" i="2"/>
  <c r="M21" i="2" s="1"/>
  <c r="S21" i="2" s="1"/>
  <c r="T20" i="2"/>
  <c r="N20" i="2"/>
  <c r="F20" i="2"/>
  <c r="O19" i="2"/>
  <c r="U19" i="2" s="1"/>
  <c r="N19" i="2"/>
  <c r="T19" i="2" s="1"/>
  <c r="L19" i="2"/>
  <c r="K19" i="2"/>
  <c r="J19" i="2"/>
  <c r="P19" i="2" s="1"/>
  <c r="W19" i="2" s="1"/>
  <c r="F19" i="2"/>
  <c r="M19" i="2" s="1"/>
  <c r="S19" i="2" s="1"/>
  <c r="M18" i="2"/>
  <c r="S18" i="2" s="1"/>
  <c r="L18" i="2"/>
  <c r="F18" i="2"/>
  <c r="Z17" i="2"/>
  <c r="T17" i="2"/>
  <c r="O17" i="2"/>
  <c r="U17" i="2" s="1"/>
  <c r="N17" i="2"/>
  <c r="L17" i="2"/>
  <c r="R17" i="2" s="1"/>
  <c r="K17" i="2"/>
  <c r="P17" i="2"/>
  <c r="W17" i="2" s="1"/>
  <c r="F17" i="2"/>
  <c r="M17" i="2" s="1"/>
  <c r="S17" i="2" s="1"/>
  <c r="F16" i="2"/>
  <c r="O24" i="2" l="1"/>
  <c r="U24" i="2" s="1"/>
  <c r="K24" i="2"/>
  <c r="M24" i="2"/>
  <c r="S24" i="2" s="1"/>
  <c r="L24" i="2"/>
  <c r="J24" i="2"/>
  <c r="X49" i="2"/>
  <c r="AA49" i="2"/>
  <c r="X61" i="2"/>
  <c r="AA61" i="2"/>
  <c r="O28" i="4"/>
  <c r="N28" i="4"/>
  <c r="N24" i="2"/>
  <c r="T24" i="2" s="1"/>
  <c r="X25" i="2"/>
  <c r="AA25" i="2"/>
  <c r="R26" i="2"/>
  <c r="X33" i="2"/>
  <c r="AA33" i="2"/>
  <c r="R34" i="2"/>
  <c r="X65" i="2"/>
  <c r="AA65" i="2"/>
  <c r="O27" i="4"/>
  <c r="N27" i="4"/>
  <c r="O29" i="5"/>
  <c r="N29" i="5"/>
  <c r="X21" i="2"/>
  <c r="AA21" i="2"/>
  <c r="Z21" i="2"/>
  <c r="R22" i="2"/>
  <c r="AA27" i="2"/>
  <c r="X29" i="2"/>
  <c r="AA29" i="2"/>
  <c r="Z29" i="2"/>
  <c r="AA30" i="2"/>
  <c r="R30" i="2"/>
  <c r="AA35" i="2"/>
  <c r="X37" i="2"/>
  <c r="AA37" i="2"/>
  <c r="Z37" i="2"/>
  <c r="R38" i="2"/>
  <c r="X45" i="2"/>
  <c r="AA45" i="2"/>
  <c r="X59" i="2"/>
  <c r="N32" i="4"/>
  <c r="O32" i="4"/>
  <c r="O33" i="6"/>
  <c r="N33" i="6"/>
  <c r="O16" i="2"/>
  <c r="U16" i="2" s="1"/>
  <c r="S16" i="2"/>
  <c r="O32" i="2"/>
  <c r="U32" i="2" s="1"/>
  <c r="K32" i="2"/>
  <c r="M32" i="2"/>
  <c r="S32" i="2" s="1"/>
  <c r="L32" i="2"/>
  <c r="J32" i="2"/>
  <c r="AD59" i="2"/>
  <c r="AG59" i="2" s="1"/>
  <c r="T16" i="2"/>
  <c r="X17" i="2"/>
  <c r="AA17" i="2"/>
  <c r="R18" i="2"/>
  <c r="X18" i="2" s="1"/>
  <c r="AA23" i="2"/>
  <c r="AA31" i="2"/>
  <c r="AA39" i="2"/>
  <c r="X53" i="2"/>
  <c r="AA53" i="2"/>
  <c r="O31" i="4"/>
  <c r="N31" i="4"/>
  <c r="R19" i="2"/>
  <c r="X19" i="2" s="1"/>
  <c r="O20" i="2"/>
  <c r="U20" i="2" s="1"/>
  <c r="K20" i="2"/>
  <c r="M20" i="2"/>
  <c r="S20" i="2" s="1"/>
  <c r="L20" i="2"/>
  <c r="J20" i="2"/>
  <c r="R27" i="2"/>
  <c r="X27" i="2" s="1"/>
  <c r="O28" i="2"/>
  <c r="U28" i="2" s="1"/>
  <c r="K28" i="2"/>
  <c r="M28" i="2"/>
  <c r="S28" i="2" s="1"/>
  <c r="L28" i="2"/>
  <c r="J28" i="2"/>
  <c r="X35" i="2"/>
  <c r="O36" i="2"/>
  <c r="U36" i="2" s="1"/>
  <c r="K36" i="2"/>
  <c r="M36" i="2"/>
  <c r="S36" i="2" s="1"/>
  <c r="L36" i="2"/>
  <c r="J36" i="2"/>
  <c r="X41" i="2"/>
  <c r="AA41" i="2"/>
  <c r="AA51" i="2"/>
  <c r="X57" i="2"/>
  <c r="AA57" i="2"/>
  <c r="O33" i="5"/>
  <c r="N33" i="5"/>
  <c r="O29" i="6"/>
  <c r="N29" i="6"/>
  <c r="Z41" i="2"/>
  <c r="R43" i="2"/>
  <c r="X43" i="2" s="1"/>
  <c r="Z49" i="2"/>
  <c r="R51" i="2"/>
  <c r="X51" i="2" s="1"/>
  <c r="O56" i="2"/>
  <c r="U56" i="2" s="1"/>
  <c r="K56" i="2"/>
  <c r="Z61" i="2"/>
  <c r="O40" i="2"/>
  <c r="U40" i="2" s="1"/>
  <c r="K40" i="2"/>
  <c r="O44" i="2"/>
  <c r="U44" i="2" s="1"/>
  <c r="K44" i="2"/>
  <c r="Z45" i="2"/>
  <c r="AA46" i="2"/>
  <c r="R47" i="2"/>
  <c r="X47" i="2" s="1"/>
  <c r="O48" i="2"/>
  <c r="U48" i="2" s="1"/>
  <c r="K48" i="2"/>
  <c r="N48" i="2"/>
  <c r="T48" i="2" s="1"/>
  <c r="O52" i="2"/>
  <c r="U52" i="2" s="1"/>
  <c r="K52" i="2"/>
  <c r="Z53" i="2"/>
  <c r="R55" i="2"/>
  <c r="X55" i="2" s="1"/>
  <c r="N56" i="2"/>
  <c r="T56" i="2" s="1"/>
  <c r="Z57" i="2"/>
  <c r="O60" i="2"/>
  <c r="U60" i="2" s="1"/>
  <c r="K60" i="2"/>
  <c r="N60" i="2"/>
  <c r="T60" i="2" s="1"/>
  <c r="R63" i="2"/>
  <c r="X63" i="2" s="1"/>
  <c r="O64" i="2"/>
  <c r="U64" i="2" s="1"/>
  <c r="K64" i="2"/>
  <c r="N64" i="2"/>
  <c r="T64" i="2" s="1"/>
  <c r="Z65" i="2"/>
  <c r="AA66" i="2"/>
  <c r="R67" i="2"/>
  <c r="X67" i="2" s="1"/>
  <c r="S45" i="3"/>
  <c r="O4" i="3"/>
  <c r="D91" i="4"/>
  <c r="E91" i="4"/>
  <c r="F91" i="4" s="1"/>
  <c r="D99" i="4"/>
  <c r="E99" i="4"/>
  <c r="F99" i="4" s="1"/>
  <c r="N34" i="5"/>
  <c r="O34" i="5"/>
  <c r="D82" i="5"/>
  <c r="F82" i="5"/>
  <c r="D88" i="6"/>
  <c r="F88" i="6"/>
  <c r="R6" i="7"/>
  <c r="AD5" i="7"/>
  <c r="R45" i="7"/>
  <c r="S6" i="7"/>
  <c r="Q7" i="7"/>
  <c r="F84" i="7"/>
  <c r="D84" i="7"/>
  <c r="E96" i="7"/>
  <c r="F96" i="7" s="1"/>
  <c r="D96" i="7"/>
  <c r="N27" i="8"/>
  <c r="O27" i="8"/>
  <c r="S5" i="9"/>
  <c r="Q6" i="9"/>
  <c r="AC5" i="9"/>
  <c r="Q45" i="10"/>
  <c r="AC5" i="10"/>
  <c r="S5" i="10"/>
  <c r="O29" i="10"/>
  <c r="N29" i="10"/>
  <c r="D83" i="10"/>
  <c r="F83" i="10"/>
  <c r="D90" i="10"/>
  <c r="E90" i="10"/>
  <c r="F90" i="10" s="1"/>
  <c r="O26" i="11"/>
  <c r="N26" i="11"/>
  <c r="Q17" i="2"/>
  <c r="V17" i="2" s="1"/>
  <c r="Y21" i="2"/>
  <c r="AB21" i="2" s="1"/>
  <c r="AE21" i="2" s="1"/>
  <c r="Q21" i="2"/>
  <c r="V21" i="2" s="1"/>
  <c r="Q25" i="2"/>
  <c r="V25" i="2" s="1"/>
  <c r="Y29" i="2"/>
  <c r="AB29" i="2" s="1"/>
  <c r="AE29" i="2" s="1"/>
  <c r="Q29" i="2"/>
  <c r="V29" i="2" s="1"/>
  <c r="Q33" i="2"/>
  <c r="V33" i="2" s="1"/>
  <c r="Y37" i="2"/>
  <c r="AB37" i="2" s="1"/>
  <c r="AE37" i="2" s="1"/>
  <c r="Q37" i="2"/>
  <c r="V37" i="2" s="1"/>
  <c r="J40" i="2"/>
  <c r="Q41" i="2"/>
  <c r="V41" i="2" s="1"/>
  <c r="R42" i="2"/>
  <c r="J44" i="2"/>
  <c r="Q45" i="2"/>
  <c r="V45" i="2" s="1"/>
  <c r="R46" i="2"/>
  <c r="J48" i="2"/>
  <c r="Q49" i="2"/>
  <c r="V49" i="2" s="1"/>
  <c r="R50" i="2"/>
  <c r="X50" i="2" s="1"/>
  <c r="J52" i="2"/>
  <c r="Q53" i="2"/>
  <c r="V53" i="2" s="1"/>
  <c r="R54" i="2"/>
  <c r="J56" i="2"/>
  <c r="Q57" i="2"/>
  <c r="V57" i="2" s="1"/>
  <c r="R58" i="2"/>
  <c r="J60" i="2"/>
  <c r="Q61" i="2"/>
  <c r="V61" i="2" s="1"/>
  <c r="R62" i="2"/>
  <c r="J64" i="2"/>
  <c r="Q65" i="2"/>
  <c r="V65" i="2" s="1"/>
  <c r="R66" i="2"/>
  <c r="X66" i="2" s="1"/>
  <c r="N4" i="3"/>
  <c r="F74" i="3"/>
  <c r="D76" i="3"/>
  <c r="D79" i="3"/>
  <c r="F82" i="3"/>
  <c r="D84" i="3"/>
  <c r="N33" i="4"/>
  <c r="N63" i="4"/>
  <c r="D82" i="4"/>
  <c r="F85" i="4"/>
  <c r="D87" i="4"/>
  <c r="E93" i="4"/>
  <c r="F93" i="4" s="1"/>
  <c r="E96" i="4"/>
  <c r="F96" i="4" s="1"/>
  <c r="F79" i="5"/>
  <c r="D79" i="5"/>
  <c r="F86" i="5"/>
  <c r="D81" i="6"/>
  <c r="F85" i="6"/>
  <c r="D85" i="6"/>
  <c r="E96" i="6"/>
  <c r="F96" i="6" s="1"/>
  <c r="D96" i="6"/>
  <c r="AC6" i="7"/>
  <c r="N27" i="7"/>
  <c r="N31" i="7"/>
  <c r="D82" i="7"/>
  <c r="F82" i="7"/>
  <c r="E94" i="7"/>
  <c r="F94" i="7" s="1"/>
  <c r="D94" i="7"/>
  <c r="S5" i="8"/>
  <c r="Q45" i="8"/>
  <c r="AC5" i="8"/>
  <c r="Q6" i="8"/>
  <c r="N30" i="8"/>
  <c r="O30" i="8"/>
  <c r="N31" i="8"/>
  <c r="O31" i="8"/>
  <c r="D91" i="8"/>
  <c r="E97" i="8"/>
  <c r="F97" i="8" s="1"/>
  <c r="D97" i="8"/>
  <c r="D99" i="8"/>
  <c r="N27" i="9"/>
  <c r="D94" i="10"/>
  <c r="E94" i="10"/>
  <c r="F94" i="10" s="1"/>
  <c r="O18" i="2"/>
  <c r="U18" i="2" s="1"/>
  <c r="K18" i="2"/>
  <c r="N18" i="2"/>
  <c r="T18" i="2" s="1"/>
  <c r="Z19" i="2"/>
  <c r="O22" i="2"/>
  <c r="U22" i="2" s="1"/>
  <c r="K22" i="2"/>
  <c r="N22" i="2"/>
  <c r="T22" i="2" s="1"/>
  <c r="Z23" i="2"/>
  <c r="AC23" i="2" s="1"/>
  <c r="AF23" i="2" s="1"/>
  <c r="O26" i="2"/>
  <c r="U26" i="2" s="1"/>
  <c r="K26" i="2"/>
  <c r="N26" i="2"/>
  <c r="T26" i="2" s="1"/>
  <c r="Z27" i="2"/>
  <c r="O30" i="2"/>
  <c r="U30" i="2" s="1"/>
  <c r="K30" i="2"/>
  <c r="N30" i="2"/>
  <c r="T30" i="2" s="1"/>
  <c r="Z31" i="2"/>
  <c r="O34" i="2"/>
  <c r="U34" i="2" s="1"/>
  <c r="K34" i="2"/>
  <c r="N34" i="2"/>
  <c r="T34" i="2" s="1"/>
  <c r="Z35" i="2"/>
  <c r="O38" i="2"/>
  <c r="U38" i="2" s="1"/>
  <c r="K38" i="2"/>
  <c r="N38" i="2"/>
  <c r="T38" i="2" s="1"/>
  <c r="Z39" i="2"/>
  <c r="AC39" i="2" s="1"/>
  <c r="AF39" i="2" s="1"/>
  <c r="L40" i="2"/>
  <c r="O42" i="2"/>
  <c r="U42" i="2" s="1"/>
  <c r="K42" i="2"/>
  <c r="N42" i="2"/>
  <c r="T42" i="2" s="1"/>
  <c r="Z43" i="2"/>
  <c r="L44" i="2"/>
  <c r="O46" i="2"/>
  <c r="U46" i="2" s="1"/>
  <c r="K46" i="2"/>
  <c r="N46" i="2"/>
  <c r="T46" i="2" s="1"/>
  <c r="Z47" i="2"/>
  <c r="L48" i="2"/>
  <c r="O50" i="2"/>
  <c r="U50" i="2" s="1"/>
  <c r="K50" i="2"/>
  <c r="N50" i="2"/>
  <c r="T50" i="2" s="1"/>
  <c r="Z51" i="2"/>
  <c r="AC51" i="2" s="1"/>
  <c r="AF51" i="2" s="1"/>
  <c r="L52" i="2"/>
  <c r="O54" i="2"/>
  <c r="U54" i="2" s="1"/>
  <c r="K54" i="2"/>
  <c r="N54" i="2"/>
  <c r="T54" i="2" s="1"/>
  <c r="Z55" i="2"/>
  <c r="L56" i="2"/>
  <c r="O58" i="2"/>
  <c r="U58" i="2" s="1"/>
  <c r="K58" i="2"/>
  <c r="N58" i="2"/>
  <c r="T58" i="2" s="1"/>
  <c r="Z59" i="2"/>
  <c r="L60" i="2"/>
  <c r="O62" i="2"/>
  <c r="U62" i="2" s="1"/>
  <c r="K62" i="2"/>
  <c r="N62" i="2"/>
  <c r="T62" i="2" s="1"/>
  <c r="Z63" i="2"/>
  <c r="L64" i="2"/>
  <c r="O66" i="2"/>
  <c r="U66" i="2" s="1"/>
  <c r="K66" i="2"/>
  <c r="N66" i="2"/>
  <c r="T66" i="2" s="1"/>
  <c r="Z67" i="2"/>
  <c r="D96" i="3"/>
  <c r="E96" i="3"/>
  <c r="F96" i="3" s="1"/>
  <c r="N35" i="4"/>
  <c r="D79" i="4"/>
  <c r="D95" i="4"/>
  <c r="E95" i="4"/>
  <c r="F95" i="4" s="1"/>
  <c r="N26" i="5"/>
  <c r="O26" i="5"/>
  <c r="O31" i="5"/>
  <c r="D83" i="5"/>
  <c r="F87" i="5"/>
  <c r="D87" i="5"/>
  <c r="N26" i="6"/>
  <c r="O26" i="6"/>
  <c r="O31" i="6"/>
  <c r="D78" i="6"/>
  <c r="D90" i="6"/>
  <c r="D93" i="6"/>
  <c r="D98" i="6"/>
  <c r="N28" i="7"/>
  <c r="O28" i="7"/>
  <c r="N32" i="7"/>
  <c r="O32" i="7"/>
  <c r="Q48" i="7"/>
  <c r="F79" i="7"/>
  <c r="D79" i="7"/>
  <c r="F87" i="7"/>
  <c r="D87" i="7"/>
  <c r="E99" i="7"/>
  <c r="F99" i="7" s="1"/>
  <c r="D99" i="7"/>
  <c r="D78" i="8"/>
  <c r="O27" i="10"/>
  <c r="N27" i="10"/>
  <c r="O28" i="10"/>
  <c r="N28" i="10"/>
  <c r="O64" i="10"/>
  <c r="N64" i="10"/>
  <c r="D79" i="10"/>
  <c r="E97" i="11"/>
  <c r="F97" i="11" s="1"/>
  <c r="D99" i="11"/>
  <c r="E99" i="11"/>
  <c r="F99" i="11" s="1"/>
  <c r="J18" i="2"/>
  <c r="Q19" i="2"/>
  <c r="V19" i="2" s="1"/>
  <c r="J22" i="2"/>
  <c r="Y23" i="2"/>
  <c r="Q23" i="2"/>
  <c r="V23" i="2" s="1"/>
  <c r="J26" i="2"/>
  <c r="Y27" i="2"/>
  <c r="AB27" i="2" s="1"/>
  <c r="AE27" i="2" s="1"/>
  <c r="Q27" i="2"/>
  <c r="V27" i="2" s="1"/>
  <c r="J30" i="2"/>
  <c r="Q31" i="2"/>
  <c r="V31" i="2" s="1"/>
  <c r="J34" i="2"/>
  <c r="Q35" i="2"/>
  <c r="V35" i="2" s="1"/>
  <c r="J38" i="2"/>
  <c r="Y39" i="2"/>
  <c r="Q39" i="2"/>
  <c r="V39" i="2" s="1"/>
  <c r="M40" i="2"/>
  <c r="S40" i="2" s="1"/>
  <c r="J42" i="2"/>
  <c r="Y43" i="2"/>
  <c r="Q43" i="2"/>
  <c r="V43" i="2" s="1"/>
  <c r="M44" i="2"/>
  <c r="S44" i="2" s="1"/>
  <c r="J46" i="2"/>
  <c r="Y47" i="2"/>
  <c r="Q47" i="2"/>
  <c r="V47" i="2" s="1"/>
  <c r="M48" i="2"/>
  <c r="S48" i="2" s="1"/>
  <c r="J50" i="2"/>
  <c r="Y51" i="2"/>
  <c r="Q51" i="2"/>
  <c r="V51" i="2" s="1"/>
  <c r="M52" i="2"/>
  <c r="S52" i="2" s="1"/>
  <c r="J54" i="2"/>
  <c r="Y55" i="2"/>
  <c r="Q55" i="2"/>
  <c r="V55" i="2" s="1"/>
  <c r="M56" i="2"/>
  <c r="S56" i="2" s="1"/>
  <c r="J58" i="2"/>
  <c r="Y59" i="2"/>
  <c r="Q59" i="2"/>
  <c r="V59" i="2" s="1"/>
  <c r="M60" i="2"/>
  <c r="S60" i="2" s="1"/>
  <c r="J62" i="2"/>
  <c r="Y63" i="2"/>
  <c r="Q63" i="2"/>
  <c r="V63" i="2" s="1"/>
  <c r="M64" i="2"/>
  <c r="S64" i="2" s="1"/>
  <c r="J66" i="2"/>
  <c r="Y67" i="2"/>
  <c r="Q67" i="2"/>
  <c r="V67" i="2" s="1"/>
  <c r="S48" i="3"/>
  <c r="S51" i="3"/>
  <c r="D75" i="3"/>
  <c r="F78" i="3"/>
  <c r="D83" i="3"/>
  <c r="O26" i="4"/>
  <c r="E92" i="4"/>
  <c r="F92" i="4" s="1"/>
  <c r="E97" i="4"/>
  <c r="F97" i="4" s="1"/>
  <c r="E100" i="4"/>
  <c r="F100" i="4" s="1"/>
  <c r="S30" i="5"/>
  <c r="S30" i="6"/>
  <c r="D80" i="6"/>
  <c r="F80" i="6"/>
  <c r="F82" i="6"/>
  <c r="E92" i="6"/>
  <c r="F92" i="6" s="1"/>
  <c r="D92" i="6"/>
  <c r="E100" i="6"/>
  <c r="F100" i="6" s="1"/>
  <c r="D100" i="6"/>
  <c r="S5" i="7"/>
  <c r="O29" i="8"/>
  <c r="N29" i="8"/>
  <c r="D94" i="8"/>
  <c r="Q45" i="9"/>
  <c r="F78" i="9"/>
  <c r="D80" i="9"/>
  <c r="Q6" i="10"/>
  <c r="N55" i="10"/>
  <c r="D96" i="10"/>
  <c r="E96" i="10"/>
  <c r="F96" i="10" s="1"/>
  <c r="D98" i="10"/>
  <c r="E98" i="10"/>
  <c r="F98" i="10" s="1"/>
  <c r="N58" i="11"/>
  <c r="D80" i="11"/>
  <c r="F83" i="11"/>
  <c r="D85" i="11"/>
  <c r="E91" i="11"/>
  <c r="F91" i="11" s="1"/>
  <c r="D95" i="11"/>
  <c r="E95" i="11"/>
  <c r="F95" i="11" s="1"/>
  <c r="O60" i="8"/>
  <c r="N60" i="8"/>
  <c r="E93" i="8"/>
  <c r="F93" i="8" s="1"/>
  <c r="D93" i="8"/>
  <c r="R6" i="9"/>
  <c r="R45" i="9"/>
  <c r="O63" i="9"/>
  <c r="N63" i="9"/>
  <c r="O58" i="10"/>
  <c r="N58" i="10"/>
  <c r="F86" i="10"/>
  <c r="D86" i="10"/>
  <c r="D91" i="10"/>
  <c r="E91" i="10"/>
  <c r="F91" i="10" s="1"/>
  <c r="D99" i="10"/>
  <c r="E99" i="10"/>
  <c r="F99" i="10" s="1"/>
  <c r="E92" i="11"/>
  <c r="F92" i="11" s="1"/>
  <c r="D92" i="11"/>
  <c r="E98" i="7"/>
  <c r="F98" i="7" s="1"/>
  <c r="D98" i="7"/>
  <c r="R48" i="8"/>
  <c r="R7" i="8"/>
  <c r="AD6" i="8"/>
  <c r="S26" i="8"/>
  <c r="D90" i="8"/>
  <c r="D95" i="8"/>
  <c r="D98" i="8"/>
  <c r="S28" i="9"/>
  <c r="N57" i="9"/>
  <c r="AE4" i="10"/>
  <c r="N4" i="10"/>
  <c r="O57" i="10"/>
  <c r="N57" i="10"/>
  <c r="N63" i="10"/>
  <c r="F78" i="10"/>
  <c r="D78" i="10"/>
  <c r="D82" i="10"/>
  <c r="E95" i="10"/>
  <c r="F95" i="10" s="1"/>
  <c r="S6" i="11"/>
  <c r="R28" i="11"/>
  <c r="S28" i="11" s="1"/>
  <c r="AE28" i="11"/>
  <c r="O52" i="11"/>
  <c r="N52" i="11"/>
  <c r="N61" i="11"/>
  <c r="N64" i="11"/>
  <c r="D96" i="11"/>
  <c r="E100" i="11"/>
  <c r="F100" i="11" s="1"/>
  <c r="D100" i="11"/>
  <c r="S26" i="9"/>
  <c r="S30" i="9"/>
  <c r="D81" i="10"/>
  <c r="F81" i="10"/>
  <c r="AE4" i="11"/>
  <c r="O4" i="11"/>
  <c r="N4" i="11"/>
  <c r="S45" i="11"/>
  <c r="AE5" i="11"/>
  <c r="N5" i="11"/>
  <c r="S27" i="11"/>
  <c r="N45" i="11" l="1"/>
  <c r="O45" i="11"/>
  <c r="N28" i="9"/>
  <c r="O28" i="9"/>
  <c r="Q48" i="10"/>
  <c r="Q7" i="10"/>
  <c r="AC6" i="10"/>
  <c r="S6" i="10"/>
  <c r="N30" i="5"/>
  <c r="O30" i="5"/>
  <c r="N51" i="3"/>
  <c r="O51" i="3"/>
  <c r="P66" i="2"/>
  <c r="W66" i="2" s="1"/>
  <c r="Z62" i="2"/>
  <c r="P62" i="2"/>
  <c r="W62" i="2" s="1"/>
  <c r="P58" i="2"/>
  <c r="W58" i="2" s="1"/>
  <c r="Z54" i="2"/>
  <c r="P54" i="2"/>
  <c r="W54" i="2" s="1"/>
  <c r="P50" i="2"/>
  <c r="W50" i="2" s="1"/>
  <c r="Z46" i="2"/>
  <c r="P46" i="2"/>
  <c r="W46" i="2" s="1"/>
  <c r="P42" i="2"/>
  <c r="W42" i="2" s="1"/>
  <c r="Z38" i="2"/>
  <c r="P38" i="2"/>
  <c r="W38" i="2" s="1"/>
  <c r="P22" i="2"/>
  <c r="W22" i="2" s="1"/>
  <c r="AH37" i="2"/>
  <c r="AI37" i="2" s="1"/>
  <c r="AC57" i="2"/>
  <c r="AF57" i="2" s="1"/>
  <c r="Z36" i="2"/>
  <c r="P36" i="2"/>
  <c r="W36" i="2" s="1"/>
  <c r="AD21" i="2"/>
  <c r="AG21" i="2" s="1"/>
  <c r="Y31" i="2"/>
  <c r="AB31" i="2" s="1"/>
  <c r="AE31" i="2" s="1"/>
  <c r="P26" i="2"/>
  <c r="W26" i="2" s="1"/>
  <c r="R48" i="2"/>
  <c r="X48" i="2" s="1"/>
  <c r="Q42" i="2"/>
  <c r="V42" i="2" s="1"/>
  <c r="Y65" i="2"/>
  <c r="AB65" i="2" s="1"/>
  <c r="AE65" i="2" s="1"/>
  <c r="Y61" i="2"/>
  <c r="AB61" i="2" s="1"/>
  <c r="AE61" i="2" s="1"/>
  <c r="Y53" i="2"/>
  <c r="AB53" i="2" s="1"/>
  <c r="AE53" i="2" s="1"/>
  <c r="Y49" i="2"/>
  <c r="AB49" i="2" s="1"/>
  <c r="AE49" i="2" s="1"/>
  <c r="Y45" i="2"/>
  <c r="AB45" i="2" s="1"/>
  <c r="AE45" i="2" s="1"/>
  <c r="Y41" i="2"/>
  <c r="AB41" i="2" s="1"/>
  <c r="AE41" i="2" s="1"/>
  <c r="Q52" i="2"/>
  <c r="V52" i="2" s="1"/>
  <c r="Y52" i="2"/>
  <c r="Q48" i="2"/>
  <c r="V48" i="2" s="1"/>
  <c r="Y48" i="2"/>
  <c r="AC45" i="2"/>
  <c r="AF45" i="2" s="1"/>
  <c r="Q40" i="2"/>
  <c r="V40" i="2" s="1"/>
  <c r="AC41" i="2"/>
  <c r="AF41" i="2" s="1"/>
  <c r="AD51" i="2"/>
  <c r="AG51" i="2" s="1"/>
  <c r="AA36" i="2"/>
  <c r="AD36" i="2" s="1"/>
  <c r="AG36" i="2" s="1"/>
  <c r="R36" i="2"/>
  <c r="X36" i="2" s="1"/>
  <c r="Q28" i="2"/>
  <c r="V28" i="2" s="1"/>
  <c r="Y28" i="2"/>
  <c r="AA20" i="2"/>
  <c r="R20" i="2"/>
  <c r="X20" i="2" s="1"/>
  <c r="AD31" i="2"/>
  <c r="AG31" i="2" s="1"/>
  <c r="AA18" i="2"/>
  <c r="X38" i="2"/>
  <c r="X22" i="2"/>
  <c r="X34" i="2"/>
  <c r="AD61" i="2"/>
  <c r="AG61" i="2" s="1"/>
  <c r="Q24" i="2"/>
  <c r="V24" i="2" s="1"/>
  <c r="N26" i="9"/>
  <c r="O26" i="9"/>
  <c r="R48" i="9"/>
  <c r="R7" i="9"/>
  <c r="AD6" i="9"/>
  <c r="N5" i="7"/>
  <c r="S45" i="7"/>
  <c r="O5" i="7"/>
  <c r="AE5" i="7"/>
  <c r="N30" i="6"/>
  <c r="O30" i="6"/>
  <c r="AB59" i="2"/>
  <c r="AE59" i="2" s="1"/>
  <c r="AB55" i="2"/>
  <c r="AE55" i="2" s="1"/>
  <c r="AB51" i="2"/>
  <c r="AE51" i="2" s="1"/>
  <c r="AB43" i="2"/>
  <c r="AE43" i="2" s="1"/>
  <c r="AB39" i="2"/>
  <c r="AE39" i="2" s="1"/>
  <c r="P34" i="2"/>
  <c r="W34" i="2" s="1"/>
  <c r="AB23" i="2"/>
  <c r="AE23" i="2" s="1"/>
  <c r="Z18" i="2"/>
  <c r="P18" i="2"/>
  <c r="W18" i="2" s="1"/>
  <c r="Q66" i="2"/>
  <c r="V66" i="2" s="1"/>
  <c r="AC59" i="2"/>
  <c r="AF59" i="2" s="1"/>
  <c r="R56" i="2"/>
  <c r="X56" i="2" s="1"/>
  <c r="Q50" i="2"/>
  <c r="R40" i="2"/>
  <c r="X40" i="2" s="1"/>
  <c r="S6" i="8"/>
  <c r="Q7" i="8"/>
  <c r="Q48" i="8"/>
  <c r="AC6" i="8"/>
  <c r="X62" i="2"/>
  <c r="X58" i="2"/>
  <c r="X54" i="2"/>
  <c r="X46" i="2"/>
  <c r="X42" i="2"/>
  <c r="AE5" i="10"/>
  <c r="S45" i="10"/>
  <c r="O5" i="10"/>
  <c r="N5" i="10"/>
  <c r="S6" i="9"/>
  <c r="Q48" i="9"/>
  <c r="AC6" i="9"/>
  <c r="Q7" i="9"/>
  <c r="AC7" i="7"/>
  <c r="Q51" i="7"/>
  <c r="Q8" i="7"/>
  <c r="R48" i="7"/>
  <c r="AD6" i="7"/>
  <c r="R7" i="7"/>
  <c r="N45" i="3"/>
  <c r="O45" i="3"/>
  <c r="AA62" i="2"/>
  <c r="AA58" i="2"/>
  <c r="AA54" i="2"/>
  <c r="AA50" i="2"/>
  <c r="AC61" i="2"/>
  <c r="AF61" i="2" s="1"/>
  <c r="AD57" i="2"/>
  <c r="AG57" i="2" s="1"/>
  <c r="Q36" i="2"/>
  <c r="V36" i="2" s="1"/>
  <c r="Y36" i="2"/>
  <c r="R28" i="2"/>
  <c r="Q20" i="2"/>
  <c r="V20" i="2" s="1"/>
  <c r="Y20" i="2"/>
  <c r="AD39" i="2"/>
  <c r="AG39" i="2" s="1"/>
  <c r="AD23" i="2"/>
  <c r="AG23" i="2" s="1"/>
  <c r="R32" i="2"/>
  <c r="X32" i="2" s="1"/>
  <c r="AD45" i="2"/>
  <c r="AG45" i="2" s="1"/>
  <c r="AC37" i="2"/>
  <c r="AF37" i="2" s="1"/>
  <c r="X30" i="2"/>
  <c r="AC21" i="2"/>
  <c r="AF21" i="2" s="1"/>
  <c r="AD65" i="2"/>
  <c r="AG65" i="2" s="1"/>
  <c r="AD49" i="2"/>
  <c r="AG49" i="2" s="1"/>
  <c r="R24" i="2"/>
  <c r="X24" i="2" s="1"/>
  <c r="O28" i="11"/>
  <c r="N28" i="11"/>
  <c r="N26" i="8"/>
  <c r="O26" i="8"/>
  <c r="AH27" i="2"/>
  <c r="AI27" i="2" s="1"/>
  <c r="Q62" i="2"/>
  <c r="V62" i="2" s="1"/>
  <c r="AA52" i="2"/>
  <c r="R52" i="2"/>
  <c r="X52" i="2" s="1"/>
  <c r="Q46" i="2"/>
  <c r="V46" i="2" s="1"/>
  <c r="AC35" i="2"/>
  <c r="AF35" i="2" s="1"/>
  <c r="AC31" i="2"/>
  <c r="AF31" i="2" s="1"/>
  <c r="AC27" i="2"/>
  <c r="AF27" i="2" s="1"/>
  <c r="N5" i="9"/>
  <c r="S45" i="9"/>
  <c r="O5" i="9"/>
  <c r="AE5" i="9"/>
  <c r="N6" i="7"/>
  <c r="S48" i="7"/>
  <c r="AE6" i="7"/>
  <c r="O6" i="7"/>
  <c r="Q64" i="2"/>
  <c r="V64" i="2" s="1"/>
  <c r="Y64" i="2"/>
  <c r="AC53" i="2"/>
  <c r="AF53" i="2" s="1"/>
  <c r="AA42" i="2"/>
  <c r="Q56" i="2"/>
  <c r="V56" i="2" s="1"/>
  <c r="Y56" i="2"/>
  <c r="Z20" i="2"/>
  <c r="AC20" i="2" s="1"/>
  <c r="AF20" i="2" s="1"/>
  <c r="P20" i="2"/>
  <c r="W20" i="2" s="1"/>
  <c r="R16" i="2"/>
  <c r="X16" i="2" s="1"/>
  <c r="AA67" i="2"/>
  <c r="AD37" i="2"/>
  <c r="AG37" i="2" s="1"/>
  <c r="AD27" i="2"/>
  <c r="AG27" i="2" s="1"/>
  <c r="O27" i="11"/>
  <c r="N27" i="11"/>
  <c r="AE6" i="11"/>
  <c r="O6" i="11"/>
  <c r="S48" i="11"/>
  <c r="N6" i="11"/>
  <c r="N48" i="3"/>
  <c r="S49" i="3"/>
  <c r="O48" i="3"/>
  <c r="AC67" i="2"/>
  <c r="AF67" i="2" s="1"/>
  <c r="R64" i="2"/>
  <c r="X64" i="2" s="1"/>
  <c r="Q58" i="2"/>
  <c r="Y57" i="2"/>
  <c r="AB57" i="2" s="1"/>
  <c r="AE57" i="2" s="1"/>
  <c r="Q60" i="2"/>
  <c r="V60" i="2" s="1"/>
  <c r="Y60" i="2"/>
  <c r="Q32" i="2"/>
  <c r="V32" i="2" s="1"/>
  <c r="Y32" i="2"/>
  <c r="AC29" i="2"/>
  <c r="AF29" i="2" s="1"/>
  <c r="X26" i="2"/>
  <c r="AA43" i="2"/>
  <c r="AD43" i="2" s="1"/>
  <c r="AG43" i="2" s="1"/>
  <c r="N30" i="9"/>
  <c r="O30" i="9"/>
  <c r="R51" i="8"/>
  <c r="R8" i="8"/>
  <c r="AD7" i="8"/>
  <c r="Y35" i="2"/>
  <c r="P30" i="2"/>
  <c r="W30" i="2" s="1"/>
  <c r="Y19" i="2"/>
  <c r="AC63" i="2"/>
  <c r="AF63" i="2" s="1"/>
  <c r="R60" i="2"/>
  <c r="X60" i="2" s="1"/>
  <c r="Q54" i="2"/>
  <c r="R44" i="2"/>
  <c r="X44" i="2" s="1"/>
  <c r="Y38" i="2"/>
  <c r="AB38" i="2" s="1"/>
  <c r="AE38" i="2" s="1"/>
  <c r="Q38" i="2"/>
  <c r="V38" i="2" s="1"/>
  <c r="Q34" i="2"/>
  <c r="V34" i="2" s="1"/>
  <c r="Y30" i="2"/>
  <c r="Q30" i="2"/>
  <c r="V30" i="2" s="1"/>
  <c r="Q26" i="2"/>
  <c r="V26" i="2" s="1"/>
  <c r="Y22" i="2"/>
  <c r="Q22" i="2"/>
  <c r="V22" i="2" s="1"/>
  <c r="Q18" i="2"/>
  <c r="V18" i="2" s="1"/>
  <c r="N5" i="8"/>
  <c r="S45" i="8"/>
  <c r="AE5" i="8"/>
  <c r="O5" i="8"/>
  <c r="Z64" i="2"/>
  <c r="P64" i="2"/>
  <c r="W64" i="2" s="1"/>
  <c r="P60" i="2"/>
  <c r="W60" i="2" s="1"/>
  <c r="Z56" i="2"/>
  <c r="P56" i="2"/>
  <c r="W56" i="2" s="1"/>
  <c r="P52" i="2"/>
  <c r="W52" i="2" s="1"/>
  <c r="Z48" i="2"/>
  <c r="P48" i="2"/>
  <c r="W48" i="2" s="1"/>
  <c r="P44" i="2"/>
  <c r="W44" i="2" s="1"/>
  <c r="Z40" i="2"/>
  <c r="P40" i="2"/>
  <c r="W40" i="2" s="1"/>
  <c r="Y33" i="2"/>
  <c r="AD33" i="2" s="1"/>
  <c r="AG33" i="2" s="1"/>
  <c r="Y25" i="2"/>
  <c r="AB25" i="2" s="1"/>
  <c r="AE25" i="2" s="1"/>
  <c r="Y17" i="2"/>
  <c r="AC65" i="2"/>
  <c r="AF65" i="2" s="1"/>
  <c r="Q44" i="2"/>
  <c r="V44" i="2" s="1"/>
  <c r="Y44" i="2"/>
  <c r="AA63" i="2"/>
  <c r="P28" i="2"/>
  <c r="W28" i="2" s="1"/>
  <c r="AA47" i="2"/>
  <c r="P32" i="2"/>
  <c r="Q16" i="2"/>
  <c r="Y16" i="2"/>
  <c r="AA55" i="2"/>
  <c r="AD55" i="2" s="1"/>
  <c r="AG55" i="2" s="1"/>
  <c r="AA38" i="2"/>
  <c r="AD29" i="2"/>
  <c r="AG29" i="2" s="1"/>
  <c r="AA22" i="2"/>
  <c r="AA19" i="2"/>
  <c r="AD19" i="2" s="1"/>
  <c r="AG19" i="2" s="1"/>
  <c r="AA34" i="2"/>
  <c r="AA26" i="2"/>
  <c r="Z24" i="2"/>
  <c r="P24" i="2"/>
  <c r="W24" i="2" s="1"/>
  <c r="AC56" i="2" l="1"/>
  <c r="AF56" i="2" s="1"/>
  <c r="N6" i="8"/>
  <c r="O6" i="8"/>
  <c r="S48" i="8"/>
  <c r="AE6" i="8"/>
  <c r="AH21" i="2"/>
  <c r="AI21" i="2" s="1"/>
  <c r="AC8" i="7"/>
  <c r="Q54" i="7"/>
  <c r="Q9" i="7"/>
  <c r="Q17" i="6"/>
  <c r="AL37" i="2"/>
  <c r="AD63" i="2"/>
  <c r="AG63" i="2" s="1"/>
  <c r="AB63" i="2"/>
  <c r="AE63" i="2" s="1"/>
  <c r="AC40" i="2"/>
  <c r="AF40" i="2" s="1"/>
  <c r="AB22" i="2"/>
  <c r="AE22" i="2" s="1"/>
  <c r="V54" i="2"/>
  <c r="Y54" i="2"/>
  <c r="AB54" i="2" s="1"/>
  <c r="AE54" i="2" s="1"/>
  <c r="AD38" i="2"/>
  <c r="AG38" i="2" s="1"/>
  <c r="W32" i="2"/>
  <c r="Z32" i="2"/>
  <c r="AC32" i="2" s="1"/>
  <c r="AF32" i="2" s="1"/>
  <c r="AB35" i="2"/>
  <c r="AE35" i="2" s="1"/>
  <c r="AD35" i="2"/>
  <c r="AG35" i="2" s="1"/>
  <c r="AJ29" i="2"/>
  <c r="R18" i="5" s="1"/>
  <c r="AH29" i="2"/>
  <c r="AI29" i="2" s="1"/>
  <c r="AD67" i="2"/>
  <c r="AG67" i="2" s="1"/>
  <c r="AB67" i="2"/>
  <c r="AE67" i="2" s="1"/>
  <c r="AK23" i="2"/>
  <c r="S22" i="4" s="1"/>
  <c r="X28" i="2"/>
  <c r="AB28" i="2" s="1"/>
  <c r="AE28" i="2" s="1"/>
  <c r="AA28" i="2"/>
  <c r="AD47" i="2"/>
  <c r="AG47" i="2" s="1"/>
  <c r="AC47" i="2"/>
  <c r="AF47" i="2" s="1"/>
  <c r="AB47" i="2"/>
  <c r="AE47" i="2" s="1"/>
  <c r="S7" i="9"/>
  <c r="Q51" i="9"/>
  <c r="Q8" i="9"/>
  <c r="AC7" i="9"/>
  <c r="V58" i="2"/>
  <c r="Y58" i="2"/>
  <c r="AB58" i="2" s="1"/>
  <c r="AE58" i="2" s="1"/>
  <c r="Q16" i="5"/>
  <c r="W16" i="2"/>
  <c r="Z16" i="2"/>
  <c r="AC16" i="2" s="1"/>
  <c r="AF16" i="2" s="1"/>
  <c r="AB17" i="2"/>
  <c r="AE17" i="2" s="1"/>
  <c r="AD17" i="2"/>
  <c r="AG17" i="2" s="1"/>
  <c r="AC17" i="2"/>
  <c r="AF17" i="2" s="1"/>
  <c r="V50" i="2"/>
  <c r="Y50" i="2"/>
  <c r="AD50" i="2" s="1"/>
  <c r="AG50" i="2" s="1"/>
  <c r="AC18" i="2"/>
  <c r="AF18" i="2" s="1"/>
  <c r="AH39" i="2"/>
  <c r="AJ39" i="2" s="1"/>
  <c r="R19" i="6" s="1"/>
  <c r="AD20" i="2"/>
  <c r="AG20" i="2" s="1"/>
  <c r="AC36" i="2"/>
  <c r="AF36" i="2" s="1"/>
  <c r="AC62" i="2"/>
  <c r="AF62" i="2" s="1"/>
  <c r="AB32" i="2"/>
  <c r="AE32" i="2" s="1"/>
  <c r="O45" i="9"/>
  <c r="N45" i="9"/>
  <c r="AK39" i="2"/>
  <c r="S19" i="6" s="1"/>
  <c r="AC49" i="2"/>
  <c r="AF49" i="2" s="1"/>
  <c r="R8" i="7"/>
  <c r="AD7" i="7"/>
  <c r="R51" i="7"/>
  <c r="AH23" i="2"/>
  <c r="AJ23" i="2" s="1"/>
  <c r="R22" i="4" s="1"/>
  <c r="AH59" i="2"/>
  <c r="AK59" i="2" s="1"/>
  <c r="S18" i="9" s="1"/>
  <c r="AK29" i="2"/>
  <c r="S18" i="5" s="1"/>
  <c r="Z28" i="2"/>
  <c r="Z44" i="2"/>
  <c r="Z52" i="2"/>
  <c r="AC52" i="2" s="1"/>
  <c r="AF52" i="2" s="1"/>
  <c r="Z60" i="2"/>
  <c r="AC60" i="2" s="1"/>
  <c r="AF60" i="2" s="1"/>
  <c r="Y18" i="2"/>
  <c r="AB18" i="2" s="1"/>
  <c r="AE18" i="2" s="1"/>
  <c r="Y26" i="2"/>
  <c r="Y34" i="2"/>
  <c r="AB34" i="2" s="1"/>
  <c r="AE34" i="2" s="1"/>
  <c r="AA44" i="2"/>
  <c r="AD44" i="2" s="1"/>
  <c r="AG44" i="2" s="1"/>
  <c r="R9" i="8"/>
  <c r="AD8" i="8"/>
  <c r="R54" i="8"/>
  <c r="Q49" i="3"/>
  <c r="N49" i="3" s="1"/>
  <c r="O49" i="3"/>
  <c r="AJ27" i="2"/>
  <c r="R16" i="5" s="1"/>
  <c r="Y46" i="2"/>
  <c r="AB46" i="2" s="1"/>
  <c r="AE46" i="2" s="1"/>
  <c r="AB20" i="2"/>
  <c r="AE20" i="2" s="1"/>
  <c r="AB36" i="2"/>
  <c r="AE36" i="2" s="1"/>
  <c r="AD62" i="2"/>
  <c r="AG62" i="2" s="1"/>
  <c r="O45" i="10"/>
  <c r="N45" i="10"/>
  <c r="AH41" i="2"/>
  <c r="AJ41" i="2" s="1"/>
  <c r="R21" i="6" s="1"/>
  <c r="AH61" i="2"/>
  <c r="AI61" i="2" s="1"/>
  <c r="Z26" i="2"/>
  <c r="AC26" i="2" s="1"/>
  <c r="AF26" i="2" s="1"/>
  <c r="AD53" i="2"/>
  <c r="AG53" i="2" s="1"/>
  <c r="AH53" i="2" s="1"/>
  <c r="Z22" i="2"/>
  <c r="AC22" i="2" s="1"/>
  <c r="AF22" i="2" s="1"/>
  <c r="Z42" i="2"/>
  <c r="Z50" i="2"/>
  <c r="AC50" i="2" s="1"/>
  <c r="AF50" i="2" s="1"/>
  <c r="Z58" i="2"/>
  <c r="Z66" i="2"/>
  <c r="AD34" i="2"/>
  <c r="AG34" i="2" s="1"/>
  <c r="AC25" i="2"/>
  <c r="AF25" i="2" s="1"/>
  <c r="AD41" i="2"/>
  <c r="AG41" i="2" s="1"/>
  <c r="AJ65" i="2"/>
  <c r="R15" i="11" s="1"/>
  <c r="AD15" i="11" s="1"/>
  <c r="N45" i="8"/>
  <c r="O45" i="8"/>
  <c r="AA60" i="2"/>
  <c r="Z30" i="2"/>
  <c r="AC30" i="2" s="1"/>
  <c r="AF30" i="2" s="1"/>
  <c r="AH57" i="2"/>
  <c r="AI57" i="2" s="1"/>
  <c r="AA64" i="2"/>
  <c r="AD64" i="2" s="1"/>
  <c r="AG64" i="2" s="1"/>
  <c r="AK37" i="2"/>
  <c r="S17" i="6" s="1"/>
  <c r="Y62" i="2"/>
  <c r="AB62" i="2" s="1"/>
  <c r="AE62" i="2" s="1"/>
  <c r="AA24" i="2"/>
  <c r="AK65" i="2"/>
  <c r="S15" i="11" s="1"/>
  <c r="AK45" i="2"/>
  <c r="S17" i="7" s="1"/>
  <c r="AA32" i="2"/>
  <c r="S7" i="7"/>
  <c r="N6" i="9"/>
  <c r="AE6" i="9"/>
  <c r="O6" i="9"/>
  <c r="S48" i="9"/>
  <c r="S7" i="8"/>
  <c r="Q8" i="8"/>
  <c r="Q51" i="8"/>
  <c r="AC7" i="8"/>
  <c r="AC43" i="2"/>
  <c r="AF43" i="2" s="1"/>
  <c r="AA56" i="2"/>
  <c r="AD56" i="2" s="1"/>
  <c r="AG56" i="2" s="1"/>
  <c r="Z34" i="2"/>
  <c r="AH51" i="2"/>
  <c r="AJ51" i="2" s="1"/>
  <c r="R16" i="8" s="1"/>
  <c r="R8" i="9"/>
  <c r="AD7" i="9"/>
  <c r="R51" i="9"/>
  <c r="Y24" i="2"/>
  <c r="AB24" i="2" s="1"/>
  <c r="AE24" i="2" s="1"/>
  <c r="Y40" i="2"/>
  <c r="AH45" i="2"/>
  <c r="AJ45" i="2" s="1"/>
  <c r="R17" i="7" s="1"/>
  <c r="AI65" i="2"/>
  <c r="AH65" i="2"/>
  <c r="AA48" i="2"/>
  <c r="AD48" i="2" s="1"/>
  <c r="AG48" i="2" s="1"/>
  <c r="AH31" i="2"/>
  <c r="AK31" i="2" s="1"/>
  <c r="S20" i="5" s="1"/>
  <c r="S48" i="10"/>
  <c r="AE6" i="10"/>
  <c r="N6" i="10"/>
  <c r="O6" i="10"/>
  <c r="O45" i="7"/>
  <c r="N45" i="7"/>
  <c r="AC38" i="2"/>
  <c r="AF38" i="2" s="1"/>
  <c r="AC54" i="2"/>
  <c r="AF54" i="2" s="1"/>
  <c r="AB19" i="2"/>
  <c r="AE19" i="2" s="1"/>
  <c r="O48" i="11"/>
  <c r="N48" i="11"/>
  <c r="AB56" i="2"/>
  <c r="AE56" i="2" s="1"/>
  <c r="N48" i="7"/>
  <c r="O48" i="7"/>
  <c r="AC19" i="2"/>
  <c r="AF19" i="2" s="1"/>
  <c r="AC55" i="2"/>
  <c r="AF55" i="2" s="1"/>
  <c r="AD25" i="2"/>
  <c r="AG25" i="2" s="1"/>
  <c r="AK61" i="2"/>
  <c r="S15" i="10" s="1"/>
  <c r="Y42" i="2"/>
  <c r="AB42" i="2" s="1"/>
  <c r="AE42" i="2" s="1"/>
  <c r="Q51" i="10"/>
  <c r="AC7" i="10"/>
  <c r="S7" i="10"/>
  <c r="AD26" i="2"/>
  <c r="AG26" i="2" s="1"/>
  <c r="AB33" i="2"/>
  <c r="AE33" i="2" s="1"/>
  <c r="AC33" i="2"/>
  <c r="AF33" i="2" s="1"/>
  <c r="AK27" i="2"/>
  <c r="S16" i="5" s="1"/>
  <c r="AA16" i="2"/>
  <c r="AJ37" i="2"/>
  <c r="R17" i="6" s="1"/>
  <c r="AJ61" i="2"/>
  <c r="R15" i="10" s="1"/>
  <c r="AD15" i="10" s="1"/>
  <c r="AA40" i="2"/>
  <c r="AD40" i="2" s="1"/>
  <c r="AG40" i="2" s="1"/>
  <c r="Y66" i="2"/>
  <c r="AB48" i="2"/>
  <c r="AE48" i="2" s="1"/>
  <c r="AD21" i="6" l="1"/>
  <c r="R61" i="6"/>
  <c r="S58" i="5"/>
  <c r="O20" i="5"/>
  <c r="AE20" i="5"/>
  <c r="AI53" i="2"/>
  <c r="AJ53" i="2"/>
  <c r="R18" i="8" s="1"/>
  <c r="Q16" i="9"/>
  <c r="Q15" i="10"/>
  <c r="AC15" i="10" s="1"/>
  <c r="AL61" i="2"/>
  <c r="AD17" i="7"/>
  <c r="R49" i="7"/>
  <c r="AE15" i="10"/>
  <c r="N15" i="10"/>
  <c r="O15" i="10"/>
  <c r="AJ38" i="2"/>
  <c r="R18" i="6" s="1"/>
  <c r="Q15" i="11"/>
  <c r="AC15" i="11" s="1"/>
  <c r="AL65" i="2"/>
  <c r="AJ31" i="2"/>
  <c r="R20" i="5" s="1"/>
  <c r="S52" i="9"/>
  <c r="AE18" i="9"/>
  <c r="O18" i="9"/>
  <c r="S55" i="6"/>
  <c r="O19" i="6"/>
  <c r="AE19" i="6"/>
  <c r="AJ33" i="2"/>
  <c r="R22" i="5" s="1"/>
  <c r="AE7" i="10"/>
  <c r="N7" i="10"/>
  <c r="S51" i="10"/>
  <c r="O7" i="10"/>
  <c r="AH43" i="2"/>
  <c r="AH56" i="2"/>
  <c r="AI56" i="2" s="1"/>
  <c r="AK21" i="2"/>
  <c r="S20" i="4" s="1"/>
  <c r="AI31" i="2"/>
  <c r="O48" i="9"/>
  <c r="N48" i="9"/>
  <c r="AI41" i="2"/>
  <c r="AD16" i="5"/>
  <c r="R46" i="5"/>
  <c r="S8" i="9"/>
  <c r="Q54" i="9"/>
  <c r="AC8" i="9"/>
  <c r="AH38" i="2"/>
  <c r="AI38" i="2" s="1"/>
  <c r="AJ56" i="2"/>
  <c r="R15" i="9" s="1"/>
  <c r="AD15" i="9" s="1"/>
  <c r="AD16" i="2"/>
  <c r="AG16" i="2" s="1"/>
  <c r="AI45" i="2"/>
  <c r="AD24" i="2"/>
  <c r="AG24" i="2" s="1"/>
  <c r="S49" i="6"/>
  <c r="N17" i="6"/>
  <c r="O17" i="6"/>
  <c r="AE17" i="6"/>
  <c r="S46" i="5"/>
  <c r="N16" i="5"/>
  <c r="O16" i="5"/>
  <c r="AE16" i="5"/>
  <c r="AB16" i="2"/>
  <c r="AK51" i="2"/>
  <c r="S16" i="8" s="1"/>
  <c r="AD58" i="2"/>
  <c r="AG58" i="2" s="1"/>
  <c r="N48" i="10"/>
  <c r="O48" i="10"/>
  <c r="AB40" i="2"/>
  <c r="AE40" i="2" s="1"/>
  <c r="R54" i="9"/>
  <c r="AD8" i="9"/>
  <c r="AK56" i="2"/>
  <c r="S15" i="9" s="1"/>
  <c r="S8" i="8"/>
  <c r="AC8" i="8"/>
  <c r="Q54" i="8"/>
  <c r="Q9" i="8"/>
  <c r="AD32" i="2"/>
  <c r="AG32" i="2" s="1"/>
  <c r="AH62" i="2"/>
  <c r="AK62" i="2" s="1"/>
  <c r="S16" i="10" s="1"/>
  <c r="AD60" i="2"/>
  <c r="AG60" i="2" s="1"/>
  <c r="AK41" i="2"/>
  <c r="S21" i="6" s="1"/>
  <c r="AC58" i="2"/>
  <c r="AF58" i="2" s="1"/>
  <c r="AJ57" i="2"/>
  <c r="R16" i="9" s="1"/>
  <c r="AH20" i="2"/>
  <c r="AJ20" i="2" s="1"/>
  <c r="R19" i="4" s="1"/>
  <c r="R57" i="8"/>
  <c r="AD9" i="8"/>
  <c r="AH18" i="2"/>
  <c r="AI18" i="2" s="1"/>
  <c r="AC28" i="2"/>
  <c r="AF28" i="2" s="1"/>
  <c r="AD18" i="2"/>
  <c r="AG18" i="2" s="1"/>
  <c r="AI23" i="2"/>
  <c r="AJ49" i="2"/>
  <c r="R21" i="7" s="1"/>
  <c r="AB64" i="2"/>
  <c r="AE64" i="2" s="1"/>
  <c r="AD22" i="2"/>
  <c r="AG22" i="2" s="1"/>
  <c r="AH49" i="2"/>
  <c r="AI39" i="2"/>
  <c r="AK57" i="2"/>
  <c r="S16" i="9" s="1"/>
  <c r="AH17" i="2"/>
  <c r="AJ17" i="2" s="1"/>
  <c r="R16" i="4" s="1"/>
  <c r="AL27" i="2"/>
  <c r="AC24" i="2"/>
  <c r="AF24" i="2" s="1"/>
  <c r="N7" i="9"/>
  <c r="S51" i="9"/>
  <c r="AE7" i="9"/>
  <c r="O7" i="9"/>
  <c r="AH47" i="2"/>
  <c r="AJ47" i="2" s="1"/>
  <c r="R19" i="7" s="1"/>
  <c r="AD28" i="2"/>
  <c r="AG28" i="2" s="1"/>
  <c r="AD52" i="2"/>
  <c r="AG52" i="2" s="1"/>
  <c r="Q18" i="5"/>
  <c r="AL29" i="2"/>
  <c r="AC64" i="2"/>
  <c r="AF64" i="2" s="1"/>
  <c r="AD30" i="2"/>
  <c r="AG30" i="2" s="1"/>
  <c r="Q57" i="7"/>
  <c r="AC9" i="7"/>
  <c r="Q10" i="7"/>
  <c r="AD54" i="2"/>
  <c r="AG54" i="2" s="1"/>
  <c r="AJ59" i="2"/>
  <c r="R18" i="9" s="1"/>
  <c r="AH19" i="2"/>
  <c r="AK19" i="2" s="1"/>
  <c r="S18" i="4" s="1"/>
  <c r="R46" i="8"/>
  <c r="AD16" i="8"/>
  <c r="N7" i="8"/>
  <c r="S51" i="8"/>
  <c r="AE7" i="8"/>
  <c r="O7" i="8"/>
  <c r="O17" i="7"/>
  <c r="S49" i="7"/>
  <c r="AE17" i="7"/>
  <c r="AJ25" i="2"/>
  <c r="R24" i="4" s="1"/>
  <c r="AD24" i="4" s="1"/>
  <c r="AK53" i="2"/>
  <c r="S18" i="8" s="1"/>
  <c r="S52" i="5"/>
  <c r="N18" i="5"/>
  <c r="O18" i="5"/>
  <c r="AE18" i="5"/>
  <c r="AH32" i="2"/>
  <c r="AJ32" i="2" s="1"/>
  <c r="R21" i="5" s="1"/>
  <c r="AI67" i="2"/>
  <c r="AH67" i="2"/>
  <c r="AJ67" i="2" s="1"/>
  <c r="R17" i="11" s="1"/>
  <c r="AD18" i="5"/>
  <c r="R52" i="5"/>
  <c r="AI22" i="2"/>
  <c r="AH22" i="2"/>
  <c r="AJ22" i="2" s="1"/>
  <c r="R21" i="4" s="1"/>
  <c r="Q20" i="4"/>
  <c r="AD17" i="6"/>
  <c r="R49" i="6"/>
  <c r="AB44" i="2"/>
  <c r="AE44" i="2" s="1"/>
  <c r="AI51" i="2"/>
  <c r="N7" i="7"/>
  <c r="O7" i="7"/>
  <c r="S51" i="7"/>
  <c r="AE7" i="7"/>
  <c r="AE15" i="11"/>
  <c r="O15" i="11"/>
  <c r="AD42" i="2"/>
  <c r="AG42" i="2" s="1"/>
  <c r="AC42" i="2"/>
  <c r="AF42" i="2" s="1"/>
  <c r="AI59" i="2"/>
  <c r="AH25" i="2"/>
  <c r="AI25" i="2" s="1"/>
  <c r="AC46" i="2"/>
  <c r="AF46" i="2" s="1"/>
  <c r="AH46" i="2" s="1"/>
  <c r="AI46" i="2" s="1"/>
  <c r="AK20" i="2"/>
  <c r="S19" i="4" s="1"/>
  <c r="AB50" i="2"/>
  <c r="AE50" i="2" s="1"/>
  <c r="AK47" i="2"/>
  <c r="S19" i="7" s="1"/>
  <c r="AE22" i="4"/>
  <c r="S64" i="4"/>
  <c r="O22" i="4"/>
  <c r="AB60" i="2"/>
  <c r="AE60" i="2" s="1"/>
  <c r="AC17" i="6"/>
  <c r="Q49" i="6"/>
  <c r="AJ21" i="2"/>
  <c r="R20" i="4" s="1"/>
  <c r="O48" i="8"/>
  <c r="N48" i="8"/>
  <c r="AB66" i="2"/>
  <c r="AE66" i="2" s="1"/>
  <c r="AD66" i="2"/>
  <c r="AG66" i="2" s="1"/>
  <c r="AI33" i="2"/>
  <c r="AH33" i="2"/>
  <c r="AK33" i="2" s="1"/>
  <c r="S22" i="5" s="1"/>
  <c r="AB52" i="2"/>
  <c r="AE52" i="2" s="1"/>
  <c r="AH55" i="2"/>
  <c r="AC34" i="2"/>
  <c r="AF34" i="2" s="1"/>
  <c r="AC66" i="2"/>
  <c r="AF66" i="2" s="1"/>
  <c r="AH36" i="2"/>
  <c r="AK36" i="2" s="1"/>
  <c r="S16" i="6" s="1"/>
  <c r="AB26" i="2"/>
  <c r="AE26" i="2" s="1"/>
  <c r="AC44" i="2"/>
  <c r="AF44" i="2" s="1"/>
  <c r="R64" i="4"/>
  <c r="AD22" i="4"/>
  <c r="R54" i="7"/>
  <c r="AD8" i="7"/>
  <c r="R9" i="7"/>
  <c r="AJ36" i="2"/>
  <c r="R16" i="6" s="1"/>
  <c r="AD19" i="6"/>
  <c r="R55" i="6"/>
  <c r="AK17" i="2"/>
  <c r="S16" i="4" s="1"/>
  <c r="Q46" i="5"/>
  <c r="AC16" i="5"/>
  <c r="AB30" i="2"/>
  <c r="AE30" i="2" s="1"/>
  <c r="AH35" i="2"/>
  <c r="AJ35" i="2" s="1"/>
  <c r="R15" i="6" s="1"/>
  <c r="AD15" i="6" s="1"/>
  <c r="AK38" i="2"/>
  <c r="S18" i="6" s="1"/>
  <c r="AH54" i="2"/>
  <c r="AI54" i="2" s="1"/>
  <c r="AI63" i="2"/>
  <c r="AH63" i="2"/>
  <c r="AJ63" i="2" s="1"/>
  <c r="R17" i="10" s="1"/>
  <c r="AD46" i="2"/>
  <c r="AG46" i="2" s="1"/>
  <c r="S8" i="7"/>
  <c r="AC48" i="2"/>
  <c r="AF48" i="2" s="1"/>
  <c r="R46" i="4" l="1"/>
  <c r="AD16" i="4"/>
  <c r="Q19" i="8"/>
  <c r="AD21" i="5"/>
  <c r="R61" i="5"/>
  <c r="AD19" i="7"/>
  <c r="R55" i="7"/>
  <c r="Q17" i="4"/>
  <c r="AE16" i="10"/>
  <c r="S46" i="10"/>
  <c r="O16" i="10"/>
  <c r="Q15" i="9"/>
  <c r="AC15" i="9" s="1"/>
  <c r="AL56" i="2"/>
  <c r="Q18" i="7"/>
  <c r="AL46" i="2"/>
  <c r="R61" i="4"/>
  <c r="AD21" i="4"/>
  <c r="AL63" i="2"/>
  <c r="Q17" i="10"/>
  <c r="Q22" i="5"/>
  <c r="AL33" i="2"/>
  <c r="AL51" i="2"/>
  <c r="Q16" i="8"/>
  <c r="Q21" i="4"/>
  <c r="AL22" i="2"/>
  <c r="S46" i="9"/>
  <c r="N16" i="9"/>
  <c r="AE16" i="9"/>
  <c r="O16" i="9"/>
  <c r="AI16" i="2"/>
  <c r="AH16" i="2"/>
  <c r="AJ16" i="2" s="1"/>
  <c r="R15" i="4" s="1"/>
  <c r="AD15" i="4" s="1"/>
  <c r="N46" i="5"/>
  <c r="O46" i="5"/>
  <c r="Q17" i="7"/>
  <c r="AL45" i="2"/>
  <c r="AI43" i="2"/>
  <c r="AK43" i="2"/>
  <c r="S15" i="7" s="1"/>
  <c r="AH48" i="2"/>
  <c r="N8" i="7"/>
  <c r="S54" i="7"/>
  <c r="AE8" i="7"/>
  <c r="O8" i="7"/>
  <c r="AI35" i="2"/>
  <c r="AE16" i="4"/>
  <c r="S46" i="4"/>
  <c r="O16" i="4"/>
  <c r="R10" i="7"/>
  <c r="AD9" i="7"/>
  <c r="R57" i="7"/>
  <c r="AI36" i="2"/>
  <c r="AK55" i="2"/>
  <c r="S20" i="8" s="1"/>
  <c r="AI55" i="2"/>
  <c r="R58" i="4"/>
  <c r="AD20" i="4"/>
  <c r="AK35" i="2"/>
  <c r="S15" i="6" s="1"/>
  <c r="AH44" i="2"/>
  <c r="AK44" i="2" s="1"/>
  <c r="S16" i="7" s="1"/>
  <c r="AI32" i="2"/>
  <c r="AD18" i="9"/>
  <c r="R52" i="9"/>
  <c r="AJ64" i="2"/>
  <c r="R18" i="10" s="1"/>
  <c r="R61" i="7"/>
  <c r="AD21" i="7"/>
  <c r="S61" i="6"/>
  <c r="N21" i="6"/>
  <c r="O21" i="6"/>
  <c r="AE21" i="6"/>
  <c r="AI62" i="2"/>
  <c r="AE20" i="4"/>
  <c r="S58" i="4"/>
  <c r="O20" i="4"/>
  <c r="N20" i="4"/>
  <c r="AJ62" i="2"/>
  <c r="R16" i="10" s="1"/>
  <c r="O55" i="6"/>
  <c r="O52" i="9"/>
  <c r="R52" i="8"/>
  <c r="AD18" i="8"/>
  <c r="AH28" i="2"/>
  <c r="AI28" i="2" s="1"/>
  <c r="AI30" i="2"/>
  <c r="AH30" i="2"/>
  <c r="AJ30" i="2" s="1"/>
  <c r="R19" i="5" s="1"/>
  <c r="R49" i="10"/>
  <c r="AD17" i="10"/>
  <c r="S52" i="6"/>
  <c r="AE18" i="6"/>
  <c r="O18" i="6"/>
  <c r="AH26" i="2"/>
  <c r="AI26" i="2" s="1"/>
  <c r="S64" i="5"/>
  <c r="N22" i="5"/>
  <c r="O22" i="5"/>
  <c r="AE22" i="5"/>
  <c r="AH50" i="2"/>
  <c r="AI50" i="2" s="1"/>
  <c r="Q18" i="9"/>
  <c r="AL59" i="2"/>
  <c r="R49" i="11"/>
  <c r="AD17" i="11"/>
  <c r="AJ18" i="2"/>
  <c r="R17" i="4" s="1"/>
  <c r="N18" i="8"/>
  <c r="S52" i="8"/>
  <c r="AE18" i="8"/>
  <c r="O18" i="8"/>
  <c r="O51" i="8"/>
  <c r="N51" i="8"/>
  <c r="AH24" i="2"/>
  <c r="AI24" i="2" s="1"/>
  <c r="AK25" i="2"/>
  <c r="S24" i="4" s="1"/>
  <c r="S10" i="7"/>
  <c r="Q60" i="7"/>
  <c r="AC10" i="7"/>
  <c r="AK63" i="2"/>
  <c r="S17" i="10" s="1"/>
  <c r="Q52" i="5"/>
  <c r="AC18" i="5"/>
  <c r="AI47" i="2"/>
  <c r="AI17" i="2"/>
  <c r="AK22" i="2"/>
  <c r="S21" i="4" s="1"/>
  <c r="AK18" i="2"/>
  <c r="S17" i="4" s="1"/>
  <c r="AD16" i="9"/>
  <c r="R46" i="9"/>
  <c r="S9" i="8"/>
  <c r="Q57" i="8"/>
  <c r="AC9" i="8"/>
  <c r="AE15" i="9"/>
  <c r="O15" i="9"/>
  <c r="N16" i="8"/>
  <c r="AE16" i="8"/>
  <c r="S46" i="8"/>
  <c r="O16" i="8"/>
  <c r="AK24" i="2"/>
  <c r="S23" i="4" s="1"/>
  <c r="AK16" i="2"/>
  <c r="S15" i="4" s="1"/>
  <c r="Q18" i="6"/>
  <c r="AL38" i="2"/>
  <c r="Q21" i="6"/>
  <c r="AL41" i="2"/>
  <c r="AJ43" i="2"/>
  <c r="R15" i="7" s="1"/>
  <c r="AD15" i="7" s="1"/>
  <c r="AC16" i="9"/>
  <c r="Q46" i="9"/>
  <c r="R46" i="6"/>
  <c r="AD16" i="6"/>
  <c r="S46" i="6"/>
  <c r="AE16" i="6"/>
  <c r="O16" i="6"/>
  <c r="AI60" i="2"/>
  <c r="AH60" i="2"/>
  <c r="AJ60" i="2" s="1"/>
  <c r="R19" i="9" s="1"/>
  <c r="O64" i="4"/>
  <c r="AE19" i="4"/>
  <c r="S55" i="4"/>
  <c r="O19" i="4"/>
  <c r="AH34" i="2"/>
  <c r="AJ34" i="2" s="1"/>
  <c r="R23" i="5" s="1"/>
  <c r="Q17" i="11"/>
  <c r="AL67" i="2"/>
  <c r="AI64" i="2"/>
  <c r="AH64" i="2"/>
  <c r="AK64" i="2" s="1"/>
  <c r="S18" i="10" s="1"/>
  <c r="AL31" i="2"/>
  <c r="Q20" i="5"/>
  <c r="AJ46" i="2"/>
  <c r="R18" i="7" s="1"/>
  <c r="O51" i="7"/>
  <c r="N51" i="7"/>
  <c r="AL21" i="2"/>
  <c r="AH58" i="2"/>
  <c r="AI58" i="2" s="1"/>
  <c r="N52" i="5"/>
  <c r="O52" i="5"/>
  <c r="AE18" i="4"/>
  <c r="S52" i="4"/>
  <c r="O18" i="4"/>
  <c r="AL39" i="2"/>
  <c r="Q19" i="6"/>
  <c r="R55" i="4"/>
  <c r="AD19" i="4"/>
  <c r="AJ54" i="2"/>
  <c r="R19" i="8" s="1"/>
  <c r="AD22" i="5"/>
  <c r="R64" i="5"/>
  <c r="AK46" i="2"/>
  <c r="S18" i="7" s="1"/>
  <c r="AH52" i="2"/>
  <c r="AJ52" i="2" s="1"/>
  <c r="R17" i="8" s="1"/>
  <c r="AH66" i="2"/>
  <c r="AJ66" i="2" s="1"/>
  <c r="R16" i="11" s="1"/>
  <c r="O19" i="7"/>
  <c r="AE19" i="7"/>
  <c r="S55" i="7"/>
  <c r="Q24" i="4"/>
  <c r="AC24" i="4" s="1"/>
  <c r="AL25" i="2"/>
  <c r="N15" i="11"/>
  <c r="AJ55" i="2"/>
  <c r="R20" i="8" s="1"/>
  <c r="Q58" i="4"/>
  <c r="AC20" i="4"/>
  <c r="O49" i="7"/>
  <c r="AI19" i="2"/>
  <c r="AK54" i="2"/>
  <c r="S19" i="8" s="1"/>
  <c r="S9" i="7"/>
  <c r="O51" i="9"/>
  <c r="N51" i="9"/>
  <c r="AK49" i="2"/>
  <c r="S21" i="7" s="1"/>
  <c r="AI49" i="2"/>
  <c r="Q22" i="4"/>
  <c r="AL23" i="2"/>
  <c r="AI20" i="2"/>
  <c r="AK60" i="2"/>
  <c r="S19" i="9" s="1"/>
  <c r="AK32" i="2"/>
  <c r="S21" i="5" s="1"/>
  <c r="N8" i="8"/>
  <c r="S54" i="8"/>
  <c r="O8" i="8"/>
  <c r="AE8" i="8"/>
  <c r="AH40" i="2"/>
  <c r="N49" i="6"/>
  <c r="O49" i="6"/>
  <c r="AJ19" i="2"/>
  <c r="R18" i="4" s="1"/>
  <c r="AK67" i="2"/>
  <c r="S17" i="11" s="1"/>
  <c r="N8" i="9"/>
  <c r="AE8" i="9"/>
  <c r="S54" i="9"/>
  <c r="O8" i="9"/>
  <c r="O51" i="10"/>
  <c r="N51" i="10"/>
  <c r="AD20" i="5"/>
  <c r="R58" i="5"/>
  <c r="AD18" i="6"/>
  <c r="R52" i="6"/>
  <c r="AH42" i="2"/>
  <c r="AI42" i="2" s="1"/>
  <c r="AL57" i="2"/>
  <c r="Q18" i="8"/>
  <c r="AL53" i="2"/>
  <c r="O58" i="5"/>
  <c r="R46" i="11" l="1"/>
  <c r="AD16" i="11"/>
  <c r="Q15" i="8"/>
  <c r="AC15" i="8" s="1"/>
  <c r="R67" i="5"/>
  <c r="AD23" i="5"/>
  <c r="Q15" i="5"/>
  <c r="AC15" i="5" s="1"/>
  <c r="O54" i="9"/>
  <c r="N54" i="9"/>
  <c r="AJ40" i="2"/>
  <c r="R20" i="6" s="1"/>
  <c r="AK40" i="2"/>
  <c r="S20" i="6" s="1"/>
  <c r="AL20" i="2"/>
  <c r="Q19" i="4"/>
  <c r="S55" i="8"/>
  <c r="N19" i="8"/>
  <c r="O19" i="8"/>
  <c r="AE19" i="8"/>
  <c r="R49" i="8"/>
  <c r="AD17" i="8"/>
  <c r="Q18" i="10"/>
  <c r="AL64" i="2"/>
  <c r="Q19" i="9"/>
  <c r="AL60" i="2"/>
  <c r="AE17" i="4"/>
  <c r="S49" i="4"/>
  <c r="N17" i="4"/>
  <c r="O17" i="4"/>
  <c r="O52" i="8"/>
  <c r="R46" i="10"/>
  <c r="AD16" i="10"/>
  <c r="R52" i="10"/>
  <c r="AD18" i="10"/>
  <c r="AI48" i="2"/>
  <c r="AK48" i="2"/>
  <c r="S20" i="7" s="1"/>
  <c r="Q15" i="4"/>
  <c r="AC15" i="4" s="1"/>
  <c r="AL16" i="2"/>
  <c r="AK42" i="2"/>
  <c r="S22" i="6" s="1"/>
  <c r="Q55" i="8"/>
  <c r="AC19" i="8"/>
  <c r="Q18" i="4"/>
  <c r="AL19" i="2"/>
  <c r="Q55" i="6"/>
  <c r="N55" i="6" s="1"/>
  <c r="AC19" i="6"/>
  <c r="N19" i="6"/>
  <c r="AK52" i="2"/>
  <c r="S17" i="8" s="1"/>
  <c r="Q52" i="6"/>
  <c r="AC18" i="6"/>
  <c r="AE21" i="4"/>
  <c r="N21" i="4"/>
  <c r="O21" i="4"/>
  <c r="S61" i="4"/>
  <c r="AJ42" i="2"/>
  <c r="R22" i="6" s="1"/>
  <c r="Q16" i="10"/>
  <c r="AL62" i="2"/>
  <c r="Q20" i="8"/>
  <c r="AL55" i="2"/>
  <c r="O46" i="4"/>
  <c r="O15" i="7"/>
  <c r="AE15" i="7"/>
  <c r="AJ28" i="2"/>
  <c r="R17" i="5" s="1"/>
  <c r="N46" i="9"/>
  <c r="O46" i="9"/>
  <c r="AC21" i="4"/>
  <c r="Q61" i="4"/>
  <c r="AL18" i="2"/>
  <c r="Q52" i="8"/>
  <c r="N52" i="8" s="1"/>
  <c r="AC18" i="8"/>
  <c r="Q64" i="4"/>
  <c r="N64" i="4" s="1"/>
  <c r="AC22" i="4"/>
  <c r="N22" i="4"/>
  <c r="R58" i="8"/>
  <c r="AD20" i="8"/>
  <c r="AE17" i="11"/>
  <c r="N17" i="11"/>
  <c r="S49" i="11"/>
  <c r="O17" i="11"/>
  <c r="AK58" i="2"/>
  <c r="S17" i="9" s="1"/>
  <c r="S55" i="9"/>
  <c r="O19" i="9"/>
  <c r="AE19" i="9"/>
  <c r="Q21" i="7"/>
  <c r="AL49" i="2"/>
  <c r="N9" i="7"/>
  <c r="O9" i="7"/>
  <c r="S57" i="7"/>
  <c r="AE9" i="7"/>
  <c r="AI66" i="2"/>
  <c r="S52" i="7"/>
  <c r="N18" i="7"/>
  <c r="AE18" i="7"/>
  <c r="O18" i="7"/>
  <c r="AK28" i="2"/>
  <c r="S17" i="5" s="1"/>
  <c r="AK66" i="2"/>
  <c r="S16" i="11" s="1"/>
  <c r="AE18" i="10"/>
  <c r="O18" i="10"/>
  <c r="N18" i="10"/>
  <c r="S52" i="10"/>
  <c r="Q49" i="11"/>
  <c r="AC17" i="11"/>
  <c r="R55" i="9"/>
  <c r="AD19" i="9"/>
  <c r="O46" i="6"/>
  <c r="AC21" i="6"/>
  <c r="Q61" i="6"/>
  <c r="N61" i="6" s="1"/>
  <c r="AE23" i="4"/>
  <c r="S67" i="4"/>
  <c r="O23" i="4"/>
  <c r="AL47" i="2"/>
  <c r="Q19" i="7"/>
  <c r="Q23" i="4"/>
  <c r="N23" i="4" s="1"/>
  <c r="AL24" i="2"/>
  <c r="Q52" i="9"/>
  <c r="N52" i="9" s="1"/>
  <c r="AC18" i="9"/>
  <c r="N18" i="9"/>
  <c r="N18" i="6"/>
  <c r="R55" i="5"/>
  <c r="AD19" i="5"/>
  <c r="O58" i="4"/>
  <c r="N58" i="4"/>
  <c r="AL32" i="2"/>
  <c r="Q21" i="5"/>
  <c r="Q16" i="6"/>
  <c r="AL36" i="2"/>
  <c r="AL35" i="2"/>
  <c r="Q15" i="6"/>
  <c r="AC15" i="6" s="1"/>
  <c r="AK30" i="2"/>
  <c r="S19" i="5" s="1"/>
  <c r="AL54" i="2"/>
  <c r="Q22" i="6"/>
  <c r="R52" i="4"/>
  <c r="AD18" i="4"/>
  <c r="O54" i="8"/>
  <c r="N54" i="8"/>
  <c r="O21" i="7"/>
  <c r="S61" i="7"/>
  <c r="AE21" i="7"/>
  <c r="AC20" i="5"/>
  <c r="Q58" i="5"/>
  <c r="N58" i="5" s="1"/>
  <c r="N20" i="5"/>
  <c r="AK34" i="2"/>
  <c r="S23" i="5" s="1"/>
  <c r="AI34" i="2"/>
  <c r="AJ50" i="2"/>
  <c r="R15" i="8" s="1"/>
  <c r="AD15" i="8" s="1"/>
  <c r="AK50" i="2"/>
  <c r="S15" i="8" s="1"/>
  <c r="Q19" i="5"/>
  <c r="AL30" i="2"/>
  <c r="S46" i="7"/>
  <c r="AE16" i="7"/>
  <c r="O16" i="7"/>
  <c r="Q49" i="7"/>
  <c r="N49" i="7" s="1"/>
  <c r="AC17" i="7"/>
  <c r="N17" i="7"/>
  <c r="Q49" i="10"/>
  <c r="AC17" i="10"/>
  <c r="AI40" i="2"/>
  <c r="AI52" i="2"/>
  <c r="O52" i="4"/>
  <c r="O46" i="8"/>
  <c r="N9" i="8"/>
  <c r="AE9" i="8"/>
  <c r="O9" i="8"/>
  <c r="S57" i="8"/>
  <c r="N10" i="7"/>
  <c r="S60" i="7"/>
  <c r="AE10" i="7"/>
  <c r="O10" i="7"/>
  <c r="N64" i="5"/>
  <c r="O64" i="5"/>
  <c r="Q17" i="5"/>
  <c r="O61" i="6"/>
  <c r="AI44" i="2"/>
  <c r="N21" i="5"/>
  <c r="S61" i="5"/>
  <c r="AE21" i="5"/>
  <c r="O21" i="5"/>
  <c r="O55" i="7"/>
  <c r="AJ44" i="2"/>
  <c r="R16" i="7" s="1"/>
  <c r="AD19" i="8"/>
  <c r="R55" i="8"/>
  <c r="Q17" i="9"/>
  <c r="AL58" i="2"/>
  <c r="AD18" i="7"/>
  <c r="R52" i="7"/>
  <c r="AJ58" i="2"/>
  <c r="R17" i="9" s="1"/>
  <c r="O55" i="4"/>
  <c r="AE15" i="4"/>
  <c r="N15" i="4"/>
  <c r="O15" i="4"/>
  <c r="N15" i="9"/>
  <c r="Q16" i="4"/>
  <c r="AL17" i="2"/>
  <c r="AE17" i="10"/>
  <c r="N17" i="10"/>
  <c r="S49" i="10"/>
  <c r="O17" i="10"/>
  <c r="AE24" i="4"/>
  <c r="O24" i="4"/>
  <c r="N24" i="4"/>
  <c r="R49" i="4"/>
  <c r="AD17" i="4"/>
  <c r="AK26" i="2"/>
  <c r="S15" i="5" s="1"/>
  <c r="AJ26" i="2"/>
  <c r="R15" i="5" s="1"/>
  <c r="AD15" i="5" s="1"/>
  <c r="O52" i="6"/>
  <c r="N52" i="6"/>
  <c r="N15" i="6"/>
  <c r="O15" i="6"/>
  <c r="AE15" i="6"/>
  <c r="N20" i="8"/>
  <c r="S58" i="8"/>
  <c r="AE20" i="8"/>
  <c r="O20" i="8"/>
  <c r="R60" i="7"/>
  <c r="AD10" i="7"/>
  <c r="O54" i="7"/>
  <c r="N54" i="7"/>
  <c r="AL43" i="2"/>
  <c r="Q15" i="7"/>
  <c r="AC15" i="7" s="1"/>
  <c r="AJ24" i="2"/>
  <c r="R23" i="4" s="1"/>
  <c r="Q46" i="8"/>
  <c r="N46" i="8" s="1"/>
  <c r="AC16" i="8"/>
  <c r="AC22" i="5"/>
  <c r="Q64" i="5"/>
  <c r="AJ48" i="2"/>
  <c r="R20" i="7" s="1"/>
  <c r="Q52" i="7"/>
  <c r="AC18" i="7"/>
  <c r="O46" i="10"/>
  <c r="AC17" i="4"/>
  <c r="Q49" i="4"/>
  <c r="N15" i="5" l="1"/>
  <c r="AE15" i="5"/>
  <c r="O15" i="5"/>
  <c r="Q49" i="5"/>
  <c r="AC17" i="5"/>
  <c r="N15" i="8"/>
  <c r="O15" i="8"/>
  <c r="AE15" i="8"/>
  <c r="O61" i="7"/>
  <c r="N61" i="7"/>
  <c r="Q64" i="6"/>
  <c r="AC22" i="6"/>
  <c r="O49" i="11"/>
  <c r="N49" i="11"/>
  <c r="Q46" i="10"/>
  <c r="N46" i="10" s="1"/>
  <c r="AC16" i="10"/>
  <c r="N16" i="10"/>
  <c r="S49" i="8"/>
  <c r="N17" i="8"/>
  <c r="O17" i="8"/>
  <c r="AE17" i="8"/>
  <c r="Q20" i="7"/>
  <c r="AL48" i="2"/>
  <c r="Q55" i="9"/>
  <c r="AC19" i="9"/>
  <c r="N55" i="8"/>
  <c r="O55" i="8"/>
  <c r="AD20" i="6"/>
  <c r="R58" i="6"/>
  <c r="O60" i="7"/>
  <c r="N60" i="7"/>
  <c r="O46" i="7"/>
  <c r="O52" i="10"/>
  <c r="N52" i="10"/>
  <c r="O57" i="7"/>
  <c r="N57" i="7"/>
  <c r="N19" i="9"/>
  <c r="O49" i="4"/>
  <c r="N49" i="4"/>
  <c r="Q55" i="4"/>
  <c r="N55" i="4" s="1"/>
  <c r="AC19" i="4"/>
  <c r="N19" i="4"/>
  <c r="R58" i="7"/>
  <c r="AD20" i="7"/>
  <c r="R49" i="9"/>
  <c r="AD17" i="9"/>
  <c r="R67" i="4"/>
  <c r="AD23" i="4"/>
  <c r="O49" i="10"/>
  <c r="N49" i="10"/>
  <c r="Q46" i="4"/>
  <c r="N46" i="4" s="1"/>
  <c r="AC16" i="4"/>
  <c r="N16" i="4"/>
  <c r="AL28" i="2"/>
  <c r="N57" i="8"/>
  <c r="O57" i="8"/>
  <c r="Q17" i="8"/>
  <c r="AL52" i="2"/>
  <c r="Q55" i="5"/>
  <c r="AC19" i="5"/>
  <c r="S67" i="5"/>
  <c r="AE23" i="5"/>
  <c r="O23" i="5"/>
  <c r="AL42" i="2"/>
  <c r="Q61" i="5"/>
  <c r="N61" i="5" s="1"/>
  <c r="AC21" i="5"/>
  <c r="Q55" i="7"/>
  <c r="N55" i="7" s="1"/>
  <c r="AC19" i="7"/>
  <c r="N19" i="7"/>
  <c r="Q16" i="11"/>
  <c r="AL66" i="2"/>
  <c r="AD17" i="5"/>
  <c r="R49" i="5"/>
  <c r="S58" i="7"/>
  <c r="AE20" i="7"/>
  <c r="O20" i="7"/>
  <c r="S58" i="6"/>
  <c r="AE20" i="6"/>
  <c r="O20" i="6"/>
  <c r="AL26" i="2"/>
  <c r="AL50" i="2"/>
  <c r="N58" i="8"/>
  <c r="O58" i="8"/>
  <c r="Q16" i="7"/>
  <c r="AL44" i="2"/>
  <c r="AL40" i="2"/>
  <c r="Q20" i="6"/>
  <c r="O55" i="9"/>
  <c r="N55" i="9"/>
  <c r="N22" i="6"/>
  <c r="S64" i="6"/>
  <c r="AE22" i="6"/>
  <c r="O22" i="6"/>
  <c r="R46" i="7"/>
  <c r="AD16" i="7"/>
  <c r="AE16" i="11"/>
  <c r="O16" i="11"/>
  <c r="S46" i="11"/>
  <c r="N16" i="11"/>
  <c r="Q61" i="7"/>
  <c r="AC21" i="7"/>
  <c r="R64" i="6"/>
  <c r="AD22" i="6"/>
  <c r="AC18" i="4"/>
  <c r="Q52" i="4"/>
  <c r="N52" i="4" s="1"/>
  <c r="N18" i="4"/>
  <c r="Q49" i="9"/>
  <c r="AC17" i="9"/>
  <c r="O61" i="5"/>
  <c r="Q23" i="5"/>
  <c r="N23" i="5" s="1"/>
  <c r="AL34" i="2"/>
  <c r="N21" i="7"/>
  <c r="N19" i="5"/>
  <c r="S55" i="5"/>
  <c r="AE19" i="5"/>
  <c r="O19" i="5"/>
  <c r="Q46" i="6"/>
  <c r="N46" i="6" s="1"/>
  <c r="AC16" i="6"/>
  <c r="N16" i="6"/>
  <c r="AC23" i="4"/>
  <c r="Q67" i="4"/>
  <c r="N67" i="4"/>
  <c r="O67" i="4"/>
  <c r="N17" i="5"/>
  <c r="S49" i="5"/>
  <c r="AE17" i="5"/>
  <c r="O17" i="5"/>
  <c r="N52" i="7"/>
  <c r="O52" i="7"/>
  <c r="N17" i="9"/>
  <c r="S49" i="9"/>
  <c r="AE17" i="9"/>
  <c r="O17" i="9"/>
  <c r="N15" i="7"/>
  <c r="Q58" i="8"/>
  <c r="AC20" i="8"/>
  <c r="O61" i="4"/>
  <c r="N61" i="4"/>
  <c r="Q52" i="10"/>
  <c r="AC18" i="10"/>
  <c r="O55" i="5" l="1"/>
  <c r="N55" i="5"/>
  <c r="Q58" i="6"/>
  <c r="N58" i="6" s="1"/>
  <c r="AC20" i="6"/>
  <c r="O67" i="5"/>
  <c r="Q58" i="7"/>
  <c r="AC20" i="7"/>
  <c r="O49" i="9"/>
  <c r="N49" i="9"/>
  <c r="Q46" i="7"/>
  <c r="N46" i="7" s="1"/>
  <c r="AC16" i="7"/>
  <c r="N16" i="7"/>
  <c r="N20" i="6"/>
  <c r="N58" i="7"/>
  <c r="O58" i="7"/>
  <c r="Q46" i="11"/>
  <c r="AC16" i="11"/>
  <c r="Q67" i="5"/>
  <c r="N67" i="5" s="1"/>
  <c r="AC23" i="5"/>
  <c r="O64" i="6"/>
  <c r="N64" i="6"/>
  <c r="O49" i="5"/>
  <c r="N49" i="5"/>
  <c r="O46" i="11"/>
  <c r="N46" i="11"/>
  <c r="AC17" i="8"/>
  <c r="Q49" i="8"/>
  <c r="N49" i="8"/>
  <c r="O49" i="8"/>
  <c r="O58" i="6"/>
  <c r="N20" i="7"/>
</calcChain>
</file>

<file path=xl/sharedStrings.xml><?xml version="1.0" encoding="utf-8"?>
<sst xmlns="http://schemas.openxmlformats.org/spreadsheetml/2006/main" count="406" uniqueCount="122">
  <si>
    <t>VLE Calculation - NRTL</t>
  </si>
  <si>
    <t>Nomenclature</t>
  </si>
  <si>
    <t>Uses the NRTL activity model to calculate ternary VLE data.</t>
  </si>
  <si>
    <t>T</t>
  </si>
  <si>
    <t>Temperature of the system in °C</t>
  </si>
  <si>
    <t>Components</t>
  </si>
  <si>
    <t>Antoine Constants</t>
  </si>
  <si>
    <r>
      <t>x</t>
    </r>
    <r>
      <rPr>
        <vertAlign val="subscript"/>
        <sz val="11"/>
        <color rgb="FF000000"/>
        <rFont val="Calibri"/>
        <family val="2"/>
      </rPr>
      <t>i</t>
    </r>
  </si>
  <si>
    <t>Liquid mole fraction of component i</t>
  </si>
  <si>
    <r>
      <t>P</t>
    </r>
    <r>
      <rPr>
        <vertAlign val="subscript"/>
        <sz val="11"/>
        <color rgb="FF000000"/>
        <rFont val="Calibri"/>
        <family val="2"/>
      </rPr>
      <t>i</t>
    </r>
  </si>
  <si>
    <t>Partial pressure of component i in mmHg</t>
  </si>
  <si>
    <t>Comp</t>
  </si>
  <si>
    <t>CAS No.</t>
  </si>
  <si>
    <t>Name</t>
  </si>
  <si>
    <t>A</t>
  </si>
  <si>
    <t>B</t>
  </si>
  <si>
    <t>C</t>
  </si>
  <si>
    <t>Tmin</t>
  </si>
  <si>
    <t>Tmax</t>
  </si>
  <si>
    <t>P</t>
  </si>
  <si>
    <t>Pressure of the system in mmHg</t>
  </si>
  <si>
    <t>67-64-1</t>
  </si>
  <si>
    <t>acetone</t>
  </si>
  <si>
    <r>
      <t>P</t>
    </r>
    <r>
      <rPr>
        <vertAlign val="subscript"/>
        <sz val="11"/>
        <color rgb="FF000000"/>
        <rFont val="Calibri"/>
        <family val="2"/>
      </rPr>
      <t>i</t>
    </r>
    <r>
      <rPr>
        <sz val="11"/>
        <color rgb="FF000000"/>
        <rFont val="Calibri"/>
        <family val="2"/>
      </rPr>
      <t>⁰</t>
    </r>
  </si>
  <si>
    <t>Vapour pressure of component i in mmHg</t>
  </si>
  <si>
    <t>67-56-1</t>
  </si>
  <si>
    <t>methanol</t>
  </si>
  <si>
    <r>
      <t>y</t>
    </r>
    <r>
      <rPr>
        <vertAlign val="subscript"/>
        <sz val="11"/>
        <color rgb="FF000000"/>
        <rFont val="Calibri"/>
        <family val="2"/>
      </rPr>
      <t>i</t>
    </r>
  </si>
  <si>
    <t>Vapour mole fraction of component i</t>
  </si>
  <si>
    <t>7732-18-5</t>
  </si>
  <si>
    <t>water</t>
  </si>
  <si>
    <r>
      <rPr>
        <sz val="11"/>
        <color rgb="FF000000"/>
        <rFont val="Times New Roman"/>
        <family val="1"/>
      </rPr>
      <t>γ</t>
    </r>
    <r>
      <rPr>
        <vertAlign val="subscript"/>
        <sz val="11"/>
        <color rgb="FF000000"/>
        <rFont val="Calibri"/>
        <family val="2"/>
      </rPr>
      <t>i</t>
    </r>
  </si>
  <si>
    <t>Activity coefficient of component i</t>
  </si>
  <si>
    <t>Gmehling, J., and U. Onken. Chemistry Data Series, Volume I Vapor-Liquid Equilibrium Data Collection Part 1. Frankfurt, Germany: DECHEMA, 1977. pp.567</t>
  </si>
  <si>
    <t>NRTL Parameters</t>
  </si>
  <si>
    <t>Calculate VLE</t>
  </si>
  <si>
    <t>P =</t>
  </si>
  <si>
    <t>mmHg</t>
  </si>
  <si>
    <r>
      <t>g</t>
    </r>
    <r>
      <rPr>
        <vertAlign val="subscript"/>
        <sz val="11"/>
        <color rgb="FF000000"/>
        <rFont val="Calibri"/>
        <family val="2"/>
      </rPr>
      <t>12</t>
    </r>
    <r>
      <rPr>
        <sz val="11"/>
        <color rgb="FF000000"/>
        <rFont val="Calibri"/>
        <family val="2"/>
      </rPr>
      <t xml:space="preserve"> − g</t>
    </r>
    <r>
      <rPr>
        <vertAlign val="subscript"/>
        <sz val="11"/>
        <color rgb="FF000000"/>
        <rFont val="Calibri"/>
        <family val="2"/>
      </rPr>
      <t>22</t>
    </r>
    <r>
      <rPr>
        <sz val="11"/>
        <color rgb="FF000000"/>
        <rFont val="Calibri"/>
        <family val="2"/>
      </rPr>
      <t xml:space="preserve"> =</t>
    </r>
  </si>
  <si>
    <r>
      <t>cal mol</t>
    </r>
    <r>
      <rPr>
        <vertAlign val="superscript"/>
        <sz val="11"/>
        <color rgb="FF000000"/>
        <rFont val="Calibri"/>
        <family val="2"/>
      </rPr>
      <t>−1</t>
    </r>
  </si>
  <si>
    <t>T /°C</t>
  </si>
  <si>
    <t>T /K</t>
  </si>
  <si>
    <r>
      <t>x</t>
    </r>
    <r>
      <rPr>
        <vertAlign val="subscript"/>
        <sz val="11"/>
        <color rgb="FF000000"/>
        <rFont val="Calibri"/>
        <family val="2"/>
      </rPr>
      <t>1</t>
    </r>
  </si>
  <si>
    <r>
      <t>x</t>
    </r>
    <r>
      <rPr>
        <vertAlign val="subscript"/>
        <sz val="11"/>
        <color rgb="FF000000"/>
        <rFont val="Calibri"/>
        <family val="2"/>
      </rPr>
      <t>2</t>
    </r>
  </si>
  <si>
    <r>
      <t>x</t>
    </r>
    <r>
      <rPr>
        <vertAlign val="subscript"/>
        <sz val="11"/>
        <color rgb="FF000000"/>
        <rFont val="Calibri"/>
        <family val="2"/>
      </rPr>
      <t>3</t>
    </r>
  </si>
  <si>
    <r>
      <t>τ</t>
    </r>
    <r>
      <rPr>
        <vertAlign val="subscript"/>
        <sz val="11"/>
        <color rgb="FF000000"/>
        <rFont val="Calibri"/>
        <family val="2"/>
      </rPr>
      <t>12</t>
    </r>
  </si>
  <si>
    <r>
      <t>τ</t>
    </r>
    <r>
      <rPr>
        <vertAlign val="subscript"/>
        <sz val="11"/>
        <color rgb="FF000000"/>
        <rFont val="Calibri"/>
        <family val="2"/>
      </rPr>
      <t>21</t>
    </r>
  </si>
  <si>
    <r>
      <t>τ</t>
    </r>
    <r>
      <rPr>
        <vertAlign val="subscript"/>
        <sz val="11"/>
        <color rgb="FF000000"/>
        <rFont val="Calibri"/>
        <family val="2"/>
      </rPr>
      <t>13</t>
    </r>
  </si>
  <si>
    <r>
      <t>τ</t>
    </r>
    <r>
      <rPr>
        <vertAlign val="subscript"/>
        <sz val="11"/>
        <color rgb="FF000000"/>
        <rFont val="Calibri"/>
        <family val="2"/>
      </rPr>
      <t>31</t>
    </r>
  </si>
  <si>
    <r>
      <t>τ</t>
    </r>
    <r>
      <rPr>
        <vertAlign val="subscript"/>
        <sz val="11"/>
        <color rgb="FF000000"/>
        <rFont val="Calibri"/>
        <family val="2"/>
      </rPr>
      <t>23</t>
    </r>
  </si>
  <si>
    <r>
      <t>τ</t>
    </r>
    <r>
      <rPr>
        <vertAlign val="subscript"/>
        <sz val="11"/>
        <color rgb="FF000000"/>
        <rFont val="Calibri"/>
        <family val="2"/>
      </rPr>
      <t>32</t>
    </r>
  </si>
  <si>
    <r>
      <t>G</t>
    </r>
    <r>
      <rPr>
        <vertAlign val="subscript"/>
        <sz val="11"/>
        <color rgb="FF000000"/>
        <rFont val="Calibri"/>
        <family val="2"/>
      </rPr>
      <t>12</t>
    </r>
  </si>
  <si>
    <r>
      <t>G</t>
    </r>
    <r>
      <rPr>
        <vertAlign val="subscript"/>
        <sz val="11"/>
        <color rgb="FF000000"/>
        <rFont val="Calibri"/>
        <family val="2"/>
      </rPr>
      <t>21</t>
    </r>
  </si>
  <si>
    <r>
      <t>G</t>
    </r>
    <r>
      <rPr>
        <vertAlign val="subscript"/>
        <sz val="11"/>
        <color rgb="FF000000"/>
        <rFont val="Calibri"/>
        <family val="2"/>
      </rPr>
      <t>13</t>
    </r>
  </si>
  <si>
    <r>
      <t>G</t>
    </r>
    <r>
      <rPr>
        <vertAlign val="subscript"/>
        <sz val="11"/>
        <color rgb="FF000000"/>
        <rFont val="Calibri"/>
        <family val="2"/>
      </rPr>
      <t>31</t>
    </r>
  </si>
  <si>
    <r>
      <t>G</t>
    </r>
    <r>
      <rPr>
        <vertAlign val="subscript"/>
        <sz val="11"/>
        <color rgb="FF000000"/>
        <rFont val="Calibri"/>
        <family val="2"/>
      </rPr>
      <t>23</t>
    </r>
  </si>
  <si>
    <r>
      <t>G</t>
    </r>
    <r>
      <rPr>
        <vertAlign val="subscript"/>
        <sz val="11"/>
        <color rgb="FF000000"/>
        <rFont val="Calibri"/>
        <family val="2"/>
      </rPr>
      <t>32</t>
    </r>
  </si>
  <si>
    <r>
      <t>φ</t>
    </r>
    <r>
      <rPr>
        <vertAlign val="subscript"/>
        <sz val="11"/>
        <color rgb="FF000000"/>
        <rFont val="Calibri"/>
        <family val="2"/>
      </rPr>
      <t>1</t>
    </r>
  </si>
  <si>
    <r>
      <t>φ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</si>
  <si>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φ</t>
    </r>
    <r>
      <rPr>
        <vertAlign val="subscript"/>
        <sz val="11"/>
        <color rgb="FF000000"/>
        <rFont val="Calibri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</si>
  <si>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θ</t>
    </r>
    <r>
      <rPr>
        <vertAlign val="subscript"/>
        <sz val="11"/>
        <color rgb="FF000000"/>
        <rFont val="Calibri"/>
        <family val="2"/>
      </rPr>
      <t>1</t>
    </r>
  </si>
  <si>
    <r>
      <t>θ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</si>
  <si>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θ</t>
    </r>
    <r>
      <rPr>
        <vertAlign val="subscript"/>
        <sz val="11"/>
        <color rgb="FF000000"/>
        <rFont val="Calibri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</si>
  <si>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rgb="FF000000"/>
        <rFont val="Times New Roman"/>
        <family val="1"/>
      </rPr>
      <t>γ</t>
    </r>
    <r>
      <rPr>
        <vertAlign val="subscript"/>
        <sz val="11"/>
        <color rgb="FF000000"/>
        <rFont val="Calibri"/>
        <family val="2"/>
      </rPr>
      <t>1</t>
    </r>
  </si>
  <si>
    <r>
      <rPr>
        <sz val="11"/>
        <color rgb="FF000000"/>
        <rFont val="Times New Roman"/>
        <family val="1"/>
      </rPr>
      <t>γ</t>
    </r>
    <r>
      <rPr>
        <vertAlign val="subscript"/>
        <sz val="11"/>
        <color rgb="FF000000"/>
        <rFont val="Calibri"/>
        <family val="2"/>
      </rPr>
      <t>2</t>
    </r>
  </si>
  <si>
    <r>
      <rPr>
        <sz val="11"/>
        <color rgb="FF000000"/>
        <rFont val="Times New Roman"/>
        <family val="1"/>
      </rPr>
      <t>γ</t>
    </r>
    <r>
      <rPr>
        <vertAlign val="subscript"/>
        <sz val="11"/>
        <color rgb="FF000000"/>
        <rFont val="Calibri"/>
        <family val="2"/>
      </rPr>
      <t>3</t>
    </r>
  </si>
  <si>
    <r>
      <t>P</t>
    </r>
    <r>
      <rPr>
        <vertAlign val="subscript"/>
        <sz val="11"/>
        <color rgb="FF000000"/>
        <rFont val="Calibri"/>
        <family val="2"/>
      </rPr>
      <t>1</t>
    </r>
    <r>
      <rPr>
        <sz val="11"/>
        <color rgb="FF000000"/>
        <rFont val="Calibri"/>
        <family val="2"/>
      </rPr>
      <t xml:space="preserve"> /mmHg</t>
    </r>
  </si>
  <si>
    <r>
      <t>P</t>
    </r>
    <r>
      <rPr>
        <vertAlign val="subscript"/>
        <sz val="11"/>
        <color rgb="FF000000"/>
        <rFont val="Calibri"/>
        <family val="2"/>
      </rPr>
      <t>2</t>
    </r>
    <r>
      <rPr>
        <sz val="11"/>
        <color rgb="FF000000"/>
        <rFont val="Calibri"/>
        <family val="2"/>
      </rPr>
      <t xml:space="preserve"> /mmHg</t>
    </r>
  </si>
  <si>
    <r>
      <t>P</t>
    </r>
    <r>
      <rPr>
        <vertAlign val="subscript"/>
        <sz val="11"/>
        <color rgb="FF000000"/>
        <rFont val="Calibri"/>
        <family val="2"/>
      </rPr>
      <t>3</t>
    </r>
    <r>
      <rPr>
        <sz val="11"/>
        <color rgb="FF000000"/>
        <rFont val="Calibri"/>
        <family val="2"/>
      </rPr>
      <t xml:space="preserve"> /mmHg</t>
    </r>
  </si>
  <si>
    <t>P /mmHg</t>
  </si>
  <si>
    <r>
      <t>y</t>
    </r>
    <r>
      <rPr>
        <vertAlign val="subscript"/>
        <sz val="11"/>
        <color rgb="FF000000"/>
        <rFont val="Calibri"/>
        <family val="2"/>
      </rPr>
      <t>1</t>
    </r>
  </si>
  <si>
    <r>
      <t>y</t>
    </r>
    <r>
      <rPr>
        <vertAlign val="subscript"/>
        <sz val="11"/>
        <color rgb="FF000000"/>
        <rFont val="Calibri"/>
        <family val="2"/>
      </rPr>
      <t>2</t>
    </r>
  </si>
  <si>
    <r>
      <t>y</t>
    </r>
    <r>
      <rPr>
        <vertAlign val="subscript"/>
        <sz val="11"/>
        <color rgb="FF000000"/>
        <rFont val="Calibri"/>
        <family val="2"/>
      </rPr>
      <t>3</t>
    </r>
  </si>
  <si>
    <r>
      <t>Σy</t>
    </r>
    <r>
      <rPr>
        <vertAlign val="subscript"/>
        <sz val="11"/>
        <color rgb="FF000000"/>
        <rFont val="Calibri"/>
        <family val="2"/>
      </rPr>
      <t>i</t>
    </r>
  </si>
  <si>
    <r>
      <t>g</t>
    </r>
    <r>
      <rPr>
        <vertAlign val="subscript"/>
        <sz val="11"/>
        <color rgb="FF000000"/>
        <rFont val="Calibri"/>
        <family val="2"/>
      </rPr>
      <t>21</t>
    </r>
    <r>
      <rPr>
        <sz val="11"/>
        <color rgb="FF000000"/>
        <rFont val="Calibri"/>
        <family val="2"/>
      </rPr>
      <t xml:space="preserve"> − g</t>
    </r>
    <r>
      <rPr>
        <vertAlign val="subscript"/>
        <sz val="11"/>
        <color rgb="FF000000"/>
        <rFont val="Calibri"/>
        <family val="2"/>
      </rPr>
      <t>11</t>
    </r>
    <r>
      <rPr>
        <sz val="11"/>
        <color rgb="FF000000"/>
        <rFont val="Calibri"/>
        <family val="2"/>
      </rPr>
      <t xml:space="preserve"> =</t>
    </r>
  </si>
  <si>
    <r>
      <t>g</t>
    </r>
    <r>
      <rPr>
        <vertAlign val="subscript"/>
        <sz val="11"/>
        <color rgb="FF000000"/>
        <rFont val="Calibri"/>
        <family val="2"/>
      </rPr>
      <t>13</t>
    </r>
    <r>
      <rPr>
        <sz val="11"/>
        <color rgb="FF000000"/>
        <rFont val="Calibri"/>
        <family val="2"/>
      </rPr>
      <t xml:space="preserve"> − g</t>
    </r>
    <r>
      <rPr>
        <vertAlign val="subscript"/>
        <sz val="11"/>
        <color rgb="FF000000"/>
        <rFont val="Calibri"/>
        <family val="2"/>
      </rPr>
      <t>33</t>
    </r>
    <r>
      <rPr>
        <sz val="11"/>
        <color rgb="FF000000"/>
        <rFont val="Calibri"/>
        <family val="2"/>
      </rPr>
      <t xml:space="preserve"> =</t>
    </r>
  </si>
  <si>
    <r>
      <t>g</t>
    </r>
    <r>
      <rPr>
        <vertAlign val="subscript"/>
        <sz val="11"/>
        <color rgb="FF000000"/>
        <rFont val="Calibri"/>
        <family val="2"/>
      </rPr>
      <t>31</t>
    </r>
    <r>
      <rPr>
        <sz val="11"/>
        <color rgb="FF000000"/>
        <rFont val="Calibri"/>
        <family val="2"/>
      </rPr>
      <t xml:space="preserve"> − g</t>
    </r>
    <r>
      <rPr>
        <vertAlign val="subscript"/>
        <sz val="11"/>
        <color rgb="FF000000"/>
        <rFont val="Calibri"/>
        <family val="2"/>
      </rPr>
      <t>11</t>
    </r>
    <r>
      <rPr>
        <sz val="11"/>
        <color rgb="FF000000"/>
        <rFont val="Calibri"/>
        <family val="2"/>
      </rPr>
      <t xml:space="preserve"> =</t>
    </r>
  </si>
  <si>
    <r>
      <t>g</t>
    </r>
    <r>
      <rPr>
        <vertAlign val="subscript"/>
        <sz val="11"/>
        <color rgb="FF000000"/>
        <rFont val="Calibri"/>
        <family val="2"/>
      </rPr>
      <t>23</t>
    </r>
    <r>
      <rPr>
        <sz val="11"/>
        <color rgb="FF000000"/>
        <rFont val="Calibri"/>
        <family val="2"/>
      </rPr>
      <t xml:space="preserve"> − g</t>
    </r>
    <r>
      <rPr>
        <vertAlign val="subscript"/>
        <sz val="11"/>
        <color rgb="FF000000"/>
        <rFont val="Calibri"/>
        <family val="2"/>
      </rPr>
      <t>33</t>
    </r>
    <r>
      <rPr>
        <sz val="11"/>
        <color rgb="FF000000"/>
        <rFont val="Calibri"/>
        <family val="2"/>
      </rPr>
      <t xml:space="preserve"> =</t>
    </r>
  </si>
  <si>
    <r>
      <t>g</t>
    </r>
    <r>
      <rPr>
        <vertAlign val="subscript"/>
        <sz val="11"/>
        <color rgb="FF000000"/>
        <rFont val="Calibri"/>
        <family val="2"/>
      </rPr>
      <t>32</t>
    </r>
    <r>
      <rPr>
        <sz val="11"/>
        <color rgb="FF000000"/>
        <rFont val="Calibri"/>
        <family val="2"/>
      </rPr>
      <t xml:space="preserve"> − g</t>
    </r>
    <r>
      <rPr>
        <vertAlign val="subscript"/>
        <sz val="11"/>
        <color rgb="FF000000"/>
        <rFont val="Calibri"/>
        <family val="2"/>
      </rPr>
      <t>22</t>
    </r>
    <r>
      <rPr>
        <sz val="11"/>
        <color rgb="FF000000"/>
        <rFont val="Calibri"/>
        <family val="2"/>
      </rPr>
      <t xml:space="preserve"> =</t>
    </r>
  </si>
  <si>
    <r>
      <t>α</t>
    </r>
    <r>
      <rPr>
        <vertAlign val="subscript"/>
        <sz val="11"/>
        <color rgb="FF000000"/>
        <rFont val="Calibri"/>
        <family val="2"/>
      </rPr>
      <t>12</t>
    </r>
    <r>
      <rPr>
        <sz val="11"/>
        <color rgb="FF000000"/>
        <rFont val="Calibri"/>
        <family val="2"/>
      </rPr>
      <t xml:space="preserve"> = α</t>
    </r>
    <r>
      <rPr>
        <vertAlign val="subscript"/>
        <sz val="11"/>
        <color rgb="FF000000"/>
        <rFont val="Calibri"/>
        <family val="2"/>
      </rPr>
      <t>21</t>
    </r>
    <r>
      <rPr>
        <sz val="11"/>
        <color rgb="FF000000"/>
        <rFont val="Calibri"/>
        <family val="2"/>
      </rPr>
      <t xml:space="preserve"> =</t>
    </r>
  </si>
  <si>
    <r>
      <t>α</t>
    </r>
    <r>
      <rPr>
        <vertAlign val="subscript"/>
        <sz val="11"/>
        <color rgb="FF000000"/>
        <rFont val="Calibri"/>
        <family val="2"/>
      </rPr>
      <t>13</t>
    </r>
    <r>
      <rPr>
        <sz val="11"/>
        <color rgb="FF000000"/>
        <rFont val="Calibri"/>
        <family val="2"/>
      </rPr>
      <t xml:space="preserve"> = α</t>
    </r>
    <r>
      <rPr>
        <vertAlign val="subscript"/>
        <sz val="11"/>
        <color rgb="FF000000"/>
        <rFont val="Calibri"/>
        <family val="2"/>
      </rPr>
      <t>31</t>
    </r>
    <r>
      <rPr>
        <sz val="11"/>
        <color rgb="FF000000"/>
        <rFont val="Calibri"/>
        <family val="2"/>
      </rPr>
      <t xml:space="preserve"> =</t>
    </r>
  </si>
  <si>
    <r>
      <t>α</t>
    </r>
    <r>
      <rPr>
        <vertAlign val="subscript"/>
        <sz val="11"/>
        <color rgb="FF000000"/>
        <rFont val="Calibri"/>
        <family val="2"/>
      </rPr>
      <t>23</t>
    </r>
    <r>
      <rPr>
        <sz val="11"/>
        <color rgb="FF000000"/>
        <rFont val="Calibri"/>
        <family val="2"/>
      </rPr>
      <t xml:space="preserve"> = α</t>
    </r>
    <r>
      <rPr>
        <vertAlign val="subscript"/>
        <sz val="11"/>
        <color rgb="FF000000"/>
        <rFont val="Calibri"/>
        <family val="2"/>
      </rPr>
      <t>32</t>
    </r>
    <r>
      <rPr>
        <sz val="11"/>
        <color rgb="FF000000"/>
        <rFont val="Calibri"/>
        <family val="2"/>
      </rPr>
      <t xml:space="preserve"> =</t>
    </r>
  </si>
  <si>
    <t>R =</t>
  </si>
  <si>
    <r>
      <t>cal mol</t>
    </r>
    <r>
      <rPr>
        <vertAlign val="superscript"/>
        <sz val="11"/>
        <color rgb="FF000000"/>
        <rFont val="Calibri"/>
        <family val="2"/>
      </rPr>
      <t>−1</t>
    </r>
    <r>
      <rPr>
        <sz val="11"/>
        <color rgb="FF000000"/>
        <rFont val="Calibri"/>
        <family val="2"/>
      </rPr>
      <t xml:space="preserve"> K</t>
    </r>
    <r>
      <rPr>
        <vertAlign val="superscript"/>
        <sz val="11"/>
        <color rgb="FF000000"/>
        <rFont val="Calibri"/>
        <family val="2"/>
      </rPr>
      <t>−1</t>
    </r>
  </si>
  <si>
    <t>x</t>
  </si>
  <si>
    <t>y</t>
  </si>
  <si>
    <t>Acetone (mol%)</t>
  </si>
  <si>
    <t>MeOH (mol%)</t>
  </si>
  <si>
    <t>H2O (mol%)</t>
  </si>
  <si>
    <t>VLE Data for acetone (1) - methanol (2) - water (3) system</t>
  </si>
  <si>
    <t>Lit</t>
  </si>
  <si>
    <t>x1</t>
  </si>
  <si>
    <t>x2</t>
  </si>
  <si>
    <t>x3</t>
  </si>
  <si>
    <t>Tie Line 1</t>
  </si>
  <si>
    <t>Tie Line 2</t>
  </si>
  <si>
    <t>Tie Line 3</t>
  </si>
  <si>
    <t>a</t>
  </si>
  <si>
    <t>b</t>
  </si>
  <si>
    <t>c</t>
  </si>
  <si>
    <t>Liquid Compositions</t>
  </si>
  <si>
    <t>Liquid</t>
  </si>
  <si>
    <t>Vapour Compositions</t>
  </si>
  <si>
    <t>Vapour</t>
  </si>
  <si>
    <t>y1</t>
  </si>
  <si>
    <t>y2</t>
  </si>
  <si>
    <t>y3</t>
  </si>
  <si>
    <t>Literature  Data</t>
  </si>
  <si>
    <t>Tie Line 4</t>
  </si>
  <si>
    <t>Tie Line 5</t>
  </si>
  <si>
    <t>Tie Line 6</t>
  </si>
  <si>
    <t>Tie Line 7</t>
  </si>
  <si>
    <t>Tie Line 8</t>
  </si>
  <si>
    <t>P = 760 mmHg</t>
  </si>
  <si>
    <t>http://www.ddbst.com/en/EED/VLE/VLE%20Acetone%3BMethanol%3BWater.php</t>
  </si>
  <si>
    <t>Griswold J.; Buford C.B.: Separation of synthesis mixtures Vapor-liquid equilibria of acetone-methanol-water. Ind.Eng.Chem. 41 (1949) 2347-2351</t>
  </si>
  <si>
    <t>T [K]</t>
  </si>
  <si>
    <t>Disclaimer</t>
  </si>
  <si>
    <t>This spreadsheet is distributed in the hope that it will be useful,</t>
  </si>
  <si>
    <t>but WITHOUT ANY WARRANTY; without even the implied warranty of</t>
  </si>
  <si>
    <t xml:space="preserve">MERCHANTABILITY or FITNESS FOR A PARTICULAR PURPOSE. </t>
  </si>
  <si>
    <t>By Daniel J. Belton. Licensed under a Creative Commons Attribution-NonCommercial 4.0.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</si>
</sst>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"/>
  </numFmts>
  <fonts count="16" x14ac:knownFonts="1"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sz val="11"/>
      <color rgb="FF000000"/>
      <name val="Times New Roman"/>
      <family val="1"/>
    </font>
    <font>
      <vertAlign val="superscript"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0" borderId="0"/>
    <xf numFmtId="0" fontId="11" fillId="0" borderId="0"/>
    <xf numFmtId="0" fontId="3" fillId="0" borderId="0"/>
    <xf numFmtId="0" fontId="2" fillId="0" borderId="0"/>
  </cellStyleXfs>
  <cellXfs count="41">
    <xf numFmtId="0" fontId="0" fillId="0" borderId="0" xfId="0"/>
    <xf numFmtId="0" fontId="5" fillId="0" borderId="0" xfId="1" applyFont="1"/>
    <xf numFmtId="0" fontId="4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left"/>
    </xf>
    <xf numFmtId="0" fontId="4" fillId="0" borderId="0" xfId="1" applyAlignment="1">
      <alignment horizontal="left"/>
    </xf>
    <xf numFmtId="0" fontId="4" fillId="0" borderId="0" xfId="1" applyFont="1" applyAlignment="1">
      <alignment horizontal="right"/>
    </xf>
    <xf numFmtId="2" fontId="4" fillId="0" borderId="0" xfId="1" applyNumberFormat="1" applyAlignment="1">
      <alignment horizontal="center"/>
    </xf>
    <xf numFmtId="164" fontId="4" fillId="0" borderId="0" xfId="1" applyNumberFormat="1"/>
    <xf numFmtId="0" fontId="4" fillId="0" borderId="0" xfId="1" applyAlignment="1">
      <alignment horizontal="center"/>
    </xf>
    <xf numFmtId="165" fontId="4" fillId="0" borderId="0" xfId="1" applyNumberFormat="1" applyAlignment="1">
      <alignment horizontal="center"/>
    </xf>
    <xf numFmtId="166" fontId="4" fillId="0" borderId="0" xfId="1" applyNumberFormat="1" applyAlignment="1">
      <alignment horizontal="center"/>
    </xf>
    <xf numFmtId="166" fontId="4" fillId="0" borderId="0" xfId="1" applyNumberFormat="1" applyBorder="1" applyAlignment="1">
      <alignment horizontal="center"/>
    </xf>
    <xf numFmtId="167" fontId="9" fillId="0" borderId="0" xfId="0" applyNumberFormat="1" applyFont="1" applyAlignment="1">
      <alignment horizontal="center"/>
    </xf>
    <xf numFmtId="0" fontId="10" fillId="0" borderId="0" xfId="2" applyFont="1" applyProtection="1">
      <protection hidden="1"/>
    </xf>
    <xf numFmtId="0" fontId="10" fillId="0" borderId="0" xfId="2" applyNumberFormat="1" applyFont="1" applyProtection="1">
      <protection hidden="1"/>
    </xf>
    <xf numFmtId="0" fontId="10" fillId="0" borderId="0" xfId="2" applyFont="1" applyProtection="1">
      <protection locked="0"/>
    </xf>
    <xf numFmtId="2" fontId="10" fillId="0" borderId="0" xfId="2" applyNumberFormat="1" applyFont="1" applyAlignment="1" applyProtection="1">
      <alignment horizontal="center"/>
      <protection locked="0"/>
    </xf>
    <xf numFmtId="0" fontId="10" fillId="0" borderId="0" xfId="2" applyFont="1"/>
    <xf numFmtId="0" fontId="10" fillId="0" borderId="0" xfId="2" applyFont="1" applyAlignment="1" applyProtection="1">
      <alignment horizontal="center"/>
      <protection locked="0"/>
    </xf>
    <xf numFmtId="0" fontId="12" fillId="0" borderId="0" xfId="1" applyFont="1"/>
    <xf numFmtId="0" fontId="9" fillId="0" borderId="0" xfId="2" applyFont="1" applyProtection="1">
      <protection hidden="1"/>
    </xf>
    <xf numFmtId="0" fontId="9" fillId="0" borderId="0" xfId="2" applyNumberFormat="1" applyFont="1" applyProtection="1">
      <protection hidden="1"/>
    </xf>
    <xf numFmtId="2" fontId="9" fillId="0" borderId="0" xfId="2" applyNumberFormat="1" applyFont="1" applyAlignment="1" applyProtection="1">
      <alignment horizontal="center"/>
      <protection locked="0"/>
    </xf>
    <xf numFmtId="0" fontId="9" fillId="0" borderId="0" xfId="2" applyFont="1" applyProtection="1">
      <protection locked="0"/>
    </xf>
    <xf numFmtId="167" fontId="9" fillId="0" borderId="0" xfId="2" applyNumberFormat="1" applyFont="1" applyAlignment="1" applyProtection="1">
      <alignment horizontal="center"/>
      <protection locked="0"/>
    </xf>
    <xf numFmtId="2" fontId="9" fillId="0" borderId="0" xfId="2" applyNumberFormat="1" applyFont="1" applyProtection="1">
      <protection locked="0"/>
    </xf>
    <xf numFmtId="167" fontId="9" fillId="0" borderId="0" xfId="3" applyNumberFormat="1" applyFont="1" applyAlignment="1">
      <alignment horizontal="center"/>
    </xf>
    <xf numFmtId="0" fontId="13" fillId="0" borderId="0" xfId="2" applyFont="1" applyAlignment="1" applyProtection="1">
      <alignment horizontal="center"/>
      <protection locked="0"/>
    </xf>
    <xf numFmtId="2" fontId="13" fillId="0" borderId="0" xfId="2" applyNumberFormat="1" applyFont="1" applyAlignment="1" applyProtection="1">
      <alignment horizontal="center"/>
      <protection locked="0"/>
    </xf>
    <xf numFmtId="0" fontId="9" fillId="2" borderId="0" xfId="2" applyFont="1" applyFill="1" applyAlignment="1" applyProtection="1">
      <alignment horizontal="right"/>
      <protection hidden="1"/>
    </xf>
    <xf numFmtId="0" fontId="9" fillId="2" borderId="0" xfId="2" applyNumberFormat="1" applyFont="1" applyFill="1" applyAlignment="1" applyProtection="1">
      <alignment horizontal="right"/>
      <protection hidden="1"/>
    </xf>
    <xf numFmtId="0" fontId="9" fillId="2" borderId="0" xfId="2" applyFont="1" applyFill="1" applyProtection="1">
      <protection hidden="1"/>
    </xf>
    <xf numFmtId="0" fontId="9" fillId="2" borderId="0" xfId="2" applyNumberFormat="1" applyFont="1" applyFill="1" applyProtection="1">
      <protection hidden="1"/>
    </xf>
    <xf numFmtId="2" fontId="10" fillId="0" borderId="0" xfId="2" applyNumberFormat="1" applyFont="1" applyProtection="1">
      <protection locked="0"/>
    </xf>
    <xf numFmtId="0" fontId="4" fillId="0" borderId="0" xfId="0" applyFont="1"/>
    <xf numFmtId="0" fontId="3" fillId="0" borderId="0" xfId="0" applyFont="1"/>
    <xf numFmtId="0" fontId="14" fillId="0" borderId="0" xfId="4" applyNumberFormat="1" applyFont="1" applyAlignment="1"/>
    <xf numFmtId="0" fontId="15" fillId="0" borderId="0" xfId="4" applyNumberFormat="1" applyFont="1" applyAlignment="1"/>
    <xf numFmtId="0" fontId="2" fillId="0" borderId="0" xfId="4"/>
  </cellXfs>
  <cellStyles count="5">
    <cellStyle name="Normal 2" xfId="1"/>
    <cellStyle name="Normal 3" xfId="3"/>
    <cellStyle name="Normal 3 2" xfId="4"/>
    <cellStyle name="Normal_triangular" xfId="2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plot'!$D$98:$D$177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plot'!$F$98:$F$177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plot'!$E$96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{5D0B4BB1-AC99-46A4-9CF0-3C0E1276A5CA}</c15:txfldGUID>
                      <c15:f>'Ternary plot'!$E$96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plot'!$E$95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{5B40EA85-1455-458F-A72B-CD6FBB8C9FAB}</c15:txfldGUID>
                      <c15:f>'Ternary plot'!$E$95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plot'!$E$94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{5F378CF9-35D7-4950-A7B7-1D0FE04CA4BA}</c15:txfldGUID>
                      <c15:f>'Ternary plot'!$E$94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plot'!$E$93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{BDC08EDA-DBE7-4988-A6B2-DCF4BAE41F15}</c15:txfldGUID>
                      <c15:f>'Ternary plot'!$E$93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plot'!$E$92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{0AF2E583-EC23-4927-85A8-84CB9EDDBC74}</c15:txfldGUID>
                      <c15:f>'Ternary plot'!$E$92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plot'!$E$91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{3ADD5535-7931-4974-B266-CB268BC2DC81}</c15:txfldGUID>
                      <c15:f>'Ternary plot'!$E$91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plot'!$E$90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{F3D3EDE7-C0C2-4F88-A680-CDF2F4C5F16B}</c15:txfldGUID>
                      <c15:f>'Ternary plot'!$E$90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plot'!$E$89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{914B9802-4261-4C4A-992F-055A9BAAFE93}</c15:txfldGUID>
                      <c15:f>'Ternary plot'!$E$89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plot'!$E$88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{E65DEE4E-E53D-4005-84BD-19424BF11C66}</c15:txfldGUID>
                      <c15:f>'Ternary plot'!$E$88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plot'!$E$87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{57E8A5BC-DDD8-468D-B755-603884948C40}</c15:txfldGUID>
                      <c15:f>'Ternary plot'!$E$87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plot'!$F$96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{2AA8D280-5A94-4786-AE9A-4DFA096EDD70}</c15:txfldGUID>
                      <c15:f>'Ternary plot'!$F$96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plot'!$D$86:$D$96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plot'!$E$86:$E$96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plot'!$D$74:$D$84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plot'!$F$74:$F$84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 (Literature)</c:v>
          </c:tx>
          <c:spPr>
            <a:ln w="12700">
              <a:noFill/>
              <a:prstDash val="solid"/>
            </a:ln>
          </c:spPr>
          <c:marker>
            <c:symbol val="x"/>
            <c:size val="10"/>
            <c:spPr>
              <a:noFill/>
              <a:ln w="28575">
                <a:solidFill>
                  <a:schemeClr val="accent1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plot'!$N$4:$N$11</c:f>
              <c:numCache>
                <c:formatCode>0.00</c:formatCode>
                <c:ptCount val="8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'Ternary plot'!$O$4</c:f>
              <c:numCache>
                <c:formatCode>0.00</c:formatCode>
                <c:ptCount val="1"/>
                <c:pt idx="0">
                  <c:v>80</c:v>
                </c:pt>
              </c:numCache>
            </c:numRef>
          </c:yVal>
          <c:smooth val="0"/>
        </c:ser>
        <c:ser>
          <c:idx val="0"/>
          <c:order val="4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'Ternary plot'!$N$45:$N$46</c:f>
              <c:numCache>
                <c:formatCode>0.00</c:formatCode>
                <c:ptCount val="2"/>
                <c:pt idx="0">
                  <c:v>50</c:v>
                </c:pt>
                <c:pt idx="1">
                  <c:v>45</c:v>
                </c:pt>
              </c:numCache>
            </c:numRef>
          </c:xVal>
          <c:yVal>
            <c:numRef>
              <c:f>'Ternary plot'!$O$45:$O$46</c:f>
              <c:numCache>
                <c:formatCode>0.00</c:formatCode>
                <c:ptCount val="2"/>
                <c:pt idx="0">
                  <c:v>80</c:v>
                </c:pt>
                <c:pt idx="1">
                  <c:v>90</c:v>
                </c:pt>
              </c:numCache>
            </c:numRef>
          </c:yVal>
          <c:smooth val="0"/>
        </c:ser>
        <c:ser>
          <c:idx val="5"/>
          <c:order val="5"/>
          <c:spPr>
            <a:ln w="19050">
              <a:solidFill>
                <a:srgbClr val="00000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'Ternary plot'!$N$48:$N$49</c:f>
              <c:numCache>
                <c:formatCode>0.00</c:formatCode>
                <c:ptCount val="2"/>
                <c:pt idx="0">
                  <c:v>50</c:v>
                </c:pt>
                <c:pt idx="1">
                  <c:v>60</c:v>
                </c:pt>
              </c:numCache>
            </c:numRef>
          </c:xVal>
          <c:yVal>
            <c:numRef>
              <c:f>'Ternary plot'!$O$48:$O$49</c:f>
              <c:numCache>
                <c:formatCode>0.00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'Ternary plot'!$N$51:$N$52</c:f>
              <c:strCache>
                <c:ptCount val="1"/>
                <c:pt idx="0">
                  <c:v>50.00 10.00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19050">
                <a:solidFill>
                  <a:schemeClr val="tx1"/>
                </a:solidFill>
              </a:ln>
            </c:spPr>
          </c:dPt>
          <c:dLbls>
            <c:delete val="1"/>
          </c:dLbls>
          <c:xVal>
            <c:numRef>
              <c:f>'Ternary plot'!$N$51:$N$52</c:f>
              <c:numCache>
                <c:formatCode>0.00</c:formatCode>
                <c:ptCount val="2"/>
                <c:pt idx="0">
                  <c:v>50</c:v>
                </c:pt>
                <c:pt idx="1">
                  <c:v>10</c:v>
                </c:pt>
              </c:numCache>
            </c:numRef>
          </c:xVal>
          <c:yVal>
            <c:numRef>
              <c:f>'Ternary plot'!$O$51:$O$52</c:f>
              <c:numCache>
                <c:formatCode>0.00</c:formatCode>
                <c:ptCount val="2"/>
                <c:pt idx="0">
                  <c:v>80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59541888"/>
        <c:axId val="159543680"/>
      </c:scatterChart>
      <c:valAx>
        <c:axId val="159541888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59543680"/>
        <c:crosses val="autoZero"/>
        <c:crossBetween val="midCat"/>
        <c:majorUnit val="10"/>
      </c:valAx>
      <c:valAx>
        <c:axId val="159543680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59541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1'!$D$102:$D$181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1'!$F$102:$F$181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1'!$E$100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{8C6F6069-5295-42DB-B4BB-87D3D67A8457}</c15:txfldGUID>
                      <c15:f>'Ternary plot 1'!$E$100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1'!$E$99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{20A77246-27DE-4F51-97A2-52F7F07C7777}</c15:txfldGUID>
                      <c15:f>'Ternary plot 1'!$E$99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1'!$E$98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{177CBF92-88D7-4AFC-885A-6DDE09F6EF46}</c15:txfldGUID>
                      <c15:f>'Ternary plot 1'!$E$98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1'!$E$97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{54B18C5B-1EBD-47FD-9D97-755BB238B714}</c15:txfldGUID>
                      <c15:f>'Ternary plot 1'!$E$97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1'!$E$96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{BCDEFA6B-52FA-42D4-95C6-A03D7631A939}</c15:txfldGUID>
                      <c15:f>'Ternary plot 1'!$E$96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1'!$E$95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{9E70CE65-EED3-4875-8B2E-B4D471588CB9}</c15:txfldGUID>
                      <c15:f>'Ternary plot 1'!$E$95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1'!$E$94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{94D9FDE8-2F39-4720-A7A3-80BFB8D1FFB1}</c15:txfldGUID>
                      <c15:f>'Ternary plot 1'!$E$94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1'!$E$93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{7A6C344E-83EE-42F3-B544-F2F69820E8B7}</c15:txfldGUID>
                      <c15:f>'Ternary plot 1'!$E$93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1'!$E$92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{C3F9B556-1D45-4F93-BF29-DC01BBB8D972}</c15:txfldGUID>
                      <c15:f>'Ternary plot 1'!$E$92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1'!$E$91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{54BECDEE-391E-4006-97B7-C428D90C4123}</c15:txfldGUID>
                      <c15:f>'Ternary plot 1'!$E$91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1'!$F$100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{6CB08403-1D92-430F-B838-1D541173E558}</c15:txfldGUID>
                      <c15:f>'Ternary plot 1'!$F$100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1'!$D$90:$D$100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1'!$E$90:$E$100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1'!$D$78:$D$88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1'!$F$78:$F$88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1'!$N$4:$N$13</c:f>
              <c:numCache>
                <c:formatCode>0.00</c:formatCode>
                <c:ptCount val="10"/>
                <c:pt idx="0">
                  <c:v>55</c:v>
                </c:pt>
                <c:pt idx="1">
                  <c:v>50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30</c:v>
                </c:pt>
                <c:pt idx="6">
                  <c:v>25</c:v>
                </c:pt>
                <c:pt idx="7">
                  <c:v>20</c:v>
                </c:pt>
                <c:pt idx="8">
                  <c:v>15</c:v>
                </c:pt>
                <c:pt idx="9">
                  <c:v>10</c:v>
                </c:pt>
              </c:numCache>
            </c:numRef>
          </c:xVal>
          <c:yVal>
            <c:numRef>
              <c:f>'Ternary plot 1'!$O$4:$O$13</c:f>
              <c:numCache>
                <c:formatCode>0.00</c:formatCode>
                <c:ptCount val="10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1'!$N$15:$N$24</c:f>
              <c:numCache>
                <c:formatCode>0.00</c:formatCode>
                <c:ptCount val="10"/>
                <c:pt idx="0">
                  <c:v>88.803035817334376</c:v>
                </c:pt>
                <c:pt idx="1">
                  <c:v>75.86016143937178</c:v>
                </c:pt>
                <c:pt idx="2">
                  <c:v>62.659417815898848</c:v>
                </c:pt>
                <c:pt idx="3">
                  <c:v>51.317083382591612</c:v>
                </c:pt>
                <c:pt idx="4">
                  <c:v>42.196393996503502</c:v>
                </c:pt>
                <c:pt idx="5">
                  <c:v>34.982935610022096</c:v>
                </c:pt>
                <c:pt idx="6">
                  <c:v>29.23698736633083</c:v>
                </c:pt>
                <c:pt idx="7">
                  <c:v>24.576247936991919</c:v>
                </c:pt>
                <c:pt idx="8">
                  <c:v>20.709378223111639</c:v>
                </c:pt>
                <c:pt idx="9">
                  <c:v>17.424547282373204</c:v>
                </c:pt>
              </c:numCache>
            </c:numRef>
          </c:xVal>
          <c:yVal>
            <c:numRef>
              <c:f>'Ternary plot 1'!$O$15:$O$24</c:f>
              <c:numCache>
                <c:formatCode>0.00</c:formatCode>
                <c:ptCount val="10"/>
                <c:pt idx="0">
                  <c:v>22.393928365331249</c:v>
                </c:pt>
                <c:pt idx="1">
                  <c:v>25.772794573587234</c:v>
                </c:pt>
                <c:pt idx="2">
                  <c:v>24.823820680064639</c:v>
                </c:pt>
                <c:pt idx="3">
                  <c:v>21.715566512607548</c:v>
                </c:pt>
                <c:pt idx="4">
                  <c:v>17.860575824268064</c:v>
                </c:pt>
                <c:pt idx="5">
                  <c:v>13.916038557501833</c:v>
                </c:pt>
                <c:pt idx="6">
                  <c:v>10.126455696134819</c:v>
                </c:pt>
                <c:pt idx="7">
                  <c:v>6.5534201292806848</c:v>
                </c:pt>
                <c:pt idx="8">
                  <c:v>3.1881408669262958</c:v>
                </c:pt>
                <c:pt idx="9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1'!$N$45:$N$46</c:f>
              <c:numCache>
                <c:formatCode>0.00</c:formatCode>
                <c:ptCount val="2"/>
                <c:pt idx="0">
                  <c:v>50</c:v>
                </c:pt>
                <c:pt idx="1">
                  <c:v>75.86016143937178</c:v>
                </c:pt>
              </c:numCache>
            </c:numRef>
          </c:xVal>
          <c:yVal>
            <c:numRef>
              <c:f>'Ternary plot 1'!$O$45:$O$46</c:f>
              <c:numCache>
                <c:formatCode>0.00</c:formatCode>
                <c:ptCount val="2"/>
                <c:pt idx="0">
                  <c:v>80</c:v>
                </c:pt>
                <c:pt idx="1">
                  <c:v>25.772794573587234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1'!$N$26:$N$35</c:f>
              <c:numCache>
                <c:formatCode>0.00</c:formatCode>
                <c:ptCount val="10"/>
                <c:pt idx="0">
                  <c:v>86.504999999999995</c:v>
                </c:pt>
                <c:pt idx="1">
                  <c:v>74</c:v>
                </c:pt>
                <c:pt idx="2">
                  <c:v>64</c:v>
                </c:pt>
                <c:pt idx="3">
                  <c:v>53.75</c:v>
                </c:pt>
                <c:pt idx="4">
                  <c:v>46</c:v>
                </c:pt>
                <c:pt idx="5">
                  <c:v>39</c:v>
                </c:pt>
                <c:pt idx="6">
                  <c:v>31.5</c:v>
                </c:pt>
                <c:pt idx="7">
                  <c:v>25.5</c:v>
                </c:pt>
                <c:pt idx="8">
                  <c:v>20.25</c:v>
                </c:pt>
                <c:pt idx="9">
                  <c:v>19.3</c:v>
                </c:pt>
              </c:numCache>
            </c:numRef>
          </c:xVal>
          <c:yVal>
            <c:numRef>
              <c:f>'Ternary plot 1'!$O$26:$O$35</c:f>
              <c:numCache>
                <c:formatCode>0.00</c:formatCode>
                <c:ptCount val="10"/>
                <c:pt idx="0">
                  <c:v>26.990000000000009</c:v>
                </c:pt>
                <c:pt idx="1">
                  <c:v>26</c:v>
                </c:pt>
                <c:pt idx="2">
                  <c:v>24</c:v>
                </c:pt>
                <c:pt idx="3">
                  <c:v>21.5</c:v>
                </c:pt>
                <c:pt idx="4">
                  <c:v>18</c:v>
                </c:pt>
                <c:pt idx="5">
                  <c:v>14</c:v>
                </c:pt>
                <c:pt idx="6">
                  <c:v>11</c:v>
                </c:pt>
                <c:pt idx="7">
                  <c:v>7</c:v>
                </c:pt>
                <c:pt idx="8">
                  <c:v>3.5</c:v>
                </c:pt>
                <c:pt idx="9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1'!$N$48:$N$49</c:f>
              <c:numCache>
                <c:formatCode>0.00</c:formatCode>
                <c:ptCount val="2"/>
                <c:pt idx="0">
                  <c:v>45</c:v>
                </c:pt>
                <c:pt idx="1">
                  <c:v>62.659417815898848</c:v>
                </c:pt>
              </c:numCache>
            </c:numRef>
          </c:xVal>
          <c:yVal>
            <c:numRef>
              <c:f>'Ternary plot 1'!$O$48:$O$49</c:f>
              <c:numCache>
                <c:formatCode>0.00</c:formatCode>
                <c:ptCount val="2"/>
                <c:pt idx="0">
                  <c:v>70</c:v>
                </c:pt>
                <c:pt idx="1">
                  <c:v>24.823820680064639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1'!$N$51:$N$52</c:f>
              <c:numCache>
                <c:formatCode>0.00</c:formatCode>
                <c:ptCount val="2"/>
                <c:pt idx="0">
                  <c:v>40</c:v>
                </c:pt>
                <c:pt idx="1">
                  <c:v>51.317083382591612</c:v>
                </c:pt>
              </c:numCache>
            </c:numRef>
          </c:xVal>
          <c:yVal>
            <c:numRef>
              <c:f>'Ternary plot 1'!$O$51:$O$52</c:f>
              <c:numCache>
                <c:formatCode>0.00</c:formatCode>
                <c:ptCount val="2"/>
                <c:pt idx="0">
                  <c:v>60</c:v>
                </c:pt>
                <c:pt idx="1">
                  <c:v>21.715566512607548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1'!$N$54:$N$55</c:f>
              <c:numCache>
                <c:formatCode>0.00</c:formatCode>
                <c:ptCount val="2"/>
                <c:pt idx="0">
                  <c:v>35</c:v>
                </c:pt>
                <c:pt idx="1">
                  <c:v>42.196393996503502</c:v>
                </c:pt>
              </c:numCache>
            </c:numRef>
          </c:xVal>
          <c:yVal>
            <c:numRef>
              <c:f>'Ternary plot 1'!$O$54:$O$55</c:f>
              <c:numCache>
                <c:formatCode>0.00</c:formatCode>
                <c:ptCount val="2"/>
                <c:pt idx="0">
                  <c:v>50</c:v>
                </c:pt>
                <c:pt idx="1">
                  <c:v>17.860575824268064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1'!$N$57:$N$58</c:f>
              <c:numCache>
                <c:formatCode>0.00</c:formatCode>
                <c:ptCount val="2"/>
                <c:pt idx="0">
                  <c:v>30</c:v>
                </c:pt>
                <c:pt idx="1">
                  <c:v>34.982935610022096</c:v>
                </c:pt>
              </c:numCache>
            </c:numRef>
          </c:xVal>
          <c:yVal>
            <c:numRef>
              <c:f>'Ternary plot 1'!$O$57:$O$58</c:f>
              <c:numCache>
                <c:formatCode>0.00</c:formatCode>
                <c:ptCount val="2"/>
                <c:pt idx="0">
                  <c:v>40</c:v>
                </c:pt>
                <c:pt idx="1">
                  <c:v>13.916038557501833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1'!$N$60:$N$61</c:f>
              <c:numCache>
                <c:formatCode>0.00</c:formatCode>
                <c:ptCount val="2"/>
                <c:pt idx="0">
                  <c:v>25</c:v>
                </c:pt>
                <c:pt idx="1">
                  <c:v>29.23698736633083</c:v>
                </c:pt>
              </c:numCache>
            </c:numRef>
          </c:xVal>
          <c:yVal>
            <c:numRef>
              <c:f>'Ternary plot 1'!$O$60:$O$61</c:f>
              <c:numCache>
                <c:formatCode>0.00</c:formatCode>
                <c:ptCount val="2"/>
                <c:pt idx="0">
                  <c:v>30</c:v>
                </c:pt>
                <c:pt idx="1">
                  <c:v>10.126455696134819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1'!$N$63:$N$64</c:f>
              <c:numCache>
                <c:formatCode>0.00</c:formatCode>
                <c:ptCount val="2"/>
                <c:pt idx="0">
                  <c:v>20</c:v>
                </c:pt>
                <c:pt idx="1">
                  <c:v>24.576247936991919</c:v>
                </c:pt>
              </c:numCache>
            </c:numRef>
          </c:xVal>
          <c:yVal>
            <c:numRef>
              <c:f>'Ternary plot 1'!$O$63:$O$64</c:f>
              <c:numCache>
                <c:formatCode>0.00</c:formatCode>
                <c:ptCount val="2"/>
                <c:pt idx="0">
                  <c:v>20</c:v>
                </c:pt>
                <c:pt idx="1">
                  <c:v>6.5534201292806848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1'!$N$66:$N$67</c:f>
              <c:numCache>
                <c:formatCode>0.00</c:formatCode>
                <c:ptCount val="2"/>
                <c:pt idx="0">
                  <c:v>15</c:v>
                </c:pt>
                <c:pt idx="1">
                  <c:v>20.709378223111639</c:v>
                </c:pt>
              </c:numCache>
            </c:numRef>
          </c:xVal>
          <c:yVal>
            <c:numRef>
              <c:f>'Ternary plot 1'!$O$66:$O$67</c:f>
              <c:numCache>
                <c:formatCode>0.00</c:formatCode>
                <c:ptCount val="2"/>
                <c:pt idx="0">
                  <c:v>10</c:v>
                </c:pt>
                <c:pt idx="1">
                  <c:v>3.1881408669262958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59787264"/>
        <c:axId val="159801344"/>
      </c:scatterChart>
      <c:valAx>
        <c:axId val="159787264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59801344"/>
        <c:crosses val="autoZero"/>
        <c:crossBetween val="midCat"/>
        <c:majorUnit val="10"/>
      </c:valAx>
      <c:valAx>
        <c:axId val="159801344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59787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2'!$D$102:$D$181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2'!$F$102:$F$181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2'!$E$100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{C55A0AEF-7BFF-415D-98D1-E751C98284A7}</c15:txfldGUID>
                      <c15:f>'Ternary plot 2'!$E$100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2'!$E$99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{2BE62986-9C27-4FD7-A8CF-0F8A10278F34}</c15:txfldGUID>
                      <c15:f>'Ternary plot 2'!$E$99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2'!$E$98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{1849ECF6-5FD2-4076-86CB-F3E88E18882F}</c15:txfldGUID>
                      <c15:f>'Ternary plot 2'!$E$98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2'!$E$97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{8AD9DD9F-36C9-4CE1-A27A-CDA2C56D4F5F}</c15:txfldGUID>
                      <c15:f>'Ternary plot 2'!$E$97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2'!$E$96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{433C98FD-243E-44F3-97FC-13856E710914}</c15:txfldGUID>
                      <c15:f>'Ternary plot 2'!$E$96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2'!$E$95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{6EF204A6-3773-47CF-860A-9012C59D7533}</c15:txfldGUID>
                      <c15:f>'Ternary plot 2'!$E$95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2'!$E$94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{E1EE9463-095C-47DD-A007-E7656B8B8F4F}</c15:txfldGUID>
                      <c15:f>'Ternary plot 2'!$E$94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2'!$E$93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{DCDFAE09-76B2-400F-B9BB-D065FEA83A86}</c15:txfldGUID>
                      <c15:f>'Ternary plot 2'!$E$93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2'!$E$92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{05264AA2-8FF0-4B7D-AE1A-198F653A9E19}</c15:txfldGUID>
                      <c15:f>'Ternary plot 2'!$E$92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2'!$E$91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{4CF61818-4C3B-486E-B7B4-40389BBFA7B8}</c15:txfldGUID>
                      <c15:f>'Ternary plot 2'!$E$91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2'!$F$100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{1B3FF528-802B-4E38-A21B-F3B950584EAF}</c15:txfldGUID>
                      <c15:f>'Ternary plot 2'!$F$100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2'!$D$90:$D$100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2'!$E$90:$E$100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2'!$D$78:$D$88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2'!$F$78:$F$88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2'!$N$4:$N$13</c:f>
              <c:numCache>
                <c:formatCode>0.00</c:formatCode>
                <c:ptCount val="10"/>
                <c:pt idx="0">
                  <c:v>60</c:v>
                </c:pt>
                <c:pt idx="1">
                  <c:v>55</c:v>
                </c:pt>
                <c:pt idx="2">
                  <c:v>50</c:v>
                </c:pt>
                <c:pt idx="3">
                  <c:v>45</c:v>
                </c:pt>
                <c:pt idx="4">
                  <c:v>40</c:v>
                </c:pt>
                <c:pt idx="5">
                  <c:v>35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</c:numCache>
            </c:numRef>
          </c:xVal>
          <c:yVal>
            <c:numRef>
              <c:f>'Ternary plot 2'!$O$4:$O$13</c:f>
              <c:numCache>
                <c:formatCode>0.00</c:formatCode>
                <c:ptCount val="10"/>
                <c:pt idx="0">
                  <c:v>80</c:v>
                </c:pt>
                <c:pt idx="1">
                  <c:v>70</c:v>
                </c:pt>
                <c:pt idx="2">
                  <c:v>60</c:v>
                </c:pt>
                <c:pt idx="3">
                  <c:v>50</c:v>
                </c:pt>
                <c:pt idx="4">
                  <c:v>40</c:v>
                </c:pt>
                <c:pt idx="5">
                  <c:v>30</c:v>
                </c:pt>
                <c:pt idx="6">
                  <c:v>20</c:v>
                </c:pt>
                <c:pt idx="7">
                  <c:v>10</c:v>
                </c:pt>
                <c:pt idx="8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2'!$N$15:$N$24</c:f>
              <c:numCache>
                <c:formatCode>0.00</c:formatCode>
                <c:ptCount val="10"/>
                <c:pt idx="0">
                  <c:v>90.240453718844037</c:v>
                </c:pt>
                <c:pt idx="1">
                  <c:v>81.978060510848209</c:v>
                </c:pt>
                <c:pt idx="2">
                  <c:v>72.303746455480109</c:v>
                </c:pt>
                <c:pt idx="3">
                  <c:v>62.857355509551454</c:v>
                </c:pt>
                <c:pt idx="4">
                  <c:v>54.458238259054049</c:v>
                </c:pt>
                <c:pt idx="5">
                  <c:v>47.310086547636637</c:v>
                </c:pt>
                <c:pt idx="6">
                  <c:v>41.319732597787215</c:v>
                </c:pt>
                <c:pt idx="7">
                  <c:v>36.297187689737861</c:v>
                </c:pt>
                <c:pt idx="8">
                  <c:v>32.047090381597961</c:v>
                </c:pt>
              </c:numCache>
            </c:numRef>
          </c:xVal>
          <c:yVal>
            <c:numRef>
              <c:f>'Ternary plot 2'!$O$15:$O$24</c:f>
              <c:numCache>
                <c:formatCode>0.00</c:formatCode>
                <c:ptCount val="10"/>
                <c:pt idx="0">
                  <c:v>19.519092562311926</c:v>
                </c:pt>
                <c:pt idx="1">
                  <c:v>20.388086007168486</c:v>
                </c:pt>
                <c:pt idx="2">
                  <c:v>18.99381307096564</c:v>
                </c:pt>
                <c:pt idx="3">
                  <c:v>16.269934353163826</c:v>
                </c:pt>
                <c:pt idx="4">
                  <c:v>12.982672569842094</c:v>
                </c:pt>
                <c:pt idx="5">
                  <c:v>9.5709234891337349</c:v>
                </c:pt>
                <c:pt idx="6">
                  <c:v>6.2342867034852407</c:v>
                </c:pt>
                <c:pt idx="7">
                  <c:v>3.0413436366443438</c:v>
                </c:pt>
                <c:pt idx="8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2'!$N$45:$N$46</c:f>
              <c:numCache>
                <c:formatCode>0.00</c:formatCode>
                <c:ptCount val="2"/>
                <c:pt idx="0">
                  <c:v>55</c:v>
                </c:pt>
                <c:pt idx="1">
                  <c:v>81.978060510848209</c:v>
                </c:pt>
              </c:numCache>
            </c:numRef>
          </c:xVal>
          <c:yVal>
            <c:numRef>
              <c:f>'Ternary plot 2'!$O$45:$O$46</c:f>
              <c:numCache>
                <c:formatCode>0.00</c:formatCode>
                <c:ptCount val="2"/>
                <c:pt idx="0">
                  <c:v>70</c:v>
                </c:pt>
                <c:pt idx="1">
                  <c:v>20.388086007168486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2'!$N$26:$N$35</c:f>
              <c:numCache>
                <c:formatCode>0.00</c:formatCode>
                <c:ptCount val="10"/>
                <c:pt idx="0">
                  <c:v>89.58</c:v>
                </c:pt>
                <c:pt idx="1">
                  <c:v>82.5</c:v>
                </c:pt>
                <c:pt idx="2">
                  <c:v>72.75</c:v>
                </c:pt>
                <c:pt idx="3">
                  <c:v>64</c:v>
                </c:pt>
                <c:pt idx="4">
                  <c:v>56.5</c:v>
                </c:pt>
                <c:pt idx="5">
                  <c:v>48.5</c:v>
                </c:pt>
                <c:pt idx="6">
                  <c:v>41.75</c:v>
                </c:pt>
                <c:pt idx="7">
                  <c:v>35.75</c:v>
                </c:pt>
                <c:pt idx="8">
                  <c:v>33.5</c:v>
                </c:pt>
              </c:numCache>
            </c:numRef>
          </c:xVal>
          <c:yVal>
            <c:numRef>
              <c:f>'Ternary plot 2'!$O$26:$O$35</c:f>
              <c:numCache>
                <c:formatCode>0.00</c:formatCode>
                <c:ptCount val="10"/>
                <c:pt idx="0">
                  <c:v>20.840000000000003</c:v>
                </c:pt>
                <c:pt idx="1">
                  <c:v>21</c:v>
                </c:pt>
                <c:pt idx="2">
                  <c:v>18.5</c:v>
                </c:pt>
                <c:pt idx="3">
                  <c:v>15.999999999999989</c:v>
                </c:pt>
                <c:pt idx="4">
                  <c:v>13</c:v>
                </c:pt>
                <c:pt idx="5">
                  <c:v>9</c:v>
                </c:pt>
                <c:pt idx="6">
                  <c:v>6.4999999999999929</c:v>
                </c:pt>
                <c:pt idx="7">
                  <c:v>3.5</c:v>
                </c:pt>
                <c:pt idx="8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2'!$N$48:$N$49</c:f>
              <c:numCache>
                <c:formatCode>0.00</c:formatCode>
                <c:ptCount val="2"/>
                <c:pt idx="0">
                  <c:v>50</c:v>
                </c:pt>
                <c:pt idx="1">
                  <c:v>72.303746455480109</c:v>
                </c:pt>
              </c:numCache>
            </c:numRef>
          </c:xVal>
          <c:yVal>
            <c:numRef>
              <c:f>'Ternary plot 2'!$O$48:$O$49</c:f>
              <c:numCache>
                <c:formatCode>0.00</c:formatCode>
                <c:ptCount val="2"/>
                <c:pt idx="0">
                  <c:v>60</c:v>
                </c:pt>
                <c:pt idx="1">
                  <c:v>18.99381307096564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2'!$N$51:$N$52</c:f>
              <c:numCache>
                <c:formatCode>0.00</c:formatCode>
                <c:ptCount val="2"/>
                <c:pt idx="0">
                  <c:v>45</c:v>
                </c:pt>
                <c:pt idx="1">
                  <c:v>62.857355509551454</c:v>
                </c:pt>
              </c:numCache>
            </c:numRef>
          </c:xVal>
          <c:yVal>
            <c:numRef>
              <c:f>'Ternary plot 2'!$O$51:$O$52</c:f>
              <c:numCache>
                <c:formatCode>0.00</c:formatCode>
                <c:ptCount val="2"/>
                <c:pt idx="0">
                  <c:v>50</c:v>
                </c:pt>
                <c:pt idx="1">
                  <c:v>16.269934353163826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2'!$N$54:$N$55</c:f>
              <c:numCache>
                <c:formatCode>0.00</c:formatCode>
                <c:ptCount val="2"/>
                <c:pt idx="0">
                  <c:v>40</c:v>
                </c:pt>
                <c:pt idx="1">
                  <c:v>54.458238259054049</c:v>
                </c:pt>
              </c:numCache>
            </c:numRef>
          </c:xVal>
          <c:yVal>
            <c:numRef>
              <c:f>'Ternary plot 2'!$O$54:$O$55</c:f>
              <c:numCache>
                <c:formatCode>0.00</c:formatCode>
                <c:ptCount val="2"/>
                <c:pt idx="0">
                  <c:v>40</c:v>
                </c:pt>
                <c:pt idx="1">
                  <c:v>12.982672569842094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2'!$N$57:$N$58</c:f>
              <c:numCache>
                <c:formatCode>0.00</c:formatCode>
                <c:ptCount val="2"/>
                <c:pt idx="0">
                  <c:v>35</c:v>
                </c:pt>
                <c:pt idx="1">
                  <c:v>47.310086547636637</c:v>
                </c:pt>
              </c:numCache>
            </c:numRef>
          </c:xVal>
          <c:yVal>
            <c:numRef>
              <c:f>'Ternary plot 2'!$O$57:$O$58</c:f>
              <c:numCache>
                <c:formatCode>0.00</c:formatCode>
                <c:ptCount val="2"/>
                <c:pt idx="0">
                  <c:v>30</c:v>
                </c:pt>
                <c:pt idx="1">
                  <c:v>9.5709234891337349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2'!$N$60:$N$61</c:f>
              <c:numCache>
                <c:formatCode>0.00</c:formatCode>
                <c:ptCount val="2"/>
                <c:pt idx="0">
                  <c:v>30</c:v>
                </c:pt>
                <c:pt idx="1">
                  <c:v>41.319732597787215</c:v>
                </c:pt>
              </c:numCache>
            </c:numRef>
          </c:xVal>
          <c:yVal>
            <c:numRef>
              <c:f>'Ternary plot 2'!$O$60:$O$61</c:f>
              <c:numCache>
                <c:formatCode>0.00</c:formatCode>
                <c:ptCount val="2"/>
                <c:pt idx="0">
                  <c:v>20</c:v>
                </c:pt>
                <c:pt idx="1">
                  <c:v>6.2342867034852407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2'!$N$63:$N$64</c:f>
              <c:numCache>
                <c:formatCode>0.00</c:formatCode>
                <c:ptCount val="2"/>
                <c:pt idx="0">
                  <c:v>25</c:v>
                </c:pt>
                <c:pt idx="1">
                  <c:v>36.297187689737861</c:v>
                </c:pt>
              </c:numCache>
            </c:numRef>
          </c:xVal>
          <c:yVal>
            <c:numRef>
              <c:f>'Ternary plot 2'!$O$63:$O$64</c:f>
              <c:numCache>
                <c:formatCode>0.00</c:formatCode>
                <c:ptCount val="2"/>
                <c:pt idx="0">
                  <c:v>10</c:v>
                </c:pt>
                <c:pt idx="1">
                  <c:v>3.0413436366443438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2'!$N$66:$N$67</c:f>
              <c:numCache>
                <c:formatCode>0.00</c:formatCode>
                <c:ptCount val="2"/>
                <c:pt idx="0">
                  <c:v>20</c:v>
                </c:pt>
                <c:pt idx="1">
                  <c:v>32.047090381597961</c:v>
                </c:pt>
              </c:numCache>
            </c:numRef>
          </c:xVal>
          <c:yVal>
            <c:numRef>
              <c:f>'Ternary plot 2'!$O$66:$O$67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0123904"/>
        <c:axId val="160125696"/>
      </c:scatterChart>
      <c:valAx>
        <c:axId val="160123904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0125696"/>
        <c:crosses val="autoZero"/>
        <c:crossBetween val="midCat"/>
        <c:majorUnit val="10"/>
      </c:valAx>
      <c:valAx>
        <c:axId val="160125696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01239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3'!$D$102:$D$181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3'!$F$102:$F$181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3'!$E$100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{CB4C653D-CF41-43AF-89C7-9D84E5628D6C}</c15:txfldGUID>
                      <c15:f>'Ternary plot 3'!$E$100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3'!$E$99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{9F7D257A-4732-4AD0-B21E-173F3A377743}</c15:txfldGUID>
                      <c15:f>'Ternary plot 3'!$E$99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3'!$E$98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{B0AD454F-1D6D-4A8D-8D41-396077127CCA}</c15:txfldGUID>
                      <c15:f>'Ternary plot 3'!$E$98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3'!$E$97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{B50A9129-E54B-4F95-B347-61611B87A20A}</c15:txfldGUID>
                      <c15:f>'Ternary plot 3'!$E$97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3'!$E$96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{097647F2-EA4F-4E9B-9053-3B2B15F55B42}</c15:txfldGUID>
                      <c15:f>'Ternary plot 3'!$E$96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3'!$E$95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{5DB0B109-D55D-4AB2-99C8-A1A12CAEE851}</c15:txfldGUID>
                      <c15:f>'Ternary plot 3'!$E$95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3'!$E$94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{330528EE-D553-4DFD-92B0-B8488F8B46DD}</c15:txfldGUID>
                      <c15:f>'Ternary plot 3'!$E$94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3'!$E$93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{6E6FEED1-1B8F-458B-BDBD-09F1A68BD2A0}</c15:txfldGUID>
                      <c15:f>'Ternary plot 3'!$E$93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3'!$E$92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{401A11F3-F0FA-44F3-9311-72062072DB03}</c15:txfldGUID>
                      <c15:f>'Ternary plot 3'!$E$92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3'!$E$91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{13B43DF7-9F37-41C7-AA90-30EFB562764C}</c15:txfldGUID>
                      <c15:f>'Ternary plot 3'!$E$91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3'!$F$100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{A0D08AFF-84C8-461B-9F1E-0C19850BE959}</c15:txfldGUID>
                      <c15:f>'Ternary plot 3'!$F$100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3'!$D$90:$D$100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3'!$E$90:$E$100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3'!$D$78:$D$88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3'!$F$78:$F$88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3'!$N$4:$N$13</c:f>
              <c:numCache>
                <c:formatCode>0.00</c:formatCode>
                <c:ptCount val="10"/>
                <c:pt idx="0">
                  <c:v>65</c:v>
                </c:pt>
                <c:pt idx="1">
                  <c:v>60</c:v>
                </c:pt>
                <c:pt idx="2">
                  <c:v>55</c:v>
                </c:pt>
                <c:pt idx="3">
                  <c:v>50</c:v>
                </c:pt>
                <c:pt idx="4">
                  <c:v>45</c:v>
                </c:pt>
                <c:pt idx="5">
                  <c:v>40</c:v>
                </c:pt>
                <c:pt idx="6">
                  <c:v>35</c:v>
                </c:pt>
                <c:pt idx="7">
                  <c:v>30</c:v>
                </c:pt>
              </c:numCache>
            </c:numRef>
          </c:xVal>
          <c:yVal>
            <c:numRef>
              <c:f>'Ternary plot 3'!$O$4:$O$13</c:f>
              <c:numCache>
                <c:formatCode>0.00</c:formatCode>
                <c:ptCount val="10"/>
                <c:pt idx="0">
                  <c:v>70</c:v>
                </c:pt>
                <c:pt idx="1">
                  <c:v>60</c:v>
                </c:pt>
                <c:pt idx="2">
                  <c:v>50</c:v>
                </c:pt>
                <c:pt idx="3">
                  <c:v>40</c:v>
                </c:pt>
                <c:pt idx="4">
                  <c:v>30</c:v>
                </c:pt>
                <c:pt idx="5">
                  <c:v>20</c:v>
                </c:pt>
                <c:pt idx="6">
                  <c:v>10</c:v>
                </c:pt>
                <c:pt idx="7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3'!$N$15:$N$24</c:f>
              <c:numCache>
                <c:formatCode>0.00</c:formatCode>
                <c:ptCount val="10"/>
                <c:pt idx="0">
                  <c:v>90.257609672028664</c:v>
                </c:pt>
                <c:pt idx="1">
                  <c:v>83.986778910795408</c:v>
                </c:pt>
                <c:pt idx="2">
                  <c:v>76.258690865869568</c:v>
                </c:pt>
                <c:pt idx="3">
                  <c:v>68.337140129969043</c:v>
                </c:pt>
                <c:pt idx="4">
                  <c:v>60.986962745861021</c:v>
                </c:pt>
                <c:pt idx="5">
                  <c:v>54.508802100566896</c:v>
                </c:pt>
                <c:pt idx="6">
                  <c:v>48.929309644783508</c:v>
                </c:pt>
                <c:pt idx="7">
                  <c:v>44.153872822026216</c:v>
                </c:pt>
              </c:numCache>
            </c:numRef>
          </c:xVal>
          <c:yVal>
            <c:numRef>
              <c:f>'Ternary plot 3'!$O$15:$O$24</c:f>
              <c:numCache>
                <c:formatCode>0.00</c:formatCode>
                <c:ptCount val="10"/>
                <c:pt idx="0">
                  <c:v>19.484780655942675</c:v>
                </c:pt>
                <c:pt idx="1">
                  <c:v>18.253179856700839</c:v>
                </c:pt>
                <c:pt idx="2">
                  <c:v>15.789063091810803</c:v>
                </c:pt>
                <c:pt idx="3">
                  <c:v>12.673360567719724</c:v>
                </c:pt>
                <c:pt idx="4">
                  <c:v>9.3560312659710618</c:v>
                </c:pt>
                <c:pt idx="5">
                  <c:v>6.0840651003172894</c:v>
                </c:pt>
                <c:pt idx="6">
                  <c:v>2.9581787537275268</c:v>
                </c:pt>
                <c:pt idx="7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3'!$N$45:$N$46</c:f>
              <c:numCache>
                <c:formatCode>0.00</c:formatCode>
                <c:ptCount val="2"/>
                <c:pt idx="0">
                  <c:v>60</c:v>
                </c:pt>
                <c:pt idx="1">
                  <c:v>83.986778910795408</c:v>
                </c:pt>
              </c:numCache>
            </c:numRef>
          </c:xVal>
          <c:yVal>
            <c:numRef>
              <c:f>'Ternary plot 3'!$O$45:$O$46</c:f>
              <c:numCache>
                <c:formatCode>0.00</c:formatCode>
                <c:ptCount val="2"/>
                <c:pt idx="0">
                  <c:v>60</c:v>
                </c:pt>
                <c:pt idx="1">
                  <c:v>18.253179856700839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3'!$N$26:$N$35</c:f>
              <c:numCache>
                <c:formatCode>0.00</c:formatCode>
                <c:ptCount val="10"/>
                <c:pt idx="0">
                  <c:v>90.62</c:v>
                </c:pt>
                <c:pt idx="1">
                  <c:v>84.75</c:v>
                </c:pt>
                <c:pt idx="2">
                  <c:v>77.5</c:v>
                </c:pt>
                <c:pt idx="3">
                  <c:v>68.5</c:v>
                </c:pt>
                <c:pt idx="4">
                  <c:v>61.25</c:v>
                </c:pt>
                <c:pt idx="5">
                  <c:v>55.25</c:v>
                </c:pt>
                <c:pt idx="6">
                  <c:v>48.25</c:v>
                </c:pt>
                <c:pt idx="7">
                  <c:v>43.8</c:v>
                </c:pt>
              </c:numCache>
            </c:numRef>
          </c:xVal>
          <c:yVal>
            <c:numRef>
              <c:f>'Ternary plot 3'!$O$26:$O$35</c:f>
              <c:numCache>
                <c:formatCode>0.00</c:formatCode>
                <c:ptCount val="10"/>
                <c:pt idx="0">
                  <c:v>18.760000000000005</c:v>
                </c:pt>
                <c:pt idx="1">
                  <c:v>17.5</c:v>
                </c:pt>
                <c:pt idx="2">
                  <c:v>15</c:v>
                </c:pt>
                <c:pt idx="3">
                  <c:v>12</c:v>
                </c:pt>
                <c:pt idx="4">
                  <c:v>8.5000000000000071</c:v>
                </c:pt>
                <c:pt idx="5">
                  <c:v>6.5</c:v>
                </c:pt>
                <c:pt idx="6">
                  <c:v>3.5</c:v>
                </c:pt>
                <c:pt idx="7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3'!$N$48:$N$49</c:f>
              <c:numCache>
                <c:formatCode>0.00</c:formatCode>
                <c:ptCount val="2"/>
                <c:pt idx="0">
                  <c:v>55</c:v>
                </c:pt>
                <c:pt idx="1">
                  <c:v>76.258690865869568</c:v>
                </c:pt>
              </c:numCache>
            </c:numRef>
          </c:xVal>
          <c:yVal>
            <c:numRef>
              <c:f>'Ternary plot 3'!$O$48:$O$49</c:f>
              <c:numCache>
                <c:formatCode>0.00</c:formatCode>
                <c:ptCount val="2"/>
                <c:pt idx="0">
                  <c:v>50</c:v>
                </c:pt>
                <c:pt idx="1">
                  <c:v>15.789063091810803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3'!$N$51:$N$52</c:f>
              <c:numCache>
                <c:formatCode>0.00</c:formatCode>
                <c:ptCount val="2"/>
                <c:pt idx="0">
                  <c:v>50</c:v>
                </c:pt>
                <c:pt idx="1">
                  <c:v>68.337140129969043</c:v>
                </c:pt>
              </c:numCache>
            </c:numRef>
          </c:xVal>
          <c:yVal>
            <c:numRef>
              <c:f>'Ternary plot 3'!$O$51:$O$52</c:f>
              <c:numCache>
                <c:formatCode>0.00</c:formatCode>
                <c:ptCount val="2"/>
                <c:pt idx="0">
                  <c:v>40</c:v>
                </c:pt>
                <c:pt idx="1">
                  <c:v>12.673360567719724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3'!$N$54:$N$55</c:f>
              <c:numCache>
                <c:formatCode>0.00</c:formatCode>
                <c:ptCount val="2"/>
                <c:pt idx="0">
                  <c:v>45</c:v>
                </c:pt>
                <c:pt idx="1">
                  <c:v>60.986962745861021</c:v>
                </c:pt>
              </c:numCache>
            </c:numRef>
          </c:xVal>
          <c:yVal>
            <c:numRef>
              <c:f>'Ternary plot 3'!$O$54:$O$55</c:f>
              <c:numCache>
                <c:formatCode>0.00</c:formatCode>
                <c:ptCount val="2"/>
                <c:pt idx="0">
                  <c:v>30</c:v>
                </c:pt>
                <c:pt idx="1">
                  <c:v>9.3560312659710618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3'!$N$57:$N$58</c:f>
              <c:numCache>
                <c:formatCode>0.00</c:formatCode>
                <c:ptCount val="2"/>
                <c:pt idx="0">
                  <c:v>40</c:v>
                </c:pt>
                <c:pt idx="1">
                  <c:v>54.508802100566896</c:v>
                </c:pt>
              </c:numCache>
            </c:numRef>
          </c:xVal>
          <c:yVal>
            <c:numRef>
              <c:f>'Ternary plot 3'!$O$57:$O$58</c:f>
              <c:numCache>
                <c:formatCode>0.00</c:formatCode>
                <c:ptCount val="2"/>
                <c:pt idx="0">
                  <c:v>20</c:v>
                </c:pt>
                <c:pt idx="1">
                  <c:v>6.0840651003172894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3'!$N$60:$N$61</c:f>
              <c:numCache>
                <c:formatCode>0.00</c:formatCode>
                <c:ptCount val="2"/>
                <c:pt idx="0">
                  <c:v>35</c:v>
                </c:pt>
                <c:pt idx="1">
                  <c:v>48.929309644783508</c:v>
                </c:pt>
              </c:numCache>
            </c:numRef>
          </c:xVal>
          <c:yVal>
            <c:numRef>
              <c:f>'Ternary plot 3'!$O$60:$O$61</c:f>
              <c:numCache>
                <c:formatCode>0.00</c:formatCode>
                <c:ptCount val="2"/>
                <c:pt idx="0">
                  <c:v>10</c:v>
                </c:pt>
                <c:pt idx="1">
                  <c:v>2.9581787537275268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3'!$N$63:$N$64</c:f>
              <c:numCache>
                <c:formatCode>0.00</c:formatCode>
                <c:ptCount val="2"/>
                <c:pt idx="0">
                  <c:v>30</c:v>
                </c:pt>
                <c:pt idx="1">
                  <c:v>44.153872822026216</c:v>
                </c:pt>
              </c:numCache>
            </c:numRef>
          </c:xVal>
          <c:yVal>
            <c:numRef>
              <c:f>'Ternary plot 3'!$O$63:$O$64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3'!$N$66:$N$67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3'!$O$66:$O$67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0370688"/>
        <c:axId val="160372224"/>
      </c:scatterChart>
      <c:valAx>
        <c:axId val="160370688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0372224"/>
        <c:crosses val="autoZero"/>
        <c:crossBetween val="midCat"/>
        <c:majorUnit val="10"/>
      </c:valAx>
      <c:valAx>
        <c:axId val="160372224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0370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4'!$D$102:$D$181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4'!$F$102:$F$181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4'!$E$100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{7BF34B3D-E21A-44CE-B9B2-EFA26C30DE18}</c15:txfldGUID>
                      <c15:f>'Ternary plot 4'!$E$100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4'!$E$99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{A42589BE-AFB1-4E6E-B696-7CF359D8EE17}</c15:txfldGUID>
                      <c15:f>'Ternary plot 4'!$E$99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4'!$E$98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{41EE8BA2-5D0E-490B-BBCE-5F3A396FAC8A}</c15:txfldGUID>
                      <c15:f>'Ternary plot 4'!$E$98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4'!$E$97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{2C57A523-AC20-4A17-A6C3-5079A6662847}</c15:txfldGUID>
                      <c15:f>'Ternary plot 4'!$E$97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4'!$E$96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{6CB7FAB6-F57A-45FE-BA53-CC4B47BE8B75}</c15:txfldGUID>
                      <c15:f>'Ternary plot 4'!$E$96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4'!$E$95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{2049AD59-F7D4-4B93-80B1-5B22AB1283A5}</c15:txfldGUID>
                      <c15:f>'Ternary plot 4'!$E$95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4'!$E$94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{6813DD13-FEBE-4C86-B1A0-0BDEB0F33FCC}</c15:txfldGUID>
                      <c15:f>'Ternary plot 4'!$E$94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4'!$E$93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{EE33444E-E61B-4CAB-BAE9-636C27EA1CCF}</c15:txfldGUID>
                      <c15:f>'Ternary plot 4'!$E$93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4'!$E$92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{65633C76-E32C-427F-8C26-30006F30C428}</c15:txfldGUID>
                      <c15:f>'Ternary plot 4'!$E$92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4'!$E$91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{67F50920-BE60-414E-923B-5F2E02AF36AF}</c15:txfldGUID>
                      <c15:f>'Ternary plot 4'!$E$91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4'!$F$100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{18ECD990-0976-45C0-B4F7-DC427653836C}</c15:txfldGUID>
                      <c15:f>'Ternary plot 4'!$F$100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4'!$D$90:$D$100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4'!$E$90:$E$100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4'!$D$78:$D$88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4'!$F$78:$F$88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4'!$N$4:$N$13</c:f>
              <c:numCache>
                <c:formatCode>0.00</c:formatCode>
                <c:ptCount val="10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</c:numCache>
            </c:numRef>
          </c:xVal>
          <c:yVal>
            <c:numRef>
              <c:f>'Ternary plot 4'!$O$4:$O$13</c:f>
              <c:numCache>
                <c:formatCode>0.00</c:formatCode>
                <c:ptCount val="10"/>
                <c:pt idx="0">
                  <c:v>60</c:v>
                </c:pt>
                <c:pt idx="1">
                  <c:v>50</c:v>
                </c:pt>
                <c:pt idx="2">
                  <c:v>40</c:v>
                </c:pt>
                <c:pt idx="3">
                  <c:v>30</c:v>
                </c:pt>
                <c:pt idx="4">
                  <c:v>20</c:v>
                </c:pt>
                <c:pt idx="5">
                  <c:v>10</c:v>
                </c:pt>
                <c:pt idx="6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4'!$N$15:$N$24</c:f>
              <c:numCache>
                <c:formatCode>0.00</c:formatCode>
                <c:ptCount val="10"/>
                <c:pt idx="0">
                  <c:v>90.318103653947119</c:v>
                </c:pt>
                <c:pt idx="1">
                  <c:v>84.990301106225445</c:v>
                </c:pt>
                <c:pt idx="2">
                  <c:v>78.313329917445614</c:v>
                </c:pt>
                <c:pt idx="3">
                  <c:v>71.39206643695411</c:v>
                </c:pt>
                <c:pt idx="4">
                  <c:v>64.898895674743883</c:v>
                </c:pt>
                <c:pt idx="5">
                  <c:v>59.115264444495793</c:v>
                </c:pt>
                <c:pt idx="6">
                  <c:v>54.0865992234041</c:v>
                </c:pt>
              </c:numCache>
            </c:numRef>
          </c:xVal>
          <c:yVal>
            <c:numRef>
              <c:f>'Ternary plot 4'!$O$15:$O$24</c:f>
              <c:numCache>
                <c:formatCode>0.00</c:formatCode>
                <c:ptCount val="10"/>
                <c:pt idx="0">
                  <c:v>19.363792692105743</c:v>
                </c:pt>
                <c:pt idx="1">
                  <c:v>16.468102385347549</c:v>
                </c:pt>
                <c:pt idx="2">
                  <c:v>13.066417915108808</c:v>
                </c:pt>
                <c:pt idx="3">
                  <c:v>9.5412779770914593</c:v>
                </c:pt>
                <c:pt idx="4">
                  <c:v>6.1366360388277199</c:v>
                </c:pt>
                <c:pt idx="5">
                  <c:v>2.9521881370797374</c:v>
                </c:pt>
                <c:pt idx="6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4'!$N$45:$N$46</c:f>
              <c:numCache>
                <c:formatCode>0.00</c:formatCode>
                <c:ptCount val="2"/>
                <c:pt idx="0">
                  <c:v>65</c:v>
                </c:pt>
                <c:pt idx="1">
                  <c:v>84.990301106225445</c:v>
                </c:pt>
              </c:numCache>
            </c:numRef>
          </c:xVal>
          <c:yVal>
            <c:numRef>
              <c:f>'Ternary plot 4'!$O$45:$O$46</c:f>
              <c:numCache>
                <c:formatCode>0.00</c:formatCode>
                <c:ptCount val="2"/>
                <c:pt idx="0">
                  <c:v>50</c:v>
                </c:pt>
                <c:pt idx="1">
                  <c:v>16.468102385347549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4'!$N$26:$N$35</c:f>
              <c:numCache>
                <c:formatCode>0.00</c:formatCode>
                <c:ptCount val="10"/>
                <c:pt idx="0">
                  <c:v>91.344999999999999</c:v>
                </c:pt>
                <c:pt idx="1">
                  <c:v>86.5</c:v>
                </c:pt>
                <c:pt idx="2">
                  <c:v>78.5</c:v>
                </c:pt>
                <c:pt idx="3">
                  <c:v>71.400000000000006</c:v>
                </c:pt>
                <c:pt idx="4">
                  <c:v>64.650000000000006</c:v>
                </c:pt>
                <c:pt idx="5">
                  <c:v>58.149999999999991</c:v>
                </c:pt>
                <c:pt idx="6">
                  <c:v>52.400000000000006</c:v>
                </c:pt>
              </c:numCache>
            </c:numRef>
          </c:xVal>
          <c:yVal>
            <c:numRef>
              <c:f>'Ternary plot 4'!$O$26:$O$35</c:f>
              <c:numCache>
                <c:formatCode>0.00</c:formatCode>
                <c:ptCount val="10"/>
                <c:pt idx="0">
                  <c:v>17.310000000000002</c:v>
                </c:pt>
                <c:pt idx="1">
                  <c:v>15</c:v>
                </c:pt>
                <c:pt idx="2">
                  <c:v>12</c:v>
                </c:pt>
                <c:pt idx="3">
                  <c:v>8.8000000000000007</c:v>
                </c:pt>
                <c:pt idx="4">
                  <c:v>6.2999999999999972</c:v>
                </c:pt>
                <c:pt idx="5">
                  <c:v>3.3000000000000043</c:v>
                </c:pt>
                <c:pt idx="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4'!$N$48:$N$49</c:f>
              <c:numCache>
                <c:formatCode>0.00</c:formatCode>
                <c:ptCount val="2"/>
                <c:pt idx="0">
                  <c:v>60</c:v>
                </c:pt>
                <c:pt idx="1">
                  <c:v>78.313329917445614</c:v>
                </c:pt>
              </c:numCache>
            </c:numRef>
          </c:xVal>
          <c:yVal>
            <c:numRef>
              <c:f>'Ternary plot 4'!$O$48:$O$49</c:f>
              <c:numCache>
                <c:formatCode>0.00</c:formatCode>
                <c:ptCount val="2"/>
                <c:pt idx="0">
                  <c:v>40</c:v>
                </c:pt>
                <c:pt idx="1">
                  <c:v>13.066417915108808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4'!$N$51:$N$52</c:f>
              <c:numCache>
                <c:formatCode>0.00</c:formatCode>
                <c:ptCount val="2"/>
                <c:pt idx="0">
                  <c:v>55</c:v>
                </c:pt>
                <c:pt idx="1">
                  <c:v>71.39206643695411</c:v>
                </c:pt>
              </c:numCache>
            </c:numRef>
          </c:xVal>
          <c:yVal>
            <c:numRef>
              <c:f>'Ternary plot 4'!$O$51:$O$52</c:f>
              <c:numCache>
                <c:formatCode>0.00</c:formatCode>
                <c:ptCount val="2"/>
                <c:pt idx="0">
                  <c:v>30</c:v>
                </c:pt>
                <c:pt idx="1">
                  <c:v>9.5412779770914593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4'!$N$54:$N$55</c:f>
              <c:numCache>
                <c:formatCode>0.00</c:formatCode>
                <c:ptCount val="2"/>
                <c:pt idx="0">
                  <c:v>50</c:v>
                </c:pt>
                <c:pt idx="1">
                  <c:v>64.898895674743883</c:v>
                </c:pt>
              </c:numCache>
            </c:numRef>
          </c:xVal>
          <c:yVal>
            <c:numRef>
              <c:f>'Ternary plot 4'!$O$54:$O$55</c:f>
              <c:numCache>
                <c:formatCode>0.00</c:formatCode>
                <c:ptCount val="2"/>
                <c:pt idx="0">
                  <c:v>20</c:v>
                </c:pt>
                <c:pt idx="1">
                  <c:v>6.1366360388277199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4'!$N$57:$N$58</c:f>
              <c:numCache>
                <c:formatCode>0.00</c:formatCode>
                <c:ptCount val="2"/>
                <c:pt idx="0">
                  <c:v>45</c:v>
                </c:pt>
                <c:pt idx="1">
                  <c:v>59.115264444495793</c:v>
                </c:pt>
              </c:numCache>
            </c:numRef>
          </c:xVal>
          <c:yVal>
            <c:numRef>
              <c:f>'Ternary plot 4'!$O$57:$O$58</c:f>
              <c:numCache>
                <c:formatCode>0.00</c:formatCode>
                <c:ptCount val="2"/>
                <c:pt idx="0">
                  <c:v>10</c:v>
                </c:pt>
                <c:pt idx="1">
                  <c:v>2.9521881370797374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4'!$N$60:$N$61</c:f>
              <c:numCache>
                <c:formatCode>0.00</c:formatCode>
                <c:ptCount val="2"/>
                <c:pt idx="0">
                  <c:v>40</c:v>
                </c:pt>
                <c:pt idx="1">
                  <c:v>54.0865992234041</c:v>
                </c:pt>
              </c:numCache>
            </c:numRef>
          </c:xVal>
          <c:yVal>
            <c:numRef>
              <c:f>'Ternary plot 4'!$O$60:$O$61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4'!$N$63:$N$64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4'!$O$63:$O$64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4'!$N$66:$N$67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4'!$O$66:$O$67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0989952"/>
        <c:axId val="160991488"/>
      </c:scatterChart>
      <c:valAx>
        <c:axId val="160989952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0991488"/>
        <c:crosses val="autoZero"/>
        <c:crossBetween val="midCat"/>
        <c:majorUnit val="10"/>
      </c:valAx>
      <c:valAx>
        <c:axId val="160991488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0989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5'!$D$102:$D$181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5'!$F$102:$F$181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5'!$E$100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{9C828107-06B4-4CAD-A4F8-05712FBF49C4}</c15:txfldGUID>
                      <c15:f>'Ternary plot 5'!$E$100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5'!$E$99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{AB4BF8DB-7ACA-4024-9211-BC38E5A29E16}</c15:txfldGUID>
                      <c15:f>'Ternary plot 5'!$E$99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5'!$E$98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{58C69E29-743A-4FFA-B87F-21DA66033ED4}</c15:txfldGUID>
                      <c15:f>'Ternary plot 5'!$E$98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5'!$E$97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{43A55BB4-57DA-41C6-9780-8E2804541ADD}</c15:txfldGUID>
                      <c15:f>'Ternary plot 5'!$E$97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5'!$E$96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{4D3901FC-4D5B-4BC7-8D28-29F87704B6E3}</c15:txfldGUID>
                      <c15:f>'Ternary plot 5'!$E$96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5'!$E$95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{10C54956-81DC-4B5F-92A8-19BC6B3F31B0}</c15:txfldGUID>
                      <c15:f>'Ternary plot 5'!$E$95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5'!$E$94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{B3B2B3A2-DE5E-4363-A6A4-22FC62D97CF2}</c15:txfldGUID>
                      <c15:f>'Ternary plot 5'!$E$94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5'!$E$93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{B1741DB3-4702-48B1-BA44-03FFA4E4F617}</c15:txfldGUID>
                      <c15:f>'Ternary plot 5'!$E$93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5'!$E$92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{ED3A24AF-FDAB-456A-B868-04D23B9DCFC2}</c15:txfldGUID>
                      <c15:f>'Ternary plot 5'!$E$92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5'!$E$91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{92EA4937-7AFF-49C3-9A4E-0A7224A1560C}</c15:txfldGUID>
                      <c15:f>'Ternary plot 5'!$E$91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5'!$F$100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{74E28E7A-5213-4705-9E02-3AE108F59C67}</c15:txfldGUID>
                      <c15:f>'Ternary plot 5'!$F$100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5'!$D$90:$D$100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5'!$E$90:$E$100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5'!$D$78:$D$88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5'!$F$78:$F$88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5'!$N$4:$N$13</c:f>
              <c:numCache>
                <c:formatCode>0.00</c:formatCode>
                <c:ptCount val="10"/>
                <c:pt idx="0">
                  <c:v>75</c:v>
                </c:pt>
                <c:pt idx="1">
                  <c:v>70</c:v>
                </c:pt>
                <c:pt idx="2">
                  <c:v>65</c:v>
                </c:pt>
                <c:pt idx="3">
                  <c:v>60</c:v>
                </c:pt>
                <c:pt idx="4">
                  <c:v>55</c:v>
                </c:pt>
                <c:pt idx="5">
                  <c:v>50</c:v>
                </c:pt>
              </c:numCache>
            </c:numRef>
          </c:xVal>
          <c:yVal>
            <c:numRef>
              <c:f>'Ternary plot 5'!$O$4:$O$13</c:f>
              <c:numCache>
                <c:formatCode>0.00</c:formatCode>
                <c:ptCount val="10"/>
                <c:pt idx="0">
                  <c:v>50</c:v>
                </c:pt>
                <c:pt idx="1">
                  <c:v>40</c:v>
                </c:pt>
                <c:pt idx="2">
                  <c:v>30</c:v>
                </c:pt>
                <c:pt idx="3">
                  <c:v>20</c:v>
                </c:pt>
                <c:pt idx="4">
                  <c:v>10</c:v>
                </c:pt>
                <c:pt idx="5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5'!$N$15:$N$24</c:f>
              <c:numCache>
                <c:formatCode>0.00</c:formatCode>
                <c:ptCount val="10"/>
                <c:pt idx="0">
                  <c:v>90.704357961081698</c:v>
                </c:pt>
                <c:pt idx="1">
                  <c:v>85.686715529141338</c:v>
                </c:pt>
                <c:pt idx="2">
                  <c:v>79.510424616601625</c:v>
                </c:pt>
                <c:pt idx="3">
                  <c:v>73.215374470553456</c:v>
                </c:pt>
                <c:pt idx="4">
                  <c:v>67.378265178784872</c:v>
                </c:pt>
                <c:pt idx="5">
                  <c:v>62.21706160032268</c:v>
                </c:pt>
              </c:numCache>
            </c:numRef>
          </c:xVal>
          <c:yVal>
            <c:numRef>
              <c:f>'Ternary plot 5'!$O$15:$O$24</c:f>
              <c:numCache>
                <c:formatCode>0.00</c:formatCode>
                <c:ptCount val="10"/>
                <c:pt idx="0">
                  <c:v>18.591284077836587</c:v>
                </c:pt>
                <c:pt idx="1">
                  <c:v>14.362842354546924</c:v>
                </c:pt>
                <c:pt idx="2">
                  <c:v>10.24722670386997</c:v>
                </c:pt>
                <c:pt idx="3">
                  <c:v>6.452003991929983</c:v>
                </c:pt>
                <c:pt idx="4">
                  <c:v>3.0449097156894993</c:v>
                </c:pt>
                <c:pt idx="5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5'!$N$45:$N$46</c:f>
              <c:numCache>
                <c:formatCode>0.00</c:formatCode>
                <c:ptCount val="2"/>
                <c:pt idx="0">
                  <c:v>70</c:v>
                </c:pt>
                <c:pt idx="1">
                  <c:v>85.686715529141338</c:v>
                </c:pt>
              </c:numCache>
            </c:numRef>
          </c:xVal>
          <c:yVal>
            <c:numRef>
              <c:f>'Ternary plot 5'!$O$45:$O$46</c:f>
              <c:numCache>
                <c:formatCode>0.00</c:formatCode>
                <c:ptCount val="2"/>
                <c:pt idx="0">
                  <c:v>40</c:v>
                </c:pt>
                <c:pt idx="1">
                  <c:v>14.362842354546924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5'!$N$26:$N$35</c:f>
              <c:numCache>
                <c:formatCode>0.00</c:formatCode>
                <c:ptCount val="10"/>
                <c:pt idx="0">
                  <c:v>91.935000000000002</c:v>
                </c:pt>
                <c:pt idx="1">
                  <c:v>87.25</c:v>
                </c:pt>
                <c:pt idx="2">
                  <c:v>79.5</c:v>
                </c:pt>
                <c:pt idx="3">
                  <c:v>73.400000000000006</c:v>
                </c:pt>
                <c:pt idx="4">
                  <c:v>66.650000000000006</c:v>
                </c:pt>
                <c:pt idx="5">
                  <c:v>59.699999999999996</c:v>
                </c:pt>
              </c:numCache>
            </c:numRef>
          </c:xVal>
          <c:yVal>
            <c:numRef>
              <c:f>'Ternary plot 5'!$O$26:$O$35</c:f>
              <c:numCache>
                <c:formatCode>0.00</c:formatCode>
                <c:ptCount val="10"/>
                <c:pt idx="0">
                  <c:v>16.129999999999995</c:v>
                </c:pt>
                <c:pt idx="1">
                  <c:v>12.5</c:v>
                </c:pt>
                <c:pt idx="2">
                  <c:v>9</c:v>
                </c:pt>
                <c:pt idx="3">
                  <c:v>6.7999999999999972</c:v>
                </c:pt>
                <c:pt idx="4">
                  <c:v>3.3000000000000007</c:v>
                </c:pt>
                <c:pt idx="5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5'!$N$48:$N$49</c:f>
              <c:numCache>
                <c:formatCode>0.00</c:formatCode>
                <c:ptCount val="2"/>
                <c:pt idx="0">
                  <c:v>65</c:v>
                </c:pt>
                <c:pt idx="1">
                  <c:v>79.510424616601625</c:v>
                </c:pt>
              </c:numCache>
            </c:numRef>
          </c:xVal>
          <c:yVal>
            <c:numRef>
              <c:f>'Ternary plot 5'!$O$48:$O$49</c:f>
              <c:numCache>
                <c:formatCode>0.00</c:formatCode>
                <c:ptCount val="2"/>
                <c:pt idx="0">
                  <c:v>30</c:v>
                </c:pt>
                <c:pt idx="1">
                  <c:v>10.24722670386997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5'!$N$51:$N$52</c:f>
              <c:numCache>
                <c:formatCode>0.00</c:formatCode>
                <c:ptCount val="2"/>
                <c:pt idx="0">
                  <c:v>60</c:v>
                </c:pt>
                <c:pt idx="1">
                  <c:v>73.215374470553456</c:v>
                </c:pt>
              </c:numCache>
            </c:numRef>
          </c:xVal>
          <c:yVal>
            <c:numRef>
              <c:f>'Ternary plot 5'!$O$51:$O$52</c:f>
              <c:numCache>
                <c:formatCode>0.00</c:formatCode>
                <c:ptCount val="2"/>
                <c:pt idx="0">
                  <c:v>20</c:v>
                </c:pt>
                <c:pt idx="1">
                  <c:v>6.452003991929983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5'!$N$54:$N$55</c:f>
              <c:numCache>
                <c:formatCode>0.00</c:formatCode>
                <c:ptCount val="2"/>
                <c:pt idx="0">
                  <c:v>55</c:v>
                </c:pt>
                <c:pt idx="1">
                  <c:v>67.378265178784872</c:v>
                </c:pt>
              </c:numCache>
            </c:numRef>
          </c:xVal>
          <c:yVal>
            <c:numRef>
              <c:f>'Ternary plot 5'!$O$54:$O$55</c:f>
              <c:numCache>
                <c:formatCode>0.00</c:formatCode>
                <c:ptCount val="2"/>
                <c:pt idx="0">
                  <c:v>10</c:v>
                </c:pt>
                <c:pt idx="1">
                  <c:v>3.0449097156894993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5'!$N$57:$N$58</c:f>
              <c:numCache>
                <c:formatCode>0.00</c:formatCode>
                <c:ptCount val="2"/>
                <c:pt idx="0">
                  <c:v>50</c:v>
                </c:pt>
                <c:pt idx="1">
                  <c:v>62.21706160032268</c:v>
                </c:pt>
              </c:numCache>
            </c:numRef>
          </c:xVal>
          <c:yVal>
            <c:numRef>
              <c:f>'Ternary plot 5'!$O$57:$O$58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5'!$N$60:$N$61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5'!$O$60:$O$61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5'!$N$63:$N$64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5'!$O$63:$O$64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5'!$N$66:$N$67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5'!$O$66:$O$67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5414400"/>
        <c:axId val="165415936"/>
      </c:scatterChart>
      <c:valAx>
        <c:axId val="165414400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5415936"/>
        <c:crosses val="autoZero"/>
        <c:crossBetween val="midCat"/>
        <c:majorUnit val="10"/>
      </c:valAx>
      <c:valAx>
        <c:axId val="165415936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54144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6'!$D$102:$D$181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6'!$F$102:$F$181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6'!$E$100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{6929A0FF-883D-4AC1-8006-423AACE1C6F4}</c15:txfldGUID>
                      <c15:f>'Ternary plot 6'!$E$100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6'!$E$99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{F38A1388-1823-4B07-9140-1476AE6B3AC3}</c15:txfldGUID>
                      <c15:f>'Ternary plot 6'!$E$99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6'!$E$98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{100EA50B-3B0C-4E55-80CC-5F68824CA2E0}</c15:txfldGUID>
                      <c15:f>'Ternary plot 6'!$E$98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6'!$E$97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{B890BCEE-E7FE-4410-9470-9597B886738E}</c15:txfldGUID>
                      <c15:f>'Ternary plot 6'!$E$97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6'!$E$96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{D8680EC1-A617-49F4-AFDB-EC575D24731B}</c15:txfldGUID>
                      <c15:f>'Ternary plot 6'!$E$96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6'!$E$95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{2CF181F5-B589-47FC-B2D3-D263828FD197}</c15:txfldGUID>
                      <c15:f>'Ternary plot 6'!$E$95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6'!$E$94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{68714C89-FB7E-42A3-B57B-CA9295F31915}</c15:txfldGUID>
                      <c15:f>'Ternary plot 6'!$E$94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6'!$E$93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{3D2E3AAE-7040-478F-A05F-482E74DA0596}</c15:txfldGUID>
                      <c15:f>'Ternary plot 6'!$E$93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6'!$E$92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{952EE548-23BC-4896-999A-00A2A7F11657}</c15:txfldGUID>
                      <c15:f>'Ternary plot 6'!$E$92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6'!$E$91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{EF90D27C-2D7F-4ADE-8BA9-9BCB2365A7AE}</c15:txfldGUID>
                      <c15:f>'Ternary plot 6'!$E$91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6'!$F$100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{D5A771DE-0D88-407E-BBCF-F05AE419B3BE}</c15:txfldGUID>
                      <c15:f>'Ternary plot 6'!$F$100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6'!$D$90:$D$100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6'!$E$90:$E$100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6'!$D$78:$D$88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6'!$F$78:$F$88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6'!$N$4:$N$13</c:f>
              <c:numCache>
                <c:formatCode>0.00</c:formatCode>
                <c:ptCount val="10"/>
                <c:pt idx="0">
                  <c:v>80</c:v>
                </c:pt>
                <c:pt idx="1">
                  <c:v>75</c:v>
                </c:pt>
                <c:pt idx="2">
                  <c:v>70</c:v>
                </c:pt>
                <c:pt idx="3">
                  <c:v>65</c:v>
                </c:pt>
                <c:pt idx="4">
                  <c:v>60</c:v>
                </c:pt>
              </c:numCache>
            </c:numRef>
          </c:xVal>
          <c:yVal>
            <c:numRef>
              <c:f>'Ternary plot 6'!$O$4:$O$13</c:f>
              <c:numCache>
                <c:formatCode>0.00</c:formatCode>
                <c:ptCount val="10"/>
                <c:pt idx="0">
                  <c:v>40</c:v>
                </c:pt>
                <c:pt idx="1">
                  <c:v>30</c:v>
                </c:pt>
                <c:pt idx="2">
                  <c:v>20</c:v>
                </c:pt>
                <c:pt idx="3">
                  <c:v>10</c:v>
                </c:pt>
                <c:pt idx="4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6'!$N$15:$N$24</c:f>
              <c:numCache>
                <c:formatCode>0.00</c:formatCode>
                <c:ptCount val="10"/>
                <c:pt idx="0">
                  <c:v>91.503202577149708</c:v>
                </c:pt>
                <c:pt idx="1">
                  <c:v>86.271338632086739</c:v>
                </c:pt>
                <c:pt idx="2">
                  <c:v>80.199426549911507</c:v>
                </c:pt>
                <c:pt idx="3">
                  <c:v>74.273018481687487</c:v>
                </c:pt>
                <c:pt idx="4">
                  <c:v>68.946838660727593</c:v>
                </c:pt>
              </c:numCache>
            </c:numRef>
          </c:xVal>
          <c:yVal>
            <c:numRef>
              <c:f>'Ternary plot 6'!$O$15:$O$24</c:f>
              <c:numCache>
                <c:formatCode>0.00</c:formatCode>
                <c:ptCount val="10"/>
                <c:pt idx="0">
                  <c:v>16.993594845700567</c:v>
                </c:pt>
                <c:pt idx="1">
                  <c:v>11.718996858938842</c:v>
                </c:pt>
                <c:pt idx="2">
                  <c:v>7.1450422209449371</c:v>
                </c:pt>
                <c:pt idx="3">
                  <c:v>3.2747881631031017</c:v>
                </c:pt>
                <c:pt idx="4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6'!$N$45:$N$46</c:f>
              <c:numCache>
                <c:formatCode>0.00</c:formatCode>
                <c:ptCount val="2"/>
                <c:pt idx="0">
                  <c:v>75</c:v>
                </c:pt>
                <c:pt idx="1">
                  <c:v>86.271338632086739</c:v>
                </c:pt>
              </c:numCache>
            </c:numRef>
          </c:xVal>
          <c:yVal>
            <c:numRef>
              <c:f>'Ternary plot 6'!$O$45:$O$46</c:f>
              <c:numCache>
                <c:formatCode>0.00</c:formatCode>
                <c:ptCount val="2"/>
                <c:pt idx="0">
                  <c:v>30</c:v>
                </c:pt>
                <c:pt idx="1">
                  <c:v>11.718996858938842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6'!$N$26:$N$35</c:f>
              <c:numCache>
                <c:formatCode>0.00</c:formatCode>
                <c:ptCount val="10"/>
                <c:pt idx="0">
                  <c:v>92.66</c:v>
                </c:pt>
                <c:pt idx="1">
                  <c:v>87</c:v>
                </c:pt>
                <c:pt idx="2">
                  <c:v>80.349999999999994</c:v>
                </c:pt>
                <c:pt idx="3">
                  <c:v>73.75</c:v>
                </c:pt>
                <c:pt idx="4">
                  <c:v>66.400000000000006</c:v>
                </c:pt>
              </c:numCache>
            </c:numRef>
          </c:xVal>
          <c:yVal>
            <c:numRef>
              <c:f>'Ternary plot 6'!$O$26:$O$35</c:f>
              <c:numCache>
                <c:formatCode>0.00</c:formatCode>
                <c:ptCount val="10"/>
                <c:pt idx="0">
                  <c:v>14.680000000000007</c:v>
                </c:pt>
                <c:pt idx="1">
                  <c:v>10</c:v>
                </c:pt>
                <c:pt idx="2">
                  <c:v>6.6999999999999993</c:v>
                </c:pt>
                <c:pt idx="3">
                  <c:v>3.5</c:v>
                </c:pt>
                <c:pt idx="4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6'!$N$48:$N$49</c:f>
              <c:numCache>
                <c:formatCode>0.00</c:formatCode>
                <c:ptCount val="2"/>
                <c:pt idx="0">
                  <c:v>70</c:v>
                </c:pt>
                <c:pt idx="1">
                  <c:v>80.199426549911507</c:v>
                </c:pt>
              </c:numCache>
            </c:numRef>
          </c:xVal>
          <c:yVal>
            <c:numRef>
              <c:f>'Ternary plot 6'!$O$48:$O$49</c:f>
              <c:numCache>
                <c:formatCode>0.00</c:formatCode>
                <c:ptCount val="2"/>
                <c:pt idx="0">
                  <c:v>20</c:v>
                </c:pt>
                <c:pt idx="1">
                  <c:v>7.1450422209449371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6'!$N$51:$N$52</c:f>
              <c:numCache>
                <c:formatCode>0.00</c:formatCode>
                <c:ptCount val="2"/>
                <c:pt idx="0">
                  <c:v>65</c:v>
                </c:pt>
                <c:pt idx="1">
                  <c:v>74.273018481687487</c:v>
                </c:pt>
              </c:numCache>
            </c:numRef>
          </c:xVal>
          <c:yVal>
            <c:numRef>
              <c:f>'Ternary plot 6'!$O$51:$O$52</c:f>
              <c:numCache>
                <c:formatCode>0.00</c:formatCode>
                <c:ptCount val="2"/>
                <c:pt idx="0">
                  <c:v>10</c:v>
                </c:pt>
                <c:pt idx="1">
                  <c:v>3.2747881631031017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6'!$N$54:$N$55</c:f>
              <c:numCache>
                <c:formatCode>0.00</c:formatCode>
                <c:ptCount val="2"/>
                <c:pt idx="0">
                  <c:v>60</c:v>
                </c:pt>
                <c:pt idx="1">
                  <c:v>68.946838660727593</c:v>
                </c:pt>
              </c:numCache>
            </c:numRef>
          </c:xVal>
          <c:yVal>
            <c:numRef>
              <c:f>'Ternary plot 6'!$O$54:$O$55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6'!$N$57:$N$58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6'!$O$57:$O$58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6'!$N$60:$N$61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6'!$O$60:$O$61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6'!$N$63:$N$64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6'!$O$63:$O$64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6'!$N$66:$N$67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6'!$O$66:$O$67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5894400"/>
        <c:axId val="165896192"/>
      </c:scatterChart>
      <c:valAx>
        <c:axId val="165894400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5896192"/>
        <c:crosses val="autoZero"/>
        <c:crossBetween val="midCat"/>
        <c:majorUnit val="10"/>
      </c:valAx>
      <c:valAx>
        <c:axId val="165896192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58944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7'!$D$102:$D$181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7'!$F$102:$F$181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7'!$E$100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{AED5C461-2E37-4411-86F6-25E0C5C46276}</c15:txfldGUID>
                      <c15:f>'Ternary plot 7'!$E$100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7'!$E$99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{C3B4F251-49F4-4871-8B6B-E6C069C85760}</c15:txfldGUID>
                      <c15:f>'Ternary plot 7'!$E$99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7'!$E$98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{9966DF7B-6595-4B5A-978B-CDF6F6B54A04}</c15:txfldGUID>
                      <c15:f>'Ternary plot 7'!$E$98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7'!$E$97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{72A4419F-D942-4BA4-8C38-9D9FCC7CE9CC}</c15:txfldGUID>
                      <c15:f>'Ternary plot 7'!$E$97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7'!$E$96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{D2F05FB0-6CD5-4C1C-8EC7-1EDD32265B23}</c15:txfldGUID>
                      <c15:f>'Ternary plot 7'!$E$96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7'!$E$95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{393BF747-3F3C-48B6-A5E5-1CA69F96FCB3}</c15:txfldGUID>
                      <c15:f>'Ternary plot 7'!$E$95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7'!$E$94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{0CB66CF1-B128-41BB-8907-F0FF44303FFA}</c15:txfldGUID>
                      <c15:f>'Ternary plot 7'!$E$94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7'!$E$93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{6D0A3227-763E-46D7-839B-FCF471A096B8}</c15:txfldGUID>
                      <c15:f>'Ternary plot 7'!$E$93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7'!$E$92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{F7E3C60E-30A0-4E83-AD39-E7AB607E492A}</c15:txfldGUID>
                      <c15:f>'Ternary plot 7'!$E$92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7'!$E$91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{7A5CD829-4A6F-4BFC-A6AA-FE45ACA28C47}</c15:txfldGUID>
                      <c15:f>'Ternary plot 7'!$E$91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7'!$F$100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{F9CB6BD9-1753-404B-B64F-DB599682F094}</c15:txfldGUID>
                      <c15:f>'Ternary plot 7'!$F$100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7'!$D$90:$D$100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7'!$E$90:$E$100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7'!$D$78:$D$88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7'!$F$78:$F$88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7'!$N$4:$N$13</c:f>
              <c:numCache>
                <c:formatCode>0.00</c:formatCode>
                <c:ptCount val="10"/>
                <c:pt idx="0">
                  <c:v>85</c:v>
                </c:pt>
                <c:pt idx="1">
                  <c:v>80</c:v>
                </c:pt>
                <c:pt idx="2">
                  <c:v>75</c:v>
                </c:pt>
                <c:pt idx="3">
                  <c:v>70</c:v>
                </c:pt>
              </c:numCache>
            </c:numRef>
          </c:xVal>
          <c:yVal>
            <c:numRef>
              <c:f>'Ternary plot 7'!$O$4:$O$13</c:f>
              <c:numCache>
                <c:formatCode>0.00</c:formatCode>
                <c:ptCount val="10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7'!$N$15:$N$24</c:f>
              <c:numCache>
                <c:formatCode>0.00</c:formatCode>
                <c:ptCount val="10"/>
                <c:pt idx="0">
                  <c:v>92.76086721756495</c:v>
                </c:pt>
                <c:pt idx="1">
                  <c:v>86.769860435222043</c:v>
                </c:pt>
                <c:pt idx="2">
                  <c:v>80.480876246110583</c:v>
                </c:pt>
                <c:pt idx="3">
                  <c:v>74.751625903873943</c:v>
                </c:pt>
              </c:numCache>
            </c:numRef>
          </c:xVal>
          <c:yVal>
            <c:numRef>
              <c:f>'Ternary plot 7'!$O$15:$O$24</c:f>
              <c:numCache>
                <c:formatCode>0.00</c:formatCode>
                <c:ptCount val="10"/>
                <c:pt idx="0">
                  <c:v>14.47826556487013</c:v>
                </c:pt>
                <c:pt idx="1">
                  <c:v>8.4538227880342571</c:v>
                </c:pt>
                <c:pt idx="2">
                  <c:v>3.7173679072092893</c:v>
                </c:pt>
                <c:pt idx="3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7'!$N$45:$N$46</c:f>
              <c:numCache>
                <c:formatCode>0.00</c:formatCode>
                <c:ptCount val="2"/>
                <c:pt idx="0">
                  <c:v>80</c:v>
                </c:pt>
                <c:pt idx="1">
                  <c:v>86.769860435222043</c:v>
                </c:pt>
              </c:numCache>
            </c:numRef>
          </c:xVal>
          <c:yVal>
            <c:numRef>
              <c:f>'Ternary plot 7'!$O$45:$O$46</c:f>
              <c:numCache>
                <c:formatCode>0.00</c:formatCode>
                <c:ptCount val="2"/>
                <c:pt idx="0">
                  <c:v>20</c:v>
                </c:pt>
                <c:pt idx="1">
                  <c:v>8.4538227880342571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7'!$N$26:$N$35</c:f>
              <c:numCache>
                <c:formatCode>0.00</c:formatCode>
                <c:ptCount val="10"/>
                <c:pt idx="0">
                  <c:v>93.56</c:v>
                </c:pt>
                <c:pt idx="1">
                  <c:v>86.6</c:v>
                </c:pt>
                <c:pt idx="2">
                  <c:v>79.7</c:v>
                </c:pt>
                <c:pt idx="3">
                  <c:v>73.3</c:v>
                </c:pt>
              </c:numCache>
            </c:numRef>
          </c:xVal>
          <c:yVal>
            <c:numRef>
              <c:f>'Ternary plot 7'!$O$26:$O$35</c:f>
              <c:numCache>
                <c:formatCode>0.00</c:formatCode>
                <c:ptCount val="10"/>
                <c:pt idx="0">
                  <c:v>12.879999999999995</c:v>
                </c:pt>
                <c:pt idx="1">
                  <c:v>7.8000000000000114</c:v>
                </c:pt>
                <c:pt idx="2">
                  <c:v>3.8000000000000043</c:v>
                </c:pt>
                <c:pt idx="3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7'!$N$48:$N$49</c:f>
              <c:numCache>
                <c:formatCode>0.00</c:formatCode>
                <c:ptCount val="2"/>
                <c:pt idx="0">
                  <c:v>75</c:v>
                </c:pt>
                <c:pt idx="1">
                  <c:v>80.480876246110583</c:v>
                </c:pt>
              </c:numCache>
            </c:numRef>
          </c:xVal>
          <c:yVal>
            <c:numRef>
              <c:f>'Ternary plot 7'!$O$48:$O$49</c:f>
              <c:numCache>
                <c:formatCode>0.00</c:formatCode>
                <c:ptCount val="2"/>
                <c:pt idx="0">
                  <c:v>10</c:v>
                </c:pt>
                <c:pt idx="1">
                  <c:v>3.7173679072092893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7'!$N$51:$N$52</c:f>
              <c:numCache>
                <c:formatCode>0.00</c:formatCode>
                <c:ptCount val="2"/>
                <c:pt idx="0">
                  <c:v>70</c:v>
                </c:pt>
                <c:pt idx="1">
                  <c:v>74.751625903873943</c:v>
                </c:pt>
              </c:numCache>
            </c:numRef>
          </c:xVal>
          <c:yVal>
            <c:numRef>
              <c:f>'Ternary plot 7'!$O$51:$O$52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7'!$N$54:$N$55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7'!$O$54:$O$55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7'!$N$57:$N$58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7'!$O$57:$O$58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7'!$N$60:$N$61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7'!$O$60:$O$61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7'!$N$63:$N$64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7'!$O$63:$O$64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7'!$N$66:$N$67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7'!$O$66:$O$67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0611328"/>
        <c:axId val="160764672"/>
      </c:scatterChart>
      <c:valAx>
        <c:axId val="160611328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0764672"/>
        <c:crosses val="autoZero"/>
        <c:crossBetween val="midCat"/>
        <c:majorUnit val="10"/>
      </c:valAx>
      <c:valAx>
        <c:axId val="160764672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06113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56250000000028E-2"/>
          <c:y val="3.2608730265720816E-2"/>
          <c:w val="0.86328125000000022"/>
          <c:h val="0.84347915620664504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elete val="1"/>
          </c:dLbls>
          <c:xVal>
            <c:numRef>
              <c:f>'Ternary plot 8'!$D$102:$D$181</c:f>
              <c:numCache>
                <c:formatCode>General</c:formatCode>
                <c:ptCount val="80"/>
                <c:pt idx="0">
                  <c:v>55</c:v>
                </c:pt>
                <c:pt idx="1">
                  <c:v>45</c:v>
                </c:pt>
                <c:pt idx="3">
                  <c:v>60</c:v>
                </c:pt>
                <c:pt idx="4">
                  <c:v>40</c:v>
                </c:pt>
                <c:pt idx="6">
                  <c:v>65</c:v>
                </c:pt>
                <c:pt idx="7">
                  <c:v>35</c:v>
                </c:pt>
                <c:pt idx="9">
                  <c:v>70</c:v>
                </c:pt>
                <c:pt idx="10">
                  <c:v>30</c:v>
                </c:pt>
                <c:pt idx="12">
                  <c:v>75</c:v>
                </c:pt>
                <c:pt idx="13">
                  <c:v>25</c:v>
                </c:pt>
                <c:pt idx="15">
                  <c:v>80</c:v>
                </c:pt>
                <c:pt idx="16">
                  <c:v>20</c:v>
                </c:pt>
                <c:pt idx="18">
                  <c:v>85</c:v>
                </c:pt>
                <c:pt idx="19">
                  <c:v>15</c:v>
                </c:pt>
                <c:pt idx="21">
                  <c:v>90</c:v>
                </c:pt>
                <c:pt idx="22">
                  <c:v>10</c:v>
                </c:pt>
                <c:pt idx="24">
                  <c:v>95</c:v>
                </c:pt>
                <c:pt idx="25">
                  <c:v>5</c:v>
                </c:pt>
                <c:pt idx="27">
                  <c:v>95</c:v>
                </c:pt>
                <c:pt idx="28">
                  <c:v>90</c:v>
                </c:pt>
                <c:pt idx="30">
                  <c:v>90</c:v>
                </c:pt>
                <c:pt idx="31">
                  <c:v>80</c:v>
                </c:pt>
                <c:pt idx="33">
                  <c:v>85</c:v>
                </c:pt>
                <c:pt idx="34">
                  <c:v>70</c:v>
                </c:pt>
                <c:pt idx="36">
                  <c:v>80</c:v>
                </c:pt>
                <c:pt idx="37">
                  <c:v>60</c:v>
                </c:pt>
                <c:pt idx="39">
                  <c:v>75</c:v>
                </c:pt>
                <c:pt idx="40">
                  <c:v>50</c:v>
                </c:pt>
                <c:pt idx="42">
                  <c:v>70</c:v>
                </c:pt>
                <c:pt idx="43">
                  <c:v>40</c:v>
                </c:pt>
                <c:pt idx="45">
                  <c:v>65</c:v>
                </c:pt>
                <c:pt idx="46">
                  <c:v>30</c:v>
                </c:pt>
                <c:pt idx="48">
                  <c:v>60</c:v>
                </c:pt>
                <c:pt idx="49">
                  <c:v>20</c:v>
                </c:pt>
                <c:pt idx="51">
                  <c:v>55</c:v>
                </c:pt>
                <c:pt idx="52">
                  <c:v>10</c:v>
                </c:pt>
                <c:pt idx="54">
                  <c:v>5</c:v>
                </c:pt>
                <c:pt idx="55">
                  <c:v>10</c:v>
                </c:pt>
                <c:pt idx="57">
                  <c:v>10</c:v>
                </c:pt>
                <c:pt idx="58">
                  <c:v>20</c:v>
                </c:pt>
                <c:pt idx="60">
                  <c:v>15</c:v>
                </c:pt>
                <c:pt idx="61">
                  <c:v>30</c:v>
                </c:pt>
                <c:pt idx="63">
                  <c:v>20</c:v>
                </c:pt>
                <c:pt idx="64">
                  <c:v>40</c:v>
                </c:pt>
                <c:pt idx="66">
                  <c:v>25</c:v>
                </c:pt>
                <c:pt idx="67">
                  <c:v>50</c:v>
                </c:pt>
                <c:pt idx="69">
                  <c:v>30</c:v>
                </c:pt>
                <c:pt idx="70">
                  <c:v>60</c:v>
                </c:pt>
                <c:pt idx="72">
                  <c:v>35</c:v>
                </c:pt>
                <c:pt idx="73">
                  <c:v>70</c:v>
                </c:pt>
                <c:pt idx="75">
                  <c:v>40</c:v>
                </c:pt>
                <c:pt idx="76">
                  <c:v>80</c:v>
                </c:pt>
                <c:pt idx="78">
                  <c:v>45</c:v>
                </c:pt>
                <c:pt idx="79">
                  <c:v>90</c:v>
                </c:pt>
              </c:numCache>
            </c:numRef>
          </c:xVal>
          <c:yVal>
            <c:numRef>
              <c:f>'Ternary plot 8'!$F$102:$F$181</c:f>
              <c:numCache>
                <c:formatCode>General</c:formatCode>
                <c:ptCount val="80"/>
                <c:pt idx="0">
                  <c:v>90</c:v>
                </c:pt>
                <c:pt idx="1">
                  <c:v>90</c:v>
                </c:pt>
                <c:pt idx="3">
                  <c:v>80</c:v>
                </c:pt>
                <c:pt idx="4">
                  <c:v>80</c:v>
                </c:pt>
                <c:pt idx="6">
                  <c:v>70</c:v>
                </c:pt>
                <c:pt idx="7">
                  <c:v>70</c:v>
                </c:pt>
                <c:pt idx="9">
                  <c:v>60</c:v>
                </c:pt>
                <c:pt idx="10">
                  <c:v>60</c:v>
                </c:pt>
                <c:pt idx="12">
                  <c:v>50</c:v>
                </c:pt>
                <c:pt idx="13">
                  <c:v>50</c:v>
                </c:pt>
                <c:pt idx="15">
                  <c:v>40</c:v>
                </c:pt>
                <c:pt idx="16">
                  <c:v>40</c:v>
                </c:pt>
                <c:pt idx="18">
                  <c:v>30</c:v>
                </c:pt>
                <c:pt idx="19">
                  <c:v>30</c:v>
                </c:pt>
                <c:pt idx="21">
                  <c:v>20</c:v>
                </c:pt>
                <c:pt idx="22">
                  <c:v>20</c:v>
                </c:pt>
                <c:pt idx="24">
                  <c:v>10</c:v>
                </c:pt>
                <c:pt idx="25">
                  <c:v>10</c:v>
                </c:pt>
                <c:pt idx="27">
                  <c:v>10</c:v>
                </c:pt>
                <c:pt idx="28">
                  <c:v>0</c:v>
                </c:pt>
                <c:pt idx="30">
                  <c:v>20</c:v>
                </c:pt>
                <c:pt idx="31">
                  <c:v>0</c:v>
                </c:pt>
                <c:pt idx="33">
                  <c:v>30</c:v>
                </c:pt>
                <c:pt idx="34">
                  <c:v>0</c:v>
                </c:pt>
                <c:pt idx="36">
                  <c:v>40</c:v>
                </c:pt>
                <c:pt idx="37">
                  <c:v>0</c:v>
                </c:pt>
                <c:pt idx="39">
                  <c:v>50</c:v>
                </c:pt>
                <c:pt idx="40">
                  <c:v>0</c:v>
                </c:pt>
                <c:pt idx="42">
                  <c:v>60</c:v>
                </c:pt>
                <c:pt idx="43">
                  <c:v>0</c:v>
                </c:pt>
                <c:pt idx="45">
                  <c:v>70</c:v>
                </c:pt>
                <c:pt idx="46">
                  <c:v>0</c:v>
                </c:pt>
                <c:pt idx="48">
                  <c:v>80</c:v>
                </c:pt>
                <c:pt idx="49">
                  <c:v>0</c:v>
                </c:pt>
                <c:pt idx="51">
                  <c:v>90</c:v>
                </c:pt>
                <c:pt idx="52">
                  <c:v>0</c:v>
                </c:pt>
                <c:pt idx="54">
                  <c:v>10</c:v>
                </c:pt>
                <c:pt idx="55">
                  <c:v>0</c:v>
                </c:pt>
                <c:pt idx="57">
                  <c:v>20</c:v>
                </c:pt>
                <c:pt idx="58">
                  <c:v>0</c:v>
                </c:pt>
                <c:pt idx="60">
                  <c:v>30</c:v>
                </c:pt>
                <c:pt idx="61">
                  <c:v>0</c:v>
                </c:pt>
                <c:pt idx="63">
                  <c:v>40</c:v>
                </c:pt>
                <c:pt idx="64">
                  <c:v>0</c:v>
                </c:pt>
                <c:pt idx="66">
                  <c:v>50</c:v>
                </c:pt>
                <c:pt idx="67">
                  <c:v>0</c:v>
                </c:pt>
                <c:pt idx="69">
                  <c:v>60</c:v>
                </c:pt>
                <c:pt idx="70">
                  <c:v>0</c:v>
                </c:pt>
                <c:pt idx="72">
                  <c:v>70</c:v>
                </c:pt>
                <c:pt idx="73">
                  <c:v>0</c:v>
                </c:pt>
                <c:pt idx="75">
                  <c:v>80</c:v>
                </c:pt>
                <c:pt idx="76">
                  <c:v>0</c:v>
                </c:pt>
                <c:pt idx="78">
                  <c:v>90</c:v>
                </c:pt>
                <c:pt idx="79">
                  <c:v>0</c:v>
                </c:pt>
              </c:numCache>
            </c:numRef>
          </c:yVal>
          <c:smooth val="0"/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'Ternary plot 8'!$E$100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{41F195FB-0182-475B-82BE-6980E6BBBB90}</c15:txfldGUID>
                      <c15:f>'Ternary plot 8'!$E$100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'Ternary plot 8'!$E$99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{088437D5-1B35-49AB-84D9-3AF91935702E}</c15:txfldGUID>
                      <c15:f>'Ternary plot 8'!$E$99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'Ternary plot 8'!$E$98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{3B5B4E86-D1D7-43AA-B1BF-58CB201B6278}</c15:txfldGUID>
                      <c15:f>'Ternary plot 8'!$E$98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'Ternary plot 8'!$E$97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{554D5E87-2785-4AFB-B204-8737538F547B}</c15:txfldGUID>
                      <c15:f>'Ternary plot 8'!$E$97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'Ternary plot 8'!$E$96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{D5716D22-2FDE-4716-A324-06CB5CB4D8B8}</c15:txfldGUID>
                      <c15:f>'Ternary plot 8'!$E$96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'Ternary plot 8'!$E$95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{F7A27AC5-8B6C-45BB-B571-34F1C31E7344}</c15:txfldGUID>
                      <c15:f>'Ternary plot 8'!$E$95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'Ternary plot 8'!$E$94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{00652273-C549-4C22-9C7D-58063203C185}</c15:txfldGUID>
                      <c15:f>'Ternary plot 8'!$E$94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'Ternary plot 8'!$E$93</c:f>
                  <c:strCache>
                    <c:ptCount val="1"/>
                    <c:pt idx="0">
                      <c:v>70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{389A776D-3AF6-4A0E-8F03-1D125BCC4947}</c15:txfldGUID>
                      <c15:f>'Ternary plot 8'!$E$93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'Ternary plot 8'!$E$92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{2F9AD4AD-005D-4C8E-BA42-986998E98B33}</c15:txfldGUID>
                      <c15:f>'Ternary plot 8'!$E$92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'Ternary plot 8'!$E$91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{40677372-1E82-43EB-81E0-F7F8BB9BAEE8}</c15:txfldGUID>
                      <c15:f>'Ternary plot 8'!$E$91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'Ternary plot 8'!$F$100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{6E7D9C30-42DB-4DC5-A5F7-9439496A219C}</c15:txfldGUID>
                      <c15:f>'Ternary plot 8'!$F$100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'Ternary plot 8'!$D$90:$D$100</c:f>
              <c:numCache>
                <c:formatCode>General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'Ternary plot 8'!$E$90:$E$100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/>
                </a:pPr>
                <a:endParaRPr lang="sk-S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'Ternary plot 8'!$D$78:$D$88</c:f>
              <c:numCache>
                <c:formatCode>General</c:formatCode>
                <c:ptCount val="1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</c:numCache>
            </c:numRef>
          </c:xVal>
          <c:yVal>
            <c:numRef>
              <c:f>'Ternary plot 8'!$F$78:$F$88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Liquid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7"/>
            <c:spPr>
              <a:noFill/>
              <a:ln w="19050">
                <a:solidFill>
                  <a:srgbClr val="C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'Ternary plot 8'!$N$4:$N$13</c:f>
              <c:numCache>
                <c:formatCode>0.00</c:formatCode>
                <c:ptCount val="10"/>
                <c:pt idx="0">
                  <c:v>90</c:v>
                </c:pt>
                <c:pt idx="1">
                  <c:v>85</c:v>
                </c:pt>
                <c:pt idx="2">
                  <c:v>80</c:v>
                </c:pt>
              </c:numCache>
            </c:numRef>
          </c:xVal>
          <c:yVal>
            <c:numRef>
              <c:f>'Ternary plot 8'!$O$4:$O$13</c:f>
              <c:numCache>
                <c:formatCode>0.00</c:formatCode>
                <c:ptCount val="10"/>
                <c:pt idx="0">
                  <c:v>20</c:v>
                </c:pt>
                <c:pt idx="1">
                  <c:v>10</c:v>
                </c:pt>
                <c:pt idx="2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v>Vapour</c:v>
          </c:tx>
          <c:spPr>
            <a:ln w="12700">
              <a:solidFill>
                <a:schemeClr val="accent1"/>
              </a:solidFill>
              <a:prstDash val="solid"/>
            </a:ln>
          </c:spPr>
          <c:marker>
            <c:symbol val="x"/>
            <c:size val="7"/>
            <c:spPr>
              <a:ln w="19050">
                <a:solidFill>
                  <a:schemeClr val="accent1"/>
                </a:solidFill>
              </a:ln>
            </c:spPr>
          </c:marker>
          <c:dLbls>
            <c:delete val="1"/>
          </c:dLbls>
          <c:xVal>
            <c:numRef>
              <c:f>'Ternary plot 8'!$N$15:$N$24</c:f>
              <c:numCache>
                <c:formatCode>0.00</c:formatCode>
                <c:ptCount val="10"/>
                <c:pt idx="0">
                  <c:v>94.529926629661986</c:v>
                </c:pt>
                <c:pt idx="1">
                  <c:v>87.118728340248282</c:v>
                </c:pt>
                <c:pt idx="2">
                  <c:v>80.336724550826617</c:v>
                </c:pt>
              </c:numCache>
            </c:numRef>
          </c:xVal>
          <c:yVal>
            <c:numRef>
              <c:f>'Ternary plot 8'!$O$15:$O$24</c:f>
              <c:numCache>
                <c:formatCode>0.00</c:formatCode>
                <c:ptCount val="10"/>
                <c:pt idx="0">
                  <c:v>10.940146740675985</c:v>
                </c:pt>
                <c:pt idx="1">
                  <c:v>4.5411789588138971</c:v>
                </c:pt>
                <c:pt idx="2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Tie Lines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8'!$N$45:$N$46</c:f>
              <c:numCache>
                <c:formatCode>0.00</c:formatCode>
                <c:ptCount val="2"/>
                <c:pt idx="0">
                  <c:v>85</c:v>
                </c:pt>
                <c:pt idx="1">
                  <c:v>87.118728340248282</c:v>
                </c:pt>
              </c:numCache>
            </c:numRef>
          </c:xVal>
          <c:yVal>
            <c:numRef>
              <c:f>'Ternary plot 8'!$O$45:$O$46</c:f>
              <c:numCache>
                <c:formatCode>0.00</c:formatCode>
                <c:ptCount val="2"/>
                <c:pt idx="0">
                  <c:v>10</c:v>
                </c:pt>
                <c:pt idx="1">
                  <c:v>4.5411789588138971</c:v>
                </c:pt>
              </c:numCache>
            </c:numRef>
          </c:yVal>
          <c:smooth val="0"/>
        </c:ser>
        <c:ser>
          <c:idx val="9"/>
          <c:order val="6"/>
          <c:tx>
            <c:v>Literature</c:v>
          </c:tx>
          <c:spPr>
            <a:ln>
              <a:noFill/>
            </a:ln>
          </c:spPr>
          <c:marker>
            <c:symbol val="square"/>
            <c:size val="8"/>
            <c:spPr>
              <a:noFill/>
              <a:ln w="15875">
                <a:solidFill>
                  <a:schemeClr val="tx1"/>
                </a:solidFill>
              </a:ln>
            </c:spPr>
          </c:marker>
          <c:dLbls>
            <c:delete val="1"/>
          </c:dLbls>
          <c:xVal>
            <c:numRef>
              <c:f>'Ternary plot 8'!$N$26:$N$35</c:f>
              <c:numCache>
                <c:formatCode>0.00</c:formatCode>
                <c:ptCount val="10"/>
                <c:pt idx="0">
                  <c:v>94.75</c:v>
                </c:pt>
                <c:pt idx="1">
                  <c:v>88</c:v>
                </c:pt>
                <c:pt idx="2">
                  <c:v>80</c:v>
                </c:pt>
              </c:numCache>
            </c:numRef>
          </c:xVal>
          <c:yVal>
            <c:numRef>
              <c:f>'Ternary plot 8'!$O$26:$O$35</c:f>
              <c:numCache>
                <c:formatCode>0.00</c:formatCode>
                <c:ptCount val="10"/>
                <c:pt idx="0">
                  <c:v>10.5</c:v>
                </c:pt>
                <c:pt idx="1">
                  <c:v>4</c:v>
                </c:pt>
                <c:pt idx="2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v>Tie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8'!$N$48:$N$49</c:f>
              <c:numCache>
                <c:formatCode>0.00</c:formatCode>
                <c:ptCount val="2"/>
                <c:pt idx="0">
                  <c:v>80</c:v>
                </c:pt>
                <c:pt idx="1">
                  <c:v>80.336724550826617</c:v>
                </c:pt>
              </c:numCache>
            </c:numRef>
          </c:xVal>
          <c:yVal>
            <c:numRef>
              <c:f>'Ternary plot 8'!$O$48:$O$49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7"/>
          <c:order val="8"/>
          <c:tx>
            <c:v>Tie line 3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8'!$N$51:$N$52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8'!$O$51:$O$52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v>Tie line 4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8'!$N$54:$N$55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8'!$O$54:$O$55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0"/>
          <c:tx>
            <c:v>Tie line 5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8'!$N$57:$N$58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8'!$O$57:$O$58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2"/>
          <c:order val="11"/>
          <c:tx>
            <c:v>Tie line 6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8'!$N$60:$N$61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8'!$O$60:$O$61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v>Tie line 7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8'!$N$63:$N$64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8'!$O$63:$O$64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13"/>
          <c:tx>
            <c:v>Tie line 8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elete val="1"/>
          </c:dLbls>
          <c:xVal>
            <c:numRef>
              <c:f>'Ternary plot 8'!$N$66:$N$67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'Ternary plot 8'!$O$66:$O$67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66223872"/>
        <c:axId val="166225408"/>
      </c:scatterChart>
      <c:valAx>
        <c:axId val="166223872"/>
        <c:scaling>
          <c:orientation val="minMax"/>
          <c:max val="10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/>
            </a:pPr>
            <a:endParaRPr lang="sk-SK"/>
          </a:p>
        </c:txPr>
        <c:crossAx val="166225408"/>
        <c:crosses val="autoZero"/>
        <c:crossBetween val="midCat"/>
        <c:majorUnit val="10"/>
      </c:valAx>
      <c:valAx>
        <c:axId val="166225408"/>
        <c:scaling>
          <c:orientation val="minMax"/>
          <c:max val="100"/>
        </c:scaling>
        <c:delete val="1"/>
        <c:axPos val="l"/>
        <c:numFmt formatCode="General" sourceLinked="1"/>
        <c:majorTickMark val="cross"/>
        <c:minorTickMark val="none"/>
        <c:tickLblPos val="none"/>
        <c:crossAx val="1662238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5277201591872778E-3"/>
          <c:y val="1.9464173842544254E-2"/>
          <c:w val="0.23202966515406759"/>
          <c:h val="0.59708706458494565"/>
        </c:manualLayout>
      </c:layout>
      <c:overlay val="0"/>
      <c:txPr>
        <a:bodyPr/>
        <a:lstStyle/>
        <a:p>
          <a:pPr>
            <a:defRPr sz="1200"/>
          </a:pPr>
          <a:endParaRPr lang="sk-SK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+mn-lt"/>
          <a:ea typeface="Verdana"/>
          <a:cs typeface="Verdana"/>
        </a:defRPr>
      </a:pPr>
      <a:endParaRPr lang="sk-SK"/>
    </a:p>
  </c:txPr>
  <c:printSettings>
    <c:headerFooter alignWithMargins="0">
      <c:oddHeader>&amp;CExtended UNIQUAC&amp;R&amp;D</c:oddHeader>
    </c:headerFooter>
    <c:pageMargins b="0.98425196850393681" l="0.74803149606299235" r="0.74803149606299235" t="0.98425196850393681" header="0.51181102362204722" footer="0.51181102362204722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94295</xdr:colOff>
      <xdr:row>30</xdr:row>
      <xdr:rowOff>94631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638095" cy="49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3" name="Straight Arrow Connector 2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4" name="Straight Arrow Connector 3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5" name="Straight Arrow Connector 4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1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1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1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2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2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2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3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3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3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4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4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4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5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5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5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6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6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6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7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7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7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519401</xdr:colOff>
      <xdr:row>32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241189</xdr:colOff>
      <xdr:row>9</xdr:row>
      <xdr:rowOff>187171</xdr:rowOff>
    </xdr:from>
    <xdr:to>
      <xdr:col>2</xdr:col>
      <xdr:colOff>382271</xdr:colOff>
      <xdr:row>19</xdr:row>
      <xdr:rowOff>121227</xdr:rowOff>
    </xdr:to>
    <xdr:sp macro="" textlink="">
      <xdr:nvSpPr>
        <xdr:cNvPr id="3" name="Rectangle 2"/>
        <xdr:cNvSpPr/>
      </xdr:nvSpPr>
      <xdr:spPr bwMode="auto">
        <a:xfrm>
          <a:off x="241189" y="1901671"/>
          <a:ext cx="1226932" cy="18390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226372</xdr:colOff>
      <xdr:row>0</xdr:row>
      <xdr:rowOff>104809</xdr:rowOff>
    </xdr:from>
    <xdr:to>
      <xdr:col>2</xdr:col>
      <xdr:colOff>367454</xdr:colOff>
      <xdr:row>4</xdr:row>
      <xdr:rowOff>157726</xdr:rowOff>
    </xdr:to>
    <xdr:sp macro="" textlink="">
      <xdr:nvSpPr>
        <xdr:cNvPr id="4" name="Rectangle 3"/>
        <xdr:cNvSpPr/>
      </xdr:nvSpPr>
      <xdr:spPr bwMode="auto">
        <a:xfrm>
          <a:off x="226372" y="104809"/>
          <a:ext cx="1226932" cy="814917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10584</xdr:colOff>
      <xdr:row>5</xdr:row>
      <xdr:rowOff>169334</xdr:rowOff>
    </xdr:from>
    <xdr:to>
      <xdr:col>10</xdr:col>
      <xdr:colOff>1209</xdr:colOff>
      <xdr:row>5</xdr:row>
      <xdr:rowOff>169334</xdr:rowOff>
    </xdr:to>
    <xdr:cxnSp macro="">
      <xdr:nvCxnSpPr>
        <xdr:cNvPr id="5" name="Straight Arrow Connector 4"/>
        <xdr:cNvCxnSpPr/>
      </xdr:nvCxnSpPr>
      <xdr:spPr bwMode="auto">
        <a:xfrm flipH="1">
          <a:off x="4896909" y="1121834"/>
          <a:ext cx="333525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176815</xdr:colOff>
      <xdr:row>29</xdr:row>
      <xdr:rowOff>138566</xdr:rowOff>
    </xdr:from>
    <xdr:to>
      <xdr:col>6</xdr:col>
      <xdr:colOff>176815</xdr:colOff>
      <xdr:row>31</xdr:row>
      <xdr:rowOff>81566</xdr:rowOff>
    </xdr:to>
    <xdr:cxnSp macro="">
      <xdr:nvCxnSpPr>
        <xdr:cNvPr id="6" name="Straight Arrow Connector 5"/>
        <xdr:cNvCxnSpPr/>
      </xdr:nvCxnSpPr>
      <xdr:spPr bwMode="auto">
        <a:xfrm rot="7200000" flipH="1">
          <a:off x="3272365" y="5825066"/>
          <a:ext cx="324000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217239</xdr:colOff>
      <xdr:row>21</xdr:row>
      <xdr:rowOff>176257</xdr:rowOff>
    </xdr:from>
    <xdr:to>
      <xdr:col>1</xdr:col>
      <xdr:colOff>217239</xdr:colOff>
      <xdr:row>23</xdr:row>
      <xdr:rowOff>123353</xdr:rowOff>
    </xdr:to>
    <xdr:cxnSp macro="">
      <xdr:nvCxnSpPr>
        <xdr:cNvPr id="7" name="Straight Arrow Connector 6"/>
        <xdr:cNvCxnSpPr/>
      </xdr:nvCxnSpPr>
      <xdr:spPr bwMode="auto">
        <a:xfrm rot="14400000" flipH="1">
          <a:off x="596116" y="4340805"/>
          <a:ext cx="328096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0.50358</cdr:x>
      <cdr:y>0.93357</cdr:y>
    </cdr:from>
    <cdr:to>
      <cdr:x>0.7465</cdr:x>
      <cdr:y>0.98053</cdr:y>
    </cdr:to>
    <cdr:sp macro="" textlink="'Ternary plot 8'!$Q$2">
      <cdr:nvSpPr>
        <cdr:cNvPr id="204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608618" y="5699935"/>
          <a:ext cx="1740758" cy="286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0" tIns="22860" rIns="36576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D8E4D25-3F52-425E-B2A2-CF6D531BEBEC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Acetone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0.60824</cdr:x>
      <cdr:y>0.13364</cdr:y>
    </cdr:from>
    <cdr:to>
      <cdr:x>0.88572</cdr:x>
      <cdr:y>0.17571</cdr:y>
    </cdr:to>
    <cdr:sp macro="" textlink="'Ternary plot 8'!$S$2">
      <cdr:nvSpPr>
        <cdr:cNvPr id="2051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358657" y="815941"/>
          <a:ext cx="1988415" cy="256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D4A8BECD-704C-4E98-B11F-82CC2749D9B2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H2O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  <cdr:relSizeAnchor xmlns:cdr="http://schemas.openxmlformats.org/drawingml/2006/chartDrawing">
    <cdr:from>
      <cdr:x>0</cdr:x>
      <cdr:y>0.63152</cdr:y>
    </cdr:from>
    <cdr:to>
      <cdr:x>0.19245</cdr:x>
      <cdr:y>0.67701</cdr:y>
    </cdr:to>
    <cdr:sp macro="" textlink="'Ternary plot 8'!$R$2">
      <cdr:nvSpPr>
        <cdr:cNvPr id="2050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0" y="3855749"/>
          <a:ext cx="1407583" cy="2777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90507FE-5966-468A-A320-962259E593DD}" type="TxLink">
            <a:rPr lang="en-US" sz="11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l" rtl="0">
              <a:defRPr sz="1000"/>
            </a:pPr>
            <a:t>MeOH (mol%)</a:t>
          </a:fld>
          <a:endParaRPr lang="en-US" sz="1100" b="1" i="0" strike="noStrike">
            <a:solidFill>
              <a:srgbClr val="000000"/>
            </a:solidFill>
            <a:latin typeface="Verdana"/>
            <a:ea typeface="Verdana"/>
            <a:cs typeface="Verdana"/>
          </a:endParaRPr>
        </a:p>
      </cdr:txBody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1</xdr:col>
      <xdr:colOff>827733</xdr:colOff>
      <xdr:row>9</xdr:row>
      <xdr:rowOff>106284</xdr:rowOff>
    </xdr:to>
    <xdr:pic>
      <xdr:nvPicPr>
        <xdr:cNvPr id="2" name="Picture 1" descr="https://licensebuttons.net/l/by-nc/3.0/88x31.p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513533" cy="50633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31" workbookViewId="0">
      <selection activeCell="L60" sqref="L6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1016"/>
  <sheetViews>
    <sheetView tabSelected="1" topLeftCell="V52" zoomScaleNormal="100" workbookViewId="0">
      <selection activeCell="A13" sqref="A13:AL67"/>
    </sheetView>
  </sheetViews>
  <sheetFormatPr defaultColWidth="7.75" defaultRowHeight="15" x14ac:dyDescent="0.25"/>
  <cols>
    <col min="1" max="1" width="9" style="2" customWidth="1"/>
    <col min="2" max="2" width="7.75" style="2" customWidth="1"/>
    <col min="3" max="3" width="8.875" style="2" customWidth="1"/>
    <col min="4" max="4" width="8.75" style="2" customWidth="1"/>
    <col min="5" max="50" width="7.75" style="2" customWidth="1"/>
    <col min="51" max="16384" width="7.75" style="2"/>
  </cols>
  <sheetData>
    <row r="1" spans="1:38" x14ac:dyDescent="0.25">
      <c r="A1" s="1" t="s">
        <v>0</v>
      </c>
      <c r="M1" s="1" t="s">
        <v>1</v>
      </c>
    </row>
    <row r="2" spans="1:38" x14ac:dyDescent="0.25">
      <c r="A2" s="3" t="s">
        <v>2</v>
      </c>
      <c r="D2" s="3"/>
    </row>
    <row r="3" spans="1:38" x14ac:dyDescent="0.25">
      <c r="M3" s="3" t="s">
        <v>3</v>
      </c>
      <c r="N3" s="3" t="s">
        <v>4</v>
      </c>
    </row>
    <row r="4" spans="1:38" ht="18" x14ac:dyDescent="0.35">
      <c r="B4" s="1" t="s">
        <v>5</v>
      </c>
      <c r="F4" s="1" t="s">
        <v>6</v>
      </c>
      <c r="M4" s="3" t="s">
        <v>7</v>
      </c>
      <c r="N4" s="3" t="s">
        <v>8</v>
      </c>
    </row>
    <row r="5" spans="1:38" ht="18" x14ac:dyDescent="0.35">
      <c r="M5" s="3" t="s">
        <v>9</v>
      </c>
      <c r="N5" s="3" t="s">
        <v>10</v>
      </c>
    </row>
    <row r="6" spans="1:38" x14ac:dyDescent="0.25">
      <c r="B6" s="3" t="s">
        <v>11</v>
      </c>
      <c r="C6" s="3" t="s">
        <v>12</v>
      </c>
      <c r="D6" s="3" t="s">
        <v>13</v>
      </c>
      <c r="F6" s="3" t="s">
        <v>11</v>
      </c>
      <c r="G6" s="4" t="s">
        <v>14</v>
      </c>
      <c r="H6" s="4" t="s">
        <v>15</v>
      </c>
      <c r="I6" s="4" t="s">
        <v>16</v>
      </c>
      <c r="J6" s="4" t="s">
        <v>17</v>
      </c>
      <c r="K6" s="4" t="s">
        <v>18</v>
      </c>
      <c r="M6" s="3" t="s">
        <v>19</v>
      </c>
      <c r="N6" s="3" t="s">
        <v>20</v>
      </c>
    </row>
    <row r="7" spans="1:38" ht="18" x14ac:dyDescent="0.35">
      <c r="B7" s="5">
        <v>1</v>
      </c>
      <c r="C7" s="5" t="s">
        <v>21</v>
      </c>
      <c r="D7" s="5" t="s">
        <v>22</v>
      </c>
      <c r="E7" s="5"/>
      <c r="F7" s="5">
        <v>1</v>
      </c>
      <c r="G7" s="4">
        <v>7.3141400000000001</v>
      </c>
      <c r="H7" s="4">
        <v>1315.67</v>
      </c>
      <c r="I7" s="4">
        <v>240.47900000000001</v>
      </c>
      <c r="J7" s="4">
        <v>-94.7</v>
      </c>
      <c r="K7" s="4">
        <v>235.05</v>
      </c>
      <c r="M7" s="3" t="s">
        <v>23</v>
      </c>
      <c r="N7" s="3" t="s">
        <v>24</v>
      </c>
    </row>
    <row r="8" spans="1:38" ht="18" x14ac:dyDescent="0.35">
      <c r="B8" s="5">
        <v>2</v>
      </c>
      <c r="C8" s="5" t="s">
        <v>25</v>
      </c>
      <c r="D8" s="5" t="s">
        <v>26</v>
      </c>
      <c r="E8" s="5"/>
      <c r="F8" s="5">
        <v>2</v>
      </c>
      <c r="G8" s="4">
        <v>8.0912600000000001</v>
      </c>
      <c r="H8" s="4">
        <v>1582.91</v>
      </c>
      <c r="I8" s="4">
        <v>239.096</v>
      </c>
      <c r="J8" s="4">
        <v>-97.68</v>
      </c>
      <c r="K8" s="4">
        <v>239.43</v>
      </c>
      <c r="M8" s="3" t="s">
        <v>27</v>
      </c>
      <c r="N8" s="3" t="s">
        <v>28</v>
      </c>
    </row>
    <row r="9" spans="1:38" ht="18" x14ac:dyDescent="0.35">
      <c r="B9" s="6">
        <v>3</v>
      </c>
      <c r="C9" s="2" t="s">
        <v>29</v>
      </c>
      <c r="D9" s="2" t="s">
        <v>30</v>
      </c>
      <c r="F9" s="5">
        <v>3</v>
      </c>
      <c r="G9" s="4">
        <v>8.0557300000000005</v>
      </c>
      <c r="H9" s="4">
        <v>1723.64</v>
      </c>
      <c r="I9" s="4">
        <v>233.07599999999999</v>
      </c>
      <c r="J9" s="4">
        <v>0.01</v>
      </c>
      <c r="K9" s="4">
        <v>373.98</v>
      </c>
      <c r="M9" s="3" t="s">
        <v>31</v>
      </c>
      <c r="N9" s="3" t="s">
        <v>32</v>
      </c>
    </row>
    <row r="11" spans="1:38" x14ac:dyDescent="0.25">
      <c r="A11" s="3" t="s">
        <v>33</v>
      </c>
      <c r="M11" s="3"/>
      <c r="N11" s="3"/>
    </row>
    <row r="13" spans="1:38" x14ac:dyDescent="0.25">
      <c r="A13" s="1" t="s">
        <v>34</v>
      </c>
      <c r="D13" s="7"/>
      <c r="E13" s="1" t="s">
        <v>35</v>
      </c>
      <c r="F13" s="3"/>
      <c r="N13" s="7" t="s">
        <v>36</v>
      </c>
      <c r="O13" s="8">
        <v>760</v>
      </c>
      <c r="P13" s="3" t="s">
        <v>37</v>
      </c>
      <c r="U13" s="9"/>
    </row>
    <row r="15" spans="1:38" ht="18.75" x14ac:dyDescent="0.35">
      <c r="A15" s="7" t="s">
        <v>38</v>
      </c>
      <c r="B15" s="8">
        <v>1332.548</v>
      </c>
      <c r="C15" s="3" t="s">
        <v>39</v>
      </c>
      <c r="E15" s="4" t="s">
        <v>40</v>
      </c>
      <c r="F15" s="4" t="s">
        <v>41</v>
      </c>
      <c r="G15" s="4" t="s">
        <v>42</v>
      </c>
      <c r="H15" s="4" t="s">
        <v>43</v>
      </c>
      <c r="I15" s="4" t="s">
        <v>44</v>
      </c>
      <c r="J15" s="4" t="s">
        <v>45</v>
      </c>
      <c r="K15" s="4" t="s">
        <v>46</v>
      </c>
      <c r="L15" s="4" t="s">
        <v>47</v>
      </c>
      <c r="M15" s="4" t="s">
        <v>48</v>
      </c>
      <c r="N15" s="4" t="s">
        <v>49</v>
      </c>
      <c r="O15" s="4" t="s">
        <v>50</v>
      </c>
      <c r="P15" s="4" t="s">
        <v>51</v>
      </c>
      <c r="Q15" s="4" t="s">
        <v>52</v>
      </c>
      <c r="R15" s="4" t="s">
        <v>53</v>
      </c>
      <c r="S15" s="4" t="s">
        <v>54</v>
      </c>
      <c r="T15" s="4" t="s">
        <v>55</v>
      </c>
      <c r="U15" s="4" t="s">
        <v>56</v>
      </c>
      <c r="V15" s="10" t="s">
        <v>57</v>
      </c>
      <c r="W15" s="10" t="s">
        <v>58</v>
      </c>
      <c r="X15" s="10" t="s">
        <v>59</v>
      </c>
      <c r="Y15" s="10" t="s">
        <v>60</v>
      </c>
      <c r="Z15" s="10" t="s">
        <v>61</v>
      </c>
      <c r="AA15" s="10" t="s">
        <v>62</v>
      </c>
      <c r="AB15" s="4" t="s">
        <v>63</v>
      </c>
      <c r="AC15" s="4" t="s">
        <v>64</v>
      </c>
      <c r="AD15" s="4" t="s">
        <v>65</v>
      </c>
      <c r="AE15" s="4" t="s">
        <v>66</v>
      </c>
      <c r="AF15" s="4" t="s">
        <v>67</v>
      </c>
      <c r="AG15" s="4" t="s">
        <v>68</v>
      </c>
      <c r="AH15" s="4" t="s">
        <v>69</v>
      </c>
      <c r="AI15" s="4" t="s">
        <v>70</v>
      </c>
      <c r="AJ15" s="4" t="s">
        <v>71</v>
      </c>
      <c r="AK15" s="4" t="s">
        <v>72</v>
      </c>
      <c r="AL15" s="4" t="s">
        <v>73</v>
      </c>
    </row>
    <row r="16" spans="1:38" ht="18.75" x14ac:dyDescent="0.35">
      <c r="A16" s="7" t="s">
        <v>74</v>
      </c>
      <c r="B16" s="8">
        <v>-519.89</v>
      </c>
      <c r="C16" s="3" t="s">
        <v>39</v>
      </c>
      <c r="E16" s="8">
        <v>64.247401194112243</v>
      </c>
      <c r="F16" s="8">
        <f>E16+273.15</f>
        <v>337.39740119411221</v>
      </c>
      <c r="G16" s="8">
        <v>0.1</v>
      </c>
      <c r="H16" s="8">
        <v>0</v>
      </c>
      <c r="I16" s="8">
        <v>0.9</v>
      </c>
      <c r="J16" s="11">
        <f>B$15/(B$24*F16)</f>
        <v>1.9874616781396437</v>
      </c>
      <c r="K16" s="11">
        <f>B$16/(B$24*F16)</f>
        <v>-0.77540280113588356</v>
      </c>
      <c r="L16" s="11">
        <f>B$17/(B$24*F16)</f>
        <v>0.28205726198082354</v>
      </c>
      <c r="M16" s="11">
        <f>B$18/(B$24*F16)</f>
        <v>2.3584302236306582</v>
      </c>
      <c r="N16" s="11">
        <f>B$19/(B$24*F16)</f>
        <v>-0.1405461389129195</v>
      </c>
      <c r="O16" s="11">
        <f>B$20/(B$24*F16)</f>
        <v>0.51904215740270876</v>
      </c>
      <c r="P16" s="11">
        <f>EXP(-B$21*J16)</f>
        <v>0.56867901995080139</v>
      </c>
      <c r="Q16" s="11">
        <f>EXP(-B$21*K16)</f>
        <v>1.2463439124995028</v>
      </c>
      <c r="R16" s="11">
        <f>EXP(-B$22*L16)</f>
        <v>0.91860484216851301</v>
      </c>
      <c r="S16" s="11">
        <f>EXP(-B$22*M16)</f>
        <v>0.49169951186576322</v>
      </c>
      <c r="T16" s="11">
        <f>EXP(-B$23*N16)</f>
        <v>1.0443855864199236</v>
      </c>
      <c r="U16" s="11">
        <f>EXP(-B$23*O16)</f>
        <v>0.85181660587985308</v>
      </c>
      <c r="V16" s="2">
        <f>G16+Q16*H16+S16*I16</f>
        <v>0.5425295606791869</v>
      </c>
      <c r="W16" s="2">
        <f>P16*G16+H16+U16*I16</f>
        <v>0.823502847286948</v>
      </c>
      <c r="X16" s="2">
        <f>R16*G16+T16*H16+I16</f>
        <v>0.99186048421685136</v>
      </c>
      <c r="Y16" s="2">
        <f>H16*K16*Q16+I16*M16*S16</f>
        <v>1.0436750907557917</v>
      </c>
      <c r="Z16" s="2">
        <f>G16*J16*P16+I16*O16*U16</f>
        <v>0.5109386318760214</v>
      </c>
      <c r="AA16" s="2">
        <f>G16*L16*R16+H16*N16*T16</f>
        <v>2.5909916662437735E-2</v>
      </c>
      <c r="AB16" s="11">
        <f>EXP((Y16/V16)-(G16*Y16/V16^2)+(H16*P16*(J16-(Z16/W16))/W16)+(I16*R16*(L16-(AA16/X16))/X16))</f>
        <v>5.9444958477092911</v>
      </c>
      <c r="AC16" s="11">
        <f>EXP((Z16/W16)-(H16*Z16/W16^2)+(G16*Q16*(K16-(Y16/V16))/V16)+(I16*T16*(N16-(AA16/X16))/X16))</f>
        <v>0.8542214862404337</v>
      </c>
      <c r="AD16" s="11">
        <f>EXP((AA16/X16)-(I16*AA16/X16^2)+(G16*S16*(M16-(Y16/V16))/V16)+(H16*U16*(O16-(Z16/W16))/W16))</f>
        <v>1.0427041538320159</v>
      </c>
      <c r="AE16" s="8">
        <f>AB16*G16*10^(G$7-(H$7/(I$7+E16)))</f>
        <v>589.80691967941141</v>
      </c>
      <c r="AF16" s="8">
        <f>AC16*H16*10^(G$8-(H$8/(I$8+E16)))</f>
        <v>0</v>
      </c>
      <c r="AG16" s="8">
        <f>AD16*I16*10^(G$9-(H$9/(I$9+E16)))</f>
        <v>170.19407928357251</v>
      </c>
      <c r="AH16" s="8">
        <f>SUM(AE16:AG16)</f>
        <v>760.00099896298389</v>
      </c>
      <c r="AI16" s="11">
        <f>AE16/AH16</f>
        <v>0.7760607163466875</v>
      </c>
      <c r="AJ16" s="11">
        <f>AF16/AH16</f>
        <v>0</v>
      </c>
      <c r="AK16" s="11">
        <f>AG16/AH16</f>
        <v>0.2239392836533125</v>
      </c>
      <c r="AL16" s="11">
        <f>SUM(AI16:AK16)</f>
        <v>1</v>
      </c>
    </row>
    <row r="17" spans="1:38" ht="18.75" x14ac:dyDescent="0.35">
      <c r="A17" s="7" t="s">
        <v>75</v>
      </c>
      <c r="B17" s="8">
        <v>189.113</v>
      </c>
      <c r="C17" s="3" t="s">
        <v>39</v>
      </c>
      <c r="E17" s="8">
        <v>69.289720423631266</v>
      </c>
      <c r="F17" s="8">
        <f t="shared" ref="F17:F67" si="0">E17+273.15</f>
        <v>342.43972042363123</v>
      </c>
      <c r="G17" s="8">
        <v>0.1</v>
      </c>
      <c r="H17" s="8">
        <v>0.1</v>
      </c>
      <c r="I17" s="8">
        <v>0.8</v>
      </c>
      <c r="J17" s="11">
        <f>B$15/(B$24*F17)</f>
        <v>1.9581969181251855</v>
      </c>
      <c r="K17" s="11">
        <f t="shared" ref="K17:K67" si="1">B$16/(B$24*F17)</f>
        <v>-0.76398523412597719</v>
      </c>
      <c r="L17" s="11">
        <f t="shared" ref="L17:L67" si="2">B$17/(B$24*F17)</f>
        <v>0.27790405582193528</v>
      </c>
      <c r="M17" s="11">
        <f t="shared" ref="M17:M67" si="3">B$18/(B$24*F17)</f>
        <v>2.3237030662396285</v>
      </c>
      <c r="N17" s="11">
        <f t="shared" ref="N17:N67" si="4">B$19/(B$24*F17)</f>
        <v>-0.13847664038045204</v>
      </c>
      <c r="O17" s="11">
        <f t="shared" ref="O17:O67" si="5">B$20/(B$24*F17)</f>
        <v>0.5113994217762311</v>
      </c>
      <c r="P17" s="11">
        <f t="shared" ref="P17:P67" si="6">EXP(-B$21*J17)</f>
        <v>0.57342511592034406</v>
      </c>
      <c r="Q17" s="11">
        <f t="shared" ref="Q17:Q67" si="7">EXP(-B$21*K17)</f>
        <v>1.2423090765928539</v>
      </c>
      <c r="R17" s="11">
        <f t="shared" ref="R17:R67" si="8">EXP(-B$22*L17)</f>
        <v>0.91975392200157613</v>
      </c>
      <c r="S17" s="11">
        <f t="shared" ref="S17:S67" si="9">EXP(-B$22*M17)</f>
        <v>0.49686614111344496</v>
      </c>
      <c r="T17" s="11">
        <f t="shared" ref="T17:T67" si="10">EXP(-B$23*N17)</f>
        <v>1.0437179413923692</v>
      </c>
      <c r="U17" s="11">
        <f t="shared" ref="U17:U67" si="11">EXP(-B$23*O17)</f>
        <v>0.85383063773634749</v>
      </c>
      <c r="V17" s="2">
        <f t="shared" ref="V17:V67" si="12">G17+Q17*H17+S17*I17</f>
        <v>0.62172382055004138</v>
      </c>
      <c r="W17" s="2">
        <f t="shared" ref="W17:W67" si="13">P17*G17+H17+U17*I17</f>
        <v>0.84040702178111237</v>
      </c>
      <c r="X17" s="2">
        <f t="shared" ref="X17:X67" si="14">R17*G17+T17*H17+I17</f>
        <v>0.99634718633939456</v>
      </c>
      <c r="Y17" s="2">
        <f t="shared" ref="Y17:Y67" si="15">H17*K17*Q17+I17*M17*S17</f>
        <v>0.82874492141900946</v>
      </c>
      <c r="Z17" s="2">
        <f t="shared" ref="Z17:Z67" si="16">G17*J17*P17+I17*O17*U17</f>
        <v>0.46160672502363853</v>
      </c>
      <c r="AA17" s="2">
        <f t="shared" ref="AA17:AA67" si="17">G17*L17*R17+H17*N17*T17</f>
        <v>1.1107279125355309E-2</v>
      </c>
      <c r="AB17" s="11">
        <f t="shared" ref="AB17:AB67" si="18">EXP((Y17/V17)-(G17*Y17/V17^2)+(H17*P17*(J17-(Z17/W17))/W17)+(I17*R17*(L17-(AA17/X17))/X17))</f>
        <v>4.10297439121093</v>
      </c>
      <c r="AC17" s="11">
        <f t="shared" ref="AC17:AC67" si="19">EXP((Z17/W17)-(H17*Z17/W17^2)+(G17*Q17*(K17-(Y17/V17))/V17)+(I17*T17*(N17-(AA17/X17))/X17))</f>
        <v>0.94130217603529853</v>
      </c>
      <c r="AD17" s="11">
        <f t="shared" ref="AD17:AD67" si="20">EXP((AA17/X17)-(I17*AA17/X17^2)+(G17*S17*(M17-(Y17/V17))/V17)+(H17*U17*(O17-(Z17/W17))/W17))</f>
        <v>1.0806102971691036</v>
      </c>
      <c r="AE17" s="8">
        <f t="shared" ref="AE17:AE67" si="21">AB17*G17*10^(G$7-(H$7/(I$7+E17)))</f>
        <v>478.60067175673618</v>
      </c>
      <c r="AF17" s="8">
        <f t="shared" ref="AF17:AF67" si="22">AC17*H17*10^(G$8-(H$8/(I$8+E17)))</f>
        <v>85.526165153202371</v>
      </c>
      <c r="AG17" s="8">
        <f t="shared" ref="AG17:AG67" si="23">AD17*I17*10^(G$9-(H$9/(I$9+E17)))</f>
        <v>195.87326503274014</v>
      </c>
      <c r="AH17" s="8">
        <f t="shared" ref="AH17:AH67" si="24">SUM(AE17:AG17)</f>
        <v>760.00010194267873</v>
      </c>
      <c r="AI17" s="11">
        <f t="shared" ref="AI17:AI67" si="25">AE17/AH17</f>
        <v>0.62973764152578171</v>
      </c>
      <c r="AJ17" s="11">
        <f t="shared" ref="AJ17:AJ67" si="26">AF17/AH17</f>
        <v>0.1125344127383459</v>
      </c>
      <c r="AK17" s="11">
        <f t="shared" ref="AK17:AK67" si="27">AG17/AH17</f>
        <v>0.25772794573587232</v>
      </c>
      <c r="AL17" s="11">
        <f t="shared" ref="AL17:AL67" si="28">SUM(AI17:AK17)</f>
        <v>0.99999999999999989</v>
      </c>
    </row>
    <row r="18" spans="1:38" ht="18.75" x14ac:dyDescent="0.35">
      <c r="A18" s="7" t="s">
        <v>76</v>
      </c>
      <c r="B18" s="8">
        <v>1581.2739999999999</v>
      </c>
      <c r="C18" s="3" t="s">
        <v>39</v>
      </c>
      <c r="E18" s="8">
        <v>70.867302902936103</v>
      </c>
      <c r="F18" s="8">
        <f t="shared" si="0"/>
        <v>344.01730290293608</v>
      </c>
      <c r="G18" s="8">
        <v>0.1</v>
      </c>
      <c r="H18" s="8">
        <v>0.2</v>
      </c>
      <c r="I18" s="8">
        <v>0.7</v>
      </c>
      <c r="J18" s="11">
        <f t="shared" ref="J18:J67" si="29">B$15/(B$24*F18)</f>
        <v>1.9492170873928496</v>
      </c>
      <c r="K18" s="11">
        <f t="shared" si="1"/>
        <v>-0.76048177744041379</v>
      </c>
      <c r="L18" s="11">
        <f t="shared" si="2"/>
        <v>0.27662965315179938</v>
      </c>
      <c r="M18" s="11">
        <f t="shared" si="3"/>
        <v>2.3130471102354591</v>
      </c>
      <c r="N18" s="11">
        <f t="shared" si="4"/>
        <v>-0.13784161906084463</v>
      </c>
      <c r="O18" s="11">
        <f t="shared" si="5"/>
        <v>0.5090542642480691</v>
      </c>
      <c r="P18" s="11">
        <f t="shared" si="6"/>
        <v>0.57488937222854242</v>
      </c>
      <c r="Q18" s="11">
        <f t="shared" si="7"/>
        <v>1.2410736165295158</v>
      </c>
      <c r="R18" s="11">
        <f t="shared" si="8"/>
        <v>0.92010680287202784</v>
      </c>
      <c r="S18" s="11">
        <f t="shared" si="9"/>
        <v>0.4984623693559842</v>
      </c>
      <c r="T18" s="11">
        <f t="shared" si="10"/>
        <v>1.0435131614925124</v>
      </c>
      <c r="U18" s="11">
        <f t="shared" si="11"/>
        <v>0.85444959348403038</v>
      </c>
      <c r="V18" s="2">
        <f t="shared" si="12"/>
        <v>0.69713838185509214</v>
      </c>
      <c r="W18" s="2">
        <f t="shared" si="13"/>
        <v>0.85560365266167548</v>
      </c>
      <c r="X18" s="2">
        <f t="shared" si="14"/>
        <v>1.0007133125857053</v>
      </c>
      <c r="Y18" s="2">
        <f t="shared" si="15"/>
        <v>0.61831408613343175</v>
      </c>
      <c r="Z18" s="2">
        <f t="shared" si="16"/>
        <v>0.41653126517449468</v>
      </c>
      <c r="AA18" s="2">
        <f t="shared" si="17"/>
        <v>-3.315026164175696E-3</v>
      </c>
      <c r="AB18" s="11">
        <f t="shared" si="18"/>
        <v>3.1155365443064982</v>
      </c>
      <c r="AC18" s="11">
        <f t="shared" si="19"/>
        <v>0.98172207079382423</v>
      </c>
      <c r="AD18" s="11">
        <f t="shared" si="20"/>
        <v>1.1111693325477812</v>
      </c>
      <c r="AE18" s="8">
        <f t="shared" si="21"/>
        <v>381.88105665793307</v>
      </c>
      <c r="AF18" s="8">
        <f t="shared" si="22"/>
        <v>189.4579059362128</v>
      </c>
      <c r="AG18" s="8">
        <f t="shared" si="23"/>
        <v>188.66103709011202</v>
      </c>
      <c r="AH18" s="8">
        <f t="shared" si="24"/>
        <v>759.99999968425789</v>
      </c>
      <c r="AI18" s="11">
        <f t="shared" si="25"/>
        <v>0.50247507475866526</v>
      </c>
      <c r="AJ18" s="11">
        <f t="shared" si="26"/>
        <v>0.24928671844068831</v>
      </c>
      <c r="AK18" s="11">
        <f t="shared" si="27"/>
        <v>0.2482382068006464</v>
      </c>
      <c r="AL18" s="11">
        <f t="shared" si="28"/>
        <v>1</v>
      </c>
    </row>
    <row r="19" spans="1:38" ht="18.75" x14ac:dyDescent="0.35">
      <c r="A19" s="7" t="s">
        <v>77</v>
      </c>
      <c r="B19" s="8">
        <v>-94.233000000000004</v>
      </c>
      <c r="C19" s="3" t="s">
        <v>39</v>
      </c>
      <c r="E19" s="8">
        <v>70.726044989709806</v>
      </c>
      <c r="F19" s="8">
        <f t="shared" si="0"/>
        <v>343.87604498970978</v>
      </c>
      <c r="G19" s="8">
        <v>0.1</v>
      </c>
      <c r="H19" s="8">
        <v>0.3</v>
      </c>
      <c r="I19" s="8">
        <v>0.60000000000000009</v>
      </c>
      <c r="J19" s="11">
        <f t="shared" si="29"/>
        <v>1.9500177896871849</v>
      </c>
      <c r="K19" s="11">
        <f t="shared" si="1"/>
        <v>-0.76079416927605648</v>
      </c>
      <c r="L19" s="11">
        <f t="shared" si="2"/>
        <v>0.27674328749216731</v>
      </c>
      <c r="M19" s="11">
        <f t="shared" si="3"/>
        <v>2.3139972671677218</v>
      </c>
      <c r="N19" s="11">
        <f t="shared" si="4"/>
        <v>-0.13789824184614174</v>
      </c>
      <c r="O19" s="11">
        <f t="shared" si="5"/>
        <v>0.50926337431588087</v>
      </c>
      <c r="P19" s="11">
        <f t="shared" si="6"/>
        <v>0.57475865756335687</v>
      </c>
      <c r="Q19" s="11">
        <f t="shared" si="7"/>
        <v>1.2411837285733012</v>
      </c>
      <c r="R19" s="11">
        <f t="shared" si="8"/>
        <v>0.92007533213562909</v>
      </c>
      <c r="S19" s="11">
        <f t="shared" si="9"/>
        <v>0.49831983087957055</v>
      </c>
      <c r="T19" s="11">
        <f t="shared" si="10"/>
        <v>1.0435314194183409</v>
      </c>
      <c r="U19" s="11">
        <f t="shared" si="11"/>
        <v>0.85439438499785558</v>
      </c>
      <c r="V19" s="2">
        <f t="shared" si="12"/>
        <v>0.77134701709973275</v>
      </c>
      <c r="W19" s="2">
        <f t="shared" si="13"/>
        <v>0.87011249675504909</v>
      </c>
      <c r="X19" s="2">
        <f t="shared" si="14"/>
        <v>1.0050669590390653</v>
      </c>
      <c r="Y19" s="2">
        <f t="shared" si="15"/>
        <v>0.40858083298881975</v>
      </c>
      <c r="Z19" s="2">
        <f t="shared" si="16"/>
        <v>0.373146021202857</v>
      </c>
      <c r="AA19" s="2">
        <f t="shared" si="17"/>
        <v>-1.7707877199133214E-2</v>
      </c>
      <c r="AB19" s="11">
        <f t="shared" si="18"/>
        <v>2.5197344927798957</v>
      </c>
      <c r="AC19" s="11">
        <f t="shared" si="19"/>
        <v>0.99840548889494207</v>
      </c>
      <c r="AD19" s="11">
        <f t="shared" si="20"/>
        <v>1.1409493486806608</v>
      </c>
      <c r="AE19" s="8">
        <f t="shared" si="21"/>
        <v>307.49067864656627</v>
      </c>
      <c r="AF19" s="8">
        <f t="shared" si="22"/>
        <v>287.47101138177976</v>
      </c>
      <c r="AG19" s="8">
        <f t="shared" si="23"/>
        <v>165.0383042542509</v>
      </c>
      <c r="AH19" s="8">
        <f t="shared" si="24"/>
        <v>759.99999428259696</v>
      </c>
      <c r="AI19" s="11">
        <f t="shared" si="25"/>
        <v>0.40459300126287834</v>
      </c>
      <c r="AJ19" s="11">
        <f t="shared" si="26"/>
        <v>0.37825133361104618</v>
      </c>
      <c r="AK19" s="11">
        <f t="shared" si="27"/>
        <v>0.21715566512607548</v>
      </c>
      <c r="AL19" s="11">
        <f t="shared" si="28"/>
        <v>1</v>
      </c>
    </row>
    <row r="20" spans="1:38" ht="18.75" x14ac:dyDescent="0.35">
      <c r="A20" s="7" t="s">
        <v>78</v>
      </c>
      <c r="B20" s="8">
        <v>348.00599999999997</v>
      </c>
      <c r="C20" s="3" t="s">
        <v>39</v>
      </c>
      <c r="E20" s="8">
        <v>69.778360377708253</v>
      </c>
      <c r="F20" s="8">
        <f t="shared" si="0"/>
        <v>342.92836037770826</v>
      </c>
      <c r="G20" s="8">
        <v>0.1</v>
      </c>
      <c r="H20" s="8">
        <v>0.4</v>
      </c>
      <c r="I20" s="8">
        <v>0.5</v>
      </c>
      <c r="J20" s="11">
        <f t="shared" si="29"/>
        <v>1.9554066757226831</v>
      </c>
      <c r="K20" s="11">
        <f t="shared" si="1"/>
        <v>-0.76289662859534191</v>
      </c>
      <c r="L20" s="11">
        <f t="shared" si="2"/>
        <v>0.27750806925224741</v>
      </c>
      <c r="M20" s="11">
        <f t="shared" si="3"/>
        <v>2.3203920127055158</v>
      </c>
      <c r="N20" s="11">
        <f t="shared" si="4"/>
        <v>-0.13827932447714875</v>
      </c>
      <c r="O20" s="11">
        <f t="shared" si="5"/>
        <v>0.51067072675171776</v>
      </c>
      <c r="P20" s="11">
        <f t="shared" si="6"/>
        <v>0.57387969460794874</v>
      </c>
      <c r="Q20" s="11">
        <f t="shared" si="7"/>
        <v>1.2419250587511965</v>
      </c>
      <c r="R20" s="11">
        <f t="shared" si="8"/>
        <v>0.9198635558055398</v>
      </c>
      <c r="S20" s="11">
        <f t="shared" si="9"/>
        <v>0.49736157822361216</v>
      </c>
      <c r="T20" s="11">
        <f t="shared" si="10"/>
        <v>1.043654307208441</v>
      </c>
      <c r="U20" s="11">
        <f t="shared" si="11"/>
        <v>0.85402291366309513</v>
      </c>
      <c r="V20" s="2">
        <f t="shared" si="12"/>
        <v>0.84545081261228461</v>
      </c>
      <c r="W20" s="2">
        <f t="shared" si="13"/>
        <v>0.88439942629234247</v>
      </c>
      <c r="X20" s="2">
        <f t="shared" si="14"/>
        <v>1.0094480784639304</v>
      </c>
      <c r="Y20" s="2">
        <f t="shared" si="15"/>
        <v>0.19805274065259559</v>
      </c>
      <c r="Z20" s="2">
        <f t="shared" si="16"/>
        <v>0.33027906958128395</v>
      </c>
      <c r="AA20" s="2">
        <f t="shared" si="17"/>
        <v>-3.2199369100669728E-2</v>
      </c>
      <c r="AB20" s="11">
        <f t="shared" si="18"/>
        <v>2.134282122759247</v>
      </c>
      <c r="AC20" s="11">
        <f t="shared" si="19"/>
        <v>1.0030792382267242</v>
      </c>
      <c r="AD20" s="11">
        <f t="shared" si="20"/>
        <v>1.1730741916442458</v>
      </c>
      <c r="AE20" s="8">
        <f t="shared" si="21"/>
        <v>252.82240406496558</v>
      </c>
      <c r="AF20" s="8">
        <f t="shared" si="22"/>
        <v>371.43721429710092</v>
      </c>
      <c r="AG20" s="8">
        <f t="shared" si="23"/>
        <v>135.74037509601254</v>
      </c>
      <c r="AH20" s="8">
        <f t="shared" si="24"/>
        <v>759.99999345807896</v>
      </c>
      <c r="AI20" s="11">
        <f t="shared" si="25"/>
        <v>0.33266106084369468</v>
      </c>
      <c r="AJ20" s="11">
        <f t="shared" si="26"/>
        <v>0.48873318091362472</v>
      </c>
      <c r="AK20" s="11">
        <f t="shared" si="27"/>
        <v>0.17860575824268066</v>
      </c>
      <c r="AL20" s="11">
        <f t="shared" si="28"/>
        <v>1</v>
      </c>
    </row>
    <row r="21" spans="1:38" ht="18" x14ac:dyDescent="0.35">
      <c r="A21" s="7" t="s">
        <v>79</v>
      </c>
      <c r="B21" s="10">
        <v>0.28399999999999997</v>
      </c>
      <c r="E21" s="8">
        <v>68.47182429978632</v>
      </c>
      <c r="F21" s="8">
        <f t="shared" si="0"/>
        <v>341.62182429978628</v>
      </c>
      <c r="G21" s="8">
        <v>0.1</v>
      </c>
      <c r="H21" s="8">
        <v>0.5</v>
      </c>
      <c r="I21" s="8">
        <v>0.4</v>
      </c>
      <c r="J21" s="11">
        <f t="shared" si="29"/>
        <v>1.9628851480775384</v>
      </c>
      <c r="K21" s="11">
        <f t="shared" si="1"/>
        <v>-0.76581433436846658</v>
      </c>
      <c r="L21" s="11">
        <f t="shared" si="2"/>
        <v>0.27856940163385296</v>
      </c>
      <c r="M21" s="11">
        <f t="shared" si="3"/>
        <v>2.3292663751258202</v>
      </c>
      <c r="N21" s="11">
        <f t="shared" si="4"/>
        <v>-0.13880817513424709</v>
      </c>
      <c r="O21" s="11">
        <f t="shared" si="5"/>
        <v>0.51262379204491826</v>
      </c>
      <c r="P21" s="11">
        <f t="shared" si="6"/>
        <v>0.57266213291240653</v>
      </c>
      <c r="Q21" s="11">
        <f t="shared" si="7"/>
        <v>1.2429545796609338</v>
      </c>
      <c r="R21" s="11">
        <f t="shared" si="8"/>
        <v>0.91956974216453624</v>
      </c>
      <c r="S21" s="11">
        <f t="shared" si="9"/>
        <v>0.49603480720004606</v>
      </c>
      <c r="T21" s="11">
        <f t="shared" si="10"/>
        <v>1.0438248697595292</v>
      </c>
      <c r="U21" s="11">
        <f t="shared" si="11"/>
        <v>0.85350766873686967</v>
      </c>
      <c r="V21" s="2">
        <f t="shared" si="12"/>
        <v>0.91989121271048535</v>
      </c>
      <c r="W21" s="2">
        <f t="shared" si="13"/>
        <v>0.89866928078598862</v>
      </c>
      <c r="X21" s="2">
        <f t="shared" si="14"/>
        <v>1.0138694090962184</v>
      </c>
      <c r="Y21" s="2">
        <f t="shared" si="15"/>
        <v>-1.3777338115402993E-2</v>
      </c>
      <c r="Z21" s="2">
        <f t="shared" si="16"/>
        <v>0.28741833463094169</v>
      </c>
      <c r="AA21" s="2">
        <f t="shared" si="17"/>
        <v>-4.6829313381994558E-2</v>
      </c>
      <c r="AB21" s="11">
        <f t="shared" si="18"/>
        <v>1.8738177533262419</v>
      </c>
      <c r="AC21" s="11">
        <f t="shared" si="19"/>
        <v>1.0022893498654311</v>
      </c>
      <c r="AD21" s="11">
        <f t="shared" si="20"/>
        <v>1.2092463990040079</v>
      </c>
      <c r="AE21" s="8">
        <f t="shared" si="21"/>
        <v>212.98936319118832</v>
      </c>
      <c r="AF21" s="8">
        <f t="shared" si="22"/>
        <v>441.24874092595746</v>
      </c>
      <c r="AG21" s="8">
        <f t="shared" si="23"/>
        <v>105.76189257696514</v>
      </c>
      <c r="AH21" s="8">
        <f t="shared" si="24"/>
        <v>759.99999669411091</v>
      </c>
      <c r="AI21" s="11">
        <f t="shared" si="25"/>
        <v>0.28024916331271182</v>
      </c>
      <c r="AJ21" s="11">
        <f t="shared" si="26"/>
        <v>0.58059045111226992</v>
      </c>
      <c r="AK21" s="11">
        <f t="shared" si="27"/>
        <v>0.13916038557501834</v>
      </c>
      <c r="AL21" s="11">
        <f t="shared" si="28"/>
        <v>1</v>
      </c>
    </row>
    <row r="22" spans="1:38" ht="18" x14ac:dyDescent="0.35">
      <c r="A22" s="7" t="s">
        <v>80</v>
      </c>
      <c r="B22" s="10">
        <v>0.30099999999999999</v>
      </c>
      <c r="E22" s="8">
        <v>67.018945643242148</v>
      </c>
      <c r="F22" s="8">
        <f t="shared" si="0"/>
        <v>340.16894564324213</v>
      </c>
      <c r="G22" s="8">
        <v>0.1</v>
      </c>
      <c r="H22" s="8">
        <v>0.6</v>
      </c>
      <c r="I22" s="8">
        <v>0.30000000000000004</v>
      </c>
      <c r="J22" s="11">
        <f t="shared" si="29"/>
        <v>1.9712687291581001</v>
      </c>
      <c r="K22" s="11">
        <f t="shared" si="1"/>
        <v>-0.76908516586419751</v>
      </c>
      <c r="L22" s="11">
        <f t="shared" si="2"/>
        <v>0.27975918554324181</v>
      </c>
      <c r="M22" s="11">
        <f t="shared" si="3"/>
        <v>2.3392147888336821</v>
      </c>
      <c r="N22" s="11">
        <f t="shared" si="4"/>
        <v>-0.13940103182381067</v>
      </c>
      <c r="O22" s="11">
        <f t="shared" si="5"/>
        <v>0.51481323401437984</v>
      </c>
      <c r="P22" s="11">
        <f t="shared" si="6"/>
        <v>0.57130028231985908</v>
      </c>
      <c r="Q22" s="11">
        <f t="shared" si="7"/>
        <v>1.2441097166668631</v>
      </c>
      <c r="R22" s="11">
        <f t="shared" si="8"/>
        <v>0.91924048025239002</v>
      </c>
      <c r="S22" s="11">
        <f t="shared" si="9"/>
        <v>0.49455166631848418</v>
      </c>
      <c r="T22" s="11">
        <f t="shared" si="10"/>
        <v>1.0440161083897983</v>
      </c>
      <c r="U22" s="11">
        <f t="shared" si="11"/>
        <v>0.85293043401641599</v>
      </c>
      <c r="V22" s="2">
        <f t="shared" si="12"/>
        <v>0.99483132989566303</v>
      </c>
      <c r="W22" s="2">
        <f t="shared" si="13"/>
        <v>0.91300915843691066</v>
      </c>
      <c r="X22" s="2">
        <f t="shared" si="14"/>
        <v>1.0183337130591181</v>
      </c>
      <c r="Y22" s="2">
        <f t="shared" si="15"/>
        <v>-0.22703702516923485</v>
      </c>
      <c r="Z22" s="2">
        <f t="shared" si="16"/>
        <v>0.24434860068721717</v>
      </c>
      <c r="AA22" s="2">
        <f t="shared" si="17"/>
        <v>-6.1605556842751624E-2</v>
      </c>
      <c r="AB22" s="11">
        <f t="shared" si="18"/>
        <v>1.6929650787826023</v>
      </c>
      <c r="AC22" s="11">
        <f t="shared" si="19"/>
        <v>0.99984428037185713</v>
      </c>
      <c r="AD22" s="11">
        <f t="shared" si="20"/>
        <v>1.2504567900073846</v>
      </c>
      <c r="AE22" s="8">
        <f t="shared" si="21"/>
        <v>183.72057207198273</v>
      </c>
      <c r="AF22" s="8">
        <f t="shared" si="22"/>
        <v>499.31836364540823</v>
      </c>
      <c r="AG22" s="8">
        <f t="shared" si="23"/>
        <v>76.96106317885328</v>
      </c>
      <c r="AH22" s="8">
        <f t="shared" si="24"/>
        <v>759.99999889624416</v>
      </c>
      <c r="AI22" s="11">
        <f t="shared" si="25"/>
        <v>0.24173759518263421</v>
      </c>
      <c r="AJ22" s="11">
        <f t="shared" si="26"/>
        <v>0.65699784785601767</v>
      </c>
      <c r="AK22" s="11">
        <f t="shared" si="27"/>
        <v>0.10126455696134819</v>
      </c>
      <c r="AL22" s="11">
        <f t="shared" si="28"/>
        <v>1</v>
      </c>
    </row>
    <row r="23" spans="1:38" ht="18" x14ac:dyDescent="0.35">
      <c r="A23" s="7" t="s">
        <v>81</v>
      </c>
      <c r="B23" s="10">
        <v>0.309</v>
      </c>
      <c r="C23" s="12"/>
      <c r="E23" s="8">
        <v>65.518017026835892</v>
      </c>
      <c r="F23" s="8">
        <f t="shared" si="0"/>
        <v>338.66801702683586</v>
      </c>
      <c r="G23" s="8">
        <v>0.1</v>
      </c>
      <c r="H23" s="8">
        <v>0.7</v>
      </c>
      <c r="I23" s="8">
        <v>0.20000000000000007</v>
      </c>
      <c r="J23" s="11">
        <f t="shared" si="29"/>
        <v>1.9800051125703719</v>
      </c>
      <c r="K23" s="11">
        <f t="shared" si="1"/>
        <v>-0.77249364223593497</v>
      </c>
      <c r="L23" s="11">
        <f t="shared" si="2"/>
        <v>0.28099903857386055</v>
      </c>
      <c r="M23" s="11">
        <f t="shared" si="3"/>
        <v>2.3495818569947216</v>
      </c>
      <c r="N23" s="11">
        <f t="shared" si="4"/>
        <v>-0.14001883742487617</v>
      </c>
      <c r="O23" s="11">
        <f t="shared" si="5"/>
        <v>0.51709481324887718</v>
      </c>
      <c r="P23" s="11">
        <f t="shared" si="6"/>
        <v>0.56988456741452231</v>
      </c>
      <c r="Q23" s="11">
        <f t="shared" si="7"/>
        <v>1.2453146070188621</v>
      </c>
      <c r="R23" s="11">
        <f t="shared" si="8"/>
        <v>0.91889748760638412</v>
      </c>
      <c r="S23" s="11">
        <f t="shared" si="9"/>
        <v>0.49301082934906787</v>
      </c>
      <c r="T23" s="11">
        <f t="shared" si="10"/>
        <v>1.0442154321056381</v>
      </c>
      <c r="U23" s="11">
        <f t="shared" si="11"/>
        <v>0.85232932316996934</v>
      </c>
      <c r="V23" s="2">
        <f t="shared" si="12"/>
        <v>1.0703223907830171</v>
      </c>
      <c r="W23" s="2">
        <f t="shared" si="13"/>
        <v>0.92745432137544614</v>
      </c>
      <c r="X23" s="2">
        <f t="shared" si="14"/>
        <v>1.0228405512345851</v>
      </c>
      <c r="Y23" s="2">
        <f t="shared" si="15"/>
        <v>-0.44172447156583072</v>
      </c>
      <c r="Z23" s="2">
        <f t="shared" si="16"/>
        <v>0.20098445014379437</v>
      </c>
      <c r="AA23" s="2">
        <f t="shared" si="17"/>
        <v>-7.6525950520649311E-2</v>
      </c>
      <c r="AB23" s="11">
        <f t="shared" si="18"/>
        <v>1.5655280385370454</v>
      </c>
      <c r="AC23" s="11">
        <f t="shared" si="19"/>
        <v>0.99797377493962014</v>
      </c>
      <c r="AD23" s="11">
        <f t="shared" si="20"/>
        <v>1.2973042007543607</v>
      </c>
      <c r="AE23" s="8">
        <f t="shared" si="21"/>
        <v>161.87648777341997</v>
      </c>
      <c r="AF23" s="8">
        <f t="shared" si="22"/>
        <v>548.31751899637709</v>
      </c>
      <c r="AG23" s="8">
        <f t="shared" si="23"/>
        <v>49.805992965164094</v>
      </c>
      <c r="AH23" s="8">
        <f t="shared" si="24"/>
        <v>759.99999973496119</v>
      </c>
      <c r="AI23" s="11">
        <f t="shared" si="25"/>
        <v>0.21299537872351579</v>
      </c>
      <c r="AJ23" s="11">
        <f t="shared" si="26"/>
        <v>0.72147041998367734</v>
      </c>
      <c r="AK23" s="11">
        <f t="shared" si="27"/>
        <v>6.5534201292806848E-2</v>
      </c>
      <c r="AL23" s="11">
        <f t="shared" si="28"/>
        <v>1</v>
      </c>
    </row>
    <row r="24" spans="1:38" ht="17.25" x14ac:dyDescent="0.25">
      <c r="A24" s="7" t="s">
        <v>82</v>
      </c>
      <c r="B24" s="11">
        <v>1.9872036</v>
      </c>
      <c r="C24" s="3" t="s">
        <v>83</v>
      </c>
      <c r="E24" s="8">
        <v>64.012892550765173</v>
      </c>
      <c r="F24" s="8">
        <f t="shared" si="0"/>
        <v>337.16289255076515</v>
      </c>
      <c r="G24" s="8">
        <v>0.1</v>
      </c>
      <c r="H24" s="8">
        <v>0.8</v>
      </c>
      <c r="I24" s="8">
        <v>9.9999999999999978E-2</v>
      </c>
      <c r="J24" s="11">
        <f t="shared" si="29"/>
        <v>1.9888440275978496</v>
      </c>
      <c r="K24" s="11">
        <f t="shared" si="1"/>
        <v>-0.77594212104017712</v>
      </c>
      <c r="L24" s="11">
        <f t="shared" si="2"/>
        <v>0.28225344272109681</v>
      </c>
      <c r="M24" s="11">
        <f t="shared" si="3"/>
        <v>2.3600705947521305</v>
      </c>
      <c r="N24" s="11">
        <f t="shared" si="4"/>
        <v>-0.14064389369285621</v>
      </c>
      <c r="O24" s="11">
        <f t="shared" si="5"/>
        <v>0.51940316946797949</v>
      </c>
      <c r="P24" s="11">
        <f t="shared" si="6"/>
        <v>0.56845580763844705</v>
      </c>
      <c r="Q24" s="11">
        <f t="shared" si="7"/>
        <v>1.2465348256945243</v>
      </c>
      <c r="R24" s="11">
        <f t="shared" si="8"/>
        <v>0.9185505997840816</v>
      </c>
      <c r="S24" s="11">
        <f t="shared" si="9"/>
        <v>0.49145679431820433</v>
      </c>
      <c r="T24" s="11">
        <f t="shared" si="10"/>
        <v>1.044417133844485</v>
      </c>
      <c r="U24" s="11">
        <f t="shared" si="11"/>
        <v>0.85172158871337833</v>
      </c>
      <c r="V24" s="2">
        <f t="shared" si="12"/>
        <v>1.14637353998744</v>
      </c>
      <c r="W24" s="2">
        <f t="shared" si="13"/>
        <v>0.94201773963518254</v>
      </c>
      <c r="X24" s="2">
        <f t="shared" si="14"/>
        <v>1.0273887670539961</v>
      </c>
      <c r="Y24" s="2">
        <f t="shared" si="15"/>
        <v>-0.65780382839373153</v>
      </c>
      <c r="Z24" s="2">
        <f t="shared" si="16"/>
        <v>0.1572956830657069</v>
      </c>
      <c r="AA24" s="2">
        <f t="shared" si="17"/>
        <v>-9.1586306964478531E-2</v>
      </c>
      <c r="AB24" s="11">
        <f t="shared" si="18"/>
        <v>1.4754515080190551</v>
      </c>
      <c r="AC24" s="11">
        <f t="shared" si="19"/>
        <v>0.99796119149490858</v>
      </c>
      <c r="AD24" s="11">
        <f t="shared" si="20"/>
        <v>1.350162284578462</v>
      </c>
      <c r="AE24" s="8">
        <f t="shared" si="21"/>
        <v>145.27622924434155</v>
      </c>
      <c r="AF24" s="8">
        <f t="shared" si="22"/>
        <v>590.49334327615134</v>
      </c>
      <c r="AG24" s="8">
        <f t="shared" si="23"/>
        <v>24.229852249496812</v>
      </c>
      <c r="AH24" s="8">
        <f t="shared" si="24"/>
        <v>759.99942476998967</v>
      </c>
      <c r="AI24" s="11">
        <f t="shared" si="25"/>
        <v>0.19115307789648489</v>
      </c>
      <c r="AJ24" s="11">
        <f t="shared" si="26"/>
        <v>0.77696551343425213</v>
      </c>
      <c r="AK24" s="11">
        <f t="shared" si="27"/>
        <v>3.1881408669262958E-2</v>
      </c>
      <c r="AL24" s="11">
        <f t="shared" si="28"/>
        <v>1</v>
      </c>
    </row>
    <row r="25" spans="1:38" x14ac:dyDescent="0.25">
      <c r="A25" s="7"/>
      <c r="B25" s="11"/>
      <c r="C25" s="13"/>
      <c r="E25" s="8">
        <v>62.52201213929159</v>
      </c>
      <c r="F25" s="8">
        <f t="shared" si="0"/>
        <v>335.67201213929155</v>
      </c>
      <c r="G25" s="8">
        <v>0.1</v>
      </c>
      <c r="H25" s="8">
        <v>0.9</v>
      </c>
      <c r="I25" s="8">
        <v>0</v>
      </c>
      <c r="J25" s="11">
        <f t="shared" si="29"/>
        <v>1.9976774378763076</v>
      </c>
      <c r="K25" s="11">
        <f t="shared" si="1"/>
        <v>-0.77938845218147002</v>
      </c>
      <c r="L25" s="11">
        <f t="shared" si="2"/>
        <v>0.28350706564349065</v>
      </c>
      <c r="M25" s="11">
        <f t="shared" si="3"/>
        <v>2.3705528002746772</v>
      </c>
      <c r="N25" s="11">
        <f t="shared" si="4"/>
        <v>-0.14126856068479193</v>
      </c>
      <c r="O25" s="11">
        <f t="shared" si="5"/>
        <v>0.52171008807606345</v>
      </c>
      <c r="P25" s="11">
        <f t="shared" si="6"/>
        <v>0.56703151637876803</v>
      </c>
      <c r="Q25" s="11">
        <f t="shared" si="7"/>
        <v>1.247755478947107</v>
      </c>
      <c r="R25" s="11">
        <f t="shared" si="8"/>
        <v>0.91820405882789458</v>
      </c>
      <c r="S25" s="11">
        <f t="shared" si="9"/>
        <v>0.4899086210690245</v>
      </c>
      <c r="T25" s="11">
        <f t="shared" si="10"/>
        <v>1.0446187488909202</v>
      </c>
      <c r="U25" s="11">
        <f t="shared" si="11"/>
        <v>0.85111466567192628</v>
      </c>
      <c r="V25" s="2">
        <f t="shared" si="12"/>
        <v>1.2229799310523966</v>
      </c>
      <c r="W25" s="2">
        <f t="shared" si="13"/>
        <v>0.95670315163787678</v>
      </c>
      <c r="X25" s="2">
        <f t="shared" si="14"/>
        <v>1.0319772798846176</v>
      </c>
      <c r="Y25" s="2">
        <f t="shared" si="15"/>
        <v>-0.87523759029378112</v>
      </c>
      <c r="Z25" s="2">
        <f t="shared" si="16"/>
        <v>0.11327460668346549</v>
      </c>
      <c r="AA25" s="2">
        <f t="shared" si="17"/>
        <v>-0.1067828745701276</v>
      </c>
      <c r="AB25" s="11">
        <f t="shared" si="18"/>
        <v>1.4124262027637167</v>
      </c>
      <c r="AC25" s="11">
        <f t="shared" si="19"/>
        <v>1.0005157128283697</v>
      </c>
      <c r="AD25" s="11">
        <f t="shared" si="20"/>
        <v>1.4092711482319333</v>
      </c>
      <c r="AE25" s="8">
        <f t="shared" si="21"/>
        <v>132.42654720873171</v>
      </c>
      <c r="AF25" s="8">
        <f t="shared" si="22"/>
        <v>627.57338313491255</v>
      </c>
      <c r="AG25" s="8">
        <f t="shared" si="23"/>
        <v>0</v>
      </c>
      <c r="AH25" s="8">
        <f t="shared" si="24"/>
        <v>759.99993034364422</v>
      </c>
      <c r="AI25" s="11">
        <f t="shared" si="25"/>
        <v>0.17424547282373204</v>
      </c>
      <c r="AJ25" s="11">
        <f t="shared" si="26"/>
        <v>0.82575452717626796</v>
      </c>
      <c r="AK25" s="11">
        <f t="shared" si="27"/>
        <v>0</v>
      </c>
      <c r="AL25" s="11">
        <f t="shared" si="28"/>
        <v>1</v>
      </c>
    </row>
    <row r="26" spans="1:38" x14ac:dyDescent="0.25">
      <c r="E26" s="8">
        <v>61.582055708604948</v>
      </c>
      <c r="F26" s="8">
        <f t="shared" si="0"/>
        <v>334.73205570860495</v>
      </c>
      <c r="G26" s="8">
        <v>0.2</v>
      </c>
      <c r="H26" s="8">
        <v>0</v>
      </c>
      <c r="I26" s="8">
        <v>0.8</v>
      </c>
      <c r="J26" s="11">
        <f t="shared" si="29"/>
        <v>2.0032870881089226</v>
      </c>
      <c r="K26" s="11">
        <f t="shared" si="1"/>
        <v>-0.78157704205548151</v>
      </c>
      <c r="L26" s="11">
        <f t="shared" si="2"/>
        <v>0.28430317789193538</v>
      </c>
      <c r="M26" s="11">
        <f t="shared" si="3"/>
        <v>2.3772095166270546</v>
      </c>
      <c r="N26" s="11">
        <f t="shared" si="4"/>
        <v>-0.14166525496550075</v>
      </c>
      <c r="O26" s="11">
        <f t="shared" si="5"/>
        <v>0.52317509491923264</v>
      </c>
      <c r="P26" s="11">
        <f t="shared" si="6"/>
        <v>0.56612887461964845</v>
      </c>
      <c r="Q26" s="11">
        <f t="shared" si="7"/>
        <v>1.2485312743254702</v>
      </c>
      <c r="R26" s="11">
        <f t="shared" si="8"/>
        <v>0.91798405614570611</v>
      </c>
      <c r="S26" s="11">
        <f t="shared" si="9"/>
        <v>0.48892798782915936</v>
      </c>
      <c r="T26" s="11">
        <f t="shared" si="10"/>
        <v>1.0447468045727095</v>
      </c>
      <c r="U26" s="11">
        <f t="shared" si="11"/>
        <v>0.85072946422422524</v>
      </c>
      <c r="V26" s="2">
        <f t="shared" si="12"/>
        <v>0.59114239026332749</v>
      </c>
      <c r="W26" s="2">
        <f t="shared" si="13"/>
        <v>0.7938093463033099</v>
      </c>
      <c r="X26" s="2">
        <f t="shared" si="14"/>
        <v>0.98359681122914133</v>
      </c>
      <c r="Y26" s="2">
        <f t="shared" si="15"/>
        <v>0.92982741249023548</v>
      </c>
      <c r="Z26" s="2">
        <f t="shared" si="16"/>
        <v>0.58288810750311293</v>
      </c>
      <c r="AA26" s="2">
        <f t="shared" si="17"/>
        <v>5.2197156883270618E-2</v>
      </c>
      <c r="AB26" s="11">
        <f t="shared" si="18"/>
        <v>3.3649538408774897</v>
      </c>
      <c r="AC26" s="11">
        <f t="shared" si="19"/>
        <v>0.6532763970780201</v>
      </c>
      <c r="AD26" s="11">
        <f t="shared" si="20"/>
        <v>1.1536690484116128</v>
      </c>
      <c r="AE26" s="8">
        <f t="shared" si="21"/>
        <v>611.65497649496763</v>
      </c>
      <c r="AF26" s="8">
        <f t="shared" si="22"/>
        <v>0</v>
      </c>
      <c r="AG26" s="8">
        <f t="shared" si="23"/>
        <v>148.34512286839791</v>
      </c>
      <c r="AH26" s="8">
        <f t="shared" si="24"/>
        <v>760.00009936336551</v>
      </c>
      <c r="AI26" s="11">
        <f t="shared" si="25"/>
        <v>0.80480907437688076</v>
      </c>
      <c r="AJ26" s="11">
        <f t="shared" si="26"/>
        <v>0</v>
      </c>
      <c r="AK26" s="11">
        <f t="shared" si="27"/>
        <v>0.19519092562311924</v>
      </c>
      <c r="AL26" s="11">
        <f t="shared" si="28"/>
        <v>1</v>
      </c>
    </row>
    <row r="27" spans="1:38" x14ac:dyDescent="0.25">
      <c r="B27" s="7"/>
      <c r="C27" s="12"/>
      <c r="E27" s="8">
        <v>64.557274210287815</v>
      </c>
      <c r="F27" s="8">
        <f t="shared" si="0"/>
        <v>337.70727421028778</v>
      </c>
      <c r="G27" s="8">
        <v>0.2</v>
      </c>
      <c r="H27" s="8">
        <v>0.1</v>
      </c>
      <c r="I27" s="8">
        <v>0.70000000000000007</v>
      </c>
      <c r="J27" s="11">
        <f t="shared" si="29"/>
        <v>1.9856380255512334</v>
      </c>
      <c r="K27" s="11">
        <f t="shared" si="1"/>
        <v>-0.77469130800828989</v>
      </c>
      <c r="L27" s="11">
        <f t="shared" si="2"/>
        <v>0.281798452232918</v>
      </c>
      <c r="M27" s="11">
        <f t="shared" si="3"/>
        <v>2.3562661781905798</v>
      </c>
      <c r="N27" s="11">
        <f t="shared" si="4"/>
        <v>-0.1404171767634407</v>
      </c>
      <c r="O27" s="11">
        <f t="shared" si="5"/>
        <v>0.51856589535234932</v>
      </c>
      <c r="P27" s="11">
        <f t="shared" si="6"/>
        <v>0.56897362495728099</v>
      </c>
      <c r="Q27" s="11">
        <f t="shared" si="7"/>
        <v>1.2460920966453704</v>
      </c>
      <c r="R27" s="11">
        <f t="shared" si="8"/>
        <v>0.91867640586612043</v>
      </c>
      <c r="S27" s="11">
        <f t="shared" si="9"/>
        <v>0.49201989828676557</v>
      </c>
      <c r="T27" s="11">
        <f t="shared" si="10"/>
        <v>1.0443439692102139</v>
      </c>
      <c r="U27" s="11">
        <f t="shared" si="11"/>
        <v>0.85194197267271032</v>
      </c>
      <c r="V27" s="2">
        <f t="shared" si="12"/>
        <v>0.66902313846527295</v>
      </c>
      <c r="W27" s="2">
        <f t="shared" si="13"/>
        <v>0.81015410586235348</v>
      </c>
      <c r="X27" s="2">
        <f t="shared" si="14"/>
        <v>0.9881696780942455</v>
      </c>
      <c r="Y27" s="2">
        <f t="shared" si="15"/>
        <v>0.71499722010601308</v>
      </c>
      <c r="Z27" s="2">
        <f t="shared" si="16"/>
        <v>0.53520676934327027</v>
      </c>
      <c r="AA27" s="2">
        <f t="shared" si="17"/>
        <v>3.7111934682552153E-2</v>
      </c>
      <c r="AB27" s="11">
        <f t="shared" si="18"/>
        <v>2.7216390495760678</v>
      </c>
      <c r="AC27" s="11">
        <f t="shared" si="19"/>
        <v>0.78719984530588305</v>
      </c>
      <c r="AD27" s="11">
        <f t="shared" si="20"/>
        <v>1.2036926130932981</v>
      </c>
      <c r="AE27" s="8">
        <f t="shared" si="21"/>
        <v>545.55854688097656</v>
      </c>
      <c r="AF27" s="8">
        <f t="shared" si="22"/>
        <v>59.492014797984595</v>
      </c>
      <c r="AG27" s="8">
        <f t="shared" si="23"/>
        <v>154.94945758127375</v>
      </c>
      <c r="AH27" s="8">
        <f t="shared" si="24"/>
        <v>760.00001926023492</v>
      </c>
      <c r="AI27" s="11">
        <f t="shared" si="25"/>
        <v>0.71784017507263964</v>
      </c>
      <c r="AJ27" s="11">
        <f t="shared" si="26"/>
        <v>7.8278964855675454E-2</v>
      </c>
      <c r="AK27" s="11">
        <f t="shared" si="27"/>
        <v>0.20388086007168485</v>
      </c>
      <c r="AL27" s="11">
        <f t="shared" si="28"/>
        <v>0.99999999999999989</v>
      </c>
    </row>
    <row r="28" spans="1:38" x14ac:dyDescent="0.25">
      <c r="B28" s="7"/>
      <c r="C28" s="12"/>
      <c r="E28" s="8">
        <v>65.769052369317635</v>
      </c>
      <c r="F28" s="8">
        <f t="shared" si="0"/>
        <v>338.91905236931763</v>
      </c>
      <c r="G28" s="8">
        <v>0.2</v>
      </c>
      <c r="H28" s="8">
        <v>0.2</v>
      </c>
      <c r="I28" s="8">
        <v>0.60000000000000009</v>
      </c>
      <c r="J28" s="11">
        <f t="shared" si="29"/>
        <v>1.9785385344654383</v>
      </c>
      <c r="K28" s="11">
        <f t="shared" si="1"/>
        <v>-0.77192146075281098</v>
      </c>
      <c r="L28" s="11">
        <f t="shared" si="2"/>
        <v>0.28079090424387149</v>
      </c>
      <c r="M28" s="11">
        <f t="shared" si="3"/>
        <v>2.3478415355756801</v>
      </c>
      <c r="N28" s="11">
        <f t="shared" si="4"/>
        <v>-0.13991512629810082</v>
      </c>
      <c r="O28" s="11">
        <f t="shared" si="5"/>
        <v>0.5167118041715415</v>
      </c>
      <c r="P28" s="11">
        <f t="shared" si="6"/>
        <v>0.57012197843791734</v>
      </c>
      <c r="Q28" s="11">
        <f t="shared" si="7"/>
        <v>1.2451122604076239</v>
      </c>
      <c r="R28" s="11">
        <f t="shared" si="8"/>
        <v>0.91895505689766466</v>
      </c>
      <c r="S28" s="11">
        <f t="shared" si="9"/>
        <v>0.49326915419233031</v>
      </c>
      <c r="T28" s="11">
        <f t="shared" si="10"/>
        <v>1.0441819689432841</v>
      </c>
      <c r="U28" s="11">
        <f t="shared" si="11"/>
        <v>0.85243020214846021</v>
      </c>
      <c r="V28" s="2">
        <f t="shared" si="12"/>
        <v>0.74498394459692308</v>
      </c>
      <c r="W28" s="2">
        <f t="shared" si="13"/>
        <v>0.82548251697665975</v>
      </c>
      <c r="X28" s="2">
        <f t="shared" si="14"/>
        <v>0.99262740516818981</v>
      </c>
      <c r="Y28" s="2">
        <f t="shared" si="15"/>
        <v>0.50264491008760537</v>
      </c>
      <c r="Z28" s="2">
        <f t="shared" si="16"/>
        <v>0.48987810934648424</v>
      </c>
      <c r="AA28" s="2">
        <f t="shared" si="17"/>
        <v>2.2387473864574889E-2</v>
      </c>
      <c r="AB28" s="11">
        <f t="shared" si="18"/>
        <v>2.2895130501499614</v>
      </c>
      <c r="AC28" s="11">
        <f t="shared" si="19"/>
        <v>0.87245993335905514</v>
      </c>
      <c r="AD28" s="11">
        <f t="shared" si="20"/>
        <v>1.2394118717892557</v>
      </c>
      <c r="AE28" s="8">
        <f t="shared" si="21"/>
        <v>477.331935443426</v>
      </c>
      <c r="AF28" s="8">
        <f t="shared" si="22"/>
        <v>138.31502337477528</v>
      </c>
      <c r="AG28" s="8">
        <f t="shared" si="23"/>
        <v>144.35296483891403</v>
      </c>
      <c r="AH28" s="8">
        <f t="shared" si="24"/>
        <v>759.99992365711523</v>
      </c>
      <c r="AI28" s="11">
        <f t="shared" si="25"/>
        <v>0.62806839919997293</v>
      </c>
      <c r="AJ28" s="11">
        <f t="shared" si="26"/>
        <v>0.18199347009037078</v>
      </c>
      <c r="AK28" s="11">
        <f t="shared" si="27"/>
        <v>0.1899381307096564</v>
      </c>
      <c r="AL28" s="11">
        <f t="shared" si="28"/>
        <v>1.0000000000000002</v>
      </c>
    </row>
    <row r="29" spans="1:38" x14ac:dyDescent="0.25">
      <c r="E29" s="8">
        <v>65.831252282730887</v>
      </c>
      <c r="F29" s="8">
        <f t="shared" si="0"/>
        <v>338.98125228273085</v>
      </c>
      <c r="G29" s="8">
        <v>0.2</v>
      </c>
      <c r="H29" s="8">
        <v>0.3</v>
      </c>
      <c r="I29" s="8">
        <v>0.5</v>
      </c>
      <c r="J29" s="11">
        <f t="shared" si="29"/>
        <v>1.9781754910089056</v>
      </c>
      <c r="K29" s="11">
        <f t="shared" si="1"/>
        <v>-0.7717798203296391</v>
      </c>
      <c r="L29" s="11">
        <f t="shared" si="2"/>
        <v>0.28073938171920798</v>
      </c>
      <c r="M29" s="11">
        <f t="shared" si="3"/>
        <v>2.3474107284462669</v>
      </c>
      <c r="N29" s="11">
        <f t="shared" si="4"/>
        <v>-0.13988945317109944</v>
      </c>
      <c r="O29" s="11">
        <f t="shared" si="5"/>
        <v>0.51661699235152891</v>
      </c>
      <c r="P29" s="11">
        <f t="shared" si="6"/>
        <v>0.57018076351961389</v>
      </c>
      <c r="Q29" s="11">
        <f t="shared" si="7"/>
        <v>1.2450621756783828</v>
      </c>
      <c r="R29" s="11">
        <f t="shared" si="8"/>
        <v>0.91896930842043234</v>
      </c>
      <c r="S29" s="11">
        <f t="shared" si="9"/>
        <v>0.49333312200406004</v>
      </c>
      <c r="T29" s="11">
        <f t="shared" si="10"/>
        <v>1.0441736854845032</v>
      </c>
      <c r="U29" s="11">
        <f t="shared" si="11"/>
        <v>0.85245517603608645</v>
      </c>
      <c r="V29" s="2">
        <f t="shared" si="12"/>
        <v>0.82018521370554487</v>
      </c>
      <c r="W29" s="2">
        <f t="shared" si="13"/>
        <v>0.84026374072196597</v>
      </c>
      <c r="X29" s="2">
        <f t="shared" si="14"/>
        <v>0.9970459673294374</v>
      </c>
      <c r="Y29" s="2">
        <f t="shared" si="15"/>
        <v>0.29075357297182325</v>
      </c>
      <c r="Z29" s="2">
        <f t="shared" si="16"/>
        <v>0.44577993694697704</v>
      </c>
      <c r="AA29" s="2">
        <f t="shared" si="17"/>
        <v>7.7775093295524567E-3</v>
      </c>
      <c r="AB29" s="11">
        <f t="shared" si="18"/>
        <v>1.9908036541867835</v>
      </c>
      <c r="AC29" s="11">
        <f t="shared" si="19"/>
        <v>0.9248085731925284</v>
      </c>
      <c r="AD29" s="11">
        <f t="shared" si="20"/>
        <v>1.2704860931882169</v>
      </c>
      <c r="AE29" s="8">
        <f t="shared" si="21"/>
        <v>415.8897047423394</v>
      </c>
      <c r="AF29" s="8">
        <f t="shared" si="22"/>
        <v>220.45811085435841</v>
      </c>
      <c r="AG29" s="8">
        <f t="shared" si="23"/>
        <v>123.65136830546226</v>
      </c>
      <c r="AH29" s="8">
        <f t="shared" si="24"/>
        <v>759.9991839021601</v>
      </c>
      <c r="AI29" s="11">
        <f t="shared" si="25"/>
        <v>0.5472238833296954</v>
      </c>
      <c r="AJ29" s="11">
        <f t="shared" si="26"/>
        <v>0.29007677313866626</v>
      </c>
      <c r="AK29" s="11">
        <f t="shared" si="27"/>
        <v>0.16269934353163826</v>
      </c>
      <c r="AL29" s="11">
        <f t="shared" si="28"/>
        <v>0.99999999999999989</v>
      </c>
    </row>
    <row r="30" spans="1:38" x14ac:dyDescent="0.25">
      <c r="E30" s="8">
        <v>65.224197514979565</v>
      </c>
      <c r="F30" s="8">
        <f t="shared" si="0"/>
        <v>338.37419751497953</v>
      </c>
      <c r="G30" s="8">
        <v>0.2</v>
      </c>
      <c r="H30" s="8">
        <v>0.4</v>
      </c>
      <c r="I30" s="8">
        <v>0.4</v>
      </c>
      <c r="J30" s="11">
        <f t="shared" si="29"/>
        <v>1.9817244048211433</v>
      </c>
      <c r="K30" s="11">
        <f t="shared" si="1"/>
        <v>-0.77316441945990999</v>
      </c>
      <c r="L30" s="11">
        <f t="shared" si="2"/>
        <v>0.28124303767589676</v>
      </c>
      <c r="M30" s="11">
        <f t="shared" si="3"/>
        <v>2.3516220627768369</v>
      </c>
      <c r="N30" s="11">
        <f t="shared" si="4"/>
        <v>-0.1401404195867697</v>
      </c>
      <c r="O30" s="11">
        <f t="shared" si="5"/>
        <v>0.51754382072854921</v>
      </c>
      <c r="P30" s="11">
        <f t="shared" si="6"/>
        <v>0.56960637267212721</v>
      </c>
      <c r="Q30" s="11">
        <f t="shared" si="7"/>
        <v>1.2455518629605802</v>
      </c>
      <c r="R30" s="11">
        <f t="shared" si="8"/>
        <v>0.9188300028258678</v>
      </c>
      <c r="S30" s="11">
        <f t="shared" si="9"/>
        <v>0.49270816338550771</v>
      </c>
      <c r="T30" s="11">
        <f t="shared" si="10"/>
        <v>1.0442546628552041</v>
      </c>
      <c r="U30" s="11">
        <f t="shared" si="11"/>
        <v>0.85221107638058924</v>
      </c>
      <c r="V30" s="2">
        <f t="shared" si="12"/>
        <v>0.89530401053843522</v>
      </c>
      <c r="W30" s="2">
        <f t="shared" si="13"/>
        <v>0.8548057050866612</v>
      </c>
      <c r="X30" s="2">
        <f t="shared" si="14"/>
        <v>1.0014678657072551</v>
      </c>
      <c r="Y30" s="2">
        <f t="shared" si="15"/>
        <v>7.8258801797795208E-2</v>
      </c>
      <c r="Z30" s="2">
        <f t="shared" si="16"/>
        <v>0.40218320058808021</v>
      </c>
      <c r="AA30" s="2">
        <f t="shared" si="17"/>
        <v>-6.8540064226876446E-3</v>
      </c>
      <c r="AB30" s="11">
        <f t="shared" si="18"/>
        <v>1.7796509070915436</v>
      </c>
      <c r="AC30" s="11">
        <f t="shared" si="19"/>
        <v>0.95627225906444313</v>
      </c>
      <c r="AD30" s="11">
        <f t="shared" si="20"/>
        <v>1.3019482877478805</v>
      </c>
      <c r="AE30" s="8">
        <f t="shared" si="21"/>
        <v>364.548454870152</v>
      </c>
      <c r="AF30" s="8">
        <f t="shared" si="22"/>
        <v>296.7832333573017</v>
      </c>
      <c r="AG30" s="8">
        <f t="shared" si="23"/>
        <v>98.668311494732208</v>
      </c>
      <c r="AH30" s="8">
        <f t="shared" si="24"/>
        <v>759.99999972218586</v>
      </c>
      <c r="AI30" s="11">
        <f t="shared" si="25"/>
        <v>0.47966901974133003</v>
      </c>
      <c r="AJ30" s="11">
        <f t="shared" si="26"/>
        <v>0.39050425456024906</v>
      </c>
      <c r="AK30" s="11">
        <f t="shared" si="27"/>
        <v>0.12982672569842094</v>
      </c>
      <c r="AL30" s="11">
        <f t="shared" si="28"/>
        <v>1</v>
      </c>
    </row>
    <row r="31" spans="1:38" x14ac:dyDescent="0.25">
      <c r="E31" s="8">
        <v>64.252382357549436</v>
      </c>
      <c r="F31" s="8">
        <f t="shared" si="0"/>
        <v>337.40238235754941</v>
      </c>
      <c r="G31" s="8">
        <v>0.2</v>
      </c>
      <c r="H31" s="8">
        <v>0.5</v>
      </c>
      <c r="I31" s="8">
        <v>0.30000000000000004</v>
      </c>
      <c r="J31" s="11">
        <f t="shared" si="29"/>
        <v>1.9874323367005735</v>
      </c>
      <c r="K31" s="11">
        <f t="shared" si="1"/>
        <v>-0.77539135365274725</v>
      </c>
      <c r="L31" s="11">
        <f t="shared" si="2"/>
        <v>0.28205309789250033</v>
      </c>
      <c r="M31" s="11">
        <f t="shared" si="3"/>
        <v>2.3583954054817253</v>
      </c>
      <c r="N31" s="11">
        <f t="shared" si="4"/>
        <v>-0.1405440639919201</v>
      </c>
      <c r="O31" s="11">
        <f t="shared" si="5"/>
        <v>0.5190344946417087</v>
      </c>
      <c r="P31" s="11">
        <f t="shared" si="6"/>
        <v>0.56868375875501675</v>
      </c>
      <c r="Q31" s="11">
        <f t="shared" si="7"/>
        <v>1.2463398605358282</v>
      </c>
      <c r="R31" s="11">
        <f t="shared" si="8"/>
        <v>0.91860599353989536</v>
      </c>
      <c r="S31" s="11">
        <f t="shared" si="9"/>
        <v>0.49170466503288357</v>
      </c>
      <c r="T31" s="11">
        <f t="shared" si="10"/>
        <v>1.0443849168117048</v>
      </c>
      <c r="U31" s="11">
        <f t="shared" si="11"/>
        <v>0.85181862280776455</v>
      </c>
      <c r="V31" s="2">
        <f t="shared" si="12"/>
        <v>0.97068132977777921</v>
      </c>
      <c r="W31" s="2">
        <f t="shared" si="13"/>
        <v>0.86928233859333282</v>
      </c>
      <c r="X31" s="2">
        <f t="shared" si="14"/>
        <v>1.0059136571138314</v>
      </c>
      <c r="Y31" s="2">
        <f t="shared" si="15"/>
        <v>-0.13531036892588094</v>
      </c>
      <c r="Z31" s="2">
        <f t="shared" si="16"/>
        <v>0.35868107282585698</v>
      </c>
      <c r="AA31" s="2">
        <f t="shared" si="17"/>
        <v>-2.1571917046181062E-2</v>
      </c>
      <c r="AB31" s="11">
        <f t="shared" si="18"/>
        <v>1.6283909371248804</v>
      </c>
      <c r="AC31" s="11">
        <f t="shared" si="19"/>
        <v>0.9751809177376507</v>
      </c>
      <c r="AD31" s="11">
        <f t="shared" si="20"/>
        <v>1.3366208347898492</v>
      </c>
      <c r="AE31" s="8">
        <f t="shared" si="21"/>
        <v>323.1871483968975</v>
      </c>
      <c r="AF31" s="8">
        <f t="shared" si="22"/>
        <v>364.07383285935578</v>
      </c>
      <c r="AG31" s="8">
        <f t="shared" si="23"/>
        <v>72.739018493461799</v>
      </c>
      <c r="AH31" s="8">
        <f t="shared" si="24"/>
        <v>759.99999974971502</v>
      </c>
      <c r="AI31" s="11">
        <f t="shared" si="25"/>
        <v>0.42524624803069772</v>
      </c>
      <c r="AJ31" s="11">
        <f t="shared" si="26"/>
        <v>0.47904451707796503</v>
      </c>
      <c r="AK31" s="11">
        <f t="shared" si="27"/>
        <v>9.5709234891337341E-2</v>
      </c>
      <c r="AL31" s="11">
        <f t="shared" si="28"/>
        <v>1</v>
      </c>
    </row>
    <row r="32" spans="1:38" x14ac:dyDescent="0.25">
      <c r="E32" s="8">
        <v>63.090820461382357</v>
      </c>
      <c r="F32" s="8">
        <f t="shared" si="0"/>
        <v>336.24082046138233</v>
      </c>
      <c r="G32" s="8">
        <v>0.2</v>
      </c>
      <c r="H32" s="8">
        <v>0.6</v>
      </c>
      <c r="I32" s="8">
        <v>0.20000000000000007</v>
      </c>
      <c r="J32" s="11">
        <f t="shared" si="29"/>
        <v>1.9942980279939566</v>
      </c>
      <c r="K32" s="11">
        <f t="shared" si="1"/>
        <v>-0.77806998455123422</v>
      </c>
      <c r="L32" s="11">
        <f t="shared" si="2"/>
        <v>0.28302746540313828</v>
      </c>
      <c r="M32" s="11">
        <f t="shared" si="3"/>
        <v>2.3665426085350139</v>
      </c>
      <c r="N32" s="11">
        <f t="shared" si="4"/>
        <v>-0.14102958097716145</v>
      </c>
      <c r="O32" s="11">
        <f t="shared" si="5"/>
        <v>0.52082752706098756</v>
      </c>
      <c r="P32" s="11">
        <f t="shared" si="6"/>
        <v>0.56757598747815374</v>
      </c>
      <c r="Q32" s="11">
        <f t="shared" si="7"/>
        <v>1.2472883508499288</v>
      </c>
      <c r="R32" s="11">
        <f t="shared" si="8"/>
        <v>0.91833662003298966</v>
      </c>
      <c r="S32" s="11">
        <f t="shared" si="9"/>
        <v>0.49050033099327878</v>
      </c>
      <c r="T32" s="11">
        <f t="shared" si="10"/>
        <v>1.0445416121499189</v>
      </c>
      <c r="U32" s="11">
        <f t="shared" si="11"/>
        <v>0.85134680595672718</v>
      </c>
      <c r="V32" s="2">
        <f t="shared" si="12"/>
        <v>1.046473076708613</v>
      </c>
      <c r="W32" s="2">
        <f t="shared" si="13"/>
        <v>0.88378455868697625</v>
      </c>
      <c r="X32" s="2">
        <f t="shared" si="14"/>
        <v>1.0103922912965493</v>
      </c>
      <c r="Y32" s="2">
        <f t="shared" si="15"/>
        <v>-0.35012859016681869</v>
      </c>
      <c r="Z32" s="2">
        <f t="shared" si="16"/>
        <v>0.3150641048364235</v>
      </c>
      <c r="AA32" s="2">
        <f t="shared" si="17"/>
        <v>-3.6403862333862669E-2</v>
      </c>
      <c r="AB32" s="11">
        <f t="shared" si="18"/>
        <v>1.5196064165662617</v>
      </c>
      <c r="AC32" s="11">
        <f t="shared" si="19"/>
        <v>0.98712566162302828</v>
      </c>
      <c r="AD32" s="11">
        <f t="shared" si="20"/>
        <v>1.3761587040921293</v>
      </c>
      <c r="AE32" s="8">
        <f t="shared" si="21"/>
        <v>290.33967822388206</v>
      </c>
      <c r="AF32" s="8">
        <f t="shared" si="22"/>
        <v>422.27974271658667</v>
      </c>
      <c r="AG32" s="8">
        <f t="shared" si="23"/>
        <v>47.380578938971802</v>
      </c>
      <c r="AH32" s="8">
        <f t="shared" si="24"/>
        <v>759.99999987944045</v>
      </c>
      <c r="AI32" s="11">
        <f t="shared" si="25"/>
        <v>0.38202589246044594</v>
      </c>
      <c r="AJ32" s="11">
        <f t="shared" si="26"/>
        <v>0.5556312405047017</v>
      </c>
      <c r="AK32" s="11">
        <f t="shared" si="27"/>
        <v>6.2342867034852409E-2</v>
      </c>
      <c r="AL32" s="11">
        <f t="shared" si="28"/>
        <v>1</v>
      </c>
    </row>
    <row r="33" spans="2:38" x14ac:dyDescent="0.25">
      <c r="E33" s="8">
        <v>61.83473851900937</v>
      </c>
      <c r="F33" s="8">
        <f t="shared" si="0"/>
        <v>334.98473851900934</v>
      </c>
      <c r="G33" s="8">
        <v>0.2</v>
      </c>
      <c r="H33" s="8">
        <v>0.7</v>
      </c>
      <c r="I33" s="8">
        <v>0.10000000000000009</v>
      </c>
      <c r="J33" s="11">
        <f t="shared" si="29"/>
        <v>2.0017759858010735</v>
      </c>
      <c r="K33" s="11">
        <f t="shared" si="1"/>
        <v>-0.78098748957494979</v>
      </c>
      <c r="L33" s="11">
        <f t="shared" si="2"/>
        <v>0.28408872476098307</v>
      </c>
      <c r="M33" s="11">
        <f t="shared" si="3"/>
        <v>2.3754163603649601</v>
      </c>
      <c r="N33" s="11">
        <f t="shared" si="4"/>
        <v>-0.1415583952472951</v>
      </c>
      <c r="O33" s="11">
        <f t="shared" si="5"/>
        <v>0.522780457975764</v>
      </c>
      <c r="P33" s="11">
        <f t="shared" si="6"/>
        <v>0.56637188269605776</v>
      </c>
      <c r="Q33" s="11">
        <f t="shared" si="7"/>
        <v>1.2483222466074342</v>
      </c>
      <c r="R33" s="11">
        <f t="shared" si="8"/>
        <v>0.91804331428931008</v>
      </c>
      <c r="S33" s="11">
        <f t="shared" si="9"/>
        <v>0.48919195306826468</v>
      </c>
      <c r="T33" s="11">
        <f t="shared" si="10"/>
        <v>1.0447123079653635</v>
      </c>
      <c r="U33" s="11">
        <f t="shared" si="11"/>
        <v>0.85083321089580066</v>
      </c>
      <c r="V33" s="2">
        <f t="shared" si="12"/>
        <v>1.1227447679320304</v>
      </c>
      <c r="W33" s="2">
        <f t="shared" si="13"/>
        <v>0.8983576976287917</v>
      </c>
      <c r="X33" s="2">
        <f t="shared" si="14"/>
        <v>1.0149072784336166</v>
      </c>
      <c r="Y33" s="2">
        <f t="shared" si="15"/>
        <v>-0.56624338342322644</v>
      </c>
      <c r="Z33" s="2">
        <f t="shared" si="16"/>
        <v>0.2712298243280919</v>
      </c>
      <c r="AA33" s="2">
        <f t="shared" si="17"/>
        <v>-5.1360307581113061E-2</v>
      </c>
      <c r="AB33" s="11">
        <f t="shared" si="18"/>
        <v>1.4418874645748061</v>
      </c>
      <c r="AC33" s="11">
        <f t="shared" si="19"/>
        <v>0.99579163267108273</v>
      </c>
      <c r="AD33" s="11">
        <f t="shared" si="20"/>
        <v>1.4215583704855841</v>
      </c>
      <c r="AE33" s="8">
        <f t="shared" si="21"/>
        <v>264.30132734395272</v>
      </c>
      <c r="AF33" s="8">
        <f t="shared" si="22"/>
        <v>472.583922146622</v>
      </c>
      <c r="AG33" s="8">
        <f t="shared" si="23"/>
        <v>23.114194735502171</v>
      </c>
      <c r="AH33" s="8">
        <f t="shared" si="24"/>
        <v>759.999444226077</v>
      </c>
      <c r="AI33" s="11">
        <f t="shared" si="25"/>
        <v>0.34776515871415692</v>
      </c>
      <c r="AJ33" s="11">
        <f t="shared" si="26"/>
        <v>0.62182140491939952</v>
      </c>
      <c r="AK33" s="11">
        <f t="shared" si="27"/>
        <v>3.0413436366443437E-2</v>
      </c>
      <c r="AL33" s="11">
        <f t="shared" si="28"/>
        <v>0.99999999999999989</v>
      </c>
    </row>
    <row r="34" spans="2:38" x14ac:dyDescent="0.25">
      <c r="E34" s="8">
        <v>60.534363656219881</v>
      </c>
      <c r="F34" s="8">
        <f t="shared" si="0"/>
        <v>333.68436365621983</v>
      </c>
      <c r="G34" s="8">
        <v>0.2</v>
      </c>
      <c r="H34" s="8">
        <v>0.8</v>
      </c>
      <c r="I34" s="8">
        <v>0</v>
      </c>
      <c r="J34" s="11">
        <f t="shared" si="29"/>
        <v>2.0095769481966421</v>
      </c>
      <c r="K34" s="11">
        <f t="shared" si="1"/>
        <v>-0.78403101396568997</v>
      </c>
      <c r="L34" s="11">
        <f t="shared" si="2"/>
        <v>0.28519582439380164</v>
      </c>
      <c r="M34" s="11">
        <f t="shared" si="3"/>
        <v>2.3846734070237599</v>
      </c>
      <c r="N34" s="11">
        <f t="shared" si="4"/>
        <v>-0.14211005123974085</v>
      </c>
      <c r="O34" s="11">
        <f t="shared" si="5"/>
        <v>0.52481774422694016</v>
      </c>
      <c r="P34" s="11">
        <f t="shared" si="6"/>
        <v>0.56511848984243784</v>
      </c>
      <c r="Q34" s="11">
        <f t="shared" si="7"/>
        <v>1.2494017140391966</v>
      </c>
      <c r="R34" s="11">
        <f t="shared" si="8"/>
        <v>0.91773743926631202</v>
      </c>
      <c r="S34" s="11">
        <f t="shared" si="9"/>
        <v>0.4878307800223754</v>
      </c>
      <c r="T34" s="11">
        <f t="shared" si="10"/>
        <v>1.0448904065821958</v>
      </c>
      <c r="U34" s="11">
        <f t="shared" si="11"/>
        <v>0.85029776169385918</v>
      </c>
      <c r="V34" s="2">
        <f t="shared" si="12"/>
        <v>1.1995213712313573</v>
      </c>
      <c r="W34" s="2">
        <f t="shared" si="13"/>
        <v>0.91302369796848759</v>
      </c>
      <c r="X34" s="2">
        <f t="shared" si="14"/>
        <v>1.0194598131190191</v>
      </c>
      <c r="Y34" s="2">
        <f t="shared" si="15"/>
        <v>-0.78365575416689792</v>
      </c>
      <c r="Z34" s="2">
        <f t="shared" si="16"/>
        <v>0.22712981803741228</v>
      </c>
      <c r="AA34" s="2">
        <f t="shared" si="17"/>
        <v>-6.6444566261725138E-2</v>
      </c>
      <c r="AB34" s="11">
        <f t="shared" si="18"/>
        <v>1.3875055569619599</v>
      </c>
      <c r="AC34" s="11">
        <f t="shared" si="19"/>
        <v>1.0035693210655403</v>
      </c>
      <c r="AD34" s="11">
        <f t="shared" si="20"/>
        <v>1.4734322500565535</v>
      </c>
      <c r="AE34" s="8">
        <f t="shared" si="21"/>
        <v>243.55783330480773</v>
      </c>
      <c r="AF34" s="8">
        <f t="shared" si="22"/>
        <v>516.44199945587002</v>
      </c>
      <c r="AG34" s="8">
        <f t="shared" si="23"/>
        <v>0</v>
      </c>
      <c r="AH34" s="8">
        <f t="shared" si="24"/>
        <v>759.99983276067769</v>
      </c>
      <c r="AI34" s="11">
        <f t="shared" si="25"/>
        <v>0.32047090381597959</v>
      </c>
      <c r="AJ34" s="11">
        <f t="shared" si="26"/>
        <v>0.67952909618402046</v>
      </c>
      <c r="AK34" s="11">
        <f t="shared" si="27"/>
        <v>0</v>
      </c>
      <c r="AL34" s="11">
        <f t="shared" si="28"/>
        <v>1</v>
      </c>
    </row>
    <row r="35" spans="2:38" x14ac:dyDescent="0.25">
      <c r="E35" s="8">
        <v>61.547653257236341</v>
      </c>
      <c r="F35" s="8">
        <f t="shared" si="0"/>
        <v>334.69765325723631</v>
      </c>
      <c r="G35" s="8">
        <v>0.3</v>
      </c>
      <c r="H35" s="8">
        <v>0</v>
      </c>
      <c r="I35" s="8">
        <v>0.7</v>
      </c>
      <c r="J35" s="11">
        <f t="shared" si="29"/>
        <v>2.00349299928265</v>
      </c>
      <c r="K35" s="11">
        <f t="shared" si="1"/>
        <v>-0.78165737774328348</v>
      </c>
      <c r="L35" s="11">
        <f t="shared" si="2"/>
        <v>0.28433240046387803</v>
      </c>
      <c r="M35" s="11">
        <f t="shared" si="3"/>
        <v>2.3774538620354937</v>
      </c>
      <c r="N35" s="11">
        <f t="shared" si="4"/>
        <v>-0.14167981626283027</v>
      </c>
      <c r="O35" s="11">
        <f t="shared" si="5"/>
        <v>0.52322887033589616</v>
      </c>
      <c r="P35" s="11">
        <f t="shared" si="6"/>
        <v>0.56609576906550474</v>
      </c>
      <c r="Q35" s="11">
        <f t="shared" si="7"/>
        <v>1.2485597603101284</v>
      </c>
      <c r="R35" s="11">
        <f t="shared" si="8"/>
        <v>0.91797598159882599</v>
      </c>
      <c r="S35" s="11">
        <f t="shared" si="9"/>
        <v>0.48889202949153299</v>
      </c>
      <c r="T35" s="11">
        <f t="shared" si="10"/>
        <v>1.0447515053597611</v>
      </c>
      <c r="U35" s="11">
        <f t="shared" si="11"/>
        <v>0.85071532810726813</v>
      </c>
      <c r="V35" s="2">
        <f t="shared" si="12"/>
        <v>0.64222442064407304</v>
      </c>
      <c r="W35" s="2">
        <f t="shared" si="13"/>
        <v>0.76532946039473904</v>
      </c>
      <c r="X35" s="2">
        <f t="shared" si="14"/>
        <v>0.97539279447964766</v>
      </c>
      <c r="Y35" s="2">
        <f t="shared" si="15"/>
        <v>0.81362277054311083</v>
      </c>
      <c r="Z35" s="2">
        <f t="shared" si="16"/>
        <v>0.65183384714597792</v>
      </c>
      <c r="AA35" s="2">
        <f t="shared" si="17"/>
        <v>7.8303094324853675E-2</v>
      </c>
      <c r="AB35" s="11">
        <f t="shared" si="18"/>
        <v>2.2468239398752554</v>
      </c>
      <c r="AC35" s="11">
        <f t="shared" si="19"/>
        <v>0.6007982869885975</v>
      </c>
      <c r="AD35" s="11">
        <f t="shared" si="20"/>
        <v>1.3182326850515216</v>
      </c>
      <c r="AE35" s="8">
        <f t="shared" si="21"/>
        <v>611.91566765224536</v>
      </c>
      <c r="AF35" s="8">
        <f t="shared" si="22"/>
        <v>0</v>
      </c>
      <c r="AG35" s="8">
        <f t="shared" si="23"/>
        <v>148.08433313941822</v>
      </c>
      <c r="AH35" s="8">
        <f t="shared" si="24"/>
        <v>760.00000079166352</v>
      </c>
      <c r="AI35" s="11">
        <f t="shared" si="25"/>
        <v>0.80515219344057332</v>
      </c>
      <c r="AJ35" s="11">
        <f t="shared" si="26"/>
        <v>0</v>
      </c>
      <c r="AK35" s="11">
        <f t="shared" si="27"/>
        <v>0.19484780655942674</v>
      </c>
      <c r="AL35" s="11">
        <f t="shared" si="28"/>
        <v>1</v>
      </c>
    </row>
    <row r="36" spans="2:38" x14ac:dyDescent="0.25">
      <c r="E36" s="8">
        <v>62.730426299917063</v>
      </c>
      <c r="F36" s="8">
        <f t="shared" si="0"/>
        <v>335.88042629991702</v>
      </c>
      <c r="G36" s="8">
        <v>0.3</v>
      </c>
      <c r="H36" s="8">
        <v>0.1</v>
      </c>
      <c r="I36" s="8">
        <v>0.6</v>
      </c>
      <c r="J36" s="11">
        <f t="shared" si="29"/>
        <v>1.9964378769081323</v>
      </c>
      <c r="K36" s="11">
        <f t="shared" si="1"/>
        <v>-0.77890484082056999</v>
      </c>
      <c r="L36" s="11">
        <f t="shared" si="2"/>
        <v>0.28333114920867963</v>
      </c>
      <c r="M36" s="11">
        <f t="shared" si="3"/>
        <v>2.3690818697488045</v>
      </c>
      <c r="N36" s="11">
        <f t="shared" si="4"/>
        <v>-0.1411809033931116</v>
      </c>
      <c r="O36" s="11">
        <f t="shared" si="5"/>
        <v>0.52138636641328606</v>
      </c>
      <c r="P36" s="11">
        <f t="shared" si="6"/>
        <v>0.56723116663713857</v>
      </c>
      <c r="Q36" s="11">
        <f t="shared" si="7"/>
        <v>1.2475841169573172</v>
      </c>
      <c r="R36" s="11">
        <f t="shared" si="8"/>
        <v>0.91825267979766578</v>
      </c>
      <c r="S36" s="11">
        <f t="shared" si="9"/>
        <v>0.4901255761791587</v>
      </c>
      <c r="T36" s="11">
        <f t="shared" si="10"/>
        <v>1.0445904546229496</v>
      </c>
      <c r="U36" s="11">
        <f t="shared" si="11"/>
        <v>0.85119980692492347</v>
      </c>
      <c r="V36" s="2">
        <f t="shared" si="12"/>
        <v>0.71883375740322686</v>
      </c>
      <c r="W36" s="2">
        <f t="shared" si="13"/>
        <v>0.78088923414609557</v>
      </c>
      <c r="X36" s="2">
        <f t="shared" si="14"/>
        <v>0.9799348494015947</v>
      </c>
      <c r="Y36" s="2">
        <f t="shared" si="15"/>
        <v>0.59951363905284771</v>
      </c>
      <c r="Z36" s="2">
        <f t="shared" si="16"/>
        <v>0.60601492046571748</v>
      </c>
      <c r="AA36" s="2">
        <f t="shared" si="17"/>
        <v>6.3303253703357792E-2</v>
      </c>
      <c r="AB36" s="11">
        <f t="shared" si="18"/>
        <v>2.0088588765913653</v>
      </c>
      <c r="AC36" s="11">
        <f t="shared" si="19"/>
        <v>0.74472949429377033</v>
      </c>
      <c r="AD36" s="11">
        <f t="shared" si="20"/>
        <v>1.3651791777186717</v>
      </c>
      <c r="AE36" s="8">
        <f t="shared" si="21"/>
        <v>568.93752851548709</v>
      </c>
      <c r="AF36" s="8">
        <f t="shared" si="22"/>
        <v>52.338405308767072</v>
      </c>
      <c r="AG36" s="8">
        <f t="shared" si="23"/>
        <v>138.72418940400152</v>
      </c>
      <c r="AH36" s="8">
        <f t="shared" si="24"/>
        <v>760.00012322825569</v>
      </c>
      <c r="AI36" s="11">
        <f t="shared" si="25"/>
        <v>0.74860188982444997</v>
      </c>
      <c r="AJ36" s="11">
        <f t="shared" si="26"/>
        <v>6.8866311608541605E-2</v>
      </c>
      <c r="AK36" s="11">
        <f t="shared" si="27"/>
        <v>0.18253179856700838</v>
      </c>
      <c r="AL36" s="11">
        <f t="shared" si="28"/>
        <v>1</v>
      </c>
    </row>
    <row r="37" spans="2:38" x14ac:dyDescent="0.25">
      <c r="E37" s="8">
        <v>63.074046245295214</v>
      </c>
      <c r="F37" s="8">
        <f t="shared" si="0"/>
        <v>336.2240462452952</v>
      </c>
      <c r="G37" s="8">
        <v>0.3</v>
      </c>
      <c r="H37" s="8">
        <v>0.2</v>
      </c>
      <c r="I37" s="8">
        <v>0.49999999999999994</v>
      </c>
      <c r="J37" s="11">
        <f t="shared" si="29"/>
        <v>1.9943975235132012</v>
      </c>
      <c r="K37" s="11">
        <f t="shared" si="1"/>
        <v>-0.77810880245910696</v>
      </c>
      <c r="L37" s="11">
        <f t="shared" si="2"/>
        <v>0.28304158564205717</v>
      </c>
      <c r="M37" s="11">
        <f t="shared" si="3"/>
        <v>2.3666606753346322</v>
      </c>
      <c r="N37" s="11">
        <f t="shared" si="4"/>
        <v>-0.14103661694229364</v>
      </c>
      <c r="O37" s="11">
        <f t="shared" si="5"/>
        <v>0.52085351114386502</v>
      </c>
      <c r="P37" s="11">
        <f t="shared" si="6"/>
        <v>0.56755994986474589</v>
      </c>
      <c r="Q37" s="11">
        <f t="shared" si="7"/>
        <v>1.2473021013890231</v>
      </c>
      <c r="R37" s="11">
        <f t="shared" si="8"/>
        <v>0.91833271693440677</v>
      </c>
      <c r="S37" s="11">
        <f t="shared" si="9"/>
        <v>0.4904828998499236</v>
      </c>
      <c r="T37" s="11">
        <f t="shared" si="10"/>
        <v>1.0445438831041214</v>
      </c>
      <c r="U37" s="11">
        <f t="shared" si="11"/>
        <v>0.85133997045118592</v>
      </c>
      <c r="V37" s="2">
        <f t="shared" si="12"/>
        <v>0.79470187020276639</v>
      </c>
      <c r="W37" s="2">
        <f t="shared" si="13"/>
        <v>0.79593797018501666</v>
      </c>
      <c r="X37" s="2">
        <f t="shared" si="14"/>
        <v>0.98440859170114625</v>
      </c>
      <c r="Y37" s="2">
        <f t="shared" si="15"/>
        <v>0.38629594661614625</v>
      </c>
      <c r="Z37" s="2">
        <f t="shared" si="16"/>
        <v>0.56129375392996494</v>
      </c>
      <c r="AA37" s="2">
        <f t="shared" si="17"/>
        <v>4.851411740027349E-2</v>
      </c>
      <c r="AB37" s="11">
        <f t="shared" si="18"/>
        <v>1.813906555429686</v>
      </c>
      <c r="AC37" s="11">
        <f t="shared" si="19"/>
        <v>0.84515947625735333</v>
      </c>
      <c r="AD37" s="11">
        <f t="shared" si="20"/>
        <v>1.3951715762359254</v>
      </c>
      <c r="AE37" s="8">
        <f t="shared" si="21"/>
        <v>519.56746393694061</v>
      </c>
      <c r="AF37" s="8">
        <f t="shared" si="22"/>
        <v>120.43547562037281</v>
      </c>
      <c r="AG37" s="8">
        <f t="shared" si="23"/>
        <v>119.99684557163644</v>
      </c>
      <c r="AH37" s="8">
        <f t="shared" si="24"/>
        <v>759.99978512894984</v>
      </c>
      <c r="AI37" s="11">
        <f t="shared" si="25"/>
        <v>0.68364159319964168</v>
      </c>
      <c r="AJ37" s="11">
        <f t="shared" si="26"/>
        <v>0.15846777588225031</v>
      </c>
      <c r="AK37" s="11">
        <f t="shared" si="27"/>
        <v>0.15789063091810804</v>
      </c>
      <c r="AL37" s="11">
        <f t="shared" si="28"/>
        <v>1</v>
      </c>
    </row>
    <row r="38" spans="2:38" x14ac:dyDescent="0.25">
      <c r="E38" s="8">
        <v>62.767032745019797</v>
      </c>
      <c r="F38" s="8">
        <f t="shared" si="0"/>
        <v>335.91703274501975</v>
      </c>
      <c r="G38" s="8">
        <v>0.3</v>
      </c>
      <c r="H38" s="8">
        <v>0.3</v>
      </c>
      <c r="I38" s="8">
        <v>0.39999999999999997</v>
      </c>
      <c r="J38" s="11">
        <f t="shared" si="29"/>
        <v>1.9962203157652967</v>
      </c>
      <c r="K38" s="11">
        <f t="shared" si="1"/>
        <v>-0.77881995992881303</v>
      </c>
      <c r="L38" s="11">
        <f t="shared" si="2"/>
        <v>0.28330027329246116</v>
      </c>
      <c r="M38" s="11">
        <f t="shared" si="3"/>
        <v>2.3688236998528032</v>
      </c>
      <c r="N38" s="11">
        <f t="shared" si="4"/>
        <v>-0.14116551825188375</v>
      </c>
      <c r="O38" s="11">
        <f t="shared" si="5"/>
        <v>0.52132954851023583</v>
      </c>
      <c r="P38" s="11">
        <f t="shared" si="6"/>
        <v>0.56726621543879974</v>
      </c>
      <c r="Q38" s="11">
        <f t="shared" si="7"/>
        <v>1.247554042840926</v>
      </c>
      <c r="R38" s="11">
        <f t="shared" si="8"/>
        <v>0.91826121375705705</v>
      </c>
      <c r="S38" s="11">
        <f t="shared" si="9"/>
        <v>0.49016366489543817</v>
      </c>
      <c r="T38" s="11">
        <f t="shared" si="10"/>
        <v>1.0445854886427077</v>
      </c>
      <c r="U38" s="11">
        <f t="shared" si="11"/>
        <v>0.85121475134303559</v>
      </c>
      <c r="V38" s="2">
        <f t="shared" si="12"/>
        <v>0.87033167881045315</v>
      </c>
      <c r="W38" s="2">
        <f t="shared" si="13"/>
        <v>0.81066576516885414</v>
      </c>
      <c r="X38" s="2">
        <f t="shared" si="14"/>
        <v>0.98885401071992929</v>
      </c>
      <c r="Y38" s="2">
        <f t="shared" si="15"/>
        <v>0.17295852558808894</v>
      </c>
      <c r="Z38" s="2">
        <f t="shared" si="16"/>
        <v>0.5172218639130346</v>
      </c>
      <c r="AA38" s="2">
        <f t="shared" si="17"/>
        <v>3.3805260284578892E-2</v>
      </c>
      <c r="AB38" s="11">
        <f t="shared" si="18"/>
        <v>1.6617646781408713</v>
      </c>
      <c r="AC38" s="11">
        <f t="shared" si="19"/>
        <v>0.91159950058113726</v>
      </c>
      <c r="AD38" s="11">
        <f t="shared" si="20"/>
        <v>1.4194270520219667</v>
      </c>
      <c r="AE38" s="8">
        <f t="shared" si="21"/>
        <v>471.20346830366299</v>
      </c>
      <c r="AF38" s="8">
        <f t="shared" si="22"/>
        <v>192.47895401914735</v>
      </c>
      <c r="AG38" s="8">
        <f t="shared" si="23"/>
        <v>96.317534892399138</v>
      </c>
      <c r="AH38" s="8">
        <f t="shared" si="24"/>
        <v>759.99995721520952</v>
      </c>
      <c r="AI38" s="11">
        <f t="shared" si="25"/>
        <v>0.6200045984610919</v>
      </c>
      <c r="AJ38" s="11">
        <f t="shared" si="26"/>
        <v>0.25326179586171083</v>
      </c>
      <c r="AK38" s="11">
        <f t="shared" si="27"/>
        <v>0.12673360567719724</v>
      </c>
      <c r="AL38" s="11">
        <f t="shared" si="28"/>
        <v>1</v>
      </c>
    </row>
    <row r="39" spans="2:38" x14ac:dyDescent="0.25">
      <c r="E39" s="8">
        <v>62.041138377400429</v>
      </c>
      <c r="F39" s="8">
        <f t="shared" si="0"/>
        <v>335.19113837740042</v>
      </c>
      <c r="G39" s="8">
        <v>0.3</v>
      </c>
      <c r="H39" s="8">
        <v>0.4</v>
      </c>
      <c r="I39" s="8">
        <v>0.29999999999999993</v>
      </c>
      <c r="J39" s="11">
        <f t="shared" si="29"/>
        <v>2.0005433569135675</v>
      </c>
      <c r="K39" s="11">
        <f t="shared" si="1"/>
        <v>-0.7805065827465838</v>
      </c>
      <c r="L39" s="11">
        <f t="shared" si="2"/>
        <v>0.28391379211555273</v>
      </c>
      <c r="M39" s="11">
        <f t="shared" si="3"/>
        <v>2.3739536558233882</v>
      </c>
      <c r="N39" s="11">
        <f t="shared" si="4"/>
        <v>-0.14147122816741778</v>
      </c>
      <c r="O39" s="11">
        <f t="shared" si="5"/>
        <v>0.52245854668354386</v>
      </c>
      <c r="P39" s="11">
        <f t="shared" si="6"/>
        <v>0.56657018528519543</v>
      </c>
      <c r="Q39" s="11">
        <f t="shared" si="7"/>
        <v>1.2481517654690064</v>
      </c>
      <c r="R39" s="11">
        <f t="shared" si="8"/>
        <v>0.91809165488140132</v>
      </c>
      <c r="S39" s="11">
        <f t="shared" si="9"/>
        <v>0.48940737901874193</v>
      </c>
      <c r="T39" s="11">
        <f t="shared" si="10"/>
        <v>1.0446841694072662</v>
      </c>
      <c r="U39" s="11">
        <f t="shared" si="11"/>
        <v>0.85091784798606196</v>
      </c>
      <c r="V39" s="2">
        <f t="shared" si="12"/>
        <v>0.94608291989322513</v>
      </c>
      <c r="W39" s="2">
        <f t="shared" si="13"/>
        <v>0.82524640998137722</v>
      </c>
      <c r="X39" s="2">
        <f t="shared" si="14"/>
        <v>0.99330116422732673</v>
      </c>
      <c r="Y39" s="2">
        <f t="shared" si="15"/>
        <v>-4.1127136703586531E-2</v>
      </c>
      <c r="Z39" s="2">
        <f t="shared" si="16"/>
        <v>0.47340525678104195</v>
      </c>
      <c r="AA39" s="2">
        <f t="shared" si="17"/>
        <v>1.9080563976864716E-2</v>
      </c>
      <c r="AB39" s="11">
        <f t="shared" si="18"/>
        <v>1.5458328385054654</v>
      </c>
      <c r="AC39" s="11">
        <f t="shared" si="19"/>
        <v>0.95427435122360427</v>
      </c>
      <c r="AD39" s="11">
        <f t="shared" si="20"/>
        <v>1.4440502509811213</v>
      </c>
      <c r="AE39" s="8">
        <f t="shared" si="21"/>
        <v>427.94799734110649</v>
      </c>
      <c r="AF39" s="8">
        <f t="shared" si="22"/>
        <v>260.94616388372128</v>
      </c>
      <c r="AG39" s="8">
        <f t="shared" si="23"/>
        <v>71.105837502288693</v>
      </c>
      <c r="AH39" s="8">
        <f t="shared" si="24"/>
        <v>759.99999872711646</v>
      </c>
      <c r="AI39" s="11">
        <f t="shared" si="25"/>
        <v>0.56308947112875496</v>
      </c>
      <c r="AJ39" s="11">
        <f t="shared" si="26"/>
        <v>0.34335021621153439</v>
      </c>
      <c r="AK39" s="11">
        <f t="shared" si="27"/>
        <v>9.3560312659710626E-2</v>
      </c>
      <c r="AL39" s="11">
        <f t="shared" si="28"/>
        <v>1</v>
      </c>
    </row>
    <row r="40" spans="2:38" x14ac:dyDescent="0.25">
      <c r="E40" s="8">
        <v>61.070572184075957</v>
      </c>
      <c r="F40" s="8">
        <f t="shared" si="0"/>
        <v>334.22057218407593</v>
      </c>
      <c r="G40" s="8">
        <v>0.3</v>
      </c>
      <c r="H40" s="8">
        <v>0.5</v>
      </c>
      <c r="I40" s="8">
        <v>0.19999999999999996</v>
      </c>
      <c r="J40" s="11">
        <f t="shared" si="29"/>
        <v>2.0063528728802593</v>
      </c>
      <c r="K40" s="11">
        <f t="shared" si="1"/>
        <v>-0.78277314969645972</v>
      </c>
      <c r="L40" s="11">
        <f t="shared" si="2"/>
        <v>0.28473826897718091</v>
      </c>
      <c r="M40" s="11">
        <f t="shared" si="3"/>
        <v>2.3808475437364049</v>
      </c>
      <c r="N40" s="11">
        <f t="shared" si="4"/>
        <v>-0.14188205623371578</v>
      </c>
      <c r="O40" s="11">
        <f t="shared" si="5"/>
        <v>0.52397575012650011</v>
      </c>
      <c r="P40" s="11">
        <f t="shared" si="6"/>
        <v>0.56563617042911707</v>
      </c>
      <c r="Q40" s="11">
        <f t="shared" si="7"/>
        <v>1.2489554656635489</v>
      </c>
      <c r="R40" s="11">
        <f t="shared" si="8"/>
        <v>0.91786384260715848</v>
      </c>
      <c r="S40" s="11">
        <f t="shared" si="9"/>
        <v>0.48839288214979359</v>
      </c>
      <c r="T40" s="11">
        <f t="shared" si="10"/>
        <v>1.0448167961686556</v>
      </c>
      <c r="U40" s="11">
        <f t="shared" si="11"/>
        <v>0.85051901769636129</v>
      </c>
      <c r="V40" s="2">
        <f t="shared" si="12"/>
        <v>1.022156309261733</v>
      </c>
      <c r="W40" s="2">
        <f t="shared" si="13"/>
        <v>0.8397946546680074</v>
      </c>
      <c r="X40" s="2">
        <f t="shared" si="14"/>
        <v>0.99776755086647528</v>
      </c>
      <c r="Y40" s="2">
        <f t="shared" si="15"/>
        <v>-0.25626660307509652</v>
      </c>
      <c r="Z40" s="2">
        <f t="shared" si="16"/>
        <v>0.42958999472249509</v>
      </c>
      <c r="AA40" s="2">
        <f t="shared" si="17"/>
        <v>4.2849107962457944E-3</v>
      </c>
      <c r="AB40" s="11">
        <f t="shared" si="18"/>
        <v>1.4591831648355946</v>
      </c>
      <c r="AC40" s="11">
        <f t="shared" si="19"/>
        <v>0.98150243662687464</v>
      </c>
      <c r="AD40" s="11">
        <f t="shared" si="20"/>
        <v>1.4724724026651406</v>
      </c>
      <c r="AE40" s="8">
        <f t="shared" si="21"/>
        <v>391.14744802352874</v>
      </c>
      <c r="AF40" s="8">
        <f t="shared" si="22"/>
        <v>322.61365619295594</v>
      </c>
      <c r="AG40" s="8">
        <f t="shared" si="23"/>
        <v>46.238894696262214</v>
      </c>
      <c r="AH40" s="8">
        <f t="shared" si="24"/>
        <v>759.99999891274695</v>
      </c>
      <c r="AI40" s="11">
        <f t="shared" si="25"/>
        <v>0.51466769550408253</v>
      </c>
      <c r="AJ40" s="11">
        <f t="shared" si="26"/>
        <v>0.42449165349274448</v>
      </c>
      <c r="AK40" s="11">
        <f t="shared" si="27"/>
        <v>6.0840651003172895E-2</v>
      </c>
      <c r="AL40" s="11">
        <f t="shared" si="28"/>
        <v>1</v>
      </c>
    </row>
    <row r="41" spans="2:38" x14ac:dyDescent="0.25">
      <c r="E41" s="8">
        <v>59.964964812822316</v>
      </c>
      <c r="F41" s="8">
        <f t="shared" si="0"/>
        <v>333.11496481282228</v>
      </c>
      <c r="G41" s="8">
        <v>0.3</v>
      </c>
      <c r="H41" s="8">
        <v>0.6</v>
      </c>
      <c r="I41" s="8">
        <v>9.9999999999999978E-2</v>
      </c>
      <c r="J41" s="11">
        <f t="shared" si="29"/>
        <v>2.0130119508560531</v>
      </c>
      <c r="K41" s="11">
        <f t="shared" si="1"/>
        <v>-0.785371170967615</v>
      </c>
      <c r="L41" s="11">
        <f t="shared" si="2"/>
        <v>0.28568331426878485</v>
      </c>
      <c r="M41" s="11">
        <f t="shared" si="3"/>
        <v>2.3887495681791231</v>
      </c>
      <c r="N41" s="11">
        <f t="shared" si="4"/>
        <v>-0.14235296226854</v>
      </c>
      <c r="O41" s="11">
        <f t="shared" si="5"/>
        <v>0.52571482375840228</v>
      </c>
      <c r="P41" s="11">
        <f t="shared" si="6"/>
        <v>0.56456746254253276</v>
      </c>
      <c r="Q41" s="11">
        <f t="shared" si="7"/>
        <v>1.2498773325700543</v>
      </c>
      <c r="R41" s="11">
        <f t="shared" si="8"/>
        <v>0.91760278544516083</v>
      </c>
      <c r="S41" s="11">
        <f t="shared" si="9"/>
        <v>0.48723261550911157</v>
      </c>
      <c r="T41" s="11">
        <f t="shared" si="10"/>
        <v>1.0449688384854154</v>
      </c>
      <c r="U41" s="11">
        <f t="shared" si="11"/>
        <v>0.85006209388088327</v>
      </c>
      <c r="V41" s="2">
        <f t="shared" si="12"/>
        <v>1.0986496610929437</v>
      </c>
      <c r="W41" s="2">
        <f t="shared" si="13"/>
        <v>0.85437644815084812</v>
      </c>
      <c r="X41" s="2">
        <f t="shared" si="14"/>
        <v>1.0022621387247974</v>
      </c>
      <c r="Y41" s="2">
        <f t="shared" si="15"/>
        <v>-0.47258290455783614</v>
      </c>
      <c r="Z41" s="2">
        <f t="shared" si="16"/>
        <v>0.38563333913560732</v>
      </c>
      <c r="AA41" s="2">
        <f t="shared" si="17"/>
        <v>-1.0609504303555978E-2</v>
      </c>
      <c r="AB41" s="11">
        <f t="shared" si="18"/>
        <v>1.3959719637552328</v>
      </c>
      <c r="AC41" s="11">
        <f t="shared" si="19"/>
        <v>0.99941217379177516</v>
      </c>
      <c r="AD41" s="11">
        <f t="shared" si="20"/>
        <v>1.5066626246020594</v>
      </c>
      <c r="AE41" s="8">
        <f t="shared" si="21"/>
        <v>360.62166819863717</v>
      </c>
      <c r="AF41" s="8">
        <f t="shared" si="22"/>
        <v>376.89616133448487</v>
      </c>
      <c r="AG41" s="8">
        <f t="shared" si="23"/>
        <v>22.482158164399912</v>
      </c>
      <c r="AH41" s="8">
        <f t="shared" si="24"/>
        <v>759.99998769752199</v>
      </c>
      <c r="AI41" s="11">
        <f t="shared" si="25"/>
        <v>0.47450220267919746</v>
      </c>
      <c r="AJ41" s="11">
        <f t="shared" si="26"/>
        <v>0.49591600978352723</v>
      </c>
      <c r="AK41" s="11">
        <f t="shared" si="27"/>
        <v>2.9581787537275268E-2</v>
      </c>
      <c r="AL41" s="11">
        <f t="shared" si="28"/>
        <v>1</v>
      </c>
    </row>
    <row r="42" spans="2:38" x14ac:dyDescent="0.25">
      <c r="B42" s="8"/>
      <c r="E42" s="8">
        <v>58.787283041860455</v>
      </c>
      <c r="F42" s="8">
        <f t="shared" si="0"/>
        <v>331.93728304186044</v>
      </c>
      <c r="G42" s="8">
        <v>0.3</v>
      </c>
      <c r="H42" s="8">
        <v>0.7</v>
      </c>
      <c r="I42" s="8">
        <v>0</v>
      </c>
      <c r="J42" s="11">
        <f t="shared" si="29"/>
        <v>2.0201539249588913</v>
      </c>
      <c r="K42" s="11">
        <f t="shared" si="1"/>
        <v>-0.78815759285735154</v>
      </c>
      <c r="L42" s="11">
        <f t="shared" si="2"/>
        <v>0.28669689137708426</v>
      </c>
      <c r="M42" s="11">
        <f t="shared" si="3"/>
        <v>2.3972246234547994</v>
      </c>
      <c r="N42" s="11">
        <f t="shared" si="4"/>
        <v>-0.14285801697998965</v>
      </c>
      <c r="O42" s="11">
        <f t="shared" si="5"/>
        <v>0.5275800097326655</v>
      </c>
      <c r="P42" s="11">
        <f t="shared" si="6"/>
        <v>0.56342349925701762</v>
      </c>
      <c r="Q42" s="11">
        <f t="shared" si="7"/>
        <v>1.2508668067242892</v>
      </c>
      <c r="R42" s="11">
        <f t="shared" si="8"/>
        <v>0.91732287973055915</v>
      </c>
      <c r="S42" s="11">
        <f t="shared" si="9"/>
        <v>0.48599127318132201</v>
      </c>
      <c r="T42" s="11">
        <f t="shared" si="10"/>
        <v>1.045131931039827</v>
      </c>
      <c r="U42" s="11">
        <f t="shared" si="11"/>
        <v>0.84957230815311746</v>
      </c>
      <c r="V42" s="2">
        <f t="shared" si="12"/>
        <v>1.1756067647070023</v>
      </c>
      <c r="W42" s="2">
        <f t="shared" si="13"/>
        <v>0.86902704977710521</v>
      </c>
      <c r="X42" s="2">
        <f t="shared" si="14"/>
        <v>1.0067892156470466</v>
      </c>
      <c r="Y42" s="2">
        <f t="shared" si="15"/>
        <v>-0.69011611996108435</v>
      </c>
      <c r="Z42" s="2">
        <f t="shared" si="16"/>
        <v>0.34146065803144116</v>
      </c>
      <c r="AA42" s="2">
        <f t="shared" si="17"/>
        <v>-2.5615747203224015E-2</v>
      </c>
      <c r="AB42" s="11">
        <f t="shared" si="18"/>
        <v>1.3515744059469346</v>
      </c>
      <c r="AC42" s="11">
        <f t="shared" si="19"/>
        <v>1.0122979964539909</v>
      </c>
      <c r="AD42" s="11">
        <f t="shared" si="20"/>
        <v>1.5477627699561805</v>
      </c>
      <c r="AE42" s="8">
        <f t="shared" si="21"/>
        <v>335.56941303420876</v>
      </c>
      <c r="AF42" s="8">
        <f t="shared" si="22"/>
        <v>424.43054073385463</v>
      </c>
      <c r="AG42" s="8">
        <f t="shared" si="23"/>
        <v>0</v>
      </c>
      <c r="AH42" s="8">
        <f t="shared" si="24"/>
        <v>759.99995376806339</v>
      </c>
      <c r="AI42" s="11">
        <f t="shared" si="25"/>
        <v>0.44153872822026219</v>
      </c>
      <c r="AJ42" s="11">
        <f t="shared" si="26"/>
        <v>0.55846127177973781</v>
      </c>
      <c r="AK42" s="11">
        <f t="shared" si="27"/>
        <v>0</v>
      </c>
      <c r="AL42" s="11">
        <f t="shared" si="28"/>
        <v>1</v>
      </c>
    </row>
    <row r="43" spans="2:38" x14ac:dyDescent="0.25">
      <c r="B43" s="8"/>
      <c r="E43" s="8">
        <v>61.466223224065388</v>
      </c>
      <c r="F43" s="8">
        <f t="shared" si="0"/>
        <v>334.61622322406538</v>
      </c>
      <c r="G43" s="14">
        <v>0.4</v>
      </c>
      <c r="H43" s="14">
        <v>0</v>
      </c>
      <c r="I43" s="14">
        <v>0.6</v>
      </c>
      <c r="J43" s="11">
        <f t="shared" si="29"/>
        <v>2.0039805563407551</v>
      </c>
      <c r="K43" s="11">
        <f t="shared" si="1"/>
        <v>-0.78184759681151828</v>
      </c>
      <c r="L43" s="11">
        <f t="shared" si="2"/>
        <v>0.28440159375217189</v>
      </c>
      <c r="M43" s="11">
        <f t="shared" si="3"/>
        <v>2.3780324237829862</v>
      </c>
      <c r="N43" s="11">
        <f t="shared" si="4"/>
        <v>-0.14171429454373002</v>
      </c>
      <c r="O43" s="11">
        <f t="shared" si="5"/>
        <v>0.52335619991919291</v>
      </c>
      <c r="P43" s="11">
        <f t="shared" si="6"/>
        <v>0.56601738935957302</v>
      </c>
      <c r="Q43" s="11">
        <f t="shared" si="7"/>
        <v>1.2486272120963442</v>
      </c>
      <c r="R43" s="11">
        <f t="shared" si="8"/>
        <v>0.9179568629471212</v>
      </c>
      <c r="S43" s="11">
        <f t="shared" si="9"/>
        <v>0.48880689778216546</v>
      </c>
      <c r="T43" s="11">
        <f t="shared" si="10"/>
        <v>1.0447626359809372</v>
      </c>
      <c r="U43" s="11">
        <f t="shared" si="11"/>
        <v>0.8506818575061964</v>
      </c>
      <c r="V43" s="2">
        <f t="shared" si="12"/>
        <v>0.69328413866929928</v>
      </c>
      <c r="W43" s="2">
        <f t="shared" si="13"/>
        <v>0.73681607024754703</v>
      </c>
      <c r="X43" s="2">
        <f t="shared" si="14"/>
        <v>0.9671827451788485</v>
      </c>
      <c r="Y43" s="2">
        <f t="shared" si="15"/>
        <v>0.69743919113685915</v>
      </c>
      <c r="Z43" s="2">
        <f t="shared" si="16"/>
        <v>0.7208409117017216</v>
      </c>
      <c r="AA43" s="2">
        <f t="shared" si="17"/>
        <v>0.10442735792716212</v>
      </c>
      <c r="AB43" s="11">
        <f t="shared" si="18"/>
        <v>1.6922214442010741</v>
      </c>
      <c r="AC43" s="11">
        <f t="shared" si="19"/>
        <v>0.62406999553231279</v>
      </c>
      <c r="AD43" s="11">
        <f t="shared" si="20"/>
        <v>1.5340911151165952</v>
      </c>
      <c r="AE43" s="8">
        <f t="shared" si="21"/>
        <v>612.83516424632421</v>
      </c>
      <c r="AF43" s="8">
        <f t="shared" si="22"/>
        <v>0</v>
      </c>
      <c r="AG43" s="8">
        <f t="shared" si="23"/>
        <v>147.1648217479673</v>
      </c>
      <c r="AH43" s="8">
        <f t="shared" si="24"/>
        <v>759.99998599429148</v>
      </c>
      <c r="AI43" s="11">
        <f t="shared" si="25"/>
        <v>0.80636207307894259</v>
      </c>
      <c r="AJ43" s="11">
        <f t="shared" si="26"/>
        <v>0</v>
      </c>
      <c r="AK43" s="11">
        <f t="shared" si="27"/>
        <v>0.19363792692105744</v>
      </c>
      <c r="AL43" s="11">
        <f t="shared" si="28"/>
        <v>1</v>
      </c>
    </row>
    <row r="44" spans="2:38" x14ac:dyDescent="0.25">
      <c r="B44" s="8"/>
      <c r="E44" s="8">
        <v>61.498536042929828</v>
      </c>
      <c r="F44" s="8">
        <f t="shared" si="0"/>
        <v>334.64853604292978</v>
      </c>
      <c r="G44" s="14">
        <v>0.4</v>
      </c>
      <c r="H44" s="14">
        <v>0.1</v>
      </c>
      <c r="I44" s="14">
        <v>0.5</v>
      </c>
      <c r="J44" s="11">
        <f t="shared" si="29"/>
        <v>2.0037870570310301</v>
      </c>
      <c r="K44" s="11">
        <f t="shared" si="1"/>
        <v>-0.78177210357890459</v>
      </c>
      <c r="L44" s="11">
        <f t="shared" si="2"/>
        <v>0.28437413265136352</v>
      </c>
      <c r="M44" s="11">
        <f t="shared" si="3"/>
        <v>2.3778028069680679</v>
      </c>
      <c r="N44" s="11">
        <f t="shared" si="4"/>
        <v>-0.14170061096876441</v>
      </c>
      <c r="O44" s="11">
        <f t="shared" si="5"/>
        <v>0.52330566596410832</v>
      </c>
      <c r="P44" s="11">
        <f t="shared" si="6"/>
        <v>0.56604849502290644</v>
      </c>
      <c r="Q44" s="11">
        <f t="shared" si="7"/>
        <v>1.2486004417184267</v>
      </c>
      <c r="R44" s="11">
        <f t="shared" si="8"/>
        <v>0.91796445061837151</v>
      </c>
      <c r="S44" s="11">
        <f t="shared" si="9"/>
        <v>0.48884068267284425</v>
      </c>
      <c r="T44" s="11">
        <f t="shared" si="10"/>
        <v>1.0447582184991304</v>
      </c>
      <c r="U44" s="11">
        <f t="shared" si="11"/>
        <v>0.85069514100040955</v>
      </c>
      <c r="V44" s="2">
        <f t="shared" si="12"/>
        <v>0.76928038550826483</v>
      </c>
      <c r="W44" s="2">
        <f t="shared" si="13"/>
        <v>0.75176696850936731</v>
      </c>
      <c r="X44" s="2">
        <f t="shared" si="14"/>
        <v>0.97166160209726171</v>
      </c>
      <c r="Y44" s="2">
        <f t="shared" si="15"/>
        <v>0.48357127432466146</v>
      </c>
      <c r="Z44" s="2">
        <f t="shared" si="16"/>
        <v>0.67628305283834256</v>
      </c>
      <c r="AA44" s="2">
        <f t="shared" si="17"/>
        <v>8.9613849992157463E-2</v>
      </c>
      <c r="AB44" s="11">
        <f t="shared" si="18"/>
        <v>1.6090683676708983</v>
      </c>
      <c r="AC44" s="11">
        <f t="shared" si="19"/>
        <v>0.76990122991199406</v>
      </c>
      <c r="AD44" s="11">
        <f t="shared" si="20"/>
        <v>1.5633042756974234</v>
      </c>
      <c r="AE44" s="8">
        <f t="shared" si="21"/>
        <v>583.34735114689943</v>
      </c>
      <c r="AF44" s="8">
        <f t="shared" si="22"/>
        <v>51.494909446375459</v>
      </c>
      <c r="AG44" s="8">
        <f t="shared" si="23"/>
        <v>125.157546333075</v>
      </c>
      <c r="AH44" s="8">
        <f t="shared" si="24"/>
        <v>759.99980692634995</v>
      </c>
      <c r="AI44" s="11">
        <f t="shared" si="25"/>
        <v>0.76756249913551677</v>
      </c>
      <c r="AJ44" s="11">
        <f t="shared" si="26"/>
        <v>6.7756477011007621E-2</v>
      </c>
      <c r="AK44" s="11">
        <f t="shared" si="27"/>
        <v>0.16468102385347549</v>
      </c>
      <c r="AL44" s="11">
        <f t="shared" si="28"/>
        <v>0.99999999999999989</v>
      </c>
    </row>
    <row r="45" spans="2:38" x14ac:dyDescent="0.25">
      <c r="B45" s="8"/>
      <c r="E45" s="8">
        <v>61.138365544710432</v>
      </c>
      <c r="F45" s="8">
        <f t="shared" si="0"/>
        <v>334.28836554471042</v>
      </c>
      <c r="G45" s="14">
        <v>0.4</v>
      </c>
      <c r="H45" s="14">
        <v>0.2</v>
      </c>
      <c r="I45" s="14">
        <v>0.4</v>
      </c>
      <c r="J45" s="11">
        <f t="shared" si="29"/>
        <v>2.0059459864376228</v>
      </c>
      <c r="K45" s="11">
        <f t="shared" si="1"/>
        <v>-0.78261440405077776</v>
      </c>
      <c r="L45" s="11">
        <f t="shared" si="2"/>
        <v>0.28468052432871327</v>
      </c>
      <c r="M45" s="11">
        <f t="shared" si="3"/>
        <v>2.3803647101328926</v>
      </c>
      <c r="N45" s="11">
        <f t="shared" si="4"/>
        <v>-0.1418532826884859</v>
      </c>
      <c r="O45" s="11">
        <f t="shared" si="5"/>
        <v>0.52386948834579417</v>
      </c>
      <c r="P45" s="11">
        <f t="shared" si="6"/>
        <v>0.56570153671750589</v>
      </c>
      <c r="Q45" s="11">
        <f t="shared" si="7"/>
        <v>1.2488991593201311</v>
      </c>
      <c r="R45" s="11">
        <f t="shared" si="8"/>
        <v>0.91787979626500915</v>
      </c>
      <c r="S45" s="11">
        <f t="shared" si="9"/>
        <v>0.48846386686893739</v>
      </c>
      <c r="T45" s="11">
        <f t="shared" si="10"/>
        <v>1.0448075067171996</v>
      </c>
      <c r="U45" s="11">
        <f t="shared" si="11"/>
        <v>0.85054694485344284</v>
      </c>
      <c r="V45" s="2">
        <f t="shared" si="12"/>
        <v>0.84516537861160113</v>
      </c>
      <c r="W45" s="2">
        <f t="shared" si="13"/>
        <v>0.76649939262837963</v>
      </c>
      <c r="X45" s="2">
        <f t="shared" si="14"/>
        <v>0.97611341984944366</v>
      </c>
      <c r="Y45" s="2">
        <f t="shared" si="15"/>
        <v>0.2696075660897797</v>
      </c>
      <c r="Z45" s="2">
        <f t="shared" si="16"/>
        <v>0.63213692796581122</v>
      </c>
      <c r="AA45" s="2">
        <f t="shared" si="17"/>
        <v>7.4879125747500719E-2</v>
      </c>
      <c r="AB45" s="11">
        <f t="shared" si="18"/>
        <v>1.5228855590478787</v>
      </c>
      <c r="AC45" s="11">
        <f t="shared" si="19"/>
        <v>0.87354021635800128</v>
      </c>
      <c r="AD45" s="11">
        <f t="shared" si="20"/>
        <v>1.5762649377118145</v>
      </c>
      <c r="AE45" s="8">
        <f t="shared" si="21"/>
        <v>545.52839050756097</v>
      </c>
      <c r="AF45" s="8">
        <f t="shared" si="22"/>
        <v>115.16619291794342</v>
      </c>
      <c r="AG45" s="8">
        <f t="shared" si="23"/>
        <v>99.304679897536801</v>
      </c>
      <c r="AH45" s="8">
        <f t="shared" si="24"/>
        <v>759.99926332304108</v>
      </c>
      <c r="AI45" s="11">
        <f t="shared" si="25"/>
        <v>0.71780120959891203</v>
      </c>
      <c r="AJ45" s="11">
        <f t="shared" si="26"/>
        <v>0.15153461125000001</v>
      </c>
      <c r="AK45" s="11">
        <f t="shared" si="27"/>
        <v>0.13066417915108808</v>
      </c>
      <c r="AL45" s="11">
        <f t="shared" si="28"/>
        <v>1</v>
      </c>
    </row>
    <row r="46" spans="2:38" x14ac:dyDescent="0.25">
      <c r="B46" s="8"/>
      <c r="E46" s="8">
        <v>60.435501684276787</v>
      </c>
      <c r="F46" s="8">
        <f t="shared" si="0"/>
        <v>333.58550168427678</v>
      </c>
      <c r="G46" s="14">
        <v>0.4</v>
      </c>
      <c r="H46" s="14">
        <v>0.3</v>
      </c>
      <c r="I46" s="14">
        <v>0.3</v>
      </c>
      <c r="J46" s="11">
        <f t="shared" si="29"/>
        <v>2.0101725098708365</v>
      </c>
      <c r="K46" s="11">
        <f t="shared" si="1"/>
        <v>-0.78426337074292951</v>
      </c>
      <c r="L46" s="11">
        <f t="shared" si="2"/>
        <v>0.2852803455179127</v>
      </c>
      <c r="M46" s="11">
        <f t="shared" si="3"/>
        <v>2.3853801329284177</v>
      </c>
      <c r="N46" s="11">
        <f t="shared" si="4"/>
        <v>-0.14215216721848561</v>
      </c>
      <c r="O46" s="11">
        <f t="shared" si="5"/>
        <v>0.52497328011457023</v>
      </c>
      <c r="P46" s="11">
        <f t="shared" si="6"/>
        <v>0.56502291405793093</v>
      </c>
      <c r="Q46" s="11">
        <f t="shared" si="7"/>
        <v>1.2494841639350067</v>
      </c>
      <c r="R46" s="11">
        <f t="shared" si="8"/>
        <v>0.91771409153510475</v>
      </c>
      <c r="S46" s="11">
        <f t="shared" si="9"/>
        <v>0.48772701750173303</v>
      </c>
      <c r="T46" s="11">
        <f t="shared" si="10"/>
        <v>1.0449040047045632</v>
      </c>
      <c r="U46" s="11">
        <f t="shared" si="11"/>
        <v>0.85025689686437245</v>
      </c>
      <c r="V46" s="2">
        <f t="shared" si="12"/>
        <v>0.92116335443102193</v>
      </c>
      <c r="W46" s="2">
        <f t="shared" si="13"/>
        <v>0.78108623468248406</v>
      </c>
      <c r="X46" s="2">
        <f t="shared" si="14"/>
        <v>0.98055683802541083</v>
      </c>
      <c r="Y46" s="2">
        <f t="shared" si="15"/>
        <v>5.5046902723045577E-2</v>
      </c>
      <c r="Z46" s="2">
        <f t="shared" si="16"/>
        <v>0.58822605734062372</v>
      </c>
      <c r="AA46" s="2">
        <f t="shared" si="17"/>
        <v>6.0161706606708332E-2</v>
      </c>
      <c r="AB46" s="11">
        <f t="shared" si="18"/>
        <v>1.4469920182869735</v>
      </c>
      <c r="AC46" s="11">
        <f t="shared" si="19"/>
        <v>0.94255944866725139</v>
      </c>
      <c r="AD46" s="11">
        <f t="shared" si="20"/>
        <v>1.5850663387827124</v>
      </c>
      <c r="AE46" s="8">
        <f t="shared" si="21"/>
        <v>506.32284786103935</v>
      </c>
      <c r="AF46" s="8">
        <f t="shared" si="22"/>
        <v>181.16343849897149</v>
      </c>
      <c r="AG46" s="8">
        <f t="shared" si="23"/>
        <v>72.513712518931897</v>
      </c>
      <c r="AH46" s="8">
        <f t="shared" si="24"/>
        <v>759.99999887894273</v>
      </c>
      <c r="AI46" s="11">
        <f t="shared" si="25"/>
        <v>0.66621427448408377</v>
      </c>
      <c r="AJ46" s="11">
        <f t="shared" si="26"/>
        <v>0.23837294574500159</v>
      </c>
      <c r="AK46" s="11">
        <f t="shared" si="27"/>
        <v>9.5412779770914585E-2</v>
      </c>
      <c r="AL46" s="11">
        <f t="shared" si="28"/>
        <v>0.99999999999999989</v>
      </c>
    </row>
    <row r="47" spans="2:38" x14ac:dyDescent="0.25">
      <c r="B47" s="8"/>
      <c r="E47" s="8">
        <v>59.506888859383999</v>
      </c>
      <c r="F47" s="8">
        <f t="shared" si="0"/>
        <v>332.65688885938397</v>
      </c>
      <c r="G47" s="14">
        <v>0.4</v>
      </c>
      <c r="H47" s="14">
        <v>0.4</v>
      </c>
      <c r="I47" s="14">
        <v>0.2</v>
      </c>
      <c r="J47" s="11">
        <f t="shared" si="29"/>
        <v>2.0157839131978905</v>
      </c>
      <c r="K47" s="11">
        <f t="shared" si="1"/>
        <v>-0.78645264458199726</v>
      </c>
      <c r="L47" s="11">
        <f t="shared" si="2"/>
        <v>0.28607670656260992</v>
      </c>
      <c r="M47" s="11">
        <f t="shared" si="3"/>
        <v>2.3920389295980939</v>
      </c>
      <c r="N47" s="11">
        <f t="shared" si="4"/>
        <v>-0.14254898547172548</v>
      </c>
      <c r="O47" s="11">
        <f t="shared" si="5"/>
        <v>0.52643874479294184</v>
      </c>
      <c r="P47" s="11">
        <f t="shared" si="6"/>
        <v>0.56412318887213198</v>
      </c>
      <c r="Q47" s="11">
        <f t="shared" si="7"/>
        <v>1.2502612769863077</v>
      </c>
      <c r="R47" s="11">
        <f t="shared" si="8"/>
        <v>0.91749413754060516</v>
      </c>
      <c r="S47" s="11">
        <f t="shared" si="9"/>
        <v>0.48675044631140485</v>
      </c>
      <c r="T47" s="11">
        <f t="shared" si="10"/>
        <v>1.0450321353873149</v>
      </c>
      <c r="U47" s="11">
        <f t="shared" si="11"/>
        <v>0.84987196339737081</v>
      </c>
      <c r="V47" s="2">
        <f t="shared" si="12"/>
        <v>0.99745460005680409</v>
      </c>
      <c r="W47" s="2">
        <f t="shared" si="13"/>
        <v>0.79562366822832709</v>
      </c>
      <c r="X47" s="2">
        <f t="shared" si="14"/>
        <v>0.98501050917116806</v>
      </c>
      <c r="Y47" s="2">
        <f t="shared" si="15"/>
        <v>-0.16044331176651327</v>
      </c>
      <c r="Z47" s="2">
        <f t="shared" si="16"/>
        <v>0.54434128560526052</v>
      </c>
      <c r="AA47" s="2">
        <f t="shared" si="17"/>
        <v>4.5402172189322375E-2</v>
      </c>
      <c r="AB47" s="11">
        <f t="shared" si="18"/>
        <v>1.3854468278783731</v>
      </c>
      <c r="AC47" s="11">
        <f t="shared" si="19"/>
        <v>0.98660244126255181</v>
      </c>
      <c r="AD47" s="11">
        <f t="shared" si="20"/>
        <v>1.5962497990320414</v>
      </c>
      <c r="AE47" s="8">
        <f t="shared" si="21"/>
        <v>469.91238680441495</v>
      </c>
      <c r="AF47" s="8">
        <f t="shared" si="22"/>
        <v>243.44917417533654</v>
      </c>
      <c r="AG47" s="8">
        <f t="shared" si="23"/>
        <v>46.638433560016082</v>
      </c>
      <c r="AH47" s="8">
        <f t="shared" si="24"/>
        <v>759.99999453976761</v>
      </c>
      <c r="AI47" s="11">
        <f t="shared" si="25"/>
        <v>0.61830577655330021</v>
      </c>
      <c r="AJ47" s="11">
        <f t="shared" si="26"/>
        <v>0.32032786305842254</v>
      </c>
      <c r="AK47" s="11">
        <f t="shared" si="27"/>
        <v>6.1366360388277197E-2</v>
      </c>
      <c r="AL47" s="11">
        <f t="shared" si="28"/>
        <v>1</v>
      </c>
    </row>
    <row r="48" spans="2:38" x14ac:dyDescent="0.25">
      <c r="E48" s="8">
        <v>58.448466383989562</v>
      </c>
      <c r="F48" s="8">
        <f t="shared" si="0"/>
        <v>331.59846638398955</v>
      </c>
      <c r="G48" s="14">
        <v>0.4</v>
      </c>
      <c r="H48" s="14">
        <v>0.5</v>
      </c>
      <c r="I48" s="14">
        <v>0.1</v>
      </c>
      <c r="J48" s="11">
        <f t="shared" si="29"/>
        <v>2.0222180533268634</v>
      </c>
      <c r="K48" s="11">
        <f t="shared" si="1"/>
        <v>-0.78896290696027693</v>
      </c>
      <c r="L48" s="11">
        <f t="shared" si="2"/>
        <v>0.28698982904841186</v>
      </c>
      <c r="M48" s="11">
        <f t="shared" si="3"/>
        <v>2.3996740305462789</v>
      </c>
      <c r="N48" s="11">
        <f t="shared" si="4"/>
        <v>-0.14300398471135775</v>
      </c>
      <c r="O48" s="11">
        <f t="shared" si="5"/>
        <v>0.52811907403415748</v>
      </c>
      <c r="P48" s="11">
        <f t="shared" si="6"/>
        <v>0.56309331017339859</v>
      </c>
      <c r="Q48" s="11">
        <f t="shared" si="7"/>
        <v>1.2511529241951074</v>
      </c>
      <c r="R48" s="11">
        <f t="shared" si="8"/>
        <v>0.91724199904950643</v>
      </c>
      <c r="S48" s="11">
        <f t="shared" si="9"/>
        <v>0.4856330977020899</v>
      </c>
      <c r="T48" s="11">
        <f t="shared" si="10"/>
        <v>1.0451790717638563</v>
      </c>
      <c r="U48" s="11">
        <f t="shared" si="11"/>
        <v>0.84943080594073361</v>
      </c>
      <c r="V48" s="2">
        <f t="shared" si="12"/>
        <v>1.0741397718677625</v>
      </c>
      <c r="W48" s="2">
        <f t="shared" si="13"/>
        <v>0.81018040466343288</v>
      </c>
      <c r="X48" s="2">
        <f t="shared" si="14"/>
        <v>0.98948633550173071</v>
      </c>
      <c r="Y48" s="2">
        <f t="shared" si="15"/>
        <v>-0.37702051076946658</v>
      </c>
      <c r="Z48" s="2">
        <f t="shared" si="16"/>
        <v>0.50033904408504282</v>
      </c>
      <c r="AA48" s="2">
        <f t="shared" si="17"/>
        <v>3.0563263801721766E-2</v>
      </c>
      <c r="AB48" s="11">
        <f t="shared" si="18"/>
        <v>1.3385454693823131</v>
      </c>
      <c r="AC48" s="11">
        <f t="shared" si="19"/>
        <v>1.0141116606366605</v>
      </c>
      <c r="AD48" s="11">
        <f t="shared" si="20"/>
        <v>1.6133666603297356</v>
      </c>
      <c r="AE48" s="8">
        <f t="shared" si="21"/>
        <v>438.05768722768681</v>
      </c>
      <c r="AF48" s="8">
        <f t="shared" si="22"/>
        <v>299.50567008448826</v>
      </c>
      <c r="AG48" s="8">
        <f t="shared" si="23"/>
        <v>22.436629451030942</v>
      </c>
      <c r="AH48" s="8">
        <f t="shared" si="24"/>
        <v>759.99998676320604</v>
      </c>
      <c r="AI48" s="11">
        <f t="shared" si="25"/>
        <v>0.57639170375955928</v>
      </c>
      <c r="AJ48" s="11">
        <f t="shared" si="26"/>
        <v>0.39408641486964335</v>
      </c>
      <c r="AK48" s="11">
        <f t="shared" si="27"/>
        <v>2.9521881370797372E-2</v>
      </c>
      <c r="AL48" s="11">
        <f t="shared" si="28"/>
        <v>1</v>
      </c>
    </row>
    <row r="49" spans="5:38" x14ac:dyDescent="0.25">
      <c r="E49" s="8">
        <v>57.320721913117104</v>
      </c>
      <c r="F49" s="8">
        <f t="shared" si="0"/>
        <v>330.47072191311707</v>
      </c>
      <c r="G49" s="14">
        <v>0.4</v>
      </c>
      <c r="H49" s="14">
        <v>0.6</v>
      </c>
      <c r="I49" s="14">
        <v>0</v>
      </c>
      <c r="J49" s="11">
        <f t="shared" si="29"/>
        <v>2.0291189527933451</v>
      </c>
      <c r="K49" s="11">
        <f t="shared" si="1"/>
        <v>-0.79165527423232196</v>
      </c>
      <c r="L49" s="11">
        <f t="shared" si="2"/>
        <v>0.28796919324452691</v>
      </c>
      <c r="M49" s="11">
        <f t="shared" si="3"/>
        <v>2.4078630135344796</v>
      </c>
      <c r="N49" s="11">
        <f t="shared" si="4"/>
        <v>-0.14349199149192021</v>
      </c>
      <c r="O49" s="11">
        <f t="shared" si="5"/>
        <v>0.52992130136085214</v>
      </c>
      <c r="P49" s="11">
        <f t="shared" si="6"/>
        <v>0.5619908094054159</v>
      </c>
      <c r="Q49" s="11">
        <f t="shared" si="7"/>
        <v>1.2521099619841451</v>
      </c>
      <c r="R49" s="11">
        <f t="shared" si="8"/>
        <v>0.91697164639402207</v>
      </c>
      <c r="S49" s="11">
        <f t="shared" si="9"/>
        <v>0.48443754256584332</v>
      </c>
      <c r="T49" s="11">
        <f t="shared" si="10"/>
        <v>1.0453366904799857</v>
      </c>
      <c r="U49" s="11">
        <f t="shared" si="11"/>
        <v>0.8489578996010696</v>
      </c>
      <c r="V49" s="2">
        <f t="shared" si="12"/>
        <v>1.1512659771904872</v>
      </c>
      <c r="W49" s="2">
        <f t="shared" si="13"/>
        <v>0.82479632376216638</v>
      </c>
      <c r="X49" s="2">
        <f t="shared" si="14"/>
        <v>0.99399067284560028</v>
      </c>
      <c r="Y49" s="2">
        <f t="shared" si="15"/>
        <v>-0.59474367319414834</v>
      </c>
      <c r="Z49" s="2">
        <f t="shared" si="16"/>
        <v>0.45613848106408078</v>
      </c>
      <c r="AA49" s="2">
        <f t="shared" si="17"/>
        <v>1.5625367998149176E-2</v>
      </c>
      <c r="AB49" s="11">
        <f t="shared" si="18"/>
        <v>1.3051863157802139</v>
      </c>
      <c r="AC49" s="11">
        <f t="shared" si="19"/>
        <v>1.0315556319172752</v>
      </c>
      <c r="AD49" s="11">
        <f t="shared" si="20"/>
        <v>1.6383302160308415</v>
      </c>
      <c r="AE49" s="8">
        <f t="shared" si="21"/>
        <v>411.05818504652473</v>
      </c>
      <c r="AF49" s="8">
        <f t="shared" si="22"/>
        <v>348.94187217403271</v>
      </c>
      <c r="AG49" s="8">
        <f t="shared" si="23"/>
        <v>0</v>
      </c>
      <c r="AH49" s="8">
        <f t="shared" si="24"/>
        <v>760.00005722055744</v>
      </c>
      <c r="AI49" s="11">
        <f t="shared" si="25"/>
        <v>0.54086599223404097</v>
      </c>
      <c r="AJ49" s="11">
        <f t="shared" si="26"/>
        <v>0.45913400776595903</v>
      </c>
      <c r="AK49" s="11">
        <f t="shared" si="27"/>
        <v>0</v>
      </c>
      <c r="AL49" s="11">
        <f t="shared" si="28"/>
        <v>1</v>
      </c>
    </row>
    <row r="50" spans="5:38" x14ac:dyDescent="0.25">
      <c r="E50" s="8">
        <v>61.015923132220323</v>
      </c>
      <c r="F50" s="8">
        <f t="shared" si="0"/>
        <v>334.16592313222031</v>
      </c>
      <c r="G50" s="8">
        <v>0.5</v>
      </c>
      <c r="H50" s="8">
        <v>0</v>
      </c>
      <c r="I50" s="8">
        <v>0.5</v>
      </c>
      <c r="J50" s="11">
        <f t="shared" si="29"/>
        <v>2.0066809891680095</v>
      </c>
      <c r="K50" s="11">
        <f t="shared" si="1"/>
        <v>-0.78290116337914761</v>
      </c>
      <c r="L50" s="11">
        <f t="shared" si="2"/>
        <v>0.28478483469603327</v>
      </c>
      <c r="M50" s="11">
        <f t="shared" si="3"/>
        <v>2.3812369043859243</v>
      </c>
      <c r="N50" s="11">
        <f t="shared" si="4"/>
        <v>-0.14190525943701018</v>
      </c>
      <c r="O50" s="11">
        <f t="shared" si="5"/>
        <v>0.52406144042571234</v>
      </c>
      <c r="P50" s="11">
        <f t="shared" si="6"/>
        <v>0.56558346406378701</v>
      </c>
      <c r="Q50" s="11">
        <f t="shared" si="7"/>
        <v>1.2490008733713458</v>
      </c>
      <c r="R50" s="11">
        <f t="shared" si="8"/>
        <v>0.91785097765943646</v>
      </c>
      <c r="S50" s="11">
        <f t="shared" si="9"/>
        <v>0.48833564705185173</v>
      </c>
      <c r="T50" s="11">
        <f t="shared" si="10"/>
        <v>1.0448242873123375</v>
      </c>
      <c r="U50" s="11">
        <f t="shared" si="11"/>
        <v>0.85049649769471269</v>
      </c>
      <c r="V50" s="2">
        <f t="shared" si="12"/>
        <v>0.74416782352592592</v>
      </c>
      <c r="W50" s="2">
        <f t="shared" si="13"/>
        <v>0.70803998087924991</v>
      </c>
      <c r="X50" s="2">
        <f t="shared" si="14"/>
        <v>0.95892548882971829</v>
      </c>
      <c r="Y50" s="2">
        <f t="shared" si="15"/>
        <v>0.58142143224352438</v>
      </c>
      <c r="Z50" s="2">
        <f t="shared" si="16"/>
        <v>0.79032900239175208</v>
      </c>
      <c r="AA50" s="2">
        <f t="shared" si="17"/>
        <v>0.13069501947416756</v>
      </c>
      <c r="AB50" s="11">
        <f t="shared" si="18"/>
        <v>1.3873815060716488</v>
      </c>
      <c r="AC50" s="11">
        <f t="shared" si="19"/>
        <v>0.70609265684371236</v>
      </c>
      <c r="AD50" s="11">
        <f t="shared" si="20"/>
        <v>1.8043117468538623</v>
      </c>
      <c r="AE50" s="8">
        <f t="shared" si="21"/>
        <v>618.70624156427402</v>
      </c>
      <c r="AF50" s="8">
        <f t="shared" si="22"/>
        <v>0</v>
      </c>
      <c r="AG50" s="8">
        <f t="shared" si="23"/>
        <v>141.29375911849328</v>
      </c>
      <c r="AH50" s="8">
        <f t="shared" si="24"/>
        <v>760.00000068276734</v>
      </c>
      <c r="AI50" s="11">
        <f t="shared" si="25"/>
        <v>0.8140871592216341</v>
      </c>
      <c r="AJ50" s="11">
        <f t="shared" si="26"/>
        <v>0</v>
      </c>
      <c r="AK50" s="11">
        <f t="shared" si="27"/>
        <v>0.18591284077836587</v>
      </c>
      <c r="AL50" s="11">
        <f t="shared" si="28"/>
        <v>1</v>
      </c>
    </row>
    <row r="51" spans="5:38" x14ac:dyDescent="0.25">
      <c r="E51" s="8">
        <v>60.32762323419508</v>
      </c>
      <c r="F51" s="8">
        <f t="shared" si="0"/>
        <v>333.47762323419505</v>
      </c>
      <c r="G51" s="8">
        <v>0.5</v>
      </c>
      <c r="H51" s="8">
        <v>0.1</v>
      </c>
      <c r="I51" s="8">
        <v>0.4</v>
      </c>
      <c r="J51" s="11">
        <f t="shared" si="29"/>
        <v>2.0108227912680068</v>
      </c>
      <c r="K51" s="11">
        <f t="shared" si="1"/>
        <v>-0.78451707627216738</v>
      </c>
      <c r="L51" s="11">
        <f t="shared" si="2"/>
        <v>0.28537263237426835</v>
      </c>
      <c r="M51" s="11">
        <f t="shared" si="3"/>
        <v>2.3861517922352711</v>
      </c>
      <c r="N51" s="11">
        <f t="shared" si="4"/>
        <v>-0.14219815277915548</v>
      </c>
      <c r="O51" s="11">
        <f t="shared" si="5"/>
        <v>0.5251431065132468</v>
      </c>
      <c r="P51" s="11">
        <f t="shared" si="6"/>
        <v>0.56491857530810707</v>
      </c>
      <c r="Q51" s="11">
        <f t="shared" si="7"/>
        <v>1.2495741954741288</v>
      </c>
      <c r="R51" s="11">
        <f t="shared" si="8"/>
        <v>0.91768859931166147</v>
      </c>
      <c r="S51" s="11">
        <f t="shared" si="9"/>
        <v>0.48761374657016082</v>
      </c>
      <c r="T51" s="11">
        <f t="shared" si="10"/>
        <v>1.0449188524134718</v>
      </c>
      <c r="U51" s="11">
        <f t="shared" si="11"/>
        <v>0.85021227965043311</v>
      </c>
      <c r="V51" s="2">
        <f t="shared" si="12"/>
        <v>0.82000291817547721</v>
      </c>
      <c r="W51" s="2">
        <f t="shared" si="13"/>
        <v>0.72254419951422677</v>
      </c>
      <c r="X51" s="2">
        <f t="shared" si="14"/>
        <v>0.96333618489717798</v>
      </c>
      <c r="Y51" s="2">
        <f t="shared" si="15"/>
        <v>0.36737693667692689</v>
      </c>
      <c r="Z51" s="2">
        <f t="shared" si="16"/>
        <v>0.74656882031263183</v>
      </c>
      <c r="AA51" s="2">
        <f t="shared" si="17"/>
        <v>0.11608305258098095</v>
      </c>
      <c r="AB51" s="11">
        <f t="shared" si="18"/>
        <v>1.3690163692212145</v>
      </c>
      <c r="AC51" s="11">
        <f t="shared" si="19"/>
        <v>0.84972719917438899</v>
      </c>
      <c r="AD51" s="11">
        <f t="shared" si="20"/>
        <v>1.7984618428081329</v>
      </c>
      <c r="AE51" s="8">
        <f t="shared" si="21"/>
        <v>596.63953214361356</v>
      </c>
      <c r="AF51" s="8">
        <f t="shared" si="22"/>
        <v>54.202096991381367</v>
      </c>
      <c r="AG51" s="8">
        <f t="shared" si="23"/>
        <v>109.15747292482396</v>
      </c>
      <c r="AH51" s="8">
        <f t="shared" si="24"/>
        <v>759.99910205981894</v>
      </c>
      <c r="AI51" s="11">
        <f t="shared" si="25"/>
        <v>0.78505294351867871</v>
      </c>
      <c r="AJ51" s="11">
        <f t="shared" si="26"/>
        <v>7.1318632935852028E-2</v>
      </c>
      <c r="AK51" s="11">
        <f t="shared" si="27"/>
        <v>0.14362842354546923</v>
      </c>
      <c r="AL51" s="11">
        <f t="shared" si="28"/>
        <v>1</v>
      </c>
    </row>
    <row r="52" spans="5:38" x14ac:dyDescent="0.25">
      <c r="E52" s="8">
        <v>59.455990013983673</v>
      </c>
      <c r="F52" s="8">
        <f t="shared" si="0"/>
        <v>332.60599001398367</v>
      </c>
      <c r="G52" s="8">
        <v>0.5</v>
      </c>
      <c r="H52" s="8">
        <v>0.2</v>
      </c>
      <c r="I52" s="8">
        <v>0.3</v>
      </c>
      <c r="J52" s="11">
        <f t="shared" si="29"/>
        <v>2.0160923895237497</v>
      </c>
      <c r="K52" s="11">
        <f t="shared" si="1"/>
        <v>-0.78657299578664508</v>
      </c>
      <c r="L52" s="11">
        <f t="shared" si="2"/>
        <v>0.28612048501067494</v>
      </c>
      <c r="M52" s="11">
        <f t="shared" si="3"/>
        <v>2.3924049843996449</v>
      </c>
      <c r="N52" s="11">
        <f t="shared" si="4"/>
        <v>-0.14257079980758031</v>
      </c>
      <c r="O52" s="11">
        <f t="shared" si="5"/>
        <v>0.52651930595265761</v>
      </c>
      <c r="P52" s="11">
        <f t="shared" si="6"/>
        <v>0.5640737697406889</v>
      </c>
      <c r="Q52" s="11">
        <f t="shared" si="7"/>
        <v>1.250304011324658</v>
      </c>
      <c r="R52" s="11">
        <f t="shared" si="8"/>
        <v>0.91748204751295781</v>
      </c>
      <c r="S52" s="11">
        <f t="shared" si="9"/>
        <v>0.48669681788716906</v>
      </c>
      <c r="T52" s="11">
        <f t="shared" si="10"/>
        <v>1.0450391795857881</v>
      </c>
      <c r="U52" s="11">
        <f t="shared" si="11"/>
        <v>0.84985080745936026</v>
      </c>
      <c r="V52" s="2">
        <f t="shared" si="12"/>
        <v>0.89606984763108222</v>
      </c>
      <c r="W52" s="2">
        <f t="shared" si="13"/>
        <v>0.73699212710815254</v>
      </c>
      <c r="X52" s="2">
        <f t="shared" si="14"/>
        <v>0.96774885967363655</v>
      </c>
      <c r="Y52" s="2">
        <f t="shared" si="15"/>
        <v>0.15262169353507371</v>
      </c>
      <c r="Z52" s="2">
        <f t="shared" si="16"/>
        <v>0.70285127434412986</v>
      </c>
      <c r="AA52" s="2">
        <f t="shared" si="17"/>
        <v>0.10145678987873663</v>
      </c>
      <c r="AB52" s="11">
        <f t="shared" si="18"/>
        <v>1.3357236679638627</v>
      </c>
      <c r="AC52" s="11">
        <f t="shared" si="19"/>
        <v>0.94850766345339432</v>
      </c>
      <c r="AD52" s="11">
        <f t="shared" si="20"/>
        <v>1.7811908848395619</v>
      </c>
      <c r="AE52" s="8">
        <f t="shared" si="21"/>
        <v>565.33959179649696</v>
      </c>
      <c r="AF52" s="8">
        <f t="shared" si="22"/>
        <v>116.78127553444749</v>
      </c>
      <c r="AG52" s="8">
        <f t="shared" si="23"/>
        <v>77.878899005363522</v>
      </c>
      <c r="AH52" s="8">
        <f t="shared" si="24"/>
        <v>759.99976633630797</v>
      </c>
      <c r="AI52" s="11">
        <f t="shared" si="25"/>
        <v>0.74386811264666652</v>
      </c>
      <c r="AJ52" s="11">
        <f t="shared" si="26"/>
        <v>0.15365962031463379</v>
      </c>
      <c r="AK52" s="11">
        <f t="shared" si="27"/>
        <v>0.1024722670386997</v>
      </c>
      <c r="AL52" s="11">
        <f t="shared" si="28"/>
        <v>1</v>
      </c>
    </row>
    <row r="53" spans="5:38" x14ac:dyDescent="0.25">
      <c r="E53" s="8">
        <v>58.428815249837506</v>
      </c>
      <c r="F53" s="8">
        <f t="shared" si="0"/>
        <v>331.57881524983748</v>
      </c>
      <c r="G53" s="8">
        <v>0.5</v>
      </c>
      <c r="H53" s="8">
        <v>0.3</v>
      </c>
      <c r="I53" s="8">
        <v>0.2</v>
      </c>
      <c r="J53" s="11">
        <f t="shared" si="29"/>
        <v>2.0223379007852147</v>
      </c>
      <c r="K53" s="11">
        <f t="shared" si="1"/>
        <v>-0.78900966512217585</v>
      </c>
      <c r="L53" s="11">
        <f t="shared" si="2"/>
        <v>0.28700683760074258</v>
      </c>
      <c r="M53" s="11">
        <f t="shared" si="3"/>
        <v>2.3998162480647895</v>
      </c>
      <c r="N53" s="11">
        <f t="shared" si="4"/>
        <v>-0.14301245989239647</v>
      </c>
      <c r="O53" s="11">
        <f t="shared" si="5"/>
        <v>0.52815037319530656</v>
      </c>
      <c r="P53" s="11">
        <f t="shared" si="6"/>
        <v>0.56307414467378636</v>
      </c>
      <c r="Q53" s="11">
        <f t="shared" si="7"/>
        <v>1.2511695387629431</v>
      </c>
      <c r="R53" s="11">
        <f t="shared" si="8"/>
        <v>0.91723730317300611</v>
      </c>
      <c r="S53" s="11">
        <f t="shared" si="9"/>
        <v>0.4856123094212873</v>
      </c>
      <c r="T53" s="11">
        <f t="shared" si="10"/>
        <v>1.0451818089147322</v>
      </c>
      <c r="U53" s="11">
        <f t="shared" si="11"/>
        <v>0.84942259076071092</v>
      </c>
      <c r="V53" s="2">
        <f t="shared" si="12"/>
        <v>0.97247332351314042</v>
      </c>
      <c r="W53" s="2">
        <f t="shared" si="13"/>
        <v>0.75142159048903534</v>
      </c>
      <c r="X53" s="2">
        <f t="shared" si="14"/>
        <v>0.97217319426092264</v>
      </c>
      <c r="Y53" s="2">
        <f t="shared" si="15"/>
        <v>-6.3079395555230788E-2</v>
      </c>
      <c r="Z53" s="2">
        <f t="shared" si="16"/>
        <v>0.65908766352516646</v>
      </c>
      <c r="AA53" s="2">
        <f t="shared" si="17"/>
        <v>8.6784482398254884E-2</v>
      </c>
      <c r="AB53" s="11">
        <f t="shared" si="18"/>
        <v>1.3011484345963062</v>
      </c>
      <c r="AC53" s="11">
        <f t="shared" si="19"/>
        <v>1.0112169531930522</v>
      </c>
      <c r="AD53" s="11">
        <f t="shared" si="20"/>
        <v>1.7646242845046967</v>
      </c>
      <c r="AE53" s="8">
        <f t="shared" si="21"/>
        <v>531.91921464538837</v>
      </c>
      <c r="AF53" s="8">
        <f t="shared" si="22"/>
        <v>179.04553341445794</v>
      </c>
      <c r="AG53" s="8">
        <f t="shared" si="23"/>
        <v>49.035228848813702</v>
      </c>
      <c r="AH53" s="8">
        <f t="shared" si="24"/>
        <v>759.99997690866007</v>
      </c>
      <c r="AI53" s="11">
        <f t="shared" si="25"/>
        <v>0.69989372474588463</v>
      </c>
      <c r="AJ53" s="11">
        <f t="shared" si="26"/>
        <v>0.23558623533481549</v>
      </c>
      <c r="AK53" s="11">
        <f t="shared" si="27"/>
        <v>6.4520039919299832E-2</v>
      </c>
      <c r="AL53" s="11">
        <f t="shared" si="28"/>
        <v>1</v>
      </c>
    </row>
    <row r="54" spans="5:38" x14ac:dyDescent="0.25">
      <c r="E54" s="8">
        <v>57.31382847371146</v>
      </c>
      <c r="F54" s="8">
        <f t="shared" si="0"/>
        <v>330.46382847371143</v>
      </c>
      <c r="G54" s="8">
        <v>0.5</v>
      </c>
      <c r="H54" s="8">
        <v>0.4</v>
      </c>
      <c r="I54" s="8">
        <v>0.1</v>
      </c>
      <c r="J54" s="11">
        <f t="shared" si="29"/>
        <v>2.0291612799933065</v>
      </c>
      <c r="K54" s="11">
        <f t="shared" si="1"/>
        <v>-0.79167178807496619</v>
      </c>
      <c r="L54" s="11">
        <f t="shared" si="2"/>
        <v>0.28797520025047818</v>
      </c>
      <c r="M54" s="11">
        <f t="shared" si="3"/>
        <v>2.4079132412942239</v>
      </c>
      <c r="N54" s="11">
        <f t="shared" si="4"/>
        <v>-0.14349498471920655</v>
      </c>
      <c r="O54" s="11">
        <f t="shared" si="5"/>
        <v>0.52993235546137962</v>
      </c>
      <c r="P54" s="11">
        <f t="shared" si="6"/>
        <v>0.5619840537967683</v>
      </c>
      <c r="Q54" s="11">
        <f t="shared" si="7"/>
        <v>1.2521158343076311</v>
      </c>
      <c r="R54" s="11">
        <f t="shared" si="8"/>
        <v>0.91696998841102573</v>
      </c>
      <c r="S54" s="11">
        <f t="shared" si="9"/>
        <v>0.48443021862524488</v>
      </c>
      <c r="T54" s="11">
        <f t="shared" si="10"/>
        <v>1.0453376573198971</v>
      </c>
      <c r="U54" s="11">
        <f t="shared" si="11"/>
        <v>0.84895499980603861</v>
      </c>
      <c r="V54" s="2">
        <f t="shared" si="12"/>
        <v>1.0492893555855769</v>
      </c>
      <c r="W54" s="2">
        <f t="shared" si="13"/>
        <v>0.76588752687898809</v>
      </c>
      <c r="X54" s="2">
        <f t="shared" si="14"/>
        <v>0.97662005713347166</v>
      </c>
      <c r="Y54" s="2">
        <f t="shared" si="15"/>
        <v>-0.27985931877824194</v>
      </c>
      <c r="Z54" s="2">
        <f t="shared" si="16"/>
        <v>0.61516701324183176</v>
      </c>
      <c r="AA54" s="2">
        <f t="shared" si="17"/>
        <v>7.2032023552759977E-2</v>
      </c>
      <c r="AB54" s="11">
        <f t="shared" si="18"/>
        <v>1.2716545737234695</v>
      </c>
      <c r="AC54" s="11">
        <f t="shared" si="19"/>
        <v>1.0483805275740998</v>
      </c>
      <c r="AD54" s="11">
        <f t="shared" si="20"/>
        <v>1.7549524800101826</v>
      </c>
      <c r="AE54" s="8">
        <f t="shared" si="21"/>
        <v>500.50415837243332</v>
      </c>
      <c r="AF54" s="8">
        <f t="shared" si="22"/>
        <v>236.35452769011144</v>
      </c>
      <c r="AG54" s="8">
        <f t="shared" si="23"/>
        <v>23.141313836155717</v>
      </c>
      <c r="AH54" s="8">
        <f t="shared" si="24"/>
        <v>759.99999989870048</v>
      </c>
      <c r="AI54" s="11">
        <f t="shared" si="25"/>
        <v>0.65855810320940122</v>
      </c>
      <c r="AJ54" s="11">
        <f t="shared" si="26"/>
        <v>0.31099279963370374</v>
      </c>
      <c r="AK54" s="11">
        <f t="shared" si="27"/>
        <v>3.0449097156894995E-2</v>
      </c>
      <c r="AL54" s="11">
        <f t="shared" si="28"/>
        <v>1</v>
      </c>
    </row>
    <row r="55" spans="5:38" x14ac:dyDescent="0.25">
      <c r="E55" s="8">
        <v>56.160580442704315</v>
      </c>
      <c r="F55" s="8">
        <f t="shared" si="0"/>
        <v>329.31058044270429</v>
      </c>
      <c r="G55" s="8">
        <v>0.5</v>
      </c>
      <c r="H55" s="8">
        <v>0.5</v>
      </c>
      <c r="I55" s="8">
        <v>0</v>
      </c>
      <c r="J55" s="11">
        <f t="shared" si="29"/>
        <v>2.0362674174505431</v>
      </c>
      <c r="K55" s="11">
        <f t="shared" si="1"/>
        <v>-0.7944442283942964</v>
      </c>
      <c r="L55" s="11">
        <f t="shared" si="2"/>
        <v>0.28898369148152608</v>
      </c>
      <c r="M55" s="11">
        <f t="shared" si="3"/>
        <v>2.4163457708553016</v>
      </c>
      <c r="N55" s="11">
        <f t="shared" si="4"/>
        <v>-0.1439975051920209</v>
      </c>
      <c r="O55" s="11">
        <f t="shared" si="5"/>
        <v>0.53178818239740233</v>
      </c>
      <c r="P55" s="11">
        <f t="shared" si="6"/>
        <v>0.5608510332745088</v>
      </c>
      <c r="Q55" s="11">
        <f t="shared" si="7"/>
        <v>1.2531021048023572</v>
      </c>
      <c r="R55" s="11">
        <f t="shared" si="8"/>
        <v>0.91669167904045668</v>
      </c>
      <c r="S55" s="11">
        <f t="shared" si="9"/>
        <v>0.48320220114244389</v>
      </c>
      <c r="T55" s="11">
        <f t="shared" si="10"/>
        <v>1.0454999887271925</v>
      </c>
      <c r="U55" s="11">
        <f t="shared" si="11"/>
        <v>0.84846830567803866</v>
      </c>
      <c r="V55" s="2">
        <f t="shared" si="12"/>
        <v>1.1265510524011786</v>
      </c>
      <c r="W55" s="2">
        <f t="shared" si="13"/>
        <v>0.78042551663725446</v>
      </c>
      <c r="X55" s="2">
        <f t="shared" si="14"/>
        <v>0.9810958338838246</v>
      </c>
      <c r="Y55" s="2">
        <f t="shared" si="15"/>
        <v>-0.49775986737448868</v>
      </c>
      <c r="Z55" s="2">
        <f t="shared" si="16"/>
        <v>0.57102134255017634</v>
      </c>
      <c r="AA55" s="2">
        <f t="shared" si="17"/>
        <v>5.7179777652253891E-2</v>
      </c>
      <c r="AB55" s="11">
        <f t="shared" si="18"/>
        <v>1.2498584441215836</v>
      </c>
      <c r="AC55" s="11">
        <f t="shared" si="19"/>
        <v>1.069087144894318</v>
      </c>
      <c r="AD55" s="11">
        <f t="shared" si="20"/>
        <v>1.7552157361905576</v>
      </c>
      <c r="AE55" s="8">
        <f t="shared" si="21"/>
        <v>472.849778506299</v>
      </c>
      <c r="AF55" s="8">
        <f t="shared" si="22"/>
        <v>287.15039884673536</v>
      </c>
      <c r="AG55" s="8">
        <f t="shared" si="23"/>
        <v>0</v>
      </c>
      <c r="AH55" s="8">
        <f t="shared" si="24"/>
        <v>760.00017735303436</v>
      </c>
      <c r="AI55" s="11">
        <f t="shared" si="25"/>
        <v>0.62217061600322676</v>
      </c>
      <c r="AJ55" s="11">
        <f t="shared" si="26"/>
        <v>0.37782938399677318</v>
      </c>
      <c r="AK55" s="11">
        <f t="shared" si="27"/>
        <v>0</v>
      </c>
      <c r="AL55" s="11">
        <f t="shared" si="28"/>
        <v>1</v>
      </c>
    </row>
    <row r="56" spans="5:38" x14ac:dyDescent="0.25">
      <c r="E56" s="8">
        <v>60.254083469494496</v>
      </c>
      <c r="F56" s="8">
        <f t="shared" si="0"/>
        <v>333.40408346949448</v>
      </c>
      <c r="G56" s="8">
        <v>0.6</v>
      </c>
      <c r="H56" s="8">
        <v>0</v>
      </c>
      <c r="I56" s="8">
        <v>0.4</v>
      </c>
      <c r="J56" s="11">
        <f t="shared" si="29"/>
        <v>2.0112663234328969</v>
      </c>
      <c r="K56" s="11">
        <f t="shared" si="1"/>
        <v>-0.78469011914732434</v>
      </c>
      <c r="L56" s="11">
        <f t="shared" si="2"/>
        <v>0.28543557772280281</v>
      </c>
      <c r="M56" s="11">
        <f t="shared" si="3"/>
        <v>2.3866781116477833</v>
      </c>
      <c r="N56" s="11">
        <f t="shared" si="4"/>
        <v>-0.14222951777801038</v>
      </c>
      <c r="O56" s="11">
        <f t="shared" si="5"/>
        <v>0.52525893862929418</v>
      </c>
      <c r="P56" s="11">
        <f t="shared" si="6"/>
        <v>0.56484742087494999</v>
      </c>
      <c r="Q56" s="11">
        <f t="shared" si="7"/>
        <v>1.2496356062779763</v>
      </c>
      <c r="R56" s="11">
        <f t="shared" si="8"/>
        <v>0.9176712124435249</v>
      </c>
      <c r="S56" s="11">
        <f t="shared" si="9"/>
        <v>0.48753650387403014</v>
      </c>
      <c r="T56" s="11">
        <f t="shared" si="10"/>
        <v>1.0449289795910373</v>
      </c>
      <c r="U56" s="11">
        <f t="shared" si="11"/>
        <v>0.85018184929180052</v>
      </c>
      <c r="V56" s="2">
        <f t="shared" si="12"/>
        <v>0.79501460154961201</v>
      </c>
      <c r="W56" s="2">
        <f t="shared" si="13"/>
        <v>0.67898119224169018</v>
      </c>
      <c r="X56" s="2">
        <f t="shared" si="14"/>
        <v>0.95060272746611496</v>
      </c>
      <c r="Y56" s="2">
        <f t="shared" si="15"/>
        <v>0.465437080970173</v>
      </c>
      <c r="Z56" s="2">
        <f t="shared" si="16"/>
        <v>0.86026140361058956</v>
      </c>
      <c r="AA56" s="2">
        <f t="shared" si="17"/>
        <v>0.15716160761004144</v>
      </c>
      <c r="AB56" s="11">
        <f t="shared" si="18"/>
        <v>1.2092330290413911</v>
      </c>
      <c r="AC56" s="11">
        <f t="shared" si="19"/>
        <v>0.85178477683263509</v>
      </c>
      <c r="AD56" s="11">
        <f t="shared" si="20"/>
        <v>2.1351053157057107</v>
      </c>
      <c r="AE56" s="8">
        <f t="shared" si="21"/>
        <v>630.84851157769288</v>
      </c>
      <c r="AF56" s="8">
        <f t="shared" si="22"/>
        <v>0</v>
      </c>
      <c r="AG56" s="8">
        <f t="shared" si="23"/>
        <v>129.15128651622229</v>
      </c>
      <c r="AH56" s="8">
        <f t="shared" si="24"/>
        <v>759.99979809391516</v>
      </c>
      <c r="AI56" s="11">
        <f t="shared" si="25"/>
        <v>0.83006405154299434</v>
      </c>
      <c r="AJ56" s="11">
        <f t="shared" si="26"/>
        <v>0</v>
      </c>
      <c r="AK56" s="11">
        <f t="shared" si="27"/>
        <v>0.16993594845700569</v>
      </c>
      <c r="AL56" s="11">
        <f t="shared" si="28"/>
        <v>1</v>
      </c>
    </row>
    <row r="57" spans="5:38" x14ac:dyDescent="0.25">
      <c r="E57" s="8">
        <v>59.089573311794624</v>
      </c>
      <c r="F57" s="8">
        <f t="shared" si="0"/>
        <v>332.23957331179463</v>
      </c>
      <c r="G57" s="8">
        <v>0.6</v>
      </c>
      <c r="H57" s="8">
        <v>0.1</v>
      </c>
      <c r="I57" s="8">
        <v>0.3</v>
      </c>
      <c r="J57" s="11">
        <f t="shared" si="29"/>
        <v>2.0183158751769308</v>
      </c>
      <c r="K57" s="11">
        <f t="shared" si="1"/>
        <v>-0.78744048270361322</v>
      </c>
      <c r="L57" s="11">
        <f t="shared" si="2"/>
        <v>0.28643603840337073</v>
      </c>
      <c r="M57" s="11">
        <f t="shared" si="3"/>
        <v>2.395043493521078</v>
      </c>
      <c r="N57" s="11">
        <f t="shared" si="4"/>
        <v>-0.14272803671278461</v>
      </c>
      <c r="O57" s="11">
        <f t="shared" si="5"/>
        <v>0.52709998773539324</v>
      </c>
      <c r="P57" s="11">
        <f t="shared" si="6"/>
        <v>0.56371768655907484</v>
      </c>
      <c r="Q57" s="11">
        <f t="shared" si="7"/>
        <v>1.2506120820258808</v>
      </c>
      <c r="R57" s="11">
        <f t="shared" si="8"/>
        <v>0.9173949077649366</v>
      </c>
      <c r="S57" s="11">
        <f t="shared" si="9"/>
        <v>0.48631044098405096</v>
      </c>
      <c r="T57" s="11">
        <f t="shared" si="10"/>
        <v>1.0450899553057402</v>
      </c>
      <c r="U57" s="11">
        <f t="shared" si="11"/>
        <v>0.84969833183865295</v>
      </c>
      <c r="V57" s="2">
        <f t="shared" si="12"/>
        <v>0.87095434049780329</v>
      </c>
      <c r="W57" s="2">
        <f t="shared" si="13"/>
        <v>0.6931401114870408</v>
      </c>
      <c r="X57" s="2">
        <f t="shared" si="14"/>
        <v>0.95494594018953594</v>
      </c>
      <c r="Y57" s="2">
        <f t="shared" si="15"/>
        <v>0.2509421390985222</v>
      </c>
      <c r="Z57" s="2">
        <f t="shared" si="16"/>
        <v>0.81701900762739776</v>
      </c>
      <c r="AA57" s="2">
        <f t="shared" si="17"/>
        <v>0.14274861406806444</v>
      </c>
      <c r="AB57" s="11">
        <f t="shared" si="18"/>
        <v>1.2182167103739932</v>
      </c>
      <c r="AC57" s="11">
        <f t="shared" si="19"/>
        <v>0.98617624616464306</v>
      </c>
      <c r="AD57" s="11">
        <f t="shared" si="20"/>
        <v>2.0719720389258596</v>
      </c>
      <c r="AE57" s="8">
        <f t="shared" si="21"/>
        <v>611.12945798046269</v>
      </c>
      <c r="AF57" s="8">
        <f t="shared" si="22"/>
        <v>59.805586704812235</v>
      </c>
      <c r="AG57" s="8">
        <f t="shared" si="23"/>
        <v>89.064299242898429</v>
      </c>
      <c r="AH57" s="8">
        <f t="shared" si="24"/>
        <v>759.99934392817329</v>
      </c>
      <c r="AI57" s="11">
        <f t="shared" si="25"/>
        <v>0.80411840202617313</v>
      </c>
      <c r="AJ57" s="11">
        <f t="shared" si="26"/>
        <v>7.8691629384438522E-2</v>
      </c>
      <c r="AK57" s="11">
        <f t="shared" si="27"/>
        <v>0.11718996858938842</v>
      </c>
      <c r="AL57" s="11">
        <f t="shared" si="28"/>
        <v>1</v>
      </c>
    </row>
    <row r="58" spans="5:38" x14ac:dyDescent="0.25">
      <c r="E58" s="8">
        <v>57.84544386397021</v>
      </c>
      <c r="F58" s="8">
        <f t="shared" si="0"/>
        <v>330.99544386397019</v>
      </c>
      <c r="G58" s="8">
        <v>0.6</v>
      </c>
      <c r="H58" s="8">
        <v>0.2</v>
      </c>
      <c r="I58" s="8">
        <v>0.2</v>
      </c>
      <c r="J58" s="11">
        <f t="shared" si="29"/>
        <v>2.0259022219435381</v>
      </c>
      <c r="K58" s="11">
        <f t="shared" si="1"/>
        <v>-0.7904002753868723</v>
      </c>
      <c r="L58" s="11">
        <f t="shared" si="2"/>
        <v>0.2875126801424101</v>
      </c>
      <c r="M58" s="11">
        <f t="shared" si="3"/>
        <v>2.4040458655909926</v>
      </c>
      <c r="N58" s="11">
        <f t="shared" si="4"/>
        <v>-0.14326451586014569</v>
      </c>
      <c r="O58" s="11">
        <f t="shared" si="5"/>
        <v>0.52908122532898094</v>
      </c>
      <c r="P58" s="11">
        <f t="shared" si="6"/>
        <v>0.56250445157038798</v>
      </c>
      <c r="Q58" s="11">
        <f t="shared" si="7"/>
        <v>1.2516637648834876</v>
      </c>
      <c r="R58" s="11">
        <f t="shared" si="8"/>
        <v>0.91709765653220365</v>
      </c>
      <c r="S58" s="11">
        <f t="shared" si="9"/>
        <v>0.48499446254496803</v>
      </c>
      <c r="T58" s="11">
        <f t="shared" si="10"/>
        <v>1.04526321637742</v>
      </c>
      <c r="U58" s="11">
        <f t="shared" si="11"/>
        <v>0.8491783036641688</v>
      </c>
      <c r="V58" s="2">
        <f t="shared" si="12"/>
        <v>0.94733164548569115</v>
      </c>
      <c r="W58" s="2">
        <f t="shared" si="13"/>
        <v>0.70733833167506655</v>
      </c>
      <c r="X58" s="2">
        <f t="shared" si="14"/>
        <v>0.95931123719480627</v>
      </c>
      <c r="Y58" s="2">
        <f t="shared" si="15"/>
        <v>3.5326709612015589E-2</v>
      </c>
      <c r="Z58" s="2">
        <f t="shared" si="16"/>
        <v>0.77360427045883307</v>
      </c>
      <c r="AA58" s="2">
        <f t="shared" si="17"/>
        <v>0.12825649738099246</v>
      </c>
      <c r="AB58" s="11">
        <f t="shared" si="18"/>
        <v>1.2108827145326526</v>
      </c>
      <c r="AC58" s="11">
        <f t="shared" si="19"/>
        <v>1.0702969633285799</v>
      </c>
      <c r="AD58" s="11">
        <f t="shared" si="20"/>
        <v>2.0082571031664318</v>
      </c>
      <c r="AE58" s="8">
        <f t="shared" si="21"/>
        <v>582.364481974809</v>
      </c>
      <c r="AF58" s="8">
        <f t="shared" si="22"/>
        <v>123.33319791557749</v>
      </c>
      <c r="AG58" s="8">
        <f t="shared" si="23"/>
        <v>54.302320938398559</v>
      </c>
      <c r="AH58" s="8">
        <f t="shared" si="24"/>
        <v>760.00000082878501</v>
      </c>
      <c r="AI58" s="11">
        <f t="shared" si="25"/>
        <v>0.76626905439439041</v>
      </c>
      <c r="AJ58" s="11">
        <f t="shared" si="26"/>
        <v>0.16228052339616028</v>
      </c>
      <c r="AK58" s="11">
        <f t="shared" si="27"/>
        <v>7.1450422209449374E-2</v>
      </c>
      <c r="AL58" s="11">
        <f t="shared" si="28"/>
        <v>1</v>
      </c>
    </row>
    <row r="59" spans="5:38" x14ac:dyDescent="0.25">
      <c r="E59" s="8">
        <v>56.572899775440447</v>
      </c>
      <c r="F59" s="8">
        <f t="shared" si="0"/>
        <v>329.7228997754404</v>
      </c>
      <c r="G59" s="8">
        <v>0.6</v>
      </c>
      <c r="H59" s="8">
        <v>0.3</v>
      </c>
      <c r="I59" s="8">
        <v>0.1</v>
      </c>
      <c r="J59" s="11">
        <f t="shared" si="29"/>
        <v>2.0337210598168838</v>
      </c>
      <c r="K59" s="11">
        <f t="shared" si="1"/>
        <v>-0.79345077384694562</v>
      </c>
      <c r="L59" s="11">
        <f t="shared" si="2"/>
        <v>0.2886223166333598</v>
      </c>
      <c r="M59" s="11">
        <f t="shared" si="3"/>
        <v>2.4133241242648542</v>
      </c>
      <c r="N59" s="11">
        <f t="shared" si="4"/>
        <v>-0.1438174359420632</v>
      </c>
      <c r="O59" s="11">
        <f t="shared" si="5"/>
        <v>0.53112317990994273</v>
      </c>
      <c r="P59" s="11">
        <f t="shared" si="6"/>
        <v>0.56125676811957992</v>
      </c>
      <c r="Q59" s="11">
        <f t="shared" si="7"/>
        <v>1.2527486030778392</v>
      </c>
      <c r="R59" s="11">
        <f t="shared" si="8"/>
        <v>0.91679139652789965</v>
      </c>
      <c r="S59" s="11">
        <f t="shared" si="9"/>
        <v>0.48364188101134692</v>
      </c>
      <c r="T59" s="11">
        <f t="shared" si="10"/>
        <v>1.0454418172643487</v>
      </c>
      <c r="U59" s="11">
        <f t="shared" si="11"/>
        <v>0.84864267175424501</v>
      </c>
      <c r="V59" s="2">
        <f t="shared" si="12"/>
        <v>1.0241887690244864</v>
      </c>
      <c r="W59" s="2">
        <f t="shared" si="13"/>
        <v>0.72161832804717241</v>
      </c>
      <c r="X59" s="2">
        <f t="shared" si="14"/>
        <v>0.96370738309604431</v>
      </c>
      <c r="Y59" s="2">
        <f t="shared" si="15"/>
        <v>-0.18147984266938594</v>
      </c>
      <c r="Z59" s="2">
        <f t="shared" si="16"/>
        <v>0.72993720501666914</v>
      </c>
      <c r="AA59" s="2">
        <f t="shared" si="17"/>
        <v>0.11365804556557846</v>
      </c>
      <c r="AB59" s="11">
        <f t="shared" si="18"/>
        <v>1.1988465823892125</v>
      </c>
      <c r="AC59" s="11">
        <f t="shared" si="19"/>
        <v>1.1166559013350206</v>
      </c>
      <c r="AD59" s="11">
        <f t="shared" si="20"/>
        <v>1.9545996618397439</v>
      </c>
      <c r="AE59" s="8">
        <f t="shared" si="21"/>
        <v>552.03105399364608</v>
      </c>
      <c r="AF59" s="8">
        <f t="shared" si="22"/>
        <v>183.08096685078334</v>
      </c>
      <c r="AG59" s="8">
        <f t="shared" si="23"/>
        <v>24.88840395072501</v>
      </c>
      <c r="AH59" s="8">
        <f t="shared" si="24"/>
        <v>760.00042479515446</v>
      </c>
      <c r="AI59" s="11">
        <f t="shared" si="25"/>
        <v>0.72635624400135945</v>
      </c>
      <c r="AJ59" s="11">
        <f t="shared" si="26"/>
        <v>0.24089587436760945</v>
      </c>
      <c r="AK59" s="11">
        <f t="shared" si="27"/>
        <v>3.2747881631031019E-2</v>
      </c>
      <c r="AL59" s="11">
        <f t="shared" si="28"/>
        <v>0.99999999999999989</v>
      </c>
    </row>
    <row r="60" spans="5:38" x14ac:dyDescent="0.25">
      <c r="E60" s="8">
        <v>55.316266710013615</v>
      </c>
      <c r="F60" s="8">
        <f t="shared" si="0"/>
        <v>328.4662667100136</v>
      </c>
      <c r="G60" s="8">
        <v>0.6</v>
      </c>
      <c r="H60" s="8">
        <v>0.4</v>
      </c>
      <c r="I60" s="8">
        <v>0</v>
      </c>
      <c r="J60" s="11">
        <f t="shared" si="29"/>
        <v>2.0415015882565881</v>
      </c>
      <c r="K60" s="11">
        <f t="shared" si="1"/>
        <v>-0.79648632598504332</v>
      </c>
      <c r="L60" s="11">
        <f t="shared" si="2"/>
        <v>0.28972651631308449</v>
      </c>
      <c r="M60" s="11">
        <f t="shared" si="3"/>
        <v>2.4225569228792114</v>
      </c>
      <c r="N60" s="11">
        <f t="shared" si="4"/>
        <v>-0.1443676469186724</v>
      </c>
      <c r="O60" s="11">
        <f t="shared" si="5"/>
        <v>0.53315512966348833</v>
      </c>
      <c r="P60" s="11">
        <f t="shared" si="6"/>
        <v>0.56001794503283531</v>
      </c>
      <c r="Q60" s="11">
        <f t="shared" si="7"/>
        <v>1.2538290593108186</v>
      </c>
      <c r="R60" s="11">
        <f t="shared" si="8"/>
        <v>0.91648673860868979</v>
      </c>
      <c r="S60" s="11">
        <f t="shared" si="9"/>
        <v>0.48229967112966221</v>
      </c>
      <c r="T60" s="11">
        <f t="shared" si="10"/>
        <v>1.0456195733655884</v>
      </c>
      <c r="U60" s="11">
        <f t="shared" si="11"/>
        <v>0.84810999962310341</v>
      </c>
      <c r="V60" s="2">
        <f t="shared" si="12"/>
        <v>1.1015316237243273</v>
      </c>
      <c r="W60" s="2">
        <f t="shared" si="13"/>
        <v>0.73601076701970114</v>
      </c>
      <c r="X60" s="2">
        <f t="shared" si="14"/>
        <v>0.96813987251144928</v>
      </c>
      <c r="Y60" s="2">
        <f t="shared" si="15"/>
        <v>-0.39946308034550276</v>
      </c>
      <c r="Z60" s="2">
        <f t="shared" si="16"/>
        <v>0.68596651454203428</v>
      </c>
      <c r="AA60" s="2">
        <f t="shared" si="17"/>
        <v>9.8936851062983222E-2</v>
      </c>
      <c r="AB60" s="11">
        <f t="shared" si="18"/>
        <v>1.1883496734369037</v>
      </c>
      <c r="AC60" s="11">
        <f t="shared" si="19"/>
        <v>1.1379095370422423</v>
      </c>
      <c r="AD60" s="11">
        <f t="shared" si="20"/>
        <v>1.9156255550797638</v>
      </c>
      <c r="AE60" s="8">
        <f t="shared" si="21"/>
        <v>523.9959758518396</v>
      </c>
      <c r="AF60" s="8">
        <f t="shared" si="22"/>
        <v>236.00402709290731</v>
      </c>
      <c r="AG60" s="8">
        <f t="shared" si="23"/>
        <v>0</v>
      </c>
      <c r="AH60" s="8">
        <f t="shared" si="24"/>
        <v>760.00000294474694</v>
      </c>
      <c r="AI60" s="11">
        <f t="shared" si="25"/>
        <v>0.68946838660727594</v>
      </c>
      <c r="AJ60" s="11">
        <f t="shared" si="26"/>
        <v>0.31053161339272406</v>
      </c>
      <c r="AK60" s="11">
        <f t="shared" si="27"/>
        <v>0</v>
      </c>
      <c r="AL60" s="11">
        <f t="shared" si="28"/>
        <v>1</v>
      </c>
    </row>
    <row r="61" spans="5:38" x14ac:dyDescent="0.25">
      <c r="E61" s="8">
        <v>59.296142679867536</v>
      </c>
      <c r="F61" s="8">
        <f t="shared" si="0"/>
        <v>332.44614267986753</v>
      </c>
      <c r="G61" s="8">
        <v>0.7</v>
      </c>
      <c r="H61" s="8">
        <v>0</v>
      </c>
      <c r="I61" s="8">
        <v>0.3</v>
      </c>
      <c r="J61" s="11">
        <f t="shared" si="29"/>
        <v>2.0170617705825866</v>
      </c>
      <c r="K61" s="11">
        <f t="shared" si="1"/>
        <v>-0.78695119718627837</v>
      </c>
      <c r="L61" s="11">
        <f t="shared" si="2"/>
        <v>0.28625805796127768</v>
      </c>
      <c r="M61" s="11">
        <f t="shared" si="3"/>
        <v>2.3935553047366462</v>
      </c>
      <c r="N61" s="11">
        <f t="shared" si="4"/>
        <v>-0.14263935094819014</v>
      </c>
      <c r="O61" s="11">
        <f t="shared" si="5"/>
        <v>0.5267724678836061</v>
      </c>
      <c r="P61" s="11">
        <f t="shared" si="6"/>
        <v>0.56391849922538251</v>
      </c>
      <c r="Q61" s="11">
        <f t="shared" si="7"/>
        <v>1.2504383126876117</v>
      </c>
      <c r="R61" s="11">
        <f t="shared" si="8"/>
        <v>0.91744405586513722</v>
      </c>
      <c r="S61" s="11">
        <f t="shared" si="9"/>
        <v>0.48652833002649337</v>
      </c>
      <c r="T61" s="11">
        <f t="shared" si="10"/>
        <v>1.0450613161562115</v>
      </c>
      <c r="U61" s="11">
        <f t="shared" si="11"/>
        <v>0.84978432874933718</v>
      </c>
      <c r="V61" s="2">
        <f t="shared" si="12"/>
        <v>0.84595849900794795</v>
      </c>
      <c r="W61" s="2">
        <f t="shared" si="13"/>
        <v>0.64967824808256891</v>
      </c>
      <c r="X61" s="2">
        <f t="shared" si="14"/>
        <v>0.94221083910559611</v>
      </c>
      <c r="Y61" s="2">
        <f t="shared" si="15"/>
        <v>0.34935973957187244</v>
      </c>
      <c r="Z61" s="2">
        <f t="shared" si="16"/>
        <v>0.93051380896550817</v>
      </c>
      <c r="AA61" s="2">
        <f t="shared" si="17"/>
        <v>0.18383802760405049</v>
      </c>
      <c r="AB61" s="11">
        <f t="shared" si="18"/>
        <v>1.1028280031909092</v>
      </c>
      <c r="AC61" s="11">
        <f t="shared" si="19"/>
        <v>1.0814770073002653</v>
      </c>
      <c r="AD61" s="11">
        <f t="shared" si="20"/>
        <v>2.5353719877002314</v>
      </c>
      <c r="AE61" s="8">
        <f t="shared" si="21"/>
        <v>649.96445051587079</v>
      </c>
      <c r="AF61" s="8">
        <f t="shared" si="22"/>
        <v>0</v>
      </c>
      <c r="AG61" s="8">
        <f t="shared" si="23"/>
        <v>110.03469450717971</v>
      </c>
      <c r="AH61" s="8">
        <f t="shared" si="24"/>
        <v>759.99914502305046</v>
      </c>
      <c r="AI61" s="11">
        <f t="shared" si="25"/>
        <v>0.85521734435129881</v>
      </c>
      <c r="AJ61" s="11">
        <f t="shared" si="26"/>
        <v>0</v>
      </c>
      <c r="AK61" s="11">
        <f t="shared" si="27"/>
        <v>0.1447826556487013</v>
      </c>
      <c r="AL61" s="11">
        <f t="shared" si="28"/>
        <v>1</v>
      </c>
    </row>
    <row r="62" spans="5:38" x14ac:dyDescent="0.25">
      <c r="E62" s="8">
        <v>57.761223680177245</v>
      </c>
      <c r="F62" s="8">
        <f t="shared" si="0"/>
        <v>330.91122368017722</v>
      </c>
      <c r="G62" s="8">
        <v>0.7</v>
      </c>
      <c r="H62" s="8">
        <v>0.1</v>
      </c>
      <c r="I62" s="8">
        <v>0.2</v>
      </c>
      <c r="J62" s="11">
        <f t="shared" si="29"/>
        <v>2.0264178341236905</v>
      </c>
      <c r="K62" s="11">
        <f t="shared" si="1"/>
        <v>-0.79060144008513422</v>
      </c>
      <c r="L62" s="11">
        <f t="shared" si="2"/>
        <v>0.28758585496705069</v>
      </c>
      <c r="M62" s="11">
        <f t="shared" si="3"/>
        <v>2.4046577190736125</v>
      </c>
      <c r="N62" s="11">
        <f t="shared" si="4"/>
        <v>-0.14330097809833323</v>
      </c>
      <c r="O62" s="11">
        <f t="shared" si="5"/>
        <v>0.52921588174088208</v>
      </c>
      <c r="P62" s="11">
        <f t="shared" si="6"/>
        <v>0.56242208790330994</v>
      </c>
      <c r="Q62" s="11">
        <f t="shared" si="7"/>
        <v>1.2517352754462541</v>
      </c>
      <c r="R62" s="11">
        <f t="shared" si="8"/>
        <v>0.91707745710813826</v>
      </c>
      <c r="S62" s="11">
        <f t="shared" si="9"/>
        <v>0.48490515035860049</v>
      </c>
      <c r="T62" s="11">
        <f t="shared" si="10"/>
        <v>1.0452749932484005</v>
      </c>
      <c r="U62" s="11">
        <f t="shared" si="11"/>
        <v>0.84914297108248604</v>
      </c>
      <c r="V62" s="2">
        <f t="shared" si="12"/>
        <v>0.92215455761634546</v>
      </c>
      <c r="W62" s="2">
        <f t="shared" si="13"/>
        <v>0.66352405574881412</v>
      </c>
      <c r="X62" s="2">
        <f t="shared" si="14"/>
        <v>0.94648171930053682</v>
      </c>
      <c r="Y62" s="2">
        <f t="shared" si="15"/>
        <v>0.13424381142835481</v>
      </c>
      <c r="Z62" s="2">
        <f t="shared" si="16"/>
        <v>0.88766749369574249</v>
      </c>
      <c r="AA62" s="2">
        <f t="shared" si="17"/>
        <v>0.16963806030999443</v>
      </c>
      <c r="AB62" s="11">
        <f t="shared" si="18"/>
        <v>1.1212419825845747</v>
      </c>
      <c r="AC62" s="11">
        <f t="shared" si="19"/>
        <v>1.1917316417214057</v>
      </c>
      <c r="AD62" s="11">
        <f t="shared" si="20"/>
        <v>2.3855213281243333</v>
      </c>
      <c r="AE62" s="8">
        <f t="shared" si="21"/>
        <v>627.32636837578502</v>
      </c>
      <c r="AF62" s="8">
        <f t="shared" si="22"/>
        <v>68.424529261760767</v>
      </c>
      <c r="AG62" s="8">
        <f t="shared" si="23"/>
        <v>64.249048648148104</v>
      </c>
      <c r="AH62" s="8">
        <f t="shared" si="24"/>
        <v>759.99994628569391</v>
      </c>
      <c r="AI62" s="11">
        <f t="shared" si="25"/>
        <v>0.82542949041204916</v>
      </c>
      <c r="AJ62" s="11">
        <f t="shared" si="26"/>
        <v>9.0032281707608297E-2</v>
      </c>
      <c r="AK62" s="11">
        <f t="shared" si="27"/>
        <v>8.453822788034257E-2</v>
      </c>
      <c r="AL62" s="11">
        <f t="shared" si="28"/>
        <v>1</v>
      </c>
    </row>
    <row r="63" spans="5:38" x14ac:dyDescent="0.25">
      <c r="E63" s="8">
        <v>56.230848955824698</v>
      </c>
      <c r="F63" s="8">
        <f t="shared" si="0"/>
        <v>329.38084895582466</v>
      </c>
      <c r="G63" s="8">
        <v>0.7</v>
      </c>
      <c r="H63" s="8">
        <v>0.2</v>
      </c>
      <c r="I63" s="8">
        <v>0.1</v>
      </c>
      <c r="J63" s="11">
        <f t="shared" si="29"/>
        <v>2.035833010033739</v>
      </c>
      <c r="K63" s="11">
        <f t="shared" si="1"/>
        <v>-0.7942747455149386</v>
      </c>
      <c r="L63" s="11">
        <f t="shared" si="2"/>
        <v>0.28892204110209196</v>
      </c>
      <c r="M63" s="11">
        <f t="shared" si="3"/>
        <v>2.4158302793656139</v>
      </c>
      <c r="N63" s="11">
        <f t="shared" si="4"/>
        <v>-0.14396678546251943</v>
      </c>
      <c r="O63" s="11">
        <f t="shared" si="5"/>
        <v>0.53167473328525594</v>
      </c>
      <c r="P63" s="11">
        <f t="shared" si="6"/>
        <v>0.56092023069191854</v>
      </c>
      <c r="Q63" s="11">
        <f t="shared" si="7"/>
        <v>1.2530417905177169</v>
      </c>
      <c r="R63" s="11">
        <f t="shared" si="8"/>
        <v>0.91670869002963151</v>
      </c>
      <c r="S63" s="11">
        <f t="shared" si="9"/>
        <v>0.4832771820327898</v>
      </c>
      <c r="T63" s="11">
        <f t="shared" si="10"/>
        <v>1.0454900644739491</v>
      </c>
      <c r="U63" s="11">
        <f t="shared" si="11"/>
        <v>0.84849804991396205</v>
      </c>
      <c r="V63" s="2">
        <f t="shared" si="12"/>
        <v>0.99893607630682235</v>
      </c>
      <c r="W63" s="2">
        <f t="shared" si="13"/>
        <v>0.67749396647573912</v>
      </c>
      <c r="X63" s="2">
        <f t="shared" si="14"/>
        <v>0.95079409591553177</v>
      </c>
      <c r="Y63" s="2">
        <f t="shared" si="15"/>
        <v>-8.2300324888478396E-2</v>
      </c>
      <c r="Z63" s="2">
        <f t="shared" si="16"/>
        <v>0.84447044258494997</v>
      </c>
      <c r="AA63" s="2">
        <f t="shared" si="17"/>
        <v>0.15529697331050693</v>
      </c>
      <c r="AB63" s="11">
        <f t="shared" si="18"/>
        <v>1.1254275716726081</v>
      </c>
      <c r="AC63" s="11">
        <f t="shared" si="19"/>
        <v>1.2456120065166425</v>
      </c>
      <c r="AD63" s="11">
        <f t="shared" si="20"/>
        <v>2.2549929308895815</v>
      </c>
      <c r="AE63" s="8">
        <f t="shared" si="21"/>
        <v>597.52809238187433</v>
      </c>
      <c r="AF63" s="8">
        <f t="shared" si="22"/>
        <v>134.21921466179893</v>
      </c>
      <c r="AG63" s="8">
        <f t="shared" si="23"/>
        <v>28.251969189723155</v>
      </c>
      <c r="AH63" s="8">
        <f t="shared" si="24"/>
        <v>759.99927623339636</v>
      </c>
      <c r="AI63" s="11">
        <f t="shared" si="25"/>
        <v>0.78622192292505944</v>
      </c>
      <c r="AJ63" s="11">
        <f t="shared" si="26"/>
        <v>0.17660439800284772</v>
      </c>
      <c r="AK63" s="11">
        <f t="shared" si="27"/>
        <v>3.7173679072092895E-2</v>
      </c>
      <c r="AL63" s="11">
        <f t="shared" si="28"/>
        <v>1</v>
      </c>
    </row>
    <row r="64" spans="5:38" x14ac:dyDescent="0.25">
      <c r="E64" s="8">
        <v>54.783569478785246</v>
      </c>
      <c r="F64" s="8">
        <f t="shared" si="0"/>
        <v>327.93356947878522</v>
      </c>
      <c r="G64" s="8">
        <v>0.7</v>
      </c>
      <c r="H64" s="8">
        <v>0.3</v>
      </c>
      <c r="I64" s="8">
        <v>0</v>
      </c>
      <c r="J64" s="11">
        <f t="shared" si="29"/>
        <v>2.0448178155197532</v>
      </c>
      <c r="K64" s="11">
        <f t="shared" si="1"/>
        <v>-0.79778014308720169</v>
      </c>
      <c r="L64" s="11">
        <f t="shared" si="2"/>
        <v>0.2901971497810113</v>
      </c>
      <c r="M64" s="11">
        <f t="shared" si="3"/>
        <v>2.4264921386833209</v>
      </c>
      <c r="N64" s="11">
        <f t="shared" si="4"/>
        <v>-0.14460215857880759</v>
      </c>
      <c r="O64" s="11">
        <f t="shared" si="5"/>
        <v>0.53402119001174231</v>
      </c>
      <c r="P64" s="11">
        <f t="shared" si="6"/>
        <v>0.55949076363905403</v>
      </c>
      <c r="Q64" s="11">
        <f t="shared" si="7"/>
        <v>1.2542898560004907</v>
      </c>
      <c r="R64" s="11">
        <f t="shared" si="8"/>
        <v>0.91635691767520511</v>
      </c>
      <c r="S64" s="11">
        <f t="shared" si="9"/>
        <v>0.48172872539928169</v>
      </c>
      <c r="T64" s="11">
        <f t="shared" si="10"/>
        <v>1.045695345995397</v>
      </c>
      <c r="U64" s="11">
        <f t="shared" si="11"/>
        <v>0.84788306502727773</v>
      </c>
      <c r="V64" s="2">
        <f t="shared" si="12"/>
        <v>1.0762869568001472</v>
      </c>
      <c r="W64" s="2">
        <f t="shared" si="13"/>
        <v>0.69164353454733773</v>
      </c>
      <c r="X64" s="2">
        <f t="shared" si="14"/>
        <v>0.95515844617126267</v>
      </c>
      <c r="Y64" s="2">
        <f t="shared" si="15"/>
        <v>-0.3001942622378691</v>
      </c>
      <c r="Z64" s="2">
        <f t="shared" si="16"/>
        <v>0.80083967677552226</v>
      </c>
      <c r="AA64" s="2">
        <f t="shared" si="17"/>
        <v>0.1407839747099959</v>
      </c>
      <c r="AB64" s="11">
        <f t="shared" si="18"/>
        <v>1.124937586144892</v>
      </c>
      <c r="AC64" s="11">
        <f t="shared" si="19"/>
        <v>1.2615943407735783</v>
      </c>
      <c r="AD64" s="11">
        <f t="shared" si="20"/>
        <v>2.150254013398202</v>
      </c>
      <c r="AE64" s="8">
        <f t="shared" si="21"/>
        <v>568.11235790575734</v>
      </c>
      <c r="AF64" s="8">
        <f t="shared" si="22"/>
        <v>191.88764348058763</v>
      </c>
      <c r="AG64" s="8">
        <f t="shared" si="23"/>
        <v>0</v>
      </c>
      <c r="AH64" s="8">
        <f t="shared" si="24"/>
        <v>760.00000138634493</v>
      </c>
      <c r="AI64" s="11">
        <f t="shared" si="25"/>
        <v>0.74751625903873942</v>
      </c>
      <c r="AJ64" s="11">
        <f t="shared" si="26"/>
        <v>0.25248374096126064</v>
      </c>
      <c r="AK64" s="11">
        <f t="shared" si="27"/>
        <v>0</v>
      </c>
      <c r="AL64" s="11">
        <f t="shared" si="28"/>
        <v>1</v>
      </c>
    </row>
    <row r="65" spans="5:38" x14ac:dyDescent="0.25">
      <c r="E65" s="8">
        <v>58.252061026167148</v>
      </c>
      <c r="F65" s="8">
        <f t="shared" si="0"/>
        <v>331.40206102616713</v>
      </c>
      <c r="G65" s="8">
        <v>0.8</v>
      </c>
      <c r="H65" s="8">
        <v>0</v>
      </c>
      <c r="I65" s="8">
        <v>0.2</v>
      </c>
      <c r="J65" s="11">
        <f t="shared" si="29"/>
        <v>2.0234165204067871</v>
      </c>
      <c r="K65" s="11">
        <f t="shared" si="1"/>
        <v>-0.78943048565176221</v>
      </c>
      <c r="L65" s="11">
        <f t="shared" si="2"/>
        <v>0.28715991350682207</v>
      </c>
      <c r="M65" s="11">
        <f t="shared" si="3"/>
        <v>2.4010961968272224</v>
      </c>
      <c r="N65" s="11">
        <f t="shared" si="4"/>
        <v>-0.14308873599111835</v>
      </c>
      <c r="O65" s="11">
        <f t="shared" si="5"/>
        <v>0.52843206368602424</v>
      </c>
      <c r="P65" s="11">
        <f t="shared" si="6"/>
        <v>0.5629016857285144</v>
      </c>
      <c r="Q65" s="11">
        <f t="shared" si="7"/>
        <v>1.2513190787618793</v>
      </c>
      <c r="R65" s="11">
        <f t="shared" si="8"/>
        <v>0.91719504166031784</v>
      </c>
      <c r="S65" s="11">
        <f t="shared" si="9"/>
        <v>0.48542525623487015</v>
      </c>
      <c r="T65" s="11">
        <f t="shared" si="10"/>
        <v>1.0452064434238098</v>
      </c>
      <c r="U65" s="11">
        <f t="shared" si="11"/>
        <v>0.84934865823006545</v>
      </c>
      <c r="V65" s="2">
        <f t="shared" si="12"/>
        <v>0.89708505124697413</v>
      </c>
      <c r="W65" s="2">
        <f t="shared" si="13"/>
        <v>0.62019108022882463</v>
      </c>
      <c r="X65" s="2">
        <f t="shared" si="14"/>
        <v>0.93375603332825441</v>
      </c>
      <c r="Y65" s="2">
        <f t="shared" si="15"/>
        <v>0.23311054731788536</v>
      </c>
      <c r="Z65" s="2">
        <f t="shared" si="16"/>
        <v>1.0009522690658184</v>
      </c>
      <c r="AA65" s="2">
        <f t="shared" si="17"/>
        <v>0.21070531906565038</v>
      </c>
      <c r="AB65" s="11">
        <f t="shared" si="18"/>
        <v>1.0410243317725456</v>
      </c>
      <c r="AC65" s="11">
        <f t="shared" si="19"/>
        <v>1.4340424474356652</v>
      </c>
      <c r="AD65" s="11">
        <f t="shared" si="20"/>
        <v>3.0169494742876006</v>
      </c>
      <c r="AE65" s="8">
        <f t="shared" si="21"/>
        <v>676.85454507740326</v>
      </c>
      <c r="AF65" s="8">
        <f t="shared" si="22"/>
        <v>0</v>
      </c>
      <c r="AG65" s="8">
        <f t="shared" si="23"/>
        <v>83.145073501061873</v>
      </c>
      <c r="AH65" s="8">
        <f t="shared" si="24"/>
        <v>759.99961857846517</v>
      </c>
      <c r="AI65" s="11">
        <f t="shared" si="25"/>
        <v>0.89059853259324007</v>
      </c>
      <c r="AJ65" s="11">
        <f t="shared" si="26"/>
        <v>0</v>
      </c>
      <c r="AK65" s="11">
        <f t="shared" si="27"/>
        <v>0.10940146740675985</v>
      </c>
      <c r="AL65" s="11">
        <f t="shared" si="28"/>
        <v>0.99999999999999989</v>
      </c>
    </row>
    <row r="66" spans="5:38" x14ac:dyDescent="0.25">
      <c r="E66" s="8">
        <v>56.33826622952359</v>
      </c>
      <c r="F66" s="8">
        <f t="shared" si="0"/>
        <v>329.48826622952356</v>
      </c>
      <c r="G66" s="8">
        <v>0.8</v>
      </c>
      <c r="H66" s="8">
        <v>0.1</v>
      </c>
      <c r="I66" s="8">
        <v>0.1</v>
      </c>
      <c r="J66" s="11">
        <f t="shared" si="29"/>
        <v>2.0351693031462479</v>
      </c>
      <c r="K66" s="11">
        <f t="shared" si="1"/>
        <v>-0.79401580206694444</v>
      </c>
      <c r="L66" s="11">
        <f t="shared" si="2"/>
        <v>0.28882784892243757</v>
      </c>
      <c r="M66" s="11">
        <f t="shared" si="3"/>
        <v>2.4150426886410692</v>
      </c>
      <c r="N66" s="11">
        <f t="shared" si="4"/>
        <v>-0.14391985049947947</v>
      </c>
      <c r="O66" s="11">
        <f t="shared" si="5"/>
        <v>0.53150140070805185</v>
      </c>
      <c r="P66" s="11">
        <f t="shared" si="6"/>
        <v>0.56102597005736354</v>
      </c>
      <c r="Q66" s="11">
        <f t="shared" si="7"/>
        <v>1.252949645288808</v>
      </c>
      <c r="R66" s="11">
        <f t="shared" si="8"/>
        <v>0.91673468078174891</v>
      </c>
      <c r="S66" s="11">
        <f t="shared" si="9"/>
        <v>0.48339176362629677</v>
      </c>
      <c r="T66" s="11">
        <f t="shared" si="10"/>
        <v>1.0454749019423015</v>
      </c>
      <c r="U66" s="11">
        <f t="shared" si="11"/>
        <v>0.84854349648831207</v>
      </c>
      <c r="V66" s="2">
        <f t="shared" si="12"/>
        <v>0.97363414089151046</v>
      </c>
      <c r="W66" s="2">
        <f t="shared" si="13"/>
        <v>0.63367512569472206</v>
      </c>
      <c r="X66" s="2">
        <f t="shared" si="14"/>
        <v>0.93793523481962926</v>
      </c>
      <c r="Y66" s="2">
        <f t="shared" si="15"/>
        <v>1.7254992694151344E-2</v>
      </c>
      <c r="Z66" s="2">
        <f t="shared" si="16"/>
        <v>0.95852647171739846</v>
      </c>
      <c r="AA66" s="2">
        <f t="shared" si="17"/>
        <v>0.19677634554738263</v>
      </c>
      <c r="AB66" s="11">
        <f t="shared" si="18"/>
        <v>1.0588110472725152</v>
      </c>
      <c r="AC66" s="11">
        <f t="shared" si="19"/>
        <v>1.4900683433886368</v>
      </c>
      <c r="AD66" s="11">
        <f t="shared" si="20"/>
        <v>2.7407372148829392</v>
      </c>
      <c r="AE66" s="8">
        <f t="shared" si="21"/>
        <v>644.84585269878824</v>
      </c>
      <c r="AF66" s="8">
        <f t="shared" si="22"/>
        <v>80.641184240024103</v>
      </c>
      <c r="AG66" s="8">
        <f t="shared" si="23"/>
        <v>34.512959945496505</v>
      </c>
      <c r="AH66" s="8">
        <f t="shared" si="24"/>
        <v>759.99999688430887</v>
      </c>
      <c r="AI66" s="11">
        <f t="shared" si="25"/>
        <v>0.84848138860841338</v>
      </c>
      <c r="AJ66" s="11">
        <f t="shared" si="26"/>
        <v>0.10610682180344762</v>
      </c>
      <c r="AK66" s="11">
        <f t="shared" si="27"/>
        <v>4.5411789588138969E-2</v>
      </c>
      <c r="AL66" s="11">
        <f t="shared" si="28"/>
        <v>1</v>
      </c>
    </row>
    <row r="67" spans="5:38" x14ac:dyDescent="0.25">
      <c r="E67" s="8">
        <v>54.569258364710251</v>
      </c>
      <c r="F67" s="8">
        <f t="shared" si="0"/>
        <v>327.71925836471024</v>
      </c>
      <c r="G67" s="8">
        <v>0.8</v>
      </c>
      <c r="H67" s="8">
        <v>0.2</v>
      </c>
      <c r="I67" s="8">
        <v>0</v>
      </c>
      <c r="J67" s="11">
        <f t="shared" si="29"/>
        <v>2.0461550185462434</v>
      </c>
      <c r="K67" s="11">
        <f t="shared" si="1"/>
        <v>-0.79830184923320324</v>
      </c>
      <c r="L67" s="11">
        <f t="shared" si="2"/>
        <v>0.29038692341464301</v>
      </c>
      <c r="M67" s="11">
        <f t="shared" si="3"/>
        <v>2.4280789365911715</v>
      </c>
      <c r="N67" s="11">
        <f t="shared" si="4"/>
        <v>-0.14469672076553203</v>
      </c>
      <c r="O67" s="11">
        <f t="shared" si="5"/>
        <v>0.53437041171065047</v>
      </c>
      <c r="P67" s="11">
        <f t="shared" si="6"/>
        <v>0.55927832860052296</v>
      </c>
      <c r="Q67" s="11">
        <f t="shared" si="7"/>
        <v>1.2544757110551104</v>
      </c>
      <c r="R67" s="11">
        <f t="shared" si="8"/>
        <v>0.91630457515519736</v>
      </c>
      <c r="S67" s="11">
        <f t="shared" si="9"/>
        <v>0.48149869409192275</v>
      </c>
      <c r="T67" s="11">
        <f t="shared" si="10"/>
        <v>1.0457259013625211</v>
      </c>
      <c r="U67" s="11">
        <f t="shared" si="11"/>
        <v>0.84779157532185756</v>
      </c>
      <c r="V67" s="2">
        <f t="shared" si="12"/>
        <v>1.0508951422110222</v>
      </c>
      <c r="W67" s="2">
        <f t="shared" si="13"/>
        <v>0.64742266288041839</v>
      </c>
      <c r="X67" s="2">
        <f t="shared" si="14"/>
        <v>0.94218884039666206</v>
      </c>
      <c r="Y67" s="2">
        <f t="shared" si="15"/>
        <v>-0.20029005599068644</v>
      </c>
      <c r="Z67" s="2">
        <f t="shared" si="16"/>
        <v>0.91549612706409211</v>
      </c>
      <c r="AA67" s="2">
        <f t="shared" si="17"/>
        <v>0.18260367144271605</v>
      </c>
      <c r="AB67" s="11">
        <f t="shared" si="18"/>
        <v>1.065777746754216</v>
      </c>
      <c r="AC67" s="11">
        <f t="shared" si="19"/>
        <v>1.4871826179026542</v>
      </c>
      <c r="AD67" s="11">
        <f t="shared" si="20"/>
        <v>2.517522640762079</v>
      </c>
      <c r="AE67" s="8">
        <f t="shared" si="21"/>
        <v>610.55922157326324</v>
      </c>
      <c r="AF67" s="8">
        <f t="shared" si="22"/>
        <v>149.44092155801522</v>
      </c>
      <c r="AG67" s="8">
        <f t="shared" si="23"/>
        <v>0</v>
      </c>
      <c r="AH67" s="8">
        <f t="shared" si="24"/>
        <v>760.00014313127849</v>
      </c>
      <c r="AI67" s="11">
        <f t="shared" si="25"/>
        <v>0.80336724550826621</v>
      </c>
      <c r="AJ67" s="11">
        <f t="shared" si="26"/>
        <v>0.19663275449173379</v>
      </c>
      <c r="AK67" s="11">
        <f t="shared" si="27"/>
        <v>0</v>
      </c>
      <c r="AL67" s="11">
        <f t="shared" si="28"/>
        <v>1</v>
      </c>
    </row>
    <row r="68" spans="5:38" x14ac:dyDescent="0.25">
      <c r="E68" s="8"/>
      <c r="F68" s="8"/>
      <c r="G68" s="8"/>
      <c r="H68" s="8"/>
      <c r="I68" s="8"/>
      <c r="J68" s="11"/>
      <c r="K68" s="11"/>
      <c r="P68" s="11"/>
      <c r="Q68" s="11"/>
      <c r="AB68" s="11"/>
      <c r="AC68" s="11"/>
      <c r="AE68" s="8"/>
      <c r="AF68" s="8"/>
      <c r="AH68" s="8"/>
      <c r="AI68" s="11"/>
      <c r="AJ68" s="11"/>
      <c r="AL68" s="11"/>
    </row>
    <row r="69" spans="5:38" x14ac:dyDescent="0.25">
      <c r="E69" s="8"/>
      <c r="F69" s="8"/>
      <c r="G69" s="8"/>
      <c r="H69" s="8"/>
      <c r="I69" s="8"/>
      <c r="J69" s="11"/>
      <c r="K69" s="11"/>
      <c r="P69" s="11"/>
      <c r="Q69" s="11"/>
      <c r="AB69" s="11"/>
      <c r="AC69" s="11"/>
      <c r="AE69" s="8"/>
      <c r="AF69" s="8"/>
      <c r="AH69" s="8"/>
      <c r="AI69" s="11"/>
      <c r="AJ69" s="11"/>
      <c r="AL69" s="11"/>
    </row>
    <row r="70" spans="5:38" x14ac:dyDescent="0.25">
      <c r="E70" s="8"/>
      <c r="F70" s="8"/>
      <c r="G70" s="8"/>
      <c r="H70" s="8"/>
      <c r="I70" s="8"/>
      <c r="J70" s="11"/>
      <c r="K70" s="11"/>
      <c r="P70" s="11"/>
      <c r="Q70" s="11"/>
      <c r="AB70" s="11"/>
      <c r="AC70" s="11"/>
      <c r="AE70" s="8"/>
      <c r="AF70" s="8"/>
      <c r="AH70" s="8"/>
      <c r="AI70" s="11"/>
      <c r="AJ70" s="11"/>
      <c r="AL70" s="11"/>
    </row>
    <row r="71" spans="5:38" x14ac:dyDescent="0.25">
      <c r="E71" s="8"/>
      <c r="F71" s="8"/>
      <c r="G71" s="8"/>
      <c r="H71" s="8"/>
      <c r="I71" s="8"/>
      <c r="J71" s="11"/>
      <c r="K71" s="11"/>
      <c r="P71" s="11"/>
      <c r="Q71" s="11"/>
      <c r="AB71" s="11"/>
      <c r="AC71" s="11"/>
      <c r="AE71" s="8"/>
      <c r="AF71" s="8"/>
      <c r="AH71" s="8"/>
      <c r="AI71" s="11"/>
      <c r="AJ71" s="11"/>
      <c r="AL71" s="11"/>
    </row>
    <row r="72" spans="5:38" x14ac:dyDescent="0.25">
      <c r="E72" s="8"/>
      <c r="F72" s="8"/>
      <c r="G72" s="8"/>
      <c r="H72" s="8"/>
      <c r="I72" s="8"/>
      <c r="J72" s="11"/>
      <c r="K72" s="11"/>
      <c r="P72" s="11"/>
      <c r="Q72" s="11"/>
      <c r="AB72" s="11"/>
      <c r="AC72" s="11"/>
      <c r="AE72" s="8"/>
      <c r="AF72" s="8"/>
      <c r="AH72" s="8"/>
      <c r="AI72" s="11"/>
      <c r="AJ72" s="11"/>
      <c r="AL72" s="11"/>
    </row>
    <row r="73" spans="5:38" x14ac:dyDescent="0.25">
      <c r="E73" s="8"/>
      <c r="F73" s="8"/>
      <c r="G73" s="8"/>
      <c r="H73" s="8"/>
      <c r="I73" s="8"/>
      <c r="J73" s="11"/>
      <c r="K73" s="11"/>
      <c r="P73" s="11"/>
      <c r="Q73" s="11"/>
      <c r="AB73" s="11"/>
      <c r="AC73" s="11"/>
      <c r="AE73" s="8"/>
      <c r="AF73" s="8"/>
      <c r="AH73" s="8"/>
      <c r="AI73" s="11"/>
      <c r="AJ73" s="11"/>
      <c r="AL73" s="11"/>
    </row>
    <row r="74" spans="5:38" x14ac:dyDescent="0.25">
      <c r="E74" s="8"/>
      <c r="F74" s="8"/>
      <c r="G74" s="8"/>
      <c r="H74" s="8"/>
      <c r="I74" s="8"/>
      <c r="J74" s="11"/>
      <c r="K74" s="11"/>
      <c r="P74" s="11"/>
      <c r="Q74" s="11"/>
      <c r="AB74" s="11"/>
      <c r="AC74" s="11"/>
      <c r="AE74" s="8"/>
      <c r="AF74" s="8"/>
      <c r="AH74" s="8"/>
      <c r="AI74" s="11"/>
      <c r="AJ74" s="11"/>
      <c r="AL74" s="11"/>
    </row>
    <row r="75" spans="5:38" x14ac:dyDescent="0.25">
      <c r="E75" s="8"/>
      <c r="F75" s="8"/>
      <c r="G75" s="8"/>
      <c r="H75" s="8"/>
      <c r="I75" s="8"/>
      <c r="J75" s="11"/>
      <c r="K75" s="11"/>
      <c r="P75" s="11"/>
      <c r="Q75" s="11"/>
      <c r="AB75" s="11"/>
      <c r="AC75" s="11"/>
      <c r="AE75" s="8"/>
      <c r="AF75" s="8"/>
      <c r="AH75" s="8"/>
      <c r="AI75" s="11"/>
      <c r="AJ75" s="11"/>
      <c r="AL75" s="11"/>
    </row>
    <row r="76" spans="5:38" x14ac:dyDescent="0.25">
      <c r="E76" s="8"/>
      <c r="F76" s="8"/>
      <c r="G76" s="8"/>
      <c r="H76" s="8"/>
      <c r="I76" s="8"/>
      <c r="J76" s="11"/>
      <c r="K76" s="11"/>
      <c r="P76" s="11"/>
      <c r="Q76" s="11"/>
      <c r="AB76" s="11"/>
      <c r="AC76" s="11"/>
      <c r="AE76" s="8"/>
      <c r="AF76" s="8"/>
      <c r="AH76" s="8"/>
      <c r="AI76" s="11"/>
      <c r="AJ76" s="11"/>
      <c r="AL76" s="11"/>
    </row>
    <row r="77" spans="5:38" x14ac:dyDescent="0.25">
      <c r="E77" s="8"/>
      <c r="F77" s="8"/>
      <c r="G77" s="8"/>
      <c r="H77" s="8"/>
      <c r="I77" s="8"/>
      <c r="J77" s="11"/>
      <c r="K77" s="11"/>
      <c r="P77" s="11"/>
      <c r="Q77" s="11"/>
      <c r="AB77" s="11"/>
      <c r="AC77" s="11"/>
      <c r="AE77" s="8"/>
      <c r="AF77" s="8"/>
      <c r="AH77" s="8"/>
      <c r="AI77" s="11"/>
      <c r="AJ77" s="11"/>
      <c r="AL77" s="11"/>
    </row>
    <row r="78" spans="5:38" x14ac:dyDescent="0.25">
      <c r="E78" s="8"/>
      <c r="F78" s="8"/>
      <c r="G78" s="8"/>
      <c r="H78" s="8"/>
      <c r="I78" s="8"/>
      <c r="J78" s="11"/>
      <c r="K78" s="11"/>
      <c r="P78" s="11"/>
      <c r="Q78" s="11"/>
      <c r="AB78" s="11"/>
      <c r="AC78" s="11"/>
      <c r="AE78" s="8"/>
      <c r="AF78" s="8"/>
      <c r="AH78" s="8"/>
      <c r="AI78" s="11"/>
      <c r="AJ78" s="11"/>
      <c r="AL78" s="11"/>
    </row>
    <row r="79" spans="5:38" x14ac:dyDescent="0.25">
      <c r="E79" s="8"/>
      <c r="F79" s="8"/>
      <c r="G79" s="8"/>
      <c r="H79" s="8"/>
      <c r="I79" s="8"/>
      <c r="J79" s="11"/>
      <c r="K79" s="11"/>
      <c r="P79" s="11"/>
      <c r="Q79" s="11"/>
      <c r="AB79" s="11"/>
      <c r="AC79" s="11"/>
      <c r="AE79" s="8"/>
      <c r="AF79" s="8"/>
      <c r="AH79" s="8"/>
      <c r="AI79" s="11"/>
      <c r="AJ79" s="11"/>
      <c r="AL79" s="11"/>
    </row>
    <row r="80" spans="5:38" x14ac:dyDescent="0.25">
      <c r="E80" s="8"/>
      <c r="F80" s="8"/>
      <c r="G80" s="8"/>
      <c r="H80" s="8"/>
      <c r="I80" s="8"/>
      <c r="J80" s="11"/>
      <c r="K80" s="11"/>
      <c r="P80" s="11"/>
      <c r="Q80" s="11"/>
      <c r="AB80" s="11"/>
      <c r="AC80" s="11"/>
      <c r="AE80" s="8"/>
      <c r="AF80" s="8"/>
      <c r="AH80" s="8"/>
      <c r="AI80" s="11"/>
      <c r="AJ80" s="11"/>
      <c r="AL80" s="11"/>
    </row>
    <row r="81" spans="5:38" x14ac:dyDescent="0.25">
      <c r="E81" s="8"/>
      <c r="F81" s="8"/>
      <c r="G81" s="8"/>
      <c r="H81" s="8"/>
      <c r="I81" s="8"/>
      <c r="J81" s="11"/>
      <c r="K81" s="11"/>
      <c r="P81" s="11"/>
      <c r="Q81" s="11"/>
      <c r="AB81" s="11"/>
      <c r="AC81" s="11"/>
      <c r="AE81" s="8"/>
      <c r="AF81" s="8"/>
      <c r="AH81" s="8"/>
      <c r="AI81" s="11"/>
      <c r="AJ81" s="11"/>
      <c r="AL81" s="11"/>
    </row>
    <row r="82" spans="5:38" x14ac:dyDescent="0.25">
      <c r="E82" s="8"/>
      <c r="F82" s="8"/>
      <c r="G82" s="8"/>
      <c r="H82" s="8"/>
      <c r="I82" s="8"/>
      <c r="J82" s="11"/>
      <c r="K82" s="11"/>
      <c r="P82" s="11"/>
      <c r="Q82" s="11"/>
      <c r="AB82" s="11"/>
      <c r="AC82" s="11"/>
      <c r="AE82" s="8"/>
      <c r="AF82" s="8"/>
      <c r="AH82" s="8"/>
      <c r="AI82" s="11"/>
      <c r="AJ82" s="11"/>
      <c r="AL82" s="11"/>
    </row>
    <row r="83" spans="5:38" x14ac:dyDescent="0.25">
      <c r="E83" s="8"/>
      <c r="F83" s="8"/>
      <c r="G83" s="8"/>
      <c r="H83" s="8"/>
      <c r="I83" s="8"/>
      <c r="J83" s="11"/>
      <c r="K83" s="11"/>
      <c r="P83" s="11"/>
      <c r="Q83" s="11"/>
      <c r="AB83" s="11"/>
      <c r="AC83" s="11"/>
      <c r="AE83" s="8"/>
      <c r="AF83" s="8"/>
      <c r="AH83" s="8"/>
      <c r="AI83" s="11"/>
      <c r="AJ83" s="11"/>
      <c r="AL83" s="11"/>
    </row>
    <row r="84" spans="5:38" x14ac:dyDescent="0.25">
      <c r="E84" s="8"/>
      <c r="F84" s="8"/>
      <c r="G84" s="8"/>
      <c r="H84" s="8"/>
      <c r="I84" s="8"/>
      <c r="J84" s="11"/>
      <c r="K84" s="11"/>
      <c r="P84" s="11"/>
      <c r="Q84" s="11"/>
      <c r="AB84" s="11"/>
      <c r="AC84" s="11"/>
      <c r="AE84" s="8"/>
      <c r="AF84" s="8"/>
      <c r="AH84" s="8"/>
      <c r="AI84" s="11"/>
      <c r="AJ84" s="11"/>
      <c r="AL84" s="11"/>
    </row>
    <row r="85" spans="5:38" x14ac:dyDescent="0.25">
      <c r="E85" s="8"/>
      <c r="F85" s="8"/>
      <c r="G85" s="8"/>
      <c r="H85" s="8"/>
      <c r="I85" s="8"/>
      <c r="J85" s="11"/>
      <c r="K85" s="11"/>
      <c r="P85" s="11"/>
      <c r="Q85" s="11"/>
      <c r="AB85" s="11"/>
      <c r="AC85" s="11"/>
      <c r="AE85" s="8"/>
      <c r="AF85" s="8"/>
      <c r="AH85" s="8"/>
      <c r="AI85" s="11"/>
      <c r="AJ85" s="11"/>
      <c r="AL85" s="11"/>
    </row>
    <row r="86" spans="5:38" x14ac:dyDescent="0.25">
      <c r="E86" s="8"/>
      <c r="F86" s="8"/>
      <c r="G86" s="8"/>
      <c r="H86" s="8"/>
      <c r="I86" s="8"/>
      <c r="J86" s="11"/>
      <c r="K86" s="11"/>
      <c r="P86" s="11"/>
      <c r="Q86" s="11"/>
      <c r="AB86" s="11"/>
      <c r="AC86" s="11"/>
      <c r="AE86" s="8"/>
      <c r="AF86" s="8"/>
      <c r="AH86" s="8"/>
      <c r="AI86" s="11"/>
      <c r="AJ86" s="11"/>
      <c r="AL86" s="11"/>
    </row>
    <row r="87" spans="5:38" x14ac:dyDescent="0.25">
      <c r="E87" s="8"/>
      <c r="F87" s="8"/>
      <c r="G87" s="8"/>
      <c r="H87" s="8"/>
      <c r="I87" s="8"/>
      <c r="J87" s="11"/>
      <c r="K87" s="11"/>
      <c r="P87" s="11"/>
      <c r="Q87" s="11"/>
      <c r="AB87" s="11"/>
      <c r="AC87" s="11"/>
      <c r="AE87" s="8"/>
      <c r="AF87" s="8"/>
      <c r="AH87" s="8"/>
      <c r="AI87" s="11"/>
      <c r="AJ87" s="11"/>
      <c r="AL87" s="11"/>
    </row>
    <row r="88" spans="5:38" x14ac:dyDescent="0.25">
      <c r="E88" s="8"/>
      <c r="F88" s="8"/>
      <c r="G88" s="8"/>
      <c r="H88" s="8"/>
      <c r="I88" s="8"/>
      <c r="J88" s="11"/>
      <c r="K88" s="11"/>
      <c r="P88" s="11"/>
      <c r="Q88" s="11"/>
      <c r="AB88" s="11"/>
      <c r="AC88" s="11"/>
      <c r="AE88" s="8"/>
      <c r="AF88" s="8"/>
      <c r="AH88" s="8"/>
      <c r="AI88" s="11"/>
      <c r="AJ88" s="11"/>
      <c r="AL88" s="11"/>
    </row>
    <row r="89" spans="5:38" x14ac:dyDescent="0.25">
      <c r="E89" s="8"/>
      <c r="F89" s="8"/>
      <c r="G89" s="8"/>
      <c r="H89" s="8"/>
      <c r="I89" s="8"/>
      <c r="J89" s="11"/>
      <c r="K89" s="11"/>
      <c r="P89" s="11"/>
      <c r="Q89" s="11"/>
      <c r="AB89" s="11"/>
      <c r="AC89" s="11"/>
      <c r="AE89" s="8"/>
      <c r="AF89" s="8"/>
      <c r="AH89" s="8"/>
      <c r="AI89" s="11"/>
      <c r="AJ89" s="11"/>
      <c r="AL89" s="11"/>
    </row>
    <row r="90" spans="5:38" x14ac:dyDescent="0.25">
      <c r="E90" s="8"/>
      <c r="F90" s="8"/>
      <c r="G90" s="8"/>
      <c r="H90" s="8"/>
      <c r="I90" s="8"/>
      <c r="J90" s="11"/>
      <c r="K90" s="11"/>
      <c r="P90" s="11"/>
      <c r="Q90" s="11"/>
      <c r="AB90" s="11"/>
      <c r="AC90" s="11"/>
      <c r="AE90" s="8"/>
      <c r="AF90" s="8"/>
      <c r="AH90" s="8"/>
      <c r="AI90" s="11"/>
      <c r="AJ90" s="11"/>
      <c r="AL90" s="11"/>
    </row>
    <row r="91" spans="5:38" x14ac:dyDescent="0.25">
      <c r="E91" s="8"/>
      <c r="F91" s="8"/>
      <c r="G91" s="8"/>
      <c r="H91" s="8"/>
      <c r="I91" s="8"/>
      <c r="J91" s="11"/>
      <c r="K91" s="11"/>
      <c r="P91" s="11"/>
      <c r="Q91" s="11"/>
      <c r="AB91" s="11"/>
      <c r="AC91" s="11"/>
      <c r="AE91" s="8"/>
      <c r="AF91" s="8"/>
      <c r="AH91" s="8"/>
      <c r="AI91" s="11"/>
      <c r="AJ91" s="11"/>
      <c r="AL91" s="11"/>
    </row>
    <row r="92" spans="5:38" x14ac:dyDescent="0.25">
      <c r="E92" s="8"/>
      <c r="F92" s="8"/>
      <c r="G92" s="8"/>
      <c r="H92" s="8"/>
      <c r="I92" s="8"/>
      <c r="J92" s="11"/>
      <c r="K92" s="11"/>
      <c r="P92" s="11"/>
      <c r="Q92" s="11"/>
      <c r="AB92" s="11"/>
      <c r="AC92" s="11"/>
      <c r="AE92" s="8"/>
      <c r="AF92" s="8"/>
      <c r="AH92" s="8"/>
      <c r="AI92" s="11"/>
      <c r="AJ92" s="11"/>
      <c r="AL92" s="11"/>
    </row>
    <row r="93" spans="5:38" x14ac:dyDescent="0.25">
      <c r="E93" s="8"/>
      <c r="F93" s="8"/>
      <c r="G93" s="8"/>
      <c r="H93" s="8"/>
      <c r="I93" s="8"/>
      <c r="J93" s="11"/>
      <c r="K93" s="11"/>
      <c r="P93" s="11"/>
      <c r="Q93" s="11"/>
      <c r="AB93" s="11"/>
      <c r="AC93" s="11"/>
      <c r="AE93" s="8"/>
      <c r="AF93" s="8"/>
      <c r="AH93" s="8"/>
      <c r="AI93" s="11"/>
      <c r="AJ93" s="11"/>
      <c r="AL93" s="11"/>
    </row>
    <row r="94" spans="5:38" x14ac:dyDescent="0.25">
      <c r="E94" s="8"/>
      <c r="F94" s="8"/>
      <c r="G94" s="8"/>
      <c r="H94" s="8"/>
      <c r="I94" s="8"/>
      <c r="J94" s="11"/>
      <c r="K94" s="11"/>
      <c r="P94" s="11"/>
      <c r="Q94" s="11"/>
      <c r="AB94" s="11"/>
      <c r="AC94" s="11"/>
      <c r="AE94" s="8"/>
      <c r="AF94" s="8"/>
      <c r="AH94" s="8"/>
      <c r="AI94" s="11"/>
      <c r="AJ94" s="11"/>
      <c r="AL94" s="11"/>
    </row>
    <row r="95" spans="5:38" x14ac:dyDescent="0.25">
      <c r="E95" s="8"/>
      <c r="F95" s="8"/>
      <c r="G95" s="8"/>
      <c r="H95" s="8"/>
      <c r="I95" s="8"/>
      <c r="J95" s="11"/>
      <c r="K95" s="11"/>
      <c r="P95" s="11"/>
      <c r="Q95" s="11"/>
      <c r="AB95" s="11"/>
      <c r="AC95" s="11"/>
      <c r="AE95" s="8"/>
      <c r="AF95" s="8"/>
      <c r="AH95" s="8"/>
      <c r="AI95" s="11"/>
      <c r="AJ95" s="11"/>
      <c r="AL95" s="11"/>
    </row>
    <row r="96" spans="5:38" x14ac:dyDescent="0.25">
      <c r="E96" s="8"/>
      <c r="F96" s="8"/>
      <c r="G96" s="8"/>
      <c r="H96" s="8"/>
      <c r="I96" s="8"/>
      <c r="J96" s="11"/>
      <c r="K96" s="11"/>
      <c r="P96" s="11"/>
      <c r="Q96" s="11"/>
      <c r="AB96" s="11"/>
      <c r="AC96" s="11"/>
      <c r="AE96" s="8"/>
      <c r="AF96" s="8"/>
      <c r="AH96" s="8"/>
      <c r="AI96" s="11"/>
      <c r="AJ96" s="11"/>
      <c r="AL96" s="11"/>
    </row>
    <row r="97" spans="5:38" x14ac:dyDescent="0.25">
      <c r="E97" s="8"/>
      <c r="F97" s="8"/>
      <c r="G97" s="8"/>
      <c r="H97" s="8"/>
      <c r="J97" s="11"/>
      <c r="K97" s="11"/>
      <c r="P97" s="11"/>
      <c r="Q97" s="11"/>
      <c r="AB97" s="11"/>
      <c r="AC97" s="11"/>
      <c r="AE97" s="8"/>
      <c r="AF97" s="8"/>
      <c r="AH97" s="8"/>
      <c r="AI97" s="11"/>
      <c r="AJ97" s="11"/>
      <c r="AL97" s="11"/>
    </row>
    <row r="98" spans="5:38" x14ac:dyDescent="0.25">
      <c r="E98" s="8"/>
      <c r="F98" s="8"/>
      <c r="G98" s="8"/>
      <c r="H98" s="8"/>
      <c r="J98" s="11"/>
      <c r="K98" s="11"/>
      <c r="P98" s="11"/>
      <c r="Q98" s="11"/>
      <c r="AB98" s="11"/>
      <c r="AC98" s="11"/>
      <c r="AE98" s="8"/>
      <c r="AF98" s="8"/>
      <c r="AH98" s="8"/>
      <c r="AI98" s="11"/>
      <c r="AJ98" s="11"/>
      <c r="AL98" s="11"/>
    </row>
    <row r="99" spans="5:38" x14ac:dyDescent="0.25">
      <c r="E99" s="8"/>
      <c r="F99" s="8"/>
      <c r="G99" s="8"/>
      <c r="H99" s="8"/>
      <c r="J99" s="11"/>
      <c r="K99" s="11"/>
      <c r="P99" s="11"/>
      <c r="Q99" s="11"/>
      <c r="AB99" s="11"/>
      <c r="AC99" s="11"/>
      <c r="AE99" s="8"/>
      <c r="AF99" s="8"/>
      <c r="AH99" s="8"/>
      <c r="AI99" s="11"/>
      <c r="AJ99" s="11"/>
      <c r="AL99" s="11"/>
    </row>
    <row r="100" spans="5:38" x14ac:dyDescent="0.25">
      <c r="E100" s="8"/>
      <c r="F100" s="8"/>
      <c r="G100" s="8"/>
      <c r="H100" s="8"/>
      <c r="J100" s="11"/>
      <c r="K100" s="11"/>
      <c r="P100" s="11"/>
      <c r="Q100" s="11"/>
      <c r="AB100" s="11"/>
      <c r="AC100" s="11"/>
      <c r="AE100" s="8"/>
      <c r="AF100" s="8"/>
      <c r="AH100" s="8"/>
      <c r="AI100" s="11"/>
      <c r="AJ100" s="11"/>
      <c r="AL100" s="11"/>
    </row>
    <row r="101" spans="5:38" x14ac:dyDescent="0.25">
      <c r="E101" s="8"/>
      <c r="F101" s="8"/>
      <c r="G101" s="8"/>
      <c r="H101" s="8"/>
      <c r="J101" s="11"/>
      <c r="K101" s="11"/>
      <c r="P101" s="11"/>
      <c r="Q101" s="11"/>
      <c r="AB101" s="11"/>
      <c r="AC101" s="11"/>
      <c r="AE101" s="8"/>
      <c r="AF101" s="8"/>
      <c r="AH101" s="8"/>
      <c r="AI101" s="11"/>
      <c r="AJ101" s="11"/>
      <c r="AL101" s="11"/>
    </row>
    <row r="102" spans="5:38" x14ac:dyDescent="0.25">
      <c r="E102" s="8"/>
      <c r="F102" s="8"/>
      <c r="G102" s="8"/>
      <c r="H102" s="8"/>
      <c r="J102" s="11"/>
      <c r="K102" s="11"/>
      <c r="P102" s="11"/>
      <c r="Q102" s="11"/>
      <c r="AB102" s="11"/>
      <c r="AC102" s="11"/>
      <c r="AE102" s="8"/>
      <c r="AF102" s="8"/>
      <c r="AH102" s="8"/>
      <c r="AI102" s="11"/>
      <c r="AJ102" s="11"/>
      <c r="AL102" s="11"/>
    </row>
    <row r="103" spans="5:38" x14ac:dyDescent="0.25">
      <c r="E103" s="8"/>
      <c r="F103" s="8"/>
      <c r="G103" s="8"/>
      <c r="H103" s="8"/>
      <c r="J103" s="11"/>
      <c r="K103" s="11"/>
      <c r="P103" s="11"/>
      <c r="Q103" s="11"/>
      <c r="AB103" s="11"/>
      <c r="AC103" s="11"/>
      <c r="AE103" s="8"/>
      <c r="AF103" s="8"/>
      <c r="AH103" s="8"/>
      <c r="AI103" s="11"/>
      <c r="AJ103" s="11"/>
      <c r="AL103" s="11"/>
    </row>
    <row r="104" spans="5:38" x14ac:dyDescent="0.25">
      <c r="E104" s="8"/>
      <c r="F104" s="8"/>
      <c r="G104" s="8"/>
      <c r="H104" s="8"/>
      <c r="J104" s="11"/>
      <c r="K104" s="11"/>
      <c r="P104" s="11"/>
      <c r="Q104" s="11"/>
      <c r="AB104" s="11"/>
      <c r="AC104" s="11"/>
      <c r="AE104" s="8"/>
      <c r="AF104" s="8"/>
      <c r="AH104" s="8"/>
      <c r="AI104" s="11"/>
      <c r="AJ104" s="11"/>
      <c r="AL104" s="11"/>
    </row>
    <row r="105" spans="5:38" x14ac:dyDescent="0.25">
      <c r="E105" s="8"/>
      <c r="F105" s="8"/>
      <c r="G105" s="8"/>
      <c r="H105" s="8"/>
      <c r="J105" s="11"/>
      <c r="K105" s="11"/>
      <c r="P105" s="11"/>
      <c r="Q105" s="11"/>
      <c r="AB105" s="11"/>
      <c r="AC105" s="11"/>
      <c r="AE105" s="8"/>
      <c r="AF105" s="8"/>
      <c r="AH105" s="8"/>
      <c r="AI105" s="11"/>
      <c r="AJ105" s="11"/>
      <c r="AL105" s="11"/>
    </row>
    <row r="106" spans="5:38" x14ac:dyDescent="0.25">
      <c r="E106" s="8"/>
      <c r="F106" s="8"/>
      <c r="G106" s="8"/>
      <c r="H106" s="8"/>
      <c r="J106" s="11"/>
      <c r="K106" s="11"/>
      <c r="P106" s="11"/>
      <c r="Q106" s="11"/>
      <c r="AB106" s="11"/>
      <c r="AC106" s="11"/>
      <c r="AE106" s="8"/>
      <c r="AF106" s="8"/>
      <c r="AH106" s="8"/>
      <c r="AI106" s="11"/>
      <c r="AJ106" s="11"/>
      <c r="AL106" s="11"/>
    </row>
    <row r="107" spans="5:38" x14ac:dyDescent="0.25">
      <c r="E107" s="8"/>
      <c r="F107" s="8"/>
      <c r="G107" s="8"/>
      <c r="H107" s="8"/>
      <c r="J107" s="11"/>
      <c r="K107" s="11"/>
      <c r="P107" s="11"/>
      <c r="Q107" s="11"/>
      <c r="AB107" s="11"/>
      <c r="AC107" s="11"/>
      <c r="AE107" s="8"/>
      <c r="AF107" s="8"/>
      <c r="AH107" s="8"/>
      <c r="AI107" s="11"/>
      <c r="AJ107" s="11"/>
      <c r="AL107" s="11"/>
    </row>
    <row r="108" spans="5:38" x14ac:dyDescent="0.25">
      <c r="E108" s="8"/>
      <c r="F108" s="8"/>
      <c r="G108" s="8"/>
      <c r="H108" s="8"/>
      <c r="J108" s="11"/>
      <c r="K108" s="11"/>
      <c r="P108" s="11"/>
      <c r="Q108" s="11"/>
      <c r="AB108" s="11"/>
      <c r="AC108" s="11"/>
      <c r="AE108" s="8"/>
      <c r="AF108" s="8"/>
      <c r="AH108" s="8"/>
      <c r="AI108" s="11"/>
      <c r="AJ108" s="11"/>
      <c r="AL108" s="11"/>
    </row>
    <row r="109" spans="5:38" x14ac:dyDescent="0.25">
      <c r="E109" s="8"/>
      <c r="F109" s="8"/>
      <c r="G109" s="8"/>
      <c r="H109" s="8"/>
      <c r="J109" s="11"/>
      <c r="K109" s="11"/>
      <c r="P109" s="11"/>
      <c r="Q109" s="11"/>
      <c r="AB109" s="11"/>
      <c r="AC109" s="11"/>
      <c r="AE109" s="8"/>
      <c r="AF109" s="8"/>
      <c r="AH109" s="8"/>
      <c r="AI109" s="11"/>
      <c r="AJ109" s="11"/>
      <c r="AL109" s="11"/>
    </row>
    <row r="110" spans="5:38" x14ac:dyDescent="0.25">
      <c r="E110" s="8"/>
      <c r="F110" s="8"/>
      <c r="G110" s="8"/>
      <c r="H110" s="8"/>
      <c r="J110" s="11"/>
      <c r="K110" s="11"/>
      <c r="P110" s="11"/>
      <c r="Q110" s="11"/>
      <c r="AB110" s="11"/>
      <c r="AC110" s="11"/>
      <c r="AE110" s="8"/>
      <c r="AF110" s="8"/>
      <c r="AH110" s="8"/>
      <c r="AI110" s="11"/>
      <c r="AJ110" s="11"/>
      <c r="AL110" s="11"/>
    </row>
    <row r="111" spans="5:38" x14ac:dyDescent="0.25">
      <c r="E111" s="8"/>
      <c r="F111" s="8"/>
      <c r="G111" s="8"/>
      <c r="H111" s="8"/>
      <c r="J111" s="11"/>
      <c r="K111" s="11"/>
      <c r="P111" s="11"/>
      <c r="Q111" s="11"/>
      <c r="AB111" s="11"/>
      <c r="AC111" s="11"/>
      <c r="AE111" s="8"/>
      <c r="AF111" s="8"/>
      <c r="AH111" s="8"/>
      <c r="AI111" s="11"/>
      <c r="AJ111" s="11"/>
      <c r="AL111" s="11"/>
    </row>
    <row r="112" spans="5:38" x14ac:dyDescent="0.25">
      <c r="E112" s="8"/>
      <c r="F112" s="8"/>
      <c r="G112" s="8"/>
      <c r="H112" s="8"/>
      <c r="J112" s="11"/>
      <c r="K112" s="11"/>
      <c r="P112" s="11"/>
      <c r="Q112" s="11"/>
      <c r="AB112" s="11"/>
      <c r="AC112" s="11"/>
      <c r="AE112" s="8"/>
      <c r="AF112" s="8"/>
      <c r="AH112" s="8"/>
      <c r="AI112" s="11"/>
      <c r="AJ112" s="11"/>
      <c r="AL112" s="11"/>
    </row>
    <row r="113" spans="5:38" x14ac:dyDescent="0.25">
      <c r="E113" s="8"/>
      <c r="F113" s="8"/>
      <c r="G113" s="8"/>
      <c r="H113" s="8"/>
      <c r="J113" s="11"/>
      <c r="K113" s="11"/>
      <c r="P113" s="11"/>
      <c r="Q113" s="11"/>
      <c r="AB113" s="11"/>
      <c r="AC113" s="11"/>
      <c r="AE113" s="8"/>
      <c r="AF113" s="8"/>
      <c r="AH113" s="8"/>
      <c r="AI113" s="11"/>
      <c r="AJ113" s="11"/>
      <c r="AL113" s="11"/>
    </row>
    <row r="114" spans="5:38" x14ac:dyDescent="0.25">
      <c r="E114" s="8"/>
      <c r="F114" s="8"/>
      <c r="G114" s="8"/>
      <c r="H114" s="8"/>
      <c r="J114" s="11"/>
      <c r="K114" s="11"/>
      <c r="P114" s="11"/>
      <c r="Q114" s="11"/>
      <c r="AB114" s="11"/>
      <c r="AC114" s="11"/>
      <c r="AE114" s="8"/>
      <c r="AF114" s="8"/>
      <c r="AH114" s="8"/>
      <c r="AI114" s="11"/>
      <c r="AJ114" s="11"/>
      <c r="AL114" s="11"/>
    </row>
    <row r="115" spans="5:38" x14ac:dyDescent="0.25">
      <c r="E115" s="8"/>
      <c r="F115" s="8"/>
      <c r="G115" s="8"/>
      <c r="H115" s="8"/>
      <c r="J115" s="11"/>
      <c r="K115" s="11"/>
      <c r="P115" s="11"/>
      <c r="Q115" s="11"/>
      <c r="AB115" s="11"/>
      <c r="AC115" s="11"/>
      <c r="AE115" s="8"/>
      <c r="AF115" s="8"/>
      <c r="AH115" s="8"/>
      <c r="AI115" s="11"/>
      <c r="AJ115" s="11"/>
      <c r="AL115" s="11"/>
    </row>
    <row r="116" spans="5:38" x14ac:dyDescent="0.25">
      <c r="E116" s="8"/>
      <c r="F116" s="8"/>
      <c r="G116" s="8"/>
      <c r="H116" s="8"/>
      <c r="J116" s="11"/>
      <c r="K116" s="11"/>
      <c r="P116" s="11"/>
      <c r="Q116" s="11"/>
      <c r="AB116" s="11"/>
      <c r="AC116" s="11"/>
      <c r="AE116" s="8"/>
      <c r="AF116" s="8"/>
      <c r="AH116" s="8"/>
      <c r="AI116" s="11"/>
      <c r="AJ116" s="11"/>
      <c r="AL116" s="11"/>
    </row>
    <row r="117" spans="5:38" x14ac:dyDescent="0.25">
      <c r="G117" s="9"/>
      <c r="Q117" s="9"/>
      <c r="U117" s="9"/>
    </row>
    <row r="118" spans="5:38" x14ac:dyDescent="0.25">
      <c r="G118" s="9"/>
      <c r="Q118" s="9"/>
      <c r="U118" s="9"/>
    </row>
    <row r="119" spans="5:38" x14ac:dyDescent="0.25">
      <c r="G119" s="9"/>
      <c r="Q119" s="9"/>
      <c r="U119" s="9"/>
    </row>
    <row r="120" spans="5:38" x14ac:dyDescent="0.25">
      <c r="G120" s="9"/>
      <c r="Q120" s="9"/>
      <c r="U120" s="9"/>
    </row>
    <row r="121" spans="5:38" x14ac:dyDescent="0.25">
      <c r="G121" s="9"/>
      <c r="Q121" s="9"/>
      <c r="U121" s="9"/>
    </row>
    <row r="122" spans="5:38" x14ac:dyDescent="0.25">
      <c r="G122" s="9"/>
      <c r="Q122" s="9"/>
      <c r="U122" s="9"/>
    </row>
    <row r="123" spans="5:38" x14ac:dyDescent="0.25">
      <c r="G123" s="9"/>
      <c r="Q123" s="9"/>
      <c r="U123" s="9"/>
    </row>
    <row r="124" spans="5:38" x14ac:dyDescent="0.25">
      <c r="G124" s="9"/>
      <c r="Q124" s="9"/>
      <c r="U124" s="9"/>
    </row>
    <row r="125" spans="5:38" x14ac:dyDescent="0.25">
      <c r="G125" s="9"/>
      <c r="Q125" s="9"/>
      <c r="U125" s="9"/>
    </row>
    <row r="126" spans="5:38" x14ac:dyDescent="0.25">
      <c r="G126" s="9"/>
      <c r="Q126" s="9"/>
      <c r="U126" s="9"/>
    </row>
    <row r="127" spans="5:38" x14ac:dyDescent="0.25">
      <c r="G127" s="9"/>
      <c r="Q127" s="9"/>
      <c r="U127" s="9"/>
    </row>
    <row r="128" spans="5:38" x14ac:dyDescent="0.25">
      <c r="G128" s="9"/>
      <c r="Q128" s="9"/>
      <c r="U128" s="9"/>
    </row>
    <row r="129" spans="7:21" x14ac:dyDescent="0.25">
      <c r="G129" s="9"/>
      <c r="Q129" s="9"/>
      <c r="U129" s="9"/>
    </row>
    <row r="130" spans="7:21" x14ac:dyDescent="0.25">
      <c r="G130" s="9"/>
      <c r="Q130" s="9"/>
      <c r="U130" s="9"/>
    </row>
    <row r="131" spans="7:21" x14ac:dyDescent="0.25">
      <c r="G131" s="9"/>
      <c r="Q131" s="9"/>
      <c r="U131" s="9"/>
    </row>
    <row r="132" spans="7:21" x14ac:dyDescent="0.25">
      <c r="G132" s="9"/>
      <c r="Q132" s="9"/>
      <c r="U132" s="9"/>
    </row>
    <row r="133" spans="7:21" x14ac:dyDescent="0.25">
      <c r="G133" s="9"/>
      <c r="Q133" s="9"/>
      <c r="U133" s="9"/>
    </row>
    <row r="134" spans="7:21" x14ac:dyDescent="0.25">
      <c r="G134" s="9"/>
      <c r="Q134" s="9"/>
      <c r="U134" s="9"/>
    </row>
    <row r="135" spans="7:21" x14ac:dyDescent="0.25">
      <c r="G135" s="9"/>
      <c r="Q135" s="9"/>
      <c r="U135" s="9"/>
    </row>
    <row r="136" spans="7:21" x14ac:dyDescent="0.25">
      <c r="G136" s="9"/>
      <c r="Q136" s="9"/>
      <c r="U136" s="9"/>
    </row>
    <row r="137" spans="7:21" x14ac:dyDescent="0.25">
      <c r="G137" s="9"/>
      <c r="Q137" s="9"/>
      <c r="U137" s="9"/>
    </row>
    <row r="138" spans="7:21" x14ac:dyDescent="0.25">
      <c r="G138" s="9"/>
      <c r="Q138" s="9"/>
      <c r="U138" s="9"/>
    </row>
    <row r="139" spans="7:21" x14ac:dyDescent="0.25">
      <c r="G139" s="9"/>
      <c r="Q139" s="9"/>
      <c r="U139" s="9"/>
    </row>
    <row r="140" spans="7:21" x14ac:dyDescent="0.25">
      <c r="G140" s="9"/>
      <c r="Q140" s="9"/>
      <c r="U140" s="9"/>
    </row>
    <row r="141" spans="7:21" x14ac:dyDescent="0.25">
      <c r="G141" s="9"/>
      <c r="Q141" s="9"/>
      <c r="U141" s="9"/>
    </row>
    <row r="142" spans="7:21" x14ac:dyDescent="0.25">
      <c r="G142" s="9"/>
      <c r="Q142" s="9"/>
      <c r="U142" s="9"/>
    </row>
    <row r="143" spans="7:21" x14ac:dyDescent="0.25">
      <c r="G143" s="9"/>
      <c r="Q143" s="9"/>
      <c r="U143" s="9"/>
    </row>
    <row r="144" spans="7:21" x14ac:dyDescent="0.25">
      <c r="G144" s="9"/>
      <c r="Q144" s="9"/>
      <c r="U144" s="9"/>
    </row>
    <row r="145" spans="7:21" x14ac:dyDescent="0.25">
      <c r="G145" s="9"/>
      <c r="Q145" s="9"/>
      <c r="U145" s="9"/>
    </row>
    <row r="146" spans="7:21" x14ac:dyDescent="0.25">
      <c r="G146" s="9"/>
      <c r="Q146" s="9"/>
      <c r="U146" s="9"/>
    </row>
    <row r="147" spans="7:21" x14ac:dyDescent="0.25">
      <c r="G147" s="9"/>
      <c r="Q147" s="9"/>
      <c r="U147" s="9"/>
    </row>
    <row r="148" spans="7:21" x14ac:dyDescent="0.25">
      <c r="G148" s="9"/>
      <c r="Q148" s="9"/>
      <c r="U148" s="9"/>
    </row>
    <row r="149" spans="7:21" x14ac:dyDescent="0.25">
      <c r="G149" s="9"/>
      <c r="Q149" s="9"/>
      <c r="U149" s="9"/>
    </row>
    <row r="150" spans="7:21" x14ac:dyDescent="0.25">
      <c r="G150" s="9"/>
      <c r="Q150" s="9"/>
      <c r="U150" s="9"/>
    </row>
    <row r="151" spans="7:21" x14ac:dyDescent="0.25">
      <c r="G151" s="9"/>
      <c r="Q151" s="9"/>
      <c r="U151" s="9"/>
    </row>
    <row r="152" spans="7:21" x14ac:dyDescent="0.25">
      <c r="G152" s="9"/>
      <c r="Q152" s="9"/>
      <c r="U152" s="9"/>
    </row>
    <row r="153" spans="7:21" x14ac:dyDescent="0.25">
      <c r="G153" s="9"/>
      <c r="Q153" s="9"/>
      <c r="U153" s="9"/>
    </row>
    <row r="154" spans="7:21" x14ac:dyDescent="0.25">
      <c r="G154" s="9"/>
      <c r="Q154" s="9"/>
      <c r="U154" s="9"/>
    </row>
    <row r="155" spans="7:21" x14ac:dyDescent="0.25">
      <c r="G155" s="9"/>
      <c r="Q155" s="9"/>
      <c r="U155" s="9"/>
    </row>
    <row r="156" spans="7:21" x14ac:dyDescent="0.25">
      <c r="G156" s="9"/>
      <c r="Q156" s="9"/>
      <c r="U156" s="9"/>
    </row>
    <row r="157" spans="7:21" x14ac:dyDescent="0.25">
      <c r="G157" s="9"/>
      <c r="Q157" s="9"/>
      <c r="U157" s="9"/>
    </row>
    <row r="158" spans="7:21" x14ac:dyDescent="0.25">
      <c r="G158" s="9"/>
      <c r="Q158" s="9"/>
      <c r="U158" s="9"/>
    </row>
    <row r="159" spans="7:21" x14ac:dyDescent="0.25">
      <c r="G159" s="9"/>
      <c r="Q159" s="9"/>
      <c r="U159" s="9"/>
    </row>
    <row r="160" spans="7:21" x14ac:dyDescent="0.25">
      <c r="G160" s="9"/>
      <c r="Q160" s="9"/>
      <c r="U160" s="9"/>
    </row>
    <row r="161" spans="7:21" x14ac:dyDescent="0.25">
      <c r="G161" s="9"/>
      <c r="Q161" s="9"/>
      <c r="U161" s="9"/>
    </row>
    <row r="162" spans="7:21" x14ac:dyDescent="0.25">
      <c r="G162" s="9"/>
      <c r="Q162" s="9"/>
      <c r="U162" s="9"/>
    </row>
    <row r="163" spans="7:21" x14ac:dyDescent="0.25">
      <c r="G163" s="9"/>
      <c r="Q163" s="9"/>
      <c r="U163" s="9"/>
    </row>
    <row r="164" spans="7:21" x14ac:dyDescent="0.25">
      <c r="G164" s="9"/>
      <c r="Q164" s="9"/>
      <c r="U164" s="9"/>
    </row>
    <row r="165" spans="7:21" x14ac:dyDescent="0.25">
      <c r="G165" s="9"/>
      <c r="Q165" s="9"/>
      <c r="U165" s="9"/>
    </row>
    <row r="166" spans="7:21" x14ac:dyDescent="0.25">
      <c r="G166" s="9"/>
      <c r="Q166" s="9"/>
      <c r="U166" s="9"/>
    </row>
    <row r="167" spans="7:21" x14ac:dyDescent="0.25">
      <c r="G167" s="9"/>
      <c r="Q167" s="9"/>
      <c r="U167" s="9"/>
    </row>
    <row r="168" spans="7:21" x14ac:dyDescent="0.25">
      <c r="G168" s="9"/>
      <c r="Q168" s="9"/>
      <c r="U168" s="9"/>
    </row>
    <row r="169" spans="7:21" x14ac:dyDescent="0.25">
      <c r="G169" s="9"/>
      <c r="Q169" s="9"/>
      <c r="U169" s="9"/>
    </row>
    <row r="170" spans="7:21" x14ac:dyDescent="0.25">
      <c r="G170" s="9"/>
      <c r="Q170" s="9"/>
      <c r="U170" s="9"/>
    </row>
    <row r="171" spans="7:21" x14ac:dyDescent="0.25">
      <c r="G171" s="9"/>
      <c r="Q171" s="9"/>
      <c r="U171" s="9"/>
    </row>
    <row r="172" spans="7:21" x14ac:dyDescent="0.25">
      <c r="G172" s="9"/>
      <c r="Q172" s="9"/>
      <c r="U172" s="9"/>
    </row>
    <row r="173" spans="7:21" x14ac:dyDescent="0.25">
      <c r="G173" s="9"/>
      <c r="Q173" s="9"/>
      <c r="U173" s="9"/>
    </row>
    <row r="174" spans="7:21" x14ac:dyDescent="0.25">
      <c r="G174" s="9"/>
      <c r="Q174" s="9"/>
      <c r="U174" s="9"/>
    </row>
    <row r="175" spans="7:21" x14ac:dyDescent="0.25">
      <c r="G175" s="9"/>
      <c r="Q175" s="9"/>
      <c r="U175" s="9"/>
    </row>
    <row r="176" spans="7:21" x14ac:dyDescent="0.25">
      <c r="G176" s="9"/>
      <c r="Q176" s="9"/>
      <c r="U176" s="9"/>
    </row>
    <row r="177" spans="7:21" x14ac:dyDescent="0.25">
      <c r="G177" s="9"/>
      <c r="Q177" s="9"/>
      <c r="U177" s="9"/>
    </row>
    <row r="178" spans="7:21" x14ac:dyDescent="0.25">
      <c r="G178" s="9"/>
      <c r="Q178" s="9"/>
      <c r="U178" s="9"/>
    </row>
    <row r="179" spans="7:21" x14ac:dyDescent="0.25">
      <c r="G179" s="9"/>
      <c r="Q179" s="9"/>
      <c r="U179" s="9"/>
    </row>
    <row r="180" spans="7:21" x14ac:dyDescent="0.25">
      <c r="G180" s="9"/>
      <c r="Q180" s="9"/>
      <c r="U180" s="9"/>
    </row>
    <row r="181" spans="7:21" x14ac:dyDescent="0.25">
      <c r="G181" s="9"/>
      <c r="Q181" s="9"/>
      <c r="U181" s="9"/>
    </row>
    <row r="182" spans="7:21" x14ac:dyDescent="0.25">
      <c r="G182" s="9"/>
      <c r="Q182" s="9"/>
      <c r="U182" s="9"/>
    </row>
    <row r="183" spans="7:21" x14ac:dyDescent="0.25">
      <c r="G183" s="9"/>
      <c r="Q183" s="9"/>
      <c r="U183" s="9"/>
    </row>
    <row r="184" spans="7:21" x14ac:dyDescent="0.25">
      <c r="G184" s="9"/>
      <c r="Q184" s="9"/>
      <c r="U184" s="9"/>
    </row>
    <row r="185" spans="7:21" x14ac:dyDescent="0.25">
      <c r="G185" s="9"/>
      <c r="Q185" s="9"/>
      <c r="U185" s="9"/>
    </row>
    <row r="186" spans="7:21" x14ac:dyDescent="0.25">
      <c r="G186" s="9"/>
      <c r="Q186" s="9"/>
      <c r="U186" s="9"/>
    </row>
    <row r="187" spans="7:21" x14ac:dyDescent="0.25">
      <c r="G187" s="9"/>
      <c r="Q187" s="9"/>
      <c r="U187" s="9"/>
    </row>
    <row r="188" spans="7:21" x14ac:dyDescent="0.25">
      <c r="G188" s="9"/>
      <c r="Q188" s="9"/>
      <c r="U188" s="9"/>
    </row>
    <row r="189" spans="7:21" x14ac:dyDescent="0.25">
      <c r="G189" s="9"/>
      <c r="Q189" s="9"/>
      <c r="U189" s="9"/>
    </row>
    <row r="190" spans="7:21" x14ac:dyDescent="0.25">
      <c r="G190" s="9"/>
      <c r="Q190" s="9"/>
      <c r="U190" s="9"/>
    </row>
    <row r="191" spans="7:21" x14ac:dyDescent="0.25">
      <c r="G191" s="9"/>
      <c r="Q191" s="9"/>
      <c r="U191" s="9"/>
    </row>
    <row r="192" spans="7:21" x14ac:dyDescent="0.25">
      <c r="G192" s="9"/>
      <c r="Q192" s="9"/>
      <c r="U192" s="9"/>
    </row>
    <row r="193" spans="7:21" x14ac:dyDescent="0.25">
      <c r="G193" s="9"/>
      <c r="Q193" s="9"/>
      <c r="U193" s="9"/>
    </row>
    <row r="194" spans="7:21" x14ac:dyDescent="0.25">
      <c r="G194" s="9"/>
      <c r="Q194" s="9"/>
      <c r="U194" s="9"/>
    </row>
    <row r="195" spans="7:21" x14ac:dyDescent="0.25">
      <c r="G195" s="9"/>
      <c r="Q195" s="9"/>
      <c r="U195" s="9"/>
    </row>
    <row r="196" spans="7:21" x14ac:dyDescent="0.25">
      <c r="G196" s="9"/>
      <c r="Q196" s="9"/>
      <c r="U196" s="9"/>
    </row>
    <row r="197" spans="7:21" x14ac:dyDescent="0.25">
      <c r="G197" s="9"/>
      <c r="Q197" s="9"/>
      <c r="U197" s="9"/>
    </row>
    <row r="198" spans="7:21" x14ac:dyDescent="0.25">
      <c r="G198" s="9"/>
      <c r="Q198" s="9"/>
      <c r="U198" s="9"/>
    </row>
    <row r="199" spans="7:21" x14ac:dyDescent="0.25">
      <c r="G199" s="9"/>
      <c r="Q199" s="9"/>
      <c r="U199" s="9"/>
    </row>
    <row r="200" spans="7:21" x14ac:dyDescent="0.25">
      <c r="G200" s="9"/>
      <c r="Q200" s="9"/>
      <c r="U200" s="9"/>
    </row>
    <row r="201" spans="7:21" x14ac:dyDescent="0.25">
      <c r="G201" s="9"/>
      <c r="Q201" s="9"/>
      <c r="U201" s="9"/>
    </row>
    <row r="202" spans="7:21" x14ac:dyDescent="0.25">
      <c r="G202" s="9"/>
      <c r="Q202" s="9"/>
      <c r="U202" s="9"/>
    </row>
    <row r="203" spans="7:21" x14ac:dyDescent="0.25">
      <c r="G203" s="9"/>
      <c r="Q203" s="9"/>
      <c r="U203" s="9"/>
    </row>
    <row r="204" spans="7:21" x14ac:dyDescent="0.25">
      <c r="G204" s="9"/>
      <c r="Q204" s="9"/>
      <c r="U204" s="9"/>
    </row>
    <row r="205" spans="7:21" x14ac:dyDescent="0.25">
      <c r="G205" s="9"/>
      <c r="Q205" s="9"/>
      <c r="U205" s="9"/>
    </row>
    <row r="206" spans="7:21" x14ac:dyDescent="0.25">
      <c r="G206" s="9"/>
      <c r="Q206" s="9"/>
      <c r="U206" s="9"/>
    </row>
    <row r="207" spans="7:21" x14ac:dyDescent="0.25">
      <c r="G207" s="9"/>
      <c r="Q207" s="9"/>
      <c r="U207" s="9"/>
    </row>
    <row r="208" spans="7:21" x14ac:dyDescent="0.25">
      <c r="G208" s="9"/>
      <c r="Q208" s="9"/>
      <c r="U208" s="9"/>
    </row>
    <row r="209" spans="7:21" x14ac:dyDescent="0.25">
      <c r="G209" s="9"/>
      <c r="Q209" s="9"/>
      <c r="U209" s="9"/>
    </row>
    <row r="210" spans="7:21" x14ac:dyDescent="0.25">
      <c r="G210" s="9"/>
      <c r="Q210" s="9"/>
      <c r="U210" s="9"/>
    </row>
    <row r="211" spans="7:21" x14ac:dyDescent="0.25">
      <c r="G211" s="9"/>
      <c r="Q211" s="9"/>
      <c r="U211" s="9"/>
    </row>
    <row r="212" spans="7:21" x14ac:dyDescent="0.25">
      <c r="G212" s="9"/>
      <c r="Q212" s="9"/>
      <c r="U212" s="9"/>
    </row>
    <row r="213" spans="7:21" x14ac:dyDescent="0.25">
      <c r="G213" s="9"/>
      <c r="Q213" s="9"/>
      <c r="U213" s="9"/>
    </row>
    <row r="214" spans="7:21" x14ac:dyDescent="0.25">
      <c r="G214" s="9"/>
      <c r="Q214" s="9"/>
      <c r="U214" s="9"/>
    </row>
    <row r="215" spans="7:21" x14ac:dyDescent="0.25">
      <c r="G215" s="9"/>
      <c r="Q215" s="9"/>
      <c r="U215" s="9"/>
    </row>
    <row r="216" spans="7:21" x14ac:dyDescent="0.25">
      <c r="G216" s="9"/>
      <c r="Q216" s="9"/>
      <c r="U216" s="9"/>
    </row>
    <row r="217" spans="7:21" x14ac:dyDescent="0.25">
      <c r="G217" s="9"/>
      <c r="Q217" s="9"/>
      <c r="U217" s="9"/>
    </row>
    <row r="218" spans="7:21" x14ac:dyDescent="0.25">
      <c r="G218" s="9"/>
      <c r="Q218" s="9"/>
      <c r="U218" s="9"/>
    </row>
    <row r="219" spans="7:21" x14ac:dyDescent="0.25">
      <c r="G219" s="9"/>
      <c r="Q219" s="9"/>
      <c r="U219" s="9"/>
    </row>
    <row r="220" spans="7:21" x14ac:dyDescent="0.25">
      <c r="G220" s="9"/>
      <c r="Q220" s="9"/>
      <c r="U220" s="9"/>
    </row>
    <row r="221" spans="7:21" x14ac:dyDescent="0.25">
      <c r="G221" s="9"/>
      <c r="Q221" s="9"/>
      <c r="U221" s="9"/>
    </row>
    <row r="222" spans="7:21" x14ac:dyDescent="0.25">
      <c r="G222" s="9"/>
      <c r="Q222" s="9"/>
      <c r="U222" s="9"/>
    </row>
    <row r="223" spans="7:21" x14ac:dyDescent="0.25">
      <c r="G223" s="9"/>
      <c r="Q223" s="9"/>
      <c r="U223" s="9"/>
    </row>
    <row r="224" spans="7:21" x14ac:dyDescent="0.25">
      <c r="G224" s="9"/>
      <c r="Q224" s="9"/>
      <c r="U224" s="9"/>
    </row>
    <row r="225" spans="7:21" x14ac:dyDescent="0.25">
      <c r="G225" s="9"/>
      <c r="Q225" s="9"/>
      <c r="U225" s="9"/>
    </row>
    <row r="226" spans="7:21" x14ac:dyDescent="0.25">
      <c r="G226" s="9"/>
      <c r="Q226" s="9"/>
      <c r="U226" s="9"/>
    </row>
    <row r="227" spans="7:21" x14ac:dyDescent="0.25">
      <c r="G227" s="9"/>
      <c r="Q227" s="9"/>
      <c r="U227" s="9"/>
    </row>
    <row r="228" spans="7:21" x14ac:dyDescent="0.25">
      <c r="G228" s="9"/>
      <c r="Q228" s="9"/>
      <c r="U228" s="9"/>
    </row>
    <row r="229" spans="7:21" x14ac:dyDescent="0.25">
      <c r="G229" s="9"/>
      <c r="Q229" s="9"/>
      <c r="U229" s="9"/>
    </row>
    <row r="230" spans="7:21" x14ac:dyDescent="0.25">
      <c r="G230" s="9"/>
      <c r="Q230" s="9"/>
      <c r="U230" s="9"/>
    </row>
    <row r="231" spans="7:21" x14ac:dyDescent="0.25">
      <c r="G231" s="9"/>
      <c r="Q231" s="9"/>
      <c r="U231" s="9"/>
    </row>
    <row r="232" spans="7:21" x14ac:dyDescent="0.25">
      <c r="G232" s="9"/>
      <c r="Q232" s="9"/>
      <c r="U232" s="9"/>
    </row>
    <row r="233" spans="7:21" x14ac:dyDescent="0.25">
      <c r="G233" s="9"/>
      <c r="Q233" s="9"/>
      <c r="U233" s="9"/>
    </row>
    <row r="234" spans="7:21" x14ac:dyDescent="0.25">
      <c r="G234" s="9"/>
      <c r="Q234" s="9"/>
      <c r="U234" s="9"/>
    </row>
    <row r="235" spans="7:21" x14ac:dyDescent="0.25">
      <c r="G235" s="9"/>
      <c r="Q235" s="9"/>
      <c r="U235" s="9"/>
    </row>
    <row r="236" spans="7:21" x14ac:dyDescent="0.25">
      <c r="G236" s="9"/>
      <c r="Q236" s="9"/>
      <c r="U236" s="9"/>
    </row>
    <row r="237" spans="7:21" x14ac:dyDescent="0.25">
      <c r="G237" s="9"/>
      <c r="Q237" s="9"/>
      <c r="U237" s="9"/>
    </row>
    <row r="238" spans="7:21" x14ac:dyDescent="0.25">
      <c r="G238" s="9"/>
      <c r="Q238" s="9"/>
      <c r="U238" s="9"/>
    </row>
    <row r="239" spans="7:21" x14ac:dyDescent="0.25">
      <c r="G239" s="9"/>
      <c r="Q239" s="9"/>
      <c r="U239" s="9"/>
    </row>
    <row r="240" spans="7:21" x14ac:dyDescent="0.25">
      <c r="G240" s="9"/>
      <c r="Q240" s="9"/>
      <c r="U240" s="9"/>
    </row>
    <row r="241" spans="7:21" x14ac:dyDescent="0.25">
      <c r="G241" s="9"/>
      <c r="Q241" s="9"/>
      <c r="U241" s="9"/>
    </row>
    <row r="242" spans="7:21" x14ac:dyDescent="0.25">
      <c r="G242" s="9"/>
      <c r="Q242" s="9"/>
      <c r="U242" s="9"/>
    </row>
    <row r="243" spans="7:21" x14ac:dyDescent="0.25">
      <c r="G243" s="9"/>
      <c r="Q243" s="9"/>
      <c r="U243" s="9"/>
    </row>
    <row r="244" spans="7:21" x14ac:dyDescent="0.25">
      <c r="G244" s="9"/>
      <c r="Q244" s="9"/>
      <c r="U244" s="9"/>
    </row>
    <row r="245" spans="7:21" x14ac:dyDescent="0.25">
      <c r="G245" s="9"/>
      <c r="Q245" s="9"/>
      <c r="U245" s="9"/>
    </row>
    <row r="246" spans="7:21" x14ac:dyDescent="0.25">
      <c r="G246" s="9"/>
      <c r="Q246" s="9"/>
      <c r="U246" s="9"/>
    </row>
    <row r="247" spans="7:21" x14ac:dyDescent="0.25">
      <c r="G247" s="9"/>
      <c r="Q247" s="9"/>
      <c r="U247" s="9"/>
    </row>
    <row r="248" spans="7:21" x14ac:dyDescent="0.25">
      <c r="G248" s="9"/>
      <c r="Q248" s="9"/>
      <c r="U248" s="9"/>
    </row>
    <row r="249" spans="7:21" x14ac:dyDescent="0.25">
      <c r="G249" s="9"/>
      <c r="Q249" s="9"/>
      <c r="U249" s="9"/>
    </row>
    <row r="250" spans="7:21" x14ac:dyDescent="0.25">
      <c r="G250" s="9"/>
      <c r="Q250" s="9"/>
      <c r="U250" s="9"/>
    </row>
    <row r="251" spans="7:21" x14ac:dyDescent="0.25">
      <c r="G251" s="9"/>
      <c r="Q251" s="9"/>
      <c r="U251" s="9"/>
    </row>
    <row r="252" spans="7:21" x14ac:dyDescent="0.25">
      <c r="G252" s="9"/>
      <c r="Q252" s="9"/>
      <c r="U252" s="9"/>
    </row>
    <row r="253" spans="7:21" x14ac:dyDescent="0.25">
      <c r="G253" s="9"/>
      <c r="Q253" s="9"/>
      <c r="U253" s="9"/>
    </row>
    <row r="254" spans="7:21" x14ac:dyDescent="0.25">
      <c r="G254" s="9"/>
      <c r="Q254" s="9"/>
      <c r="U254" s="9"/>
    </row>
    <row r="255" spans="7:21" x14ac:dyDescent="0.25">
      <c r="G255" s="9"/>
      <c r="Q255" s="9"/>
      <c r="U255" s="9"/>
    </row>
    <row r="256" spans="7:21" x14ac:dyDescent="0.25">
      <c r="G256" s="9"/>
      <c r="Q256" s="9"/>
      <c r="U256" s="9"/>
    </row>
    <row r="257" spans="7:21" x14ac:dyDescent="0.25">
      <c r="G257" s="9"/>
      <c r="Q257" s="9"/>
      <c r="U257" s="9"/>
    </row>
    <row r="258" spans="7:21" x14ac:dyDescent="0.25">
      <c r="G258" s="9"/>
      <c r="Q258" s="9"/>
      <c r="U258" s="9"/>
    </row>
    <row r="259" spans="7:21" x14ac:dyDescent="0.25">
      <c r="G259" s="9"/>
      <c r="Q259" s="9"/>
      <c r="U259" s="9"/>
    </row>
    <row r="260" spans="7:21" x14ac:dyDescent="0.25">
      <c r="G260" s="9"/>
      <c r="Q260" s="9"/>
      <c r="U260" s="9"/>
    </row>
    <row r="261" spans="7:21" x14ac:dyDescent="0.25">
      <c r="G261" s="9"/>
      <c r="Q261" s="9"/>
      <c r="U261" s="9"/>
    </row>
    <row r="262" spans="7:21" x14ac:dyDescent="0.25">
      <c r="G262" s="9"/>
      <c r="Q262" s="9"/>
      <c r="U262" s="9"/>
    </row>
    <row r="263" spans="7:21" x14ac:dyDescent="0.25">
      <c r="G263" s="9"/>
      <c r="Q263" s="9"/>
      <c r="U263" s="9"/>
    </row>
    <row r="264" spans="7:21" x14ac:dyDescent="0.25">
      <c r="G264" s="9"/>
      <c r="Q264" s="9"/>
      <c r="U264" s="9"/>
    </row>
    <row r="265" spans="7:21" x14ac:dyDescent="0.25">
      <c r="G265" s="9"/>
      <c r="Q265" s="9"/>
      <c r="U265" s="9"/>
    </row>
    <row r="266" spans="7:21" x14ac:dyDescent="0.25">
      <c r="G266" s="9"/>
      <c r="Q266" s="9"/>
      <c r="U266" s="9"/>
    </row>
    <row r="267" spans="7:21" x14ac:dyDescent="0.25">
      <c r="G267" s="9"/>
      <c r="Q267" s="9"/>
      <c r="U267" s="9"/>
    </row>
    <row r="268" spans="7:21" x14ac:dyDescent="0.25">
      <c r="G268" s="9"/>
      <c r="Q268" s="9"/>
      <c r="U268" s="9"/>
    </row>
    <row r="269" spans="7:21" x14ac:dyDescent="0.25">
      <c r="G269" s="9"/>
      <c r="Q269" s="9"/>
      <c r="U269" s="9"/>
    </row>
    <row r="270" spans="7:21" x14ac:dyDescent="0.25">
      <c r="G270" s="9"/>
      <c r="Q270" s="9"/>
      <c r="U270" s="9"/>
    </row>
    <row r="271" spans="7:21" x14ac:dyDescent="0.25">
      <c r="G271" s="9"/>
      <c r="Q271" s="9"/>
      <c r="U271" s="9"/>
    </row>
    <row r="272" spans="7:21" x14ac:dyDescent="0.25">
      <c r="G272" s="9"/>
      <c r="Q272" s="9"/>
      <c r="U272" s="9"/>
    </row>
    <row r="273" spans="7:21" x14ac:dyDescent="0.25">
      <c r="G273" s="9"/>
      <c r="Q273" s="9"/>
      <c r="U273" s="9"/>
    </row>
    <row r="274" spans="7:21" x14ac:dyDescent="0.25">
      <c r="G274" s="9"/>
      <c r="Q274" s="9"/>
      <c r="U274" s="9"/>
    </row>
    <row r="275" spans="7:21" x14ac:dyDescent="0.25">
      <c r="G275" s="9"/>
      <c r="Q275" s="9"/>
      <c r="U275" s="9"/>
    </row>
    <row r="276" spans="7:21" x14ac:dyDescent="0.25">
      <c r="G276" s="9"/>
      <c r="Q276" s="9"/>
      <c r="U276" s="9"/>
    </row>
    <row r="277" spans="7:21" x14ac:dyDescent="0.25">
      <c r="G277" s="9"/>
      <c r="Q277" s="9"/>
      <c r="U277" s="9"/>
    </row>
    <row r="278" spans="7:21" x14ac:dyDescent="0.25">
      <c r="G278" s="9"/>
      <c r="Q278" s="9"/>
      <c r="U278" s="9"/>
    </row>
    <row r="279" spans="7:21" x14ac:dyDescent="0.25">
      <c r="G279" s="9"/>
      <c r="Q279" s="9"/>
      <c r="U279" s="9"/>
    </row>
    <row r="280" spans="7:21" x14ac:dyDescent="0.25">
      <c r="G280" s="9"/>
      <c r="Q280" s="9"/>
      <c r="U280" s="9"/>
    </row>
    <row r="281" spans="7:21" x14ac:dyDescent="0.25">
      <c r="G281" s="9"/>
      <c r="Q281" s="9"/>
      <c r="U281" s="9"/>
    </row>
    <row r="282" spans="7:21" x14ac:dyDescent="0.25">
      <c r="G282" s="9"/>
      <c r="Q282" s="9"/>
      <c r="U282" s="9"/>
    </row>
    <row r="283" spans="7:21" x14ac:dyDescent="0.25">
      <c r="G283" s="9"/>
      <c r="Q283" s="9"/>
      <c r="U283" s="9"/>
    </row>
    <row r="284" spans="7:21" x14ac:dyDescent="0.25">
      <c r="G284" s="9"/>
      <c r="Q284" s="9"/>
      <c r="U284" s="9"/>
    </row>
    <row r="285" spans="7:21" x14ac:dyDescent="0.25">
      <c r="G285" s="9"/>
      <c r="Q285" s="9"/>
      <c r="U285" s="9"/>
    </row>
    <row r="286" spans="7:21" x14ac:dyDescent="0.25">
      <c r="G286" s="9"/>
      <c r="Q286" s="9"/>
      <c r="U286" s="9"/>
    </row>
    <row r="287" spans="7:21" x14ac:dyDescent="0.25">
      <c r="G287" s="9"/>
      <c r="Q287" s="9"/>
      <c r="U287" s="9"/>
    </row>
    <row r="288" spans="7:21" x14ac:dyDescent="0.25">
      <c r="G288" s="9"/>
      <c r="Q288" s="9"/>
      <c r="U288" s="9"/>
    </row>
    <row r="289" spans="7:21" x14ac:dyDescent="0.25">
      <c r="G289" s="9"/>
      <c r="Q289" s="9"/>
      <c r="U289" s="9"/>
    </row>
    <row r="290" spans="7:21" x14ac:dyDescent="0.25">
      <c r="G290" s="9"/>
      <c r="Q290" s="9"/>
      <c r="U290" s="9"/>
    </row>
    <row r="291" spans="7:21" x14ac:dyDescent="0.25">
      <c r="G291" s="9"/>
      <c r="Q291" s="9"/>
      <c r="U291" s="9"/>
    </row>
    <row r="292" spans="7:21" x14ac:dyDescent="0.25">
      <c r="G292" s="9"/>
      <c r="Q292" s="9"/>
      <c r="U292" s="9"/>
    </row>
    <row r="293" spans="7:21" x14ac:dyDescent="0.25">
      <c r="G293" s="9"/>
      <c r="Q293" s="9"/>
      <c r="U293" s="9"/>
    </row>
    <row r="294" spans="7:21" x14ac:dyDescent="0.25">
      <c r="G294" s="9"/>
      <c r="Q294" s="9"/>
      <c r="U294" s="9"/>
    </row>
    <row r="295" spans="7:21" x14ac:dyDescent="0.25">
      <c r="G295" s="9"/>
      <c r="Q295" s="9"/>
      <c r="U295" s="9"/>
    </row>
    <row r="296" spans="7:21" x14ac:dyDescent="0.25">
      <c r="G296" s="9"/>
      <c r="Q296" s="9"/>
      <c r="U296" s="9"/>
    </row>
    <row r="297" spans="7:21" x14ac:dyDescent="0.25">
      <c r="G297" s="9"/>
      <c r="Q297" s="9"/>
      <c r="U297" s="9"/>
    </row>
    <row r="298" spans="7:21" x14ac:dyDescent="0.25">
      <c r="G298" s="9"/>
      <c r="Q298" s="9"/>
      <c r="U298" s="9"/>
    </row>
    <row r="299" spans="7:21" x14ac:dyDescent="0.25">
      <c r="G299" s="9"/>
      <c r="Q299" s="9"/>
      <c r="U299" s="9"/>
    </row>
    <row r="300" spans="7:21" x14ac:dyDescent="0.25">
      <c r="G300" s="9"/>
      <c r="Q300" s="9"/>
      <c r="U300" s="9"/>
    </row>
    <row r="301" spans="7:21" x14ac:dyDescent="0.25">
      <c r="G301" s="9"/>
      <c r="Q301" s="9"/>
      <c r="U301" s="9"/>
    </row>
    <row r="302" spans="7:21" x14ac:dyDescent="0.25">
      <c r="G302" s="9"/>
      <c r="Q302" s="9"/>
      <c r="U302" s="9"/>
    </row>
    <row r="303" spans="7:21" x14ac:dyDescent="0.25">
      <c r="G303" s="9"/>
      <c r="Q303" s="9"/>
      <c r="U303" s="9"/>
    </row>
    <row r="304" spans="7:21" x14ac:dyDescent="0.25">
      <c r="G304" s="9"/>
      <c r="Q304" s="9"/>
      <c r="U304" s="9"/>
    </row>
    <row r="305" spans="7:21" x14ac:dyDescent="0.25">
      <c r="G305" s="9"/>
      <c r="Q305" s="9"/>
      <c r="U305" s="9"/>
    </row>
    <row r="306" spans="7:21" x14ac:dyDescent="0.25">
      <c r="G306" s="9"/>
      <c r="Q306" s="9"/>
      <c r="U306" s="9"/>
    </row>
    <row r="307" spans="7:21" x14ac:dyDescent="0.25">
      <c r="G307" s="9"/>
      <c r="Q307" s="9"/>
      <c r="U307" s="9"/>
    </row>
    <row r="308" spans="7:21" x14ac:dyDescent="0.25">
      <c r="G308" s="9"/>
      <c r="Q308" s="9"/>
      <c r="U308" s="9"/>
    </row>
    <row r="309" spans="7:21" x14ac:dyDescent="0.25">
      <c r="G309" s="9"/>
      <c r="Q309" s="9"/>
      <c r="U309" s="9"/>
    </row>
    <row r="310" spans="7:21" x14ac:dyDescent="0.25">
      <c r="G310" s="9"/>
      <c r="Q310" s="9"/>
      <c r="U310" s="9"/>
    </row>
    <row r="311" spans="7:21" x14ac:dyDescent="0.25">
      <c r="G311" s="9"/>
      <c r="Q311" s="9"/>
      <c r="U311" s="9"/>
    </row>
    <row r="312" spans="7:21" x14ac:dyDescent="0.25">
      <c r="G312" s="9"/>
      <c r="Q312" s="9"/>
      <c r="U312" s="9"/>
    </row>
    <row r="313" spans="7:21" x14ac:dyDescent="0.25">
      <c r="G313" s="9"/>
      <c r="Q313" s="9"/>
      <c r="U313" s="9"/>
    </row>
    <row r="314" spans="7:21" x14ac:dyDescent="0.25">
      <c r="G314" s="9"/>
      <c r="Q314" s="9"/>
      <c r="U314" s="9"/>
    </row>
    <row r="315" spans="7:21" x14ac:dyDescent="0.25">
      <c r="G315" s="9"/>
      <c r="Q315" s="9"/>
      <c r="U315" s="9"/>
    </row>
    <row r="316" spans="7:21" x14ac:dyDescent="0.25">
      <c r="G316" s="9"/>
      <c r="Q316" s="9"/>
      <c r="U316" s="9"/>
    </row>
    <row r="317" spans="7:21" x14ac:dyDescent="0.25">
      <c r="G317" s="9"/>
      <c r="Q317" s="9"/>
      <c r="U317" s="9"/>
    </row>
    <row r="318" spans="7:21" x14ac:dyDescent="0.25">
      <c r="G318" s="9"/>
      <c r="Q318" s="9"/>
      <c r="U318" s="9"/>
    </row>
    <row r="319" spans="7:21" x14ac:dyDescent="0.25">
      <c r="G319" s="9"/>
      <c r="Q319" s="9"/>
      <c r="U319" s="9"/>
    </row>
    <row r="320" spans="7:21" x14ac:dyDescent="0.25">
      <c r="G320" s="9"/>
      <c r="Q320" s="9"/>
      <c r="U320" s="9"/>
    </row>
    <row r="321" spans="7:21" x14ac:dyDescent="0.25">
      <c r="G321" s="9"/>
      <c r="Q321" s="9"/>
      <c r="U321" s="9"/>
    </row>
    <row r="322" spans="7:21" x14ac:dyDescent="0.25">
      <c r="G322" s="9"/>
      <c r="Q322" s="9"/>
      <c r="U322" s="9"/>
    </row>
    <row r="323" spans="7:21" x14ac:dyDescent="0.25">
      <c r="G323" s="9"/>
      <c r="Q323" s="9"/>
      <c r="U323" s="9"/>
    </row>
    <row r="324" spans="7:21" x14ac:dyDescent="0.25">
      <c r="G324" s="9"/>
      <c r="Q324" s="9"/>
      <c r="U324" s="9"/>
    </row>
    <row r="325" spans="7:21" x14ac:dyDescent="0.25">
      <c r="G325" s="9"/>
      <c r="Q325" s="9"/>
      <c r="U325" s="9"/>
    </row>
    <row r="326" spans="7:21" x14ac:dyDescent="0.25">
      <c r="G326" s="9"/>
      <c r="Q326" s="9"/>
      <c r="U326" s="9"/>
    </row>
    <row r="327" spans="7:21" x14ac:dyDescent="0.25">
      <c r="G327" s="9"/>
      <c r="Q327" s="9"/>
      <c r="U327" s="9"/>
    </row>
    <row r="328" spans="7:21" x14ac:dyDescent="0.25">
      <c r="G328" s="9"/>
      <c r="Q328" s="9"/>
      <c r="U328" s="9"/>
    </row>
    <row r="329" spans="7:21" x14ac:dyDescent="0.25">
      <c r="G329" s="9"/>
      <c r="Q329" s="9"/>
      <c r="U329" s="9"/>
    </row>
    <row r="330" spans="7:21" x14ac:dyDescent="0.25">
      <c r="G330" s="9"/>
      <c r="Q330" s="9"/>
      <c r="U330" s="9"/>
    </row>
    <row r="331" spans="7:21" x14ac:dyDescent="0.25">
      <c r="G331" s="9"/>
      <c r="Q331" s="9"/>
      <c r="U331" s="9"/>
    </row>
    <row r="332" spans="7:21" x14ac:dyDescent="0.25">
      <c r="G332" s="9"/>
      <c r="Q332" s="9"/>
      <c r="U332" s="9"/>
    </row>
    <row r="333" spans="7:21" x14ac:dyDescent="0.25">
      <c r="G333" s="9"/>
      <c r="Q333" s="9"/>
      <c r="U333" s="9"/>
    </row>
    <row r="334" spans="7:21" x14ac:dyDescent="0.25">
      <c r="G334" s="9"/>
      <c r="Q334" s="9"/>
      <c r="U334" s="9"/>
    </row>
    <row r="335" spans="7:21" x14ac:dyDescent="0.25">
      <c r="G335" s="9"/>
      <c r="Q335" s="9"/>
      <c r="U335" s="9"/>
    </row>
    <row r="336" spans="7:21" x14ac:dyDescent="0.25">
      <c r="G336" s="9"/>
      <c r="Q336" s="9"/>
      <c r="U336" s="9"/>
    </row>
    <row r="337" spans="7:21" x14ac:dyDescent="0.25">
      <c r="G337" s="9"/>
      <c r="Q337" s="9"/>
      <c r="U337" s="9"/>
    </row>
    <row r="338" spans="7:21" x14ac:dyDescent="0.25">
      <c r="G338" s="9"/>
      <c r="Q338" s="9"/>
      <c r="U338" s="9"/>
    </row>
    <row r="339" spans="7:21" x14ac:dyDescent="0.25">
      <c r="G339" s="9"/>
      <c r="Q339" s="9"/>
      <c r="U339" s="9"/>
    </row>
    <row r="340" spans="7:21" x14ac:dyDescent="0.25">
      <c r="G340" s="9"/>
      <c r="Q340" s="9"/>
      <c r="U340" s="9"/>
    </row>
    <row r="341" spans="7:21" x14ac:dyDescent="0.25">
      <c r="G341" s="9"/>
      <c r="Q341" s="9"/>
      <c r="U341" s="9"/>
    </row>
    <row r="342" spans="7:21" x14ac:dyDescent="0.25">
      <c r="G342" s="9"/>
      <c r="Q342" s="9"/>
      <c r="U342" s="9"/>
    </row>
    <row r="343" spans="7:21" x14ac:dyDescent="0.25">
      <c r="G343" s="9"/>
      <c r="Q343" s="9"/>
      <c r="U343" s="9"/>
    </row>
    <row r="344" spans="7:21" x14ac:dyDescent="0.25">
      <c r="G344" s="9"/>
      <c r="Q344" s="9"/>
      <c r="U344" s="9"/>
    </row>
    <row r="345" spans="7:21" x14ac:dyDescent="0.25">
      <c r="G345" s="9"/>
      <c r="Q345" s="9"/>
      <c r="U345" s="9"/>
    </row>
    <row r="346" spans="7:21" x14ac:dyDescent="0.25">
      <c r="G346" s="9"/>
      <c r="Q346" s="9"/>
      <c r="U346" s="9"/>
    </row>
    <row r="347" spans="7:21" x14ac:dyDescent="0.25">
      <c r="G347" s="9"/>
      <c r="Q347" s="9"/>
      <c r="U347" s="9"/>
    </row>
    <row r="348" spans="7:21" x14ac:dyDescent="0.25">
      <c r="G348" s="9"/>
      <c r="Q348" s="9"/>
      <c r="U348" s="9"/>
    </row>
    <row r="349" spans="7:21" x14ac:dyDescent="0.25">
      <c r="G349" s="9"/>
      <c r="Q349" s="9"/>
      <c r="U349" s="9"/>
    </row>
    <row r="350" spans="7:21" x14ac:dyDescent="0.25">
      <c r="G350" s="9"/>
      <c r="Q350" s="9"/>
      <c r="U350" s="9"/>
    </row>
    <row r="351" spans="7:21" x14ac:dyDescent="0.25">
      <c r="G351" s="9"/>
      <c r="Q351" s="9"/>
      <c r="U351" s="9"/>
    </row>
    <row r="352" spans="7:21" x14ac:dyDescent="0.25">
      <c r="G352" s="9"/>
      <c r="Q352" s="9"/>
      <c r="U352" s="9"/>
    </row>
    <row r="353" spans="7:21" x14ac:dyDescent="0.25">
      <c r="G353" s="9"/>
      <c r="Q353" s="9"/>
      <c r="U353" s="9"/>
    </row>
    <row r="354" spans="7:21" x14ac:dyDescent="0.25">
      <c r="G354" s="9"/>
      <c r="Q354" s="9"/>
      <c r="U354" s="9"/>
    </row>
    <row r="355" spans="7:21" x14ac:dyDescent="0.25">
      <c r="G355" s="9"/>
      <c r="Q355" s="9"/>
      <c r="U355" s="9"/>
    </row>
    <row r="356" spans="7:21" x14ac:dyDescent="0.25">
      <c r="G356" s="9"/>
      <c r="Q356" s="9"/>
      <c r="U356" s="9"/>
    </row>
    <row r="357" spans="7:21" x14ac:dyDescent="0.25">
      <c r="G357" s="9"/>
      <c r="Q357" s="9"/>
      <c r="U357" s="9"/>
    </row>
    <row r="358" spans="7:21" x14ac:dyDescent="0.25">
      <c r="G358" s="9"/>
      <c r="Q358" s="9"/>
      <c r="U358" s="9"/>
    </row>
    <row r="359" spans="7:21" x14ac:dyDescent="0.25">
      <c r="G359" s="9"/>
      <c r="Q359" s="9"/>
      <c r="U359" s="9"/>
    </row>
    <row r="360" spans="7:21" x14ac:dyDescent="0.25">
      <c r="G360" s="9"/>
      <c r="Q360" s="9"/>
      <c r="U360" s="9"/>
    </row>
    <row r="361" spans="7:21" x14ac:dyDescent="0.25">
      <c r="G361" s="9"/>
      <c r="Q361" s="9"/>
      <c r="U361" s="9"/>
    </row>
    <row r="362" spans="7:21" x14ac:dyDescent="0.25">
      <c r="G362" s="9"/>
      <c r="Q362" s="9"/>
      <c r="U362" s="9"/>
    </row>
    <row r="363" spans="7:21" x14ac:dyDescent="0.25">
      <c r="G363" s="9"/>
      <c r="Q363" s="9"/>
      <c r="U363" s="9"/>
    </row>
    <row r="364" spans="7:21" x14ac:dyDescent="0.25">
      <c r="G364" s="9"/>
      <c r="Q364" s="9"/>
      <c r="U364" s="9"/>
    </row>
    <row r="365" spans="7:21" x14ac:dyDescent="0.25">
      <c r="G365" s="9"/>
      <c r="Q365" s="9"/>
      <c r="U365" s="9"/>
    </row>
    <row r="366" spans="7:21" x14ac:dyDescent="0.25">
      <c r="G366" s="9"/>
      <c r="Q366" s="9"/>
      <c r="U366" s="9"/>
    </row>
    <row r="367" spans="7:21" x14ac:dyDescent="0.25">
      <c r="G367" s="9"/>
      <c r="Q367" s="9"/>
      <c r="U367" s="9"/>
    </row>
    <row r="368" spans="7:21" x14ac:dyDescent="0.25">
      <c r="G368" s="9"/>
      <c r="Q368" s="9"/>
      <c r="U368" s="9"/>
    </row>
    <row r="369" spans="7:21" x14ac:dyDescent="0.25">
      <c r="G369" s="9"/>
      <c r="Q369" s="9"/>
      <c r="U369" s="9"/>
    </row>
    <row r="370" spans="7:21" x14ac:dyDescent="0.25">
      <c r="G370" s="9"/>
      <c r="Q370" s="9"/>
      <c r="U370" s="9"/>
    </row>
    <row r="371" spans="7:21" x14ac:dyDescent="0.25">
      <c r="G371" s="9"/>
      <c r="Q371" s="9"/>
      <c r="U371" s="9"/>
    </row>
    <row r="372" spans="7:21" x14ac:dyDescent="0.25">
      <c r="G372" s="9"/>
      <c r="Q372" s="9"/>
      <c r="U372" s="9"/>
    </row>
    <row r="373" spans="7:21" x14ac:dyDescent="0.25">
      <c r="G373" s="9"/>
      <c r="Q373" s="9"/>
      <c r="U373" s="9"/>
    </row>
    <row r="374" spans="7:21" x14ac:dyDescent="0.25">
      <c r="G374" s="9"/>
      <c r="Q374" s="9"/>
      <c r="U374" s="9"/>
    </row>
    <row r="375" spans="7:21" x14ac:dyDescent="0.25">
      <c r="G375" s="9"/>
      <c r="Q375" s="9"/>
      <c r="U375" s="9"/>
    </row>
    <row r="376" spans="7:21" x14ac:dyDescent="0.25">
      <c r="G376" s="9"/>
      <c r="Q376" s="9"/>
      <c r="U376" s="9"/>
    </row>
    <row r="377" spans="7:21" x14ac:dyDescent="0.25">
      <c r="G377" s="9"/>
      <c r="Q377" s="9"/>
      <c r="U377" s="9"/>
    </row>
    <row r="378" spans="7:21" x14ac:dyDescent="0.25">
      <c r="G378" s="9"/>
      <c r="Q378" s="9"/>
      <c r="U378" s="9"/>
    </row>
    <row r="379" spans="7:21" x14ac:dyDescent="0.25">
      <c r="G379" s="9"/>
      <c r="Q379" s="9"/>
      <c r="U379" s="9"/>
    </row>
    <row r="380" spans="7:21" x14ac:dyDescent="0.25">
      <c r="G380" s="9"/>
      <c r="Q380" s="9"/>
      <c r="U380" s="9"/>
    </row>
    <row r="381" spans="7:21" x14ac:dyDescent="0.25">
      <c r="G381" s="9"/>
      <c r="Q381" s="9"/>
      <c r="U381" s="9"/>
    </row>
    <row r="382" spans="7:21" x14ac:dyDescent="0.25">
      <c r="G382" s="9"/>
      <c r="Q382" s="9"/>
      <c r="U382" s="9"/>
    </row>
    <row r="383" spans="7:21" x14ac:dyDescent="0.25">
      <c r="G383" s="9"/>
      <c r="Q383" s="9"/>
      <c r="U383" s="9"/>
    </row>
    <row r="384" spans="7:21" x14ac:dyDescent="0.25">
      <c r="G384" s="9"/>
      <c r="Q384" s="9"/>
      <c r="U384" s="9"/>
    </row>
    <row r="385" spans="7:21" x14ac:dyDescent="0.25">
      <c r="G385" s="9"/>
      <c r="Q385" s="9"/>
      <c r="U385" s="9"/>
    </row>
    <row r="386" spans="7:21" x14ac:dyDescent="0.25">
      <c r="G386" s="9"/>
      <c r="Q386" s="9"/>
      <c r="U386" s="9"/>
    </row>
    <row r="387" spans="7:21" x14ac:dyDescent="0.25">
      <c r="G387" s="9"/>
      <c r="Q387" s="9"/>
      <c r="U387" s="9"/>
    </row>
    <row r="388" spans="7:21" x14ac:dyDescent="0.25">
      <c r="G388" s="9"/>
      <c r="Q388" s="9"/>
      <c r="U388" s="9"/>
    </row>
    <row r="389" spans="7:21" x14ac:dyDescent="0.25">
      <c r="G389" s="9"/>
      <c r="Q389" s="9"/>
      <c r="U389" s="9"/>
    </row>
    <row r="390" spans="7:21" x14ac:dyDescent="0.25">
      <c r="G390" s="9"/>
      <c r="Q390" s="9"/>
      <c r="U390" s="9"/>
    </row>
    <row r="391" spans="7:21" x14ac:dyDescent="0.25">
      <c r="G391" s="9"/>
      <c r="Q391" s="9"/>
      <c r="U391" s="9"/>
    </row>
    <row r="392" spans="7:21" x14ac:dyDescent="0.25">
      <c r="G392" s="9"/>
      <c r="Q392" s="9"/>
      <c r="U392" s="9"/>
    </row>
    <row r="393" spans="7:21" x14ac:dyDescent="0.25">
      <c r="G393" s="9"/>
      <c r="Q393" s="9"/>
      <c r="U393" s="9"/>
    </row>
    <row r="394" spans="7:21" x14ac:dyDescent="0.25">
      <c r="G394" s="9"/>
      <c r="Q394" s="9"/>
      <c r="U394" s="9"/>
    </row>
    <row r="395" spans="7:21" x14ac:dyDescent="0.25">
      <c r="G395" s="9"/>
      <c r="Q395" s="9"/>
      <c r="U395" s="9"/>
    </row>
    <row r="396" spans="7:21" x14ac:dyDescent="0.25">
      <c r="G396" s="9"/>
      <c r="Q396" s="9"/>
      <c r="U396" s="9"/>
    </row>
    <row r="397" spans="7:21" x14ac:dyDescent="0.25">
      <c r="G397" s="9"/>
      <c r="Q397" s="9"/>
      <c r="U397" s="9"/>
    </row>
    <row r="398" spans="7:21" x14ac:dyDescent="0.25">
      <c r="G398" s="9"/>
      <c r="Q398" s="9"/>
      <c r="U398" s="9"/>
    </row>
    <row r="399" spans="7:21" x14ac:dyDescent="0.25">
      <c r="G399" s="9"/>
      <c r="Q399" s="9"/>
      <c r="U399" s="9"/>
    </row>
    <row r="400" spans="7:21" x14ac:dyDescent="0.25">
      <c r="G400" s="9"/>
      <c r="Q400" s="9"/>
      <c r="U400" s="9"/>
    </row>
    <row r="401" spans="7:21" x14ac:dyDescent="0.25">
      <c r="G401" s="9"/>
      <c r="Q401" s="9"/>
      <c r="U401" s="9"/>
    </row>
    <row r="402" spans="7:21" x14ac:dyDescent="0.25">
      <c r="G402" s="9"/>
      <c r="Q402" s="9"/>
      <c r="U402" s="9"/>
    </row>
    <row r="403" spans="7:21" x14ac:dyDescent="0.25">
      <c r="G403" s="9"/>
      <c r="Q403" s="9"/>
      <c r="U403" s="9"/>
    </row>
    <row r="404" spans="7:21" x14ac:dyDescent="0.25">
      <c r="G404" s="9"/>
      <c r="Q404" s="9"/>
      <c r="U404" s="9"/>
    </row>
    <row r="405" spans="7:21" x14ac:dyDescent="0.25">
      <c r="G405" s="9"/>
      <c r="Q405" s="9"/>
      <c r="U405" s="9"/>
    </row>
    <row r="406" spans="7:21" x14ac:dyDescent="0.25">
      <c r="G406" s="9"/>
      <c r="Q406" s="9"/>
      <c r="U406" s="9"/>
    </row>
    <row r="407" spans="7:21" x14ac:dyDescent="0.25">
      <c r="G407" s="9"/>
      <c r="Q407" s="9"/>
      <c r="U407" s="9"/>
    </row>
    <row r="408" spans="7:21" x14ac:dyDescent="0.25">
      <c r="G408" s="9"/>
      <c r="Q408" s="9"/>
      <c r="U408" s="9"/>
    </row>
    <row r="409" spans="7:21" x14ac:dyDescent="0.25">
      <c r="G409" s="9"/>
      <c r="Q409" s="9"/>
      <c r="U409" s="9"/>
    </row>
    <row r="410" spans="7:21" x14ac:dyDescent="0.25">
      <c r="G410" s="9"/>
      <c r="Q410" s="9"/>
      <c r="U410" s="9"/>
    </row>
    <row r="411" spans="7:21" x14ac:dyDescent="0.25">
      <c r="G411" s="9"/>
      <c r="Q411" s="9"/>
      <c r="U411" s="9"/>
    </row>
    <row r="412" spans="7:21" x14ac:dyDescent="0.25">
      <c r="G412" s="9"/>
      <c r="Q412" s="9"/>
      <c r="U412" s="9"/>
    </row>
    <row r="413" spans="7:21" x14ac:dyDescent="0.25">
      <c r="G413" s="9"/>
      <c r="Q413" s="9"/>
      <c r="U413" s="9"/>
    </row>
    <row r="414" spans="7:21" x14ac:dyDescent="0.25">
      <c r="G414" s="9"/>
      <c r="Q414" s="9"/>
      <c r="U414" s="9"/>
    </row>
    <row r="415" spans="7:21" x14ac:dyDescent="0.25">
      <c r="G415" s="9"/>
      <c r="Q415" s="9"/>
      <c r="U415" s="9"/>
    </row>
    <row r="416" spans="7:21" x14ac:dyDescent="0.25">
      <c r="G416" s="9"/>
      <c r="Q416" s="9"/>
      <c r="U416" s="9"/>
    </row>
    <row r="417" spans="7:21" x14ac:dyDescent="0.25">
      <c r="G417" s="9"/>
      <c r="Q417" s="9"/>
      <c r="U417" s="9"/>
    </row>
    <row r="418" spans="7:21" x14ac:dyDescent="0.25">
      <c r="G418" s="9"/>
      <c r="Q418" s="9"/>
      <c r="U418" s="9"/>
    </row>
    <row r="419" spans="7:21" x14ac:dyDescent="0.25">
      <c r="G419" s="9"/>
      <c r="Q419" s="9"/>
      <c r="U419" s="9"/>
    </row>
    <row r="420" spans="7:21" x14ac:dyDescent="0.25">
      <c r="G420" s="9"/>
      <c r="Q420" s="9"/>
      <c r="U420" s="9"/>
    </row>
    <row r="421" spans="7:21" x14ac:dyDescent="0.25">
      <c r="G421" s="9"/>
      <c r="Q421" s="9"/>
      <c r="U421" s="9"/>
    </row>
    <row r="422" spans="7:21" x14ac:dyDescent="0.25">
      <c r="G422" s="9"/>
      <c r="Q422" s="9"/>
      <c r="U422" s="9"/>
    </row>
    <row r="423" spans="7:21" x14ac:dyDescent="0.25">
      <c r="G423" s="9"/>
      <c r="Q423" s="9"/>
      <c r="U423" s="9"/>
    </row>
    <row r="424" spans="7:21" x14ac:dyDescent="0.25">
      <c r="G424" s="9"/>
      <c r="Q424" s="9"/>
      <c r="U424" s="9"/>
    </row>
    <row r="425" spans="7:21" x14ac:dyDescent="0.25">
      <c r="G425" s="9"/>
      <c r="Q425" s="9"/>
      <c r="U425" s="9"/>
    </row>
    <row r="426" spans="7:21" x14ac:dyDescent="0.25">
      <c r="G426" s="9"/>
      <c r="Q426" s="9"/>
      <c r="U426" s="9"/>
    </row>
    <row r="427" spans="7:21" x14ac:dyDescent="0.25">
      <c r="G427" s="9"/>
      <c r="Q427" s="9"/>
      <c r="U427" s="9"/>
    </row>
    <row r="428" spans="7:21" x14ac:dyDescent="0.25">
      <c r="G428" s="9"/>
      <c r="Q428" s="9"/>
      <c r="U428" s="9"/>
    </row>
    <row r="429" spans="7:21" x14ac:dyDescent="0.25">
      <c r="G429" s="9"/>
      <c r="Q429" s="9"/>
      <c r="U429" s="9"/>
    </row>
    <row r="430" spans="7:21" x14ac:dyDescent="0.25">
      <c r="G430" s="9"/>
      <c r="Q430" s="9"/>
      <c r="U430" s="9"/>
    </row>
    <row r="431" spans="7:21" x14ac:dyDescent="0.25">
      <c r="G431" s="9"/>
      <c r="Q431" s="9"/>
      <c r="U431" s="9"/>
    </row>
    <row r="432" spans="7:21" x14ac:dyDescent="0.25">
      <c r="G432" s="9"/>
      <c r="Q432" s="9"/>
      <c r="U432" s="9"/>
    </row>
    <row r="433" spans="7:21" x14ac:dyDescent="0.25">
      <c r="G433" s="9"/>
      <c r="Q433" s="9"/>
      <c r="U433" s="9"/>
    </row>
    <row r="434" spans="7:21" x14ac:dyDescent="0.25">
      <c r="G434" s="9"/>
      <c r="Q434" s="9"/>
      <c r="U434" s="9"/>
    </row>
    <row r="435" spans="7:21" x14ac:dyDescent="0.25">
      <c r="G435" s="9"/>
      <c r="Q435" s="9"/>
      <c r="U435" s="9"/>
    </row>
    <row r="436" spans="7:21" x14ac:dyDescent="0.25">
      <c r="G436" s="9"/>
      <c r="Q436" s="9"/>
      <c r="U436" s="9"/>
    </row>
    <row r="437" spans="7:21" x14ac:dyDescent="0.25">
      <c r="G437" s="9"/>
      <c r="Q437" s="9"/>
      <c r="U437" s="9"/>
    </row>
    <row r="438" spans="7:21" x14ac:dyDescent="0.25">
      <c r="G438" s="9"/>
      <c r="Q438" s="9"/>
      <c r="U438" s="9"/>
    </row>
    <row r="439" spans="7:21" x14ac:dyDescent="0.25">
      <c r="G439" s="9"/>
      <c r="Q439" s="9"/>
      <c r="U439" s="9"/>
    </row>
    <row r="440" spans="7:21" x14ac:dyDescent="0.25">
      <c r="G440" s="9"/>
      <c r="Q440" s="9"/>
      <c r="U440" s="9"/>
    </row>
    <row r="441" spans="7:21" x14ac:dyDescent="0.25">
      <c r="G441" s="9"/>
      <c r="Q441" s="9"/>
      <c r="U441" s="9"/>
    </row>
    <row r="442" spans="7:21" x14ac:dyDescent="0.25">
      <c r="G442" s="9"/>
      <c r="Q442" s="9"/>
      <c r="U442" s="9"/>
    </row>
    <row r="443" spans="7:21" x14ac:dyDescent="0.25">
      <c r="G443" s="9"/>
      <c r="Q443" s="9"/>
      <c r="U443" s="9"/>
    </row>
    <row r="444" spans="7:21" x14ac:dyDescent="0.25">
      <c r="G444" s="9"/>
      <c r="Q444" s="9"/>
      <c r="U444" s="9"/>
    </row>
    <row r="445" spans="7:21" x14ac:dyDescent="0.25">
      <c r="G445" s="9"/>
      <c r="Q445" s="9"/>
      <c r="U445" s="9"/>
    </row>
    <row r="446" spans="7:21" x14ac:dyDescent="0.25">
      <c r="G446" s="9"/>
      <c r="Q446" s="9"/>
      <c r="U446" s="9"/>
    </row>
    <row r="447" spans="7:21" x14ac:dyDescent="0.25">
      <c r="G447" s="9"/>
      <c r="Q447" s="9"/>
      <c r="U447" s="9"/>
    </row>
    <row r="448" spans="7:21" x14ac:dyDescent="0.25">
      <c r="G448" s="9"/>
      <c r="Q448" s="9"/>
      <c r="U448" s="9"/>
    </row>
    <row r="449" spans="7:21" x14ac:dyDescent="0.25">
      <c r="G449" s="9"/>
      <c r="Q449" s="9"/>
      <c r="U449" s="9"/>
    </row>
    <row r="450" spans="7:21" x14ac:dyDescent="0.25">
      <c r="G450" s="9"/>
      <c r="Q450" s="9"/>
      <c r="U450" s="9"/>
    </row>
    <row r="451" spans="7:21" x14ac:dyDescent="0.25">
      <c r="G451" s="9"/>
      <c r="Q451" s="9"/>
      <c r="U451" s="9"/>
    </row>
    <row r="452" spans="7:21" x14ac:dyDescent="0.25">
      <c r="G452" s="9"/>
      <c r="Q452" s="9"/>
      <c r="U452" s="9"/>
    </row>
    <row r="453" spans="7:21" x14ac:dyDescent="0.25">
      <c r="G453" s="9"/>
      <c r="Q453" s="9"/>
      <c r="U453" s="9"/>
    </row>
    <row r="454" spans="7:21" x14ac:dyDescent="0.25">
      <c r="G454" s="9"/>
      <c r="Q454" s="9"/>
      <c r="U454" s="9"/>
    </row>
    <row r="455" spans="7:21" x14ac:dyDescent="0.25">
      <c r="G455" s="9"/>
      <c r="Q455" s="9"/>
      <c r="U455" s="9"/>
    </row>
    <row r="456" spans="7:21" x14ac:dyDescent="0.25">
      <c r="G456" s="9"/>
      <c r="Q456" s="9"/>
      <c r="U456" s="9"/>
    </row>
    <row r="457" spans="7:21" x14ac:dyDescent="0.25">
      <c r="G457" s="9"/>
      <c r="Q457" s="9"/>
      <c r="U457" s="9"/>
    </row>
    <row r="458" spans="7:21" x14ac:dyDescent="0.25">
      <c r="G458" s="9"/>
      <c r="Q458" s="9"/>
      <c r="U458" s="9"/>
    </row>
    <row r="459" spans="7:21" x14ac:dyDescent="0.25">
      <c r="G459" s="9"/>
      <c r="Q459" s="9"/>
      <c r="U459" s="9"/>
    </row>
    <row r="460" spans="7:21" x14ac:dyDescent="0.25">
      <c r="G460" s="9"/>
      <c r="Q460" s="9"/>
      <c r="U460" s="9"/>
    </row>
    <row r="461" spans="7:21" x14ac:dyDescent="0.25">
      <c r="G461" s="9"/>
      <c r="Q461" s="9"/>
      <c r="U461" s="9"/>
    </row>
    <row r="462" spans="7:21" x14ac:dyDescent="0.25">
      <c r="G462" s="9"/>
      <c r="Q462" s="9"/>
      <c r="U462" s="9"/>
    </row>
    <row r="463" spans="7:21" x14ac:dyDescent="0.25">
      <c r="G463" s="9"/>
      <c r="Q463" s="9"/>
      <c r="U463" s="9"/>
    </row>
    <row r="464" spans="7:21" x14ac:dyDescent="0.25">
      <c r="G464" s="9"/>
      <c r="Q464" s="9"/>
      <c r="U464" s="9"/>
    </row>
    <row r="465" spans="7:21" x14ac:dyDescent="0.25">
      <c r="G465" s="9"/>
      <c r="Q465" s="9"/>
      <c r="U465" s="9"/>
    </row>
    <row r="466" spans="7:21" x14ac:dyDescent="0.25">
      <c r="G466" s="9"/>
      <c r="Q466" s="9"/>
      <c r="U466" s="9"/>
    </row>
    <row r="467" spans="7:21" x14ac:dyDescent="0.25">
      <c r="G467" s="9"/>
      <c r="Q467" s="9"/>
      <c r="U467" s="9"/>
    </row>
    <row r="468" spans="7:21" x14ac:dyDescent="0.25">
      <c r="G468" s="9"/>
      <c r="Q468" s="9"/>
      <c r="U468" s="9"/>
    </row>
    <row r="469" spans="7:21" x14ac:dyDescent="0.25">
      <c r="G469" s="9"/>
      <c r="Q469" s="9"/>
      <c r="U469" s="9"/>
    </row>
    <row r="470" spans="7:21" x14ac:dyDescent="0.25">
      <c r="G470" s="9"/>
      <c r="Q470" s="9"/>
      <c r="U470" s="9"/>
    </row>
    <row r="471" spans="7:21" x14ac:dyDescent="0.25">
      <c r="G471" s="9"/>
      <c r="Q471" s="9"/>
      <c r="U471" s="9"/>
    </row>
    <row r="472" spans="7:21" x14ac:dyDescent="0.25">
      <c r="G472" s="9"/>
      <c r="Q472" s="9"/>
      <c r="U472" s="9"/>
    </row>
    <row r="473" spans="7:21" x14ac:dyDescent="0.25">
      <c r="G473" s="9"/>
      <c r="Q473" s="9"/>
      <c r="U473" s="9"/>
    </row>
    <row r="474" spans="7:21" x14ac:dyDescent="0.25">
      <c r="G474" s="9"/>
      <c r="Q474" s="9"/>
      <c r="U474" s="9"/>
    </row>
    <row r="475" spans="7:21" x14ac:dyDescent="0.25">
      <c r="G475" s="9"/>
      <c r="Q475" s="9"/>
      <c r="U475" s="9"/>
    </row>
    <row r="476" spans="7:21" x14ac:dyDescent="0.25">
      <c r="G476" s="9"/>
      <c r="Q476" s="9"/>
      <c r="U476" s="9"/>
    </row>
    <row r="477" spans="7:21" x14ac:dyDescent="0.25">
      <c r="G477" s="9"/>
      <c r="Q477" s="9"/>
      <c r="U477" s="9"/>
    </row>
    <row r="478" spans="7:21" x14ac:dyDescent="0.25">
      <c r="G478" s="9"/>
      <c r="Q478" s="9"/>
      <c r="U478" s="9"/>
    </row>
    <row r="479" spans="7:21" x14ac:dyDescent="0.25">
      <c r="G479" s="9"/>
      <c r="Q479" s="9"/>
      <c r="U479" s="9"/>
    </row>
    <row r="480" spans="7:21" x14ac:dyDescent="0.25">
      <c r="G480" s="9"/>
      <c r="Q480" s="9"/>
      <c r="U480" s="9"/>
    </row>
    <row r="481" spans="7:21" x14ac:dyDescent="0.25">
      <c r="G481" s="9"/>
      <c r="Q481" s="9"/>
      <c r="U481" s="9"/>
    </row>
    <row r="482" spans="7:21" x14ac:dyDescent="0.25">
      <c r="G482" s="9"/>
      <c r="Q482" s="9"/>
      <c r="U482" s="9"/>
    </row>
    <row r="483" spans="7:21" x14ac:dyDescent="0.25">
      <c r="G483" s="9"/>
      <c r="Q483" s="9"/>
      <c r="U483" s="9"/>
    </row>
    <row r="484" spans="7:21" x14ac:dyDescent="0.25">
      <c r="G484" s="9"/>
      <c r="Q484" s="9"/>
      <c r="U484" s="9"/>
    </row>
    <row r="485" spans="7:21" x14ac:dyDescent="0.25">
      <c r="G485" s="9"/>
      <c r="Q485" s="9"/>
      <c r="U485" s="9"/>
    </row>
    <row r="486" spans="7:21" x14ac:dyDescent="0.25">
      <c r="G486" s="9"/>
      <c r="Q486" s="9"/>
      <c r="U486" s="9"/>
    </row>
    <row r="487" spans="7:21" x14ac:dyDescent="0.25">
      <c r="G487" s="9"/>
      <c r="Q487" s="9"/>
      <c r="U487" s="9"/>
    </row>
    <row r="488" spans="7:21" x14ac:dyDescent="0.25">
      <c r="G488" s="9"/>
      <c r="Q488" s="9"/>
      <c r="U488" s="9"/>
    </row>
    <row r="489" spans="7:21" x14ac:dyDescent="0.25">
      <c r="G489" s="9"/>
      <c r="Q489" s="9"/>
      <c r="U489" s="9"/>
    </row>
    <row r="490" spans="7:21" x14ac:dyDescent="0.25">
      <c r="G490" s="9"/>
      <c r="Q490" s="9"/>
      <c r="U490" s="9"/>
    </row>
    <row r="491" spans="7:21" x14ac:dyDescent="0.25">
      <c r="G491" s="9"/>
      <c r="Q491" s="9"/>
      <c r="U491" s="9"/>
    </row>
    <row r="492" spans="7:21" x14ac:dyDescent="0.25">
      <c r="G492" s="9"/>
      <c r="Q492" s="9"/>
      <c r="U492" s="9"/>
    </row>
    <row r="493" spans="7:21" x14ac:dyDescent="0.25">
      <c r="G493" s="9"/>
      <c r="Q493" s="9"/>
      <c r="U493" s="9"/>
    </row>
    <row r="494" spans="7:21" x14ac:dyDescent="0.25">
      <c r="G494" s="9"/>
      <c r="Q494" s="9"/>
      <c r="U494" s="9"/>
    </row>
    <row r="495" spans="7:21" x14ac:dyDescent="0.25">
      <c r="G495" s="9"/>
      <c r="Q495" s="9"/>
      <c r="U495" s="9"/>
    </row>
    <row r="496" spans="7:21" x14ac:dyDescent="0.25">
      <c r="G496" s="9"/>
      <c r="Q496" s="9"/>
      <c r="U496" s="9"/>
    </row>
    <row r="497" spans="7:21" x14ac:dyDescent="0.25">
      <c r="G497" s="9"/>
      <c r="Q497" s="9"/>
      <c r="U497" s="9"/>
    </row>
    <row r="498" spans="7:21" x14ac:dyDescent="0.25">
      <c r="G498" s="9"/>
      <c r="Q498" s="9"/>
      <c r="U498" s="9"/>
    </row>
    <row r="499" spans="7:21" x14ac:dyDescent="0.25">
      <c r="G499" s="9"/>
      <c r="Q499" s="9"/>
      <c r="U499" s="9"/>
    </row>
    <row r="500" spans="7:21" x14ac:dyDescent="0.25">
      <c r="G500" s="9"/>
      <c r="Q500" s="9"/>
      <c r="U500" s="9"/>
    </row>
    <row r="501" spans="7:21" x14ac:dyDescent="0.25">
      <c r="G501" s="9"/>
      <c r="Q501" s="9"/>
      <c r="U501" s="9"/>
    </row>
    <row r="502" spans="7:21" x14ac:dyDescent="0.25">
      <c r="G502" s="9"/>
      <c r="Q502" s="9"/>
      <c r="U502" s="9"/>
    </row>
    <row r="503" spans="7:21" x14ac:dyDescent="0.25">
      <c r="G503" s="9"/>
      <c r="Q503" s="9"/>
      <c r="U503" s="9"/>
    </row>
    <row r="504" spans="7:21" x14ac:dyDescent="0.25">
      <c r="G504" s="9"/>
      <c r="Q504" s="9"/>
      <c r="U504" s="9"/>
    </row>
    <row r="505" spans="7:21" x14ac:dyDescent="0.25">
      <c r="G505" s="9"/>
      <c r="Q505" s="9"/>
      <c r="U505" s="9"/>
    </row>
    <row r="506" spans="7:21" x14ac:dyDescent="0.25">
      <c r="G506" s="9"/>
      <c r="Q506" s="9"/>
      <c r="U506" s="9"/>
    </row>
    <row r="507" spans="7:21" x14ac:dyDescent="0.25">
      <c r="G507" s="9"/>
      <c r="Q507" s="9"/>
      <c r="U507" s="9"/>
    </row>
    <row r="508" spans="7:21" x14ac:dyDescent="0.25">
      <c r="G508" s="9"/>
      <c r="Q508" s="9"/>
      <c r="U508" s="9"/>
    </row>
    <row r="509" spans="7:21" x14ac:dyDescent="0.25">
      <c r="G509" s="9"/>
      <c r="Q509" s="9"/>
      <c r="U509" s="9"/>
    </row>
    <row r="510" spans="7:21" x14ac:dyDescent="0.25">
      <c r="G510" s="9"/>
      <c r="Q510" s="9"/>
      <c r="U510" s="9"/>
    </row>
    <row r="511" spans="7:21" x14ac:dyDescent="0.25">
      <c r="G511" s="9"/>
      <c r="Q511" s="9"/>
      <c r="U511" s="9"/>
    </row>
    <row r="512" spans="7:21" x14ac:dyDescent="0.25">
      <c r="G512" s="9"/>
      <c r="Q512" s="9"/>
      <c r="U512" s="9"/>
    </row>
    <row r="513" spans="7:21" x14ac:dyDescent="0.25">
      <c r="G513" s="9"/>
      <c r="Q513" s="9"/>
      <c r="U513" s="9"/>
    </row>
    <row r="514" spans="7:21" x14ac:dyDescent="0.25">
      <c r="G514" s="9"/>
      <c r="Q514" s="9"/>
      <c r="U514" s="9"/>
    </row>
    <row r="515" spans="7:21" x14ac:dyDescent="0.25">
      <c r="G515" s="9"/>
      <c r="Q515" s="9"/>
      <c r="U515" s="9"/>
    </row>
    <row r="516" spans="7:21" x14ac:dyDescent="0.25">
      <c r="G516" s="9"/>
      <c r="Q516" s="9"/>
      <c r="U516" s="9"/>
    </row>
    <row r="517" spans="7:21" x14ac:dyDescent="0.25">
      <c r="G517" s="9"/>
      <c r="Q517" s="9"/>
      <c r="U517" s="9"/>
    </row>
    <row r="518" spans="7:21" x14ac:dyDescent="0.25">
      <c r="G518" s="9"/>
      <c r="Q518" s="9"/>
      <c r="U518" s="9"/>
    </row>
    <row r="519" spans="7:21" x14ac:dyDescent="0.25">
      <c r="G519" s="9"/>
      <c r="Q519" s="9"/>
      <c r="U519" s="9"/>
    </row>
    <row r="520" spans="7:21" x14ac:dyDescent="0.25">
      <c r="G520" s="9"/>
      <c r="Q520" s="9"/>
      <c r="U520" s="9"/>
    </row>
    <row r="521" spans="7:21" x14ac:dyDescent="0.25">
      <c r="G521" s="9"/>
      <c r="Q521" s="9"/>
      <c r="U521" s="9"/>
    </row>
    <row r="522" spans="7:21" x14ac:dyDescent="0.25">
      <c r="G522" s="9"/>
      <c r="Q522" s="9"/>
      <c r="U522" s="9"/>
    </row>
    <row r="523" spans="7:21" x14ac:dyDescent="0.25">
      <c r="G523" s="9"/>
      <c r="Q523" s="9"/>
      <c r="U523" s="9"/>
    </row>
    <row r="524" spans="7:21" x14ac:dyDescent="0.25">
      <c r="G524" s="9"/>
      <c r="Q524" s="9"/>
      <c r="U524" s="9"/>
    </row>
    <row r="525" spans="7:21" x14ac:dyDescent="0.25">
      <c r="G525" s="9"/>
      <c r="Q525" s="9"/>
      <c r="U525" s="9"/>
    </row>
    <row r="526" spans="7:21" x14ac:dyDescent="0.25">
      <c r="G526" s="9"/>
      <c r="Q526" s="9"/>
      <c r="U526" s="9"/>
    </row>
    <row r="527" spans="7:21" x14ac:dyDescent="0.25">
      <c r="G527" s="9"/>
      <c r="Q527" s="9"/>
      <c r="U527" s="9"/>
    </row>
    <row r="528" spans="7:21" x14ac:dyDescent="0.25">
      <c r="G528" s="9"/>
      <c r="Q528" s="9"/>
      <c r="U528" s="9"/>
    </row>
    <row r="529" spans="7:21" x14ac:dyDescent="0.25">
      <c r="G529" s="9"/>
      <c r="Q529" s="9"/>
      <c r="U529" s="9"/>
    </row>
    <row r="530" spans="7:21" x14ac:dyDescent="0.25">
      <c r="G530" s="9"/>
      <c r="Q530" s="9"/>
      <c r="U530" s="9"/>
    </row>
    <row r="531" spans="7:21" x14ac:dyDescent="0.25">
      <c r="G531" s="9"/>
      <c r="Q531" s="9"/>
      <c r="U531" s="9"/>
    </row>
    <row r="532" spans="7:21" x14ac:dyDescent="0.25">
      <c r="G532" s="9"/>
      <c r="Q532" s="9"/>
      <c r="U532" s="9"/>
    </row>
    <row r="533" spans="7:21" x14ac:dyDescent="0.25">
      <c r="G533" s="9"/>
      <c r="Q533" s="9"/>
      <c r="U533" s="9"/>
    </row>
    <row r="534" spans="7:21" x14ac:dyDescent="0.25">
      <c r="G534" s="9"/>
      <c r="Q534" s="9"/>
      <c r="U534" s="9"/>
    </row>
    <row r="535" spans="7:21" x14ac:dyDescent="0.25">
      <c r="G535" s="9"/>
      <c r="Q535" s="9"/>
      <c r="U535" s="9"/>
    </row>
    <row r="536" spans="7:21" x14ac:dyDescent="0.25">
      <c r="G536" s="9"/>
      <c r="Q536" s="9"/>
      <c r="U536" s="9"/>
    </row>
    <row r="537" spans="7:21" x14ac:dyDescent="0.25">
      <c r="G537" s="9"/>
      <c r="Q537" s="9"/>
      <c r="U537" s="9"/>
    </row>
    <row r="538" spans="7:21" x14ac:dyDescent="0.25">
      <c r="G538" s="9"/>
      <c r="Q538" s="9"/>
      <c r="U538" s="9"/>
    </row>
    <row r="539" spans="7:21" x14ac:dyDescent="0.25">
      <c r="G539" s="9"/>
      <c r="Q539" s="9"/>
      <c r="U539" s="9"/>
    </row>
    <row r="540" spans="7:21" x14ac:dyDescent="0.25">
      <c r="G540" s="9"/>
      <c r="Q540" s="9"/>
      <c r="U540" s="9"/>
    </row>
    <row r="541" spans="7:21" x14ac:dyDescent="0.25">
      <c r="G541" s="9"/>
      <c r="Q541" s="9"/>
      <c r="U541" s="9"/>
    </row>
    <row r="542" spans="7:21" x14ac:dyDescent="0.25">
      <c r="G542" s="9"/>
      <c r="Q542" s="9"/>
      <c r="U542" s="9"/>
    </row>
    <row r="543" spans="7:21" x14ac:dyDescent="0.25">
      <c r="G543" s="9"/>
      <c r="Q543" s="9"/>
      <c r="U543" s="9"/>
    </row>
    <row r="544" spans="7:21" x14ac:dyDescent="0.25">
      <c r="G544" s="9"/>
      <c r="Q544" s="9"/>
      <c r="U544" s="9"/>
    </row>
    <row r="545" spans="7:21" x14ac:dyDescent="0.25">
      <c r="G545" s="9"/>
      <c r="Q545" s="9"/>
      <c r="U545" s="9"/>
    </row>
    <row r="546" spans="7:21" x14ac:dyDescent="0.25">
      <c r="G546" s="9"/>
      <c r="Q546" s="9"/>
      <c r="U546" s="9"/>
    </row>
    <row r="547" spans="7:21" x14ac:dyDescent="0.25">
      <c r="G547" s="9"/>
      <c r="Q547" s="9"/>
      <c r="U547" s="9"/>
    </row>
    <row r="548" spans="7:21" x14ac:dyDescent="0.25">
      <c r="G548" s="9"/>
      <c r="Q548" s="9"/>
      <c r="U548" s="9"/>
    </row>
    <row r="549" spans="7:21" x14ac:dyDescent="0.25">
      <c r="G549" s="9"/>
      <c r="Q549" s="9"/>
      <c r="U549" s="9"/>
    </row>
    <row r="550" spans="7:21" x14ac:dyDescent="0.25">
      <c r="G550" s="9"/>
      <c r="Q550" s="9"/>
      <c r="U550" s="9"/>
    </row>
    <row r="551" spans="7:21" x14ac:dyDescent="0.25">
      <c r="G551" s="9"/>
      <c r="Q551" s="9"/>
      <c r="U551" s="9"/>
    </row>
    <row r="552" spans="7:21" x14ac:dyDescent="0.25">
      <c r="G552" s="9"/>
      <c r="Q552" s="9"/>
      <c r="U552" s="9"/>
    </row>
    <row r="553" spans="7:21" x14ac:dyDescent="0.25">
      <c r="G553" s="9"/>
      <c r="Q553" s="9"/>
      <c r="U553" s="9"/>
    </row>
    <row r="554" spans="7:21" x14ac:dyDescent="0.25">
      <c r="G554" s="9"/>
      <c r="Q554" s="9"/>
      <c r="U554" s="9"/>
    </row>
    <row r="555" spans="7:21" x14ac:dyDescent="0.25">
      <c r="G555" s="9"/>
      <c r="Q555" s="9"/>
      <c r="U555" s="9"/>
    </row>
    <row r="556" spans="7:21" x14ac:dyDescent="0.25">
      <c r="G556" s="9"/>
      <c r="Q556" s="9"/>
      <c r="U556" s="9"/>
    </row>
    <row r="557" spans="7:21" x14ac:dyDescent="0.25">
      <c r="G557" s="9"/>
      <c r="Q557" s="9"/>
      <c r="U557" s="9"/>
    </row>
    <row r="558" spans="7:21" x14ac:dyDescent="0.25">
      <c r="G558" s="9"/>
      <c r="Q558" s="9"/>
      <c r="U558" s="9"/>
    </row>
    <row r="559" spans="7:21" x14ac:dyDescent="0.25">
      <c r="G559" s="9"/>
      <c r="Q559" s="9"/>
      <c r="U559" s="9"/>
    </row>
    <row r="560" spans="7:21" x14ac:dyDescent="0.25">
      <c r="G560" s="9"/>
      <c r="Q560" s="9"/>
      <c r="U560" s="9"/>
    </row>
    <row r="561" spans="7:21" x14ac:dyDescent="0.25">
      <c r="G561" s="9"/>
      <c r="Q561" s="9"/>
      <c r="U561" s="9"/>
    </row>
    <row r="562" spans="7:21" x14ac:dyDescent="0.25">
      <c r="G562" s="9"/>
      <c r="Q562" s="9"/>
      <c r="U562" s="9"/>
    </row>
    <row r="563" spans="7:21" x14ac:dyDescent="0.25">
      <c r="G563" s="9"/>
      <c r="Q563" s="9"/>
      <c r="U563" s="9"/>
    </row>
    <row r="564" spans="7:21" x14ac:dyDescent="0.25">
      <c r="G564" s="9"/>
      <c r="Q564" s="9"/>
      <c r="U564" s="9"/>
    </row>
    <row r="565" spans="7:21" x14ac:dyDescent="0.25">
      <c r="G565" s="9"/>
      <c r="Q565" s="9"/>
      <c r="U565" s="9"/>
    </row>
    <row r="566" spans="7:21" x14ac:dyDescent="0.25">
      <c r="G566" s="9"/>
      <c r="Q566" s="9"/>
      <c r="U566" s="9"/>
    </row>
    <row r="567" spans="7:21" x14ac:dyDescent="0.25">
      <c r="G567" s="9"/>
      <c r="Q567" s="9"/>
      <c r="U567" s="9"/>
    </row>
    <row r="568" spans="7:21" x14ac:dyDescent="0.25">
      <c r="G568" s="9"/>
      <c r="Q568" s="9"/>
      <c r="U568" s="9"/>
    </row>
    <row r="569" spans="7:21" x14ac:dyDescent="0.25">
      <c r="G569" s="9"/>
      <c r="Q569" s="9"/>
      <c r="U569" s="9"/>
    </row>
    <row r="570" spans="7:21" x14ac:dyDescent="0.25">
      <c r="G570" s="9"/>
      <c r="Q570" s="9"/>
      <c r="U570" s="9"/>
    </row>
    <row r="571" spans="7:21" x14ac:dyDescent="0.25">
      <c r="G571" s="9"/>
      <c r="Q571" s="9"/>
      <c r="U571" s="9"/>
    </row>
    <row r="572" spans="7:21" x14ac:dyDescent="0.25">
      <c r="G572" s="9"/>
      <c r="Q572" s="9"/>
      <c r="U572" s="9"/>
    </row>
    <row r="573" spans="7:21" x14ac:dyDescent="0.25">
      <c r="G573" s="9"/>
      <c r="Q573" s="9"/>
      <c r="U573" s="9"/>
    </row>
    <row r="574" spans="7:21" x14ac:dyDescent="0.25">
      <c r="G574" s="9"/>
      <c r="Q574" s="9"/>
      <c r="U574" s="9"/>
    </row>
    <row r="575" spans="7:21" x14ac:dyDescent="0.25">
      <c r="G575" s="9"/>
      <c r="Q575" s="9"/>
      <c r="U575" s="9"/>
    </row>
    <row r="576" spans="7:21" x14ac:dyDescent="0.25">
      <c r="G576" s="9"/>
      <c r="Q576" s="9"/>
      <c r="U576" s="9"/>
    </row>
    <row r="577" spans="7:21" x14ac:dyDescent="0.25">
      <c r="G577" s="9"/>
      <c r="Q577" s="9"/>
      <c r="U577" s="9"/>
    </row>
    <row r="578" spans="7:21" x14ac:dyDescent="0.25">
      <c r="G578" s="9"/>
      <c r="Q578" s="9"/>
      <c r="U578" s="9"/>
    </row>
    <row r="579" spans="7:21" x14ac:dyDescent="0.25">
      <c r="G579" s="9"/>
      <c r="Q579" s="9"/>
      <c r="U579" s="9"/>
    </row>
    <row r="580" spans="7:21" x14ac:dyDescent="0.25">
      <c r="G580" s="9"/>
      <c r="Q580" s="9"/>
      <c r="U580" s="9"/>
    </row>
    <row r="581" spans="7:21" x14ac:dyDescent="0.25">
      <c r="G581" s="9"/>
      <c r="Q581" s="9"/>
      <c r="U581" s="9"/>
    </row>
    <row r="582" spans="7:21" x14ac:dyDescent="0.25">
      <c r="G582" s="9"/>
      <c r="Q582" s="9"/>
      <c r="U582" s="9"/>
    </row>
    <row r="583" spans="7:21" x14ac:dyDescent="0.25">
      <c r="G583" s="9"/>
      <c r="Q583" s="9"/>
      <c r="U583" s="9"/>
    </row>
    <row r="584" spans="7:21" x14ac:dyDescent="0.25">
      <c r="G584" s="9"/>
      <c r="Q584" s="9"/>
      <c r="U584" s="9"/>
    </row>
    <row r="585" spans="7:21" x14ac:dyDescent="0.25">
      <c r="G585" s="9"/>
      <c r="Q585" s="9"/>
      <c r="U585" s="9"/>
    </row>
    <row r="586" spans="7:21" x14ac:dyDescent="0.25">
      <c r="G586" s="9"/>
      <c r="Q586" s="9"/>
      <c r="U586" s="9"/>
    </row>
    <row r="587" spans="7:21" x14ac:dyDescent="0.25">
      <c r="G587" s="9"/>
      <c r="Q587" s="9"/>
      <c r="U587" s="9"/>
    </row>
    <row r="588" spans="7:21" x14ac:dyDescent="0.25">
      <c r="G588" s="9"/>
      <c r="Q588" s="9"/>
      <c r="U588" s="9"/>
    </row>
    <row r="589" spans="7:21" x14ac:dyDescent="0.25">
      <c r="G589" s="9"/>
      <c r="Q589" s="9"/>
      <c r="U589" s="9"/>
    </row>
    <row r="590" spans="7:21" x14ac:dyDescent="0.25">
      <c r="G590" s="9"/>
      <c r="Q590" s="9"/>
      <c r="U590" s="9"/>
    </row>
    <row r="591" spans="7:21" x14ac:dyDescent="0.25">
      <c r="G591" s="9"/>
      <c r="Q591" s="9"/>
      <c r="U591" s="9"/>
    </row>
    <row r="592" spans="7:21" x14ac:dyDescent="0.25">
      <c r="G592" s="9"/>
      <c r="Q592" s="9"/>
      <c r="U592" s="9"/>
    </row>
    <row r="593" spans="7:21" x14ac:dyDescent="0.25">
      <c r="G593" s="9"/>
      <c r="Q593" s="9"/>
      <c r="U593" s="9"/>
    </row>
    <row r="594" spans="7:21" x14ac:dyDescent="0.25">
      <c r="G594" s="9"/>
      <c r="Q594" s="9"/>
      <c r="U594" s="9"/>
    </row>
    <row r="595" spans="7:21" x14ac:dyDescent="0.25">
      <c r="G595" s="9"/>
      <c r="Q595" s="9"/>
      <c r="U595" s="9"/>
    </row>
    <row r="596" spans="7:21" x14ac:dyDescent="0.25">
      <c r="G596" s="9"/>
      <c r="Q596" s="9"/>
      <c r="U596" s="9"/>
    </row>
    <row r="597" spans="7:21" x14ac:dyDescent="0.25">
      <c r="G597" s="9"/>
      <c r="Q597" s="9"/>
      <c r="U597" s="9"/>
    </row>
    <row r="598" spans="7:21" x14ac:dyDescent="0.25">
      <c r="G598" s="9"/>
      <c r="Q598" s="9"/>
      <c r="U598" s="9"/>
    </row>
    <row r="599" spans="7:21" x14ac:dyDescent="0.25">
      <c r="G599" s="9"/>
      <c r="Q599" s="9"/>
      <c r="U599" s="9"/>
    </row>
    <row r="600" spans="7:21" x14ac:dyDescent="0.25">
      <c r="G600" s="9"/>
      <c r="Q600" s="9"/>
      <c r="U600" s="9"/>
    </row>
    <row r="601" spans="7:21" x14ac:dyDescent="0.25">
      <c r="G601" s="9"/>
      <c r="Q601" s="9"/>
      <c r="U601" s="9"/>
    </row>
    <row r="602" spans="7:21" x14ac:dyDescent="0.25">
      <c r="G602" s="9"/>
      <c r="Q602" s="9"/>
      <c r="U602" s="9"/>
    </row>
    <row r="603" spans="7:21" x14ac:dyDescent="0.25">
      <c r="G603" s="9"/>
      <c r="Q603" s="9"/>
      <c r="U603" s="9"/>
    </row>
    <row r="604" spans="7:21" x14ac:dyDescent="0.25">
      <c r="G604" s="9"/>
      <c r="Q604" s="9"/>
      <c r="U604" s="9"/>
    </row>
    <row r="605" spans="7:21" x14ac:dyDescent="0.25">
      <c r="G605" s="9"/>
      <c r="Q605" s="9"/>
      <c r="U605" s="9"/>
    </row>
    <row r="606" spans="7:21" x14ac:dyDescent="0.25">
      <c r="G606" s="9"/>
      <c r="Q606" s="9"/>
      <c r="U606" s="9"/>
    </row>
    <row r="607" spans="7:21" x14ac:dyDescent="0.25">
      <c r="G607" s="9"/>
      <c r="Q607" s="9"/>
      <c r="U607" s="9"/>
    </row>
    <row r="608" spans="7:21" x14ac:dyDescent="0.25">
      <c r="G608" s="9"/>
      <c r="Q608" s="9"/>
      <c r="U608" s="9"/>
    </row>
    <row r="609" spans="7:21" x14ac:dyDescent="0.25">
      <c r="G609" s="9"/>
      <c r="Q609" s="9"/>
      <c r="U609" s="9"/>
    </row>
    <row r="610" spans="7:21" x14ac:dyDescent="0.25">
      <c r="G610" s="9"/>
      <c r="Q610" s="9"/>
      <c r="U610" s="9"/>
    </row>
    <row r="611" spans="7:21" x14ac:dyDescent="0.25">
      <c r="G611" s="9"/>
      <c r="Q611" s="9"/>
      <c r="U611" s="9"/>
    </row>
    <row r="612" spans="7:21" x14ac:dyDescent="0.25">
      <c r="G612" s="9"/>
      <c r="Q612" s="9"/>
      <c r="U612" s="9"/>
    </row>
    <row r="613" spans="7:21" x14ac:dyDescent="0.25">
      <c r="G613" s="9"/>
      <c r="Q613" s="9"/>
      <c r="U613" s="9"/>
    </row>
    <row r="614" spans="7:21" x14ac:dyDescent="0.25">
      <c r="G614" s="9"/>
      <c r="Q614" s="9"/>
      <c r="U614" s="9"/>
    </row>
    <row r="615" spans="7:21" x14ac:dyDescent="0.25">
      <c r="G615" s="9"/>
      <c r="Q615" s="9"/>
      <c r="U615" s="9"/>
    </row>
    <row r="616" spans="7:21" x14ac:dyDescent="0.25">
      <c r="G616" s="9"/>
      <c r="Q616" s="9"/>
      <c r="U616" s="9"/>
    </row>
    <row r="617" spans="7:21" x14ac:dyDescent="0.25">
      <c r="G617" s="9"/>
      <c r="Q617" s="9"/>
      <c r="U617" s="9"/>
    </row>
    <row r="618" spans="7:21" x14ac:dyDescent="0.25">
      <c r="G618" s="9"/>
      <c r="Q618" s="9"/>
      <c r="U618" s="9"/>
    </row>
    <row r="619" spans="7:21" x14ac:dyDescent="0.25">
      <c r="G619" s="9"/>
      <c r="Q619" s="9"/>
      <c r="U619" s="9"/>
    </row>
    <row r="620" spans="7:21" x14ac:dyDescent="0.25">
      <c r="G620" s="9"/>
      <c r="Q620" s="9"/>
      <c r="U620" s="9"/>
    </row>
    <row r="621" spans="7:21" x14ac:dyDescent="0.25">
      <c r="G621" s="9"/>
      <c r="Q621" s="9"/>
      <c r="U621" s="9"/>
    </row>
    <row r="622" spans="7:21" x14ac:dyDescent="0.25">
      <c r="G622" s="9"/>
      <c r="Q622" s="9"/>
      <c r="U622" s="9"/>
    </row>
    <row r="623" spans="7:21" x14ac:dyDescent="0.25">
      <c r="G623" s="9"/>
      <c r="Q623" s="9"/>
      <c r="U623" s="9"/>
    </row>
    <row r="624" spans="7:21" x14ac:dyDescent="0.25">
      <c r="G624" s="9"/>
      <c r="Q624" s="9"/>
      <c r="U624" s="9"/>
    </row>
    <row r="625" spans="7:21" x14ac:dyDescent="0.25">
      <c r="G625" s="9"/>
      <c r="Q625" s="9"/>
      <c r="U625" s="9"/>
    </row>
    <row r="626" spans="7:21" x14ac:dyDescent="0.25">
      <c r="G626" s="9"/>
      <c r="Q626" s="9"/>
      <c r="U626" s="9"/>
    </row>
    <row r="627" spans="7:21" x14ac:dyDescent="0.25">
      <c r="G627" s="9"/>
      <c r="Q627" s="9"/>
      <c r="U627" s="9"/>
    </row>
    <row r="628" spans="7:21" x14ac:dyDescent="0.25">
      <c r="G628" s="9"/>
      <c r="Q628" s="9"/>
      <c r="U628" s="9"/>
    </row>
    <row r="629" spans="7:21" x14ac:dyDescent="0.25">
      <c r="G629" s="9"/>
      <c r="Q629" s="9"/>
      <c r="U629" s="9"/>
    </row>
    <row r="630" spans="7:21" x14ac:dyDescent="0.25">
      <c r="G630" s="9"/>
      <c r="Q630" s="9"/>
      <c r="U630" s="9"/>
    </row>
    <row r="631" spans="7:21" x14ac:dyDescent="0.25">
      <c r="G631" s="9"/>
      <c r="Q631" s="9"/>
      <c r="U631" s="9"/>
    </row>
    <row r="632" spans="7:21" x14ac:dyDescent="0.25">
      <c r="G632" s="9"/>
      <c r="Q632" s="9"/>
      <c r="U632" s="9"/>
    </row>
    <row r="633" spans="7:21" x14ac:dyDescent="0.25">
      <c r="G633" s="9"/>
      <c r="Q633" s="9"/>
      <c r="U633" s="9"/>
    </row>
    <row r="634" spans="7:21" x14ac:dyDescent="0.25">
      <c r="G634" s="9"/>
      <c r="Q634" s="9"/>
      <c r="U634" s="9"/>
    </row>
    <row r="635" spans="7:21" x14ac:dyDescent="0.25">
      <c r="G635" s="9"/>
      <c r="Q635" s="9"/>
      <c r="U635" s="9"/>
    </row>
    <row r="636" spans="7:21" x14ac:dyDescent="0.25">
      <c r="G636" s="9"/>
      <c r="Q636" s="9"/>
      <c r="U636" s="9"/>
    </row>
    <row r="637" spans="7:21" x14ac:dyDescent="0.25">
      <c r="G637" s="9"/>
      <c r="Q637" s="9"/>
      <c r="U637" s="9"/>
    </row>
    <row r="638" spans="7:21" x14ac:dyDescent="0.25">
      <c r="G638" s="9"/>
      <c r="Q638" s="9"/>
      <c r="U638" s="9"/>
    </row>
    <row r="639" spans="7:21" x14ac:dyDescent="0.25">
      <c r="G639" s="9"/>
      <c r="Q639" s="9"/>
      <c r="U639" s="9"/>
    </row>
    <row r="640" spans="7:21" x14ac:dyDescent="0.25">
      <c r="G640" s="9"/>
      <c r="Q640" s="9"/>
      <c r="U640" s="9"/>
    </row>
    <row r="641" spans="7:21" x14ac:dyDescent="0.25">
      <c r="G641" s="9"/>
      <c r="Q641" s="9"/>
      <c r="U641" s="9"/>
    </row>
    <row r="642" spans="7:21" x14ac:dyDescent="0.25">
      <c r="G642" s="9"/>
      <c r="Q642" s="9"/>
      <c r="U642" s="9"/>
    </row>
    <row r="643" spans="7:21" x14ac:dyDescent="0.25">
      <c r="G643" s="9"/>
      <c r="Q643" s="9"/>
      <c r="U643" s="9"/>
    </row>
    <row r="644" spans="7:21" x14ac:dyDescent="0.25">
      <c r="G644" s="9"/>
      <c r="Q644" s="9"/>
      <c r="U644" s="9"/>
    </row>
    <row r="645" spans="7:21" x14ac:dyDescent="0.25">
      <c r="G645" s="9"/>
      <c r="Q645" s="9"/>
      <c r="U645" s="9"/>
    </row>
    <row r="646" spans="7:21" x14ac:dyDescent="0.25">
      <c r="G646" s="9"/>
      <c r="Q646" s="9"/>
      <c r="U646" s="9"/>
    </row>
    <row r="647" spans="7:21" x14ac:dyDescent="0.25">
      <c r="G647" s="9"/>
      <c r="Q647" s="9"/>
      <c r="U647" s="9"/>
    </row>
    <row r="648" spans="7:21" x14ac:dyDescent="0.25">
      <c r="G648" s="9"/>
      <c r="Q648" s="9"/>
      <c r="U648" s="9"/>
    </row>
    <row r="649" spans="7:21" x14ac:dyDescent="0.25">
      <c r="G649" s="9"/>
      <c r="Q649" s="9"/>
      <c r="U649" s="9"/>
    </row>
    <row r="650" spans="7:21" x14ac:dyDescent="0.25">
      <c r="G650" s="9"/>
      <c r="Q650" s="9"/>
      <c r="U650" s="9"/>
    </row>
    <row r="651" spans="7:21" x14ac:dyDescent="0.25">
      <c r="G651" s="9"/>
      <c r="Q651" s="9"/>
      <c r="U651" s="9"/>
    </row>
    <row r="652" spans="7:21" x14ac:dyDescent="0.25">
      <c r="G652" s="9"/>
      <c r="Q652" s="9"/>
      <c r="U652" s="9"/>
    </row>
    <row r="653" spans="7:21" x14ac:dyDescent="0.25">
      <c r="G653" s="9"/>
      <c r="Q653" s="9"/>
      <c r="U653" s="9"/>
    </row>
    <row r="654" spans="7:21" x14ac:dyDescent="0.25">
      <c r="G654" s="9"/>
      <c r="Q654" s="9"/>
      <c r="U654" s="9"/>
    </row>
    <row r="655" spans="7:21" x14ac:dyDescent="0.25">
      <c r="G655" s="9"/>
      <c r="Q655" s="9"/>
      <c r="U655" s="9"/>
    </row>
    <row r="656" spans="7:21" x14ac:dyDescent="0.25">
      <c r="G656" s="9"/>
      <c r="Q656" s="9"/>
      <c r="U656" s="9"/>
    </row>
    <row r="657" spans="7:21" x14ac:dyDescent="0.25">
      <c r="G657" s="9"/>
      <c r="Q657" s="9"/>
      <c r="U657" s="9"/>
    </row>
    <row r="658" spans="7:21" x14ac:dyDescent="0.25">
      <c r="G658" s="9"/>
      <c r="Q658" s="9"/>
      <c r="U658" s="9"/>
    </row>
    <row r="659" spans="7:21" x14ac:dyDescent="0.25">
      <c r="G659" s="9"/>
      <c r="Q659" s="9"/>
      <c r="U659" s="9"/>
    </row>
    <row r="660" spans="7:21" x14ac:dyDescent="0.25">
      <c r="G660" s="9"/>
      <c r="Q660" s="9"/>
      <c r="U660" s="9"/>
    </row>
    <row r="661" spans="7:21" x14ac:dyDescent="0.25">
      <c r="G661" s="9"/>
      <c r="Q661" s="9"/>
      <c r="U661" s="9"/>
    </row>
    <row r="662" spans="7:21" x14ac:dyDescent="0.25">
      <c r="G662" s="9"/>
      <c r="Q662" s="9"/>
      <c r="U662" s="9"/>
    </row>
    <row r="663" spans="7:21" x14ac:dyDescent="0.25">
      <c r="G663" s="9"/>
      <c r="Q663" s="9"/>
      <c r="U663" s="9"/>
    </row>
    <row r="664" spans="7:21" x14ac:dyDescent="0.25">
      <c r="G664" s="9"/>
      <c r="Q664" s="9"/>
      <c r="U664" s="9"/>
    </row>
    <row r="665" spans="7:21" x14ac:dyDescent="0.25">
      <c r="G665" s="9"/>
      <c r="Q665" s="9"/>
      <c r="U665" s="9"/>
    </row>
    <row r="666" spans="7:21" x14ac:dyDescent="0.25">
      <c r="G666" s="9"/>
      <c r="Q666" s="9"/>
      <c r="U666" s="9"/>
    </row>
    <row r="667" spans="7:21" x14ac:dyDescent="0.25">
      <c r="G667" s="9"/>
      <c r="Q667" s="9"/>
      <c r="U667" s="9"/>
    </row>
    <row r="668" spans="7:21" x14ac:dyDescent="0.25">
      <c r="G668" s="9"/>
      <c r="Q668" s="9"/>
      <c r="U668" s="9"/>
    </row>
    <row r="669" spans="7:21" x14ac:dyDescent="0.25">
      <c r="G669" s="9"/>
      <c r="Q669" s="9"/>
      <c r="U669" s="9"/>
    </row>
    <row r="670" spans="7:21" x14ac:dyDescent="0.25">
      <c r="G670" s="9"/>
      <c r="Q670" s="9"/>
      <c r="U670" s="9"/>
    </row>
    <row r="671" spans="7:21" x14ac:dyDescent="0.25">
      <c r="G671" s="9"/>
      <c r="Q671" s="9"/>
      <c r="U671" s="9"/>
    </row>
    <row r="672" spans="7:21" x14ac:dyDescent="0.25">
      <c r="G672" s="9"/>
      <c r="Q672" s="9"/>
      <c r="U672" s="9"/>
    </row>
    <row r="673" spans="7:21" x14ac:dyDescent="0.25">
      <c r="G673" s="9"/>
      <c r="Q673" s="9"/>
      <c r="U673" s="9"/>
    </row>
    <row r="674" spans="7:21" x14ac:dyDescent="0.25">
      <c r="G674" s="9"/>
      <c r="Q674" s="9"/>
      <c r="U674" s="9"/>
    </row>
    <row r="675" spans="7:21" x14ac:dyDescent="0.25">
      <c r="G675" s="9"/>
      <c r="Q675" s="9"/>
      <c r="U675" s="9"/>
    </row>
    <row r="676" spans="7:21" x14ac:dyDescent="0.25">
      <c r="G676" s="9"/>
      <c r="Q676" s="9"/>
      <c r="U676" s="9"/>
    </row>
    <row r="677" spans="7:21" x14ac:dyDescent="0.25">
      <c r="G677" s="9"/>
      <c r="Q677" s="9"/>
      <c r="U677" s="9"/>
    </row>
    <row r="678" spans="7:21" x14ac:dyDescent="0.25">
      <c r="G678" s="9"/>
      <c r="Q678" s="9"/>
      <c r="U678" s="9"/>
    </row>
    <row r="679" spans="7:21" x14ac:dyDescent="0.25">
      <c r="G679" s="9"/>
      <c r="Q679" s="9"/>
      <c r="U679" s="9"/>
    </row>
    <row r="680" spans="7:21" x14ac:dyDescent="0.25">
      <c r="G680" s="9"/>
      <c r="Q680" s="9"/>
      <c r="U680" s="9"/>
    </row>
    <row r="681" spans="7:21" x14ac:dyDescent="0.25">
      <c r="G681" s="9"/>
      <c r="Q681" s="9"/>
      <c r="U681" s="9"/>
    </row>
    <row r="682" spans="7:21" x14ac:dyDescent="0.25">
      <c r="G682" s="9"/>
      <c r="Q682" s="9"/>
      <c r="U682" s="9"/>
    </row>
    <row r="683" spans="7:21" x14ac:dyDescent="0.25">
      <c r="G683" s="9"/>
      <c r="Q683" s="9"/>
      <c r="U683" s="9"/>
    </row>
    <row r="684" spans="7:21" x14ac:dyDescent="0.25">
      <c r="G684" s="9"/>
      <c r="Q684" s="9"/>
      <c r="U684" s="9"/>
    </row>
    <row r="685" spans="7:21" x14ac:dyDescent="0.25">
      <c r="G685" s="9"/>
      <c r="Q685" s="9"/>
      <c r="U685" s="9"/>
    </row>
    <row r="686" spans="7:21" x14ac:dyDescent="0.25">
      <c r="G686" s="9"/>
      <c r="Q686" s="9"/>
      <c r="U686" s="9"/>
    </row>
    <row r="687" spans="7:21" x14ac:dyDescent="0.25">
      <c r="G687" s="9"/>
      <c r="Q687" s="9"/>
      <c r="U687" s="9"/>
    </row>
    <row r="688" spans="7:21" x14ac:dyDescent="0.25">
      <c r="G688" s="9"/>
      <c r="Q688" s="9"/>
      <c r="U688" s="9"/>
    </row>
    <row r="689" spans="7:21" x14ac:dyDescent="0.25">
      <c r="G689" s="9"/>
      <c r="Q689" s="9"/>
      <c r="U689" s="9"/>
    </row>
    <row r="690" spans="7:21" x14ac:dyDescent="0.25">
      <c r="G690" s="9"/>
      <c r="Q690" s="9"/>
      <c r="U690" s="9"/>
    </row>
    <row r="691" spans="7:21" x14ac:dyDescent="0.25">
      <c r="G691" s="9"/>
      <c r="Q691" s="9"/>
      <c r="U691" s="9"/>
    </row>
    <row r="692" spans="7:21" x14ac:dyDescent="0.25">
      <c r="G692" s="9"/>
      <c r="Q692" s="9"/>
      <c r="U692" s="9"/>
    </row>
    <row r="693" spans="7:21" x14ac:dyDescent="0.25">
      <c r="G693" s="9"/>
      <c r="Q693" s="9"/>
      <c r="U693" s="9"/>
    </row>
    <row r="694" spans="7:21" x14ac:dyDescent="0.25">
      <c r="G694" s="9"/>
      <c r="Q694" s="9"/>
      <c r="U694" s="9"/>
    </row>
    <row r="695" spans="7:21" x14ac:dyDescent="0.25">
      <c r="G695" s="9"/>
      <c r="Q695" s="9"/>
      <c r="U695" s="9"/>
    </row>
    <row r="696" spans="7:21" x14ac:dyDescent="0.25">
      <c r="G696" s="9"/>
      <c r="Q696" s="9"/>
      <c r="U696" s="9"/>
    </row>
    <row r="697" spans="7:21" x14ac:dyDescent="0.25">
      <c r="G697" s="9"/>
      <c r="Q697" s="9"/>
      <c r="U697" s="9"/>
    </row>
    <row r="698" spans="7:21" x14ac:dyDescent="0.25">
      <c r="G698" s="9"/>
      <c r="Q698" s="9"/>
      <c r="U698" s="9"/>
    </row>
    <row r="699" spans="7:21" x14ac:dyDescent="0.25">
      <c r="G699" s="9"/>
      <c r="Q699" s="9"/>
      <c r="U699" s="9"/>
    </row>
    <row r="700" spans="7:21" x14ac:dyDescent="0.25">
      <c r="G700" s="9"/>
      <c r="Q700" s="9"/>
      <c r="U700" s="9"/>
    </row>
    <row r="701" spans="7:21" x14ac:dyDescent="0.25">
      <c r="G701" s="9"/>
      <c r="Q701" s="9"/>
      <c r="U701" s="9"/>
    </row>
    <row r="702" spans="7:21" x14ac:dyDescent="0.25">
      <c r="G702" s="9"/>
      <c r="Q702" s="9"/>
      <c r="U702" s="9"/>
    </row>
    <row r="703" spans="7:21" x14ac:dyDescent="0.25">
      <c r="G703" s="9"/>
      <c r="Q703" s="9"/>
      <c r="U703" s="9"/>
    </row>
    <row r="704" spans="7:21" x14ac:dyDescent="0.25">
      <c r="G704" s="9"/>
      <c r="Q704" s="9"/>
      <c r="U704" s="9"/>
    </row>
    <row r="705" spans="7:21" x14ac:dyDescent="0.25">
      <c r="G705" s="9"/>
      <c r="Q705" s="9"/>
      <c r="U705" s="9"/>
    </row>
    <row r="706" spans="7:21" x14ac:dyDescent="0.25">
      <c r="G706" s="9"/>
      <c r="Q706" s="9"/>
      <c r="U706" s="9"/>
    </row>
    <row r="707" spans="7:21" x14ac:dyDescent="0.25">
      <c r="G707" s="9"/>
      <c r="Q707" s="9"/>
      <c r="U707" s="9"/>
    </row>
    <row r="708" spans="7:21" x14ac:dyDescent="0.25">
      <c r="G708" s="9"/>
      <c r="Q708" s="9"/>
      <c r="U708" s="9"/>
    </row>
    <row r="709" spans="7:21" x14ac:dyDescent="0.25">
      <c r="G709" s="9"/>
      <c r="Q709" s="9"/>
      <c r="U709" s="9"/>
    </row>
    <row r="710" spans="7:21" x14ac:dyDescent="0.25">
      <c r="G710" s="9"/>
      <c r="Q710" s="9"/>
      <c r="U710" s="9"/>
    </row>
    <row r="711" spans="7:21" x14ac:dyDescent="0.25">
      <c r="G711" s="9"/>
      <c r="Q711" s="9"/>
      <c r="U711" s="9"/>
    </row>
    <row r="712" spans="7:21" x14ac:dyDescent="0.25">
      <c r="G712" s="9"/>
      <c r="Q712" s="9"/>
      <c r="U712" s="9"/>
    </row>
    <row r="713" spans="7:21" x14ac:dyDescent="0.25">
      <c r="G713" s="9"/>
      <c r="Q713" s="9"/>
      <c r="U713" s="9"/>
    </row>
    <row r="714" spans="7:21" x14ac:dyDescent="0.25">
      <c r="G714" s="9"/>
      <c r="Q714" s="9"/>
      <c r="U714" s="9"/>
    </row>
    <row r="715" spans="7:21" x14ac:dyDescent="0.25">
      <c r="G715" s="9"/>
      <c r="Q715" s="9"/>
      <c r="U715" s="9"/>
    </row>
    <row r="716" spans="7:21" x14ac:dyDescent="0.25">
      <c r="G716" s="9"/>
      <c r="Q716" s="9"/>
      <c r="U716" s="9"/>
    </row>
    <row r="717" spans="7:21" x14ac:dyDescent="0.25">
      <c r="G717" s="9"/>
      <c r="Q717" s="9"/>
      <c r="U717" s="9"/>
    </row>
    <row r="718" spans="7:21" x14ac:dyDescent="0.25">
      <c r="G718" s="9"/>
      <c r="Q718" s="9"/>
      <c r="U718" s="9"/>
    </row>
    <row r="719" spans="7:21" x14ac:dyDescent="0.25">
      <c r="G719" s="9"/>
      <c r="Q719" s="9"/>
      <c r="U719" s="9"/>
    </row>
    <row r="720" spans="7:21" x14ac:dyDescent="0.25">
      <c r="G720" s="9"/>
      <c r="Q720" s="9"/>
      <c r="U720" s="9"/>
    </row>
    <row r="721" spans="7:21" x14ac:dyDescent="0.25">
      <c r="G721" s="9"/>
      <c r="Q721" s="9"/>
      <c r="U721" s="9"/>
    </row>
    <row r="722" spans="7:21" x14ac:dyDescent="0.25">
      <c r="G722" s="9"/>
      <c r="Q722" s="9"/>
      <c r="U722" s="9"/>
    </row>
    <row r="723" spans="7:21" x14ac:dyDescent="0.25">
      <c r="G723" s="9"/>
      <c r="Q723" s="9"/>
      <c r="U723" s="9"/>
    </row>
    <row r="724" spans="7:21" x14ac:dyDescent="0.25">
      <c r="G724" s="9"/>
      <c r="Q724" s="9"/>
      <c r="U724" s="9"/>
    </row>
    <row r="725" spans="7:21" x14ac:dyDescent="0.25">
      <c r="G725" s="9"/>
      <c r="Q725" s="9"/>
      <c r="U725" s="9"/>
    </row>
    <row r="726" spans="7:21" x14ac:dyDescent="0.25">
      <c r="G726" s="9"/>
      <c r="Q726" s="9"/>
      <c r="U726" s="9"/>
    </row>
    <row r="727" spans="7:21" x14ac:dyDescent="0.25">
      <c r="G727" s="9"/>
      <c r="Q727" s="9"/>
      <c r="U727" s="9"/>
    </row>
    <row r="728" spans="7:21" x14ac:dyDescent="0.25">
      <c r="G728" s="9"/>
      <c r="Q728" s="9"/>
      <c r="U728" s="9"/>
    </row>
    <row r="729" spans="7:21" x14ac:dyDescent="0.25">
      <c r="G729" s="9"/>
      <c r="Q729" s="9"/>
      <c r="U729" s="9"/>
    </row>
    <row r="730" spans="7:21" x14ac:dyDescent="0.25">
      <c r="G730" s="9"/>
      <c r="Q730" s="9"/>
      <c r="U730" s="9"/>
    </row>
    <row r="731" spans="7:21" x14ac:dyDescent="0.25">
      <c r="G731" s="9"/>
      <c r="Q731" s="9"/>
      <c r="U731" s="9"/>
    </row>
    <row r="732" spans="7:21" x14ac:dyDescent="0.25">
      <c r="G732" s="9"/>
      <c r="Q732" s="9"/>
      <c r="U732" s="9"/>
    </row>
    <row r="733" spans="7:21" x14ac:dyDescent="0.25">
      <c r="G733" s="9"/>
      <c r="Q733" s="9"/>
      <c r="U733" s="9"/>
    </row>
    <row r="734" spans="7:21" x14ac:dyDescent="0.25">
      <c r="G734" s="9"/>
      <c r="Q734" s="9"/>
      <c r="U734" s="9"/>
    </row>
    <row r="735" spans="7:21" x14ac:dyDescent="0.25">
      <c r="G735" s="9"/>
      <c r="Q735" s="9"/>
      <c r="U735" s="9"/>
    </row>
    <row r="736" spans="7:21" x14ac:dyDescent="0.25">
      <c r="G736" s="9"/>
      <c r="Q736" s="9"/>
      <c r="U736" s="9"/>
    </row>
    <row r="737" spans="7:21" x14ac:dyDescent="0.25">
      <c r="G737" s="9"/>
      <c r="Q737" s="9"/>
      <c r="U737" s="9"/>
    </row>
    <row r="738" spans="7:21" x14ac:dyDescent="0.25">
      <c r="G738" s="9"/>
      <c r="Q738" s="9"/>
      <c r="U738" s="9"/>
    </row>
    <row r="739" spans="7:21" x14ac:dyDescent="0.25">
      <c r="G739" s="9"/>
      <c r="Q739" s="9"/>
      <c r="U739" s="9"/>
    </row>
    <row r="740" spans="7:21" x14ac:dyDescent="0.25">
      <c r="G740" s="9"/>
      <c r="Q740" s="9"/>
      <c r="U740" s="9"/>
    </row>
    <row r="741" spans="7:21" x14ac:dyDescent="0.25">
      <c r="G741" s="9"/>
      <c r="Q741" s="9"/>
      <c r="U741" s="9"/>
    </row>
    <row r="742" spans="7:21" x14ac:dyDescent="0.25">
      <c r="G742" s="9"/>
      <c r="Q742" s="9"/>
      <c r="U742" s="9"/>
    </row>
    <row r="743" spans="7:21" x14ac:dyDescent="0.25">
      <c r="G743" s="9"/>
      <c r="Q743" s="9"/>
      <c r="U743" s="9"/>
    </row>
    <row r="744" spans="7:21" x14ac:dyDescent="0.25">
      <c r="G744" s="9"/>
      <c r="Q744" s="9"/>
      <c r="U744" s="9"/>
    </row>
    <row r="745" spans="7:21" x14ac:dyDescent="0.25">
      <c r="G745" s="9"/>
      <c r="Q745" s="9"/>
      <c r="U745" s="9"/>
    </row>
    <row r="746" spans="7:21" x14ac:dyDescent="0.25">
      <c r="G746" s="9"/>
      <c r="Q746" s="9"/>
      <c r="U746" s="9"/>
    </row>
    <row r="747" spans="7:21" x14ac:dyDescent="0.25">
      <c r="G747" s="9"/>
      <c r="Q747" s="9"/>
      <c r="U747" s="9"/>
    </row>
    <row r="748" spans="7:21" x14ac:dyDescent="0.25">
      <c r="G748" s="9"/>
      <c r="Q748" s="9"/>
      <c r="U748" s="9"/>
    </row>
    <row r="749" spans="7:21" x14ac:dyDescent="0.25">
      <c r="G749" s="9"/>
      <c r="Q749" s="9"/>
      <c r="U749" s="9"/>
    </row>
    <row r="750" spans="7:21" x14ac:dyDescent="0.25">
      <c r="G750" s="9"/>
      <c r="Q750" s="9"/>
      <c r="U750" s="9"/>
    </row>
    <row r="751" spans="7:21" x14ac:dyDescent="0.25">
      <c r="G751" s="9"/>
      <c r="Q751" s="9"/>
      <c r="U751" s="9"/>
    </row>
    <row r="752" spans="7:21" x14ac:dyDescent="0.25">
      <c r="G752" s="9"/>
      <c r="Q752" s="9"/>
      <c r="U752" s="9"/>
    </row>
    <row r="753" spans="7:21" x14ac:dyDescent="0.25">
      <c r="G753" s="9"/>
      <c r="Q753" s="9"/>
      <c r="U753" s="9"/>
    </row>
    <row r="754" spans="7:21" x14ac:dyDescent="0.25">
      <c r="G754" s="9"/>
      <c r="Q754" s="9"/>
      <c r="U754" s="9"/>
    </row>
    <row r="755" spans="7:21" x14ac:dyDescent="0.25">
      <c r="G755" s="9"/>
      <c r="Q755" s="9"/>
      <c r="U755" s="9"/>
    </row>
    <row r="756" spans="7:21" x14ac:dyDescent="0.25">
      <c r="G756" s="9"/>
      <c r="Q756" s="9"/>
      <c r="U756" s="9"/>
    </row>
    <row r="757" spans="7:21" x14ac:dyDescent="0.25">
      <c r="G757" s="9"/>
      <c r="Q757" s="9"/>
      <c r="U757" s="9"/>
    </row>
    <row r="758" spans="7:21" x14ac:dyDescent="0.25">
      <c r="G758" s="9"/>
      <c r="Q758" s="9"/>
      <c r="U758" s="9"/>
    </row>
    <row r="759" spans="7:21" x14ac:dyDescent="0.25">
      <c r="G759" s="9"/>
      <c r="Q759" s="9"/>
      <c r="U759" s="9"/>
    </row>
    <row r="760" spans="7:21" x14ac:dyDescent="0.25">
      <c r="G760" s="9"/>
      <c r="Q760" s="9"/>
      <c r="U760" s="9"/>
    </row>
    <row r="761" spans="7:21" x14ac:dyDescent="0.25">
      <c r="G761" s="9"/>
      <c r="Q761" s="9"/>
      <c r="U761" s="9"/>
    </row>
    <row r="762" spans="7:21" x14ac:dyDescent="0.25">
      <c r="G762" s="9"/>
      <c r="Q762" s="9"/>
      <c r="U762" s="9"/>
    </row>
    <row r="763" spans="7:21" x14ac:dyDescent="0.25">
      <c r="G763" s="9"/>
      <c r="Q763" s="9"/>
      <c r="U763" s="9"/>
    </row>
    <row r="764" spans="7:21" x14ac:dyDescent="0.25">
      <c r="G764" s="9"/>
      <c r="Q764" s="9"/>
      <c r="U764" s="9"/>
    </row>
    <row r="765" spans="7:21" x14ac:dyDescent="0.25">
      <c r="G765" s="9"/>
      <c r="Q765" s="9"/>
      <c r="U765" s="9"/>
    </row>
    <row r="766" spans="7:21" x14ac:dyDescent="0.25">
      <c r="G766" s="9"/>
      <c r="Q766" s="9"/>
      <c r="U766" s="9"/>
    </row>
    <row r="767" spans="7:21" x14ac:dyDescent="0.25">
      <c r="G767" s="9"/>
      <c r="Q767" s="9"/>
      <c r="U767" s="9"/>
    </row>
    <row r="768" spans="7:21" x14ac:dyDescent="0.25">
      <c r="G768" s="9"/>
      <c r="Q768" s="9"/>
      <c r="U768" s="9"/>
    </row>
    <row r="769" spans="7:21" x14ac:dyDescent="0.25">
      <c r="G769" s="9"/>
      <c r="Q769" s="9"/>
      <c r="U769" s="9"/>
    </row>
    <row r="770" spans="7:21" x14ac:dyDescent="0.25">
      <c r="G770" s="9"/>
      <c r="Q770" s="9"/>
      <c r="U770" s="9"/>
    </row>
    <row r="771" spans="7:21" x14ac:dyDescent="0.25">
      <c r="G771" s="9"/>
      <c r="Q771" s="9"/>
      <c r="U771" s="9"/>
    </row>
    <row r="772" spans="7:21" x14ac:dyDescent="0.25">
      <c r="G772" s="9"/>
      <c r="Q772" s="9"/>
      <c r="U772" s="9"/>
    </row>
    <row r="773" spans="7:21" x14ac:dyDescent="0.25">
      <c r="G773" s="9"/>
      <c r="Q773" s="9"/>
      <c r="U773" s="9"/>
    </row>
    <row r="774" spans="7:21" x14ac:dyDescent="0.25">
      <c r="G774" s="9"/>
      <c r="Q774" s="9"/>
      <c r="U774" s="9"/>
    </row>
    <row r="775" spans="7:21" x14ac:dyDescent="0.25">
      <c r="G775" s="9"/>
      <c r="Q775" s="9"/>
      <c r="U775" s="9"/>
    </row>
    <row r="776" spans="7:21" x14ac:dyDescent="0.25">
      <c r="G776" s="9"/>
      <c r="Q776" s="9"/>
      <c r="U776" s="9"/>
    </row>
    <row r="777" spans="7:21" x14ac:dyDescent="0.25">
      <c r="G777" s="9"/>
      <c r="Q777" s="9"/>
      <c r="U777" s="9"/>
    </row>
    <row r="778" spans="7:21" x14ac:dyDescent="0.25">
      <c r="G778" s="9"/>
      <c r="Q778" s="9"/>
      <c r="U778" s="9"/>
    </row>
    <row r="779" spans="7:21" x14ac:dyDescent="0.25">
      <c r="G779" s="9"/>
      <c r="Q779" s="9"/>
      <c r="U779" s="9"/>
    </row>
    <row r="780" spans="7:21" x14ac:dyDescent="0.25">
      <c r="G780" s="9"/>
      <c r="Q780" s="9"/>
      <c r="U780" s="9"/>
    </row>
    <row r="781" spans="7:21" x14ac:dyDescent="0.25">
      <c r="G781" s="9"/>
      <c r="Q781" s="9"/>
      <c r="U781" s="9"/>
    </row>
    <row r="782" spans="7:21" x14ac:dyDescent="0.25">
      <c r="G782" s="9"/>
      <c r="Q782" s="9"/>
      <c r="U782" s="9"/>
    </row>
    <row r="783" spans="7:21" x14ac:dyDescent="0.25">
      <c r="G783" s="9"/>
      <c r="Q783" s="9"/>
      <c r="U783" s="9"/>
    </row>
    <row r="784" spans="7:21" x14ac:dyDescent="0.25">
      <c r="G784" s="9"/>
      <c r="Q784" s="9"/>
      <c r="U784" s="9"/>
    </row>
    <row r="785" spans="7:21" x14ac:dyDescent="0.25">
      <c r="G785" s="9"/>
      <c r="Q785" s="9"/>
      <c r="U785" s="9"/>
    </row>
    <row r="786" spans="7:21" x14ac:dyDescent="0.25">
      <c r="G786" s="9"/>
      <c r="Q786" s="9"/>
      <c r="U786" s="9"/>
    </row>
    <row r="787" spans="7:21" x14ac:dyDescent="0.25">
      <c r="G787" s="9"/>
      <c r="Q787" s="9"/>
      <c r="U787" s="9"/>
    </row>
    <row r="788" spans="7:21" x14ac:dyDescent="0.25">
      <c r="G788" s="9"/>
      <c r="Q788" s="9"/>
      <c r="U788" s="9"/>
    </row>
    <row r="789" spans="7:21" x14ac:dyDescent="0.25">
      <c r="G789" s="9"/>
      <c r="Q789" s="9"/>
      <c r="U789" s="9"/>
    </row>
    <row r="790" spans="7:21" x14ac:dyDescent="0.25">
      <c r="G790" s="9"/>
      <c r="Q790" s="9"/>
      <c r="U790" s="9"/>
    </row>
    <row r="791" spans="7:21" x14ac:dyDescent="0.25">
      <c r="G791" s="9"/>
      <c r="Q791" s="9"/>
      <c r="U791" s="9"/>
    </row>
    <row r="792" spans="7:21" x14ac:dyDescent="0.25">
      <c r="G792" s="9"/>
      <c r="Q792" s="9"/>
      <c r="U792" s="9"/>
    </row>
    <row r="793" spans="7:21" x14ac:dyDescent="0.25">
      <c r="G793" s="9"/>
      <c r="Q793" s="9"/>
      <c r="U793" s="9"/>
    </row>
    <row r="794" spans="7:21" x14ac:dyDescent="0.25">
      <c r="G794" s="9"/>
      <c r="Q794" s="9"/>
      <c r="U794" s="9"/>
    </row>
    <row r="795" spans="7:21" x14ac:dyDescent="0.25">
      <c r="G795" s="9"/>
      <c r="Q795" s="9"/>
      <c r="U795" s="9"/>
    </row>
    <row r="796" spans="7:21" x14ac:dyDescent="0.25">
      <c r="G796" s="9"/>
      <c r="Q796" s="9"/>
      <c r="U796" s="9"/>
    </row>
    <row r="797" spans="7:21" x14ac:dyDescent="0.25">
      <c r="G797" s="9"/>
      <c r="Q797" s="9"/>
      <c r="U797" s="9"/>
    </row>
    <row r="798" spans="7:21" x14ac:dyDescent="0.25">
      <c r="G798" s="9"/>
      <c r="Q798" s="9"/>
      <c r="U798" s="9"/>
    </row>
    <row r="799" spans="7:21" x14ac:dyDescent="0.25">
      <c r="G799" s="9"/>
      <c r="Q799" s="9"/>
      <c r="U799" s="9"/>
    </row>
    <row r="800" spans="7:21" x14ac:dyDescent="0.25">
      <c r="G800" s="9"/>
      <c r="Q800" s="9"/>
      <c r="U800" s="9"/>
    </row>
    <row r="801" spans="7:21" x14ac:dyDescent="0.25">
      <c r="G801" s="9"/>
      <c r="Q801" s="9"/>
      <c r="U801" s="9"/>
    </row>
    <row r="802" spans="7:21" x14ac:dyDescent="0.25">
      <c r="G802" s="9"/>
      <c r="Q802" s="9"/>
      <c r="U802" s="9"/>
    </row>
    <row r="803" spans="7:21" x14ac:dyDescent="0.25">
      <c r="G803" s="9"/>
      <c r="Q803" s="9"/>
      <c r="U803" s="9"/>
    </row>
    <row r="804" spans="7:21" x14ac:dyDescent="0.25">
      <c r="G804" s="9"/>
      <c r="Q804" s="9"/>
      <c r="U804" s="9"/>
    </row>
    <row r="805" spans="7:21" x14ac:dyDescent="0.25">
      <c r="G805" s="9"/>
      <c r="Q805" s="9"/>
      <c r="U805" s="9"/>
    </row>
    <row r="806" spans="7:21" x14ac:dyDescent="0.25">
      <c r="G806" s="9"/>
      <c r="Q806" s="9"/>
      <c r="U806" s="9"/>
    </row>
    <row r="807" spans="7:21" x14ac:dyDescent="0.25">
      <c r="G807" s="9"/>
      <c r="Q807" s="9"/>
      <c r="U807" s="9"/>
    </row>
    <row r="808" spans="7:21" x14ac:dyDescent="0.25">
      <c r="G808" s="9"/>
      <c r="Q808" s="9"/>
      <c r="U808" s="9"/>
    </row>
    <row r="809" spans="7:21" x14ac:dyDescent="0.25">
      <c r="G809" s="9"/>
      <c r="Q809" s="9"/>
      <c r="U809" s="9"/>
    </row>
    <row r="810" spans="7:21" x14ac:dyDescent="0.25">
      <c r="G810" s="9"/>
      <c r="Q810" s="9"/>
      <c r="U810" s="9"/>
    </row>
    <row r="811" spans="7:21" x14ac:dyDescent="0.25">
      <c r="G811" s="9"/>
      <c r="Q811" s="9"/>
      <c r="U811" s="9"/>
    </row>
    <row r="812" spans="7:21" x14ac:dyDescent="0.25">
      <c r="G812" s="9"/>
      <c r="Q812" s="9"/>
      <c r="U812" s="9"/>
    </row>
    <row r="813" spans="7:21" x14ac:dyDescent="0.25">
      <c r="G813" s="9"/>
      <c r="Q813" s="9"/>
      <c r="U813" s="9"/>
    </row>
    <row r="814" spans="7:21" x14ac:dyDescent="0.25">
      <c r="G814" s="9"/>
      <c r="Q814" s="9"/>
      <c r="U814" s="9"/>
    </row>
    <row r="815" spans="7:21" x14ac:dyDescent="0.25">
      <c r="G815" s="9"/>
      <c r="Q815" s="9"/>
      <c r="U815" s="9"/>
    </row>
    <row r="816" spans="7:21" x14ac:dyDescent="0.25">
      <c r="G816" s="9"/>
      <c r="Q816" s="9"/>
      <c r="U816" s="9"/>
    </row>
    <row r="817" spans="7:21" x14ac:dyDescent="0.25">
      <c r="G817" s="9"/>
      <c r="Q817" s="9"/>
      <c r="U817" s="9"/>
    </row>
    <row r="818" spans="7:21" x14ac:dyDescent="0.25">
      <c r="G818" s="9"/>
      <c r="Q818" s="9"/>
      <c r="U818" s="9"/>
    </row>
    <row r="819" spans="7:21" x14ac:dyDescent="0.25">
      <c r="G819" s="9"/>
      <c r="Q819" s="9"/>
      <c r="U819" s="9"/>
    </row>
    <row r="820" spans="7:21" x14ac:dyDescent="0.25">
      <c r="G820" s="9"/>
      <c r="Q820" s="9"/>
      <c r="U820" s="9"/>
    </row>
    <row r="821" spans="7:21" x14ac:dyDescent="0.25">
      <c r="G821" s="9"/>
      <c r="Q821" s="9"/>
      <c r="U821" s="9"/>
    </row>
    <row r="822" spans="7:21" x14ac:dyDescent="0.25">
      <c r="G822" s="9"/>
      <c r="Q822" s="9"/>
      <c r="U822" s="9"/>
    </row>
    <row r="823" spans="7:21" x14ac:dyDescent="0.25">
      <c r="G823" s="9"/>
      <c r="Q823" s="9"/>
      <c r="U823" s="9"/>
    </row>
    <row r="824" spans="7:21" x14ac:dyDescent="0.25">
      <c r="G824" s="9"/>
      <c r="Q824" s="9"/>
      <c r="U824" s="9"/>
    </row>
    <row r="825" spans="7:21" x14ac:dyDescent="0.25">
      <c r="G825" s="9"/>
      <c r="Q825" s="9"/>
      <c r="U825" s="9"/>
    </row>
    <row r="826" spans="7:21" x14ac:dyDescent="0.25">
      <c r="G826" s="9"/>
      <c r="Q826" s="9"/>
      <c r="U826" s="9"/>
    </row>
    <row r="827" spans="7:21" x14ac:dyDescent="0.25">
      <c r="G827" s="9"/>
      <c r="Q827" s="9"/>
      <c r="U827" s="9"/>
    </row>
    <row r="828" spans="7:21" x14ac:dyDescent="0.25">
      <c r="G828" s="9"/>
      <c r="Q828" s="9"/>
      <c r="U828" s="9"/>
    </row>
    <row r="829" spans="7:21" x14ac:dyDescent="0.25">
      <c r="G829" s="9"/>
      <c r="Q829" s="9"/>
      <c r="U829" s="9"/>
    </row>
    <row r="830" spans="7:21" x14ac:dyDescent="0.25">
      <c r="G830" s="9"/>
      <c r="Q830" s="9"/>
      <c r="U830" s="9"/>
    </row>
    <row r="831" spans="7:21" x14ac:dyDescent="0.25">
      <c r="G831" s="9"/>
      <c r="Q831" s="9"/>
      <c r="U831" s="9"/>
    </row>
    <row r="832" spans="7:21" x14ac:dyDescent="0.25">
      <c r="G832" s="9"/>
      <c r="Q832" s="9"/>
      <c r="U832" s="9"/>
    </row>
    <row r="833" spans="7:21" x14ac:dyDescent="0.25">
      <c r="G833" s="9"/>
      <c r="Q833" s="9"/>
      <c r="U833" s="9"/>
    </row>
    <row r="834" spans="7:21" x14ac:dyDescent="0.25">
      <c r="G834" s="9"/>
      <c r="Q834" s="9"/>
      <c r="U834" s="9"/>
    </row>
    <row r="835" spans="7:21" x14ac:dyDescent="0.25">
      <c r="G835" s="9"/>
      <c r="Q835" s="9"/>
      <c r="U835" s="9"/>
    </row>
    <row r="836" spans="7:21" x14ac:dyDescent="0.25">
      <c r="G836" s="9"/>
      <c r="Q836" s="9"/>
      <c r="U836" s="9"/>
    </row>
    <row r="837" spans="7:21" x14ac:dyDescent="0.25">
      <c r="G837" s="9"/>
      <c r="Q837" s="9"/>
      <c r="U837" s="9"/>
    </row>
    <row r="838" spans="7:21" x14ac:dyDescent="0.25">
      <c r="G838" s="9"/>
      <c r="Q838" s="9"/>
      <c r="U838" s="9"/>
    </row>
    <row r="839" spans="7:21" x14ac:dyDescent="0.25">
      <c r="G839" s="9"/>
      <c r="Q839" s="9"/>
      <c r="U839" s="9"/>
    </row>
    <row r="840" spans="7:21" x14ac:dyDescent="0.25">
      <c r="G840" s="9"/>
      <c r="Q840" s="9"/>
      <c r="U840" s="9"/>
    </row>
    <row r="841" spans="7:21" x14ac:dyDescent="0.25">
      <c r="G841" s="9"/>
      <c r="Q841" s="9"/>
      <c r="U841" s="9"/>
    </row>
    <row r="842" spans="7:21" x14ac:dyDescent="0.25">
      <c r="G842" s="9"/>
      <c r="Q842" s="9"/>
      <c r="U842" s="9"/>
    </row>
    <row r="843" spans="7:21" x14ac:dyDescent="0.25">
      <c r="G843" s="9"/>
      <c r="Q843" s="9"/>
      <c r="U843" s="9"/>
    </row>
    <row r="844" spans="7:21" x14ac:dyDescent="0.25">
      <c r="G844" s="9"/>
      <c r="Q844" s="9"/>
      <c r="U844" s="9"/>
    </row>
    <row r="845" spans="7:21" x14ac:dyDescent="0.25">
      <c r="G845" s="9"/>
      <c r="Q845" s="9"/>
      <c r="U845" s="9"/>
    </row>
    <row r="846" spans="7:21" x14ac:dyDescent="0.25">
      <c r="G846" s="9"/>
      <c r="Q846" s="9"/>
      <c r="U846" s="9"/>
    </row>
    <row r="847" spans="7:21" x14ac:dyDescent="0.25">
      <c r="G847" s="9"/>
      <c r="Q847" s="9"/>
      <c r="U847" s="9"/>
    </row>
    <row r="848" spans="7:21" x14ac:dyDescent="0.25">
      <c r="G848" s="9"/>
      <c r="Q848" s="9"/>
      <c r="U848" s="9"/>
    </row>
    <row r="849" spans="7:21" x14ac:dyDescent="0.25">
      <c r="G849" s="9"/>
      <c r="Q849" s="9"/>
      <c r="U849" s="9"/>
    </row>
    <row r="850" spans="7:21" x14ac:dyDescent="0.25">
      <c r="G850" s="9"/>
      <c r="Q850" s="9"/>
      <c r="U850" s="9"/>
    </row>
    <row r="851" spans="7:21" x14ac:dyDescent="0.25">
      <c r="G851" s="9"/>
      <c r="Q851" s="9"/>
      <c r="U851" s="9"/>
    </row>
    <row r="852" spans="7:21" x14ac:dyDescent="0.25">
      <c r="G852" s="9"/>
      <c r="Q852" s="9"/>
      <c r="U852" s="9"/>
    </row>
    <row r="853" spans="7:21" x14ac:dyDescent="0.25">
      <c r="G853" s="9"/>
      <c r="Q853" s="9"/>
      <c r="U853" s="9"/>
    </row>
    <row r="854" spans="7:21" x14ac:dyDescent="0.25">
      <c r="G854" s="9"/>
      <c r="Q854" s="9"/>
      <c r="U854" s="9"/>
    </row>
    <row r="855" spans="7:21" x14ac:dyDescent="0.25">
      <c r="G855" s="9"/>
      <c r="Q855" s="9"/>
      <c r="U855" s="9"/>
    </row>
    <row r="856" spans="7:21" x14ac:dyDescent="0.25">
      <c r="G856" s="9"/>
      <c r="Q856" s="9"/>
      <c r="U856" s="9"/>
    </row>
    <row r="857" spans="7:21" x14ac:dyDescent="0.25">
      <c r="G857" s="9"/>
      <c r="Q857" s="9"/>
      <c r="U857" s="9"/>
    </row>
    <row r="858" spans="7:21" x14ac:dyDescent="0.25">
      <c r="G858" s="9"/>
      <c r="Q858" s="9"/>
      <c r="U858" s="9"/>
    </row>
    <row r="859" spans="7:21" x14ac:dyDescent="0.25">
      <c r="G859" s="9"/>
      <c r="Q859" s="9"/>
      <c r="U859" s="9"/>
    </row>
    <row r="860" spans="7:21" x14ac:dyDescent="0.25">
      <c r="G860" s="9"/>
      <c r="Q860" s="9"/>
      <c r="U860" s="9"/>
    </row>
    <row r="861" spans="7:21" x14ac:dyDescent="0.25">
      <c r="G861" s="9"/>
      <c r="Q861" s="9"/>
      <c r="U861" s="9"/>
    </row>
    <row r="862" spans="7:21" x14ac:dyDescent="0.25">
      <c r="G862" s="9"/>
      <c r="Q862" s="9"/>
      <c r="U862" s="9"/>
    </row>
    <row r="863" spans="7:21" x14ac:dyDescent="0.25">
      <c r="G863" s="9"/>
      <c r="Q863" s="9"/>
      <c r="U863" s="9"/>
    </row>
    <row r="864" spans="7:21" x14ac:dyDescent="0.25">
      <c r="G864" s="9"/>
      <c r="Q864" s="9"/>
      <c r="U864" s="9"/>
    </row>
    <row r="865" spans="7:21" x14ac:dyDescent="0.25">
      <c r="G865" s="9"/>
      <c r="Q865" s="9"/>
      <c r="U865" s="9"/>
    </row>
    <row r="866" spans="7:21" x14ac:dyDescent="0.25">
      <c r="G866" s="9"/>
      <c r="Q866" s="9"/>
      <c r="U866" s="9"/>
    </row>
    <row r="867" spans="7:21" x14ac:dyDescent="0.25">
      <c r="G867" s="9"/>
      <c r="Q867" s="9"/>
      <c r="U867" s="9"/>
    </row>
    <row r="868" spans="7:21" x14ac:dyDescent="0.25">
      <c r="G868" s="9"/>
      <c r="Q868" s="9"/>
      <c r="U868" s="9"/>
    </row>
    <row r="869" spans="7:21" x14ac:dyDescent="0.25">
      <c r="G869" s="9"/>
      <c r="Q869" s="9"/>
      <c r="U869" s="9"/>
    </row>
    <row r="870" spans="7:21" x14ac:dyDescent="0.25">
      <c r="G870" s="9"/>
      <c r="Q870" s="9"/>
      <c r="U870" s="9"/>
    </row>
    <row r="871" spans="7:21" x14ac:dyDescent="0.25">
      <c r="G871" s="9"/>
      <c r="Q871" s="9"/>
      <c r="U871" s="9"/>
    </row>
    <row r="872" spans="7:21" x14ac:dyDescent="0.25">
      <c r="G872" s="9"/>
      <c r="Q872" s="9"/>
      <c r="U872" s="9"/>
    </row>
    <row r="873" spans="7:21" x14ac:dyDescent="0.25">
      <c r="G873" s="9"/>
      <c r="Q873" s="9"/>
      <c r="U873" s="9"/>
    </row>
    <row r="874" spans="7:21" x14ac:dyDescent="0.25">
      <c r="G874" s="9"/>
      <c r="Q874" s="9"/>
      <c r="U874" s="9"/>
    </row>
    <row r="875" spans="7:21" x14ac:dyDescent="0.25">
      <c r="G875" s="9"/>
      <c r="Q875" s="9"/>
      <c r="U875" s="9"/>
    </row>
    <row r="876" spans="7:21" x14ac:dyDescent="0.25">
      <c r="G876" s="9"/>
      <c r="Q876" s="9"/>
      <c r="U876" s="9"/>
    </row>
    <row r="877" spans="7:21" x14ac:dyDescent="0.25">
      <c r="G877" s="9"/>
      <c r="Q877" s="9"/>
      <c r="U877" s="9"/>
    </row>
    <row r="878" spans="7:21" x14ac:dyDescent="0.25">
      <c r="G878" s="9"/>
      <c r="Q878" s="9"/>
      <c r="U878" s="9"/>
    </row>
    <row r="879" spans="7:21" x14ac:dyDescent="0.25">
      <c r="G879" s="9"/>
      <c r="Q879" s="9"/>
      <c r="U879" s="9"/>
    </row>
    <row r="880" spans="7:21" x14ac:dyDescent="0.25">
      <c r="G880" s="9"/>
      <c r="Q880" s="9"/>
      <c r="U880" s="9"/>
    </row>
    <row r="881" spans="7:21" x14ac:dyDescent="0.25">
      <c r="G881" s="9"/>
      <c r="Q881" s="9"/>
      <c r="U881" s="9"/>
    </row>
    <row r="882" spans="7:21" x14ac:dyDescent="0.25">
      <c r="G882" s="9"/>
      <c r="Q882" s="9"/>
      <c r="U882" s="9"/>
    </row>
    <row r="883" spans="7:21" x14ac:dyDescent="0.25">
      <c r="G883" s="9"/>
      <c r="Q883" s="9"/>
      <c r="U883" s="9"/>
    </row>
    <row r="884" spans="7:21" x14ac:dyDescent="0.25">
      <c r="G884" s="9"/>
      <c r="Q884" s="9"/>
      <c r="U884" s="9"/>
    </row>
    <row r="885" spans="7:21" x14ac:dyDescent="0.25">
      <c r="G885" s="9"/>
      <c r="Q885" s="9"/>
      <c r="U885" s="9"/>
    </row>
    <row r="886" spans="7:21" x14ac:dyDescent="0.25">
      <c r="G886" s="9"/>
      <c r="Q886" s="9"/>
      <c r="U886" s="9"/>
    </row>
    <row r="887" spans="7:21" x14ac:dyDescent="0.25">
      <c r="G887" s="9"/>
      <c r="Q887" s="9"/>
      <c r="U887" s="9"/>
    </row>
    <row r="888" spans="7:21" x14ac:dyDescent="0.25">
      <c r="G888" s="9"/>
      <c r="Q888" s="9"/>
      <c r="U888" s="9"/>
    </row>
    <row r="889" spans="7:21" x14ac:dyDescent="0.25">
      <c r="G889" s="9"/>
      <c r="Q889" s="9"/>
      <c r="U889" s="9"/>
    </row>
    <row r="890" spans="7:21" x14ac:dyDescent="0.25">
      <c r="G890" s="9"/>
      <c r="Q890" s="9"/>
      <c r="U890" s="9"/>
    </row>
    <row r="891" spans="7:21" x14ac:dyDescent="0.25">
      <c r="G891" s="9"/>
      <c r="Q891" s="9"/>
      <c r="U891" s="9"/>
    </row>
    <row r="892" spans="7:21" x14ac:dyDescent="0.25">
      <c r="G892" s="9"/>
      <c r="Q892" s="9"/>
      <c r="U892" s="9"/>
    </row>
    <row r="893" spans="7:21" x14ac:dyDescent="0.25">
      <c r="G893" s="9"/>
      <c r="Q893" s="9"/>
      <c r="U893" s="9"/>
    </row>
    <row r="894" spans="7:21" x14ac:dyDescent="0.25">
      <c r="G894" s="9"/>
      <c r="Q894" s="9"/>
      <c r="U894" s="9"/>
    </row>
    <row r="895" spans="7:21" x14ac:dyDescent="0.25">
      <c r="G895" s="9"/>
      <c r="Q895" s="9"/>
      <c r="U895" s="9"/>
    </row>
    <row r="896" spans="7:21" x14ac:dyDescent="0.25">
      <c r="G896" s="9"/>
      <c r="Q896" s="9"/>
      <c r="U896" s="9"/>
    </row>
    <row r="897" spans="7:21" x14ac:dyDescent="0.25">
      <c r="G897" s="9"/>
      <c r="Q897" s="9"/>
      <c r="U897" s="9"/>
    </row>
    <row r="898" spans="7:21" x14ac:dyDescent="0.25">
      <c r="G898" s="9"/>
      <c r="Q898" s="9"/>
      <c r="U898" s="9"/>
    </row>
    <row r="899" spans="7:21" x14ac:dyDescent="0.25">
      <c r="G899" s="9"/>
      <c r="Q899" s="9"/>
      <c r="U899" s="9"/>
    </row>
    <row r="900" spans="7:21" x14ac:dyDescent="0.25">
      <c r="G900" s="9"/>
      <c r="Q900" s="9"/>
      <c r="U900" s="9"/>
    </row>
    <row r="901" spans="7:21" x14ac:dyDescent="0.25">
      <c r="G901" s="9"/>
      <c r="Q901" s="9"/>
      <c r="U901" s="9"/>
    </row>
    <row r="902" spans="7:21" x14ac:dyDescent="0.25">
      <c r="G902" s="9"/>
      <c r="Q902" s="9"/>
      <c r="U902" s="9"/>
    </row>
    <row r="903" spans="7:21" x14ac:dyDescent="0.25">
      <c r="G903" s="9"/>
      <c r="Q903" s="9"/>
      <c r="U903" s="9"/>
    </row>
    <row r="904" spans="7:21" x14ac:dyDescent="0.25">
      <c r="G904" s="9"/>
      <c r="Q904" s="9"/>
      <c r="U904" s="9"/>
    </row>
    <row r="905" spans="7:21" x14ac:dyDescent="0.25">
      <c r="G905" s="9"/>
      <c r="Q905" s="9"/>
      <c r="U905" s="9"/>
    </row>
    <row r="906" spans="7:21" x14ac:dyDescent="0.25">
      <c r="G906" s="9"/>
      <c r="Q906" s="9"/>
      <c r="U906" s="9"/>
    </row>
    <row r="907" spans="7:21" x14ac:dyDescent="0.25">
      <c r="G907" s="9"/>
      <c r="Q907" s="9"/>
      <c r="U907" s="9"/>
    </row>
    <row r="908" spans="7:21" x14ac:dyDescent="0.25">
      <c r="G908" s="9"/>
      <c r="Q908" s="9"/>
      <c r="U908" s="9"/>
    </row>
    <row r="909" spans="7:21" x14ac:dyDescent="0.25">
      <c r="G909" s="9"/>
      <c r="Q909" s="9"/>
      <c r="U909" s="9"/>
    </row>
    <row r="910" spans="7:21" x14ac:dyDescent="0.25">
      <c r="G910" s="9"/>
      <c r="Q910" s="9"/>
      <c r="U910" s="9"/>
    </row>
    <row r="911" spans="7:21" x14ac:dyDescent="0.25">
      <c r="G911" s="9"/>
      <c r="Q911" s="9"/>
      <c r="U911" s="9"/>
    </row>
    <row r="912" spans="7:21" x14ac:dyDescent="0.25">
      <c r="G912" s="9"/>
      <c r="Q912" s="9"/>
      <c r="U912" s="9"/>
    </row>
    <row r="913" spans="7:21" x14ac:dyDescent="0.25">
      <c r="G913" s="9"/>
      <c r="Q913" s="9"/>
      <c r="U913" s="9"/>
    </row>
    <row r="914" spans="7:21" x14ac:dyDescent="0.25">
      <c r="G914" s="9"/>
      <c r="Q914" s="9"/>
      <c r="U914" s="9"/>
    </row>
    <row r="915" spans="7:21" x14ac:dyDescent="0.25">
      <c r="G915" s="9"/>
      <c r="Q915" s="9"/>
      <c r="U915" s="9"/>
    </row>
    <row r="916" spans="7:21" x14ac:dyDescent="0.25">
      <c r="G916" s="9"/>
      <c r="Q916" s="9"/>
      <c r="U916" s="9"/>
    </row>
    <row r="917" spans="7:21" x14ac:dyDescent="0.25">
      <c r="G917" s="9"/>
      <c r="Q917" s="9"/>
      <c r="U917" s="9"/>
    </row>
    <row r="918" spans="7:21" x14ac:dyDescent="0.25">
      <c r="G918" s="9"/>
      <c r="Q918" s="9"/>
      <c r="U918" s="9"/>
    </row>
    <row r="919" spans="7:21" x14ac:dyDescent="0.25">
      <c r="G919" s="9"/>
      <c r="Q919" s="9"/>
      <c r="U919" s="9"/>
    </row>
    <row r="920" spans="7:21" x14ac:dyDescent="0.25">
      <c r="G920" s="9"/>
      <c r="Q920" s="9"/>
      <c r="U920" s="9"/>
    </row>
    <row r="921" spans="7:21" x14ac:dyDescent="0.25">
      <c r="G921" s="9"/>
      <c r="Q921" s="9"/>
      <c r="U921" s="9"/>
    </row>
    <row r="922" spans="7:21" x14ac:dyDescent="0.25">
      <c r="G922" s="9"/>
      <c r="Q922" s="9"/>
      <c r="U922" s="9"/>
    </row>
    <row r="923" spans="7:21" x14ac:dyDescent="0.25">
      <c r="G923" s="9"/>
      <c r="Q923" s="9"/>
      <c r="U923" s="9"/>
    </row>
    <row r="924" spans="7:21" x14ac:dyDescent="0.25">
      <c r="G924" s="9"/>
      <c r="Q924" s="9"/>
      <c r="U924" s="9"/>
    </row>
    <row r="925" spans="7:21" x14ac:dyDescent="0.25">
      <c r="G925" s="9"/>
      <c r="Q925" s="9"/>
      <c r="U925" s="9"/>
    </row>
    <row r="926" spans="7:21" x14ac:dyDescent="0.25">
      <c r="G926" s="9"/>
      <c r="Q926" s="9"/>
      <c r="U926" s="9"/>
    </row>
    <row r="927" spans="7:21" x14ac:dyDescent="0.25">
      <c r="G927" s="9"/>
      <c r="Q927" s="9"/>
      <c r="U927" s="9"/>
    </row>
    <row r="928" spans="7:21" x14ac:dyDescent="0.25">
      <c r="G928" s="9"/>
      <c r="Q928" s="9"/>
      <c r="U928" s="9"/>
    </row>
    <row r="929" spans="7:21" x14ac:dyDescent="0.25">
      <c r="G929" s="9"/>
      <c r="Q929" s="9"/>
      <c r="U929" s="9"/>
    </row>
    <row r="930" spans="7:21" x14ac:dyDescent="0.25">
      <c r="G930" s="9"/>
      <c r="Q930" s="9"/>
      <c r="U930" s="9"/>
    </row>
    <row r="931" spans="7:21" x14ac:dyDescent="0.25">
      <c r="G931" s="9"/>
      <c r="Q931" s="9"/>
      <c r="U931" s="9"/>
    </row>
    <row r="932" spans="7:21" x14ac:dyDescent="0.25">
      <c r="G932" s="9"/>
      <c r="Q932" s="9"/>
      <c r="U932" s="9"/>
    </row>
    <row r="933" spans="7:21" x14ac:dyDescent="0.25">
      <c r="G933" s="9"/>
      <c r="Q933" s="9"/>
      <c r="U933" s="9"/>
    </row>
    <row r="934" spans="7:21" x14ac:dyDescent="0.25">
      <c r="G934" s="9"/>
      <c r="Q934" s="9"/>
      <c r="U934" s="9"/>
    </row>
    <row r="935" spans="7:21" x14ac:dyDescent="0.25">
      <c r="G935" s="9"/>
      <c r="Q935" s="9"/>
      <c r="U935" s="9"/>
    </row>
    <row r="936" spans="7:21" x14ac:dyDescent="0.25">
      <c r="G936" s="9"/>
      <c r="Q936" s="9"/>
      <c r="U936" s="9"/>
    </row>
    <row r="937" spans="7:21" x14ac:dyDescent="0.25">
      <c r="G937" s="9"/>
      <c r="Q937" s="9"/>
      <c r="U937" s="9"/>
    </row>
    <row r="938" spans="7:21" x14ac:dyDescent="0.25">
      <c r="G938" s="9"/>
      <c r="Q938" s="9"/>
      <c r="U938" s="9"/>
    </row>
    <row r="939" spans="7:21" x14ac:dyDescent="0.25">
      <c r="G939" s="9"/>
      <c r="Q939" s="9"/>
      <c r="U939" s="9"/>
    </row>
    <row r="940" spans="7:21" x14ac:dyDescent="0.25">
      <c r="G940" s="9"/>
      <c r="Q940" s="9"/>
      <c r="U940" s="9"/>
    </row>
    <row r="941" spans="7:21" x14ac:dyDescent="0.25">
      <c r="G941" s="9"/>
      <c r="Q941" s="9"/>
      <c r="U941" s="9"/>
    </row>
    <row r="942" spans="7:21" x14ac:dyDescent="0.25">
      <c r="G942" s="9"/>
      <c r="Q942" s="9"/>
      <c r="U942" s="9"/>
    </row>
    <row r="943" spans="7:21" x14ac:dyDescent="0.25">
      <c r="G943" s="9"/>
      <c r="Q943" s="9"/>
      <c r="U943" s="9"/>
    </row>
    <row r="944" spans="7:21" x14ac:dyDescent="0.25">
      <c r="G944" s="9"/>
      <c r="Q944" s="9"/>
      <c r="U944" s="9"/>
    </row>
    <row r="945" spans="7:21" x14ac:dyDescent="0.25">
      <c r="G945" s="9"/>
      <c r="Q945" s="9"/>
      <c r="U945" s="9"/>
    </row>
    <row r="946" spans="7:21" x14ac:dyDescent="0.25">
      <c r="G946" s="9"/>
      <c r="Q946" s="9"/>
      <c r="U946" s="9"/>
    </row>
    <row r="947" spans="7:21" x14ac:dyDescent="0.25">
      <c r="G947" s="9"/>
      <c r="Q947" s="9"/>
      <c r="U947" s="9"/>
    </row>
    <row r="948" spans="7:21" x14ac:dyDescent="0.25">
      <c r="G948" s="9"/>
      <c r="Q948" s="9"/>
      <c r="U948" s="9"/>
    </row>
    <row r="949" spans="7:21" x14ac:dyDescent="0.25">
      <c r="G949" s="9"/>
      <c r="Q949" s="9"/>
      <c r="U949" s="9"/>
    </row>
    <row r="950" spans="7:21" x14ac:dyDescent="0.25">
      <c r="G950" s="9"/>
      <c r="Q950" s="9"/>
      <c r="U950" s="9"/>
    </row>
    <row r="951" spans="7:21" x14ac:dyDescent="0.25">
      <c r="G951" s="9"/>
      <c r="Q951" s="9"/>
      <c r="U951" s="9"/>
    </row>
    <row r="952" spans="7:21" x14ac:dyDescent="0.25">
      <c r="G952" s="9"/>
      <c r="Q952" s="9"/>
      <c r="U952" s="9"/>
    </row>
    <row r="953" spans="7:21" x14ac:dyDescent="0.25">
      <c r="G953" s="9"/>
      <c r="Q953" s="9"/>
      <c r="U953" s="9"/>
    </row>
    <row r="954" spans="7:21" x14ac:dyDescent="0.25">
      <c r="G954" s="9"/>
      <c r="Q954" s="9"/>
      <c r="U954" s="9"/>
    </row>
    <row r="955" spans="7:21" x14ac:dyDescent="0.25">
      <c r="G955" s="9"/>
      <c r="Q955" s="9"/>
      <c r="U955" s="9"/>
    </row>
    <row r="956" spans="7:21" x14ac:dyDescent="0.25">
      <c r="G956" s="9"/>
      <c r="Q956" s="9"/>
      <c r="U956" s="9"/>
    </row>
    <row r="957" spans="7:21" x14ac:dyDescent="0.25">
      <c r="G957" s="9"/>
      <c r="Q957" s="9"/>
      <c r="U957" s="9"/>
    </row>
    <row r="958" spans="7:21" x14ac:dyDescent="0.25">
      <c r="G958" s="9"/>
      <c r="Q958" s="9"/>
      <c r="U958" s="9"/>
    </row>
    <row r="959" spans="7:21" x14ac:dyDescent="0.25">
      <c r="G959" s="9"/>
      <c r="Q959" s="9"/>
      <c r="U959" s="9"/>
    </row>
    <row r="960" spans="7:21" x14ac:dyDescent="0.25">
      <c r="G960" s="9"/>
      <c r="Q960" s="9"/>
      <c r="U960" s="9"/>
    </row>
    <row r="961" spans="7:21" x14ac:dyDescent="0.25">
      <c r="G961" s="9"/>
      <c r="Q961" s="9"/>
      <c r="U961" s="9"/>
    </row>
    <row r="962" spans="7:21" x14ac:dyDescent="0.25">
      <c r="G962" s="9"/>
      <c r="Q962" s="9"/>
      <c r="U962" s="9"/>
    </row>
    <row r="963" spans="7:21" x14ac:dyDescent="0.25">
      <c r="G963" s="9"/>
      <c r="Q963" s="9"/>
      <c r="U963" s="9"/>
    </row>
    <row r="964" spans="7:21" x14ac:dyDescent="0.25">
      <c r="G964" s="9"/>
      <c r="Q964" s="9"/>
      <c r="U964" s="9"/>
    </row>
    <row r="965" spans="7:21" x14ac:dyDescent="0.25">
      <c r="G965" s="9"/>
      <c r="Q965" s="9"/>
      <c r="U965" s="9"/>
    </row>
    <row r="966" spans="7:21" x14ac:dyDescent="0.25">
      <c r="G966" s="9"/>
      <c r="Q966" s="9"/>
      <c r="U966" s="9"/>
    </row>
    <row r="967" spans="7:21" x14ac:dyDescent="0.25">
      <c r="G967" s="9"/>
      <c r="Q967" s="9"/>
      <c r="U967" s="9"/>
    </row>
    <row r="968" spans="7:21" x14ac:dyDescent="0.25">
      <c r="G968" s="9"/>
      <c r="Q968" s="9"/>
      <c r="U968" s="9"/>
    </row>
    <row r="969" spans="7:21" x14ac:dyDescent="0.25">
      <c r="G969" s="9"/>
      <c r="Q969" s="9"/>
      <c r="U969" s="9"/>
    </row>
    <row r="970" spans="7:21" x14ac:dyDescent="0.25">
      <c r="G970" s="9"/>
      <c r="Q970" s="9"/>
      <c r="U970" s="9"/>
    </row>
    <row r="971" spans="7:21" x14ac:dyDescent="0.25">
      <c r="G971" s="9"/>
      <c r="Q971" s="9"/>
      <c r="U971" s="9"/>
    </row>
    <row r="972" spans="7:21" x14ac:dyDescent="0.25">
      <c r="G972" s="9"/>
      <c r="Q972" s="9"/>
      <c r="U972" s="9"/>
    </row>
    <row r="973" spans="7:21" x14ac:dyDescent="0.25">
      <c r="G973" s="9"/>
      <c r="Q973" s="9"/>
      <c r="U973" s="9"/>
    </row>
    <row r="974" spans="7:21" x14ac:dyDescent="0.25">
      <c r="G974" s="9"/>
      <c r="Q974" s="9"/>
      <c r="U974" s="9"/>
    </row>
    <row r="975" spans="7:21" x14ac:dyDescent="0.25">
      <c r="G975" s="9"/>
      <c r="Q975" s="9"/>
      <c r="U975" s="9"/>
    </row>
    <row r="976" spans="7:21" x14ac:dyDescent="0.25">
      <c r="G976" s="9"/>
      <c r="Q976" s="9"/>
      <c r="U976" s="9"/>
    </row>
    <row r="977" spans="7:21" x14ac:dyDescent="0.25">
      <c r="G977" s="9"/>
      <c r="Q977" s="9"/>
      <c r="U977" s="9"/>
    </row>
    <row r="978" spans="7:21" x14ac:dyDescent="0.25">
      <c r="G978" s="9"/>
      <c r="Q978" s="9"/>
      <c r="U978" s="9"/>
    </row>
    <row r="979" spans="7:21" x14ac:dyDescent="0.25">
      <c r="G979" s="9"/>
      <c r="Q979" s="9"/>
      <c r="U979" s="9"/>
    </row>
    <row r="980" spans="7:21" x14ac:dyDescent="0.25">
      <c r="G980" s="9"/>
      <c r="Q980" s="9"/>
      <c r="U980" s="9"/>
    </row>
    <row r="981" spans="7:21" x14ac:dyDescent="0.25">
      <c r="G981" s="9"/>
      <c r="Q981" s="9"/>
      <c r="U981" s="9"/>
    </row>
    <row r="982" spans="7:21" x14ac:dyDescent="0.25">
      <c r="G982" s="9"/>
      <c r="Q982" s="9"/>
      <c r="U982" s="9"/>
    </row>
    <row r="983" spans="7:21" x14ac:dyDescent="0.25">
      <c r="G983" s="9"/>
      <c r="Q983" s="9"/>
      <c r="U983" s="9"/>
    </row>
    <row r="984" spans="7:21" x14ac:dyDescent="0.25">
      <c r="G984" s="9"/>
      <c r="Q984" s="9"/>
      <c r="U984" s="9"/>
    </row>
    <row r="985" spans="7:21" x14ac:dyDescent="0.25">
      <c r="G985" s="9"/>
      <c r="Q985" s="9"/>
      <c r="U985" s="9"/>
    </row>
    <row r="986" spans="7:21" x14ac:dyDescent="0.25">
      <c r="G986" s="9"/>
      <c r="Q986" s="9"/>
      <c r="U986" s="9"/>
    </row>
    <row r="987" spans="7:21" x14ac:dyDescent="0.25">
      <c r="G987" s="9"/>
      <c r="Q987" s="9"/>
      <c r="U987" s="9"/>
    </row>
    <row r="988" spans="7:21" x14ac:dyDescent="0.25">
      <c r="G988" s="9"/>
      <c r="Q988" s="9"/>
      <c r="U988" s="9"/>
    </row>
    <row r="989" spans="7:21" x14ac:dyDescent="0.25">
      <c r="G989" s="9"/>
      <c r="Q989" s="9"/>
      <c r="U989" s="9"/>
    </row>
    <row r="990" spans="7:21" x14ac:dyDescent="0.25">
      <c r="G990" s="9"/>
      <c r="Q990" s="9"/>
      <c r="U990" s="9"/>
    </row>
    <row r="991" spans="7:21" x14ac:dyDescent="0.25">
      <c r="G991" s="9"/>
      <c r="Q991" s="9"/>
      <c r="U991" s="9"/>
    </row>
    <row r="992" spans="7:21" x14ac:dyDescent="0.25">
      <c r="G992" s="9"/>
      <c r="Q992" s="9"/>
      <c r="U992" s="9"/>
    </row>
    <row r="993" spans="7:21" x14ac:dyDescent="0.25">
      <c r="G993" s="9"/>
      <c r="Q993" s="9"/>
      <c r="U993" s="9"/>
    </row>
    <row r="994" spans="7:21" x14ac:dyDescent="0.25">
      <c r="G994" s="9"/>
      <c r="Q994" s="9"/>
      <c r="U994" s="9"/>
    </row>
    <row r="995" spans="7:21" x14ac:dyDescent="0.25">
      <c r="G995" s="9"/>
      <c r="Q995" s="9"/>
      <c r="U995" s="9"/>
    </row>
    <row r="996" spans="7:21" x14ac:dyDescent="0.25">
      <c r="G996" s="9"/>
      <c r="Q996" s="9"/>
      <c r="U996" s="9"/>
    </row>
    <row r="997" spans="7:21" x14ac:dyDescent="0.25">
      <c r="G997" s="9"/>
      <c r="Q997" s="9"/>
      <c r="U997" s="9"/>
    </row>
    <row r="998" spans="7:21" x14ac:dyDescent="0.25">
      <c r="G998" s="9"/>
      <c r="Q998" s="9"/>
      <c r="U998" s="9"/>
    </row>
    <row r="999" spans="7:21" x14ac:dyDescent="0.25">
      <c r="G999" s="9"/>
      <c r="Q999" s="9"/>
      <c r="U999" s="9"/>
    </row>
    <row r="1000" spans="7:21" x14ac:dyDescent="0.25">
      <c r="G1000" s="9"/>
      <c r="Q1000" s="9"/>
      <c r="U1000" s="9"/>
    </row>
    <row r="1001" spans="7:21" x14ac:dyDescent="0.25">
      <c r="G1001" s="9"/>
      <c r="Q1001" s="9"/>
      <c r="U1001" s="9"/>
    </row>
    <row r="1002" spans="7:21" x14ac:dyDescent="0.25">
      <c r="G1002" s="9"/>
      <c r="Q1002" s="9"/>
      <c r="U1002" s="9"/>
    </row>
    <row r="1003" spans="7:21" x14ac:dyDescent="0.25">
      <c r="G1003" s="9"/>
      <c r="Q1003" s="9"/>
      <c r="U1003" s="9"/>
    </row>
    <row r="1004" spans="7:21" x14ac:dyDescent="0.25">
      <c r="G1004" s="9"/>
      <c r="Q1004" s="9"/>
      <c r="U1004" s="9"/>
    </row>
    <row r="1005" spans="7:21" x14ac:dyDescent="0.25">
      <c r="G1005" s="9"/>
      <c r="Q1005" s="9"/>
      <c r="U1005" s="9"/>
    </row>
    <row r="1006" spans="7:21" x14ac:dyDescent="0.25">
      <c r="G1006" s="9"/>
      <c r="Q1006" s="9"/>
      <c r="U1006" s="9"/>
    </row>
    <row r="1007" spans="7:21" x14ac:dyDescent="0.25">
      <c r="G1007" s="9"/>
      <c r="Q1007" s="9"/>
      <c r="U1007" s="9"/>
    </row>
    <row r="1008" spans="7:21" x14ac:dyDescent="0.25">
      <c r="G1008" s="9"/>
      <c r="Q1008" s="9"/>
      <c r="U1008" s="9"/>
    </row>
    <row r="1009" spans="7:21" x14ac:dyDescent="0.25">
      <c r="G1009" s="9"/>
      <c r="Q1009" s="9"/>
      <c r="U1009" s="9"/>
    </row>
    <row r="1010" spans="7:21" x14ac:dyDescent="0.25">
      <c r="G1010" s="9"/>
      <c r="Q1010" s="9"/>
      <c r="U1010" s="9"/>
    </row>
    <row r="1011" spans="7:21" x14ac:dyDescent="0.25">
      <c r="G1011" s="9"/>
      <c r="Q1011" s="9"/>
      <c r="U1011" s="9"/>
    </row>
    <row r="1012" spans="7:21" x14ac:dyDescent="0.25">
      <c r="G1012" s="9"/>
      <c r="Q1012" s="9"/>
      <c r="U1012" s="9"/>
    </row>
    <row r="1013" spans="7:21" x14ac:dyDescent="0.25">
      <c r="G1013" s="9"/>
      <c r="Q1013" s="9"/>
      <c r="U1013" s="9"/>
    </row>
    <row r="1014" spans="7:21" x14ac:dyDescent="0.25">
      <c r="G1014" s="9"/>
      <c r="Q1014" s="9"/>
      <c r="U1014" s="9"/>
    </row>
    <row r="1015" spans="7:21" x14ac:dyDescent="0.25">
      <c r="G1015" s="9"/>
      <c r="Q1015" s="9"/>
      <c r="U1015" s="9"/>
    </row>
    <row r="1016" spans="7:21" x14ac:dyDescent="0.25">
      <c r="G1016" s="9"/>
      <c r="Q1016" s="9"/>
      <c r="U1016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T182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Q3" s="24">
        <v>10</v>
      </c>
      <c r="R3" s="24">
        <v>10</v>
      </c>
      <c r="S3" s="24">
        <f>100-Q3-R3</f>
        <v>80</v>
      </c>
      <c r="U3" s="25"/>
      <c r="AB3" s="25" t="s">
        <v>90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>0.5*S3+Q3</f>
        <v>50</v>
      </c>
      <c r="O4" s="27">
        <f>S3</f>
        <v>80</v>
      </c>
      <c r="U4" s="25"/>
      <c r="AC4" s="28">
        <v>0.1</v>
      </c>
      <c r="AD4" s="28">
        <v>0.1</v>
      </c>
      <c r="AE4" s="26">
        <f>1-AC4-AD4</f>
        <v>0.8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ref="N5:N11" si="0">0.5*S5+Q5</f>
        <v>0</v>
      </c>
      <c r="O5" s="27">
        <f t="shared" ref="O5:O11" si="1">S5</f>
        <v>0</v>
      </c>
      <c r="Q5" s="24"/>
      <c r="R5" s="24"/>
      <c r="S5" s="24"/>
      <c r="U5" s="25"/>
      <c r="AC5" s="28"/>
      <c r="AD5" s="28"/>
      <c r="AE5" s="26"/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0</v>
      </c>
      <c r="O6" s="27">
        <f t="shared" si="1"/>
        <v>0</v>
      </c>
      <c r="Q6" s="24"/>
      <c r="R6" s="24"/>
      <c r="S6" s="24"/>
      <c r="U6" s="25"/>
      <c r="AC6" s="28"/>
      <c r="AD6" s="28"/>
      <c r="AE6" s="26"/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0</v>
      </c>
      <c r="O7" s="27">
        <f t="shared" si="1"/>
        <v>0</v>
      </c>
      <c r="Q7" s="24"/>
      <c r="R7" s="24"/>
      <c r="S7" s="24"/>
      <c r="U7" s="25"/>
      <c r="AC7" s="28"/>
      <c r="AD7" s="28"/>
      <c r="AE7" s="26"/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0</v>
      </c>
      <c r="O8" s="27">
        <f t="shared" si="1"/>
        <v>0</v>
      </c>
      <c r="Q8" s="24"/>
      <c r="R8" s="24"/>
      <c r="S8" s="24"/>
      <c r="U8" s="25"/>
      <c r="AC8" s="28"/>
      <c r="AD8" s="28"/>
      <c r="AE8" s="26"/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>
        <f t="shared" si="0"/>
        <v>0</v>
      </c>
      <c r="O9" s="27">
        <f t="shared" si="1"/>
        <v>0</v>
      </c>
      <c r="Q9" s="24"/>
      <c r="R9" s="24"/>
      <c r="S9" s="24"/>
      <c r="U9" s="25"/>
      <c r="AC9" s="28"/>
      <c r="AD9" s="28"/>
      <c r="AE9" s="26"/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>
        <f t="shared" si="0"/>
        <v>0</v>
      </c>
      <c r="O10" s="27">
        <f t="shared" si="1"/>
        <v>0</v>
      </c>
      <c r="Q10" s="24"/>
      <c r="R10" s="24"/>
      <c r="S10" s="24"/>
      <c r="U10" s="25"/>
      <c r="AC10" s="28"/>
      <c r="AD10" s="28"/>
      <c r="AE10" s="26"/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>
        <f t="shared" si="0"/>
        <v>0</v>
      </c>
      <c r="O11" s="27">
        <f t="shared" si="1"/>
        <v>0</v>
      </c>
      <c r="Q11" s="24"/>
      <c r="R11" s="24"/>
      <c r="S11" s="24"/>
      <c r="U11" s="25"/>
      <c r="AC11" s="28"/>
      <c r="AD11" s="28"/>
      <c r="AE11" s="26"/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R12" s="29"/>
      <c r="S12" s="24"/>
      <c r="U12" s="25"/>
      <c r="AB12" s="25"/>
      <c r="AC12" s="26"/>
      <c r="AD12" s="26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>
        <f t="shared" ref="N13:N20" si="2">0.5*S13+Q13</f>
        <v>0</v>
      </c>
      <c r="O13" s="27">
        <f t="shared" ref="O13:O20" si="3">S13</f>
        <v>0</v>
      </c>
      <c r="Q13" s="24"/>
      <c r="R13" s="24"/>
      <c r="S13" s="24"/>
      <c r="U13" s="25"/>
      <c r="AC13" s="28"/>
      <c r="AD13" s="28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>
        <f t="shared" si="2"/>
        <v>0</v>
      </c>
      <c r="O14" s="27">
        <f t="shared" si="3"/>
        <v>0</v>
      </c>
      <c r="Q14" s="24"/>
      <c r="R14" s="24"/>
      <c r="S14" s="24"/>
      <c r="U14" s="25"/>
      <c r="AC14" s="28"/>
      <c r="AD14" s="28"/>
      <c r="AE14" s="26"/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si="2"/>
        <v>0</v>
      </c>
      <c r="O15" s="27">
        <f t="shared" si="3"/>
        <v>0</v>
      </c>
      <c r="Q15" s="24"/>
      <c r="R15" s="24"/>
      <c r="S15" s="24"/>
      <c r="U15" s="25"/>
      <c r="AC15" s="28"/>
      <c r="AD15" s="28"/>
      <c r="AE15" s="26"/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2"/>
        <v>0</v>
      </c>
      <c r="O16" s="27">
        <f t="shared" si="3"/>
        <v>0</v>
      </c>
      <c r="Q16" s="24"/>
      <c r="R16" s="24"/>
      <c r="S16" s="24"/>
      <c r="U16" s="25"/>
      <c r="AC16" s="28"/>
      <c r="AD16" s="28"/>
      <c r="AE16" s="26"/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2"/>
        <v>0</v>
      </c>
      <c r="O17" s="27">
        <f t="shared" si="3"/>
        <v>0</v>
      </c>
      <c r="Q17" s="24"/>
      <c r="R17" s="24"/>
      <c r="S17" s="24"/>
      <c r="U17" s="25"/>
      <c r="AC17" s="28"/>
      <c r="AD17" s="28"/>
      <c r="AE17" s="26"/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2"/>
        <v>0</v>
      </c>
      <c r="O18" s="27">
        <f t="shared" si="3"/>
        <v>0</v>
      </c>
      <c r="Q18" s="24"/>
      <c r="R18" s="24"/>
      <c r="S18" s="24"/>
      <c r="U18" s="25"/>
      <c r="AC18" s="28"/>
      <c r="AD18" s="28"/>
      <c r="AE18" s="26"/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2"/>
        <v>0</v>
      </c>
      <c r="O19" s="27">
        <f t="shared" si="3"/>
        <v>0</v>
      </c>
      <c r="Q19" s="24"/>
      <c r="R19" s="24"/>
      <c r="S19" s="24"/>
      <c r="U19" s="25"/>
      <c r="AC19" s="28"/>
      <c r="AD19" s="28"/>
      <c r="AE19" s="26"/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>
        <f t="shared" si="2"/>
        <v>0</v>
      </c>
      <c r="O20" s="27">
        <f t="shared" si="3"/>
        <v>0</v>
      </c>
      <c r="Q20" s="24"/>
      <c r="R20" s="24"/>
      <c r="S20" s="24"/>
      <c r="U20" s="25"/>
      <c r="AC20" s="28"/>
      <c r="AD20" s="28"/>
      <c r="AE20" s="26"/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/>
      <c r="O21" s="27"/>
      <c r="R21" s="30"/>
      <c r="S21" s="24"/>
      <c r="U21" s="25"/>
      <c r="AB21" s="25"/>
      <c r="AC21" s="26"/>
      <c r="AD21" s="26"/>
      <c r="AE21" s="26"/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>
        <f t="shared" ref="N22:N29" si="4">0.5*S22+Q22</f>
        <v>0</v>
      </c>
      <c r="O22" s="27">
        <f t="shared" ref="O22:O29" si="5">S22</f>
        <v>0</v>
      </c>
      <c r="Q22" s="24"/>
      <c r="R22" s="24"/>
      <c r="S22" s="24"/>
      <c r="U22" s="24"/>
      <c r="V22" s="24"/>
      <c r="W22" s="24"/>
      <c r="AC22" s="28"/>
      <c r="AD22" s="28"/>
      <c r="AE22" s="26"/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>
        <f t="shared" si="4"/>
        <v>0</v>
      </c>
      <c r="O23" s="27">
        <f t="shared" si="5"/>
        <v>0</v>
      </c>
      <c r="Q23" s="24"/>
      <c r="R23" s="24"/>
      <c r="S23" s="24"/>
      <c r="U23" s="24"/>
      <c r="V23" s="24"/>
      <c r="W23" s="24"/>
      <c r="AC23" s="28"/>
      <c r="AD23" s="28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>
        <f t="shared" si="4"/>
        <v>0</v>
      </c>
      <c r="O24" s="27">
        <f t="shared" si="5"/>
        <v>0</v>
      </c>
      <c r="Q24" s="24"/>
      <c r="R24" s="24"/>
      <c r="S24" s="24"/>
      <c r="U24" s="24"/>
      <c r="V24" s="24"/>
      <c r="W24" s="24"/>
      <c r="AC24" s="28"/>
      <c r="AD24" s="28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>
        <f t="shared" si="4"/>
        <v>0</v>
      </c>
      <c r="O25" s="27">
        <f t="shared" si="5"/>
        <v>0</v>
      </c>
      <c r="P25" s="27"/>
      <c r="Q25" s="24"/>
      <c r="R25" s="24"/>
      <c r="S25" s="24"/>
      <c r="U25" s="24"/>
      <c r="V25" s="24"/>
      <c r="W25" s="24"/>
      <c r="AC25" s="28"/>
      <c r="AD25" s="28"/>
      <c r="AE25" s="26"/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si="4"/>
        <v>0</v>
      </c>
      <c r="O26" s="27">
        <f t="shared" si="5"/>
        <v>0</v>
      </c>
      <c r="Q26" s="24"/>
      <c r="R26" s="24"/>
      <c r="S26" s="24"/>
      <c r="U26" s="25"/>
      <c r="AC26" s="28"/>
      <c r="AD26" s="28"/>
      <c r="AE26" s="26"/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4"/>
        <v>0</v>
      </c>
      <c r="O27" s="27">
        <f t="shared" si="5"/>
        <v>0</v>
      </c>
      <c r="Q27" s="24"/>
      <c r="R27" s="24"/>
      <c r="S27" s="24"/>
      <c r="U27" s="25"/>
      <c r="AC27" s="28"/>
      <c r="AD27" s="28"/>
      <c r="AE27" s="26"/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4"/>
        <v>0</v>
      </c>
      <c r="O28" s="27">
        <f t="shared" si="5"/>
        <v>0</v>
      </c>
      <c r="Q28" s="24"/>
      <c r="R28" s="24"/>
      <c r="S28" s="24"/>
      <c r="U28" s="25"/>
      <c r="AC28" s="28"/>
      <c r="AD28" s="28"/>
      <c r="AE28" s="26"/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4"/>
        <v>0</v>
      </c>
      <c r="O29" s="27">
        <f t="shared" si="5"/>
        <v>0</v>
      </c>
      <c r="P29" s="27"/>
      <c r="Q29" s="24"/>
      <c r="R29" s="24"/>
      <c r="S29" s="24"/>
      <c r="U29" s="25"/>
      <c r="AC29" s="28"/>
      <c r="AD29" s="28"/>
      <c r="AE29" s="26"/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19"/>
      <c r="O30" s="19"/>
      <c r="P30" s="19"/>
      <c r="Q30" s="19"/>
      <c r="R30" s="19"/>
      <c r="S30" s="19"/>
      <c r="U30" s="25"/>
      <c r="AC30" s="25"/>
      <c r="AD30" s="25"/>
      <c r="AE30" s="25"/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19"/>
      <c r="O31" s="19"/>
      <c r="P31" s="19"/>
      <c r="Q31" s="19"/>
      <c r="R31" s="19"/>
      <c r="S31" s="19"/>
      <c r="U31" s="25"/>
      <c r="AC31" s="25"/>
      <c r="AD31" s="25"/>
      <c r="AE31" s="25"/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19"/>
      <c r="O32" s="19"/>
      <c r="P32" s="19"/>
      <c r="Q32" s="19"/>
      <c r="R32" s="19"/>
      <c r="S32" s="19"/>
      <c r="U32" s="25"/>
      <c r="AC32" s="25"/>
      <c r="AD32" s="25"/>
      <c r="AE32" s="25"/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19"/>
      <c r="O33" s="19"/>
      <c r="P33" s="19"/>
      <c r="Q33" s="19"/>
      <c r="R33" s="19"/>
      <c r="S33" s="19"/>
      <c r="U33" s="25"/>
      <c r="AC33" s="25"/>
      <c r="AD33" s="25"/>
      <c r="AE33" s="25"/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19"/>
      <c r="O34" s="19"/>
      <c r="P34" s="19"/>
      <c r="Q34" s="19"/>
      <c r="R34" s="19"/>
      <c r="S34" s="19"/>
      <c r="U34" s="25"/>
      <c r="AC34" s="25"/>
      <c r="AD34" s="25"/>
      <c r="AE34" s="25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19"/>
      <c r="O35" s="19"/>
      <c r="P35" s="19"/>
      <c r="Q35" s="19"/>
      <c r="R35" s="19"/>
      <c r="S35" s="19"/>
      <c r="U35" s="25"/>
      <c r="AC35" s="25"/>
      <c r="AD35" s="25"/>
      <c r="AE35" s="25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27"/>
      <c r="O40" s="27"/>
      <c r="R40" s="30"/>
      <c r="S40" s="24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27"/>
      <c r="O41" s="27"/>
      <c r="Q41" s="24"/>
      <c r="R41" s="24"/>
      <c r="S41" s="24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27"/>
      <c r="O42" s="27"/>
      <c r="Q42" s="24"/>
      <c r="R42" s="24"/>
      <c r="S42" s="24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27"/>
      <c r="O43" s="27"/>
      <c r="Q43" s="18" t="s">
        <v>86</v>
      </c>
      <c r="R43" s="18" t="s">
        <v>87</v>
      </c>
      <c r="S43" s="18" t="s">
        <v>88</v>
      </c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50</v>
      </c>
      <c r="O45" s="27">
        <f>S45</f>
        <v>80</v>
      </c>
      <c r="Q45" s="24">
        <f>Q3</f>
        <v>10</v>
      </c>
      <c r="R45" s="24">
        <f t="shared" ref="R45:S45" si="6">R3</f>
        <v>10</v>
      </c>
      <c r="S45" s="24">
        <f t="shared" si="6"/>
        <v>80</v>
      </c>
      <c r="U45" s="25"/>
      <c r="AC45" s="19"/>
      <c r="AD45" s="19"/>
      <c r="AE45" s="19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45</v>
      </c>
      <c r="O46" s="27">
        <f>S46</f>
        <v>90</v>
      </c>
      <c r="Q46" s="24">
        <v>0</v>
      </c>
      <c r="R46" s="24">
        <f>R45</f>
        <v>10</v>
      </c>
      <c r="S46" s="24">
        <f>100-R46-Q46</f>
        <v>90</v>
      </c>
      <c r="U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50</v>
      </c>
      <c r="O48" s="27">
        <f>S48</f>
        <v>80</v>
      </c>
      <c r="Q48" s="24">
        <f>Q3</f>
        <v>10</v>
      </c>
      <c r="R48" s="24">
        <f t="shared" ref="R48:S48" si="7">R3</f>
        <v>10</v>
      </c>
      <c r="S48" s="24">
        <f t="shared" si="7"/>
        <v>80</v>
      </c>
      <c r="U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60</v>
      </c>
      <c r="O49" s="27">
        <f>S49</f>
        <v>80</v>
      </c>
      <c r="Q49" s="24">
        <f>100-R49-S49</f>
        <v>20</v>
      </c>
      <c r="R49" s="24">
        <v>0</v>
      </c>
      <c r="S49" s="24">
        <f>S48</f>
        <v>80</v>
      </c>
      <c r="U49" s="25"/>
      <c r="V49" s="25"/>
      <c r="W49" s="25"/>
      <c r="X49" s="25"/>
      <c r="Y49" s="25"/>
      <c r="Z49" s="25"/>
      <c r="AA49" s="25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V50" s="25"/>
      <c r="W50" s="25"/>
      <c r="X50" s="25"/>
      <c r="Y50" s="25"/>
      <c r="Z50" s="25"/>
      <c r="AA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50</v>
      </c>
      <c r="O51" s="27">
        <f>S51</f>
        <v>80</v>
      </c>
      <c r="Q51" s="24">
        <f>Q3</f>
        <v>10</v>
      </c>
      <c r="R51" s="24">
        <f t="shared" ref="R51:S51" si="8">R3</f>
        <v>10</v>
      </c>
      <c r="S51" s="24">
        <f t="shared" si="8"/>
        <v>80</v>
      </c>
      <c r="U51" s="25"/>
      <c r="V51" s="25"/>
      <c r="W51" s="25"/>
      <c r="X51" s="25"/>
      <c r="Y51" s="25"/>
      <c r="Z51" s="25"/>
      <c r="AA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10</v>
      </c>
      <c r="O52" s="27">
        <f>S52</f>
        <v>0</v>
      </c>
      <c r="Q52" s="24">
        <f>Q51</f>
        <v>10</v>
      </c>
      <c r="R52" s="24">
        <f>100-Q52-S52</f>
        <v>90</v>
      </c>
      <c r="S52" s="24">
        <v>0</v>
      </c>
      <c r="U52" s="25"/>
      <c r="V52" s="25"/>
      <c r="W52" s="25"/>
      <c r="X52" s="25"/>
      <c r="Y52" s="25"/>
      <c r="Z52" s="25"/>
      <c r="AA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27"/>
      <c r="O53" s="27"/>
      <c r="Q53" s="24"/>
      <c r="R53" s="24"/>
      <c r="S53" s="24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/>
      <c r="O54" s="27"/>
      <c r="Q54" s="24"/>
      <c r="R54" s="24"/>
      <c r="S54" s="24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19"/>
      <c r="O55" s="19"/>
      <c r="P55" s="19"/>
      <c r="R55" s="30"/>
      <c r="S55" s="19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27"/>
      <c r="O56" s="27"/>
      <c r="Q56" s="24"/>
      <c r="R56" s="24"/>
      <c r="S56" s="24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J57" s="27"/>
      <c r="K57" s="27"/>
      <c r="L57" s="27"/>
      <c r="M57" s="27"/>
      <c r="N57" s="27"/>
      <c r="O57" s="27"/>
      <c r="Q57" s="24"/>
      <c r="R57" s="24"/>
      <c r="S57" s="24"/>
      <c r="U57" s="25"/>
      <c r="V57" s="25"/>
      <c r="W57" s="25"/>
      <c r="X57" s="25"/>
    </row>
    <row r="58" spans="1:124" x14ac:dyDescent="0.25">
      <c r="A58" s="22"/>
      <c r="B58" s="22"/>
      <c r="C58" s="23"/>
      <c r="J58" s="27"/>
      <c r="K58" s="27"/>
      <c r="L58" s="27"/>
      <c r="M58" s="27"/>
      <c r="N58" s="19"/>
      <c r="O58" s="19"/>
      <c r="P58" s="19"/>
      <c r="R58" s="30"/>
      <c r="S58" s="19"/>
      <c r="U58" s="25"/>
      <c r="V58" s="25"/>
      <c r="W58" s="25"/>
      <c r="X58" s="25"/>
    </row>
    <row r="59" spans="1:124" x14ac:dyDescent="0.25">
      <c r="A59" s="22"/>
      <c r="B59" s="22"/>
      <c r="C59" s="23"/>
      <c r="J59" s="27"/>
      <c r="K59" s="27"/>
      <c r="L59" s="27"/>
      <c r="M59" s="27"/>
      <c r="N59" s="27"/>
      <c r="O59" s="27"/>
      <c r="Q59" s="24"/>
      <c r="R59" s="24"/>
      <c r="S59" s="24"/>
      <c r="U59" s="25"/>
      <c r="V59" s="25"/>
      <c r="W59" s="25"/>
      <c r="X59" s="25"/>
    </row>
    <row r="60" spans="1:124" x14ac:dyDescent="0.25">
      <c r="A60" s="22"/>
      <c r="B60" s="22"/>
      <c r="C60" s="23"/>
      <c r="J60" s="27"/>
      <c r="K60" s="27"/>
      <c r="L60" s="27"/>
      <c r="M60" s="27"/>
      <c r="N60" s="27"/>
      <c r="O60" s="27"/>
      <c r="Q60" s="24"/>
      <c r="R60" s="24"/>
      <c r="S60" s="24"/>
      <c r="U60" s="25"/>
      <c r="V60" s="25"/>
      <c r="W60" s="25"/>
      <c r="X60" s="25"/>
    </row>
    <row r="61" spans="1:124" x14ac:dyDescent="0.25">
      <c r="C61" s="23"/>
      <c r="J61" s="27"/>
      <c r="K61" s="27"/>
      <c r="L61" s="27"/>
      <c r="M61" s="27"/>
      <c r="N61" s="27"/>
      <c r="O61" s="27"/>
      <c r="R61" s="30"/>
      <c r="S61" s="24"/>
      <c r="U61" s="25"/>
      <c r="V61" s="25"/>
      <c r="W61" s="25"/>
      <c r="X61" s="25"/>
    </row>
    <row r="62" spans="1:124" x14ac:dyDescent="0.25">
      <c r="C62" s="23"/>
      <c r="J62" s="27"/>
      <c r="K62" s="27"/>
      <c r="L62" s="27"/>
      <c r="M62" s="27"/>
      <c r="N62" s="27"/>
      <c r="O62" s="27"/>
      <c r="Q62" s="24"/>
      <c r="R62" s="24"/>
      <c r="S62" s="24"/>
      <c r="U62" s="25"/>
      <c r="V62" s="25"/>
      <c r="W62" s="25"/>
      <c r="X62" s="25"/>
    </row>
    <row r="63" spans="1:124" x14ac:dyDescent="0.25">
      <c r="C63" s="23"/>
      <c r="J63" s="27"/>
      <c r="K63" s="27"/>
      <c r="L63" s="27"/>
      <c r="M63" s="27"/>
      <c r="N63" s="27"/>
      <c r="O63" s="27"/>
      <c r="Q63" s="24"/>
      <c r="R63" s="24"/>
      <c r="S63" s="24"/>
      <c r="U63" s="25"/>
      <c r="V63" s="25"/>
      <c r="W63" s="25"/>
      <c r="X63" s="25"/>
    </row>
    <row r="64" spans="1:124" x14ac:dyDescent="0.25">
      <c r="C64" s="23"/>
      <c r="J64" s="27"/>
      <c r="K64" s="27"/>
      <c r="L64" s="27"/>
      <c r="M64" s="27"/>
      <c r="T64" s="25"/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T65" s="25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T66" s="25"/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T67" s="25"/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A72" s="22"/>
      <c r="B72" s="22"/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A73" s="31" t="s">
        <v>97</v>
      </c>
      <c r="B73" s="31" t="s">
        <v>98</v>
      </c>
      <c r="C73" s="32" t="s">
        <v>99</v>
      </c>
      <c r="D73" s="31" t="s">
        <v>84</v>
      </c>
      <c r="E73" s="31" t="s">
        <v>85</v>
      </c>
      <c r="F73" s="31" t="s">
        <v>85</v>
      </c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A74" s="33">
        <f t="shared" ref="A74:A96" si="9">100-B74-C74</f>
        <v>100</v>
      </c>
      <c r="B74" s="33">
        <v>0</v>
      </c>
      <c r="C74" s="34">
        <v>0</v>
      </c>
      <c r="D74" s="33">
        <f>0.5*A74+B74</f>
        <v>50</v>
      </c>
      <c r="E74" s="33"/>
      <c r="F74" s="33">
        <f>A74</f>
        <v>100</v>
      </c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A75" s="33">
        <f t="shared" si="9"/>
        <v>90</v>
      </c>
      <c r="B75" s="33">
        <v>10</v>
      </c>
      <c r="C75" s="34">
        <v>0</v>
      </c>
      <c r="D75" s="33">
        <f t="shared" ref="D75:D96" si="10">0.5*A75+B75</f>
        <v>55</v>
      </c>
      <c r="E75" s="33"/>
      <c r="F75" s="33">
        <f t="shared" ref="F75:F84" si="11">A75</f>
        <v>90</v>
      </c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33">
        <f t="shared" si="9"/>
        <v>80</v>
      </c>
      <c r="B76" s="33">
        <v>20</v>
      </c>
      <c r="C76" s="34">
        <v>0</v>
      </c>
      <c r="D76" s="33">
        <f t="shared" si="10"/>
        <v>60</v>
      </c>
      <c r="E76" s="33"/>
      <c r="F76" s="33">
        <f t="shared" si="11"/>
        <v>80</v>
      </c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3">
        <f t="shared" si="9"/>
        <v>70</v>
      </c>
      <c r="B77" s="33">
        <v>30</v>
      </c>
      <c r="C77" s="34">
        <v>0</v>
      </c>
      <c r="D77" s="33">
        <f t="shared" si="10"/>
        <v>65</v>
      </c>
      <c r="E77" s="33"/>
      <c r="F77" s="33">
        <f t="shared" si="11"/>
        <v>70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si="9"/>
        <v>60</v>
      </c>
      <c r="B78" s="33">
        <v>40</v>
      </c>
      <c r="C78" s="34">
        <v>0</v>
      </c>
      <c r="D78" s="33">
        <f t="shared" si="10"/>
        <v>70</v>
      </c>
      <c r="E78" s="33"/>
      <c r="F78" s="33">
        <f t="shared" si="11"/>
        <v>60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9"/>
        <v>50</v>
      </c>
      <c r="B79" s="33">
        <v>50</v>
      </c>
      <c r="C79" s="34">
        <v>0</v>
      </c>
      <c r="D79" s="33">
        <f t="shared" si="10"/>
        <v>75</v>
      </c>
      <c r="E79" s="33"/>
      <c r="F79" s="33">
        <f t="shared" si="11"/>
        <v>50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9"/>
        <v>40</v>
      </c>
      <c r="B80" s="33">
        <v>60</v>
      </c>
      <c r="C80" s="34">
        <v>0</v>
      </c>
      <c r="D80" s="33">
        <f t="shared" si="10"/>
        <v>80</v>
      </c>
      <c r="E80" s="33"/>
      <c r="F80" s="33">
        <f t="shared" si="11"/>
        <v>40</v>
      </c>
      <c r="J80" s="27"/>
      <c r="K80" s="27"/>
      <c r="L80" s="27"/>
      <c r="M80" s="27"/>
      <c r="N80" s="27"/>
      <c r="O80" s="35"/>
      <c r="P80" s="27"/>
      <c r="Q80" s="27"/>
      <c r="R80" s="25"/>
      <c r="S80" s="25"/>
      <c r="T80" s="25"/>
      <c r="U80" s="25"/>
      <c r="V80" s="25"/>
      <c r="W80" s="25"/>
      <c r="X80" s="25"/>
    </row>
    <row r="81" spans="1:24" x14ac:dyDescent="0.25">
      <c r="A81" s="33">
        <f t="shared" si="9"/>
        <v>30</v>
      </c>
      <c r="B81" s="33">
        <v>70</v>
      </c>
      <c r="C81" s="34">
        <v>0</v>
      </c>
      <c r="D81" s="33">
        <f t="shared" si="10"/>
        <v>85</v>
      </c>
      <c r="E81" s="33"/>
      <c r="F81" s="33">
        <f t="shared" si="11"/>
        <v>30</v>
      </c>
      <c r="J81" s="27"/>
      <c r="K81" s="27"/>
      <c r="L81" s="27"/>
      <c r="M81" s="27"/>
      <c r="N81" s="27"/>
      <c r="O81" s="35"/>
      <c r="P81" s="27"/>
      <c r="Q81" s="27"/>
      <c r="R81" s="25"/>
      <c r="S81" s="25"/>
      <c r="T81" s="25"/>
      <c r="U81" s="25"/>
      <c r="V81" s="25"/>
      <c r="W81" s="25"/>
      <c r="X81" s="25"/>
    </row>
    <row r="82" spans="1:24" x14ac:dyDescent="0.25">
      <c r="A82" s="33">
        <f t="shared" si="9"/>
        <v>20</v>
      </c>
      <c r="B82" s="33">
        <v>80</v>
      </c>
      <c r="C82" s="34">
        <v>0</v>
      </c>
      <c r="D82" s="33">
        <f t="shared" si="10"/>
        <v>90</v>
      </c>
      <c r="E82" s="33"/>
      <c r="F82" s="33">
        <f t="shared" si="11"/>
        <v>20</v>
      </c>
      <c r="J82" s="27"/>
      <c r="K82" s="27"/>
      <c r="L82" s="27"/>
      <c r="M82" s="27"/>
      <c r="N82" s="27"/>
      <c r="O82" s="35"/>
      <c r="P82" s="27"/>
      <c r="Q82" s="27"/>
      <c r="R82" s="25"/>
      <c r="S82" s="25"/>
      <c r="T82" s="25"/>
      <c r="U82" s="25"/>
      <c r="V82" s="25"/>
      <c r="W82" s="25"/>
      <c r="X82" s="25"/>
    </row>
    <row r="83" spans="1:24" x14ac:dyDescent="0.25">
      <c r="A83" s="33">
        <f t="shared" si="9"/>
        <v>10</v>
      </c>
      <c r="B83" s="33">
        <v>90</v>
      </c>
      <c r="C83" s="34">
        <v>0</v>
      </c>
      <c r="D83" s="33">
        <f t="shared" si="10"/>
        <v>95</v>
      </c>
      <c r="E83" s="33"/>
      <c r="F83" s="33">
        <f t="shared" si="11"/>
        <v>10</v>
      </c>
      <c r="J83" s="27"/>
      <c r="K83" s="27"/>
      <c r="L83" s="27"/>
      <c r="M83" s="27"/>
      <c r="N83" s="27"/>
      <c r="O83" s="35"/>
      <c r="P83" s="27"/>
      <c r="Q83" s="27"/>
      <c r="R83" s="25"/>
      <c r="S83" s="25"/>
      <c r="T83" s="25"/>
      <c r="U83" s="25"/>
      <c r="V83" s="25"/>
      <c r="W83" s="25"/>
      <c r="X83" s="25"/>
    </row>
    <row r="84" spans="1:24" x14ac:dyDescent="0.25">
      <c r="A84" s="33">
        <f t="shared" si="9"/>
        <v>0</v>
      </c>
      <c r="B84" s="33">
        <v>100</v>
      </c>
      <c r="C84" s="34">
        <v>0</v>
      </c>
      <c r="D84" s="33">
        <f t="shared" si="10"/>
        <v>100</v>
      </c>
      <c r="E84" s="33"/>
      <c r="F84" s="33">
        <f t="shared" si="11"/>
        <v>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/>
      <c r="B85" s="33"/>
      <c r="C85" s="34"/>
      <c r="D85" s="33"/>
      <c r="E85" s="33"/>
      <c r="F85" s="33"/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9"/>
        <v>100</v>
      </c>
      <c r="B86" s="33">
        <v>0</v>
      </c>
      <c r="C86" s="34">
        <v>0</v>
      </c>
      <c r="D86" s="33">
        <f t="shared" si="10"/>
        <v>50</v>
      </c>
      <c r="E86" s="33">
        <f>A86</f>
        <v>100</v>
      </c>
      <c r="F86" s="33">
        <f>100-E86</f>
        <v>0</v>
      </c>
      <c r="G86" s="22"/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9"/>
        <v>90</v>
      </c>
      <c r="B87" s="33">
        <v>0</v>
      </c>
      <c r="C87" s="34">
        <v>10</v>
      </c>
      <c r="D87" s="33">
        <f t="shared" si="10"/>
        <v>45</v>
      </c>
      <c r="E87" s="33">
        <f t="shared" ref="E87:E96" si="12">A87</f>
        <v>90</v>
      </c>
      <c r="F87" s="33">
        <f t="shared" ref="F87:F96" si="13">100-E87</f>
        <v>10</v>
      </c>
      <c r="G87" s="22"/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9"/>
        <v>80</v>
      </c>
      <c r="B88" s="33">
        <v>0</v>
      </c>
      <c r="C88" s="34">
        <v>20</v>
      </c>
      <c r="D88" s="33">
        <f t="shared" si="10"/>
        <v>40</v>
      </c>
      <c r="E88" s="33">
        <f t="shared" si="12"/>
        <v>80</v>
      </c>
      <c r="F88" s="33">
        <f t="shared" si="13"/>
        <v>20</v>
      </c>
      <c r="G88" s="22"/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>
        <f t="shared" si="9"/>
        <v>70</v>
      </c>
      <c r="B89" s="33">
        <v>0</v>
      </c>
      <c r="C89" s="34">
        <v>30</v>
      </c>
      <c r="D89" s="33">
        <f t="shared" si="10"/>
        <v>35</v>
      </c>
      <c r="E89" s="33">
        <f t="shared" si="12"/>
        <v>70</v>
      </c>
      <c r="F89" s="33">
        <f t="shared" si="13"/>
        <v>30</v>
      </c>
      <c r="G89" s="22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9"/>
        <v>60</v>
      </c>
      <c r="B90" s="33">
        <v>0</v>
      </c>
      <c r="C90" s="34">
        <v>40</v>
      </c>
      <c r="D90" s="33">
        <f t="shared" si="10"/>
        <v>30</v>
      </c>
      <c r="E90" s="33">
        <f t="shared" si="12"/>
        <v>60</v>
      </c>
      <c r="F90" s="33">
        <f t="shared" si="13"/>
        <v>40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9"/>
        <v>50</v>
      </c>
      <c r="B91" s="33">
        <v>0</v>
      </c>
      <c r="C91" s="34">
        <v>50</v>
      </c>
      <c r="D91" s="33">
        <f t="shared" si="10"/>
        <v>25</v>
      </c>
      <c r="E91" s="33">
        <f t="shared" si="12"/>
        <v>50</v>
      </c>
      <c r="F91" s="33">
        <f t="shared" si="13"/>
        <v>50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9"/>
        <v>40</v>
      </c>
      <c r="B92" s="33">
        <v>0</v>
      </c>
      <c r="C92" s="34">
        <v>60</v>
      </c>
      <c r="D92" s="33">
        <f t="shared" si="10"/>
        <v>20</v>
      </c>
      <c r="E92" s="33">
        <f t="shared" si="12"/>
        <v>40</v>
      </c>
      <c r="F92" s="33">
        <f t="shared" si="13"/>
        <v>60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9"/>
        <v>30</v>
      </c>
      <c r="B93" s="33">
        <v>0</v>
      </c>
      <c r="C93" s="34">
        <v>70</v>
      </c>
      <c r="D93" s="33">
        <f t="shared" si="10"/>
        <v>15</v>
      </c>
      <c r="E93" s="33">
        <f t="shared" si="12"/>
        <v>30</v>
      </c>
      <c r="F93" s="33">
        <f t="shared" si="13"/>
        <v>70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9"/>
        <v>20</v>
      </c>
      <c r="B94" s="33">
        <v>0</v>
      </c>
      <c r="C94" s="34">
        <v>80</v>
      </c>
      <c r="D94" s="33">
        <f t="shared" si="10"/>
        <v>10</v>
      </c>
      <c r="E94" s="33">
        <f t="shared" si="12"/>
        <v>20</v>
      </c>
      <c r="F94" s="33">
        <f t="shared" si="13"/>
        <v>80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9"/>
        <v>10</v>
      </c>
      <c r="B95" s="33">
        <v>0</v>
      </c>
      <c r="C95" s="34">
        <v>90</v>
      </c>
      <c r="D95" s="33">
        <f t="shared" si="10"/>
        <v>5</v>
      </c>
      <c r="E95" s="33">
        <f t="shared" si="12"/>
        <v>10</v>
      </c>
      <c r="F95" s="33">
        <f t="shared" si="13"/>
        <v>90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9"/>
        <v>0</v>
      </c>
      <c r="B96" s="33">
        <v>0</v>
      </c>
      <c r="C96" s="34">
        <v>100</v>
      </c>
      <c r="D96" s="33">
        <f t="shared" si="10"/>
        <v>0</v>
      </c>
      <c r="E96" s="33">
        <f t="shared" si="12"/>
        <v>0</v>
      </c>
      <c r="F96" s="33">
        <f t="shared" si="13"/>
        <v>100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/>
      <c r="B97" s="33"/>
      <c r="C97" s="34"/>
      <c r="D97" s="33"/>
      <c r="E97" s="33"/>
      <c r="F97" s="33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v>90</v>
      </c>
      <c r="B98" s="33">
        <v>10</v>
      </c>
      <c r="C98" s="34">
        <v>0</v>
      </c>
      <c r="D98" s="33">
        <f>0.5*A98+B98</f>
        <v>55</v>
      </c>
      <c r="E98" s="33"/>
      <c r="F98" s="33">
        <f>A98</f>
        <v>90</v>
      </c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v>90</v>
      </c>
      <c r="B99" s="33">
        <v>0</v>
      </c>
      <c r="C99" s="34">
        <v>10</v>
      </c>
      <c r="D99" s="33">
        <f>0.5*A99+B99</f>
        <v>45</v>
      </c>
      <c r="E99" s="33"/>
      <c r="F99" s="33">
        <f>A99</f>
        <v>90</v>
      </c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/>
      <c r="B100" s="33"/>
      <c r="C100" s="34"/>
      <c r="D100" s="33"/>
      <c r="E100" s="33"/>
      <c r="F100" s="33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>
        <v>80</v>
      </c>
      <c r="B101" s="33">
        <v>20</v>
      </c>
      <c r="C101" s="34">
        <v>0</v>
      </c>
      <c r="D101" s="33">
        <f>0.5*A101+B101</f>
        <v>60</v>
      </c>
      <c r="E101" s="33"/>
      <c r="F101" s="33">
        <f>A101</f>
        <v>80</v>
      </c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80</v>
      </c>
      <c r="B102" s="33">
        <v>0</v>
      </c>
      <c r="C102" s="34">
        <v>20</v>
      </c>
      <c r="D102" s="33">
        <f>0.5*A102+B102</f>
        <v>40</v>
      </c>
      <c r="E102" s="33"/>
      <c r="F102" s="33">
        <f>A102</f>
        <v>80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/>
      <c r="B103" s="33"/>
      <c r="C103" s="34"/>
      <c r="D103" s="33"/>
      <c r="E103" s="33"/>
      <c r="F103" s="33"/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>
        <v>70</v>
      </c>
      <c r="B104" s="33">
        <v>30</v>
      </c>
      <c r="C104" s="34">
        <v>0</v>
      </c>
      <c r="D104" s="33">
        <f>0.5*A104+B104</f>
        <v>65</v>
      </c>
      <c r="E104" s="33"/>
      <c r="F104" s="33">
        <f>A104</f>
        <v>70</v>
      </c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70</v>
      </c>
      <c r="B105" s="33">
        <v>0</v>
      </c>
      <c r="C105" s="34">
        <v>30</v>
      </c>
      <c r="D105" s="33">
        <f>0.5*A105+B105</f>
        <v>35</v>
      </c>
      <c r="E105" s="33"/>
      <c r="F105" s="33">
        <f>A105</f>
        <v>70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/>
      <c r="B106" s="33"/>
      <c r="C106" s="34"/>
      <c r="D106" s="33"/>
      <c r="E106" s="33"/>
      <c r="F106" s="33"/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>
        <v>60</v>
      </c>
      <c r="B107" s="33">
        <v>40</v>
      </c>
      <c r="C107" s="34">
        <v>0</v>
      </c>
      <c r="D107" s="33">
        <f>0.5*A107+B107</f>
        <v>70</v>
      </c>
      <c r="E107" s="33"/>
      <c r="F107" s="33">
        <f>A107</f>
        <v>60</v>
      </c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60</v>
      </c>
      <c r="B108" s="33">
        <v>0</v>
      </c>
      <c r="C108" s="34">
        <v>40</v>
      </c>
      <c r="D108" s="33">
        <f>0.5*A108+B108</f>
        <v>30</v>
      </c>
      <c r="E108" s="33"/>
      <c r="F108" s="33">
        <f>A108</f>
        <v>60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/>
      <c r="B109" s="33"/>
      <c r="C109" s="34"/>
      <c r="D109" s="33"/>
      <c r="E109" s="33"/>
      <c r="F109" s="33"/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>
        <v>50</v>
      </c>
      <c r="B110" s="33">
        <v>50</v>
      </c>
      <c r="C110" s="34">
        <v>0</v>
      </c>
      <c r="D110" s="33">
        <f>0.5*A110+B110</f>
        <v>75</v>
      </c>
      <c r="E110" s="33"/>
      <c r="F110" s="33">
        <f>A110</f>
        <v>50</v>
      </c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50</v>
      </c>
      <c r="B111" s="33">
        <v>0</v>
      </c>
      <c r="C111" s="34">
        <v>50</v>
      </c>
      <c r="D111" s="33">
        <f>0.5*A111+B111</f>
        <v>25</v>
      </c>
      <c r="E111" s="33"/>
      <c r="F111" s="33">
        <f>A111</f>
        <v>50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/>
      <c r="B112" s="33"/>
      <c r="C112" s="34"/>
      <c r="D112" s="33"/>
      <c r="E112" s="33"/>
      <c r="F112" s="33"/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>
        <v>40</v>
      </c>
      <c r="B113" s="33">
        <v>60</v>
      </c>
      <c r="C113" s="34">
        <v>0</v>
      </c>
      <c r="D113" s="33">
        <f>0.5*A113+B113</f>
        <v>80</v>
      </c>
      <c r="E113" s="33"/>
      <c r="F113" s="33">
        <f>A113</f>
        <v>40</v>
      </c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40</v>
      </c>
      <c r="B114" s="33">
        <v>0</v>
      </c>
      <c r="C114" s="34">
        <v>60</v>
      </c>
      <c r="D114" s="33">
        <f>0.5*A114+B114</f>
        <v>20</v>
      </c>
      <c r="E114" s="33"/>
      <c r="F114" s="33">
        <f>A114</f>
        <v>40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/>
      <c r="B115" s="33"/>
      <c r="C115" s="34"/>
      <c r="D115" s="33"/>
      <c r="E115" s="33"/>
      <c r="F115" s="33"/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>
        <v>30</v>
      </c>
      <c r="B116" s="33">
        <v>70</v>
      </c>
      <c r="C116" s="34">
        <v>0</v>
      </c>
      <c r="D116" s="33">
        <f>0.5*A116+B116</f>
        <v>85</v>
      </c>
      <c r="E116" s="33"/>
      <c r="F116" s="33">
        <f>A116</f>
        <v>30</v>
      </c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30</v>
      </c>
      <c r="B117" s="33">
        <v>0</v>
      </c>
      <c r="C117" s="34">
        <v>70</v>
      </c>
      <c r="D117" s="33">
        <f>0.5*A117+B117</f>
        <v>15</v>
      </c>
      <c r="E117" s="33"/>
      <c r="F117" s="33">
        <f>A117</f>
        <v>30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/>
      <c r="B118" s="33"/>
      <c r="C118" s="34"/>
      <c r="D118" s="33"/>
      <c r="E118" s="33"/>
      <c r="F118" s="33"/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>
        <v>20</v>
      </c>
      <c r="B119" s="33">
        <v>80</v>
      </c>
      <c r="C119" s="34">
        <v>0</v>
      </c>
      <c r="D119" s="33">
        <f>0.5*A119+B119</f>
        <v>90</v>
      </c>
      <c r="E119" s="33"/>
      <c r="F119" s="33">
        <f>A119</f>
        <v>20</v>
      </c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20</v>
      </c>
      <c r="B120" s="33">
        <v>0</v>
      </c>
      <c r="C120" s="34">
        <v>80</v>
      </c>
      <c r="D120" s="33">
        <f>0.5*A120+B120</f>
        <v>10</v>
      </c>
      <c r="E120" s="33"/>
      <c r="F120" s="33">
        <f>A120</f>
        <v>20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/>
      <c r="B121" s="33"/>
      <c r="C121" s="34"/>
      <c r="D121" s="33"/>
      <c r="E121" s="33"/>
      <c r="F121" s="33"/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>
        <v>10</v>
      </c>
      <c r="B122" s="33">
        <v>90</v>
      </c>
      <c r="C122" s="34">
        <v>0</v>
      </c>
      <c r="D122" s="33">
        <f>0.5*A122+B122</f>
        <v>95</v>
      </c>
      <c r="E122" s="33"/>
      <c r="F122" s="33">
        <f>A122</f>
        <v>10</v>
      </c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10</v>
      </c>
      <c r="B123" s="33">
        <v>0</v>
      </c>
      <c r="C123" s="34">
        <v>90</v>
      </c>
      <c r="D123" s="33">
        <f>0.5*A123+B123</f>
        <v>5</v>
      </c>
      <c r="E123" s="33"/>
      <c r="F123" s="33">
        <f>A123</f>
        <v>10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/>
      <c r="B124" s="33"/>
      <c r="C124" s="34"/>
      <c r="D124" s="33"/>
      <c r="E124" s="33"/>
      <c r="F124" s="33"/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>
        <v>10</v>
      </c>
      <c r="B125" s="33">
        <v>90</v>
      </c>
      <c r="C125" s="34">
        <v>0</v>
      </c>
      <c r="D125" s="33">
        <f>0.5*A125+B125</f>
        <v>95</v>
      </c>
      <c r="E125" s="33"/>
      <c r="F125" s="33">
        <f>A125</f>
        <v>10</v>
      </c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0</v>
      </c>
      <c r="B126" s="33">
        <v>90</v>
      </c>
      <c r="C126" s="34">
        <v>10</v>
      </c>
      <c r="D126" s="33">
        <f>0.5*A126+B126</f>
        <v>90</v>
      </c>
      <c r="E126" s="33"/>
      <c r="F126" s="33">
        <f>A126</f>
        <v>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/>
      <c r="B127" s="33"/>
      <c r="C127" s="34"/>
      <c r="D127" s="33"/>
      <c r="E127" s="33"/>
      <c r="F127" s="33"/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>
        <v>20</v>
      </c>
      <c r="B128" s="33">
        <v>80</v>
      </c>
      <c r="C128" s="34">
        <v>0</v>
      </c>
      <c r="D128" s="33">
        <f>0.5*A128+B128</f>
        <v>90</v>
      </c>
      <c r="E128" s="33"/>
      <c r="F128" s="33">
        <f>A128</f>
        <v>20</v>
      </c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0</v>
      </c>
      <c r="B129" s="33">
        <v>80</v>
      </c>
      <c r="C129" s="34">
        <v>20</v>
      </c>
      <c r="D129" s="33">
        <f>0.5*A129+B129</f>
        <v>80</v>
      </c>
      <c r="E129" s="33"/>
      <c r="F129" s="33">
        <f>A129</f>
        <v>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/>
      <c r="B130" s="33"/>
      <c r="C130" s="34"/>
      <c r="D130" s="33"/>
      <c r="E130" s="33"/>
      <c r="F130" s="33"/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>
        <v>30</v>
      </c>
      <c r="B131" s="33">
        <v>70</v>
      </c>
      <c r="C131" s="34">
        <v>0</v>
      </c>
      <c r="D131" s="33">
        <f>0.5*A131+B131</f>
        <v>85</v>
      </c>
      <c r="E131" s="33"/>
      <c r="F131" s="33">
        <f>A131</f>
        <v>30</v>
      </c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0</v>
      </c>
      <c r="B132" s="33">
        <v>70</v>
      </c>
      <c r="C132" s="34">
        <v>30</v>
      </c>
      <c r="D132" s="33">
        <f>0.5*A132+B132</f>
        <v>70</v>
      </c>
      <c r="E132" s="33"/>
      <c r="F132" s="33">
        <f>A132</f>
        <v>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/>
      <c r="B133" s="33"/>
      <c r="C133" s="34"/>
      <c r="D133" s="33"/>
      <c r="E133" s="33"/>
      <c r="F133" s="33"/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>
        <v>40</v>
      </c>
      <c r="B134" s="33">
        <v>60</v>
      </c>
      <c r="C134" s="34">
        <v>0</v>
      </c>
      <c r="D134" s="33">
        <f>0.5*A134+B134</f>
        <v>80</v>
      </c>
      <c r="E134" s="33"/>
      <c r="F134" s="33">
        <f>A134</f>
        <v>40</v>
      </c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0</v>
      </c>
      <c r="B135" s="33">
        <v>60</v>
      </c>
      <c r="C135" s="34">
        <v>40</v>
      </c>
      <c r="D135" s="33">
        <f>0.5*A135+B135</f>
        <v>60</v>
      </c>
      <c r="E135" s="33"/>
      <c r="F135" s="33">
        <f>A135</f>
        <v>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/>
      <c r="B136" s="33"/>
      <c r="C136" s="34"/>
      <c r="D136" s="33"/>
      <c r="E136" s="33"/>
      <c r="F136" s="33"/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>
        <v>50</v>
      </c>
      <c r="B137" s="33">
        <v>50</v>
      </c>
      <c r="C137" s="34">
        <v>0</v>
      </c>
      <c r="D137" s="33">
        <f>0.5*A137+B137</f>
        <v>75</v>
      </c>
      <c r="E137" s="33"/>
      <c r="F137" s="33">
        <f>A137</f>
        <v>50</v>
      </c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0</v>
      </c>
      <c r="B138" s="33">
        <v>50</v>
      </c>
      <c r="C138" s="34">
        <v>50</v>
      </c>
      <c r="D138" s="33">
        <f>0.5*A138+B138</f>
        <v>50</v>
      </c>
      <c r="E138" s="33"/>
      <c r="F138" s="33">
        <f>A138</f>
        <v>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/>
      <c r="B139" s="33"/>
      <c r="C139" s="34"/>
      <c r="D139" s="33"/>
      <c r="E139" s="33"/>
      <c r="F139" s="33"/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>
        <v>60</v>
      </c>
      <c r="B140" s="33">
        <v>40</v>
      </c>
      <c r="C140" s="34">
        <v>0</v>
      </c>
      <c r="D140" s="33">
        <f>0.5*A140+B140</f>
        <v>70</v>
      </c>
      <c r="E140" s="33"/>
      <c r="F140" s="33">
        <f>A140</f>
        <v>60</v>
      </c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0</v>
      </c>
      <c r="B141" s="33">
        <v>40</v>
      </c>
      <c r="C141" s="34">
        <v>60</v>
      </c>
      <c r="D141" s="33">
        <f>0.5*A141+B141</f>
        <v>40</v>
      </c>
      <c r="E141" s="33"/>
      <c r="F141" s="33">
        <f>A141</f>
        <v>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/>
      <c r="B142" s="33"/>
      <c r="C142" s="34"/>
      <c r="D142" s="33"/>
      <c r="E142" s="33"/>
      <c r="F142" s="33"/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>
        <v>70</v>
      </c>
      <c r="B143" s="33">
        <v>30</v>
      </c>
      <c r="C143" s="34">
        <v>0</v>
      </c>
      <c r="D143" s="33">
        <f>0.5*A143+B143</f>
        <v>65</v>
      </c>
      <c r="E143" s="33"/>
      <c r="F143" s="33">
        <f>A143</f>
        <v>70</v>
      </c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0</v>
      </c>
      <c r="B144" s="33">
        <v>30</v>
      </c>
      <c r="C144" s="34">
        <v>70</v>
      </c>
      <c r="D144" s="33">
        <f>0.5*A144+B144</f>
        <v>30</v>
      </c>
      <c r="E144" s="33"/>
      <c r="F144" s="33">
        <f>A144</f>
        <v>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/>
      <c r="B145" s="33"/>
      <c r="C145" s="34"/>
      <c r="D145" s="33"/>
      <c r="E145" s="33"/>
      <c r="F145" s="33"/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>
        <v>80</v>
      </c>
      <c r="B146" s="33">
        <v>20</v>
      </c>
      <c r="C146" s="34">
        <v>0</v>
      </c>
      <c r="D146" s="33">
        <f>0.5*A146+B146</f>
        <v>60</v>
      </c>
      <c r="E146" s="33"/>
      <c r="F146" s="33">
        <f>A146</f>
        <v>80</v>
      </c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0</v>
      </c>
      <c r="B147" s="33">
        <v>20</v>
      </c>
      <c r="C147" s="34">
        <v>80</v>
      </c>
      <c r="D147" s="33">
        <f>0.5*A147+B147</f>
        <v>20</v>
      </c>
      <c r="E147" s="33"/>
      <c r="F147" s="33">
        <f>A147</f>
        <v>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/>
      <c r="B148" s="33"/>
      <c r="C148" s="34"/>
      <c r="D148" s="33"/>
      <c r="E148" s="33"/>
      <c r="F148" s="33"/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>
        <v>90</v>
      </c>
      <c r="B149" s="33">
        <v>10</v>
      </c>
      <c r="C149" s="34">
        <v>0</v>
      </c>
      <c r="D149" s="33">
        <f>0.5*A149+B149</f>
        <v>55</v>
      </c>
      <c r="E149" s="33"/>
      <c r="F149" s="33">
        <f>A149</f>
        <v>90</v>
      </c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0</v>
      </c>
      <c r="B150" s="33">
        <v>10</v>
      </c>
      <c r="C150" s="34">
        <v>90</v>
      </c>
      <c r="D150" s="33">
        <f>0.5*A150+B150</f>
        <v>10</v>
      </c>
      <c r="E150" s="33"/>
      <c r="F150" s="33">
        <f>A150</f>
        <v>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/>
      <c r="B151" s="33"/>
      <c r="C151" s="34"/>
      <c r="D151" s="33"/>
      <c r="E151" s="33"/>
      <c r="F151" s="33"/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>
        <v>10</v>
      </c>
      <c r="B152" s="33">
        <v>0</v>
      </c>
      <c r="C152" s="34">
        <v>90</v>
      </c>
      <c r="D152" s="33">
        <f>0.5*A152+B152</f>
        <v>5</v>
      </c>
      <c r="E152" s="33"/>
      <c r="F152" s="33">
        <f>A152</f>
        <v>10</v>
      </c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0</v>
      </c>
      <c r="B153" s="33">
        <v>10</v>
      </c>
      <c r="C153" s="34">
        <v>90</v>
      </c>
      <c r="D153" s="33">
        <f>0.5*A153+B153</f>
        <v>10</v>
      </c>
      <c r="E153" s="33"/>
      <c r="F153" s="33">
        <f>A153</f>
        <v>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/>
      <c r="B154" s="33"/>
      <c r="C154" s="34"/>
      <c r="D154" s="33"/>
      <c r="E154" s="33"/>
      <c r="F154" s="33"/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>
        <v>20</v>
      </c>
      <c r="B155" s="33">
        <v>0</v>
      </c>
      <c r="C155" s="34">
        <v>80</v>
      </c>
      <c r="D155" s="33">
        <f>0.5*A155+B155</f>
        <v>10</v>
      </c>
      <c r="E155" s="33"/>
      <c r="F155" s="33">
        <f>A155</f>
        <v>20</v>
      </c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0</v>
      </c>
      <c r="B156" s="33">
        <v>20</v>
      </c>
      <c r="C156" s="34">
        <v>80</v>
      </c>
      <c r="D156" s="33">
        <f>0.5*A156+B156</f>
        <v>20</v>
      </c>
      <c r="E156" s="33"/>
      <c r="F156" s="33">
        <f>A156</f>
        <v>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/>
      <c r="B157" s="33"/>
      <c r="C157" s="34"/>
      <c r="D157" s="33"/>
      <c r="E157" s="33"/>
      <c r="F157" s="33"/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>
        <v>30</v>
      </c>
      <c r="B158" s="33">
        <v>0</v>
      </c>
      <c r="C158" s="34">
        <v>70</v>
      </c>
      <c r="D158" s="33">
        <f>0.5*A158+B158</f>
        <v>15</v>
      </c>
      <c r="E158" s="33"/>
      <c r="F158" s="33">
        <f>A158</f>
        <v>30</v>
      </c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0</v>
      </c>
      <c r="B159" s="33">
        <v>30</v>
      </c>
      <c r="C159" s="34">
        <v>70</v>
      </c>
      <c r="D159" s="33">
        <f>0.5*A159+B159</f>
        <v>30</v>
      </c>
      <c r="E159" s="33"/>
      <c r="F159" s="33">
        <f>A159</f>
        <v>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/>
      <c r="B160" s="33"/>
      <c r="C160" s="34"/>
      <c r="D160" s="33"/>
      <c r="E160" s="33"/>
      <c r="F160" s="33"/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>
        <v>40</v>
      </c>
      <c r="B161" s="33">
        <v>0</v>
      </c>
      <c r="C161" s="34">
        <v>60</v>
      </c>
      <c r="D161" s="33">
        <f>0.5*A161+B161</f>
        <v>20</v>
      </c>
      <c r="E161" s="33"/>
      <c r="F161" s="33">
        <f>A161</f>
        <v>40</v>
      </c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0</v>
      </c>
      <c r="B162" s="33">
        <v>40</v>
      </c>
      <c r="C162" s="34">
        <v>60</v>
      </c>
      <c r="D162" s="33">
        <f>0.5*A162+B162</f>
        <v>40</v>
      </c>
      <c r="E162" s="33"/>
      <c r="F162" s="33">
        <f>A162</f>
        <v>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/>
      <c r="B163" s="33"/>
      <c r="C163" s="34"/>
      <c r="D163" s="33"/>
      <c r="E163" s="33"/>
      <c r="F163" s="33"/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>
        <v>50</v>
      </c>
      <c r="B164" s="33">
        <v>0</v>
      </c>
      <c r="C164" s="34">
        <v>50</v>
      </c>
      <c r="D164" s="33">
        <f>0.5*A164+B164</f>
        <v>25</v>
      </c>
      <c r="E164" s="33"/>
      <c r="F164" s="33">
        <f>A164</f>
        <v>50</v>
      </c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0</v>
      </c>
      <c r="B165" s="33">
        <v>50</v>
      </c>
      <c r="C165" s="34">
        <v>50</v>
      </c>
      <c r="D165" s="33">
        <f>0.5*A165+B165</f>
        <v>50</v>
      </c>
      <c r="E165" s="33"/>
      <c r="F165" s="33">
        <f>A165</f>
        <v>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/>
      <c r="B166" s="33"/>
      <c r="C166" s="34"/>
      <c r="D166" s="33"/>
      <c r="E166" s="33"/>
      <c r="F166" s="33"/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>
        <v>60</v>
      </c>
      <c r="B167" s="33">
        <v>0</v>
      </c>
      <c r="C167" s="34">
        <v>40</v>
      </c>
      <c r="D167" s="33">
        <f>0.5*A167+B167</f>
        <v>30</v>
      </c>
      <c r="E167" s="33"/>
      <c r="F167" s="33">
        <f>A167</f>
        <v>60</v>
      </c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0</v>
      </c>
      <c r="B168" s="33">
        <v>60</v>
      </c>
      <c r="C168" s="34">
        <v>40</v>
      </c>
      <c r="D168" s="33">
        <f>0.5*A168+B168</f>
        <v>60</v>
      </c>
      <c r="E168" s="33"/>
      <c r="F168" s="33">
        <f>A168</f>
        <v>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/>
      <c r="B169" s="33"/>
      <c r="C169" s="34"/>
      <c r="D169" s="33"/>
      <c r="E169" s="33"/>
      <c r="F169" s="33"/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>
        <v>70</v>
      </c>
      <c r="B170" s="33">
        <v>0</v>
      </c>
      <c r="C170" s="34">
        <v>30</v>
      </c>
      <c r="D170" s="33">
        <f>0.5*A170+B170</f>
        <v>35</v>
      </c>
      <c r="E170" s="33"/>
      <c r="F170" s="33">
        <f>A170</f>
        <v>70</v>
      </c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0</v>
      </c>
      <c r="B171" s="33">
        <v>70</v>
      </c>
      <c r="C171" s="34">
        <v>30</v>
      </c>
      <c r="D171" s="33">
        <f>0.5*A171+B171</f>
        <v>70</v>
      </c>
      <c r="E171" s="33"/>
      <c r="F171" s="33">
        <f>A171</f>
        <v>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/>
      <c r="B172" s="33"/>
      <c r="C172" s="34"/>
      <c r="D172" s="33"/>
      <c r="E172" s="33"/>
      <c r="F172" s="33"/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>
        <v>80</v>
      </c>
      <c r="B173" s="33">
        <v>0</v>
      </c>
      <c r="C173" s="34">
        <v>20</v>
      </c>
      <c r="D173" s="33">
        <f>0.5*A173+B173</f>
        <v>40</v>
      </c>
      <c r="E173" s="33"/>
      <c r="F173" s="33">
        <f>A173</f>
        <v>80</v>
      </c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0</v>
      </c>
      <c r="B174" s="33">
        <v>80</v>
      </c>
      <c r="C174" s="34">
        <v>20</v>
      </c>
      <c r="D174" s="33">
        <f>0.5*A174+B174</f>
        <v>80</v>
      </c>
      <c r="E174" s="33"/>
      <c r="F174" s="33">
        <f>A174</f>
        <v>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/>
      <c r="B175" s="33"/>
      <c r="C175" s="34"/>
      <c r="D175" s="33"/>
      <c r="E175" s="33"/>
      <c r="F175" s="33"/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>
        <v>90</v>
      </c>
      <c r="B176" s="33">
        <v>0</v>
      </c>
      <c r="C176" s="34">
        <v>10</v>
      </c>
      <c r="D176" s="33">
        <f>0.5*A176+B176</f>
        <v>45</v>
      </c>
      <c r="E176" s="33"/>
      <c r="F176" s="33">
        <f>A176</f>
        <v>90</v>
      </c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0</v>
      </c>
      <c r="B177" s="33">
        <v>90</v>
      </c>
      <c r="C177" s="34">
        <v>10</v>
      </c>
      <c r="D177" s="33">
        <f>0.5*A177+B177</f>
        <v>90</v>
      </c>
      <c r="E177" s="33"/>
      <c r="F177" s="33">
        <f>A177</f>
        <v>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</row>
    <row r="179" spans="1:24" x14ac:dyDescent="0.25">
      <c r="P179" s="27"/>
      <c r="Q179" s="27"/>
      <c r="R179" s="25"/>
      <c r="S179" s="25"/>
      <c r="T179" s="25"/>
    </row>
    <row r="180" spans="1:24" x14ac:dyDescent="0.25">
      <c r="P180" s="27"/>
      <c r="Q180" s="27"/>
      <c r="R180" s="25"/>
      <c r="S180" s="25"/>
      <c r="T180" s="25"/>
    </row>
    <row r="181" spans="1:24" x14ac:dyDescent="0.25">
      <c r="P181" s="27"/>
      <c r="Q181" s="27"/>
      <c r="R181" s="25"/>
      <c r="S181" s="25"/>
      <c r="T181" s="25"/>
    </row>
    <row r="182" spans="1:24" x14ac:dyDescent="0.25">
      <c r="R182" s="25"/>
      <c r="S182" s="25"/>
      <c r="T182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13" si="0">0.5*S4+Q4</f>
        <v>55</v>
      </c>
      <c r="O4" s="27">
        <f t="shared" ref="O4:O13" si="1">S4</f>
        <v>90</v>
      </c>
      <c r="Q4" s="24">
        <v>10</v>
      </c>
      <c r="R4" s="24">
        <v>0</v>
      </c>
      <c r="S4" s="24">
        <v>90</v>
      </c>
      <c r="U4" s="25"/>
      <c r="AB4" s="25"/>
      <c r="AC4" s="26">
        <f>Q4/100</f>
        <v>0.1</v>
      </c>
      <c r="AD4" s="26">
        <f t="shared" ref="AD4:AE13" si="2">R4/100</f>
        <v>0</v>
      </c>
      <c r="AE4" s="26">
        <f t="shared" si="2"/>
        <v>0.9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50</v>
      </c>
      <c r="O5" s="27">
        <f t="shared" si="1"/>
        <v>80</v>
      </c>
      <c r="Q5" s="24">
        <v>10</v>
      </c>
      <c r="R5" s="24">
        <v>10</v>
      </c>
      <c r="S5" s="24">
        <v>80</v>
      </c>
      <c r="U5" s="25"/>
      <c r="AC5" s="26">
        <f t="shared" ref="AC5:AC13" si="3">Q5/100</f>
        <v>0.1</v>
      </c>
      <c r="AD5" s="26">
        <f t="shared" si="2"/>
        <v>0.1</v>
      </c>
      <c r="AE5" s="26">
        <f t="shared" si="2"/>
        <v>0.8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45</v>
      </c>
      <c r="O6" s="27">
        <f t="shared" si="1"/>
        <v>70</v>
      </c>
      <c r="Q6" s="24">
        <v>10</v>
      </c>
      <c r="R6" s="24">
        <v>20</v>
      </c>
      <c r="S6" s="24">
        <v>70</v>
      </c>
      <c r="U6" s="25"/>
      <c r="AC6" s="26">
        <f t="shared" si="3"/>
        <v>0.1</v>
      </c>
      <c r="AD6" s="26">
        <f t="shared" si="2"/>
        <v>0.2</v>
      </c>
      <c r="AE6" s="26">
        <f t="shared" si="2"/>
        <v>0.7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40</v>
      </c>
      <c r="O7" s="27">
        <f t="shared" si="1"/>
        <v>60</v>
      </c>
      <c r="Q7" s="24">
        <v>10</v>
      </c>
      <c r="R7" s="24">
        <v>30</v>
      </c>
      <c r="S7" s="24">
        <v>60</v>
      </c>
      <c r="U7" s="25"/>
      <c r="AC7" s="26">
        <f t="shared" si="3"/>
        <v>0.1</v>
      </c>
      <c r="AD7" s="26">
        <f t="shared" si="2"/>
        <v>0.3</v>
      </c>
      <c r="AE7" s="26">
        <f t="shared" si="2"/>
        <v>0.6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35</v>
      </c>
      <c r="O8" s="27">
        <f t="shared" si="1"/>
        <v>50</v>
      </c>
      <c r="Q8" s="24">
        <v>10</v>
      </c>
      <c r="R8" s="24">
        <v>40</v>
      </c>
      <c r="S8" s="24">
        <v>50</v>
      </c>
      <c r="U8" s="25"/>
      <c r="AC8" s="26">
        <f t="shared" si="3"/>
        <v>0.1</v>
      </c>
      <c r="AD8" s="26">
        <f t="shared" si="2"/>
        <v>0.4</v>
      </c>
      <c r="AE8" s="26">
        <f t="shared" si="2"/>
        <v>0.5</v>
      </c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>
        <f t="shared" si="0"/>
        <v>30</v>
      </c>
      <c r="O9" s="27">
        <f t="shared" si="1"/>
        <v>40</v>
      </c>
      <c r="Q9" s="24">
        <v>10</v>
      </c>
      <c r="R9" s="24">
        <v>50</v>
      </c>
      <c r="S9" s="24">
        <v>40</v>
      </c>
      <c r="U9" s="25"/>
      <c r="AC9" s="26">
        <f t="shared" si="3"/>
        <v>0.1</v>
      </c>
      <c r="AD9" s="26">
        <f t="shared" si="2"/>
        <v>0.5</v>
      </c>
      <c r="AE9" s="26">
        <f t="shared" si="2"/>
        <v>0.4</v>
      </c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>
        <f t="shared" si="0"/>
        <v>25</v>
      </c>
      <c r="O10" s="27">
        <f t="shared" si="1"/>
        <v>30</v>
      </c>
      <c r="Q10" s="24">
        <v>10</v>
      </c>
      <c r="R10" s="24">
        <v>60</v>
      </c>
      <c r="S10" s="24">
        <v>30</v>
      </c>
      <c r="U10" s="25"/>
      <c r="AC10" s="26">
        <f t="shared" si="3"/>
        <v>0.1</v>
      </c>
      <c r="AD10" s="26">
        <f t="shared" si="2"/>
        <v>0.6</v>
      </c>
      <c r="AE10" s="26">
        <f t="shared" si="2"/>
        <v>0.3</v>
      </c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>
        <f t="shared" si="0"/>
        <v>20</v>
      </c>
      <c r="O11" s="27">
        <f t="shared" si="1"/>
        <v>20</v>
      </c>
      <c r="Q11" s="24">
        <v>10</v>
      </c>
      <c r="R11" s="24">
        <v>70</v>
      </c>
      <c r="S11" s="24">
        <v>20</v>
      </c>
      <c r="U11" s="25"/>
      <c r="AC11" s="26">
        <f t="shared" si="3"/>
        <v>0.1</v>
      </c>
      <c r="AD11" s="26">
        <f t="shared" si="2"/>
        <v>0.7</v>
      </c>
      <c r="AE11" s="26">
        <f t="shared" si="2"/>
        <v>0.2</v>
      </c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>
        <f t="shared" si="0"/>
        <v>15</v>
      </c>
      <c r="O12" s="27">
        <f t="shared" si="1"/>
        <v>10</v>
      </c>
      <c r="Q12" s="24">
        <v>10</v>
      </c>
      <c r="R12" s="24">
        <v>80</v>
      </c>
      <c r="S12" s="24">
        <v>10</v>
      </c>
      <c r="U12" s="25"/>
      <c r="AC12" s="26">
        <f t="shared" si="3"/>
        <v>0.1</v>
      </c>
      <c r="AD12" s="26">
        <f t="shared" si="2"/>
        <v>0.8</v>
      </c>
      <c r="AE12" s="26">
        <f t="shared" si="2"/>
        <v>0.1</v>
      </c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>
        <f t="shared" si="0"/>
        <v>10</v>
      </c>
      <c r="O13" s="27">
        <f t="shared" si="1"/>
        <v>0</v>
      </c>
      <c r="Q13" s="24">
        <v>10</v>
      </c>
      <c r="R13" s="24">
        <v>90</v>
      </c>
      <c r="S13" s="24">
        <v>0</v>
      </c>
      <c r="U13" s="25"/>
      <c r="AC13" s="26">
        <f t="shared" si="3"/>
        <v>0.1</v>
      </c>
      <c r="AD13" s="26">
        <f t="shared" si="2"/>
        <v>0.9</v>
      </c>
      <c r="AE13" s="26">
        <f t="shared" si="2"/>
        <v>0</v>
      </c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24" si="4">0.5*S15+Q15</f>
        <v>88.803035817334376</v>
      </c>
      <c r="O15" s="27">
        <f t="shared" ref="O15:O24" si="5">S15</f>
        <v>22.393928365331249</v>
      </c>
      <c r="Q15" s="24">
        <f>'VLE Calculation - NRTL'!AI16*100</f>
        <v>77.606071634668751</v>
      </c>
      <c r="R15" s="24">
        <f>'VLE Calculation - NRTL'!AJ16*100</f>
        <v>0</v>
      </c>
      <c r="S15" s="24">
        <f>'VLE Calculation - NRTL'!AK16*100</f>
        <v>22.393928365331249</v>
      </c>
      <c r="U15" s="25"/>
      <c r="AB15" s="25"/>
      <c r="AC15" s="26">
        <f>Q15/100</f>
        <v>0.7760607163466875</v>
      </c>
      <c r="AD15" s="26">
        <f t="shared" ref="AD15:AE24" si="6">R15/100</f>
        <v>0</v>
      </c>
      <c r="AE15" s="26">
        <f t="shared" si="6"/>
        <v>0.22393928365331248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4"/>
        <v>75.86016143937178</v>
      </c>
      <c r="O16" s="27">
        <f t="shared" si="5"/>
        <v>25.772794573587234</v>
      </c>
      <c r="Q16" s="24">
        <f>'VLE Calculation - NRTL'!AI17*100</f>
        <v>62.97376415257817</v>
      </c>
      <c r="R16" s="24">
        <f>'VLE Calculation - NRTL'!AJ17*100</f>
        <v>11.253441273834589</v>
      </c>
      <c r="S16" s="24">
        <f>'VLE Calculation - NRTL'!AK17*100</f>
        <v>25.772794573587234</v>
      </c>
      <c r="U16" s="25"/>
      <c r="AC16" s="26">
        <f t="shared" ref="AC16:AC24" si="7">Q16/100</f>
        <v>0.62973764152578171</v>
      </c>
      <c r="AD16" s="26">
        <f t="shared" si="6"/>
        <v>0.1125344127383459</v>
      </c>
      <c r="AE16" s="26">
        <f t="shared" si="6"/>
        <v>0.25772794573587232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4"/>
        <v>62.659417815898848</v>
      </c>
      <c r="O17" s="27">
        <f t="shared" si="5"/>
        <v>24.823820680064639</v>
      </c>
      <c r="Q17" s="24">
        <f>'VLE Calculation - NRTL'!AI18*100</f>
        <v>50.247507475866527</v>
      </c>
      <c r="R17" s="24">
        <f>'VLE Calculation - NRTL'!AJ18*100</f>
        <v>24.92867184406883</v>
      </c>
      <c r="S17" s="24">
        <f>'VLE Calculation - NRTL'!AK18*100</f>
        <v>24.823820680064639</v>
      </c>
      <c r="U17" s="25"/>
      <c r="AC17" s="26">
        <f t="shared" si="7"/>
        <v>0.50247507475866526</v>
      </c>
      <c r="AD17" s="26">
        <f t="shared" si="6"/>
        <v>0.24928671844068831</v>
      </c>
      <c r="AE17" s="26">
        <f t="shared" si="6"/>
        <v>0.2482382068006464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4"/>
        <v>51.317083382591612</v>
      </c>
      <c r="O18" s="27">
        <f t="shared" si="5"/>
        <v>21.715566512607548</v>
      </c>
      <c r="Q18" s="24">
        <f>'VLE Calculation - NRTL'!AI19*100</f>
        <v>40.459300126287836</v>
      </c>
      <c r="R18" s="24">
        <f>'VLE Calculation - NRTL'!AJ19*100</f>
        <v>37.825133361104619</v>
      </c>
      <c r="S18" s="24">
        <f>'VLE Calculation - NRTL'!AK19*100</f>
        <v>21.715566512607548</v>
      </c>
      <c r="U18" s="25"/>
      <c r="AC18" s="26">
        <f t="shared" si="7"/>
        <v>0.40459300126287834</v>
      </c>
      <c r="AD18" s="26">
        <f t="shared" si="6"/>
        <v>0.37825133361104618</v>
      </c>
      <c r="AE18" s="26">
        <f t="shared" si="6"/>
        <v>0.21715566512607548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4"/>
        <v>42.196393996503502</v>
      </c>
      <c r="O19" s="27">
        <f t="shared" si="5"/>
        <v>17.860575824268064</v>
      </c>
      <c r="Q19" s="24">
        <f>'VLE Calculation - NRTL'!AI20*100</f>
        <v>33.266106084369468</v>
      </c>
      <c r="R19" s="24">
        <f>'VLE Calculation - NRTL'!AJ20*100</f>
        <v>48.873318091362471</v>
      </c>
      <c r="S19" s="24">
        <f>'VLE Calculation - NRTL'!AK20*100</f>
        <v>17.860575824268064</v>
      </c>
      <c r="U19" s="25"/>
      <c r="AC19" s="26">
        <f t="shared" si="7"/>
        <v>0.33266106084369468</v>
      </c>
      <c r="AD19" s="26">
        <f t="shared" si="6"/>
        <v>0.48873318091362472</v>
      </c>
      <c r="AE19" s="26">
        <f t="shared" si="6"/>
        <v>0.17860575824268066</v>
      </c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>
        <f t="shared" si="4"/>
        <v>34.982935610022096</v>
      </c>
      <c r="O20" s="27">
        <f t="shared" si="5"/>
        <v>13.916038557501833</v>
      </c>
      <c r="Q20" s="24">
        <f>'VLE Calculation - NRTL'!AI21*100</f>
        <v>28.024916331271182</v>
      </c>
      <c r="R20" s="24">
        <f>'VLE Calculation - NRTL'!AJ21*100</f>
        <v>58.059045111226993</v>
      </c>
      <c r="S20" s="24">
        <f>'VLE Calculation - NRTL'!AK21*100</f>
        <v>13.916038557501833</v>
      </c>
      <c r="U20" s="25"/>
      <c r="AC20" s="26">
        <f t="shared" si="7"/>
        <v>0.28024916331271182</v>
      </c>
      <c r="AD20" s="26">
        <f t="shared" si="6"/>
        <v>0.58059045111226992</v>
      </c>
      <c r="AE20" s="26">
        <f t="shared" si="6"/>
        <v>0.13916038557501834</v>
      </c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>
        <f t="shared" si="4"/>
        <v>29.23698736633083</v>
      </c>
      <c r="O21" s="27">
        <f t="shared" si="5"/>
        <v>10.126455696134819</v>
      </c>
      <c r="Q21" s="24">
        <f>'VLE Calculation - NRTL'!AI22*100</f>
        <v>24.17375951826342</v>
      </c>
      <c r="R21" s="24">
        <f>'VLE Calculation - NRTL'!AJ22*100</f>
        <v>65.699784785601764</v>
      </c>
      <c r="S21" s="24">
        <f>'VLE Calculation - NRTL'!AK22*100</f>
        <v>10.126455696134819</v>
      </c>
      <c r="U21" s="25"/>
      <c r="AC21" s="26">
        <f t="shared" si="7"/>
        <v>0.24173759518263421</v>
      </c>
      <c r="AD21" s="26">
        <f t="shared" si="6"/>
        <v>0.65699784785601767</v>
      </c>
      <c r="AE21" s="26">
        <f t="shared" si="6"/>
        <v>0.10126455696134819</v>
      </c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>
        <f t="shared" si="4"/>
        <v>24.576247936991919</v>
      </c>
      <c r="O22" s="27">
        <f t="shared" si="5"/>
        <v>6.5534201292806848</v>
      </c>
      <c r="Q22" s="24">
        <f>'VLE Calculation - NRTL'!AI23*100</f>
        <v>21.299537872351578</v>
      </c>
      <c r="R22" s="24">
        <f>'VLE Calculation - NRTL'!AJ23*100</f>
        <v>72.14704199836774</v>
      </c>
      <c r="S22" s="24">
        <f>'VLE Calculation - NRTL'!AK23*100</f>
        <v>6.5534201292806848</v>
      </c>
      <c r="U22" s="25"/>
      <c r="AC22" s="26">
        <f t="shared" si="7"/>
        <v>0.21299537872351579</v>
      </c>
      <c r="AD22" s="26">
        <f t="shared" si="6"/>
        <v>0.72147041998367745</v>
      </c>
      <c r="AE22" s="26">
        <f t="shared" si="6"/>
        <v>6.5534201292806848E-2</v>
      </c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>
        <f t="shared" si="4"/>
        <v>20.709378223111639</v>
      </c>
      <c r="O23" s="27">
        <f t="shared" si="5"/>
        <v>3.1881408669262958</v>
      </c>
      <c r="Q23" s="24">
        <f>'VLE Calculation - NRTL'!AI24*100</f>
        <v>19.11530778964849</v>
      </c>
      <c r="R23" s="24">
        <f>'VLE Calculation - NRTL'!AJ24*100</f>
        <v>77.696551343425213</v>
      </c>
      <c r="S23" s="24">
        <f>'VLE Calculation - NRTL'!AK24*100</f>
        <v>3.1881408669262958</v>
      </c>
      <c r="U23" s="25"/>
      <c r="AC23" s="26">
        <f t="shared" si="7"/>
        <v>0.19115307789648489</v>
      </c>
      <c r="AD23" s="26">
        <f t="shared" si="6"/>
        <v>0.77696551343425213</v>
      </c>
      <c r="AE23" s="26">
        <f t="shared" si="6"/>
        <v>3.1881408669262958E-2</v>
      </c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>
        <f t="shared" si="4"/>
        <v>17.424547282373204</v>
      </c>
      <c r="O24" s="27">
        <f t="shared" si="5"/>
        <v>0</v>
      </c>
      <c r="Q24" s="24">
        <f>'VLE Calculation - NRTL'!AI25*100</f>
        <v>17.424547282373204</v>
      </c>
      <c r="R24" s="24">
        <f>'VLE Calculation - NRTL'!AJ25*100</f>
        <v>82.575452717626803</v>
      </c>
      <c r="S24" s="24">
        <f>'VLE Calculation - NRTL'!AK25*100</f>
        <v>0</v>
      </c>
      <c r="U24" s="25"/>
      <c r="AC24" s="26">
        <f t="shared" si="7"/>
        <v>0.17424547282373204</v>
      </c>
      <c r="AD24" s="26">
        <f t="shared" si="6"/>
        <v>0.82575452717626807</v>
      </c>
      <c r="AE24" s="26">
        <f t="shared" si="6"/>
        <v>0</v>
      </c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35" si="8">0.5*S26+Q26</f>
        <v>86.504999999999995</v>
      </c>
      <c r="O26" s="27">
        <f t="shared" ref="O26:O35" si="9">S26</f>
        <v>26.990000000000009</v>
      </c>
      <c r="Q26" s="24">
        <f t="shared" ref="Q26:R35" si="10">AC26*100</f>
        <v>73.009999999999991</v>
      </c>
      <c r="R26" s="24">
        <f t="shared" si="10"/>
        <v>0</v>
      </c>
      <c r="S26" s="24">
        <f t="shared" ref="S26:S35" si="11">100-Q26-R26</f>
        <v>26.990000000000009</v>
      </c>
      <c r="U26" s="24"/>
      <c r="V26" s="24"/>
      <c r="W26" s="24"/>
      <c r="AC26" s="14">
        <v>0.73009999999999997</v>
      </c>
      <c r="AD26" s="14">
        <v>0</v>
      </c>
      <c r="AE26" s="14">
        <f>1-AC26-AD26</f>
        <v>0.26990000000000003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8"/>
        <v>74</v>
      </c>
      <c r="O27" s="27">
        <f t="shared" si="9"/>
        <v>26</v>
      </c>
      <c r="Q27" s="24">
        <f t="shared" si="10"/>
        <v>61</v>
      </c>
      <c r="R27" s="24">
        <f t="shared" si="10"/>
        <v>13</v>
      </c>
      <c r="S27" s="24">
        <f t="shared" si="11"/>
        <v>26</v>
      </c>
      <c r="U27" s="24"/>
      <c r="V27" s="24"/>
      <c r="W27" s="24"/>
      <c r="AC27" s="14">
        <v>0.61</v>
      </c>
      <c r="AD27" s="14">
        <v>0.13</v>
      </c>
      <c r="AE27" s="14">
        <f t="shared" ref="AE27:AE35" si="12">1-AC27-AD27</f>
        <v>0.26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8"/>
        <v>64</v>
      </c>
      <c r="O28" s="27">
        <f t="shared" si="9"/>
        <v>24</v>
      </c>
      <c r="Q28" s="24">
        <f t="shared" si="10"/>
        <v>52</v>
      </c>
      <c r="R28" s="24">
        <f t="shared" si="10"/>
        <v>24</v>
      </c>
      <c r="S28" s="24">
        <f t="shared" si="11"/>
        <v>24</v>
      </c>
      <c r="U28" s="24"/>
      <c r="V28" s="24"/>
      <c r="W28" s="24"/>
      <c r="AC28" s="14">
        <v>0.52</v>
      </c>
      <c r="AD28" s="14">
        <v>0.24</v>
      </c>
      <c r="AE28" s="14">
        <f t="shared" si="12"/>
        <v>0.24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8"/>
        <v>53.75</v>
      </c>
      <c r="O29" s="27">
        <f t="shared" si="9"/>
        <v>21.5</v>
      </c>
      <c r="P29" s="27"/>
      <c r="Q29" s="24">
        <f t="shared" si="10"/>
        <v>43</v>
      </c>
      <c r="R29" s="24">
        <f t="shared" si="10"/>
        <v>35.5</v>
      </c>
      <c r="S29" s="24">
        <f t="shared" si="11"/>
        <v>21.5</v>
      </c>
      <c r="U29" s="24"/>
      <c r="V29" s="24"/>
      <c r="W29" s="24"/>
      <c r="AC29" s="14">
        <v>0.43</v>
      </c>
      <c r="AD29" s="14">
        <v>0.35499999999999998</v>
      </c>
      <c r="AE29" s="14">
        <f t="shared" si="12"/>
        <v>0.21500000000000008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>
        <f t="shared" si="8"/>
        <v>46</v>
      </c>
      <c r="O30" s="27">
        <f t="shared" si="9"/>
        <v>18</v>
      </c>
      <c r="Q30" s="24">
        <f t="shared" si="10"/>
        <v>37</v>
      </c>
      <c r="R30" s="24">
        <f t="shared" si="10"/>
        <v>45</v>
      </c>
      <c r="S30" s="24">
        <f t="shared" si="11"/>
        <v>18</v>
      </c>
      <c r="U30" s="25"/>
      <c r="AC30" s="14">
        <v>0.37</v>
      </c>
      <c r="AD30" s="14">
        <v>0.45</v>
      </c>
      <c r="AE30" s="14">
        <f t="shared" si="12"/>
        <v>0.18</v>
      </c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>
        <f t="shared" si="8"/>
        <v>39</v>
      </c>
      <c r="O31" s="27">
        <f t="shared" si="9"/>
        <v>14</v>
      </c>
      <c r="Q31" s="24">
        <f t="shared" si="10"/>
        <v>32</v>
      </c>
      <c r="R31" s="24">
        <f t="shared" si="10"/>
        <v>54</v>
      </c>
      <c r="S31" s="24">
        <f t="shared" si="11"/>
        <v>14</v>
      </c>
      <c r="U31" s="25"/>
      <c r="AC31" s="14">
        <v>0.32</v>
      </c>
      <c r="AD31" s="14">
        <v>0.54</v>
      </c>
      <c r="AE31" s="14">
        <f t="shared" si="12"/>
        <v>0.1399999999999999</v>
      </c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>
        <f t="shared" si="8"/>
        <v>31.5</v>
      </c>
      <c r="O32" s="27">
        <f t="shared" si="9"/>
        <v>11</v>
      </c>
      <c r="Q32" s="24">
        <f t="shared" si="10"/>
        <v>26</v>
      </c>
      <c r="R32" s="24">
        <f t="shared" si="10"/>
        <v>63</v>
      </c>
      <c r="S32" s="24">
        <f t="shared" si="11"/>
        <v>11</v>
      </c>
      <c r="U32" s="25"/>
      <c r="AC32" s="14">
        <v>0.26</v>
      </c>
      <c r="AD32" s="14">
        <v>0.63</v>
      </c>
      <c r="AE32" s="14">
        <f t="shared" si="12"/>
        <v>0.10999999999999999</v>
      </c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>
        <f t="shared" si="8"/>
        <v>25.5</v>
      </c>
      <c r="O33" s="27">
        <f t="shared" si="9"/>
        <v>7</v>
      </c>
      <c r="P33" s="27"/>
      <c r="Q33" s="24">
        <f t="shared" si="10"/>
        <v>22</v>
      </c>
      <c r="R33" s="24">
        <f t="shared" si="10"/>
        <v>71</v>
      </c>
      <c r="S33" s="24">
        <f t="shared" si="11"/>
        <v>7</v>
      </c>
      <c r="U33" s="25"/>
      <c r="AC33" s="14">
        <v>0.22</v>
      </c>
      <c r="AD33" s="14">
        <v>0.71</v>
      </c>
      <c r="AE33" s="14">
        <f t="shared" si="12"/>
        <v>7.0000000000000062E-2</v>
      </c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>
        <f t="shared" si="8"/>
        <v>20.25</v>
      </c>
      <c r="O34" s="27">
        <f t="shared" si="9"/>
        <v>3.5</v>
      </c>
      <c r="Q34" s="24">
        <f t="shared" si="10"/>
        <v>18.5</v>
      </c>
      <c r="R34" s="24">
        <f t="shared" si="10"/>
        <v>78</v>
      </c>
      <c r="S34" s="24">
        <f t="shared" si="11"/>
        <v>3.5</v>
      </c>
      <c r="U34" s="25"/>
      <c r="AC34" s="14">
        <v>0.185</v>
      </c>
      <c r="AD34" s="14">
        <v>0.78</v>
      </c>
      <c r="AE34" s="14">
        <f t="shared" si="12"/>
        <v>3.499999999999992E-2</v>
      </c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>
        <f t="shared" si="8"/>
        <v>19.3</v>
      </c>
      <c r="O35" s="27">
        <f t="shared" si="9"/>
        <v>0</v>
      </c>
      <c r="P35" s="27"/>
      <c r="Q35" s="24">
        <f t="shared" si="10"/>
        <v>19.3</v>
      </c>
      <c r="R35" s="24">
        <f t="shared" si="10"/>
        <v>80.699999999999989</v>
      </c>
      <c r="S35" s="24">
        <f t="shared" si="11"/>
        <v>0</v>
      </c>
      <c r="U35" s="25"/>
      <c r="AC35" s="14">
        <v>0.193</v>
      </c>
      <c r="AD35" s="14">
        <f>1-AC35</f>
        <v>0.80699999999999994</v>
      </c>
      <c r="AE35" s="14">
        <f t="shared" si="12"/>
        <v>0</v>
      </c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50</v>
      </c>
      <c r="O45" s="27">
        <f>S45</f>
        <v>80</v>
      </c>
      <c r="Q45" s="24">
        <f>Q5</f>
        <v>10</v>
      </c>
      <c r="R45" s="24">
        <f>R5</f>
        <v>10</v>
      </c>
      <c r="S45" s="24">
        <f>S5</f>
        <v>80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75.86016143937178</v>
      </c>
      <c r="O46" s="27">
        <f>S46</f>
        <v>25.772794573587234</v>
      </c>
      <c r="Q46" s="24">
        <f>Q16</f>
        <v>62.97376415257817</v>
      </c>
      <c r="R46" s="24">
        <f>R16</f>
        <v>11.253441273834589</v>
      </c>
      <c r="S46" s="24">
        <f>S16</f>
        <v>25.772794573587234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45</v>
      </c>
      <c r="O48" s="27">
        <f>S48</f>
        <v>70</v>
      </c>
      <c r="Q48" s="24">
        <f>Q6</f>
        <v>10</v>
      </c>
      <c r="R48" s="24">
        <f>R6</f>
        <v>20</v>
      </c>
      <c r="S48" s="24">
        <f>S6</f>
        <v>70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62.659417815898848</v>
      </c>
      <c r="O49" s="27">
        <f>S49</f>
        <v>24.823820680064639</v>
      </c>
      <c r="Q49" s="24">
        <f>Q17</f>
        <v>50.247507475866527</v>
      </c>
      <c r="R49" s="24">
        <f>R17</f>
        <v>24.92867184406883</v>
      </c>
      <c r="S49" s="24">
        <f>S17</f>
        <v>24.823820680064639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40</v>
      </c>
      <c r="O51" s="27">
        <f>S51</f>
        <v>60</v>
      </c>
      <c r="Q51" s="24">
        <f>Q7</f>
        <v>10</v>
      </c>
      <c r="R51" s="24">
        <f>R7</f>
        <v>30</v>
      </c>
      <c r="S51" s="24">
        <f>S7</f>
        <v>60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51.317083382591612</v>
      </c>
      <c r="O52" s="27">
        <f>S52</f>
        <v>21.715566512607548</v>
      </c>
      <c r="Q52" s="24">
        <f>Q18</f>
        <v>40.459300126287836</v>
      </c>
      <c r="R52" s="24">
        <f>R18</f>
        <v>37.825133361104619</v>
      </c>
      <c r="S52" s="24">
        <f>S18</f>
        <v>21.715566512607548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35</v>
      </c>
      <c r="O54" s="27">
        <f>S54</f>
        <v>50</v>
      </c>
      <c r="Q54" s="24">
        <f>Q8</f>
        <v>10</v>
      </c>
      <c r="R54" s="24">
        <f>R8</f>
        <v>40</v>
      </c>
      <c r="S54" s="24">
        <f>S8</f>
        <v>50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42.196393996503502</v>
      </c>
      <c r="O55" s="27">
        <f>S55</f>
        <v>17.860575824268064</v>
      </c>
      <c r="Q55" s="24">
        <f>Q19</f>
        <v>33.266106084369468</v>
      </c>
      <c r="R55" s="24">
        <f>R19</f>
        <v>48.873318091362471</v>
      </c>
      <c r="S55" s="24">
        <f>S19</f>
        <v>17.860575824268064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30</v>
      </c>
      <c r="O57" s="27">
        <f>S57</f>
        <v>40</v>
      </c>
      <c r="Q57" s="24">
        <f>Q9</f>
        <v>10</v>
      </c>
      <c r="R57" s="24">
        <f>R9</f>
        <v>50</v>
      </c>
      <c r="S57" s="24">
        <f>S9</f>
        <v>40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34.982935610022096</v>
      </c>
      <c r="O58" s="27">
        <f>S58</f>
        <v>13.916038557501833</v>
      </c>
      <c r="Q58" s="24">
        <f>Q20</f>
        <v>28.024916331271182</v>
      </c>
      <c r="R58" s="24">
        <f>R20</f>
        <v>58.059045111226993</v>
      </c>
      <c r="S58" s="24">
        <f>S20</f>
        <v>13.916038557501833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25</v>
      </c>
      <c r="O60" s="27">
        <f>S60</f>
        <v>30</v>
      </c>
      <c r="Q60" s="24">
        <f>Q10</f>
        <v>10</v>
      </c>
      <c r="R60" s="24">
        <f>R10</f>
        <v>60</v>
      </c>
      <c r="S60" s="24">
        <f>S10</f>
        <v>30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29.23698736633083</v>
      </c>
      <c r="O61" s="27">
        <f>S61</f>
        <v>10.126455696134819</v>
      </c>
      <c r="Q61" s="24">
        <f>Q21</f>
        <v>24.17375951826342</v>
      </c>
      <c r="R61" s="24">
        <f>R21</f>
        <v>65.699784785601764</v>
      </c>
      <c r="S61" s="24">
        <f>S21</f>
        <v>10.126455696134819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20</v>
      </c>
      <c r="O63" s="27">
        <f>S63</f>
        <v>20</v>
      </c>
      <c r="Q63" s="24">
        <f>Q11</f>
        <v>10</v>
      </c>
      <c r="R63" s="24">
        <f>R11</f>
        <v>70</v>
      </c>
      <c r="S63" s="24">
        <f>S11</f>
        <v>20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24.576247936991919</v>
      </c>
      <c r="O64" s="27">
        <f>S64</f>
        <v>6.5534201292806848</v>
      </c>
      <c r="Q64" s="24">
        <f>Q22</f>
        <v>21.299537872351578</v>
      </c>
      <c r="R64" s="24">
        <f>R22</f>
        <v>72.14704199836774</v>
      </c>
      <c r="S64" s="24">
        <f>S22</f>
        <v>6.5534201292806848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15</v>
      </c>
      <c r="O66" s="27">
        <f>S66</f>
        <v>10</v>
      </c>
      <c r="Q66" s="24">
        <f>Q12</f>
        <v>10</v>
      </c>
      <c r="R66" s="24">
        <f>R12</f>
        <v>80</v>
      </c>
      <c r="S66" s="24">
        <f>S12</f>
        <v>10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20.709378223111639</v>
      </c>
      <c r="O67" s="27">
        <f>S67</f>
        <v>3.1881408669262958</v>
      </c>
      <c r="Q67" s="24">
        <f>Q23</f>
        <v>19.11530778964849</v>
      </c>
      <c r="R67" s="24">
        <f>R23</f>
        <v>77.696551343425213</v>
      </c>
      <c r="S67" s="24">
        <f>S23</f>
        <v>3.1881408669262958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3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3"/>
        <v>90</v>
      </c>
      <c r="B79" s="33">
        <v>10</v>
      </c>
      <c r="C79" s="34">
        <v>0</v>
      </c>
      <c r="D79" s="33">
        <f t="shared" ref="D79:D100" si="14">0.5*A79+B79</f>
        <v>55</v>
      </c>
      <c r="E79" s="33"/>
      <c r="F79" s="33">
        <f t="shared" ref="F79:F88" si="15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3"/>
        <v>80</v>
      </c>
      <c r="B80" s="33">
        <v>20</v>
      </c>
      <c r="C80" s="34">
        <v>0</v>
      </c>
      <c r="D80" s="33">
        <f t="shared" si="14"/>
        <v>60</v>
      </c>
      <c r="E80" s="33"/>
      <c r="F80" s="33">
        <f t="shared" si="15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3"/>
        <v>70</v>
      </c>
      <c r="B81" s="33">
        <v>30</v>
      </c>
      <c r="C81" s="34">
        <v>0</v>
      </c>
      <c r="D81" s="33">
        <f t="shared" si="14"/>
        <v>65</v>
      </c>
      <c r="E81" s="33"/>
      <c r="F81" s="33">
        <f t="shared" si="15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3"/>
        <v>60</v>
      </c>
      <c r="B82" s="33">
        <v>40</v>
      </c>
      <c r="C82" s="34">
        <v>0</v>
      </c>
      <c r="D82" s="33">
        <f t="shared" si="14"/>
        <v>70</v>
      </c>
      <c r="E82" s="33"/>
      <c r="F82" s="33">
        <f t="shared" si="15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3"/>
        <v>50</v>
      </c>
      <c r="B83" s="33">
        <v>50</v>
      </c>
      <c r="C83" s="34">
        <v>0</v>
      </c>
      <c r="D83" s="33">
        <f t="shared" si="14"/>
        <v>75</v>
      </c>
      <c r="E83" s="33"/>
      <c r="F83" s="33">
        <f t="shared" si="15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3"/>
        <v>40</v>
      </c>
      <c r="B84" s="33">
        <v>60</v>
      </c>
      <c r="C84" s="34">
        <v>0</v>
      </c>
      <c r="D84" s="33">
        <f t="shared" si="14"/>
        <v>80</v>
      </c>
      <c r="E84" s="33"/>
      <c r="F84" s="33">
        <f t="shared" si="15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3"/>
        <v>30</v>
      </c>
      <c r="B85" s="33">
        <v>70</v>
      </c>
      <c r="C85" s="34">
        <v>0</v>
      </c>
      <c r="D85" s="33">
        <f t="shared" si="14"/>
        <v>85</v>
      </c>
      <c r="E85" s="33"/>
      <c r="F85" s="33">
        <f t="shared" si="15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3"/>
        <v>20</v>
      </c>
      <c r="B86" s="33">
        <v>80</v>
      </c>
      <c r="C86" s="34">
        <v>0</v>
      </c>
      <c r="D86" s="33">
        <f t="shared" si="14"/>
        <v>90</v>
      </c>
      <c r="E86" s="33"/>
      <c r="F86" s="33">
        <f t="shared" si="15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3"/>
        <v>10</v>
      </c>
      <c r="B87" s="33">
        <v>90</v>
      </c>
      <c r="C87" s="34">
        <v>0</v>
      </c>
      <c r="D87" s="33">
        <f t="shared" si="14"/>
        <v>95</v>
      </c>
      <c r="E87" s="33"/>
      <c r="F87" s="33">
        <f t="shared" si="15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3"/>
        <v>0</v>
      </c>
      <c r="B88" s="33">
        <v>100</v>
      </c>
      <c r="C88" s="34">
        <v>0</v>
      </c>
      <c r="D88" s="33">
        <f t="shared" si="14"/>
        <v>100</v>
      </c>
      <c r="E88" s="33"/>
      <c r="F88" s="33">
        <f t="shared" si="15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3"/>
        <v>100</v>
      </c>
      <c r="B90" s="33">
        <v>0</v>
      </c>
      <c r="C90" s="34">
        <v>0</v>
      </c>
      <c r="D90" s="33">
        <f t="shared" si="14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3"/>
        <v>90</v>
      </c>
      <c r="B91" s="33">
        <v>0</v>
      </c>
      <c r="C91" s="34">
        <v>10</v>
      </c>
      <c r="D91" s="33">
        <f t="shared" si="14"/>
        <v>45</v>
      </c>
      <c r="E91" s="33">
        <f t="shared" ref="E91:E100" si="16">A91</f>
        <v>90</v>
      </c>
      <c r="F91" s="33">
        <f t="shared" ref="F91:F100" si="17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3"/>
        <v>80</v>
      </c>
      <c r="B92" s="33">
        <v>0</v>
      </c>
      <c r="C92" s="34">
        <v>20</v>
      </c>
      <c r="D92" s="33">
        <f t="shared" si="14"/>
        <v>40</v>
      </c>
      <c r="E92" s="33">
        <f t="shared" si="16"/>
        <v>80</v>
      </c>
      <c r="F92" s="33">
        <f t="shared" si="17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3"/>
        <v>70</v>
      </c>
      <c r="B93" s="33">
        <v>0</v>
      </c>
      <c r="C93" s="34">
        <v>30</v>
      </c>
      <c r="D93" s="33">
        <f t="shared" si="14"/>
        <v>35</v>
      </c>
      <c r="E93" s="33">
        <f t="shared" si="16"/>
        <v>70</v>
      </c>
      <c r="F93" s="33">
        <f t="shared" si="17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3"/>
        <v>60</v>
      </c>
      <c r="B94" s="33">
        <v>0</v>
      </c>
      <c r="C94" s="34">
        <v>40</v>
      </c>
      <c r="D94" s="33">
        <f t="shared" si="14"/>
        <v>30</v>
      </c>
      <c r="E94" s="33">
        <f t="shared" si="16"/>
        <v>60</v>
      </c>
      <c r="F94" s="33">
        <f t="shared" si="17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3"/>
        <v>50</v>
      </c>
      <c r="B95" s="33">
        <v>0</v>
      </c>
      <c r="C95" s="34">
        <v>50</v>
      </c>
      <c r="D95" s="33">
        <f t="shared" si="14"/>
        <v>25</v>
      </c>
      <c r="E95" s="33">
        <f t="shared" si="16"/>
        <v>50</v>
      </c>
      <c r="F95" s="33">
        <f t="shared" si="17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3"/>
        <v>40</v>
      </c>
      <c r="B96" s="33">
        <v>0</v>
      </c>
      <c r="C96" s="34">
        <v>60</v>
      </c>
      <c r="D96" s="33">
        <f t="shared" si="14"/>
        <v>20</v>
      </c>
      <c r="E96" s="33">
        <f t="shared" si="16"/>
        <v>40</v>
      </c>
      <c r="F96" s="33">
        <f t="shared" si="17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3"/>
        <v>30</v>
      </c>
      <c r="B97" s="33">
        <v>0</v>
      </c>
      <c r="C97" s="34">
        <v>70</v>
      </c>
      <c r="D97" s="33">
        <f t="shared" si="14"/>
        <v>15</v>
      </c>
      <c r="E97" s="33">
        <f t="shared" si="16"/>
        <v>30</v>
      </c>
      <c r="F97" s="33">
        <f t="shared" si="17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3"/>
        <v>20</v>
      </c>
      <c r="B98" s="33">
        <v>0</v>
      </c>
      <c r="C98" s="34">
        <v>80</v>
      </c>
      <c r="D98" s="33">
        <f t="shared" si="14"/>
        <v>10</v>
      </c>
      <c r="E98" s="33">
        <f t="shared" si="16"/>
        <v>20</v>
      </c>
      <c r="F98" s="33">
        <f t="shared" si="17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3"/>
        <v>10</v>
      </c>
      <c r="B99" s="33">
        <v>0</v>
      </c>
      <c r="C99" s="34">
        <v>90</v>
      </c>
      <c r="D99" s="33">
        <f t="shared" si="14"/>
        <v>5</v>
      </c>
      <c r="E99" s="33">
        <f t="shared" si="16"/>
        <v>10</v>
      </c>
      <c r="F99" s="33">
        <f t="shared" si="17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3"/>
        <v>0</v>
      </c>
      <c r="B100" s="33">
        <v>0</v>
      </c>
      <c r="C100" s="34">
        <v>100</v>
      </c>
      <c r="D100" s="33">
        <f t="shared" si="14"/>
        <v>0</v>
      </c>
      <c r="E100" s="33">
        <f t="shared" si="16"/>
        <v>0</v>
      </c>
      <c r="F100" s="33">
        <f t="shared" si="17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12" si="0">0.5*S4+Q4</f>
        <v>60</v>
      </c>
      <c r="O4" s="27">
        <f t="shared" ref="O4:O12" si="1">S4</f>
        <v>80</v>
      </c>
      <c r="Q4" s="24">
        <v>20</v>
      </c>
      <c r="R4" s="24">
        <v>0</v>
      </c>
      <c r="S4" s="24">
        <v>80</v>
      </c>
      <c r="U4" s="25"/>
      <c r="AB4" s="25"/>
      <c r="AC4" s="14">
        <f>Q4/100</f>
        <v>0.2</v>
      </c>
      <c r="AD4" s="14">
        <f t="shared" ref="AD4:AE12" si="2">R4/100</f>
        <v>0</v>
      </c>
      <c r="AE4" s="14">
        <f t="shared" si="2"/>
        <v>0.8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55</v>
      </c>
      <c r="O5" s="27">
        <f t="shared" si="1"/>
        <v>70</v>
      </c>
      <c r="Q5" s="24">
        <v>20</v>
      </c>
      <c r="R5" s="24">
        <v>10</v>
      </c>
      <c r="S5" s="24">
        <v>70</v>
      </c>
      <c r="U5" s="25"/>
      <c r="AC5" s="14">
        <f t="shared" ref="AC5:AC12" si="3">Q5/100</f>
        <v>0.2</v>
      </c>
      <c r="AD5" s="14">
        <f t="shared" si="2"/>
        <v>0.1</v>
      </c>
      <c r="AE5" s="14">
        <f t="shared" si="2"/>
        <v>0.7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50</v>
      </c>
      <c r="O6" s="27">
        <f t="shared" si="1"/>
        <v>60</v>
      </c>
      <c r="Q6" s="24">
        <v>20</v>
      </c>
      <c r="R6" s="24">
        <v>20</v>
      </c>
      <c r="S6" s="24">
        <v>60</v>
      </c>
      <c r="U6" s="25"/>
      <c r="AC6" s="14">
        <f t="shared" si="3"/>
        <v>0.2</v>
      </c>
      <c r="AD6" s="14">
        <f t="shared" si="2"/>
        <v>0.2</v>
      </c>
      <c r="AE6" s="14">
        <f t="shared" si="2"/>
        <v>0.6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45</v>
      </c>
      <c r="O7" s="27">
        <f t="shared" si="1"/>
        <v>50</v>
      </c>
      <c r="Q7" s="24">
        <v>20</v>
      </c>
      <c r="R7" s="24">
        <v>30</v>
      </c>
      <c r="S7" s="24">
        <v>50</v>
      </c>
      <c r="U7" s="25"/>
      <c r="AC7" s="14">
        <f t="shared" si="3"/>
        <v>0.2</v>
      </c>
      <c r="AD7" s="14">
        <f t="shared" si="2"/>
        <v>0.3</v>
      </c>
      <c r="AE7" s="14">
        <f t="shared" si="2"/>
        <v>0.5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40</v>
      </c>
      <c r="O8" s="27">
        <f t="shared" si="1"/>
        <v>40</v>
      </c>
      <c r="Q8" s="24">
        <v>20</v>
      </c>
      <c r="R8" s="24">
        <v>40</v>
      </c>
      <c r="S8" s="24">
        <v>40</v>
      </c>
      <c r="U8" s="25"/>
      <c r="AC8" s="14">
        <f t="shared" si="3"/>
        <v>0.2</v>
      </c>
      <c r="AD8" s="14">
        <f t="shared" si="2"/>
        <v>0.4</v>
      </c>
      <c r="AE8" s="14">
        <f t="shared" si="2"/>
        <v>0.4</v>
      </c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>
        <f t="shared" si="0"/>
        <v>35</v>
      </c>
      <c r="O9" s="27">
        <f t="shared" si="1"/>
        <v>30</v>
      </c>
      <c r="Q9" s="24">
        <v>20</v>
      </c>
      <c r="R9" s="24">
        <v>50</v>
      </c>
      <c r="S9" s="24">
        <v>30</v>
      </c>
      <c r="U9" s="25"/>
      <c r="AC9" s="14">
        <f t="shared" si="3"/>
        <v>0.2</v>
      </c>
      <c r="AD9" s="14">
        <f t="shared" si="2"/>
        <v>0.5</v>
      </c>
      <c r="AE9" s="14">
        <f t="shared" si="2"/>
        <v>0.3</v>
      </c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>
        <f t="shared" si="0"/>
        <v>30</v>
      </c>
      <c r="O10" s="27">
        <f t="shared" si="1"/>
        <v>20</v>
      </c>
      <c r="Q10" s="24">
        <v>20</v>
      </c>
      <c r="R10" s="24">
        <v>60</v>
      </c>
      <c r="S10" s="24">
        <v>20</v>
      </c>
      <c r="U10" s="25"/>
      <c r="AC10" s="14">
        <f t="shared" si="3"/>
        <v>0.2</v>
      </c>
      <c r="AD10" s="14">
        <f t="shared" si="2"/>
        <v>0.6</v>
      </c>
      <c r="AE10" s="14">
        <f t="shared" si="2"/>
        <v>0.2</v>
      </c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>
        <f t="shared" si="0"/>
        <v>25</v>
      </c>
      <c r="O11" s="27">
        <f t="shared" si="1"/>
        <v>10</v>
      </c>
      <c r="Q11" s="24">
        <v>20</v>
      </c>
      <c r="R11" s="24">
        <v>70</v>
      </c>
      <c r="S11" s="24">
        <v>10</v>
      </c>
      <c r="U11" s="25"/>
      <c r="AC11" s="14">
        <f t="shared" si="3"/>
        <v>0.2</v>
      </c>
      <c r="AD11" s="14">
        <f t="shared" si="2"/>
        <v>0.7</v>
      </c>
      <c r="AE11" s="14">
        <f t="shared" si="2"/>
        <v>0.1</v>
      </c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>
        <f t="shared" si="0"/>
        <v>20</v>
      </c>
      <c r="O12" s="27">
        <f t="shared" si="1"/>
        <v>0</v>
      </c>
      <c r="Q12" s="24">
        <v>20</v>
      </c>
      <c r="R12" s="24">
        <v>80</v>
      </c>
      <c r="S12" s="24">
        <v>0</v>
      </c>
      <c r="U12" s="25"/>
      <c r="AC12" s="14">
        <f t="shared" si="3"/>
        <v>0.2</v>
      </c>
      <c r="AD12" s="14">
        <f t="shared" si="2"/>
        <v>0.8</v>
      </c>
      <c r="AE12" s="14">
        <f t="shared" si="2"/>
        <v>0</v>
      </c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23" si="4">0.5*S15+Q15</f>
        <v>90.240453718844037</v>
      </c>
      <c r="O15" s="27">
        <f t="shared" ref="O15:O23" si="5">S15</f>
        <v>19.519092562311926</v>
      </c>
      <c r="Q15" s="24">
        <f>'VLE Calculation - NRTL'!AI26*100</f>
        <v>80.480907437688074</v>
      </c>
      <c r="R15" s="24">
        <f>'VLE Calculation - NRTL'!AJ26*100</f>
        <v>0</v>
      </c>
      <c r="S15" s="24">
        <f>'VLE Calculation - NRTL'!AK26*100</f>
        <v>19.519092562311926</v>
      </c>
      <c r="U15" s="25"/>
      <c r="AB15" s="25"/>
      <c r="AC15" s="14">
        <f>Q15/100</f>
        <v>0.80480907437688076</v>
      </c>
      <c r="AD15" s="14">
        <f t="shared" ref="AD15:AE23" si="6">R15/100</f>
        <v>0</v>
      </c>
      <c r="AE15" s="14">
        <f t="shared" si="6"/>
        <v>0.19519092562311927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4"/>
        <v>81.978060510848209</v>
      </c>
      <c r="O16" s="27">
        <f t="shared" si="5"/>
        <v>20.388086007168486</v>
      </c>
      <c r="Q16" s="24">
        <f>'VLE Calculation - NRTL'!AI27*100</f>
        <v>71.784017507263968</v>
      </c>
      <c r="R16" s="24">
        <f>'VLE Calculation - NRTL'!AJ27*100</f>
        <v>7.8278964855675452</v>
      </c>
      <c r="S16" s="24">
        <f>'VLE Calculation - NRTL'!AK27*100</f>
        <v>20.388086007168486</v>
      </c>
      <c r="U16" s="25"/>
      <c r="AC16" s="14">
        <f t="shared" ref="AC16:AC23" si="7">Q16/100</f>
        <v>0.71784017507263964</v>
      </c>
      <c r="AD16" s="14">
        <f t="shared" si="6"/>
        <v>7.8278964855675454E-2</v>
      </c>
      <c r="AE16" s="14">
        <f t="shared" si="6"/>
        <v>0.20388086007168485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4"/>
        <v>72.303746455480109</v>
      </c>
      <c r="O17" s="27">
        <f t="shared" si="5"/>
        <v>18.99381307096564</v>
      </c>
      <c r="Q17" s="24">
        <f>'VLE Calculation - NRTL'!AI28*100</f>
        <v>62.806839919997294</v>
      </c>
      <c r="R17" s="24">
        <f>'VLE Calculation - NRTL'!AJ28*100</f>
        <v>18.19934700903708</v>
      </c>
      <c r="S17" s="24">
        <f>'VLE Calculation - NRTL'!AK28*100</f>
        <v>18.99381307096564</v>
      </c>
      <c r="U17" s="25"/>
      <c r="AC17" s="14">
        <f t="shared" si="7"/>
        <v>0.62806839919997293</v>
      </c>
      <c r="AD17" s="14">
        <f t="shared" si="6"/>
        <v>0.18199347009037081</v>
      </c>
      <c r="AE17" s="14">
        <f t="shared" si="6"/>
        <v>0.1899381307096564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4"/>
        <v>62.857355509551454</v>
      </c>
      <c r="O18" s="27">
        <f t="shared" si="5"/>
        <v>16.269934353163826</v>
      </c>
      <c r="Q18" s="24">
        <f>'VLE Calculation - NRTL'!AI29*100</f>
        <v>54.722388332969544</v>
      </c>
      <c r="R18" s="24">
        <f>'VLE Calculation - NRTL'!AJ29*100</f>
        <v>29.007677313866626</v>
      </c>
      <c r="S18" s="24">
        <f>'VLE Calculation - NRTL'!AK29*100</f>
        <v>16.269934353163826</v>
      </c>
      <c r="U18" s="25"/>
      <c r="AC18" s="14">
        <f t="shared" si="7"/>
        <v>0.5472238833296954</v>
      </c>
      <c r="AD18" s="14">
        <f t="shared" si="6"/>
        <v>0.29007677313866626</v>
      </c>
      <c r="AE18" s="14">
        <f t="shared" si="6"/>
        <v>0.16269934353163826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4"/>
        <v>54.458238259054049</v>
      </c>
      <c r="O19" s="27">
        <f t="shared" si="5"/>
        <v>12.982672569842094</v>
      </c>
      <c r="Q19" s="24">
        <f>'VLE Calculation - NRTL'!AI30*100</f>
        <v>47.966901974133002</v>
      </c>
      <c r="R19" s="24">
        <f>'VLE Calculation - NRTL'!AJ30*100</f>
        <v>39.050425456024904</v>
      </c>
      <c r="S19" s="24">
        <f>'VLE Calculation - NRTL'!AK30*100</f>
        <v>12.982672569842094</v>
      </c>
      <c r="U19" s="25"/>
      <c r="AC19" s="14">
        <f t="shared" si="7"/>
        <v>0.47966901974133003</v>
      </c>
      <c r="AD19" s="14">
        <f t="shared" si="6"/>
        <v>0.39050425456024906</v>
      </c>
      <c r="AE19" s="14">
        <f t="shared" si="6"/>
        <v>0.12982672569842094</v>
      </c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>
        <f t="shared" si="4"/>
        <v>47.310086547636637</v>
      </c>
      <c r="O20" s="27">
        <f t="shared" si="5"/>
        <v>9.5709234891337349</v>
      </c>
      <c r="Q20" s="24">
        <f>'VLE Calculation - NRTL'!AI31*100</f>
        <v>42.52462480306977</v>
      </c>
      <c r="R20" s="24">
        <f>'VLE Calculation - NRTL'!AJ31*100</f>
        <v>47.904451707796504</v>
      </c>
      <c r="S20" s="24">
        <f>'VLE Calculation - NRTL'!AK31*100</f>
        <v>9.5709234891337349</v>
      </c>
      <c r="U20" s="25"/>
      <c r="AC20" s="14">
        <f t="shared" si="7"/>
        <v>0.42524624803069772</v>
      </c>
      <c r="AD20" s="14">
        <f t="shared" si="6"/>
        <v>0.47904451707796503</v>
      </c>
      <c r="AE20" s="14">
        <f t="shared" si="6"/>
        <v>9.5709234891337355E-2</v>
      </c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>
        <f t="shared" si="4"/>
        <v>41.319732597787215</v>
      </c>
      <c r="O21" s="27">
        <f t="shared" si="5"/>
        <v>6.2342867034852407</v>
      </c>
      <c r="Q21" s="24">
        <f>'VLE Calculation - NRTL'!AI32*100</f>
        <v>38.202589246044596</v>
      </c>
      <c r="R21" s="24">
        <f>'VLE Calculation - NRTL'!AJ32*100</f>
        <v>55.563124050470172</v>
      </c>
      <c r="S21" s="24">
        <f>'VLE Calculation - NRTL'!AK32*100</f>
        <v>6.2342867034852407</v>
      </c>
      <c r="U21" s="25"/>
      <c r="AC21" s="14">
        <f t="shared" si="7"/>
        <v>0.38202589246044594</v>
      </c>
      <c r="AD21" s="14">
        <f t="shared" si="6"/>
        <v>0.5556312405047017</v>
      </c>
      <c r="AE21" s="14">
        <f t="shared" si="6"/>
        <v>6.2342867034852409E-2</v>
      </c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>
        <f t="shared" si="4"/>
        <v>36.297187689737861</v>
      </c>
      <c r="O22" s="27">
        <f t="shared" si="5"/>
        <v>3.0413436366443438</v>
      </c>
      <c r="Q22" s="24">
        <f>'VLE Calculation - NRTL'!AI33*100</f>
        <v>34.77651587141569</v>
      </c>
      <c r="R22" s="24">
        <f>'VLE Calculation - NRTL'!AJ33*100</f>
        <v>62.182140491939954</v>
      </c>
      <c r="S22" s="24">
        <f>'VLE Calculation - NRTL'!AK33*100</f>
        <v>3.0413436366443438</v>
      </c>
      <c r="U22" s="25"/>
      <c r="AC22" s="14">
        <f t="shared" si="7"/>
        <v>0.34776515871415692</v>
      </c>
      <c r="AD22" s="14">
        <f t="shared" si="6"/>
        <v>0.62182140491939952</v>
      </c>
      <c r="AE22" s="14">
        <f t="shared" si="6"/>
        <v>3.0413436366443437E-2</v>
      </c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>
        <f t="shared" si="4"/>
        <v>32.047090381597961</v>
      </c>
      <c r="O23" s="27">
        <f t="shared" si="5"/>
        <v>0</v>
      </c>
      <c r="Q23" s="24">
        <f>'VLE Calculation - NRTL'!AI34*100</f>
        <v>32.047090381597961</v>
      </c>
      <c r="R23" s="24">
        <f>'VLE Calculation - NRTL'!AJ34*100</f>
        <v>67.952909618402046</v>
      </c>
      <c r="S23" s="24">
        <f>'VLE Calculation - NRTL'!AK34*100</f>
        <v>0</v>
      </c>
      <c r="U23" s="25"/>
      <c r="AC23" s="14">
        <f t="shared" si="7"/>
        <v>0.32047090381597959</v>
      </c>
      <c r="AD23" s="14">
        <f t="shared" si="6"/>
        <v>0.67952909618402046</v>
      </c>
      <c r="AE23" s="14">
        <f t="shared" si="6"/>
        <v>0</v>
      </c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34" si="8">0.5*S26+Q26</f>
        <v>89.58</v>
      </c>
      <c r="O26" s="27">
        <f t="shared" ref="O26:O34" si="9">S26</f>
        <v>20.840000000000003</v>
      </c>
      <c r="Q26" s="24">
        <f t="shared" ref="Q26:R34" si="10">AC26*100</f>
        <v>79.16</v>
      </c>
      <c r="R26" s="24">
        <f t="shared" si="10"/>
        <v>0</v>
      </c>
      <c r="S26" s="24">
        <f t="shared" ref="S26:S34" si="11">100-Q26-R26</f>
        <v>20.840000000000003</v>
      </c>
      <c r="U26" s="24"/>
      <c r="V26" s="24"/>
      <c r="W26" s="24"/>
      <c r="AC26" s="14">
        <v>0.79159999999999997</v>
      </c>
      <c r="AD26" s="14">
        <v>0</v>
      </c>
      <c r="AE26" s="14">
        <f>1-AC26-AD26</f>
        <v>0.20840000000000003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8"/>
        <v>82.5</v>
      </c>
      <c r="O27" s="27">
        <f t="shared" si="9"/>
        <v>21</v>
      </c>
      <c r="Q27" s="24">
        <f t="shared" si="10"/>
        <v>72</v>
      </c>
      <c r="R27" s="24">
        <f t="shared" si="10"/>
        <v>7.0000000000000009</v>
      </c>
      <c r="S27" s="24">
        <f t="shared" si="11"/>
        <v>21</v>
      </c>
      <c r="U27" s="24"/>
      <c r="V27" s="24"/>
      <c r="W27" s="24"/>
      <c r="AC27" s="14">
        <v>0.72</v>
      </c>
      <c r="AD27" s="14">
        <v>7.0000000000000007E-2</v>
      </c>
      <c r="AE27" s="14">
        <f t="shared" ref="AE27:AE34" si="12">1-AC27-AD27</f>
        <v>0.21000000000000002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8"/>
        <v>72.75</v>
      </c>
      <c r="O28" s="27">
        <f t="shared" si="9"/>
        <v>18.5</v>
      </c>
      <c r="Q28" s="24">
        <f t="shared" si="10"/>
        <v>63.5</v>
      </c>
      <c r="R28" s="24">
        <f t="shared" si="10"/>
        <v>18</v>
      </c>
      <c r="S28" s="24">
        <f t="shared" si="11"/>
        <v>18.5</v>
      </c>
      <c r="U28" s="24"/>
      <c r="V28" s="24"/>
      <c r="W28" s="24"/>
      <c r="AC28" s="14">
        <v>0.63500000000000001</v>
      </c>
      <c r="AD28" s="14">
        <v>0.18</v>
      </c>
      <c r="AE28" s="14">
        <f t="shared" si="12"/>
        <v>0.185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8"/>
        <v>64</v>
      </c>
      <c r="O29" s="27">
        <f t="shared" si="9"/>
        <v>15.999999999999989</v>
      </c>
      <c r="P29" s="27"/>
      <c r="Q29" s="24">
        <f t="shared" si="10"/>
        <v>56.000000000000007</v>
      </c>
      <c r="R29" s="24">
        <f t="shared" si="10"/>
        <v>28.000000000000004</v>
      </c>
      <c r="S29" s="24">
        <f t="shared" si="11"/>
        <v>15.999999999999989</v>
      </c>
      <c r="U29" s="24"/>
      <c r="V29" s="24"/>
      <c r="W29" s="24"/>
      <c r="AC29" s="14">
        <v>0.56000000000000005</v>
      </c>
      <c r="AD29" s="14">
        <v>0.28000000000000003</v>
      </c>
      <c r="AE29" s="14">
        <f t="shared" si="12"/>
        <v>0.15999999999999992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>
        <f t="shared" si="8"/>
        <v>56.5</v>
      </c>
      <c r="O30" s="27">
        <f t="shared" si="9"/>
        <v>13</v>
      </c>
      <c r="Q30" s="24">
        <f t="shared" si="10"/>
        <v>50</v>
      </c>
      <c r="R30" s="24">
        <f t="shared" si="10"/>
        <v>37</v>
      </c>
      <c r="S30" s="24">
        <f t="shared" si="11"/>
        <v>13</v>
      </c>
      <c r="U30" s="25"/>
      <c r="AC30" s="14">
        <v>0.5</v>
      </c>
      <c r="AD30" s="14">
        <v>0.37</v>
      </c>
      <c r="AE30" s="14">
        <f t="shared" si="12"/>
        <v>0.13</v>
      </c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>
        <f t="shared" si="8"/>
        <v>48.5</v>
      </c>
      <c r="O31" s="27">
        <f t="shared" si="9"/>
        <v>9</v>
      </c>
      <c r="Q31" s="24">
        <f t="shared" si="10"/>
        <v>44</v>
      </c>
      <c r="R31" s="24">
        <f t="shared" si="10"/>
        <v>47</v>
      </c>
      <c r="S31" s="24">
        <f t="shared" si="11"/>
        <v>9</v>
      </c>
      <c r="U31" s="25"/>
      <c r="AC31" s="14">
        <v>0.44</v>
      </c>
      <c r="AD31" s="14">
        <v>0.47</v>
      </c>
      <c r="AE31" s="14">
        <f t="shared" si="12"/>
        <v>9.000000000000008E-2</v>
      </c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>
        <f t="shared" si="8"/>
        <v>41.75</v>
      </c>
      <c r="O32" s="27">
        <f t="shared" si="9"/>
        <v>6.4999999999999929</v>
      </c>
      <c r="Q32" s="24">
        <f t="shared" si="10"/>
        <v>38.5</v>
      </c>
      <c r="R32" s="24">
        <f t="shared" si="10"/>
        <v>55.000000000000007</v>
      </c>
      <c r="S32" s="24">
        <f t="shared" si="11"/>
        <v>6.4999999999999929</v>
      </c>
      <c r="U32" s="25"/>
      <c r="AC32" s="14">
        <v>0.38500000000000001</v>
      </c>
      <c r="AD32" s="14">
        <v>0.55000000000000004</v>
      </c>
      <c r="AE32" s="14">
        <f t="shared" si="12"/>
        <v>6.4999999999999947E-2</v>
      </c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>
        <f t="shared" si="8"/>
        <v>35.75</v>
      </c>
      <c r="O33" s="27">
        <f t="shared" si="9"/>
        <v>3.5</v>
      </c>
      <c r="P33" s="27"/>
      <c r="Q33" s="24">
        <f t="shared" si="10"/>
        <v>34</v>
      </c>
      <c r="R33" s="24">
        <f t="shared" si="10"/>
        <v>62.5</v>
      </c>
      <c r="S33" s="24">
        <f t="shared" si="11"/>
        <v>3.5</v>
      </c>
      <c r="U33" s="25"/>
      <c r="AC33" s="14">
        <v>0.34</v>
      </c>
      <c r="AD33" s="14">
        <v>0.625</v>
      </c>
      <c r="AE33" s="14">
        <f t="shared" si="12"/>
        <v>3.499999999999992E-2</v>
      </c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>
        <f t="shared" si="8"/>
        <v>33.5</v>
      </c>
      <c r="O34" s="27">
        <f t="shared" si="9"/>
        <v>0</v>
      </c>
      <c r="Q34" s="24">
        <f t="shared" si="10"/>
        <v>33.5</v>
      </c>
      <c r="R34" s="24">
        <f t="shared" si="10"/>
        <v>66.5</v>
      </c>
      <c r="S34" s="24">
        <f t="shared" si="11"/>
        <v>0</v>
      </c>
      <c r="U34" s="25"/>
      <c r="AC34" s="14">
        <v>0.33500000000000002</v>
      </c>
      <c r="AD34" s="14">
        <f>1-AC34</f>
        <v>0.66500000000000004</v>
      </c>
      <c r="AE34" s="14">
        <f t="shared" si="12"/>
        <v>0</v>
      </c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55</v>
      </c>
      <c r="O45" s="27">
        <f>S45</f>
        <v>70</v>
      </c>
      <c r="Q45" s="24">
        <f>Q5</f>
        <v>20</v>
      </c>
      <c r="R45" s="24">
        <f>R5</f>
        <v>10</v>
      </c>
      <c r="S45" s="24">
        <f>S5</f>
        <v>70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81.978060510848209</v>
      </c>
      <c r="O46" s="27">
        <f>S46</f>
        <v>20.388086007168486</v>
      </c>
      <c r="Q46" s="24">
        <f>Q16</f>
        <v>71.784017507263968</v>
      </c>
      <c r="R46" s="24">
        <f>R16</f>
        <v>7.8278964855675452</v>
      </c>
      <c r="S46" s="24">
        <f>S16</f>
        <v>20.388086007168486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50</v>
      </c>
      <c r="O48" s="27">
        <f>S48</f>
        <v>60</v>
      </c>
      <c r="Q48" s="24">
        <f>Q6</f>
        <v>20</v>
      </c>
      <c r="R48" s="24">
        <f>R6</f>
        <v>20</v>
      </c>
      <c r="S48" s="24">
        <f>S6</f>
        <v>60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72.303746455480109</v>
      </c>
      <c r="O49" s="27">
        <f>S49</f>
        <v>18.99381307096564</v>
      </c>
      <c r="Q49" s="24">
        <f>Q17</f>
        <v>62.806839919997294</v>
      </c>
      <c r="R49" s="24">
        <f>R17</f>
        <v>18.19934700903708</v>
      </c>
      <c r="S49" s="24">
        <f>S17</f>
        <v>18.99381307096564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45</v>
      </c>
      <c r="O51" s="27">
        <f>S51</f>
        <v>50</v>
      </c>
      <c r="Q51" s="24">
        <f>Q7</f>
        <v>20</v>
      </c>
      <c r="R51" s="24">
        <f>R7</f>
        <v>30</v>
      </c>
      <c r="S51" s="24">
        <f>S7</f>
        <v>50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62.857355509551454</v>
      </c>
      <c r="O52" s="27">
        <f>S52</f>
        <v>16.269934353163826</v>
      </c>
      <c r="Q52" s="24">
        <f>Q18</f>
        <v>54.722388332969544</v>
      </c>
      <c r="R52" s="24">
        <f>R18</f>
        <v>29.007677313866626</v>
      </c>
      <c r="S52" s="24">
        <f>S18</f>
        <v>16.269934353163826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40</v>
      </c>
      <c r="O54" s="27">
        <f>S54</f>
        <v>40</v>
      </c>
      <c r="Q54" s="24">
        <f>Q8</f>
        <v>20</v>
      </c>
      <c r="R54" s="24">
        <f>R8</f>
        <v>40</v>
      </c>
      <c r="S54" s="24">
        <f>S8</f>
        <v>40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54.458238259054049</v>
      </c>
      <c r="O55" s="27">
        <f>S55</f>
        <v>12.982672569842094</v>
      </c>
      <c r="Q55" s="24">
        <f>Q19</f>
        <v>47.966901974133002</v>
      </c>
      <c r="R55" s="24">
        <f>R19</f>
        <v>39.050425456024904</v>
      </c>
      <c r="S55" s="24">
        <f>S19</f>
        <v>12.982672569842094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35</v>
      </c>
      <c r="O57" s="27">
        <f>S57</f>
        <v>30</v>
      </c>
      <c r="Q57" s="24">
        <f>Q9</f>
        <v>20</v>
      </c>
      <c r="R57" s="24">
        <f>R9</f>
        <v>50</v>
      </c>
      <c r="S57" s="24">
        <f>S9</f>
        <v>30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47.310086547636637</v>
      </c>
      <c r="O58" s="27">
        <f>S58</f>
        <v>9.5709234891337349</v>
      </c>
      <c r="Q58" s="24">
        <f>Q20</f>
        <v>42.52462480306977</v>
      </c>
      <c r="R58" s="24">
        <f>R20</f>
        <v>47.904451707796504</v>
      </c>
      <c r="S58" s="24">
        <f>S20</f>
        <v>9.5709234891337349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30</v>
      </c>
      <c r="O60" s="27">
        <f>S60</f>
        <v>20</v>
      </c>
      <c r="Q60" s="24">
        <f>Q10</f>
        <v>20</v>
      </c>
      <c r="R60" s="24">
        <f>R10</f>
        <v>60</v>
      </c>
      <c r="S60" s="24">
        <f>S10</f>
        <v>20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41.319732597787215</v>
      </c>
      <c r="O61" s="27">
        <f>S61</f>
        <v>6.2342867034852407</v>
      </c>
      <c r="Q61" s="24">
        <f>Q21</f>
        <v>38.202589246044596</v>
      </c>
      <c r="R61" s="24">
        <f>R21</f>
        <v>55.563124050470172</v>
      </c>
      <c r="S61" s="24">
        <f>S21</f>
        <v>6.2342867034852407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25</v>
      </c>
      <c r="O63" s="27">
        <f>S63</f>
        <v>10</v>
      </c>
      <c r="Q63" s="24">
        <f>Q11</f>
        <v>20</v>
      </c>
      <c r="R63" s="24">
        <f>R11</f>
        <v>70</v>
      </c>
      <c r="S63" s="24">
        <f>S11</f>
        <v>10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36.297187689737861</v>
      </c>
      <c r="O64" s="27">
        <f>S64</f>
        <v>3.0413436366443438</v>
      </c>
      <c r="Q64" s="24">
        <f>Q22</f>
        <v>34.77651587141569</v>
      </c>
      <c r="R64" s="24">
        <f>R22</f>
        <v>62.182140491939954</v>
      </c>
      <c r="S64" s="24">
        <f>S22</f>
        <v>3.0413436366443438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20</v>
      </c>
      <c r="O66" s="27">
        <f>S66</f>
        <v>0</v>
      </c>
      <c r="Q66" s="24">
        <f>Q12</f>
        <v>20</v>
      </c>
      <c r="R66" s="24">
        <f>R12</f>
        <v>80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32.047090381597961</v>
      </c>
      <c r="O67" s="27">
        <f>S67</f>
        <v>0</v>
      </c>
      <c r="Q67" s="24">
        <f>Q23</f>
        <v>32.047090381597961</v>
      </c>
      <c r="R67" s="24">
        <f>R23</f>
        <v>67.952909618402046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3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3"/>
        <v>90</v>
      </c>
      <c r="B79" s="33">
        <v>10</v>
      </c>
      <c r="C79" s="34">
        <v>0</v>
      </c>
      <c r="D79" s="33">
        <f t="shared" ref="D79:D100" si="14">0.5*A79+B79</f>
        <v>55</v>
      </c>
      <c r="E79" s="33"/>
      <c r="F79" s="33">
        <f t="shared" ref="F79:F88" si="15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3"/>
        <v>80</v>
      </c>
      <c r="B80" s="33">
        <v>20</v>
      </c>
      <c r="C80" s="34">
        <v>0</v>
      </c>
      <c r="D80" s="33">
        <f t="shared" si="14"/>
        <v>60</v>
      </c>
      <c r="E80" s="33"/>
      <c r="F80" s="33">
        <f t="shared" si="15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3"/>
        <v>70</v>
      </c>
      <c r="B81" s="33">
        <v>30</v>
      </c>
      <c r="C81" s="34">
        <v>0</v>
      </c>
      <c r="D81" s="33">
        <f t="shared" si="14"/>
        <v>65</v>
      </c>
      <c r="E81" s="33"/>
      <c r="F81" s="33">
        <f t="shared" si="15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3"/>
        <v>60</v>
      </c>
      <c r="B82" s="33">
        <v>40</v>
      </c>
      <c r="C82" s="34">
        <v>0</v>
      </c>
      <c r="D82" s="33">
        <f t="shared" si="14"/>
        <v>70</v>
      </c>
      <c r="E82" s="33"/>
      <c r="F82" s="33">
        <f t="shared" si="15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3"/>
        <v>50</v>
      </c>
      <c r="B83" s="33">
        <v>50</v>
      </c>
      <c r="C83" s="34">
        <v>0</v>
      </c>
      <c r="D83" s="33">
        <f t="shared" si="14"/>
        <v>75</v>
      </c>
      <c r="E83" s="33"/>
      <c r="F83" s="33">
        <f t="shared" si="15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3"/>
        <v>40</v>
      </c>
      <c r="B84" s="33">
        <v>60</v>
      </c>
      <c r="C84" s="34">
        <v>0</v>
      </c>
      <c r="D84" s="33">
        <f t="shared" si="14"/>
        <v>80</v>
      </c>
      <c r="E84" s="33"/>
      <c r="F84" s="33">
        <f t="shared" si="15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3"/>
        <v>30</v>
      </c>
      <c r="B85" s="33">
        <v>70</v>
      </c>
      <c r="C85" s="34">
        <v>0</v>
      </c>
      <c r="D85" s="33">
        <f t="shared" si="14"/>
        <v>85</v>
      </c>
      <c r="E85" s="33"/>
      <c r="F85" s="33">
        <f t="shared" si="15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3"/>
        <v>20</v>
      </c>
      <c r="B86" s="33">
        <v>80</v>
      </c>
      <c r="C86" s="34">
        <v>0</v>
      </c>
      <c r="D86" s="33">
        <f t="shared" si="14"/>
        <v>90</v>
      </c>
      <c r="E86" s="33"/>
      <c r="F86" s="33">
        <f t="shared" si="15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3"/>
        <v>10</v>
      </c>
      <c r="B87" s="33">
        <v>90</v>
      </c>
      <c r="C87" s="34">
        <v>0</v>
      </c>
      <c r="D87" s="33">
        <f t="shared" si="14"/>
        <v>95</v>
      </c>
      <c r="E87" s="33"/>
      <c r="F87" s="33">
        <f t="shared" si="15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3"/>
        <v>0</v>
      </c>
      <c r="B88" s="33">
        <v>100</v>
      </c>
      <c r="C88" s="34">
        <v>0</v>
      </c>
      <c r="D88" s="33">
        <f t="shared" si="14"/>
        <v>100</v>
      </c>
      <c r="E88" s="33"/>
      <c r="F88" s="33">
        <f t="shared" si="15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3"/>
        <v>100</v>
      </c>
      <c r="B90" s="33">
        <v>0</v>
      </c>
      <c r="C90" s="34">
        <v>0</v>
      </c>
      <c r="D90" s="33">
        <f t="shared" si="14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3"/>
        <v>90</v>
      </c>
      <c r="B91" s="33">
        <v>0</v>
      </c>
      <c r="C91" s="34">
        <v>10</v>
      </c>
      <c r="D91" s="33">
        <f t="shared" si="14"/>
        <v>45</v>
      </c>
      <c r="E91" s="33">
        <f t="shared" ref="E91:E100" si="16">A91</f>
        <v>90</v>
      </c>
      <c r="F91" s="33">
        <f t="shared" ref="F91:F100" si="17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3"/>
        <v>80</v>
      </c>
      <c r="B92" s="33">
        <v>0</v>
      </c>
      <c r="C92" s="34">
        <v>20</v>
      </c>
      <c r="D92" s="33">
        <f t="shared" si="14"/>
        <v>40</v>
      </c>
      <c r="E92" s="33">
        <f t="shared" si="16"/>
        <v>80</v>
      </c>
      <c r="F92" s="33">
        <f t="shared" si="17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3"/>
        <v>70</v>
      </c>
      <c r="B93" s="33">
        <v>0</v>
      </c>
      <c r="C93" s="34">
        <v>30</v>
      </c>
      <c r="D93" s="33">
        <f t="shared" si="14"/>
        <v>35</v>
      </c>
      <c r="E93" s="33">
        <f t="shared" si="16"/>
        <v>70</v>
      </c>
      <c r="F93" s="33">
        <f t="shared" si="17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3"/>
        <v>60</v>
      </c>
      <c r="B94" s="33">
        <v>0</v>
      </c>
      <c r="C94" s="34">
        <v>40</v>
      </c>
      <c r="D94" s="33">
        <f t="shared" si="14"/>
        <v>30</v>
      </c>
      <c r="E94" s="33">
        <f t="shared" si="16"/>
        <v>60</v>
      </c>
      <c r="F94" s="33">
        <f t="shared" si="17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3"/>
        <v>50</v>
      </c>
      <c r="B95" s="33">
        <v>0</v>
      </c>
      <c r="C95" s="34">
        <v>50</v>
      </c>
      <c r="D95" s="33">
        <f t="shared" si="14"/>
        <v>25</v>
      </c>
      <c r="E95" s="33">
        <f t="shared" si="16"/>
        <v>50</v>
      </c>
      <c r="F95" s="33">
        <f t="shared" si="17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3"/>
        <v>40</v>
      </c>
      <c r="B96" s="33">
        <v>0</v>
      </c>
      <c r="C96" s="34">
        <v>60</v>
      </c>
      <c r="D96" s="33">
        <f t="shared" si="14"/>
        <v>20</v>
      </c>
      <c r="E96" s="33">
        <f t="shared" si="16"/>
        <v>40</v>
      </c>
      <c r="F96" s="33">
        <f t="shared" si="17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3"/>
        <v>30</v>
      </c>
      <c r="B97" s="33">
        <v>0</v>
      </c>
      <c r="C97" s="34">
        <v>70</v>
      </c>
      <c r="D97" s="33">
        <f t="shared" si="14"/>
        <v>15</v>
      </c>
      <c r="E97" s="33">
        <f t="shared" si="16"/>
        <v>30</v>
      </c>
      <c r="F97" s="33">
        <f t="shared" si="17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3"/>
        <v>20</v>
      </c>
      <c r="B98" s="33">
        <v>0</v>
      </c>
      <c r="C98" s="34">
        <v>80</v>
      </c>
      <c r="D98" s="33">
        <f t="shared" si="14"/>
        <v>10</v>
      </c>
      <c r="E98" s="33">
        <f t="shared" si="16"/>
        <v>20</v>
      </c>
      <c r="F98" s="33">
        <f t="shared" si="17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3"/>
        <v>10</v>
      </c>
      <c r="B99" s="33">
        <v>0</v>
      </c>
      <c r="C99" s="34">
        <v>90</v>
      </c>
      <c r="D99" s="33">
        <f t="shared" si="14"/>
        <v>5</v>
      </c>
      <c r="E99" s="33">
        <f t="shared" si="16"/>
        <v>10</v>
      </c>
      <c r="F99" s="33">
        <f t="shared" si="17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3"/>
        <v>0</v>
      </c>
      <c r="B100" s="33">
        <v>0</v>
      </c>
      <c r="C100" s="34">
        <v>100</v>
      </c>
      <c r="D100" s="33">
        <f t="shared" si="14"/>
        <v>0</v>
      </c>
      <c r="E100" s="33">
        <f t="shared" si="16"/>
        <v>0</v>
      </c>
      <c r="F100" s="33">
        <f t="shared" si="17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11" si="0">0.5*S4+Q4</f>
        <v>65</v>
      </c>
      <c r="O4" s="27">
        <f t="shared" ref="O4:O11" si="1">S4</f>
        <v>70</v>
      </c>
      <c r="Q4" s="24">
        <v>30</v>
      </c>
      <c r="R4" s="24">
        <v>0</v>
      </c>
      <c r="S4" s="24">
        <v>70</v>
      </c>
      <c r="U4" s="25"/>
      <c r="AB4" s="25"/>
      <c r="AC4" s="14">
        <f>Q4/100</f>
        <v>0.3</v>
      </c>
      <c r="AD4" s="14">
        <f t="shared" ref="AD4:AE11" si="2">R4/100</f>
        <v>0</v>
      </c>
      <c r="AE4" s="14">
        <f t="shared" si="2"/>
        <v>0.7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60</v>
      </c>
      <c r="O5" s="27">
        <f t="shared" si="1"/>
        <v>60</v>
      </c>
      <c r="Q5" s="24">
        <v>30</v>
      </c>
      <c r="R5" s="24">
        <v>10</v>
      </c>
      <c r="S5" s="24">
        <v>60</v>
      </c>
      <c r="U5" s="25"/>
      <c r="AC5" s="14">
        <f t="shared" ref="AC5:AC11" si="3">Q5/100</f>
        <v>0.3</v>
      </c>
      <c r="AD5" s="14">
        <f t="shared" si="2"/>
        <v>0.1</v>
      </c>
      <c r="AE5" s="14">
        <f t="shared" si="2"/>
        <v>0.6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55</v>
      </c>
      <c r="O6" s="27">
        <f t="shared" si="1"/>
        <v>50</v>
      </c>
      <c r="Q6" s="24">
        <v>30</v>
      </c>
      <c r="R6" s="24">
        <v>20</v>
      </c>
      <c r="S6" s="24">
        <v>50</v>
      </c>
      <c r="U6" s="25"/>
      <c r="AC6" s="14">
        <f t="shared" si="3"/>
        <v>0.3</v>
      </c>
      <c r="AD6" s="14">
        <f t="shared" si="2"/>
        <v>0.2</v>
      </c>
      <c r="AE6" s="14">
        <f t="shared" si="2"/>
        <v>0.5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50</v>
      </c>
      <c r="O7" s="27">
        <f t="shared" si="1"/>
        <v>40</v>
      </c>
      <c r="Q7" s="24">
        <v>30</v>
      </c>
      <c r="R7" s="24">
        <v>30</v>
      </c>
      <c r="S7" s="24">
        <v>40</v>
      </c>
      <c r="U7" s="25"/>
      <c r="AC7" s="14">
        <f t="shared" si="3"/>
        <v>0.3</v>
      </c>
      <c r="AD7" s="14">
        <f t="shared" si="2"/>
        <v>0.3</v>
      </c>
      <c r="AE7" s="14">
        <f t="shared" si="2"/>
        <v>0.4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45</v>
      </c>
      <c r="O8" s="27">
        <f t="shared" si="1"/>
        <v>30</v>
      </c>
      <c r="Q8" s="24">
        <v>30</v>
      </c>
      <c r="R8" s="24">
        <v>40</v>
      </c>
      <c r="S8" s="24">
        <v>30</v>
      </c>
      <c r="U8" s="25"/>
      <c r="AC8" s="14">
        <f t="shared" si="3"/>
        <v>0.3</v>
      </c>
      <c r="AD8" s="14">
        <f t="shared" si="2"/>
        <v>0.4</v>
      </c>
      <c r="AE8" s="14">
        <f t="shared" si="2"/>
        <v>0.3</v>
      </c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>
        <f t="shared" si="0"/>
        <v>40</v>
      </c>
      <c r="O9" s="27">
        <f t="shared" si="1"/>
        <v>20</v>
      </c>
      <c r="Q9" s="24">
        <v>30</v>
      </c>
      <c r="R9" s="24">
        <v>50</v>
      </c>
      <c r="S9" s="24">
        <v>20</v>
      </c>
      <c r="U9" s="25"/>
      <c r="AC9" s="14">
        <f t="shared" si="3"/>
        <v>0.3</v>
      </c>
      <c r="AD9" s="14">
        <f t="shared" si="2"/>
        <v>0.5</v>
      </c>
      <c r="AE9" s="14">
        <f t="shared" si="2"/>
        <v>0.2</v>
      </c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>
        <f t="shared" si="0"/>
        <v>35</v>
      </c>
      <c r="O10" s="27">
        <f t="shared" si="1"/>
        <v>10</v>
      </c>
      <c r="Q10" s="24">
        <v>30</v>
      </c>
      <c r="R10" s="24">
        <v>60</v>
      </c>
      <c r="S10" s="24">
        <v>10</v>
      </c>
      <c r="U10" s="25"/>
      <c r="AC10" s="14">
        <f t="shared" si="3"/>
        <v>0.3</v>
      </c>
      <c r="AD10" s="14">
        <f t="shared" si="2"/>
        <v>0.6</v>
      </c>
      <c r="AE10" s="14">
        <f t="shared" si="2"/>
        <v>0.1</v>
      </c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>
        <f t="shared" si="0"/>
        <v>30</v>
      </c>
      <c r="O11" s="27">
        <f t="shared" si="1"/>
        <v>0</v>
      </c>
      <c r="Q11" s="24">
        <v>30</v>
      </c>
      <c r="R11" s="24">
        <v>70</v>
      </c>
      <c r="S11" s="24">
        <v>0</v>
      </c>
      <c r="U11" s="25"/>
      <c r="AC11" s="14">
        <f t="shared" si="3"/>
        <v>0.3</v>
      </c>
      <c r="AD11" s="14">
        <f t="shared" si="2"/>
        <v>0.7</v>
      </c>
      <c r="AE11" s="14">
        <f t="shared" si="2"/>
        <v>0</v>
      </c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Q12" s="24"/>
      <c r="R12" s="24"/>
      <c r="S12" s="24"/>
      <c r="U12" s="25"/>
      <c r="AC12" s="14"/>
      <c r="AD12" s="14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22" si="4">0.5*S15+Q15</f>
        <v>90.257609672028664</v>
      </c>
      <c r="O15" s="27">
        <f t="shared" ref="O15:O22" si="5">S15</f>
        <v>19.484780655942675</v>
      </c>
      <c r="Q15" s="24">
        <f>'VLE Calculation - NRTL'!AI35*100</f>
        <v>80.515219344057328</v>
      </c>
      <c r="R15" s="24">
        <f>'VLE Calculation - NRTL'!AJ35*100</f>
        <v>0</v>
      </c>
      <c r="S15" s="24">
        <f>'VLE Calculation - NRTL'!AK35*100</f>
        <v>19.484780655942675</v>
      </c>
      <c r="U15" s="25"/>
      <c r="AB15" s="25"/>
      <c r="AC15" s="14">
        <f>Q15/100</f>
        <v>0.80515219344057332</v>
      </c>
      <c r="AD15" s="14">
        <f t="shared" ref="AD15:AE22" si="6">R15/100</f>
        <v>0</v>
      </c>
      <c r="AE15" s="14">
        <f t="shared" si="6"/>
        <v>0.19484780655942674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4"/>
        <v>83.986778910795408</v>
      </c>
      <c r="O16" s="27">
        <f t="shared" si="5"/>
        <v>18.253179856700839</v>
      </c>
      <c r="Q16" s="24">
        <f>'VLE Calculation - NRTL'!AI36*100</f>
        <v>74.860188982444996</v>
      </c>
      <c r="R16" s="24">
        <f>'VLE Calculation - NRTL'!AJ36*100</f>
        <v>6.8866311608541606</v>
      </c>
      <c r="S16" s="24">
        <f>'VLE Calculation - NRTL'!AK36*100</f>
        <v>18.253179856700839</v>
      </c>
      <c r="U16" s="25"/>
      <c r="AC16" s="14">
        <f t="shared" ref="AC16:AC22" si="7">Q16/100</f>
        <v>0.74860188982444997</v>
      </c>
      <c r="AD16" s="14">
        <f t="shared" si="6"/>
        <v>6.8866311608541605E-2</v>
      </c>
      <c r="AE16" s="14">
        <f t="shared" si="6"/>
        <v>0.18253179856700841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4"/>
        <v>76.258690865869568</v>
      </c>
      <c r="O17" s="27">
        <f t="shared" si="5"/>
        <v>15.789063091810803</v>
      </c>
      <c r="Q17" s="24">
        <f>'VLE Calculation - NRTL'!AI37*100</f>
        <v>68.364159319964173</v>
      </c>
      <c r="R17" s="24">
        <f>'VLE Calculation - NRTL'!AJ37*100</f>
        <v>15.846777588225031</v>
      </c>
      <c r="S17" s="24">
        <f>'VLE Calculation - NRTL'!AK37*100</f>
        <v>15.789063091810803</v>
      </c>
      <c r="U17" s="25"/>
      <c r="AC17" s="14">
        <f t="shared" si="7"/>
        <v>0.68364159319964168</v>
      </c>
      <c r="AD17" s="14">
        <f t="shared" si="6"/>
        <v>0.15846777588225031</v>
      </c>
      <c r="AE17" s="14">
        <f t="shared" si="6"/>
        <v>0.15789063091810804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4"/>
        <v>68.337140129969043</v>
      </c>
      <c r="O18" s="27">
        <f t="shared" si="5"/>
        <v>12.673360567719724</v>
      </c>
      <c r="Q18" s="24">
        <f>'VLE Calculation - NRTL'!AI38*100</f>
        <v>62.000459846109187</v>
      </c>
      <c r="R18" s="24">
        <f>'VLE Calculation - NRTL'!AJ38*100</f>
        <v>25.326179586171083</v>
      </c>
      <c r="S18" s="24">
        <f>'VLE Calculation - NRTL'!AK38*100</f>
        <v>12.673360567719724</v>
      </c>
      <c r="U18" s="25"/>
      <c r="AC18" s="14">
        <f t="shared" si="7"/>
        <v>0.6200045984610919</v>
      </c>
      <c r="AD18" s="14">
        <f t="shared" si="6"/>
        <v>0.25326179586171083</v>
      </c>
      <c r="AE18" s="14">
        <f t="shared" si="6"/>
        <v>0.12673360567719724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4"/>
        <v>60.986962745861021</v>
      </c>
      <c r="O19" s="27">
        <f t="shared" si="5"/>
        <v>9.3560312659710618</v>
      </c>
      <c r="Q19" s="24">
        <f>'VLE Calculation - NRTL'!AI39*100</f>
        <v>56.308947112875494</v>
      </c>
      <c r="R19" s="24">
        <f>'VLE Calculation - NRTL'!AJ39*100</f>
        <v>34.335021621153437</v>
      </c>
      <c r="S19" s="24">
        <f>'VLE Calculation - NRTL'!AK39*100</f>
        <v>9.3560312659710618</v>
      </c>
      <c r="U19" s="25"/>
      <c r="AC19" s="14">
        <f t="shared" si="7"/>
        <v>0.56308947112875496</v>
      </c>
      <c r="AD19" s="14">
        <f t="shared" si="6"/>
        <v>0.34335021621153439</v>
      </c>
      <c r="AE19" s="14">
        <f t="shared" si="6"/>
        <v>9.3560312659710612E-2</v>
      </c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>
        <f t="shared" si="4"/>
        <v>54.508802100566896</v>
      </c>
      <c r="O20" s="27">
        <f t="shared" si="5"/>
        <v>6.0840651003172894</v>
      </c>
      <c r="Q20" s="24">
        <f>'VLE Calculation - NRTL'!AI40*100</f>
        <v>51.466769550408252</v>
      </c>
      <c r="R20" s="24">
        <f>'VLE Calculation - NRTL'!AJ40*100</f>
        <v>42.449165349274445</v>
      </c>
      <c r="S20" s="24">
        <f>'VLE Calculation - NRTL'!AK40*100</f>
        <v>6.0840651003172894</v>
      </c>
      <c r="U20" s="25"/>
      <c r="AC20" s="14">
        <f t="shared" si="7"/>
        <v>0.51466769550408253</v>
      </c>
      <c r="AD20" s="14">
        <f t="shared" si="6"/>
        <v>0.42449165349274443</v>
      </c>
      <c r="AE20" s="14">
        <f t="shared" si="6"/>
        <v>6.0840651003172895E-2</v>
      </c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>
        <f t="shared" si="4"/>
        <v>48.929309644783508</v>
      </c>
      <c r="O21" s="27">
        <f t="shared" si="5"/>
        <v>2.9581787537275268</v>
      </c>
      <c r="Q21" s="24">
        <f>'VLE Calculation - NRTL'!AI41*100</f>
        <v>47.450220267919747</v>
      </c>
      <c r="R21" s="24">
        <f>'VLE Calculation - NRTL'!AJ41*100</f>
        <v>49.591600978352723</v>
      </c>
      <c r="S21" s="24">
        <f>'VLE Calculation - NRTL'!AK41*100</f>
        <v>2.9581787537275268</v>
      </c>
      <c r="U21" s="25"/>
      <c r="AC21" s="14">
        <f t="shared" si="7"/>
        <v>0.47450220267919746</v>
      </c>
      <c r="AD21" s="14">
        <f t="shared" si="6"/>
        <v>0.49591600978352723</v>
      </c>
      <c r="AE21" s="14">
        <f t="shared" si="6"/>
        <v>2.9581787537275268E-2</v>
      </c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>
        <f t="shared" si="4"/>
        <v>44.153872822026216</v>
      </c>
      <c r="O22" s="27">
        <f t="shared" si="5"/>
        <v>0</v>
      </c>
      <c r="Q22" s="24">
        <f>'VLE Calculation - NRTL'!AI42*100</f>
        <v>44.153872822026216</v>
      </c>
      <c r="R22" s="24">
        <f>'VLE Calculation - NRTL'!AJ42*100</f>
        <v>55.846127177973784</v>
      </c>
      <c r="S22" s="24">
        <f>'VLE Calculation - NRTL'!AK42*100</f>
        <v>0</v>
      </c>
      <c r="U22" s="25"/>
      <c r="AC22" s="14">
        <f t="shared" si="7"/>
        <v>0.44153872822026213</v>
      </c>
      <c r="AD22" s="14">
        <f t="shared" si="6"/>
        <v>0.55846127177973781</v>
      </c>
      <c r="AE22" s="14">
        <f t="shared" si="6"/>
        <v>0</v>
      </c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/>
      <c r="O23" s="27"/>
      <c r="Q23" s="24"/>
      <c r="R23" s="24"/>
      <c r="S23" s="24"/>
      <c r="U23" s="25"/>
      <c r="AC23" s="26"/>
      <c r="AD23" s="26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33" si="8">0.5*S26+Q26</f>
        <v>90.62</v>
      </c>
      <c r="O26" s="27">
        <f t="shared" ref="O26:O33" si="9">S26</f>
        <v>18.760000000000005</v>
      </c>
      <c r="Q26" s="24">
        <f t="shared" ref="Q26:R33" si="10">AC26*100</f>
        <v>81.239999999999995</v>
      </c>
      <c r="R26" s="24">
        <f t="shared" si="10"/>
        <v>0</v>
      </c>
      <c r="S26" s="24">
        <f t="shared" ref="S26:S33" si="11">100-Q26-R26</f>
        <v>18.760000000000005</v>
      </c>
      <c r="U26" s="24"/>
      <c r="V26" s="24"/>
      <c r="W26" s="24"/>
      <c r="AC26" s="14">
        <v>0.81240000000000001</v>
      </c>
      <c r="AD26" s="14">
        <v>0</v>
      </c>
      <c r="AE26" s="14">
        <f>1-AC26-AD26</f>
        <v>0.18759999999999999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8"/>
        <v>84.75</v>
      </c>
      <c r="O27" s="27">
        <f t="shared" si="9"/>
        <v>17.5</v>
      </c>
      <c r="Q27" s="24">
        <f t="shared" si="10"/>
        <v>76</v>
      </c>
      <c r="R27" s="24">
        <f t="shared" si="10"/>
        <v>6.5</v>
      </c>
      <c r="S27" s="24">
        <f t="shared" si="11"/>
        <v>17.5</v>
      </c>
      <c r="U27" s="24"/>
      <c r="V27" s="24"/>
      <c r="W27" s="24"/>
      <c r="AC27" s="14">
        <v>0.76</v>
      </c>
      <c r="AD27" s="14">
        <v>6.5000000000000002E-2</v>
      </c>
      <c r="AE27" s="26">
        <f t="shared" ref="AE27:AE33" si="12">1-AC27-AD27</f>
        <v>0.17499999999999999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8"/>
        <v>77.5</v>
      </c>
      <c r="O28" s="27">
        <f t="shared" si="9"/>
        <v>15</v>
      </c>
      <c r="Q28" s="24">
        <f t="shared" si="10"/>
        <v>70</v>
      </c>
      <c r="R28" s="24">
        <f t="shared" si="10"/>
        <v>15</v>
      </c>
      <c r="S28" s="24">
        <f t="shared" si="11"/>
        <v>15</v>
      </c>
      <c r="U28" s="24"/>
      <c r="V28" s="24"/>
      <c r="W28" s="24"/>
      <c r="AC28" s="14">
        <v>0.7</v>
      </c>
      <c r="AD28" s="14">
        <v>0.15</v>
      </c>
      <c r="AE28" s="26">
        <f t="shared" si="12"/>
        <v>0.15000000000000005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8"/>
        <v>68.5</v>
      </c>
      <c r="O29" s="27">
        <f t="shared" si="9"/>
        <v>12</v>
      </c>
      <c r="P29" s="27"/>
      <c r="Q29" s="24">
        <f t="shared" si="10"/>
        <v>62.5</v>
      </c>
      <c r="R29" s="24">
        <f t="shared" si="10"/>
        <v>25.5</v>
      </c>
      <c r="S29" s="24">
        <f t="shared" si="11"/>
        <v>12</v>
      </c>
      <c r="U29" s="24"/>
      <c r="V29" s="24"/>
      <c r="W29" s="24"/>
      <c r="AC29" s="14">
        <v>0.625</v>
      </c>
      <c r="AD29" s="14">
        <v>0.255</v>
      </c>
      <c r="AE29" s="26">
        <f t="shared" si="12"/>
        <v>0.12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>
        <f t="shared" si="8"/>
        <v>61.25</v>
      </c>
      <c r="O30" s="27">
        <f t="shared" si="9"/>
        <v>8.5000000000000071</v>
      </c>
      <c r="Q30" s="24">
        <f t="shared" si="10"/>
        <v>56.999999999999993</v>
      </c>
      <c r="R30" s="24">
        <f t="shared" si="10"/>
        <v>34.5</v>
      </c>
      <c r="S30" s="24">
        <f t="shared" si="11"/>
        <v>8.5000000000000071</v>
      </c>
      <c r="U30" s="25"/>
      <c r="AC30" s="14">
        <v>0.56999999999999995</v>
      </c>
      <c r="AD30" s="14">
        <v>0.34499999999999997</v>
      </c>
      <c r="AE30" s="26">
        <f t="shared" si="12"/>
        <v>8.5000000000000075E-2</v>
      </c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>
        <f t="shared" si="8"/>
        <v>55.25</v>
      </c>
      <c r="O31" s="27">
        <f t="shared" si="9"/>
        <v>6.5</v>
      </c>
      <c r="Q31" s="24">
        <f t="shared" si="10"/>
        <v>52</v>
      </c>
      <c r="R31" s="24">
        <f t="shared" si="10"/>
        <v>41.5</v>
      </c>
      <c r="S31" s="24">
        <f t="shared" si="11"/>
        <v>6.5</v>
      </c>
      <c r="U31" s="25"/>
      <c r="AC31" s="14">
        <v>0.52</v>
      </c>
      <c r="AD31" s="14">
        <v>0.41499999999999998</v>
      </c>
      <c r="AE31" s="26">
        <f t="shared" si="12"/>
        <v>6.5000000000000002E-2</v>
      </c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>
        <f t="shared" si="8"/>
        <v>48.25</v>
      </c>
      <c r="O32" s="27">
        <f t="shared" si="9"/>
        <v>3.5</v>
      </c>
      <c r="Q32" s="24">
        <f t="shared" si="10"/>
        <v>46.5</v>
      </c>
      <c r="R32" s="24">
        <f t="shared" si="10"/>
        <v>50</v>
      </c>
      <c r="S32" s="24">
        <f t="shared" si="11"/>
        <v>3.5</v>
      </c>
      <c r="U32" s="25"/>
      <c r="AC32" s="14">
        <v>0.46500000000000002</v>
      </c>
      <c r="AD32" s="14">
        <v>0.5</v>
      </c>
      <c r="AE32" s="26">
        <f t="shared" si="12"/>
        <v>3.499999999999992E-2</v>
      </c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>
        <f t="shared" si="8"/>
        <v>43.8</v>
      </c>
      <c r="O33" s="27">
        <f t="shared" si="9"/>
        <v>0</v>
      </c>
      <c r="P33" s="27"/>
      <c r="Q33" s="24">
        <f t="shared" si="10"/>
        <v>43.8</v>
      </c>
      <c r="R33" s="24">
        <f t="shared" si="10"/>
        <v>56.2</v>
      </c>
      <c r="S33" s="24">
        <f t="shared" si="11"/>
        <v>0</v>
      </c>
      <c r="U33" s="25"/>
      <c r="AC33" s="14">
        <v>0.438</v>
      </c>
      <c r="AD33" s="14">
        <f>1-AC33</f>
        <v>0.56200000000000006</v>
      </c>
      <c r="AE33" s="14">
        <f t="shared" si="12"/>
        <v>0</v>
      </c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/>
      <c r="O34" s="27"/>
      <c r="Q34" s="24"/>
      <c r="R34" s="24"/>
      <c r="S34" s="24"/>
      <c r="U34" s="25"/>
      <c r="AC34" s="14"/>
      <c r="AD34" s="14"/>
      <c r="AE34" s="14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60</v>
      </c>
      <c r="O45" s="27">
        <f>S45</f>
        <v>60</v>
      </c>
      <c r="Q45" s="24">
        <f>Q5</f>
        <v>30</v>
      </c>
      <c r="R45" s="24">
        <f>R5</f>
        <v>10</v>
      </c>
      <c r="S45" s="24">
        <f>S5</f>
        <v>60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83.986778910795408</v>
      </c>
      <c r="O46" s="27">
        <f>S46</f>
        <v>18.253179856700839</v>
      </c>
      <c r="Q46" s="24">
        <f>Q16</f>
        <v>74.860188982444996</v>
      </c>
      <c r="R46" s="24">
        <f>R16</f>
        <v>6.8866311608541606</v>
      </c>
      <c r="S46" s="24">
        <f>S16</f>
        <v>18.253179856700839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55</v>
      </c>
      <c r="O48" s="27">
        <f>S48</f>
        <v>50</v>
      </c>
      <c r="Q48" s="24">
        <f>Q6</f>
        <v>30</v>
      </c>
      <c r="R48" s="24">
        <f>R6</f>
        <v>20</v>
      </c>
      <c r="S48" s="24">
        <f>S6</f>
        <v>50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76.258690865869568</v>
      </c>
      <c r="O49" s="27">
        <f>S49</f>
        <v>15.789063091810803</v>
      </c>
      <c r="Q49" s="24">
        <f>Q17</f>
        <v>68.364159319964173</v>
      </c>
      <c r="R49" s="24">
        <f>R17</f>
        <v>15.846777588225031</v>
      </c>
      <c r="S49" s="24">
        <f>S17</f>
        <v>15.789063091810803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50</v>
      </c>
      <c r="O51" s="27">
        <f>S51</f>
        <v>40</v>
      </c>
      <c r="Q51" s="24">
        <f>Q7</f>
        <v>30</v>
      </c>
      <c r="R51" s="24">
        <f>R7</f>
        <v>30</v>
      </c>
      <c r="S51" s="24">
        <f>S7</f>
        <v>40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68.337140129969043</v>
      </c>
      <c r="O52" s="27">
        <f>S52</f>
        <v>12.673360567719724</v>
      </c>
      <c r="Q52" s="24">
        <f>Q18</f>
        <v>62.000459846109187</v>
      </c>
      <c r="R52" s="24">
        <f>R18</f>
        <v>25.326179586171083</v>
      </c>
      <c r="S52" s="24">
        <f>S18</f>
        <v>12.673360567719724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45</v>
      </c>
      <c r="O54" s="27">
        <f>S54</f>
        <v>30</v>
      </c>
      <c r="Q54" s="24">
        <f>Q8</f>
        <v>30</v>
      </c>
      <c r="R54" s="24">
        <f>R8</f>
        <v>40</v>
      </c>
      <c r="S54" s="24">
        <f>S8</f>
        <v>30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60.986962745861021</v>
      </c>
      <c r="O55" s="27">
        <f>S55</f>
        <v>9.3560312659710618</v>
      </c>
      <c r="Q55" s="24">
        <f>Q19</f>
        <v>56.308947112875494</v>
      </c>
      <c r="R55" s="24">
        <f>R19</f>
        <v>34.335021621153437</v>
      </c>
      <c r="S55" s="24">
        <f>S19</f>
        <v>9.3560312659710618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40</v>
      </c>
      <c r="O57" s="27">
        <f>S57</f>
        <v>20</v>
      </c>
      <c r="Q57" s="24">
        <f>Q9</f>
        <v>30</v>
      </c>
      <c r="R57" s="24">
        <f>R9</f>
        <v>50</v>
      </c>
      <c r="S57" s="24">
        <f>S9</f>
        <v>20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54.508802100566896</v>
      </c>
      <c r="O58" s="27">
        <f>S58</f>
        <v>6.0840651003172894</v>
      </c>
      <c r="Q58" s="24">
        <f>Q20</f>
        <v>51.466769550408252</v>
      </c>
      <c r="R58" s="24">
        <f>R20</f>
        <v>42.449165349274445</v>
      </c>
      <c r="S58" s="24">
        <f>S20</f>
        <v>6.0840651003172894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35</v>
      </c>
      <c r="O60" s="27">
        <f>S60</f>
        <v>10</v>
      </c>
      <c r="Q60" s="24">
        <f>Q10</f>
        <v>30</v>
      </c>
      <c r="R60" s="24">
        <f>R10</f>
        <v>60</v>
      </c>
      <c r="S60" s="24">
        <f>S10</f>
        <v>10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48.929309644783508</v>
      </c>
      <c r="O61" s="27">
        <f>S61</f>
        <v>2.9581787537275268</v>
      </c>
      <c r="Q61" s="24">
        <f>Q21</f>
        <v>47.450220267919747</v>
      </c>
      <c r="R61" s="24">
        <f>R21</f>
        <v>49.591600978352723</v>
      </c>
      <c r="S61" s="24">
        <f>S21</f>
        <v>2.9581787537275268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30</v>
      </c>
      <c r="O63" s="27">
        <f>S63</f>
        <v>0</v>
      </c>
      <c r="Q63" s="24">
        <f>Q11</f>
        <v>30</v>
      </c>
      <c r="R63" s="24">
        <f>R11</f>
        <v>70</v>
      </c>
      <c r="S63" s="24">
        <f>S11</f>
        <v>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44.153872822026216</v>
      </c>
      <c r="O64" s="27">
        <f>S64</f>
        <v>0</v>
      </c>
      <c r="Q64" s="24">
        <f>Q22</f>
        <v>44.153872822026216</v>
      </c>
      <c r="R64" s="24">
        <f>R22</f>
        <v>55.846127177973784</v>
      </c>
      <c r="S64" s="24">
        <f>S22</f>
        <v>0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0</v>
      </c>
      <c r="O66" s="27">
        <f>S66</f>
        <v>0</v>
      </c>
      <c r="Q66" s="24">
        <f>Q12</f>
        <v>0</v>
      </c>
      <c r="R66" s="24">
        <f>R12</f>
        <v>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0</v>
      </c>
      <c r="O67" s="27">
        <f>S67</f>
        <v>0</v>
      </c>
      <c r="Q67" s="24">
        <f>Q23</f>
        <v>0</v>
      </c>
      <c r="R67" s="24">
        <f>R23</f>
        <v>0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3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3"/>
        <v>90</v>
      </c>
      <c r="B79" s="33">
        <v>10</v>
      </c>
      <c r="C79" s="34">
        <v>0</v>
      </c>
      <c r="D79" s="33">
        <f t="shared" ref="D79:D100" si="14">0.5*A79+B79</f>
        <v>55</v>
      </c>
      <c r="E79" s="33"/>
      <c r="F79" s="33">
        <f t="shared" ref="F79:F88" si="15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3"/>
        <v>80</v>
      </c>
      <c r="B80" s="33">
        <v>20</v>
      </c>
      <c r="C80" s="34">
        <v>0</v>
      </c>
      <c r="D80" s="33">
        <f t="shared" si="14"/>
        <v>60</v>
      </c>
      <c r="E80" s="33"/>
      <c r="F80" s="33">
        <f t="shared" si="15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3"/>
        <v>70</v>
      </c>
      <c r="B81" s="33">
        <v>30</v>
      </c>
      <c r="C81" s="34">
        <v>0</v>
      </c>
      <c r="D81" s="33">
        <f t="shared" si="14"/>
        <v>65</v>
      </c>
      <c r="E81" s="33"/>
      <c r="F81" s="33">
        <f t="shared" si="15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3"/>
        <v>60</v>
      </c>
      <c r="B82" s="33">
        <v>40</v>
      </c>
      <c r="C82" s="34">
        <v>0</v>
      </c>
      <c r="D82" s="33">
        <f t="shared" si="14"/>
        <v>70</v>
      </c>
      <c r="E82" s="33"/>
      <c r="F82" s="33">
        <f t="shared" si="15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3"/>
        <v>50</v>
      </c>
      <c r="B83" s="33">
        <v>50</v>
      </c>
      <c r="C83" s="34">
        <v>0</v>
      </c>
      <c r="D83" s="33">
        <f t="shared" si="14"/>
        <v>75</v>
      </c>
      <c r="E83" s="33"/>
      <c r="F83" s="33">
        <f t="shared" si="15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3"/>
        <v>40</v>
      </c>
      <c r="B84" s="33">
        <v>60</v>
      </c>
      <c r="C84" s="34">
        <v>0</v>
      </c>
      <c r="D84" s="33">
        <f t="shared" si="14"/>
        <v>80</v>
      </c>
      <c r="E84" s="33"/>
      <c r="F84" s="33">
        <f t="shared" si="15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3"/>
        <v>30</v>
      </c>
      <c r="B85" s="33">
        <v>70</v>
      </c>
      <c r="C85" s="34">
        <v>0</v>
      </c>
      <c r="D85" s="33">
        <f t="shared" si="14"/>
        <v>85</v>
      </c>
      <c r="E85" s="33"/>
      <c r="F85" s="33">
        <f t="shared" si="15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3"/>
        <v>20</v>
      </c>
      <c r="B86" s="33">
        <v>80</v>
      </c>
      <c r="C86" s="34">
        <v>0</v>
      </c>
      <c r="D86" s="33">
        <f t="shared" si="14"/>
        <v>90</v>
      </c>
      <c r="E86" s="33"/>
      <c r="F86" s="33">
        <f t="shared" si="15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3"/>
        <v>10</v>
      </c>
      <c r="B87" s="33">
        <v>90</v>
      </c>
      <c r="C87" s="34">
        <v>0</v>
      </c>
      <c r="D87" s="33">
        <f t="shared" si="14"/>
        <v>95</v>
      </c>
      <c r="E87" s="33"/>
      <c r="F87" s="33">
        <f t="shared" si="15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3"/>
        <v>0</v>
      </c>
      <c r="B88" s="33">
        <v>100</v>
      </c>
      <c r="C88" s="34">
        <v>0</v>
      </c>
      <c r="D88" s="33">
        <f t="shared" si="14"/>
        <v>100</v>
      </c>
      <c r="E88" s="33"/>
      <c r="F88" s="33">
        <f t="shared" si="15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3"/>
        <v>100</v>
      </c>
      <c r="B90" s="33">
        <v>0</v>
      </c>
      <c r="C90" s="34">
        <v>0</v>
      </c>
      <c r="D90" s="33">
        <f t="shared" si="14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3"/>
        <v>90</v>
      </c>
      <c r="B91" s="33">
        <v>0</v>
      </c>
      <c r="C91" s="34">
        <v>10</v>
      </c>
      <c r="D91" s="33">
        <f t="shared" si="14"/>
        <v>45</v>
      </c>
      <c r="E91" s="33">
        <f t="shared" ref="E91:E100" si="16">A91</f>
        <v>90</v>
      </c>
      <c r="F91" s="33">
        <f t="shared" ref="F91:F100" si="17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3"/>
        <v>80</v>
      </c>
      <c r="B92" s="33">
        <v>0</v>
      </c>
      <c r="C92" s="34">
        <v>20</v>
      </c>
      <c r="D92" s="33">
        <f t="shared" si="14"/>
        <v>40</v>
      </c>
      <c r="E92" s="33">
        <f t="shared" si="16"/>
        <v>80</v>
      </c>
      <c r="F92" s="33">
        <f t="shared" si="17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3"/>
        <v>70</v>
      </c>
      <c r="B93" s="33">
        <v>0</v>
      </c>
      <c r="C93" s="34">
        <v>30</v>
      </c>
      <c r="D93" s="33">
        <f t="shared" si="14"/>
        <v>35</v>
      </c>
      <c r="E93" s="33">
        <f t="shared" si="16"/>
        <v>70</v>
      </c>
      <c r="F93" s="33">
        <f t="shared" si="17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3"/>
        <v>60</v>
      </c>
      <c r="B94" s="33">
        <v>0</v>
      </c>
      <c r="C94" s="34">
        <v>40</v>
      </c>
      <c r="D94" s="33">
        <f t="shared" si="14"/>
        <v>30</v>
      </c>
      <c r="E94" s="33">
        <f t="shared" si="16"/>
        <v>60</v>
      </c>
      <c r="F94" s="33">
        <f t="shared" si="17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3"/>
        <v>50</v>
      </c>
      <c r="B95" s="33">
        <v>0</v>
      </c>
      <c r="C95" s="34">
        <v>50</v>
      </c>
      <c r="D95" s="33">
        <f t="shared" si="14"/>
        <v>25</v>
      </c>
      <c r="E95" s="33">
        <f t="shared" si="16"/>
        <v>50</v>
      </c>
      <c r="F95" s="33">
        <f t="shared" si="17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3"/>
        <v>40</v>
      </c>
      <c r="B96" s="33">
        <v>0</v>
      </c>
      <c r="C96" s="34">
        <v>60</v>
      </c>
      <c r="D96" s="33">
        <f t="shared" si="14"/>
        <v>20</v>
      </c>
      <c r="E96" s="33">
        <f t="shared" si="16"/>
        <v>40</v>
      </c>
      <c r="F96" s="33">
        <f t="shared" si="17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3"/>
        <v>30</v>
      </c>
      <c r="B97" s="33">
        <v>0</v>
      </c>
      <c r="C97" s="34">
        <v>70</v>
      </c>
      <c r="D97" s="33">
        <f t="shared" si="14"/>
        <v>15</v>
      </c>
      <c r="E97" s="33">
        <f t="shared" si="16"/>
        <v>30</v>
      </c>
      <c r="F97" s="33">
        <f t="shared" si="17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3"/>
        <v>20</v>
      </c>
      <c r="B98" s="33">
        <v>0</v>
      </c>
      <c r="C98" s="34">
        <v>80</v>
      </c>
      <c r="D98" s="33">
        <f t="shared" si="14"/>
        <v>10</v>
      </c>
      <c r="E98" s="33">
        <f t="shared" si="16"/>
        <v>20</v>
      </c>
      <c r="F98" s="33">
        <f t="shared" si="17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3"/>
        <v>10</v>
      </c>
      <c r="B99" s="33">
        <v>0</v>
      </c>
      <c r="C99" s="34">
        <v>90</v>
      </c>
      <c r="D99" s="33">
        <f t="shared" si="14"/>
        <v>5</v>
      </c>
      <c r="E99" s="33">
        <f t="shared" si="16"/>
        <v>10</v>
      </c>
      <c r="F99" s="33">
        <f t="shared" si="17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3"/>
        <v>0</v>
      </c>
      <c r="B100" s="33">
        <v>0</v>
      </c>
      <c r="C100" s="34">
        <v>100</v>
      </c>
      <c r="D100" s="33">
        <f t="shared" si="14"/>
        <v>0</v>
      </c>
      <c r="E100" s="33">
        <f t="shared" si="16"/>
        <v>0</v>
      </c>
      <c r="F100" s="33">
        <f t="shared" si="17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10" si="0">0.5*S4+Q4</f>
        <v>70</v>
      </c>
      <c r="O4" s="27">
        <f t="shared" ref="O4:O10" si="1">S4</f>
        <v>60</v>
      </c>
      <c r="Q4" s="24">
        <v>40</v>
      </c>
      <c r="R4" s="24">
        <v>0</v>
      </c>
      <c r="S4" s="24">
        <f>100-Q4-R4</f>
        <v>60</v>
      </c>
      <c r="U4" s="25"/>
      <c r="AB4" s="25"/>
      <c r="AC4" s="14">
        <f>Q4/100</f>
        <v>0.4</v>
      </c>
      <c r="AD4" s="14">
        <f t="shared" ref="AD4:AE10" si="2">R4/100</f>
        <v>0</v>
      </c>
      <c r="AE4" s="14">
        <f t="shared" si="2"/>
        <v>0.6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65</v>
      </c>
      <c r="O5" s="27">
        <f t="shared" si="1"/>
        <v>50</v>
      </c>
      <c r="Q5" s="24">
        <f>Q4</f>
        <v>40</v>
      </c>
      <c r="R5" s="24">
        <f>R4+10</f>
        <v>10</v>
      </c>
      <c r="S5" s="24">
        <f t="shared" ref="S5:S10" si="3">100-Q5-R5</f>
        <v>50</v>
      </c>
      <c r="U5" s="25"/>
      <c r="AC5" s="14">
        <f t="shared" ref="AC5:AC10" si="4">Q5/100</f>
        <v>0.4</v>
      </c>
      <c r="AD5" s="14">
        <f t="shared" si="2"/>
        <v>0.1</v>
      </c>
      <c r="AE5" s="14">
        <f t="shared" si="2"/>
        <v>0.5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60</v>
      </c>
      <c r="O6" s="27">
        <f t="shared" si="1"/>
        <v>40</v>
      </c>
      <c r="Q6" s="24">
        <f t="shared" ref="Q6:Q10" si="5">Q5</f>
        <v>40</v>
      </c>
      <c r="R6" s="24">
        <f t="shared" ref="R6:R10" si="6">R5+10</f>
        <v>20</v>
      </c>
      <c r="S6" s="24">
        <f t="shared" si="3"/>
        <v>40</v>
      </c>
      <c r="U6" s="25"/>
      <c r="AC6" s="14">
        <f t="shared" si="4"/>
        <v>0.4</v>
      </c>
      <c r="AD6" s="14">
        <f t="shared" si="2"/>
        <v>0.2</v>
      </c>
      <c r="AE6" s="14">
        <f t="shared" si="2"/>
        <v>0.4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55</v>
      </c>
      <c r="O7" s="27">
        <f t="shared" si="1"/>
        <v>30</v>
      </c>
      <c r="Q7" s="24">
        <f t="shared" si="5"/>
        <v>40</v>
      </c>
      <c r="R7" s="24">
        <f t="shared" si="6"/>
        <v>30</v>
      </c>
      <c r="S7" s="24">
        <f t="shared" si="3"/>
        <v>30</v>
      </c>
      <c r="U7" s="25"/>
      <c r="AC7" s="14">
        <f t="shared" si="4"/>
        <v>0.4</v>
      </c>
      <c r="AD7" s="14">
        <f t="shared" si="2"/>
        <v>0.3</v>
      </c>
      <c r="AE7" s="14">
        <f t="shared" si="2"/>
        <v>0.3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50</v>
      </c>
      <c r="O8" s="27">
        <f t="shared" si="1"/>
        <v>20</v>
      </c>
      <c r="Q8" s="24">
        <f t="shared" si="5"/>
        <v>40</v>
      </c>
      <c r="R8" s="24">
        <f t="shared" si="6"/>
        <v>40</v>
      </c>
      <c r="S8" s="24">
        <f t="shared" si="3"/>
        <v>20</v>
      </c>
      <c r="U8" s="25"/>
      <c r="AC8" s="14">
        <f t="shared" si="4"/>
        <v>0.4</v>
      </c>
      <c r="AD8" s="14">
        <f t="shared" si="2"/>
        <v>0.4</v>
      </c>
      <c r="AE8" s="14">
        <f t="shared" si="2"/>
        <v>0.2</v>
      </c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>
        <f t="shared" si="0"/>
        <v>45</v>
      </c>
      <c r="O9" s="27">
        <f t="shared" si="1"/>
        <v>10</v>
      </c>
      <c r="Q9" s="24">
        <f t="shared" si="5"/>
        <v>40</v>
      </c>
      <c r="R9" s="24">
        <f t="shared" si="6"/>
        <v>50</v>
      </c>
      <c r="S9" s="24">
        <f t="shared" si="3"/>
        <v>10</v>
      </c>
      <c r="U9" s="25"/>
      <c r="AC9" s="14">
        <f t="shared" si="4"/>
        <v>0.4</v>
      </c>
      <c r="AD9" s="14">
        <f t="shared" si="2"/>
        <v>0.5</v>
      </c>
      <c r="AE9" s="14">
        <f t="shared" si="2"/>
        <v>0.1</v>
      </c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>
        <f t="shared" si="0"/>
        <v>40</v>
      </c>
      <c r="O10" s="27">
        <f t="shared" si="1"/>
        <v>0</v>
      </c>
      <c r="Q10" s="24">
        <f t="shared" si="5"/>
        <v>40</v>
      </c>
      <c r="R10" s="24">
        <f t="shared" si="6"/>
        <v>60</v>
      </c>
      <c r="S10" s="24">
        <f t="shared" si="3"/>
        <v>0</v>
      </c>
      <c r="U10" s="25"/>
      <c r="AC10" s="14">
        <f t="shared" si="4"/>
        <v>0.4</v>
      </c>
      <c r="AD10" s="14">
        <f t="shared" si="2"/>
        <v>0.6</v>
      </c>
      <c r="AE10" s="14">
        <f t="shared" si="2"/>
        <v>0</v>
      </c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/>
      <c r="O11" s="27"/>
      <c r="Q11" s="24"/>
      <c r="R11" s="24"/>
      <c r="S11" s="24"/>
      <c r="U11" s="25"/>
      <c r="AC11" s="14"/>
      <c r="AD11" s="14"/>
      <c r="AE11" s="14"/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Q12" s="24"/>
      <c r="R12" s="24"/>
      <c r="S12" s="24"/>
      <c r="U12" s="25"/>
      <c r="AC12" s="14"/>
      <c r="AD12" s="14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21" si="7">0.5*S15+Q15</f>
        <v>90.318103653947119</v>
      </c>
      <c r="O15" s="27">
        <f t="shared" ref="O15:O21" si="8">S15</f>
        <v>19.363792692105743</v>
      </c>
      <c r="Q15" s="24">
        <f>'VLE Calculation - NRTL'!AI43*100</f>
        <v>80.636207307894253</v>
      </c>
      <c r="R15" s="24">
        <f>'VLE Calculation - NRTL'!AJ43*100</f>
        <v>0</v>
      </c>
      <c r="S15" s="24">
        <f>'VLE Calculation - NRTL'!AK43*100</f>
        <v>19.363792692105743</v>
      </c>
      <c r="U15" s="25"/>
      <c r="AB15" s="25"/>
      <c r="AC15" s="14">
        <f>Q15/100</f>
        <v>0.80636207307894248</v>
      </c>
      <c r="AD15" s="14">
        <f t="shared" ref="AD15:AE21" si="9">R15/100</f>
        <v>0</v>
      </c>
      <c r="AE15" s="14">
        <f t="shared" si="9"/>
        <v>0.19363792692105744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7"/>
        <v>84.990301106225445</v>
      </c>
      <c r="O16" s="27">
        <f t="shared" si="8"/>
        <v>16.468102385347549</v>
      </c>
      <c r="Q16" s="24">
        <f>'VLE Calculation - NRTL'!AI44*100</f>
        <v>76.75624991355167</v>
      </c>
      <c r="R16" s="24">
        <f>'VLE Calculation - NRTL'!AJ44*100</f>
        <v>6.7756477011007625</v>
      </c>
      <c r="S16" s="24">
        <f>'VLE Calculation - NRTL'!AK44*100</f>
        <v>16.468102385347549</v>
      </c>
      <c r="U16" s="25"/>
      <c r="AC16" s="14">
        <f t="shared" ref="AC16:AC21" si="10">Q16/100</f>
        <v>0.76756249913551666</v>
      </c>
      <c r="AD16" s="14">
        <f t="shared" si="9"/>
        <v>6.7756477011007621E-2</v>
      </c>
      <c r="AE16" s="14">
        <f t="shared" si="9"/>
        <v>0.16468102385347549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7"/>
        <v>78.313329917445614</v>
      </c>
      <c r="O17" s="27">
        <f t="shared" si="8"/>
        <v>13.066417915108808</v>
      </c>
      <c r="Q17" s="24">
        <f>'VLE Calculation - NRTL'!AI45*100</f>
        <v>71.780120959891207</v>
      </c>
      <c r="R17" s="24">
        <f>'VLE Calculation - NRTL'!AJ45*100</f>
        <v>15.153461125</v>
      </c>
      <c r="S17" s="24">
        <f>'VLE Calculation - NRTL'!AK45*100</f>
        <v>13.066417915108808</v>
      </c>
      <c r="U17" s="25"/>
      <c r="AC17" s="14">
        <f t="shared" si="10"/>
        <v>0.71780120959891203</v>
      </c>
      <c r="AD17" s="14">
        <f t="shared" si="9"/>
        <v>0.15153461125000001</v>
      </c>
      <c r="AE17" s="14">
        <f t="shared" si="9"/>
        <v>0.13066417915108808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7"/>
        <v>71.39206643695411</v>
      </c>
      <c r="O18" s="27">
        <f t="shared" si="8"/>
        <v>9.5412779770914593</v>
      </c>
      <c r="Q18" s="24">
        <f>'VLE Calculation - NRTL'!AI46*100</f>
        <v>66.621427448408383</v>
      </c>
      <c r="R18" s="24">
        <f>'VLE Calculation - NRTL'!AJ46*100</f>
        <v>23.837294574500159</v>
      </c>
      <c r="S18" s="24">
        <f>'VLE Calculation - NRTL'!AK46*100</f>
        <v>9.5412779770914593</v>
      </c>
      <c r="U18" s="25"/>
      <c r="AC18" s="14">
        <f t="shared" si="10"/>
        <v>0.66621427448408388</v>
      </c>
      <c r="AD18" s="14">
        <f t="shared" si="9"/>
        <v>0.23837294574500159</v>
      </c>
      <c r="AE18" s="14">
        <f t="shared" si="9"/>
        <v>9.5412779770914599E-2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7"/>
        <v>64.898895674743883</v>
      </c>
      <c r="O19" s="27">
        <f t="shared" si="8"/>
        <v>6.1366360388277199</v>
      </c>
      <c r="Q19" s="24">
        <f>'VLE Calculation - NRTL'!AI47*100</f>
        <v>61.830577655330018</v>
      </c>
      <c r="R19" s="24">
        <f>'VLE Calculation - NRTL'!AJ47*100</f>
        <v>32.032786305842251</v>
      </c>
      <c r="S19" s="24">
        <f>'VLE Calculation - NRTL'!AK47*100</f>
        <v>6.1366360388277199</v>
      </c>
      <c r="U19" s="25"/>
      <c r="AC19" s="14">
        <f t="shared" si="10"/>
        <v>0.61830577655330021</v>
      </c>
      <c r="AD19" s="14">
        <f t="shared" si="9"/>
        <v>0.32032786305842254</v>
      </c>
      <c r="AE19" s="14">
        <f t="shared" si="9"/>
        <v>6.1366360388277197E-2</v>
      </c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>
        <f t="shared" si="7"/>
        <v>59.115264444495793</v>
      </c>
      <c r="O20" s="27">
        <f t="shared" si="8"/>
        <v>2.9521881370797374</v>
      </c>
      <c r="Q20" s="24">
        <f>'VLE Calculation - NRTL'!AI48*100</f>
        <v>57.639170375955928</v>
      </c>
      <c r="R20" s="24">
        <f>'VLE Calculation - NRTL'!AJ48*100</f>
        <v>39.408641486964335</v>
      </c>
      <c r="S20" s="24">
        <f>'VLE Calculation - NRTL'!AK48*100</f>
        <v>2.9521881370797374</v>
      </c>
      <c r="U20" s="25"/>
      <c r="AC20" s="14">
        <f t="shared" si="10"/>
        <v>0.57639170375955928</v>
      </c>
      <c r="AD20" s="14">
        <f t="shared" si="9"/>
        <v>0.39408641486964335</v>
      </c>
      <c r="AE20" s="14">
        <f t="shared" si="9"/>
        <v>2.9521881370797375E-2</v>
      </c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>
        <f t="shared" si="7"/>
        <v>54.0865992234041</v>
      </c>
      <c r="O21" s="27">
        <f t="shared" si="8"/>
        <v>0</v>
      </c>
      <c r="Q21" s="24">
        <f>'VLE Calculation - NRTL'!AI49*100</f>
        <v>54.0865992234041</v>
      </c>
      <c r="R21" s="24">
        <f>'VLE Calculation - NRTL'!AJ49*100</f>
        <v>45.9134007765959</v>
      </c>
      <c r="S21" s="24">
        <f>'VLE Calculation - NRTL'!AK49*100</f>
        <v>0</v>
      </c>
      <c r="U21" s="25"/>
      <c r="AC21" s="14">
        <f t="shared" si="10"/>
        <v>0.54086599223404097</v>
      </c>
      <c r="AD21" s="14">
        <f t="shared" si="9"/>
        <v>0.45913400776595897</v>
      </c>
      <c r="AE21" s="14">
        <f t="shared" si="9"/>
        <v>0</v>
      </c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/>
      <c r="O22" s="27"/>
      <c r="Q22" s="24"/>
      <c r="R22" s="24"/>
      <c r="S22" s="24"/>
      <c r="U22" s="25"/>
      <c r="AC22" s="14"/>
      <c r="AD22" s="14"/>
      <c r="AE22" s="14"/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/>
      <c r="O23" s="27"/>
      <c r="Q23" s="24"/>
      <c r="R23" s="24"/>
      <c r="S23" s="24"/>
      <c r="U23" s="25"/>
      <c r="AC23" s="26"/>
      <c r="AD23" s="26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32" si="11">0.5*S26+Q26</f>
        <v>91.344999999999999</v>
      </c>
      <c r="O26" s="27">
        <f t="shared" ref="O26:O32" si="12">S26</f>
        <v>17.310000000000002</v>
      </c>
      <c r="Q26" s="24">
        <f t="shared" ref="Q26:R32" si="13">AC26*100</f>
        <v>82.69</v>
      </c>
      <c r="R26" s="24">
        <f t="shared" si="13"/>
        <v>0</v>
      </c>
      <c r="S26" s="24">
        <f t="shared" ref="S26:S32" si="14">100-Q26-R26</f>
        <v>17.310000000000002</v>
      </c>
      <c r="U26" s="24"/>
      <c r="V26" s="24"/>
      <c r="W26" s="24"/>
      <c r="AC26" s="14">
        <v>0.82689999999999997</v>
      </c>
      <c r="AD26" s="14">
        <v>0</v>
      </c>
      <c r="AE26" s="14">
        <f t="shared" ref="AE26:AE32" si="15">1-AC26-AD26</f>
        <v>0.17310000000000003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11"/>
        <v>86.5</v>
      </c>
      <c r="O27" s="27">
        <f t="shared" si="12"/>
        <v>15</v>
      </c>
      <c r="Q27" s="24">
        <f t="shared" si="13"/>
        <v>79</v>
      </c>
      <c r="R27" s="24">
        <f t="shared" si="13"/>
        <v>6</v>
      </c>
      <c r="S27" s="24">
        <f t="shared" si="14"/>
        <v>15</v>
      </c>
      <c r="U27" s="24"/>
      <c r="V27" s="24"/>
      <c r="W27" s="24"/>
      <c r="AC27" s="14">
        <v>0.79</v>
      </c>
      <c r="AD27" s="14">
        <v>0.06</v>
      </c>
      <c r="AE27" s="26">
        <f t="shared" si="15"/>
        <v>0.14999999999999997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11"/>
        <v>78.5</v>
      </c>
      <c r="O28" s="27">
        <f t="shared" si="12"/>
        <v>12</v>
      </c>
      <c r="Q28" s="24">
        <f t="shared" si="13"/>
        <v>72.5</v>
      </c>
      <c r="R28" s="24">
        <f t="shared" si="13"/>
        <v>15.5</v>
      </c>
      <c r="S28" s="24">
        <f t="shared" si="14"/>
        <v>12</v>
      </c>
      <c r="U28" s="24"/>
      <c r="V28" s="24"/>
      <c r="W28" s="24"/>
      <c r="AC28" s="14">
        <v>0.72499999999999998</v>
      </c>
      <c r="AD28" s="14">
        <v>0.155</v>
      </c>
      <c r="AE28" s="26">
        <f t="shared" si="15"/>
        <v>0.12000000000000002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11"/>
        <v>71.400000000000006</v>
      </c>
      <c r="O29" s="27">
        <f t="shared" si="12"/>
        <v>8.8000000000000007</v>
      </c>
      <c r="P29" s="27"/>
      <c r="Q29" s="24">
        <f t="shared" si="13"/>
        <v>67</v>
      </c>
      <c r="R29" s="24">
        <f t="shared" si="13"/>
        <v>24.2</v>
      </c>
      <c r="S29" s="24">
        <f t="shared" si="14"/>
        <v>8.8000000000000007</v>
      </c>
      <c r="U29" s="24"/>
      <c r="V29" s="24"/>
      <c r="W29" s="24"/>
      <c r="AC29" s="14">
        <v>0.67</v>
      </c>
      <c r="AD29" s="14">
        <v>0.24199999999999999</v>
      </c>
      <c r="AE29" s="26">
        <f t="shared" si="15"/>
        <v>8.7999999999999967E-2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>
        <f t="shared" si="11"/>
        <v>64.650000000000006</v>
      </c>
      <c r="O30" s="27">
        <f t="shared" si="12"/>
        <v>6.2999999999999972</v>
      </c>
      <c r="Q30" s="24">
        <f t="shared" si="13"/>
        <v>61.5</v>
      </c>
      <c r="R30" s="24">
        <f t="shared" si="13"/>
        <v>32.200000000000003</v>
      </c>
      <c r="S30" s="24">
        <f t="shared" si="14"/>
        <v>6.2999999999999972</v>
      </c>
      <c r="U30" s="25"/>
      <c r="AC30" s="14">
        <v>0.61499999999999999</v>
      </c>
      <c r="AD30" s="14">
        <v>0.32200000000000001</v>
      </c>
      <c r="AE30" s="26">
        <f t="shared" si="15"/>
        <v>6.3E-2</v>
      </c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>
        <f t="shared" si="11"/>
        <v>58.149999999999991</v>
      </c>
      <c r="O31" s="27">
        <f t="shared" si="12"/>
        <v>3.3000000000000043</v>
      </c>
      <c r="Q31" s="24">
        <f t="shared" si="13"/>
        <v>56.499999999999993</v>
      </c>
      <c r="R31" s="24">
        <f t="shared" si="13"/>
        <v>40.200000000000003</v>
      </c>
      <c r="S31" s="24">
        <f t="shared" si="14"/>
        <v>3.3000000000000043</v>
      </c>
      <c r="U31" s="25"/>
      <c r="AC31" s="14">
        <v>0.56499999999999995</v>
      </c>
      <c r="AD31" s="14">
        <v>0.40200000000000002</v>
      </c>
      <c r="AE31" s="26">
        <f t="shared" si="15"/>
        <v>3.3000000000000029E-2</v>
      </c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>
        <f t="shared" si="11"/>
        <v>52.400000000000006</v>
      </c>
      <c r="O32" s="27">
        <f t="shared" si="12"/>
        <v>0</v>
      </c>
      <c r="Q32" s="24">
        <f t="shared" si="13"/>
        <v>52.400000000000006</v>
      </c>
      <c r="R32" s="24">
        <f t="shared" si="13"/>
        <v>47.599999999999994</v>
      </c>
      <c r="S32" s="24">
        <f t="shared" si="14"/>
        <v>0</v>
      </c>
      <c r="U32" s="25"/>
      <c r="AC32" s="14">
        <v>0.52400000000000002</v>
      </c>
      <c r="AD32" s="14">
        <f>1-AC32</f>
        <v>0.47599999999999998</v>
      </c>
      <c r="AE32" s="26">
        <f t="shared" si="15"/>
        <v>0</v>
      </c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/>
      <c r="O33" s="27"/>
      <c r="P33" s="27"/>
      <c r="Q33" s="24"/>
      <c r="R33" s="24"/>
      <c r="S33" s="24"/>
      <c r="U33" s="25"/>
      <c r="AC33" s="14"/>
      <c r="AD33" s="14"/>
      <c r="AE33" s="14"/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/>
      <c r="O34" s="27"/>
      <c r="Q34" s="24"/>
      <c r="R34" s="24"/>
      <c r="S34" s="24"/>
      <c r="U34" s="25"/>
      <c r="AC34" s="14"/>
      <c r="AD34" s="14"/>
      <c r="AE34" s="14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65</v>
      </c>
      <c r="O45" s="27">
        <f>S45</f>
        <v>50</v>
      </c>
      <c r="Q45" s="24">
        <f>Q5</f>
        <v>40</v>
      </c>
      <c r="R45" s="24">
        <f>R5</f>
        <v>10</v>
      </c>
      <c r="S45" s="24">
        <f>S5</f>
        <v>50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84.990301106225445</v>
      </c>
      <c r="O46" s="27">
        <f>S46</f>
        <v>16.468102385347549</v>
      </c>
      <c r="Q46" s="24">
        <f>Q16</f>
        <v>76.75624991355167</v>
      </c>
      <c r="R46" s="24">
        <f>R16</f>
        <v>6.7756477011007625</v>
      </c>
      <c r="S46" s="24">
        <f>S16</f>
        <v>16.468102385347549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60</v>
      </c>
      <c r="O48" s="27">
        <f>S48</f>
        <v>40</v>
      </c>
      <c r="Q48" s="24">
        <f>Q6</f>
        <v>40</v>
      </c>
      <c r="R48" s="24">
        <f>R6</f>
        <v>20</v>
      </c>
      <c r="S48" s="24">
        <f>S6</f>
        <v>40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78.313329917445614</v>
      </c>
      <c r="O49" s="27">
        <f>S49</f>
        <v>13.066417915108808</v>
      </c>
      <c r="Q49" s="24">
        <f>Q17</f>
        <v>71.780120959891207</v>
      </c>
      <c r="R49" s="24">
        <f>R17</f>
        <v>15.153461125</v>
      </c>
      <c r="S49" s="24">
        <f>S17</f>
        <v>13.066417915108808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55</v>
      </c>
      <c r="O51" s="27">
        <f>S51</f>
        <v>30</v>
      </c>
      <c r="Q51" s="24">
        <f>Q7</f>
        <v>40</v>
      </c>
      <c r="R51" s="24">
        <f>R7</f>
        <v>30</v>
      </c>
      <c r="S51" s="24">
        <f>S7</f>
        <v>30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71.39206643695411</v>
      </c>
      <c r="O52" s="27">
        <f>S52</f>
        <v>9.5412779770914593</v>
      </c>
      <c r="Q52" s="24">
        <f>Q18</f>
        <v>66.621427448408383</v>
      </c>
      <c r="R52" s="24">
        <f>R18</f>
        <v>23.837294574500159</v>
      </c>
      <c r="S52" s="24">
        <f>S18</f>
        <v>9.5412779770914593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50</v>
      </c>
      <c r="O54" s="27">
        <f>S54</f>
        <v>20</v>
      </c>
      <c r="Q54" s="24">
        <f>Q8</f>
        <v>40</v>
      </c>
      <c r="R54" s="24">
        <f>R8</f>
        <v>40</v>
      </c>
      <c r="S54" s="24">
        <f>S8</f>
        <v>20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64.898895674743883</v>
      </c>
      <c r="O55" s="27">
        <f>S55</f>
        <v>6.1366360388277199</v>
      </c>
      <c r="Q55" s="24">
        <f>Q19</f>
        <v>61.830577655330018</v>
      </c>
      <c r="R55" s="24">
        <f>R19</f>
        <v>32.032786305842251</v>
      </c>
      <c r="S55" s="24">
        <f>S19</f>
        <v>6.1366360388277199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45</v>
      </c>
      <c r="O57" s="27">
        <f>S57</f>
        <v>10</v>
      </c>
      <c r="Q57" s="24">
        <f>Q9</f>
        <v>40</v>
      </c>
      <c r="R57" s="24">
        <f>R9</f>
        <v>50</v>
      </c>
      <c r="S57" s="24">
        <f>S9</f>
        <v>10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59.115264444495793</v>
      </c>
      <c r="O58" s="27">
        <f>S58</f>
        <v>2.9521881370797374</v>
      </c>
      <c r="Q58" s="24">
        <f>Q20</f>
        <v>57.639170375955928</v>
      </c>
      <c r="R58" s="24">
        <f>R20</f>
        <v>39.408641486964335</v>
      </c>
      <c r="S58" s="24">
        <f>S20</f>
        <v>2.9521881370797374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40</v>
      </c>
      <c r="O60" s="27">
        <f>S60</f>
        <v>0</v>
      </c>
      <c r="Q60" s="24">
        <f>Q10</f>
        <v>40</v>
      </c>
      <c r="R60" s="24">
        <f>R10</f>
        <v>60</v>
      </c>
      <c r="S60" s="24">
        <f>S10</f>
        <v>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54.0865992234041</v>
      </c>
      <c r="O61" s="27">
        <f>S61</f>
        <v>0</v>
      </c>
      <c r="Q61" s="24">
        <f>Q21</f>
        <v>54.0865992234041</v>
      </c>
      <c r="R61" s="24">
        <f>R21</f>
        <v>45.9134007765959</v>
      </c>
      <c r="S61" s="24">
        <f>S21</f>
        <v>0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0</v>
      </c>
      <c r="O63" s="27">
        <f>S63</f>
        <v>0</v>
      </c>
      <c r="Q63" s="24">
        <f>Q11</f>
        <v>0</v>
      </c>
      <c r="R63" s="24">
        <f>R11</f>
        <v>0</v>
      </c>
      <c r="S63" s="24">
        <f>S11</f>
        <v>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0</v>
      </c>
      <c r="O64" s="27">
        <f>S64</f>
        <v>0</v>
      </c>
      <c r="Q64" s="24">
        <f>Q22</f>
        <v>0</v>
      </c>
      <c r="R64" s="24">
        <f>R22</f>
        <v>0</v>
      </c>
      <c r="S64" s="24">
        <f>S22</f>
        <v>0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0</v>
      </c>
      <c r="O66" s="27">
        <f>S66</f>
        <v>0</v>
      </c>
      <c r="Q66" s="24">
        <f>Q12</f>
        <v>0</v>
      </c>
      <c r="R66" s="24">
        <f>R12</f>
        <v>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0</v>
      </c>
      <c r="O67" s="27">
        <f>S67</f>
        <v>0</v>
      </c>
      <c r="Q67" s="24">
        <f>Q23</f>
        <v>0</v>
      </c>
      <c r="R67" s="24">
        <f>R23</f>
        <v>0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6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6"/>
        <v>90</v>
      </c>
      <c r="B79" s="33">
        <v>10</v>
      </c>
      <c r="C79" s="34">
        <v>0</v>
      </c>
      <c r="D79" s="33">
        <f t="shared" ref="D79:D100" si="17">0.5*A79+B79</f>
        <v>55</v>
      </c>
      <c r="E79" s="33"/>
      <c r="F79" s="33">
        <f t="shared" ref="F79:F88" si="18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6"/>
        <v>80</v>
      </c>
      <c r="B80" s="33">
        <v>20</v>
      </c>
      <c r="C80" s="34">
        <v>0</v>
      </c>
      <c r="D80" s="33">
        <f t="shared" si="17"/>
        <v>60</v>
      </c>
      <c r="E80" s="33"/>
      <c r="F80" s="33">
        <f t="shared" si="18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6"/>
        <v>70</v>
      </c>
      <c r="B81" s="33">
        <v>30</v>
      </c>
      <c r="C81" s="34">
        <v>0</v>
      </c>
      <c r="D81" s="33">
        <f t="shared" si="17"/>
        <v>65</v>
      </c>
      <c r="E81" s="33"/>
      <c r="F81" s="33">
        <f t="shared" si="18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6"/>
        <v>60</v>
      </c>
      <c r="B82" s="33">
        <v>40</v>
      </c>
      <c r="C82" s="34">
        <v>0</v>
      </c>
      <c r="D82" s="33">
        <f t="shared" si="17"/>
        <v>70</v>
      </c>
      <c r="E82" s="33"/>
      <c r="F82" s="33">
        <f t="shared" si="18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6"/>
        <v>50</v>
      </c>
      <c r="B83" s="33">
        <v>50</v>
      </c>
      <c r="C83" s="34">
        <v>0</v>
      </c>
      <c r="D83" s="33">
        <f t="shared" si="17"/>
        <v>75</v>
      </c>
      <c r="E83" s="33"/>
      <c r="F83" s="33">
        <f t="shared" si="18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6"/>
        <v>40</v>
      </c>
      <c r="B84" s="33">
        <v>60</v>
      </c>
      <c r="C84" s="34">
        <v>0</v>
      </c>
      <c r="D84" s="33">
        <f t="shared" si="17"/>
        <v>80</v>
      </c>
      <c r="E84" s="33"/>
      <c r="F84" s="33">
        <f t="shared" si="18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6"/>
        <v>30</v>
      </c>
      <c r="B85" s="33">
        <v>70</v>
      </c>
      <c r="C85" s="34">
        <v>0</v>
      </c>
      <c r="D85" s="33">
        <f t="shared" si="17"/>
        <v>85</v>
      </c>
      <c r="E85" s="33"/>
      <c r="F85" s="33">
        <f t="shared" si="18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6"/>
        <v>20</v>
      </c>
      <c r="B86" s="33">
        <v>80</v>
      </c>
      <c r="C86" s="34">
        <v>0</v>
      </c>
      <c r="D86" s="33">
        <f t="shared" si="17"/>
        <v>90</v>
      </c>
      <c r="E86" s="33"/>
      <c r="F86" s="33">
        <f t="shared" si="18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6"/>
        <v>10</v>
      </c>
      <c r="B87" s="33">
        <v>90</v>
      </c>
      <c r="C87" s="34">
        <v>0</v>
      </c>
      <c r="D87" s="33">
        <f t="shared" si="17"/>
        <v>95</v>
      </c>
      <c r="E87" s="33"/>
      <c r="F87" s="33">
        <f t="shared" si="18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6"/>
        <v>0</v>
      </c>
      <c r="B88" s="33">
        <v>100</v>
      </c>
      <c r="C88" s="34">
        <v>0</v>
      </c>
      <c r="D88" s="33">
        <f t="shared" si="17"/>
        <v>100</v>
      </c>
      <c r="E88" s="33"/>
      <c r="F88" s="33">
        <f t="shared" si="18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6"/>
        <v>100</v>
      </c>
      <c r="B90" s="33">
        <v>0</v>
      </c>
      <c r="C90" s="34">
        <v>0</v>
      </c>
      <c r="D90" s="33">
        <f t="shared" si="17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6"/>
        <v>90</v>
      </c>
      <c r="B91" s="33">
        <v>0</v>
      </c>
      <c r="C91" s="34">
        <v>10</v>
      </c>
      <c r="D91" s="33">
        <f t="shared" si="17"/>
        <v>45</v>
      </c>
      <c r="E91" s="33">
        <f t="shared" ref="E91:E100" si="19">A91</f>
        <v>90</v>
      </c>
      <c r="F91" s="33">
        <f t="shared" ref="F91:F100" si="20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6"/>
        <v>80</v>
      </c>
      <c r="B92" s="33">
        <v>0</v>
      </c>
      <c r="C92" s="34">
        <v>20</v>
      </c>
      <c r="D92" s="33">
        <f t="shared" si="17"/>
        <v>40</v>
      </c>
      <c r="E92" s="33">
        <f t="shared" si="19"/>
        <v>80</v>
      </c>
      <c r="F92" s="33">
        <f t="shared" si="20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6"/>
        <v>70</v>
      </c>
      <c r="B93" s="33">
        <v>0</v>
      </c>
      <c r="C93" s="34">
        <v>30</v>
      </c>
      <c r="D93" s="33">
        <f t="shared" si="17"/>
        <v>35</v>
      </c>
      <c r="E93" s="33">
        <f t="shared" si="19"/>
        <v>70</v>
      </c>
      <c r="F93" s="33">
        <f t="shared" si="20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6"/>
        <v>60</v>
      </c>
      <c r="B94" s="33">
        <v>0</v>
      </c>
      <c r="C94" s="34">
        <v>40</v>
      </c>
      <c r="D94" s="33">
        <f t="shared" si="17"/>
        <v>30</v>
      </c>
      <c r="E94" s="33">
        <f t="shared" si="19"/>
        <v>60</v>
      </c>
      <c r="F94" s="33">
        <f t="shared" si="20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6"/>
        <v>50</v>
      </c>
      <c r="B95" s="33">
        <v>0</v>
      </c>
      <c r="C95" s="34">
        <v>50</v>
      </c>
      <c r="D95" s="33">
        <f t="shared" si="17"/>
        <v>25</v>
      </c>
      <c r="E95" s="33">
        <f t="shared" si="19"/>
        <v>50</v>
      </c>
      <c r="F95" s="33">
        <f t="shared" si="20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6"/>
        <v>40</v>
      </c>
      <c r="B96" s="33">
        <v>0</v>
      </c>
      <c r="C96" s="34">
        <v>60</v>
      </c>
      <c r="D96" s="33">
        <f t="shared" si="17"/>
        <v>20</v>
      </c>
      <c r="E96" s="33">
        <f t="shared" si="19"/>
        <v>40</v>
      </c>
      <c r="F96" s="33">
        <f t="shared" si="20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6"/>
        <v>30</v>
      </c>
      <c r="B97" s="33">
        <v>0</v>
      </c>
      <c r="C97" s="34">
        <v>70</v>
      </c>
      <c r="D97" s="33">
        <f t="shared" si="17"/>
        <v>15</v>
      </c>
      <c r="E97" s="33">
        <f t="shared" si="19"/>
        <v>30</v>
      </c>
      <c r="F97" s="33">
        <f t="shared" si="20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6"/>
        <v>20</v>
      </c>
      <c r="B98" s="33">
        <v>0</v>
      </c>
      <c r="C98" s="34">
        <v>80</v>
      </c>
      <c r="D98" s="33">
        <f t="shared" si="17"/>
        <v>10</v>
      </c>
      <c r="E98" s="33">
        <f t="shared" si="19"/>
        <v>20</v>
      </c>
      <c r="F98" s="33">
        <f t="shared" si="20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6"/>
        <v>10</v>
      </c>
      <c r="B99" s="33">
        <v>0</v>
      </c>
      <c r="C99" s="34">
        <v>90</v>
      </c>
      <c r="D99" s="33">
        <f t="shared" si="17"/>
        <v>5</v>
      </c>
      <c r="E99" s="33">
        <f t="shared" si="19"/>
        <v>10</v>
      </c>
      <c r="F99" s="33">
        <f t="shared" si="20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6"/>
        <v>0</v>
      </c>
      <c r="B100" s="33">
        <v>0</v>
      </c>
      <c r="C100" s="34">
        <v>100</v>
      </c>
      <c r="D100" s="33">
        <f t="shared" si="17"/>
        <v>0</v>
      </c>
      <c r="E100" s="33">
        <f t="shared" si="19"/>
        <v>0</v>
      </c>
      <c r="F100" s="33">
        <f t="shared" si="20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9" si="0">0.5*S4+Q4</f>
        <v>75</v>
      </c>
      <c r="O4" s="27">
        <f t="shared" ref="O4:O9" si="1">S4</f>
        <v>50</v>
      </c>
      <c r="Q4" s="24">
        <v>50</v>
      </c>
      <c r="R4" s="24">
        <v>0</v>
      </c>
      <c r="S4" s="24">
        <f>100-Q4-R4</f>
        <v>50</v>
      </c>
      <c r="U4" s="25"/>
      <c r="AB4" s="25"/>
      <c r="AC4" s="14">
        <f>Q4/100</f>
        <v>0.5</v>
      </c>
      <c r="AD4" s="14">
        <f t="shared" ref="AD4:AE9" si="2">R4/100</f>
        <v>0</v>
      </c>
      <c r="AE4" s="14">
        <f t="shared" si="2"/>
        <v>0.5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70</v>
      </c>
      <c r="O5" s="27">
        <f t="shared" si="1"/>
        <v>40</v>
      </c>
      <c r="Q5" s="24">
        <f>Q4</f>
        <v>50</v>
      </c>
      <c r="R5" s="24">
        <f>R4+10</f>
        <v>10</v>
      </c>
      <c r="S5" s="24">
        <f t="shared" ref="S5:S9" si="3">100-Q5-R5</f>
        <v>40</v>
      </c>
      <c r="U5" s="25"/>
      <c r="AC5" s="14">
        <f t="shared" ref="AC5:AC9" si="4">Q5/100</f>
        <v>0.5</v>
      </c>
      <c r="AD5" s="14">
        <f t="shared" si="2"/>
        <v>0.1</v>
      </c>
      <c r="AE5" s="14">
        <f t="shared" si="2"/>
        <v>0.4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65</v>
      </c>
      <c r="O6" s="27">
        <f t="shared" si="1"/>
        <v>30</v>
      </c>
      <c r="Q6" s="24">
        <f t="shared" ref="Q6:Q9" si="5">Q5</f>
        <v>50</v>
      </c>
      <c r="R6" s="24">
        <f t="shared" ref="R6:R9" si="6">R5+10</f>
        <v>20</v>
      </c>
      <c r="S6" s="24">
        <f t="shared" si="3"/>
        <v>30</v>
      </c>
      <c r="U6" s="25"/>
      <c r="AC6" s="14">
        <f t="shared" si="4"/>
        <v>0.5</v>
      </c>
      <c r="AD6" s="14">
        <f t="shared" si="2"/>
        <v>0.2</v>
      </c>
      <c r="AE6" s="14">
        <f t="shared" si="2"/>
        <v>0.3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60</v>
      </c>
      <c r="O7" s="27">
        <f t="shared" si="1"/>
        <v>20</v>
      </c>
      <c r="Q7" s="24">
        <f t="shared" si="5"/>
        <v>50</v>
      </c>
      <c r="R7" s="24">
        <f t="shared" si="6"/>
        <v>30</v>
      </c>
      <c r="S7" s="24">
        <f t="shared" si="3"/>
        <v>20</v>
      </c>
      <c r="U7" s="25"/>
      <c r="AC7" s="14">
        <f t="shared" si="4"/>
        <v>0.5</v>
      </c>
      <c r="AD7" s="14">
        <f t="shared" si="2"/>
        <v>0.3</v>
      </c>
      <c r="AE7" s="14">
        <f t="shared" si="2"/>
        <v>0.2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55</v>
      </c>
      <c r="O8" s="27">
        <f t="shared" si="1"/>
        <v>10</v>
      </c>
      <c r="Q8" s="24">
        <f t="shared" si="5"/>
        <v>50</v>
      </c>
      <c r="R8" s="24">
        <f t="shared" si="6"/>
        <v>40</v>
      </c>
      <c r="S8" s="24">
        <f t="shared" si="3"/>
        <v>10</v>
      </c>
      <c r="U8" s="25"/>
      <c r="AC8" s="14">
        <f t="shared" si="4"/>
        <v>0.5</v>
      </c>
      <c r="AD8" s="14">
        <f t="shared" si="2"/>
        <v>0.4</v>
      </c>
      <c r="AE8" s="14">
        <f t="shared" si="2"/>
        <v>0.1</v>
      </c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>
        <f t="shared" si="0"/>
        <v>50</v>
      </c>
      <c r="O9" s="27">
        <f t="shared" si="1"/>
        <v>0</v>
      </c>
      <c r="Q9" s="24">
        <f t="shared" si="5"/>
        <v>50</v>
      </c>
      <c r="R9" s="24">
        <f t="shared" si="6"/>
        <v>50</v>
      </c>
      <c r="S9" s="24">
        <f t="shared" si="3"/>
        <v>0</v>
      </c>
      <c r="U9" s="25"/>
      <c r="AC9" s="14">
        <f t="shared" si="4"/>
        <v>0.5</v>
      </c>
      <c r="AD9" s="14">
        <f t="shared" si="2"/>
        <v>0.5</v>
      </c>
      <c r="AE9" s="14">
        <f t="shared" si="2"/>
        <v>0</v>
      </c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/>
      <c r="O10" s="27"/>
      <c r="Q10" s="24"/>
      <c r="R10" s="24"/>
      <c r="S10" s="24"/>
      <c r="U10" s="25"/>
      <c r="AC10" s="14"/>
      <c r="AD10" s="14"/>
      <c r="AE10" s="14"/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/>
      <c r="O11" s="27"/>
      <c r="Q11" s="24"/>
      <c r="R11" s="24"/>
      <c r="S11" s="24"/>
      <c r="U11" s="25"/>
      <c r="AC11" s="14"/>
      <c r="AD11" s="14"/>
      <c r="AE11" s="14"/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Q12" s="24"/>
      <c r="R12" s="24"/>
      <c r="S12" s="24"/>
      <c r="U12" s="25"/>
      <c r="AC12" s="14"/>
      <c r="AD12" s="14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20" si="7">0.5*S15+Q15</f>
        <v>90.704357961081698</v>
      </c>
      <c r="O15" s="27">
        <f t="shared" ref="O15:O20" si="8">S15</f>
        <v>18.591284077836587</v>
      </c>
      <c r="Q15" s="24">
        <f>'VLE Calculation - NRTL'!AI50*100</f>
        <v>81.40871592216341</v>
      </c>
      <c r="R15" s="24">
        <f>'VLE Calculation - NRTL'!AJ50*100</f>
        <v>0</v>
      </c>
      <c r="S15" s="24">
        <f>'VLE Calculation - NRTL'!AK50*100</f>
        <v>18.591284077836587</v>
      </c>
      <c r="U15" s="25"/>
      <c r="AB15" s="25"/>
      <c r="AC15" s="14">
        <f>Q15/100</f>
        <v>0.8140871592216341</v>
      </c>
      <c r="AD15" s="14">
        <f t="shared" ref="AD15:AE20" si="9">R15/100</f>
        <v>0</v>
      </c>
      <c r="AE15" s="14">
        <f t="shared" si="9"/>
        <v>0.18591284077836587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7"/>
        <v>85.686715529141338</v>
      </c>
      <c r="O16" s="27">
        <f t="shared" si="8"/>
        <v>14.362842354546924</v>
      </c>
      <c r="Q16" s="24">
        <f>'VLE Calculation - NRTL'!AI51*100</f>
        <v>78.505294351867875</v>
      </c>
      <c r="R16" s="24">
        <f>'VLE Calculation - NRTL'!AJ51*100</f>
        <v>7.1318632935852024</v>
      </c>
      <c r="S16" s="24">
        <f>'VLE Calculation - NRTL'!AK51*100</f>
        <v>14.362842354546924</v>
      </c>
      <c r="U16" s="25"/>
      <c r="AC16" s="14">
        <f t="shared" ref="AC16:AC20" si="10">Q16/100</f>
        <v>0.78505294351867871</v>
      </c>
      <c r="AD16" s="14">
        <f t="shared" si="9"/>
        <v>7.1318632935852028E-2</v>
      </c>
      <c r="AE16" s="14">
        <f t="shared" si="9"/>
        <v>0.14362842354546923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7"/>
        <v>79.510424616601625</v>
      </c>
      <c r="O17" s="27">
        <f t="shared" si="8"/>
        <v>10.24722670386997</v>
      </c>
      <c r="Q17" s="24">
        <f>'VLE Calculation - NRTL'!AI52*100</f>
        <v>74.386811264666648</v>
      </c>
      <c r="R17" s="24">
        <f>'VLE Calculation - NRTL'!AJ52*100</f>
        <v>15.365962031463379</v>
      </c>
      <c r="S17" s="24">
        <f>'VLE Calculation - NRTL'!AK52*100</f>
        <v>10.24722670386997</v>
      </c>
      <c r="U17" s="25"/>
      <c r="AC17" s="14">
        <f t="shared" si="10"/>
        <v>0.74386811264666652</v>
      </c>
      <c r="AD17" s="14">
        <f t="shared" si="9"/>
        <v>0.15365962031463379</v>
      </c>
      <c r="AE17" s="14">
        <f t="shared" si="9"/>
        <v>0.1024722670386997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7"/>
        <v>73.215374470553456</v>
      </c>
      <c r="O18" s="27">
        <f t="shared" si="8"/>
        <v>6.452003991929983</v>
      </c>
      <c r="Q18" s="24">
        <f>'VLE Calculation - NRTL'!AI53*100</f>
        <v>69.989372474588464</v>
      </c>
      <c r="R18" s="24">
        <f>'VLE Calculation - NRTL'!AJ53*100</f>
        <v>23.558623533481548</v>
      </c>
      <c r="S18" s="24">
        <f>'VLE Calculation - NRTL'!AK53*100</f>
        <v>6.452003991929983</v>
      </c>
      <c r="U18" s="25"/>
      <c r="AC18" s="14">
        <f t="shared" si="10"/>
        <v>0.69989372474588463</v>
      </c>
      <c r="AD18" s="14">
        <f t="shared" si="9"/>
        <v>0.23558623533481549</v>
      </c>
      <c r="AE18" s="14">
        <f t="shared" si="9"/>
        <v>6.4520039919299832E-2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7"/>
        <v>67.378265178784872</v>
      </c>
      <c r="O19" s="27">
        <f t="shared" si="8"/>
        <v>3.0449097156894993</v>
      </c>
      <c r="Q19" s="24">
        <f>'VLE Calculation - NRTL'!AI54*100</f>
        <v>65.855810320940122</v>
      </c>
      <c r="R19" s="24">
        <f>'VLE Calculation - NRTL'!AJ54*100</f>
        <v>31.099279963370375</v>
      </c>
      <c r="S19" s="24">
        <f>'VLE Calculation - NRTL'!AK54*100</f>
        <v>3.0449097156894993</v>
      </c>
      <c r="U19" s="25"/>
      <c r="AC19" s="14">
        <f t="shared" si="10"/>
        <v>0.65855810320940122</v>
      </c>
      <c r="AD19" s="14">
        <f t="shared" si="9"/>
        <v>0.31099279963370374</v>
      </c>
      <c r="AE19" s="14">
        <f t="shared" si="9"/>
        <v>3.0449097156894991E-2</v>
      </c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>
        <f t="shared" si="7"/>
        <v>62.21706160032268</v>
      </c>
      <c r="O20" s="27">
        <f t="shared" si="8"/>
        <v>0</v>
      </c>
      <c r="Q20" s="24">
        <f>'VLE Calculation - NRTL'!AI55*100</f>
        <v>62.21706160032268</v>
      </c>
      <c r="R20" s="24">
        <f>'VLE Calculation - NRTL'!AJ55*100</f>
        <v>37.78293839967732</v>
      </c>
      <c r="S20" s="24">
        <f>'VLE Calculation - NRTL'!AK55*100</f>
        <v>0</v>
      </c>
      <c r="U20" s="25"/>
      <c r="AC20" s="14">
        <f t="shared" si="10"/>
        <v>0.62217061600322676</v>
      </c>
      <c r="AD20" s="14">
        <f t="shared" si="9"/>
        <v>0.37782938399677318</v>
      </c>
      <c r="AE20" s="14">
        <f t="shared" si="9"/>
        <v>0</v>
      </c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/>
      <c r="O21" s="27"/>
      <c r="Q21" s="24"/>
      <c r="R21" s="24"/>
      <c r="S21" s="24"/>
      <c r="U21" s="25"/>
      <c r="AC21" s="14"/>
      <c r="AD21" s="14"/>
      <c r="AE21" s="14"/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/>
      <c r="O22" s="27"/>
      <c r="Q22" s="24"/>
      <c r="R22" s="24"/>
      <c r="S22" s="24"/>
      <c r="U22" s="25"/>
      <c r="AC22" s="14"/>
      <c r="AD22" s="14"/>
      <c r="AE22" s="14"/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/>
      <c r="O23" s="27"/>
      <c r="Q23" s="24"/>
      <c r="R23" s="24"/>
      <c r="S23" s="24"/>
      <c r="U23" s="25"/>
      <c r="AC23" s="26"/>
      <c r="AD23" s="26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31" si="11">0.5*S26+Q26</f>
        <v>91.935000000000002</v>
      </c>
      <c r="O26" s="27">
        <f t="shared" ref="O26:O31" si="12">S26</f>
        <v>16.129999999999995</v>
      </c>
      <c r="Q26" s="24">
        <f t="shared" ref="Q26:R31" si="13">AC26*100</f>
        <v>83.87</v>
      </c>
      <c r="R26" s="24">
        <f t="shared" si="13"/>
        <v>0</v>
      </c>
      <c r="S26" s="24">
        <f t="shared" ref="S26:S31" si="14">100-Q26-R26</f>
        <v>16.129999999999995</v>
      </c>
      <c r="U26" s="24"/>
      <c r="V26" s="24"/>
      <c r="W26" s="24"/>
      <c r="AC26" s="14">
        <v>0.8387</v>
      </c>
      <c r="AD26" s="14">
        <v>0</v>
      </c>
      <c r="AE26" s="14">
        <f t="shared" ref="AE26:AE31" si="15">1-AC26-AD26</f>
        <v>0.1613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11"/>
        <v>87.25</v>
      </c>
      <c r="O27" s="27">
        <f t="shared" si="12"/>
        <v>12.5</v>
      </c>
      <c r="Q27" s="24">
        <f t="shared" si="13"/>
        <v>81</v>
      </c>
      <c r="R27" s="24">
        <f t="shared" si="13"/>
        <v>6.5</v>
      </c>
      <c r="S27" s="24">
        <f t="shared" si="14"/>
        <v>12.5</v>
      </c>
      <c r="U27" s="24"/>
      <c r="V27" s="24"/>
      <c r="W27" s="24"/>
      <c r="AC27" s="14">
        <v>0.81</v>
      </c>
      <c r="AD27" s="14">
        <v>6.5000000000000002E-2</v>
      </c>
      <c r="AE27" s="26">
        <f t="shared" si="15"/>
        <v>0.12499999999999994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11"/>
        <v>79.5</v>
      </c>
      <c r="O28" s="27">
        <f t="shared" si="12"/>
        <v>9</v>
      </c>
      <c r="Q28" s="24">
        <f t="shared" si="13"/>
        <v>75</v>
      </c>
      <c r="R28" s="24">
        <f t="shared" si="13"/>
        <v>16</v>
      </c>
      <c r="S28" s="24">
        <f t="shared" si="14"/>
        <v>9</v>
      </c>
      <c r="U28" s="24"/>
      <c r="V28" s="24"/>
      <c r="W28" s="24"/>
      <c r="AC28" s="14">
        <v>0.75</v>
      </c>
      <c r="AD28" s="14">
        <v>0.16</v>
      </c>
      <c r="AE28" s="26">
        <f t="shared" si="15"/>
        <v>0.09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11"/>
        <v>73.400000000000006</v>
      </c>
      <c r="O29" s="27">
        <f t="shared" si="12"/>
        <v>6.7999999999999972</v>
      </c>
      <c r="P29" s="27"/>
      <c r="Q29" s="24">
        <f t="shared" si="13"/>
        <v>70</v>
      </c>
      <c r="R29" s="24">
        <f t="shared" si="13"/>
        <v>23.200000000000003</v>
      </c>
      <c r="S29" s="24">
        <f t="shared" si="14"/>
        <v>6.7999999999999972</v>
      </c>
      <c r="U29" s="24"/>
      <c r="V29" s="24"/>
      <c r="W29" s="24"/>
      <c r="AC29" s="14">
        <v>0.7</v>
      </c>
      <c r="AD29" s="14">
        <v>0.23200000000000001</v>
      </c>
      <c r="AE29" s="26">
        <f t="shared" si="15"/>
        <v>6.8000000000000033E-2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>
        <f t="shared" si="11"/>
        <v>66.650000000000006</v>
      </c>
      <c r="O30" s="27">
        <f t="shared" si="12"/>
        <v>3.3000000000000007</v>
      </c>
      <c r="Q30" s="24">
        <f t="shared" si="13"/>
        <v>65</v>
      </c>
      <c r="R30" s="24">
        <f t="shared" si="13"/>
        <v>31.7</v>
      </c>
      <c r="S30" s="24">
        <f t="shared" si="14"/>
        <v>3.3000000000000007</v>
      </c>
      <c r="U30" s="25"/>
      <c r="AC30" s="14">
        <v>0.65</v>
      </c>
      <c r="AD30" s="14">
        <v>0.317</v>
      </c>
      <c r="AE30" s="26">
        <f t="shared" si="15"/>
        <v>3.2999999999999974E-2</v>
      </c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>
        <f t="shared" si="11"/>
        <v>59.699999999999996</v>
      </c>
      <c r="O31" s="27">
        <f t="shared" si="12"/>
        <v>0</v>
      </c>
      <c r="Q31" s="24">
        <f t="shared" si="13"/>
        <v>59.699999999999996</v>
      </c>
      <c r="R31" s="24">
        <f t="shared" si="13"/>
        <v>40.300000000000004</v>
      </c>
      <c r="S31" s="24">
        <f t="shared" si="14"/>
        <v>0</v>
      </c>
      <c r="U31" s="25"/>
      <c r="AC31" s="14">
        <v>0.59699999999999998</v>
      </c>
      <c r="AD31" s="14">
        <f>1-AC31</f>
        <v>0.40300000000000002</v>
      </c>
      <c r="AE31" s="26">
        <f t="shared" si="15"/>
        <v>0</v>
      </c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/>
      <c r="O32" s="27"/>
      <c r="Q32" s="24"/>
      <c r="R32" s="24"/>
      <c r="S32" s="24"/>
      <c r="U32" s="25"/>
      <c r="AC32" s="14"/>
      <c r="AD32" s="14"/>
      <c r="AE32" s="26"/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/>
      <c r="O33" s="27"/>
      <c r="P33" s="27"/>
      <c r="Q33" s="24"/>
      <c r="R33" s="24"/>
      <c r="S33" s="24"/>
      <c r="U33" s="25"/>
      <c r="AC33" s="14"/>
      <c r="AD33" s="14"/>
      <c r="AE33" s="14"/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/>
      <c r="O34" s="27"/>
      <c r="Q34" s="24"/>
      <c r="R34" s="24"/>
      <c r="S34" s="24"/>
      <c r="U34" s="25"/>
      <c r="AC34" s="14"/>
      <c r="AD34" s="14"/>
      <c r="AE34" s="14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70</v>
      </c>
      <c r="O45" s="27">
        <f>S45</f>
        <v>40</v>
      </c>
      <c r="Q45" s="24">
        <f>Q5</f>
        <v>50</v>
      </c>
      <c r="R45" s="24">
        <f>R5</f>
        <v>10</v>
      </c>
      <c r="S45" s="24">
        <f>S5</f>
        <v>40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85.686715529141338</v>
      </c>
      <c r="O46" s="27">
        <f>S46</f>
        <v>14.362842354546924</v>
      </c>
      <c r="Q46" s="24">
        <f>Q16</f>
        <v>78.505294351867875</v>
      </c>
      <c r="R46" s="24">
        <f>R16</f>
        <v>7.1318632935852024</v>
      </c>
      <c r="S46" s="24">
        <f>S16</f>
        <v>14.362842354546924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65</v>
      </c>
      <c r="O48" s="27">
        <f>S48</f>
        <v>30</v>
      </c>
      <c r="Q48" s="24">
        <f>Q6</f>
        <v>50</v>
      </c>
      <c r="R48" s="24">
        <f>R6</f>
        <v>20</v>
      </c>
      <c r="S48" s="24">
        <f>S6</f>
        <v>30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79.510424616601625</v>
      </c>
      <c r="O49" s="27">
        <f>S49</f>
        <v>10.24722670386997</v>
      </c>
      <c r="Q49" s="24">
        <f>Q17</f>
        <v>74.386811264666648</v>
      </c>
      <c r="R49" s="24">
        <f>R17</f>
        <v>15.365962031463379</v>
      </c>
      <c r="S49" s="24">
        <f>S17</f>
        <v>10.24722670386997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60</v>
      </c>
      <c r="O51" s="27">
        <f>S51</f>
        <v>20</v>
      </c>
      <c r="Q51" s="24">
        <f>Q7</f>
        <v>50</v>
      </c>
      <c r="R51" s="24">
        <f>R7</f>
        <v>30</v>
      </c>
      <c r="S51" s="24">
        <f>S7</f>
        <v>20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73.215374470553456</v>
      </c>
      <c r="O52" s="27">
        <f>S52</f>
        <v>6.452003991929983</v>
      </c>
      <c r="Q52" s="24">
        <f>Q18</f>
        <v>69.989372474588464</v>
      </c>
      <c r="R52" s="24">
        <f>R18</f>
        <v>23.558623533481548</v>
      </c>
      <c r="S52" s="24">
        <f>S18</f>
        <v>6.452003991929983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55</v>
      </c>
      <c r="O54" s="27">
        <f>S54</f>
        <v>10</v>
      </c>
      <c r="Q54" s="24">
        <f>Q8</f>
        <v>50</v>
      </c>
      <c r="R54" s="24">
        <f>R8</f>
        <v>40</v>
      </c>
      <c r="S54" s="24">
        <f>S8</f>
        <v>10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67.378265178784872</v>
      </c>
      <c r="O55" s="27">
        <f>S55</f>
        <v>3.0449097156894993</v>
      </c>
      <c r="Q55" s="24">
        <f>Q19</f>
        <v>65.855810320940122</v>
      </c>
      <c r="R55" s="24">
        <f>R19</f>
        <v>31.099279963370375</v>
      </c>
      <c r="S55" s="24">
        <f>S19</f>
        <v>3.0449097156894993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50</v>
      </c>
      <c r="O57" s="27">
        <f>S57</f>
        <v>0</v>
      </c>
      <c r="Q57" s="24">
        <f>Q9</f>
        <v>50</v>
      </c>
      <c r="R57" s="24">
        <f>R9</f>
        <v>50</v>
      </c>
      <c r="S57" s="24">
        <f>S9</f>
        <v>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62.21706160032268</v>
      </c>
      <c r="O58" s="27">
        <f>S58</f>
        <v>0</v>
      </c>
      <c r="Q58" s="24">
        <f>Q20</f>
        <v>62.21706160032268</v>
      </c>
      <c r="R58" s="24">
        <f>R20</f>
        <v>37.78293839967732</v>
      </c>
      <c r="S58" s="24">
        <f>S20</f>
        <v>0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0</v>
      </c>
      <c r="O60" s="27">
        <f>S60</f>
        <v>0</v>
      </c>
      <c r="Q60" s="24">
        <f>Q10</f>
        <v>0</v>
      </c>
      <c r="R60" s="24">
        <f>R10</f>
        <v>0</v>
      </c>
      <c r="S60" s="24">
        <f>S10</f>
        <v>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0</v>
      </c>
      <c r="O61" s="27">
        <f>S61</f>
        <v>0</v>
      </c>
      <c r="Q61" s="24">
        <f>Q21</f>
        <v>0</v>
      </c>
      <c r="R61" s="24">
        <f>R21</f>
        <v>0</v>
      </c>
      <c r="S61" s="24">
        <f>S21</f>
        <v>0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0</v>
      </c>
      <c r="O63" s="27">
        <f>S63</f>
        <v>0</v>
      </c>
      <c r="Q63" s="24">
        <f>Q11</f>
        <v>0</v>
      </c>
      <c r="R63" s="24">
        <f>R11</f>
        <v>0</v>
      </c>
      <c r="S63" s="24">
        <f>S11</f>
        <v>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0</v>
      </c>
      <c r="O64" s="27">
        <f>S64</f>
        <v>0</v>
      </c>
      <c r="Q64" s="24">
        <f>Q22</f>
        <v>0</v>
      </c>
      <c r="R64" s="24">
        <f>R22</f>
        <v>0</v>
      </c>
      <c r="S64" s="24">
        <f>S22</f>
        <v>0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0</v>
      </c>
      <c r="O66" s="27">
        <f>S66</f>
        <v>0</v>
      </c>
      <c r="Q66" s="24">
        <f>Q12</f>
        <v>0</v>
      </c>
      <c r="R66" s="24">
        <f>R12</f>
        <v>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0</v>
      </c>
      <c r="O67" s="27">
        <f>S67</f>
        <v>0</v>
      </c>
      <c r="Q67" s="24">
        <f>Q23</f>
        <v>0</v>
      </c>
      <c r="R67" s="24">
        <f>R23</f>
        <v>0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6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6"/>
        <v>90</v>
      </c>
      <c r="B79" s="33">
        <v>10</v>
      </c>
      <c r="C79" s="34">
        <v>0</v>
      </c>
      <c r="D79" s="33">
        <f t="shared" ref="D79:D100" si="17">0.5*A79+B79</f>
        <v>55</v>
      </c>
      <c r="E79" s="33"/>
      <c r="F79" s="33">
        <f t="shared" ref="F79:F88" si="18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6"/>
        <v>80</v>
      </c>
      <c r="B80" s="33">
        <v>20</v>
      </c>
      <c r="C80" s="34">
        <v>0</v>
      </c>
      <c r="D80" s="33">
        <f t="shared" si="17"/>
        <v>60</v>
      </c>
      <c r="E80" s="33"/>
      <c r="F80" s="33">
        <f t="shared" si="18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6"/>
        <v>70</v>
      </c>
      <c r="B81" s="33">
        <v>30</v>
      </c>
      <c r="C81" s="34">
        <v>0</v>
      </c>
      <c r="D81" s="33">
        <f t="shared" si="17"/>
        <v>65</v>
      </c>
      <c r="E81" s="33"/>
      <c r="F81" s="33">
        <f t="shared" si="18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6"/>
        <v>60</v>
      </c>
      <c r="B82" s="33">
        <v>40</v>
      </c>
      <c r="C82" s="34">
        <v>0</v>
      </c>
      <c r="D82" s="33">
        <f t="shared" si="17"/>
        <v>70</v>
      </c>
      <c r="E82" s="33"/>
      <c r="F82" s="33">
        <f t="shared" si="18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6"/>
        <v>50</v>
      </c>
      <c r="B83" s="33">
        <v>50</v>
      </c>
      <c r="C83" s="34">
        <v>0</v>
      </c>
      <c r="D83" s="33">
        <f t="shared" si="17"/>
        <v>75</v>
      </c>
      <c r="E83" s="33"/>
      <c r="F83" s="33">
        <f t="shared" si="18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6"/>
        <v>40</v>
      </c>
      <c r="B84" s="33">
        <v>60</v>
      </c>
      <c r="C84" s="34">
        <v>0</v>
      </c>
      <c r="D84" s="33">
        <f t="shared" si="17"/>
        <v>80</v>
      </c>
      <c r="E84" s="33"/>
      <c r="F84" s="33">
        <f t="shared" si="18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6"/>
        <v>30</v>
      </c>
      <c r="B85" s="33">
        <v>70</v>
      </c>
      <c r="C85" s="34">
        <v>0</v>
      </c>
      <c r="D85" s="33">
        <f t="shared" si="17"/>
        <v>85</v>
      </c>
      <c r="E85" s="33"/>
      <c r="F85" s="33">
        <f t="shared" si="18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6"/>
        <v>20</v>
      </c>
      <c r="B86" s="33">
        <v>80</v>
      </c>
      <c r="C86" s="34">
        <v>0</v>
      </c>
      <c r="D86" s="33">
        <f t="shared" si="17"/>
        <v>90</v>
      </c>
      <c r="E86" s="33"/>
      <c r="F86" s="33">
        <f t="shared" si="18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6"/>
        <v>10</v>
      </c>
      <c r="B87" s="33">
        <v>90</v>
      </c>
      <c r="C87" s="34">
        <v>0</v>
      </c>
      <c r="D87" s="33">
        <f t="shared" si="17"/>
        <v>95</v>
      </c>
      <c r="E87" s="33"/>
      <c r="F87" s="33">
        <f t="shared" si="18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6"/>
        <v>0</v>
      </c>
      <c r="B88" s="33">
        <v>100</v>
      </c>
      <c r="C88" s="34">
        <v>0</v>
      </c>
      <c r="D88" s="33">
        <f t="shared" si="17"/>
        <v>100</v>
      </c>
      <c r="E88" s="33"/>
      <c r="F88" s="33">
        <f t="shared" si="18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6"/>
        <v>100</v>
      </c>
      <c r="B90" s="33">
        <v>0</v>
      </c>
      <c r="C90" s="34">
        <v>0</v>
      </c>
      <c r="D90" s="33">
        <f t="shared" si="17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6"/>
        <v>90</v>
      </c>
      <c r="B91" s="33">
        <v>0</v>
      </c>
      <c r="C91" s="34">
        <v>10</v>
      </c>
      <c r="D91" s="33">
        <f t="shared" si="17"/>
        <v>45</v>
      </c>
      <c r="E91" s="33">
        <f t="shared" ref="E91:E100" si="19">A91</f>
        <v>90</v>
      </c>
      <c r="F91" s="33">
        <f t="shared" ref="F91:F100" si="20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6"/>
        <v>80</v>
      </c>
      <c r="B92" s="33">
        <v>0</v>
      </c>
      <c r="C92" s="34">
        <v>20</v>
      </c>
      <c r="D92" s="33">
        <f t="shared" si="17"/>
        <v>40</v>
      </c>
      <c r="E92" s="33">
        <f t="shared" si="19"/>
        <v>80</v>
      </c>
      <c r="F92" s="33">
        <f t="shared" si="20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6"/>
        <v>70</v>
      </c>
      <c r="B93" s="33">
        <v>0</v>
      </c>
      <c r="C93" s="34">
        <v>30</v>
      </c>
      <c r="D93" s="33">
        <f t="shared" si="17"/>
        <v>35</v>
      </c>
      <c r="E93" s="33">
        <f t="shared" si="19"/>
        <v>70</v>
      </c>
      <c r="F93" s="33">
        <f t="shared" si="20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6"/>
        <v>60</v>
      </c>
      <c r="B94" s="33">
        <v>0</v>
      </c>
      <c r="C94" s="34">
        <v>40</v>
      </c>
      <c r="D94" s="33">
        <f t="shared" si="17"/>
        <v>30</v>
      </c>
      <c r="E94" s="33">
        <f t="shared" si="19"/>
        <v>60</v>
      </c>
      <c r="F94" s="33">
        <f t="shared" si="20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6"/>
        <v>50</v>
      </c>
      <c r="B95" s="33">
        <v>0</v>
      </c>
      <c r="C95" s="34">
        <v>50</v>
      </c>
      <c r="D95" s="33">
        <f t="shared" si="17"/>
        <v>25</v>
      </c>
      <c r="E95" s="33">
        <f t="shared" si="19"/>
        <v>50</v>
      </c>
      <c r="F95" s="33">
        <f t="shared" si="20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6"/>
        <v>40</v>
      </c>
      <c r="B96" s="33">
        <v>0</v>
      </c>
      <c r="C96" s="34">
        <v>60</v>
      </c>
      <c r="D96" s="33">
        <f t="shared" si="17"/>
        <v>20</v>
      </c>
      <c r="E96" s="33">
        <f t="shared" si="19"/>
        <v>40</v>
      </c>
      <c r="F96" s="33">
        <f t="shared" si="20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6"/>
        <v>30</v>
      </c>
      <c r="B97" s="33">
        <v>0</v>
      </c>
      <c r="C97" s="34">
        <v>70</v>
      </c>
      <c r="D97" s="33">
        <f t="shared" si="17"/>
        <v>15</v>
      </c>
      <c r="E97" s="33">
        <f t="shared" si="19"/>
        <v>30</v>
      </c>
      <c r="F97" s="33">
        <f t="shared" si="20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6"/>
        <v>20</v>
      </c>
      <c r="B98" s="33">
        <v>0</v>
      </c>
      <c r="C98" s="34">
        <v>80</v>
      </c>
      <c r="D98" s="33">
        <f t="shared" si="17"/>
        <v>10</v>
      </c>
      <c r="E98" s="33">
        <f t="shared" si="19"/>
        <v>20</v>
      </c>
      <c r="F98" s="33">
        <f t="shared" si="20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6"/>
        <v>10</v>
      </c>
      <c r="B99" s="33">
        <v>0</v>
      </c>
      <c r="C99" s="34">
        <v>90</v>
      </c>
      <c r="D99" s="33">
        <f t="shared" si="17"/>
        <v>5</v>
      </c>
      <c r="E99" s="33">
        <f t="shared" si="19"/>
        <v>10</v>
      </c>
      <c r="F99" s="33">
        <f t="shared" si="20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6"/>
        <v>0</v>
      </c>
      <c r="B100" s="33">
        <v>0</v>
      </c>
      <c r="C100" s="34">
        <v>100</v>
      </c>
      <c r="D100" s="33">
        <f t="shared" si="17"/>
        <v>0</v>
      </c>
      <c r="E100" s="33">
        <f t="shared" si="19"/>
        <v>0</v>
      </c>
      <c r="F100" s="33">
        <f t="shared" si="20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8" si="0">0.5*S4+Q4</f>
        <v>80</v>
      </c>
      <c r="O4" s="27">
        <f t="shared" ref="O4:O8" si="1">S4</f>
        <v>40</v>
      </c>
      <c r="Q4" s="24">
        <v>60</v>
      </c>
      <c r="R4" s="24">
        <v>0</v>
      </c>
      <c r="S4" s="24">
        <f>100-Q4-R4</f>
        <v>40</v>
      </c>
      <c r="U4" s="25"/>
      <c r="AB4" s="25"/>
      <c r="AC4" s="14">
        <f>Q4/100</f>
        <v>0.6</v>
      </c>
      <c r="AD4" s="14">
        <f t="shared" ref="AD4:AE8" si="2">R4/100</f>
        <v>0</v>
      </c>
      <c r="AE4" s="14">
        <f t="shared" si="2"/>
        <v>0.4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75</v>
      </c>
      <c r="O5" s="27">
        <f t="shared" si="1"/>
        <v>30</v>
      </c>
      <c r="Q5" s="24">
        <f>Q4</f>
        <v>60</v>
      </c>
      <c r="R5" s="24">
        <f>R4+10</f>
        <v>10</v>
      </c>
      <c r="S5" s="24">
        <f t="shared" ref="S5:S8" si="3">100-Q5-R5</f>
        <v>30</v>
      </c>
      <c r="U5" s="25"/>
      <c r="AC5" s="14">
        <f t="shared" ref="AC5:AC8" si="4">Q5/100</f>
        <v>0.6</v>
      </c>
      <c r="AD5" s="14">
        <f t="shared" si="2"/>
        <v>0.1</v>
      </c>
      <c r="AE5" s="14">
        <f t="shared" si="2"/>
        <v>0.3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70</v>
      </c>
      <c r="O6" s="27">
        <f t="shared" si="1"/>
        <v>20</v>
      </c>
      <c r="Q6" s="24">
        <f t="shared" ref="Q6:Q8" si="5">Q5</f>
        <v>60</v>
      </c>
      <c r="R6" s="24">
        <f t="shared" ref="R6:R8" si="6">R5+10</f>
        <v>20</v>
      </c>
      <c r="S6" s="24">
        <f t="shared" si="3"/>
        <v>20</v>
      </c>
      <c r="U6" s="25"/>
      <c r="AC6" s="14">
        <f t="shared" si="4"/>
        <v>0.6</v>
      </c>
      <c r="AD6" s="14">
        <f t="shared" si="2"/>
        <v>0.2</v>
      </c>
      <c r="AE6" s="14">
        <f t="shared" si="2"/>
        <v>0.2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65</v>
      </c>
      <c r="O7" s="27">
        <f t="shared" si="1"/>
        <v>10</v>
      </c>
      <c r="Q7" s="24">
        <f t="shared" si="5"/>
        <v>60</v>
      </c>
      <c r="R7" s="24">
        <f t="shared" si="6"/>
        <v>30</v>
      </c>
      <c r="S7" s="24">
        <f t="shared" si="3"/>
        <v>10</v>
      </c>
      <c r="U7" s="25"/>
      <c r="AC7" s="14">
        <f t="shared" si="4"/>
        <v>0.6</v>
      </c>
      <c r="AD7" s="14">
        <f t="shared" si="2"/>
        <v>0.3</v>
      </c>
      <c r="AE7" s="14">
        <f t="shared" si="2"/>
        <v>0.1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>
        <f t="shared" si="0"/>
        <v>60</v>
      </c>
      <c r="O8" s="27">
        <f t="shared" si="1"/>
        <v>0</v>
      </c>
      <c r="Q8" s="24">
        <f t="shared" si="5"/>
        <v>60</v>
      </c>
      <c r="R8" s="24">
        <f t="shared" si="6"/>
        <v>40</v>
      </c>
      <c r="S8" s="24">
        <f t="shared" si="3"/>
        <v>0</v>
      </c>
      <c r="U8" s="25"/>
      <c r="AC8" s="14">
        <f t="shared" si="4"/>
        <v>0.6</v>
      </c>
      <c r="AD8" s="14">
        <f t="shared" si="2"/>
        <v>0.4</v>
      </c>
      <c r="AE8" s="14">
        <f t="shared" si="2"/>
        <v>0</v>
      </c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/>
      <c r="O9" s="27"/>
      <c r="Q9" s="24"/>
      <c r="R9" s="24"/>
      <c r="S9" s="24"/>
      <c r="U9" s="25"/>
      <c r="AC9" s="14"/>
      <c r="AD9" s="14"/>
      <c r="AE9" s="14"/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/>
      <c r="O10" s="27"/>
      <c r="Q10" s="24"/>
      <c r="R10" s="24"/>
      <c r="S10" s="24"/>
      <c r="U10" s="25"/>
      <c r="AC10" s="14"/>
      <c r="AD10" s="14"/>
      <c r="AE10" s="14"/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/>
      <c r="O11" s="27"/>
      <c r="Q11" s="24"/>
      <c r="R11" s="24"/>
      <c r="S11" s="24"/>
      <c r="U11" s="25"/>
      <c r="AC11" s="14"/>
      <c r="AD11" s="14"/>
      <c r="AE11" s="14"/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Q12" s="24"/>
      <c r="R12" s="24"/>
      <c r="S12" s="24"/>
      <c r="U12" s="25"/>
      <c r="AC12" s="14"/>
      <c r="AD12" s="14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19" si="7">0.5*S15+Q15</f>
        <v>91.503202577149708</v>
      </c>
      <c r="O15" s="27">
        <f t="shared" ref="O15:O19" si="8">S15</f>
        <v>16.993594845700567</v>
      </c>
      <c r="Q15" s="24">
        <f>'VLE Calculation - NRTL'!AI56*100</f>
        <v>83.006405154299429</v>
      </c>
      <c r="R15" s="24">
        <f>'VLE Calculation - NRTL'!AJ56*100</f>
        <v>0</v>
      </c>
      <c r="S15" s="24">
        <f>'VLE Calculation - NRTL'!AK56*100</f>
        <v>16.993594845700567</v>
      </c>
      <c r="U15" s="25"/>
      <c r="AB15" s="25"/>
      <c r="AC15" s="14">
        <f>Q15/100</f>
        <v>0.83006405154299434</v>
      </c>
      <c r="AD15" s="14">
        <f t="shared" ref="AD15:AE19" si="9">R15/100</f>
        <v>0</v>
      </c>
      <c r="AE15" s="14">
        <f t="shared" si="9"/>
        <v>0.16993594845700566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7"/>
        <v>86.271338632086739</v>
      </c>
      <c r="O16" s="27">
        <f t="shared" si="8"/>
        <v>11.718996858938842</v>
      </c>
      <c r="Q16" s="24">
        <f>'VLE Calculation - NRTL'!AI57*100</f>
        <v>80.411840202617313</v>
      </c>
      <c r="R16" s="24">
        <f>'VLE Calculation - NRTL'!AJ57*100</f>
        <v>7.8691629384438517</v>
      </c>
      <c r="S16" s="24">
        <f>'VLE Calculation - NRTL'!AK57*100</f>
        <v>11.718996858938842</v>
      </c>
      <c r="U16" s="25"/>
      <c r="AC16" s="14">
        <f t="shared" ref="AC16:AC19" si="10">Q16/100</f>
        <v>0.80411840202617313</v>
      </c>
      <c r="AD16" s="14">
        <f t="shared" si="9"/>
        <v>7.8691629384438522E-2</v>
      </c>
      <c r="AE16" s="14">
        <f t="shared" si="9"/>
        <v>0.11718996858938842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7"/>
        <v>80.199426549911507</v>
      </c>
      <c r="O17" s="27">
        <f t="shared" si="8"/>
        <v>7.1450422209449371</v>
      </c>
      <c r="Q17" s="24">
        <f>'VLE Calculation - NRTL'!AI58*100</f>
        <v>76.626905439439042</v>
      </c>
      <c r="R17" s="24">
        <f>'VLE Calculation - NRTL'!AJ58*100</f>
        <v>16.228052339616028</v>
      </c>
      <c r="S17" s="24">
        <f>'VLE Calculation - NRTL'!AK58*100</f>
        <v>7.1450422209449371</v>
      </c>
      <c r="U17" s="25"/>
      <c r="AC17" s="14">
        <f t="shared" si="10"/>
        <v>0.76626905439439041</v>
      </c>
      <c r="AD17" s="14">
        <f t="shared" si="9"/>
        <v>0.16228052339616028</v>
      </c>
      <c r="AE17" s="14">
        <f t="shared" si="9"/>
        <v>7.1450422209449374E-2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7"/>
        <v>74.273018481687487</v>
      </c>
      <c r="O18" s="27">
        <f t="shared" si="8"/>
        <v>3.2747881631031017</v>
      </c>
      <c r="Q18" s="24">
        <f>'VLE Calculation - NRTL'!AI59*100</f>
        <v>72.635624400135939</v>
      </c>
      <c r="R18" s="24">
        <f>'VLE Calculation - NRTL'!AJ59*100</f>
        <v>24.089587436760944</v>
      </c>
      <c r="S18" s="24">
        <f>'VLE Calculation - NRTL'!AK59*100</f>
        <v>3.2747881631031017</v>
      </c>
      <c r="U18" s="25"/>
      <c r="AC18" s="14">
        <f t="shared" si="10"/>
        <v>0.72635624400135934</v>
      </c>
      <c r="AD18" s="14">
        <f t="shared" si="9"/>
        <v>0.24089587436760942</v>
      </c>
      <c r="AE18" s="14">
        <f t="shared" si="9"/>
        <v>3.2747881631031019E-2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>
        <f t="shared" si="7"/>
        <v>68.946838660727593</v>
      </c>
      <c r="O19" s="27">
        <f t="shared" si="8"/>
        <v>0</v>
      </c>
      <c r="Q19" s="24">
        <f>'VLE Calculation - NRTL'!AI60*100</f>
        <v>68.946838660727593</v>
      </c>
      <c r="R19" s="24">
        <f>'VLE Calculation - NRTL'!AJ60*100</f>
        <v>31.053161339272407</v>
      </c>
      <c r="S19" s="24">
        <f>'VLE Calculation - NRTL'!AK60*100</f>
        <v>0</v>
      </c>
      <c r="U19" s="25"/>
      <c r="AC19" s="14">
        <f t="shared" si="10"/>
        <v>0.68946838660727594</v>
      </c>
      <c r="AD19" s="14">
        <f t="shared" si="9"/>
        <v>0.31053161339272406</v>
      </c>
      <c r="AE19" s="14">
        <f t="shared" si="9"/>
        <v>0</v>
      </c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/>
      <c r="O20" s="27"/>
      <c r="Q20" s="24"/>
      <c r="R20" s="24"/>
      <c r="S20" s="24"/>
      <c r="U20" s="25"/>
      <c r="AC20" s="14"/>
      <c r="AD20" s="14"/>
      <c r="AE20" s="14"/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/>
      <c r="O21" s="27"/>
      <c r="Q21" s="24"/>
      <c r="R21" s="24"/>
      <c r="S21" s="24"/>
      <c r="U21" s="25"/>
      <c r="AC21" s="14"/>
      <c r="AD21" s="14"/>
      <c r="AE21" s="14"/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/>
      <c r="O22" s="27"/>
      <c r="Q22" s="24"/>
      <c r="R22" s="24"/>
      <c r="S22" s="24"/>
      <c r="U22" s="25"/>
      <c r="AC22" s="14"/>
      <c r="AD22" s="14"/>
      <c r="AE22" s="14"/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/>
      <c r="O23" s="27"/>
      <c r="Q23" s="24"/>
      <c r="R23" s="24"/>
      <c r="S23" s="24"/>
      <c r="U23" s="25"/>
      <c r="AC23" s="26"/>
      <c r="AD23" s="26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30" si="11">0.5*S26+Q26</f>
        <v>92.66</v>
      </c>
      <c r="O26" s="27">
        <f t="shared" ref="O26:O30" si="12">S26</f>
        <v>14.680000000000007</v>
      </c>
      <c r="Q26" s="24">
        <f t="shared" ref="Q26:R30" si="13">AC26*100</f>
        <v>85.32</v>
      </c>
      <c r="R26" s="24">
        <f t="shared" si="13"/>
        <v>0</v>
      </c>
      <c r="S26" s="24">
        <f t="shared" ref="S26:S30" si="14">100-Q26-R26</f>
        <v>14.680000000000007</v>
      </c>
      <c r="U26" s="24"/>
      <c r="V26" s="24"/>
      <c r="W26" s="24"/>
      <c r="AC26" s="14">
        <v>0.85319999999999996</v>
      </c>
      <c r="AD26" s="14">
        <v>0</v>
      </c>
      <c r="AE26" s="14">
        <f>1-AC26-AD26</f>
        <v>0.14680000000000004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11"/>
        <v>87</v>
      </c>
      <c r="O27" s="27">
        <f t="shared" si="12"/>
        <v>10</v>
      </c>
      <c r="Q27" s="24">
        <f t="shared" si="13"/>
        <v>82</v>
      </c>
      <c r="R27" s="24">
        <f t="shared" si="13"/>
        <v>8</v>
      </c>
      <c r="S27" s="24">
        <f t="shared" si="14"/>
        <v>10</v>
      </c>
      <c r="U27" s="24"/>
      <c r="V27" s="24"/>
      <c r="W27" s="24"/>
      <c r="AC27" s="14">
        <v>0.82</v>
      </c>
      <c r="AD27" s="14">
        <v>0.08</v>
      </c>
      <c r="AE27" s="26">
        <f>1-AC27-AD27</f>
        <v>0.10000000000000005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11"/>
        <v>80.349999999999994</v>
      </c>
      <c r="O28" s="27">
        <f t="shared" si="12"/>
        <v>6.6999999999999993</v>
      </c>
      <c r="Q28" s="24">
        <f t="shared" si="13"/>
        <v>77</v>
      </c>
      <c r="R28" s="24">
        <f t="shared" si="13"/>
        <v>16.3</v>
      </c>
      <c r="S28" s="24">
        <f t="shared" si="14"/>
        <v>6.6999999999999993</v>
      </c>
      <c r="U28" s="24"/>
      <c r="V28" s="24"/>
      <c r="W28" s="24"/>
      <c r="AC28" s="14">
        <v>0.77</v>
      </c>
      <c r="AD28" s="14">
        <v>0.16300000000000001</v>
      </c>
      <c r="AE28" s="26">
        <f>1-AC28-AD28</f>
        <v>6.6999999999999976E-2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11"/>
        <v>73.75</v>
      </c>
      <c r="O29" s="27">
        <f t="shared" si="12"/>
        <v>3.5</v>
      </c>
      <c r="P29" s="27"/>
      <c r="Q29" s="24">
        <f t="shared" si="13"/>
        <v>72</v>
      </c>
      <c r="R29" s="24">
        <f t="shared" si="13"/>
        <v>24.5</v>
      </c>
      <c r="S29" s="24">
        <f t="shared" si="14"/>
        <v>3.5</v>
      </c>
      <c r="U29" s="24"/>
      <c r="V29" s="24"/>
      <c r="W29" s="24"/>
      <c r="AC29" s="14">
        <v>0.72</v>
      </c>
      <c r="AD29" s="14">
        <v>0.245</v>
      </c>
      <c r="AE29" s="26">
        <f>1-AC29-AD29</f>
        <v>3.5000000000000031E-2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>
        <f t="shared" si="11"/>
        <v>66.400000000000006</v>
      </c>
      <c r="O30" s="27">
        <f t="shared" si="12"/>
        <v>0</v>
      </c>
      <c r="Q30" s="24">
        <f t="shared" si="13"/>
        <v>66.400000000000006</v>
      </c>
      <c r="R30" s="24">
        <f t="shared" si="13"/>
        <v>33.599999999999994</v>
      </c>
      <c r="S30" s="24">
        <f t="shared" si="14"/>
        <v>0</v>
      </c>
      <c r="U30" s="25"/>
      <c r="AC30" s="14">
        <v>0.66400000000000003</v>
      </c>
      <c r="AD30" s="14">
        <f>1-AC30</f>
        <v>0.33599999999999997</v>
      </c>
      <c r="AE30" s="26">
        <f>1-AC30-AD30</f>
        <v>0</v>
      </c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/>
      <c r="O31" s="27"/>
      <c r="Q31" s="24"/>
      <c r="R31" s="24"/>
      <c r="S31" s="24"/>
      <c r="U31" s="25"/>
      <c r="AC31" s="14"/>
      <c r="AD31" s="14"/>
      <c r="AE31" s="26"/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/>
      <c r="O32" s="27"/>
      <c r="Q32" s="24"/>
      <c r="R32" s="24"/>
      <c r="S32" s="24"/>
      <c r="U32" s="25"/>
      <c r="AC32" s="14"/>
      <c r="AD32" s="14"/>
      <c r="AE32" s="26"/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/>
      <c r="O33" s="27"/>
      <c r="P33" s="27"/>
      <c r="Q33" s="24"/>
      <c r="R33" s="24"/>
      <c r="S33" s="24"/>
      <c r="U33" s="25"/>
      <c r="AC33" s="14"/>
      <c r="AD33" s="14"/>
      <c r="AE33" s="14"/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/>
      <c r="O34" s="27"/>
      <c r="Q34" s="24"/>
      <c r="R34" s="24"/>
      <c r="S34" s="24"/>
      <c r="U34" s="25"/>
      <c r="AC34" s="14"/>
      <c r="AD34" s="14"/>
      <c r="AE34" s="14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75</v>
      </c>
      <c r="O45" s="27">
        <f>S45</f>
        <v>30</v>
      </c>
      <c r="Q45" s="24">
        <f>Q5</f>
        <v>60</v>
      </c>
      <c r="R45" s="24">
        <f>R5</f>
        <v>10</v>
      </c>
      <c r="S45" s="24">
        <f>S5</f>
        <v>30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86.271338632086739</v>
      </c>
      <c r="O46" s="27">
        <f>S46</f>
        <v>11.718996858938842</v>
      </c>
      <c r="Q46" s="24">
        <f>Q16</f>
        <v>80.411840202617313</v>
      </c>
      <c r="R46" s="24">
        <f>R16</f>
        <v>7.8691629384438517</v>
      </c>
      <c r="S46" s="24">
        <f>S16</f>
        <v>11.718996858938842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70</v>
      </c>
      <c r="O48" s="27">
        <f>S48</f>
        <v>20</v>
      </c>
      <c r="Q48" s="24">
        <f>Q6</f>
        <v>60</v>
      </c>
      <c r="R48" s="24">
        <f>R6</f>
        <v>20</v>
      </c>
      <c r="S48" s="24">
        <f>S6</f>
        <v>20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80.199426549911507</v>
      </c>
      <c r="O49" s="27">
        <f>S49</f>
        <v>7.1450422209449371</v>
      </c>
      <c r="Q49" s="24">
        <f>Q17</f>
        <v>76.626905439439042</v>
      </c>
      <c r="R49" s="24">
        <f>R17</f>
        <v>16.228052339616028</v>
      </c>
      <c r="S49" s="24">
        <f>S17</f>
        <v>7.1450422209449371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65</v>
      </c>
      <c r="O51" s="27">
        <f>S51</f>
        <v>10</v>
      </c>
      <c r="Q51" s="24">
        <f>Q7</f>
        <v>60</v>
      </c>
      <c r="R51" s="24">
        <f>R7</f>
        <v>30</v>
      </c>
      <c r="S51" s="24">
        <f>S7</f>
        <v>10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74.273018481687487</v>
      </c>
      <c r="O52" s="27">
        <f>S52</f>
        <v>3.2747881631031017</v>
      </c>
      <c r="Q52" s="24">
        <f>Q18</f>
        <v>72.635624400135939</v>
      </c>
      <c r="R52" s="24">
        <f>R18</f>
        <v>24.089587436760944</v>
      </c>
      <c r="S52" s="24">
        <f>S18</f>
        <v>3.2747881631031017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60</v>
      </c>
      <c r="O54" s="27">
        <f>S54</f>
        <v>0</v>
      </c>
      <c r="Q54" s="24">
        <f>Q8</f>
        <v>60</v>
      </c>
      <c r="R54" s="24">
        <f>R8</f>
        <v>40</v>
      </c>
      <c r="S54" s="24">
        <f>S8</f>
        <v>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68.946838660727593</v>
      </c>
      <c r="O55" s="27">
        <f>S55</f>
        <v>0</v>
      </c>
      <c r="Q55" s="24">
        <f>Q19</f>
        <v>68.946838660727593</v>
      </c>
      <c r="R55" s="24">
        <f>R19</f>
        <v>31.053161339272407</v>
      </c>
      <c r="S55" s="24">
        <f>S19</f>
        <v>0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0</v>
      </c>
      <c r="O57" s="27">
        <f>S57</f>
        <v>0</v>
      </c>
      <c r="Q57" s="24">
        <f>Q9</f>
        <v>0</v>
      </c>
      <c r="R57" s="24">
        <f>R9</f>
        <v>0</v>
      </c>
      <c r="S57" s="24">
        <f>S9</f>
        <v>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0</v>
      </c>
      <c r="O58" s="27">
        <f>S58</f>
        <v>0</v>
      </c>
      <c r="Q58" s="24">
        <f>Q20</f>
        <v>0</v>
      </c>
      <c r="R58" s="24">
        <f>R20</f>
        <v>0</v>
      </c>
      <c r="S58" s="24">
        <f>S20</f>
        <v>0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0</v>
      </c>
      <c r="O60" s="27">
        <f>S60</f>
        <v>0</v>
      </c>
      <c r="Q60" s="24">
        <f>Q10</f>
        <v>0</v>
      </c>
      <c r="R60" s="24">
        <f>R10</f>
        <v>0</v>
      </c>
      <c r="S60" s="24">
        <f>S10</f>
        <v>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0</v>
      </c>
      <c r="O61" s="27">
        <f>S61</f>
        <v>0</v>
      </c>
      <c r="Q61" s="24">
        <f>Q21</f>
        <v>0</v>
      </c>
      <c r="R61" s="24">
        <f>R21</f>
        <v>0</v>
      </c>
      <c r="S61" s="24">
        <f>S21</f>
        <v>0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0</v>
      </c>
      <c r="O63" s="27">
        <f>S63</f>
        <v>0</v>
      </c>
      <c r="Q63" s="24">
        <f>Q11</f>
        <v>0</v>
      </c>
      <c r="R63" s="24">
        <f>R11</f>
        <v>0</v>
      </c>
      <c r="S63" s="24">
        <f>S11</f>
        <v>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0</v>
      </c>
      <c r="O64" s="27">
        <f>S64</f>
        <v>0</v>
      </c>
      <c r="Q64" s="24">
        <f>Q22</f>
        <v>0</v>
      </c>
      <c r="R64" s="24">
        <f>R22</f>
        <v>0</v>
      </c>
      <c r="S64" s="24">
        <f>S22</f>
        <v>0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0</v>
      </c>
      <c r="O66" s="27">
        <f>S66</f>
        <v>0</v>
      </c>
      <c r="Q66" s="24">
        <f>Q12</f>
        <v>0</v>
      </c>
      <c r="R66" s="24">
        <f>R12</f>
        <v>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0</v>
      </c>
      <c r="O67" s="27">
        <f>S67</f>
        <v>0</v>
      </c>
      <c r="Q67" s="24">
        <f>Q23</f>
        <v>0</v>
      </c>
      <c r="R67" s="24">
        <f>R23</f>
        <v>0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5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5"/>
        <v>90</v>
      </c>
      <c r="B79" s="33">
        <v>10</v>
      </c>
      <c r="C79" s="34">
        <v>0</v>
      </c>
      <c r="D79" s="33">
        <f t="shared" ref="D79:D100" si="16">0.5*A79+B79</f>
        <v>55</v>
      </c>
      <c r="E79" s="33"/>
      <c r="F79" s="33">
        <f t="shared" ref="F79:F88" si="17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5"/>
        <v>80</v>
      </c>
      <c r="B80" s="33">
        <v>20</v>
      </c>
      <c r="C80" s="34">
        <v>0</v>
      </c>
      <c r="D80" s="33">
        <f t="shared" si="16"/>
        <v>60</v>
      </c>
      <c r="E80" s="33"/>
      <c r="F80" s="33">
        <f t="shared" si="17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5"/>
        <v>70</v>
      </c>
      <c r="B81" s="33">
        <v>30</v>
      </c>
      <c r="C81" s="34">
        <v>0</v>
      </c>
      <c r="D81" s="33">
        <f t="shared" si="16"/>
        <v>65</v>
      </c>
      <c r="E81" s="33"/>
      <c r="F81" s="33">
        <f t="shared" si="17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5"/>
        <v>60</v>
      </c>
      <c r="B82" s="33">
        <v>40</v>
      </c>
      <c r="C82" s="34">
        <v>0</v>
      </c>
      <c r="D82" s="33">
        <f t="shared" si="16"/>
        <v>70</v>
      </c>
      <c r="E82" s="33"/>
      <c r="F82" s="33">
        <f t="shared" si="17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5"/>
        <v>50</v>
      </c>
      <c r="B83" s="33">
        <v>50</v>
      </c>
      <c r="C83" s="34">
        <v>0</v>
      </c>
      <c r="D83" s="33">
        <f t="shared" si="16"/>
        <v>75</v>
      </c>
      <c r="E83" s="33"/>
      <c r="F83" s="33">
        <f t="shared" si="17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5"/>
        <v>40</v>
      </c>
      <c r="B84" s="33">
        <v>60</v>
      </c>
      <c r="C84" s="34">
        <v>0</v>
      </c>
      <c r="D84" s="33">
        <f t="shared" si="16"/>
        <v>80</v>
      </c>
      <c r="E84" s="33"/>
      <c r="F84" s="33">
        <f t="shared" si="17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5"/>
        <v>30</v>
      </c>
      <c r="B85" s="33">
        <v>70</v>
      </c>
      <c r="C85" s="34">
        <v>0</v>
      </c>
      <c r="D85" s="33">
        <f t="shared" si="16"/>
        <v>85</v>
      </c>
      <c r="E85" s="33"/>
      <c r="F85" s="33">
        <f t="shared" si="17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5"/>
        <v>20</v>
      </c>
      <c r="B86" s="33">
        <v>80</v>
      </c>
      <c r="C86" s="34">
        <v>0</v>
      </c>
      <c r="D86" s="33">
        <f t="shared" si="16"/>
        <v>90</v>
      </c>
      <c r="E86" s="33"/>
      <c r="F86" s="33">
        <f t="shared" si="17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5"/>
        <v>10</v>
      </c>
      <c r="B87" s="33">
        <v>90</v>
      </c>
      <c r="C87" s="34">
        <v>0</v>
      </c>
      <c r="D87" s="33">
        <f t="shared" si="16"/>
        <v>95</v>
      </c>
      <c r="E87" s="33"/>
      <c r="F87" s="33">
        <f t="shared" si="17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5"/>
        <v>0</v>
      </c>
      <c r="B88" s="33">
        <v>100</v>
      </c>
      <c r="C88" s="34">
        <v>0</v>
      </c>
      <c r="D88" s="33">
        <f t="shared" si="16"/>
        <v>100</v>
      </c>
      <c r="E88" s="33"/>
      <c r="F88" s="33">
        <f t="shared" si="17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5"/>
        <v>100</v>
      </c>
      <c r="B90" s="33">
        <v>0</v>
      </c>
      <c r="C90" s="34">
        <v>0</v>
      </c>
      <c r="D90" s="33">
        <f t="shared" si="16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5"/>
        <v>90</v>
      </c>
      <c r="B91" s="33">
        <v>0</v>
      </c>
      <c r="C91" s="34">
        <v>10</v>
      </c>
      <c r="D91" s="33">
        <f t="shared" si="16"/>
        <v>45</v>
      </c>
      <c r="E91" s="33">
        <f t="shared" ref="E91:E100" si="18">A91</f>
        <v>90</v>
      </c>
      <c r="F91" s="33">
        <f t="shared" ref="F91:F100" si="19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5"/>
        <v>80</v>
      </c>
      <c r="B92" s="33">
        <v>0</v>
      </c>
      <c r="C92" s="34">
        <v>20</v>
      </c>
      <c r="D92" s="33">
        <f t="shared" si="16"/>
        <v>40</v>
      </c>
      <c r="E92" s="33">
        <f t="shared" si="18"/>
        <v>80</v>
      </c>
      <c r="F92" s="33">
        <f t="shared" si="19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5"/>
        <v>70</v>
      </c>
      <c r="B93" s="33">
        <v>0</v>
      </c>
      <c r="C93" s="34">
        <v>30</v>
      </c>
      <c r="D93" s="33">
        <f t="shared" si="16"/>
        <v>35</v>
      </c>
      <c r="E93" s="33">
        <f t="shared" si="18"/>
        <v>70</v>
      </c>
      <c r="F93" s="33">
        <f t="shared" si="19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5"/>
        <v>60</v>
      </c>
      <c r="B94" s="33">
        <v>0</v>
      </c>
      <c r="C94" s="34">
        <v>40</v>
      </c>
      <c r="D94" s="33">
        <f t="shared" si="16"/>
        <v>30</v>
      </c>
      <c r="E94" s="33">
        <f t="shared" si="18"/>
        <v>60</v>
      </c>
      <c r="F94" s="33">
        <f t="shared" si="19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5"/>
        <v>50</v>
      </c>
      <c r="B95" s="33">
        <v>0</v>
      </c>
      <c r="C95" s="34">
        <v>50</v>
      </c>
      <c r="D95" s="33">
        <f t="shared" si="16"/>
        <v>25</v>
      </c>
      <c r="E95" s="33">
        <f t="shared" si="18"/>
        <v>50</v>
      </c>
      <c r="F95" s="33">
        <f t="shared" si="19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5"/>
        <v>40</v>
      </c>
      <c r="B96" s="33">
        <v>0</v>
      </c>
      <c r="C96" s="34">
        <v>60</v>
      </c>
      <c r="D96" s="33">
        <f t="shared" si="16"/>
        <v>20</v>
      </c>
      <c r="E96" s="33">
        <f t="shared" si="18"/>
        <v>40</v>
      </c>
      <c r="F96" s="33">
        <f t="shared" si="19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5"/>
        <v>30</v>
      </c>
      <c r="B97" s="33">
        <v>0</v>
      </c>
      <c r="C97" s="34">
        <v>70</v>
      </c>
      <c r="D97" s="33">
        <f t="shared" si="16"/>
        <v>15</v>
      </c>
      <c r="E97" s="33">
        <f t="shared" si="18"/>
        <v>30</v>
      </c>
      <c r="F97" s="33">
        <f t="shared" si="19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5"/>
        <v>20</v>
      </c>
      <c r="B98" s="33">
        <v>0</v>
      </c>
      <c r="C98" s="34">
        <v>80</v>
      </c>
      <c r="D98" s="33">
        <f t="shared" si="16"/>
        <v>10</v>
      </c>
      <c r="E98" s="33">
        <f t="shared" si="18"/>
        <v>20</v>
      </c>
      <c r="F98" s="33">
        <f t="shared" si="19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5"/>
        <v>10</v>
      </c>
      <c r="B99" s="33">
        <v>0</v>
      </c>
      <c r="C99" s="34">
        <v>90</v>
      </c>
      <c r="D99" s="33">
        <f t="shared" si="16"/>
        <v>5</v>
      </c>
      <c r="E99" s="33">
        <f t="shared" si="18"/>
        <v>10</v>
      </c>
      <c r="F99" s="33">
        <f t="shared" si="19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5"/>
        <v>0</v>
      </c>
      <c r="B100" s="33">
        <v>0</v>
      </c>
      <c r="C100" s="34">
        <v>100</v>
      </c>
      <c r="D100" s="33">
        <f t="shared" si="16"/>
        <v>0</v>
      </c>
      <c r="E100" s="33">
        <f t="shared" si="18"/>
        <v>0</v>
      </c>
      <c r="F100" s="33">
        <f t="shared" si="19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7" si="0">0.5*S4+Q4</f>
        <v>85</v>
      </c>
      <c r="O4" s="27">
        <f t="shared" ref="O4:O7" si="1">S4</f>
        <v>30</v>
      </c>
      <c r="Q4" s="24">
        <v>70</v>
      </c>
      <c r="R4" s="24">
        <v>0</v>
      </c>
      <c r="S4" s="24">
        <f>100-Q4-R4</f>
        <v>30</v>
      </c>
      <c r="U4" s="25"/>
      <c r="AB4" s="25"/>
      <c r="AC4" s="14">
        <f>Q4/100</f>
        <v>0.7</v>
      </c>
      <c r="AD4" s="14">
        <f t="shared" ref="AD4:AE7" si="2">R4/100</f>
        <v>0</v>
      </c>
      <c r="AE4" s="14">
        <f t="shared" si="2"/>
        <v>0.3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80</v>
      </c>
      <c r="O5" s="27">
        <f t="shared" si="1"/>
        <v>20</v>
      </c>
      <c r="Q5" s="24">
        <f>Q4</f>
        <v>70</v>
      </c>
      <c r="R5" s="24">
        <f>R4+10</f>
        <v>10</v>
      </c>
      <c r="S5" s="24">
        <f t="shared" ref="S5:S7" si="3">100-Q5-R5</f>
        <v>20</v>
      </c>
      <c r="U5" s="25"/>
      <c r="AC5" s="14">
        <f t="shared" ref="AC5:AC7" si="4">Q5/100</f>
        <v>0.7</v>
      </c>
      <c r="AD5" s="14">
        <f t="shared" si="2"/>
        <v>0.1</v>
      </c>
      <c r="AE5" s="14">
        <f t="shared" si="2"/>
        <v>0.2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75</v>
      </c>
      <c r="O6" s="27">
        <f t="shared" si="1"/>
        <v>10</v>
      </c>
      <c r="Q6" s="24">
        <f t="shared" ref="Q6:Q7" si="5">Q5</f>
        <v>70</v>
      </c>
      <c r="R6" s="24">
        <f t="shared" ref="R6:R7" si="6">R5+10</f>
        <v>20</v>
      </c>
      <c r="S6" s="24">
        <f t="shared" si="3"/>
        <v>10</v>
      </c>
      <c r="U6" s="25"/>
      <c r="AC6" s="14">
        <f t="shared" si="4"/>
        <v>0.7</v>
      </c>
      <c r="AD6" s="14">
        <f t="shared" si="2"/>
        <v>0.2</v>
      </c>
      <c r="AE6" s="14">
        <f t="shared" si="2"/>
        <v>0.1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>
        <f t="shared" si="0"/>
        <v>70</v>
      </c>
      <c r="O7" s="27">
        <f t="shared" si="1"/>
        <v>0</v>
      </c>
      <c r="Q7" s="24">
        <f t="shared" si="5"/>
        <v>70</v>
      </c>
      <c r="R7" s="24">
        <f t="shared" si="6"/>
        <v>30</v>
      </c>
      <c r="S7" s="24">
        <f t="shared" si="3"/>
        <v>0</v>
      </c>
      <c r="U7" s="25"/>
      <c r="AC7" s="14">
        <f t="shared" si="4"/>
        <v>0.7</v>
      </c>
      <c r="AD7" s="14">
        <f t="shared" si="2"/>
        <v>0.3</v>
      </c>
      <c r="AE7" s="14">
        <f t="shared" si="2"/>
        <v>0</v>
      </c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/>
      <c r="O8" s="27"/>
      <c r="Q8" s="24"/>
      <c r="R8" s="24"/>
      <c r="S8" s="24"/>
      <c r="U8" s="25"/>
      <c r="AC8" s="14"/>
      <c r="AD8" s="14"/>
      <c r="AE8" s="14"/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/>
      <c r="O9" s="27"/>
      <c r="Q9" s="24"/>
      <c r="R9" s="24"/>
      <c r="S9" s="24"/>
      <c r="U9" s="25"/>
      <c r="AC9" s="14"/>
      <c r="AD9" s="14"/>
      <c r="AE9" s="14"/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/>
      <c r="O10" s="27"/>
      <c r="Q10" s="24"/>
      <c r="R10" s="24"/>
      <c r="S10" s="24"/>
      <c r="U10" s="25"/>
      <c r="AC10" s="14"/>
      <c r="AD10" s="14"/>
      <c r="AE10" s="14"/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/>
      <c r="O11" s="27"/>
      <c r="Q11" s="24"/>
      <c r="R11" s="24"/>
      <c r="S11" s="24"/>
      <c r="U11" s="25"/>
      <c r="AC11" s="14"/>
      <c r="AD11" s="14"/>
      <c r="AE11" s="14"/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Q12" s="24"/>
      <c r="R12" s="24"/>
      <c r="S12" s="24"/>
      <c r="U12" s="25"/>
      <c r="AC12" s="14"/>
      <c r="AD12" s="14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18" si="7">0.5*S15+Q15</f>
        <v>92.76086721756495</v>
      </c>
      <c r="O15" s="27">
        <f t="shared" ref="O15:O18" si="8">S15</f>
        <v>14.47826556487013</v>
      </c>
      <c r="Q15" s="24">
        <f>'VLE Calculation - NRTL'!AI61*100</f>
        <v>85.521734435129886</v>
      </c>
      <c r="R15" s="24">
        <f>'VLE Calculation - NRTL'!AJ61*100</f>
        <v>0</v>
      </c>
      <c r="S15" s="24">
        <f>'VLE Calculation - NRTL'!AK61*100</f>
        <v>14.47826556487013</v>
      </c>
      <c r="U15" s="25"/>
      <c r="AB15" s="25"/>
      <c r="AC15" s="14">
        <f>Q15/100</f>
        <v>0.85521734435129881</v>
      </c>
      <c r="AD15" s="14">
        <f t="shared" ref="AD15:AE18" si="9">R15/100</f>
        <v>0</v>
      </c>
      <c r="AE15" s="14">
        <f t="shared" si="9"/>
        <v>0.1447826556487013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7"/>
        <v>86.769860435222043</v>
      </c>
      <c r="O16" s="27">
        <f t="shared" si="8"/>
        <v>8.4538227880342571</v>
      </c>
      <c r="Q16" s="24">
        <f>'VLE Calculation - NRTL'!AI62*100</f>
        <v>82.54294904120492</v>
      </c>
      <c r="R16" s="24">
        <f>'VLE Calculation - NRTL'!AJ62*100</f>
        <v>9.0032281707608295</v>
      </c>
      <c r="S16" s="24">
        <f>'VLE Calculation - NRTL'!AK62*100</f>
        <v>8.4538227880342571</v>
      </c>
      <c r="U16" s="25"/>
      <c r="AC16" s="14">
        <f t="shared" ref="AC16:AC18" si="10">Q16/100</f>
        <v>0.82542949041204916</v>
      </c>
      <c r="AD16" s="14">
        <f t="shared" si="9"/>
        <v>9.0032281707608297E-2</v>
      </c>
      <c r="AE16" s="14">
        <f t="shared" si="9"/>
        <v>8.453822788034257E-2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7"/>
        <v>80.480876246110583</v>
      </c>
      <c r="O17" s="27">
        <f t="shared" si="8"/>
        <v>3.7173679072092893</v>
      </c>
      <c r="Q17" s="24">
        <f>'VLE Calculation - NRTL'!AI63*100</f>
        <v>78.622192292505943</v>
      </c>
      <c r="R17" s="24">
        <f>'VLE Calculation - NRTL'!AJ63*100</f>
        <v>17.66043980028477</v>
      </c>
      <c r="S17" s="24">
        <f>'VLE Calculation - NRTL'!AK63*100</f>
        <v>3.7173679072092893</v>
      </c>
      <c r="U17" s="25"/>
      <c r="AC17" s="14">
        <f t="shared" si="10"/>
        <v>0.78622192292505944</v>
      </c>
      <c r="AD17" s="14">
        <f t="shared" si="9"/>
        <v>0.17660439800284769</v>
      </c>
      <c r="AE17" s="14">
        <f t="shared" si="9"/>
        <v>3.7173679072092895E-2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>
        <f t="shared" si="7"/>
        <v>74.751625903873943</v>
      </c>
      <c r="O18" s="27">
        <f t="shared" si="8"/>
        <v>0</v>
      </c>
      <c r="Q18" s="24">
        <f>'VLE Calculation - NRTL'!AI64*100</f>
        <v>74.751625903873943</v>
      </c>
      <c r="R18" s="24">
        <f>'VLE Calculation - NRTL'!AJ64*100</f>
        <v>25.248374096126064</v>
      </c>
      <c r="S18" s="24">
        <f>'VLE Calculation - NRTL'!AK64*100</f>
        <v>0</v>
      </c>
      <c r="U18" s="25"/>
      <c r="AC18" s="14">
        <f t="shared" si="10"/>
        <v>0.74751625903873942</v>
      </c>
      <c r="AD18" s="14">
        <f t="shared" si="9"/>
        <v>0.25248374096126064</v>
      </c>
      <c r="AE18" s="14">
        <f t="shared" si="9"/>
        <v>0</v>
      </c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/>
      <c r="O19" s="27"/>
      <c r="Q19" s="24"/>
      <c r="R19" s="24"/>
      <c r="S19" s="24"/>
      <c r="U19" s="25"/>
      <c r="AC19" s="14"/>
      <c r="AD19" s="14"/>
      <c r="AE19" s="14"/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/>
      <c r="O20" s="27"/>
      <c r="Q20" s="24"/>
      <c r="R20" s="24"/>
      <c r="S20" s="24"/>
      <c r="U20" s="25"/>
      <c r="AC20" s="14"/>
      <c r="AD20" s="14"/>
      <c r="AE20" s="14"/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/>
      <c r="O21" s="27"/>
      <c r="Q21" s="24"/>
      <c r="R21" s="24"/>
      <c r="S21" s="24"/>
      <c r="U21" s="25"/>
      <c r="AC21" s="14"/>
      <c r="AD21" s="14"/>
      <c r="AE21" s="14"/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/>
      <c r="O22" s="27"/>
      <c r="Q22" s="24"/>
      <c r="R22" s="24"/>
      <c r="S22" s="24"/>
      <c r="U22" s="25"/>
      <c r="AC22" s="14"/>
      <c r="AD22" s="14"/>
      <c r="AE22" s="14"/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/>
      <c r="O23" s="27"/>
      <c r="Q23" s="24"/>
      <c r="R23" s="24"/>
      <c r="S23" s="24"/>
      <c r="U23" s="25"/>
      <c r="AC23" s="26"/>
      <c r="AD23" s="26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29" si="11">0.5*S26+Q26</f>
        <v>93.56</v>
      </c>
      <c r="O26" s="27">
        <f t="shared" ref="O26:O29" si="12">S26</f>
        <v>12.879999999999995</v>
      </c>
      <c r="Q26" s="24">
        <f t="shared" ref="Q26:R29" si="13">AC26*100</f>
        <v>87.12</v>
      </c>
      <c r="R26" s="24">
        <f t="shared" si="13"/>
        <v>0</v>
      </c>
      <c r="S26" s="24">
        <f t="shared" ref="S26:S29" si="14">100-Q26-R26</f>
        <v>12.879999999999995</v>
      </c>
      <c r="U26" s="24"/>
      <c r="V26" s="24"/>
      <c r="W26" s="24"/>
      <c r="AC26" s="14">
        <v>0.87119999999999997</v>
      </c>
      <c r="AD26" s="14">
        <v>0</v>
      </c>
      <c r="AE26" s="14">
        <f>1-AC26-AD26</f>
        <v>0.12880000000000003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11"/>
        <v>86.6</v>
      </c>
      <c r="O27" s="27">
        <f t="shared" si="12"/>
        <v>7.8000000000000114</v>
      </c>
      <c r="Q27" s="24">
        <f t="shared" si="13"/>
        <v>82.699999999999989</v>
      </c>
      <c r="R27" s="24">
        <f t="shared" si="13"/>
        <v>9.5</v>
      </c>
      <c r="S27" s="24">
        <f t="shared" si="14"/>
        <v>7.8000000000000114</v>
      </c>
      <c r="U27" s="24"/>
      <c r="V27" s="24"/>
      <c r="W27" s="24"/>
      <c r="AC27" s="14">
        <v>0.82699999999999996</v>
      </c>
      <c r="AD27" s="14">
        <v>9.5000000000000001E-2</v>
      </c>
      <c r="AE27" s="26">
        <f>1-AC27-AD27</f>
        <v>7.8000000000000042E-2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11"/>
        <v>79.7</v>
      </c>
      <c r="O28" s="27">
        <f t="shared" si="12"/>
        <v>3.8000000000000043</v>
      </c>
      <c r="Q28" s="24">
        <f t="shared" si="13"/>
        <v>77.8</v>
      </c>
      <c r="R28" s="24">
        <f t="shared" si="13"/>
        <v>18.399999999999999</v>
      </c>
      <c r="S28" s="24">
        <f t="shared" si="14"/>
        <v>3.8000000000000043</v>
      </c>
      <c r="U28" s="24"/>
      <c r="V28" s="24"/>
      <c r="W28" s="24"/>
      <c r="AC28" s="14">
        <v>0.77800000000000002</v>
      </c>
      <c r="AD28" s="14">
        <v>0.184</v>
      </c>
      <c r="AE28" s="26">
        <f>1-AC28-AD28</f>
        <v>3.7999999999999978E-2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>
        <f t="shared" si="11"/>
        <v>73.3</v>
      </c>
      <c r="O29" s="27">
        <f t="shared" si="12"/>
        <v>0</v>
      </c>
      <c r="P29" s="27"/>
      <c r="Q29" s="24">
        <f t="shared" si="13"/>
        <v>73.3</v>
      </c>
      <c r="R29" s="24">
        <f t="shared" si="13"/>
        <v>26.700000000000003</v>
      </c>
      <c r="S29" s="24">
        <f t="shared" si="14"/>
        <v>0</v>
      </c>
      <c r="U29" s="24"/>
      <c r="V29" s="24"/>
      <c r="W29" s="24"/>
      <c r="AC29" s="14">
        <v>0.73299999999999998</v>
      </c>
      <c r="AD29" s="14">
        <f>1-AC29</f>
        <v>0.26700000000000002</v>
      </c>
      <c r="AE29" s="26">
        <f>1-AC29-AD29</f>
        <v>0</v>
      </c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/>
      <c r="O30" s="27"/>
      <c r="Q30" s="24"/>
      <c r="R30" s="24"/>
      <c r="S30" s="24"/>
      <c r="U30" s="25"/>
      <c r="AC30" s="14"/>
      <c r="AD30" s="14"/>
      <c r="AE30" s="26"/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/>
      <c r="O31" s="27"/>
      <c r="Q31" s="24"/>
      <c r="R31" s="24"/>
      <c r="S31" s="24"/>
      <c r="U31" s="25"/>
      <c r="AC31" s="14"/>
      <c r="AD31" s="14"/>
      <c r="AE31" s="26"/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/>
      <c r="O32" s="27"/>
      <c r="Q32" s="24"/>
      <c r="R32" s="24"/>
      <c r="S32" s="24"/>
      <c r="U32" s="25"/>
      <c r="AC32" s="14"/>
      <c r="AD32" s="14"/>
      <c r="AE32" s="26"/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/>
      <c r="O33" s="27"/>
      <c r="P33" s="27"/>
      <c r="Q33" s="24"/>
      <c r="R33" s="24"/>
      <c r="S33" s="24"/>
      <c r="U33" s="25"/>
      <c r="AC33" s="14"/>
      <c r="AD33" s="14"/>
      <c r="AE33" s="14"/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/>
      <c r="O34" s="27"/>
      <c r="Q34" s="24"/>
      <c r="R34" s="24"/>
      <c r="S34" s="24"/>
      <c r="U34" s="25"/>
      <c r="AC34" s="14"/>
      <c r="AD34" s="14"/>
      <c r="AE34" s="14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80</v>
      </c>
      <c r="O45" s="27">
        <f>S45</f>
        <v>20</v>
      </c>
      <c r="Q45" s="24">
        <f>Q5</f>
        <v>70</v>
      </c>
      <c r="R45" s="24">
        <f>R5</f>
        <v>10</v>
      </c>
      <c r="S45" s="24">
        <f>S5</f>
        <v>20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86.769860435222043</v>
      </c>
      <c r="O46" s="27">
        <f>S46</f>
        <v>8.4538227880342571</v>
      </c>
      <c r="Q46" s="24">
        <f>Q16</f>
        <v>82.54294904120492</v>
      </c>
      <c r="R46" s="24">
        <f>R16</f>
        <v>9.0032281707608295</v>
      </c>
      <c r="S46" s="24">
        <f>S16</f>
        <v>8.4538227880342571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75</v>
      </c>
      <c r="O48" s="27">
        <f>S48</f>
        <v>10</v>
      </c>
      <c r="Q48" s="24">
        <f>Q6</f>
        <v>70</v>
      </c>
      <c r="R48" s="24">
        <f>R6</f>
        <v>20</v>
      </c>
      <c r="S48" s="24">
        <f>S6</f>
        <v>10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80.480876246110583</v>
      </c>
      <c r="O49" s="27">
        <f>S49</f>
        <v>3.7173679072092893</v>
      </c>
      <c r="Q49" s="24">
        <f>Q17</f>
        <v>78.622192292505943</v>
      </c>
      <c r="R49" s="24">
        <f>R17</f>
        <v>17.66043980028477</v>
      </c>
      <c r="S49" s="24">
        <f>S17</f>
        <v>3.7173679072092893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70</v>
      </c>
      <c r="O51" s="27">
        <f>S51</f>
        <v>0</v>
      </c>
      <c r="Q51" s="24">
        <f>Q7</f>
        <v>70</v>
      </c>
      <c r="R51" s="24">
        <f>R7</f>
        <v>30</v>
      </c>
      <c r="S51" s="24">
        <f>S7</f>
        <v>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74.751625903873943</v>
      </c>
      <c r="O52" s="27">
        <f>S52</f>
        <v>0</v>
      </c>
      <c r="Q52" s="24">
        <f>Q18</f>
        <v>74.751625903873943</v>
      </c>
      <c r="R52" s="24">
        <f>R18</f>
        <v>25.248374096126064</v>
      </c>
      <c r="S52" s="24">
        <f>S18</f>
        <v>0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0</v>
      </c>
      <c r="O54" s="27">
        <f>S54</f>
        <v>0</v>
      </c>
      <c r="Q54" s="24">
        <f>Q8</f>
        <v>0</v>
      </c>
      <c r="R54" s="24">
        <f>R8</f>
        <v>0</v>
      </c>
      <c r="S54" s="24">
        <f>S8</f>
        <v>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0</v>
      </c>
      <c r="O55" s="27">
        <f>S55</f>
        <v>0</v>
      </c>
      <c r="Q55" s="24">
        <f>Q19</f>
        <v>0</v>
      </c>
      <c r="R55" s="24">
        <f>R19</f>
        <v>0</v>
      </c>
      <c r="S55" s="24">
        <f>S19</f>
        <v>0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0</v>
      </c>
      <c r="O57" s="27">
        <f>S57</f>
        <v>0</v>
      </c>
      <c r="Q57" s="24">
        <f>Q9</f>
        <v>0</v>
      </c>
      <c r="R57" s="24">
        <f>R9</f>
        <v>0</v>
      </c>
      <c r="S57" s="24">
        <f>S9</f>
        <v>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0</v>
      </c>
      <c r="O58" s="27">
        <f>S58</f>
        <v>0</v>
      </c>
      <c r="Q58" s="24">
        <f>Q20</f>
        <v>0</v>
      </c>
      <c r="R58" s="24">
        <f>R20</f>
        <v>0</v>
      </c>
      <c r="S58" s="24">
        <f>S20</f>
        <v>0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0</v>
      </c>
      <c r="O60" s="27">
        <f>S60</f>
        <v>0</v>
      </c>
      <c r="Q60" s="24">
        <f>Q10</f>
        <v>0</v>
      </c>
      <c r="R60" s="24">
        <f>R10</f>
        <v>0</v>
      </c>
      <c r="S60" s="24">
        <f>S10</f>
        <v>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0</v>
      </c>
      <c r="O61" s="27">
        <f>S61</f>
        <v>0</v>
      </c>
      <c r="Q61" s="24">
        <f>Q21</f>
        <v>0</v>
      </c>
      <c r="R61" s="24">
        <f>R21</f>
        <v>0</v>
      </c>
      <c r="S61" s="24">
        <f>S21</f>
        <v>0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0</v>
      </c>
      <c r="O63" s="27">
        <f>S63</f>
        <v>0</v>
      </c>
      <c r="Q63" s="24">
        <f>Q11</f>
        <v>0</v>
      </c>
      <c r="R63" s="24">
        <f>R11</f>
        <v>0</v>
      </c>
      <c r="S63" s="24">
        <f>S11</f>
        <v>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0</v>
      </c>
      <c r="O64" s="27">
        <f>S64</f>
        <v>0</v>
      </c>
      <c r="Q64" s="24">
        <f>Q22</f>
        <v>0</v>
      </c>
      <c r="R64" s="24">
        <f>R22</f>
        <v>0</v>
      </c>
      <c r="S64" s="24">
        <f>S22</f>
        <v>0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0</v>
      </c>
      <c r="O66" s="27">
        <f>S66</f>
        <v>0</v>
      </c>
      <c r="Q66" s="24">
        <f>Q12</f>
        <v>0</v>
      </c>
      <c r="R66" s="24">
        <f>R12</f>
        <v>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0</v>
      </c>
      <c r="O67" s="27">
        <f>S67</f>
        <v>0</v>
      </c>
      <c r="Q67" s="24">
        <f>Q23</f>
        <v>0</v>
      </c>
      <c r="R67" s="24">
        <f>R23</f>
        <v>0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5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5"/>
        <v>90</v>
      </c>
      <c r="B79" s="33">
        <v>10</v>
      </c>
      <c r="C79" s="34">
        <v>0</v>
      </c>
      <c r="D79" s="33">
        <f t="shared" ref="D79:D100" si="16">0.5*A79+B79</f>
        <v>55</v>
      </c>
      <c r="E79" s="33"/>
      <c r="F79" s="33">
        <f t="shared" ref="F79:F88" si="17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5"/>
        <v>80</v>
      </c>
      <c r="B80" s="33">
        <v>20</v>
      </c>
      <c r="C80" s="34">
        <v>0</v>
      </c>
      <c r="D80" s="33">
        <f t="shared" si="16"/>
        <v>60</v>
      </c>
      <c r="E80" s="33"/>
      <c r="F80" s="33">
        <f t="shared" si="17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5"/>
        <v>70</v>
      </c>
      <c r="B81" s="33">
        <v>30</v>
      </c>
      <c r="C81" s="34">
        <v>0</v>
      </c>
      <c r="D81" s="33">
        <f t="shared" si="16"/>
        <v>65</v>
      </c>
      <c r="E81" s="33"/>
      <c r="F81" s="33">
        <f t="shared" si="17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5"/>
        <v>60</v>
      </c>
      <c r="B82" s="33">
        <v>40</v>
      </c>
      <c r="C82" s="34">
        <v>0</v>
      </c>
      <c r="D82" s="33">
        <f t="shared" si="16"/>
        <v>70</v>
      </c>
      <c r="E82" s="33"/>
      <c r="F82" s="33">
        <f t="shared" si="17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5"/>
        <v>50</v>
      </c>
      <c r="B83" s="33">
        <v>50</v>
      </c>
      <c r="C83" s="34">
        <v>0</v>
      </c>
      <c r="D83" s="33">
        <f t="shared" si="16"/>
        <v>75</v>
      </c>
      <c r="E83" s="33"/>
      <c r="F83" s="33">
        <f t="shared" si="17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5"/>
        <v>40</v>
      </c>
      <c r="B84" s="33">
        <v>60</v>
      </c>
      <c r="C84" s="34">
        <v>0</v>
      </c>
      <c r="D84" s="33">
        <f t="shared" si="16"/>
        <v>80</v>
      </c>
      <c r="E84" s="33"/>
      <c r="F84" s="33">
        <f t="shared" si="17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5"/>
        <v>30</v>
      </c>
      <c r="B85" s="33">
        <v>70</v>
      </c>
      <c r="C85" s="34">
        <v>0</v>
      </c>
      <c r="D85" s="33">
        <f t="shared" si="16"/>
        <v>85</v>
      </c>
      <c r="E85" s="33"/>
      <c r="F85" s="33">
        <f t="shared" si="17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5"/>
        <v>20</v>
      </c>
      <c r="B86" s="33">
        <v>80</v>
      </c>
      <c r="C86" s="34">
        <v>0</v>
      </c>
      <c r="D86" s="33">
        <f t="shared" si="16"/>
        <v>90</v>
      </c>
      <c r="E86" s="33"/>
      <c r="F86" s="33">
        <f t="shared" si="17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5"/>
        <v>10</v>
      </c>
      <c r="B87" s="33">
        <v>90</v>
      </c>
      <c r="C87" s="34">
        <v>0</v>
      </c>
      <c r="D87" s="33">
        <f t="shared" si="16"/>
        <v>95</v>
      </c>
      <c r="E87" s="33"/>
      <c r="F87" s="33">
        <f t="shared" si="17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5"/>
        <v>0</v>
      </c>
      <c r="B88" s="33">
        <v>100</v>
      </c>
      <c r="C88" s="34">
        <v>0</v>
      </c>
      <c r="D88" s="33">
        <f t="shared" si="16"/>
        <v>100</v>
      </c>
      <c r="E88" s="33"/>
      <c r="F88" s="33">
        <f t="shared" si="17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5"/>
        <v>100</v>
      </c>
      <c r="B90" s="33">
        <v>0</v>
      </c>
      <c r="C90" s="34">
        <v>0</v>
      </c>
      <c r="D90" s="33">
        <f t="shared" si="16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5"/>
        <v>90</v>
      </c>
      <c r="B91" s="33">
        <v>0</v>
      </c>
      <c r="C91" s="34">
        <v>10</v>
      </c>
      <c r="D91" s="33">
        <f t="shared" si="16"/>
        <v>45</v>
      </c>
      <c r="E91" s="33">
        <f t="shared" ref="E91:E100" si="18">A91</f>
        <v>90</v>
      </c>
      <c r="F91" s="33">
        <f t="shared" ref="F91:F100" si="19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5"/>
        <v>80</v>
      </c>
      <c r="B92" s="33">
        <v>0</v>
      </c>
      <c r="C92" s="34">
        <v>20</v>
      </c>
      <c r="D92" s="33">
        <f t="shared" si="16"/>
        <v>40</v>
      </c>
      <c r="E92" s="33">
        <f t="shared" si="18"/>
        <v>80</v>
      </c>
      <c r="F92" s="33">
        <f t="shared" si="19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5"/>
        <v>70</v>
      </c>
      <c r="B93" s="33">
        <v>0</v>
      </c>
      <c r="C93" s="34">
        <v>30</v>
      </c>
      <c r="D93" s="33">
        <f t="shared" si="16"/>
        <v>35</v>
      </c>
      <c r="E93" s="33">
        <f t="shared" si="18"/>
        <v>70</v>
      </c>
      <c r="F93" s="33">
        <f t="shared" si="19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5"/>
        <v>60</v>
      </c>
      <c r="B94" s="33">
        <v>0</v>
      </c>
      <c r="C94" s="34">
        <v>40</v>
      </c>
      <c r="D94" s="33">
        <f t="shared" si="16"/>
        <v>30</v>
      </c>
      <c r="E94" s="33">
        <f t="shared" si="18"/>
        <v>60</v>
      </c>
      <c r="F94" s="33">
        <f t="shared" si="19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5"/>
        <v>50</v>
      </c>
      <c r="B95" s="33">
        <v>0</v>
      </c>
      <c r="C95" s="34">
        <v>50</v>
      </c>
      <c r="D95" s="33">
        <f t="shared" si="16"/>
        <v>25</v>
      </c>
      <c r="E95" s="33">
        <f t="shared" si="18"/>
        <v>50</v>
      </c>
      <c r="F95" s="33">
        <f t="shared" si="19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5"/>
        <v>40</v>
      </c>
      <c r="B96" s="33">
        <v>0</v>
      </c>
      <c r="C96" s="34">
        <v>60</v>
      </c>
      <c r="D96" s="33">
        <f t="shared" si="16"/>
        <v>20</v>
      </c>
      <c r="E96" s="33">
        <f t="shared" si="18"/>
        <v>40</v>
      </c>
      <c r="F96" s="33">
        <f t="shared" si="19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5"/>
        <v>30</v>
      </c>
      <c r="B97" s="33">
        <v>0</v>
      </c>
      <c r="C97" s="34">
        <v>70</v>
      </c>
      <c r="D97" s="33">
        <f t="shared" si="16"/>
        <v>15</v>
      </c>
      <c r="E97" s="33">
        <f t="shared" si="18"/>
        <v>30</v>
      </c>
      <c r="F97" s="33">
        <f t="shared" si="19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5"/>
        <v>20</v>
      </c>
      <c r="B98" s="33">
        <v>0</v>
      </c>
      <c r="C98" s="34">
        <v>80</v>
      </c>
      <c r="D98" s="33">
        <f t="shared" si="16"/>
        <v>10</v>
      </c>
      <c r="E98" s="33">
        <f t="shared" si="18"/>
        <v>20</v>
      </c>
      <c r="F98" s="33">
        <f t="shared" si="19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5"/>
        <v>10</v>
      </c>
      <c r="B99" s="33">
        <v>0</v>
      </c>
      <c r="C99" s="34">
        <v>90</v>
      </c>
      <c r="D99" s="33">
        <f t="shared" si="16"/>
        <v>5</v>
      </c>
      <c r="E99" s="33">
        <f t="shared" si="18"/>
        <v>10</v>
      </c>
      <c r="F99" s="33">
        <f t="shared" si="19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5"/>
        <v>0</v>
      </c>
      <c r="B100" s="33">
        <v>0</v>
      </c>
      <c r="C100" s="34">
        <v>100</v>
      </c>
      <c r="D100" s="33">
        <f t="shared" si="16"/>
        <v>0</v>
      </c>
      <c r="E100" s="33">
        <f t="shared" si="18"/>
        <v>0</v>
      </c>
      <c r="F100" s="33">
        <f t="shared" si="19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T186"/>
  <sheetViews>
    <sheetView zoomScale="90" zoomScaleNormal="90" workbookViewId="0">
      <selection activeCell="A5" sqref="A5"/>
    </sheetView>
  </sheetViews>
  <sheetFormatPr defaultColWidth="7.125" defaultRowHeight="15" x14ac:dyDescent="0.25"/>
  <cols>
    <col min="1" max="2" width="7.125" style="15" customWidth="1"/>
    <col min="3" max="3" width="7.125" style="16" customWidth="1"/>
    <col min="4" max="7" width="7.125" style="15" customWidth="1"/>
    <col min="8" max="9" width="7.125" style="17" customWidth="1"/>
    <col min="10" max="11" width="4.5" style="17" customWidth="1"/>
    <col min="12" max="12" width="4.75" style="17" customWidth="1"/>
    <col min="13" max="13" width="3.75" style="17" customWidth="1"/>
    <col min="14" max="14" width="8" style="17" customWidth="1"/>
    <col min="15" max="15" width="7.125" style="17" customWidth="1"/>
    <col min="16" max="16" width="4.625" style="17" customWidth="1"/>
    <col min="17" max="19" width="13.875" style="17" customWidth="1"/>
    <col min="20" max="20" width="12.75" style="17" bestFit="1" customWidth="1"/>
    <col min="21" max="118" width="7.125" style="17" customWidth="1"/>
    <col min="119" max="16384" width="7.125" style="19"/>
  </cols>
  <sheetData>
    <row r="1" spans="1:124" x14ac:dyDescent="0.25">
      <c r="D1" s="16"/>
      <c r="E1" s="16"/>
      <c r="F1" s="16"/>
      <c r="G1" s="16"/>
      <c r="H1" s="16"/>
      <c r="I1" s="16"/>
      <c r="J1" s="15"/>
      <c r="K1" s="15"/>
      <c r="L1" s="15"/>
      <c r="M1" s="15"/>
      <c r="R1" s="18"/>
      <c r="S1" s="18"/>
      <c r="DO1" s="17"/>
      <c r="DP1" s="17"/>
      <c r="DQ1" s="17"/>
      <c r="DR1" s="17"/>
      <c r="DS1" s="17"/>
      <c r="DT1" s="17"/>
    </row>
    <row r="2" spans="1:124" x14ac:dyDescent="0.25">
      <c r="D2" s="16"/>
      <c r="E2" s="16"/>
      <c r="F2" s="16"/>
      <c r="G2" s="16"/>
      <c r="H2" s="16"/>
      <c r="I2" s="16"/>
      <c r="J2" s="15"/>
      <c r="K2" s="15"/>
      <c r="L2" s="15"/>
      <c r="M2" s="15"/>
      <c r="N2" s="20" t="s">
        <v>84</v>
      </c>
      <c r="O2" s="20" t="s">
        <v>85</v>
      </c>
      <c r="Q2" s="18" t="s">
        <v>86</v>
      </c>
      <c r="R2" s="18" t="s">
        <v>87</v>
      </c>
      <c r="S2" s="18" t="s">
        <v>88</v>
      </c>
      <c r="AB2" s="21" t="s">
        <v>89</v>
      </c>
      <c r="DO2" s="17"/>
      <c r="DP2" s="17"/>
      <c r="DQ2" s="17"/>
      <c r="DR2" s="17"/>
      <c r="DS2" s="17"/>
      <c r="DT2" s="17"/>
    </row>
    <row r="3" spans="1:124" x14ac:dyDescent="0.25">
      <c r="A3" s="22"/>
      <c r="B3" s="22"/>
      <c r="C3" s="23"/>
      <c r="D3" s="23"/>
      <c r="E3" s="23"/>
      <c r="F3" s="23"/>
      <c r="G3" s="23"/>
      <c r="H3" s="23"/>
      <c r="I3" s="23"/>
      <c r="J3" s="15"/>
      <c r="K3" s="15"/>
      <c r="L3" s="15"/>
      <c r="M3" s="15"/>
      <c r="R3" s="29" t="s">
        <v>100</v>
      </c>
      <c r="U3" s="25"/>
      <c r="AB3" s="25" t="s">
        <v>101</v>
      </c>
      <c r="AC3" s="26" t="s">
        <v>91</v>
      </c>
      <c r="AD3" s="26" t="s">
        <v>92</v>
      </c>
      <c r="AE3" s="26" t="s">
        <v>93</v>
      </c>
      <c r="DO3" s="17"/>
      <c r="DP3" s="17"/>
      <c r="DQ3" s="17"/>
      <c r="DR3" s="17"/>
      <c r="DS3" s="17"/>
      <c r="DT3" s="17"/>
    </row>
    <row r="4" spans="1:124" x14ac:dyDescent="0.25">
      <c r="A4" s="22"/>
      <c r="B4" s="22"/>
      <c r="C4" s="23"/>
      <c r="D4" s="23"/>
      <c r="E4" s="23"/>
      <c r="F4" s="23"/>
      <c r="G4" s="23"/>
      <c r="H4" s="23"/>
      <c r="I4" s="23"/>
      <c r="J4" s="15"/>
      <c r="K4" s="15"/>
      <c r="L4" s="15"/>
      <c r="M4" s="15"/>
      <c r="N4" s="27">
        <f t="shared" ref="N4:N6" si="0">0.5*S4+Q4</f>
        <v>90</v>
      </c>
      <c r="O4" s="27">
        <f t="shared" ref="O4:O6" si="1">S4</f>
        <v>20</v>
      </c>
      <c r="Q4" s="24">
        <v>80</v>
      </c>
      <c r="R4" s="24">
        <v>0</v>
      </c>
      <c r="S4" s="24">
        <f>100-Q4-R4</f>
        <v>20</v>
      </c>
      <c r="U4" s="25"/>
      <c r="AB4" s="25"/>
      <c r="AC4" s="14">
        <f>Q4/100</f>
        <v>0.8</v>
      </c>
      <c r="AD4" s="14">
        <f t="shared" ref="AD4:AE6" si="2">R4/100</f>
        <v>0</v>
      </c>
      <c r="AE4" s="14">
        <f t="shared" si="2"/>
        <v>0.2</v>
      </c>
      <c r="DO4" s="17"/>
      <c r="DP4" s="17"/>
      <c r="DQ4" s="17"/>
      <c r="DR4" s="17"/>
      <c r="DS4" s="17"/>
      <c r="DT4" s="17"/>
    </row>
    <row r="5" spans="1:124" x14ac:dyDescent="0.25">
      <c r="A5" s="22"/>
      <c r="B5" s="22"/>
      <c r="C5" s="23"/>
      <c r="D5" s="23"/>
      <c r="E5" s="23"/>
      <c r="F5" s="23"/>
      <c r="G5" s="23"/>
      <c r="H5" s="23"/>
      <c r="I5" s="23"/>
      <c r="J5" s="15"/>
      <c r="K5" s="15"/>
      <c r="L5" s="15"/>
      <c r="M5" s="15"/>
      <c r="N5" s="27">
        <f t="shared" si="0"/>
        <v>85</v>
      </c>
      <c r="O5" s="27">
        <f t="shared" si="1"/>
        <v>10</v>
      </c>
      <c r="Q5" s="24">
        <f>Q4</f>
        <v>80</v>
      </c>
      <c r="R5" s="24">
        <f>R4+10</f>
        <v>10</v>
      </c>
      <c r="S5" s="24">
        <f t="shared" ref="S5:S6" si="3">100-Q5-R5</f>
        <v>10</v>
      </c>
      <c r="U5" s="25"/>
      <c r="AC5" s="14">
        <f t="shared" ref="AC5:AC6" si="4">Q5/100</f>
        <v>0.8</v>
      </c>
      <c r="AD5" s="14">
        <f t="shared" si="2"/>
        <v>0.1</v>
      </c>
      <c r="AE5" s="14">
        <f t="shared" si="2"/>
        <v>0.1</v>
      </c>
      <c r="DO5" s="17"/>
      <c r="DP5" s="17"/>
      <c r="DQ5" s="17"/>
      <c r="DR5" s="17"/>
      <c r="DS5" s="17"/>
      <c r="DT5" s="17"/>
    </row>
    <row r="6" spans="1:124" x14ac:dyDescent="0.25">
      <c r="A6" s="22"/>
      <c r="B6" s="22"/>
      <c r="C6" s="23"/>
      <c r="D6" s="23"/>
      <c r="E6" s="23"/>
      <c r="F6" s="23"/>
      <c r="G6" s="23"/>
      <c r="H6" s="23"/>
      <c r="I6" s="23"/>
      <c r="J6" s="15"/>
      <c r="K6" s="15"/>
      <c r="L6" s="15"/>
      <c r="M6" s="15"/>
      <c r="N6" s="27">
        <f t="shared" si="0"/>
        <v>80</v>
      </c>
      <c r="O6" s="27">
        <f t="shared" si="1"/>
        <v>0</v>
      </c>
      <c r="Q6" s="24">
        <f t="shared" ref="Q6" si="5">Q5</f>
        <v>80</v>
      </c>
      <c r="R6" s="24">
        <f t="shared" ref="R6" si="6">R5+10</f>
        <v>20</v>
      </c>
      <c r="S6" s="24">
        <f t="shared" si="3"/>
        <v>0</v>
      </c>
      <c r="U6" s="25"/>
      <c r="AC6" s="14">
        <f t="shared" si="4"/>
        <v>0.8</v>
      </c>
      <c r="AD6" s="14">
        <f t="shared" si="2"/>
        <v>0.2</v>
      </c>
      <c r="AE6" s="14">
        <f t="shared" si="2"/>
        <v>0</v>
      </c>
      <c r="DO6" s="17"/>
      <c r="DP6" s="17"/>
      <c r="DQ6" s="17"/>
      <c r="DR6" s="17"/>
      <c r="DS6" s="17"/>
      <c r="DT6" s="17"/>
    </row>
    <row r="7" spans="1:124" x14ac:dyDescent="0.25">
      <c r="A7" s="22"/>
      <c r="B7" s="22"/>
      <c r="C7" s="23"/>
      <c r="D7" s="23"/>
      <c r="E7" s="23"/>
      <c r="F7" s="23"/>
      <c r="G7" s="23"/>
      <c r="H7" s="23"/>
      <c r="I7" s="23"/>
      <c r="J7" s="15"/>
      <c r="K7" s="15"/>
      <c r="L7" s="15"/>
      <c r="M7" s="15"/>
      <c r="N7" s="27"/>
      <c r="O7" s="27"/>
      <c r="Q7" s="24"/>
      <c r="R7" s="24"/>
      <c r="S7" s="24"/>
      <c r="U7" s="25"/>
      <c r="AC7" s="14"/>
      <c r="AD7" s="14"/>
      <c r="AE7" s="14"/>
      <c r="DO7" s="17"/>
      <c r="DP7" s="17"/>
      <c r="DQ7" s="17"/>
      <c r="DR7" s="17"/>
      <c r="DS7" s="17"/>
      <c r="DT7" s="17"/>
    </row>
    <row r="8" spans="1:124" x14ac:dyDescent="0.25">
      <c r="A8" s="22"/>
      <c r="B8" s="22"/>
      <c r="C8" s="23"/>
      <c r="D8" s="23"/>
      <c r="E8" s="23"/>
      <c r="F8" s="23"/>
      <c r="G8" s="23"/>
      <c r="H8" s="23"/>
      <c r="I8" s="23"/>
      <c r="J8" s="15"/>
      <c r="K8" s="15"/>
      <c r="L8" s="15"/>
      <c r="M8" s="15"/>
      <c r="N8" s="27"/>
      <c r="O8" s="27"/>
      <c r="Q8" s="24"/>
      <c r="R8" s="24"/>
      <c r="S8" s="24"/>
      <c r="U8" s="25"/>
      <c r="AC8" s="14"/>
      <c r="AD8" s="14"/>
      <c r="AE8" s="14"/>
      <c r="DO8" s="17"/>
      <c r="DP8" s="17"/>
      <c r="DQ8" s="17"/>
      <c r="DR8" s="17"/>
      <c r="DS8" s="17"/>
      <c r="DT8" s="17"/>
    </row>
    <row r="9" spans="1:124" x14ac:dyDescent="0.25">
      <c r="A9" s="22"/>
      <c r="B9" s="22"/>
      <c r="C9" s="23"/>
      <c r="D9" s="23"/>
      <c r="E9" s="23"/>
      <c r="F9" s="23"/>
      <c r="G9" s="23"/>
      <c r="H9" s="23"/>
      <c r="I9" s="23"/>
      <c r="J9" s="15"/>
      <c r="K9" s="15"/>
      <c r="L9" s="15"/>
      <c r="M9" s="15"/>
      <c r="N9" s="27"/>
      <c r="O9" s="27"/>
      <c r="Q9" s="24"/>
      <c r="R9" s="24"/>
      <c r="S9" s="24"/>
      <c r="U9" s="25"/>
      <c r="AC9" s="14"/>
      <c r="AD9" s="14"/>
      <c r="AE9" s="14"/>
      <c r="DO9" s="17"/>
      <c r="DP9" s="17"/>
      <c r="DQ9" s="17"/>
      <c r="DR9" s="17"/>
      <c r="DS9" s="17"/>
      <c r="DT9" s="17"/>
    </row>
    <row r="10" spans="1:124" x14ac:dyDescent="0.25">
      <c r="A10" s="22"/>
      <c r="B10" s="22"/>
      <c r="C10" s="23"/>
      <c r="D10" s="23"/>
      <c r="E10" s="23"/>
      <c r="F10" s="23"/>
      <c r="G10" s="23"/>
      <c r="H10" s="23"/>
      <c r="I10" s="23"/>
      <c r="J10" s="15"/>
      <c r="K10" s="15"/>
      <c r="L10" s="15"/>
      <c r="M10" s="15"/>
      <c r="N10" s="27"/>
      <c r="O10" s="27"/>
      <c r="Q10" s="24"/>
      <c r="R10" s="24"/>
      <c r="S10" s="24"/>
      <c r="U10" s="25"/>
      <c r="AC10" s="14"/>
      <c r="AD10" s="14"/>
      <c r="AE10" s="14"/>
      <c r="DO10" s="17"/>
      <c r="DP10" s="17"/>
      <c r="DQ10" s="17"/>
      <c r="DR10" s="17"/>
      <c r="DS10" s="17"/>
      <c r="DT10" s="17"/>
    </row>
    <row r="11" spans="1:124" x14ac:dyDescent="0.25">
      <c r="A11" s="22"/>
      <c r="B11" s="22"/>
      <c r="C11" s="23"/>
      <c r="D11" s="23"/>
      <c r="E11" s="23"/>
      <c r="F11" s="23"/>
      <c r="G11" s="23"/>
      <c r="H11" s="23"/>
      <c r="I11" s="23"/>
      <c r="J11" s="15"/>
      <c r="K11" s="15"/>
      <c r="L11" s="15"/>
      <c r="M11" s="15"/>
      <c r="N11" s="27"/>
      <c r="O11" s="27"/>
      <c r="Q11" s="24"/>
      <c r="R11" s="24"/>
      <c r="S11" s="24"/>
      <c r="U11" s="25"/>
      <c r="AC11" s="14"/>
      <c r="AD11" s="14"/>
      <c r="AE11" s="14"/>
      <c r="DO11" s="17"/>
      <c r="DP11" s="17"/>
      <c r="DQ11" s="17"/>
      <c r="DR11" s="17"/>
      <c r="DS11" s="17"/>
      <c r="DT11" s="17"/>
    </row>
    <row r="12" spans="1:124" x14ac:dyDescent="0.25">
      <c r="A12" s="22"/>
      <c r="B12" s="22"/>
      <c r="C12" s="23"/>
      <c r="D12" s="23"/>
      <c r="E12" s="23"/>
      <c r="F12" s="23"/>
      <c r="G12" s="23"/>
      <c r="H12" s="23"/>
      <c r="I12" s="23"/>
      <c r="J12" s="15"/>
      <c r="K12" s="15"/>
      <c r="L12" s="15"/>
      <c r="M12" s="15"/>
      <c r="N12" s="27"/>
      <c r="O12" s="27"/>
      <c r="Q12" s="24"/>
      <c r="R12" s="24"/>
      <c r="S12" s="24"/>
      <c r="U12" s="25"/>
      <c r="AC12" s="14"/>
      <c r="AD12" s="14"/>
      <c r="AE12" s="26"/>
      <c r="DO12" s="17"/>
      <c r="DP12" s="17"/>
      <c r="DQ12" s="17"/>
      <c r="DR12" s="17"/>
      <c r="DS12" s="17"/>
      <c r="DT12" s="17"/>
    </row>
    <row r="13" spans="1:124" x14ac:dyDescent="0.25">
      <c r="A13" s="22"/>
      <c r="B13" s="22"/>
      <c r="C13" s="23"/>
      <c r="D13" s="23"/>
      <c r="E13" s="23"/>
      <c r="F13" s="23"/>
      <c r="G13" s="23"/>
      <c r="H13" s="23"/>
      <c r="I13" s="23"/>
      <c r="J13" s="15"/>
      <c r="K13" s="15"/>
      <c r="L13" s="15"/>
      <c r="M13" s="15"/>
      <c r="N13" s="27"/>
      <c r="O13" s="27"/>
      <c r="Q13" s="24"/>
      <c r="R13" s="24"/>
      <c r="S13" s="24"/>
      <c r="U13" s="25"/>
      <c r="AC13" s="14"/>
      <c r="AD13" s="14"/>
      <c r="AE13" s="26"/>
      <c r="DO13" s="17"/>
      <c r="DP13" s="17"/>
      <c r="DQ13" s="17"/>
      <c r="DR13" s="17"/>
      <c r="DS13" s="17"/>
      <c r="DT13" s="17"/>
    </row>
    <row r="14" spans="1:124" x14ac:dyDescent="0.25">
      <c r="A14" s="22"/>
      <c r="B14" s="22"/>
      <c r="C14" s="23"/>
      <c r="D14" s="23"/>
      <c r="E14" s="23"/>
      <c r="F14" s="23"/>
      <c r="G14" s="23"/>
      <c r="H14" s="23"/>
      <c r="I14" s="23"/>
      <c r="J14" s="15"/>
      <c r="K14" s="15"/>
      <c r="L14" s="15"/>
      <c r="M14" s="15"/>
      <c r="N14" s="27"/>
      <c r="O14" s="27"/>
      <c r="R14" s="29" t="s">
        <v>102</v>
      </c>
      <c r="S14" s="24"/>
      <c r="U14" s="25"/>
      <c r="AB14" s="25" t="s">
        <v>103</v>
      </c>
      <c r="AC14" s="26" t="s">
        <v>104</v>
      </c>
      <c r="AD14" s="26" t="s">
        <v>105</v>
      </c>
      <c r="AE14" s="26" t="s">
        <v>106</v>
      </c>
      <c r="DO14" s="17"/>
      <c r="DP14" s="17"/>
      <c r="DQ14" s="17"/>
      <c r="DR14" s="17"/>
      <c r="DS14" s="17"/>
      <c r="DT14" s="17"/>
    </row>
    <row r="15" spans="1:124" x14ac:dyDescent="0.25">
      <c r="A15" s="22"/>
      <c r="B15" s="22"/>
      <c r="C15" s="23"/>
      <c r="D15" s="23"/>
      <c r="E15" s="23"/>
      <c r="F15" s="23"/>
      <c r="G15" s="23"/>
      <c r="H15" s="23"/>
      <c r="I15" s="23"/>
      <c r="J15" s="15"/>
      <c r="K15" s="15"/>
      <c r="L15" s="15"/>
      <c r="M15" s="15"/>
      <c r="N15" s="27">
        <f t="shared" ref="N15:N17" si="7">0.5*S15+Q15</f>
        <v>94.529926629661986</v>
      </c>
      <c r="O15" s="27">
        <f t="shared" ref="O15:O17" si="8">S15</f>
        <v>10.940146740675985</v>
      </c>
      <c r="Q15" s="24">
        <f>'VLE Calculation - NRTL'!AI65*100</f>
        <v>89.059853259324001</v>
      </c>
      <c r="R15" s="24">
        <f>'VLE Calculation - NRTL'!AJ65*100</f>
        <v>0</v>
      </c>
      <c r="S15" s="24">
        <f>'VLE Calculation - NRTL'!AK65*100</f>
        <v>10.940146740675985</v>
      </c>
      <c r="U15" s="25"/>
      <c r="AB15" s="25"/>
      <c r="AC15" s="14">
        <f>Q15/100</f>
        <v>0.89059853259323996</v>
      </c>
      <c r="AD15" s="14">
        <f t="shared" ref="AD15:AE17" si="9">R15/100</f>
        <v>0</v>
      </c>
      <c r="AE15" s="14">
        <f t="shared" si="9"/>
        <v>0.10940146740675985</v>
      </c>
      <c r="DO15" s="17"/>
      <c r="DP15" s="17"/>
      <c r="DQ15" s="17"/>
      <c r="DR15" s="17"/>
      <c r="DS15" s="17"/>
      <c r="DT15" s="17"/>
    </row>
    <row r="16" spans="1:124" x14ac:dyDescent="0.25">
      <c r="A16" s="22"/>
      <c r="B16" s="22"/>
      <c r="C16" s="23"/>
      <c r="D16" s="23"/>
      <c r="E16" s="23"/>
      <c r="F16" s="23"/>
      <c r="G16" s="23"/>
      <c r="H16" s="23"/>
      <c r="I16" s="23"/>
      <c r="J16" s="15"/>
      <c r="K16" s="15"/>
      <c r="L16" s="15"/>
      <c r="M16" s="15"/>
      <c r="N16" s="27">
        <f t="shared" si="7"/>
        <v>87.118728340248282</v>
      </c>
      <c r="O16" s="27">
        <f t="shared" si="8"/>
        <v>4.5411789588138971</v>
      </c>
      <c r="Q16" s="24">
        <f>'VLE Calculation - NRTL'!AI66*100</f>
        <v>84.848138860841331</v>
      </c>
      <c r="R16" s="24">
        <f>'VLE Calculation - NRTL'!AJ66*100</f>
        <v>10.610682180344762</v>
      </c>
      <c r="S16" s="24">
        <f>'VLE Calculation - NRTL'!AK66*100</f>
        <v>4.5411789588138971</v>
      </c>
      <c r="U16" s="25"/>
      <c r="AC16" s="14">
        <f t="shared" ref="AC16:AC17" si="10">Q16/100</f>
        <v>0.84848138860841327</v>
      </c>
      <c r="AD16" s="14">
        <f t="shared" si="9"/>
        <v>0.10610682180344762</v>
      </c>
      <c r="AE16" s="14">
        <f t="shared" si="9"/>
        <v>4.5411789588138969E-2</v>
      </c>
      <c r="DO16" s="17"/>
      <c r="DP16" s="17"/>
      <c r="DQ16" s="17"/>
      <c r="DR16" s="17"/>
      <c r="DS16" s="17"/>
      <c r="DT16" s="17"/>
    </row>
    <row r="17" spans="1:124" x14ac:dyDescent="0.25">
      <c r="A17" s="22"/>
      <c r="B17" s="22"/>
      <c r="C17" s="23"/>
      <c r="D17" s="23"/>
      <c r="E17" s="23"/>
      <c r="F17" s="23"/>
      <c r="G17" s="23"/>
      <c r="H17" s="23"/>
      <c r="I17" s="23"/>
      <c r="J17" s="15"/>
      <c r="K17" s="15"/>
      <c r="L17" s="15"/>
      <c r="M17" s="15"/>
      <c r="N17" s="27">
        <f t="shared" si="7"/>
        <v>80.336724550826617</v>
      </c>
      <c r="O17" s="27">
        <f t="shared" si="8"/>
        <v>0</v>
      </c>
      <c r="Q17" s="24">
        <f>'VLE Calculation - NRTL'!AI67*100</f>
        <v>80.336724550826617</v>
      </c>
      <c r="R17" s="24">
        <f>'VLE Calculation - NRTL'!AJ67*100</f>
        <v>19.66327544917338</v>
      </c>
      <c r="S17" s="24">
        <f>'VLE Calculation - NRTL'!AK67*100</f>
        <v>0</v>
      </c>
      <c r="U17" s="25"/>
      <c r="AC17" s="14">
        <f t="shared" si="10"/>
        <v>0.80336724550826621</v>
      </c>
      <c r="AD17" s="14">
        <f t="shared" si="9"/>
        <v>0.19663275449173379</v>
      </c>
      <c r="AE17" s="14">
        <f t="shared" si="9"/>
        <v>0</v>
      </c>
      <c r="DO17" s="17"/>
      <c r="DP17" s="17"/>
      <c r="DQ17" s="17"/>
      <c r="DR17" s="17"/>
      <c r="DS17" s="17"/>
      <c r="DT17" s="17"/>
    </row>
    <row r="18" spans="1:124" x14ac:dyDescent="0.25">
      <c r="A18" s="22"/>
      <c r="B18" s="22"/>
      <c r="C18" s="23"/>
      <c r="D18" s="23"/>
      <c r="E18" s="23"/>
      <c r="F18" s="23"/>
      <c r="G18" s="23"/>
      <c r="H18" s="23"/>
      <c r="I18" s="23"/>
      <c r="J18" s="15"/>
      <c r="K18" s="15"/>
      <c r="L18" s="15"/>
      <c r="M18" s="15"/>
      <c r="N18" s="27"/>
      <c r="O18" s="27"/>
      <c r="Q18" s="24"/>
      <c r="R18" s="24"/>
      <c r="S18" s="24"/>
      <c r="U18" s="25"/>
      <c r="AC18" s="14"/>
      <c r="AD18" s="14"/>
      <c r="AE18" s="14"/>
      <c r="DO18" s="17"/>
      <c r="DP18" s="17"/>
      <c r="DQ18" s="17"/>
      <c r="DR18" s="17"/>
      <c r="DS18" s="17"/>
      <c r="DT18" s="17"/>
    </row>
    <row r="19" spans="1:124" x14ac:dyDescent="0.25">
      <c r="A19" s="22"/>
      <c r="B19" s="22"/>
      <c r="C19" s="23"/>
      <c r="D19" s="23"/>
      <c r="E19" s="23"/>
      <c r="F19" s="23"/>
      <c r="G19" s="23"/>
      <c r="H19" s="23"/>
      <c r="I19" s="23"/>
      <c r="J19" s="15"/>
      <c r="K19" s="15"/>
      <c r="L19" s="15"/>
      <c r="M19" s="15"/>
      <c r="N19" s="27"/>
      <c r="O19" s="27"/>
      <c r="Q19" s="24"/>
      <c r="R19" s="24"/>
      <c r="S19" s="24"/>
      <c r="U19" s="25"/>
      <c r="AC19" s="14"/>
      <c r="AD19" s="14"/>
      <c r="AE19" s="14"/>
      <c r="DO19" s="17"/>
      <c r="DP19" s="17"/>
      <c r="DQ19" s="17"/>
      <c r="DR19" s="17"/>
      <c r="DS19" s="17"/>
      <c r="DT19" s="17"/>
    </row>
    <row r="20" spans="1:124" x14ac:dyDescent="0.25">
      <c r="A20" s="22"/>
      <c r="B20" s="22"/>
      <c r="C20" s="23"/>
      <c r="D20" s="23"/>
      <c r="E20" s="23"/>
      <c r="F20" s="23"/>
      <c r="G20" s="23"/>
      <c r="H20" s="23"/>
      <c r="I20" s="23"/>
      <c r="J20" s="15"/>
      <c r="K20" s="15"/>
      <c r="L20" s="15"/>
      <c r="M20" s="15"/>
      <c r="N20" s="27"/>
      <c r="O20" s="27"/>
      <c r="Q20" s="24"/>
      <c r="R20" s="24"/>
      <c r="S20" s="24"/>
      <c r="U20" s="25"/>
      <c r="AC20" s="14"/>
      <c r="AD20" s="14"/>
      <c r="AE20" s="14"/>
      <c r="DO20" s="17"/>
      <c r="DP20" s="17"/>
      <c r="DQ20" s="17"/>
      <c r="DR20" s="17"/>
      <c r="DS20" s="17"/>
      <c r="DT20" s="17"/>
    </row>
    <row r="21" spans="1:124" x14ac:dyDescent="0.25">
      <c r="A21" s="22"/>
      <c r="B21" s="22"/>
      <c r="C21" s="23"/>
      <c r="D21" s="23"/>
      <c r="E21" s="23"/>
      <c r="F21" s="23"/>
      <c r="G21" s="23"/>
      <c r="H21" s="23"/>
      <c r="I21" s="23"/>
      <c r="J21" s="15"/>
      <c r="K21" s="15"/>
      <c r="L21" s="15"/>
      <c r="M21" s="15"/>
      <c r="N21" s="27"/>
      <c r="O21" s="27"/>
      <c r="Q21" s="24"/>
      <c r="R21" s="24"/>
      <c r="S21" s="24"/>
      <c r="U21" s="25"/>
      <c r="AC21" s="14"/>
      <c r="AD21" s="14"/>
      <c r="AE21" s="14"/>
      <c r="DO21" s="17"/>
      <c r="DP21" s="17"/>
      <c r="DQ21" s="17"/>
      <c r="DR21" s="17"/>
      <c r="DS21" s="17"/>
      <c r="DT21" s="17"/>
    </row>
    <row r="22" spans="1:124" x14ac:dyDescent="0.25">
      <c r="A22" s="22"/>
      <c r="B22" s="22"/>
      <c r="C22" s="23"/>
      <c r="D22" s="23"/>
      <c r="E22" s="23"/>
      <c r="F22" s="23"/>
      <c r="G22" s="23"/>
      <c r="H22" s="23"/>
      <c r="I22" s="23"/>
      <c r="J22" s="15"/>
      <c r="K22" s="15"/>
      <c r="L22" s="15"/>
      <c r="M22" s="15"/>
      <c r="N22" s="27"/>
      <c r="O22" s="27"/>
      <c r="Q22" s="24"/>
      <c r="R22" s="24"/>
      <c r="S22" s="24"/>
      <c r="U22" s="25"/>
      <c r="AC22" s="14"/>
      <c r="AD22" s="14"/>
      <c r="AE22" s="14"/>
      <c r="DO22" s="17"/>
      <c r="DP22" s="17"/>
      <c r="DQ22" s="17"/>
      <c r="DR22" s="17"/>
      <c r="DS22" s="17"/>
      <c r="DT22" s="17"/>
    </row>
    <row r="23" spans="1:124" x14ac:dyDescent="0.25">
      <c r="A23" s="22"/>
      <c r="B23" s="22"/>
      <c r="C23" s="23"/>
      <c r="D23" s="23"/>
      <c r="E23" s="23"/>
      <c r="F23" s="23"/>
      <c r="G23" s="23"/>
      <c r="H23" s="23"/>
      <c r="I23" s="23"/>
      <c r="J23" s="15"/>
      <c r="K23" s="15"/>
      <c r="L23" s="15"/>
      <c r="M23" s="15"/>
      <c r="N23" s="27"/>
      <c r="O23" s="27"/>
      <c r="Q23" s="24"/>
      <c r="R23" s="24"/>
      <c r="S23" s="24"/>
      <c r="U23" s="25"/>
      <c r="AC23" s="26"/>
      <c r="AD23" s="26"/>
      <c r="AE23" s="26"/>
      <c r="DO23" s="17"/>
      <c r="DP23" s="17"/>
      <c r="DQ23" s="17"/>
      <c r="DR23" s="17"/>
      <c r="DS23" s="17"/>
      <c r="DT23" s="17"/>
    </row>
    <row r="24" spans="1:124" x14ac:dyDescent="0.25">
      <c r="A24" s="22"/>
      <c r="B24" s="22"/>
      <c r="C24" s="23"/>
      <c r="D24" s="23"/>
      <c r="E24" s="23"/>
      <c r="F24" s="23"/>
      <c r="G24" s="23"/>
      <c r="H24" s="23"/>
      <c r="I24" s="23"/>
      <c r="J24" s="15"/>
      <c r="K24" s="15"/>
      <c r="L24" s="15"/>
      <c r="M24" s="15"/>
      <c r="N24" s="27"/>
      <c r="O24" s="27"/>
      <c r="Q24" s="24"/>
      <c r="R24" s="24"/>
      <c r="S24" s="24"/>
      <c r="U24" s="25"/>
      <c r="AC24" s="26"/>
      <c r="AD24" s="26"/>
      <c r="AE24" s="26"/>
      <c r="DO24" s="17"/>
      <c r="DP24" s="17"/>
      <c r="DQ24" s="17"/>
      <c r="DR24" s="17"/>
      <c r="DS24" s="17"/>
      <c r="DT24" s="17"/>
    </row>
    <row r="25" spans="1:124" x14ac:dyDescent="0.25">
      <c r="A25" s="22"/>
      <c r="B25" s="22"/>
      <c r="C25" s="23"/>
      <c r="D25" s="23"/>
      <c r="E25" s="23"/>
      <c r="F25" s="23"/>
      <c r="G25" s="23"/>
      <c r="H25" s="23"/>
      <c r="I25" s="23"/>
      <c r="J25" s="15"/>
      <c r="K25" s="15"/>
      <c r="L25" s="15"/>
      <c r="M25" s="15"/>
      <c r="N25" s="27"/>
      <c r="O25" s="27"/>
      <c r="R25" s="30" t="s">
        <v>107</v>
      </c>
      <c r="S25" s="24"/>
      <c r="U25" s="25"/>
      <c r="AB25" s="25" t="s">
        <v>90</v>
      </c>
      <c r="AC25" s="26" t="s">
        <v>104</v>
      </c>
      <c r="AD25" s="26" t="s">
        <v>105</v>
      </c>
      <c r="AE25" s="26" t="s">
        <v>106</v>
      </c>
      <c r="DO25" s="17"/>
      <c r="DP25" s="17"/>
      <c r="DQ25" s="17"/>
      <c r="DR25" s="17"/>
      <c r="DS25" s="17"/>
      <c r="DT25" s="17"/>
    </row>
    <row r="26" spans="1:124" x14ac:dyDescent="0.25">
      <c r="A26" s="22"/>
      <c r="B26" s="22"/>
      <c r="C26" s="23"/>
      <c r="D26" s="23"/>
      <c r="E26" s="23"/>
      <c r="F26" s="23"/>
      <c r="G26" s="23"/>
      <c r="H26" s="23"/>
      <c r="I26" s="23"/>
      <c r="J26" s="15"/>
      <c r="K26" s="15"/>
      <c r="L26" s="15"/>
      <c r="M26" s="15"/>
      <c r="N26" s="27">
        <f t="shared" ref="N26:N28" si="11">0.5*S26+Q26</f>
        <v>94.75</v>
      </c>
      <c r="O26" s="27">
        <f t="shared" ref="O26:O28" si="12">S26</f>
        <v>10.5</v>
      </c>
      <c r="Q26" s="24">
        <f t="shared" ref="Q26:R28" si="13">AC26*100</f>
        <v>89.5</v>
      </c>
      <c r="R26" s="24">
        <f t="shared" si="13"/>
        <v>0</v>
      </c>
      <c r="S26" s="24">
        <f t="shared" ref="S26:S28" si="14">100-Q26-R26</f>
        <v>10.5</v>
      </c>
      <c r="U26" s="24"/>
      <c r="V26" s="24"/>
      <c r="W26" s="24"/>
      <c r="AC26" s="14">
        <v>0.89500000000000002</v>
      </c>
      <c r="AD26" s="14">
        <v>0</v>
      </c>
      <c r="AE26" s="14">
        <f>1-AC26-AD26</f>
        <v>0.10499999999999998</v>
      </c>
      <c r="DO26" s="17"/>
      <c r="DP26" s="17"/>
      <c r="DQ26" s="17"/>
      <c r="DR26" s="17"/>
      <c r="DS26" s="17"/>
      <c r="DT26" s="17"/>
    </row>
    <row r="27" spans="1:124" x14ac:dyDescent="0.25">
      <c r="A27" s="22"/>
      <c r="B27" s="22"/>
      <c r="C27" s="23"/>
      <c r="D27" s="23"/>
      <c r="E27" s="23"/>
      <c r="F27" s="23"/>
      <c r="G27" s="23"/>
      <c r="H27" s="23"/>
      <c r="I27" s="23"/>
      <c r="J27" s="15"/>
      <c r="K27" s="15"/>
      <c r="L27" s="15"/>
      <c r="M27" s="15"/>
      <c r="N27" s="27">
        <f t="shared" si="11"/>
        <v>88</v>
      </c>
      <c r="O27" s="27">
        <f t="shared" si="12"/>
        <v>4</v>
      </c>
      <c r="Q27" s="24">
        <f t="shared" si="13"/>
        <v>86</v>
      </c>
      <c r="R27" s="24">
        <f t="shared" si="13"/>
        <v>10</v>
      </c>
      <c r="S27" s="24">
        <f t="shared" si="14"/>
        <v>4</v>
      </c>
      <c r="U27" s="24"/>
      <c r="V27" s="24"/>
      <c r="W27" s="24"/>
      <c r="AC27" s="14">
        <v>0.86</v>
      </c>
      <c r="AD27" s="14">
        <v>0.1</v>
      </c>
      <c r="AE27" s="26">
        <f>1-AC27-AD27</f>
        <v>4.0000000000000008E-2</v>
      </c>
      <c r="DO27" s="17"/>
      <c r="DP27" s="17"/>
      <c r="DQ27" s="17"/>
      <c r="DR27" s="17"/>
      <c r="DS27" s="17"/>
      <c r="DT27" s="17"/>
    </row>
    <row r="28" spans="1:124" x14ac:dyDescent="0.25">
      <c r="A28" s="22"/>
      <c r="B28" s="22"/>
      <c r="C28" s="23"/>
      <c r="D28" s="23"/>
      <c r="E28" s="23"/>
      <c r="F28" s="23"/>
      <c r="G28" s="23"/>
      <c r="H28" s="23"/>
      <c r="I28" s="23"/>
      <c r="J28" s="15"/>
      <c r="K28" s="15"/>
      <c r="L28" s="15"/>
      <c r="M28" s="15"/>
      <c r="N28" s="27">
        <f t="shared" si="11"/>
        <v>80</v>
      </c>
      <c r="O28" s="27">
        <f t="shared" si="12"/>
        <v>0</v>
      </c>
      <c r="Q28" s="24">
        <f t="shared" si="13"/>
        <v>80</v>
      </c>
      <c r="R28" s="24">
        <f t="shared" si="13"/>
        <v>19.999999999999996</v>
      </c>
      <c r="S28" s="24">
        <f t="shared" si="14"/>
        <v>0</v>
      </c>
      <c r="U28" s="24"/>
      <c r="V28" s="24"/>
      <c r="W28" s="24"/>
      <c r="AC28" s="14">
        <v>0.8</v>
      </c>
      <c r="AD28" s="14">
        <f>1-AC28</f>
        <v>0.19999999999999996</v>
      </c>
      <c r="AE28" s="26">
        <f>1-AC28-AD28</f>
        <v>0</v>
      </c>
      <c r="DO28" s="17"/>
      <c r="DP28" s="17"/>
      <c r="DQ28" s="17"/>
      <c r="DR28" s="17"/>
      <c r="DS28" s="17"/>
      <c r="DT28" s="17"/>
    </row>
    <row r="29" spans="1:124" x14ac:dyDescent="0.25">
      <c r="A29" s="22"/>
      <c r="B29" s="22"/>
      <c r="C29" s="23"/>
      <c r="D29" s="23"/>
      <c r="E29" s="23"/>
      <c r="F29" s="23"/>
      <c r="G29" s="23"/>
      <c r="H29" s="23"/>
      <c r="I29" s="23"/>
      <c r="J29" s="15"/>
      <c r="K29" s="15"/>
      <c r="L29" s="15"/>
      <c r="M29" s="15"/>
      <c r="N29" s="27"/>
      <c r="O29" s="27"/>
      <c r="P29" s="27"/>
      <c r="Q29" s="24"/>
      <c r="R29" s="24"/>
      <c r="S29" s="24"/>
      <c r="U29" s="24"/>
      <c r="V29" s="24"/>
      <c r="W29" s="24"/>
      <c r="AC29" s="14"/>
      <c r="AD29" s="14"/>
      <c r="AE29" s="26"/>
      <c r="DO29" s="17"/>
      <c r="DP29" s="17"/>
      <c r="DQ29" s="17"/>
      <c r="DR29" s="17"/>
      <c r="DS29" s="17"/>
      <c r="DT29" s="17"/>
    </row>
    <row r="30" spans="1:124" x14ac:dyDescent="0.25">
      <c r="A30" s="22"/>
      <c r="B30" s="22"/>
      <c r="C30" s="23"/>
      <c r="D30" s="23"/>
      <c r="E30" s="23"/>
      <c r="F30" s="23"/>
      <c r="G30" s="23"/>
      <c r="H30" s="23"/>
      <c r="I30" s="23"/>
      <c r="J30" s="15"/>
      <c r="K30" s="15"/>
      <c r="L30" s="15"/>
      <c r="M30" s="15"/>
      <c r="N30" s="27"/>
      <c r="O30" s="27"/>
      <c r="Q30" s="24"/>
      <c r="R30" s="24"/>
      <c r="S30" s="24"/>
      <c r="U30" s="25"/>
      <c r="AC30" s="14"/>
      <c r="AD30" s="14"/>
      <c r="AE30" s="26"/>
      <c r="DO30" s="17"/>
      <c r="DP30" s="17"/>
      <c r="DQ30" s="17"/>
      <c r="DR30" s="17"/>
      <c r="DS30" s="17"/>
      <c r="DT30" s="17"/>
    </row>
    <row r="31" spans="1:124" x14ac:dyDescent="0.25">
      <c r="A31" s="22"/>
      <c r="B31" s="22"/>
      <c r="C31" s="23"/>
      <c r="D31" s="23"/>
      <c r="E31" s="23"/>
      <c r="F31" s="23"/>
      <c r="G31" s="23"/>
      <c r="H31" s="23"/>
      <c r="I31" s="23"/>
      <c r="J31" s="15"/>
      <c r="K31" s="15"/>
      <c r="L31" s="15"/>
      <c r="M31" s="15"/>
      <c r="N31" s="27"/>
      <c r="O31" s="27"/>
      <c r="Q31" s="24"/>
      <c r="R31" s="24"/>
      <c r="S31" s="24"/>
      <c r="U31" s="25"/>
      <c r="AC31" s="14"/>
      <c r="AD31" s="14"/>
      <c r="AE31" s="26"/>
      <c r="DO31" s="17"/>
      <c r="DP31" s="17"/>
      <c r="DQ31" s="17"/>
      <c r="DR31" s="17"/>
      <c r="DS31" s="17"/>
      <c r="DT31" s="17"/>
    </row>
    <row r="32" spans="1:124" x14ac:dyDescent="0.25">
      <c r="A32" s="22"/>
      <c r="B32" s="22"/>
      <c r="C32" s="23"/>
      <c r="D32" s="23"/>
      <c r="E32" s="23"/>
      <c r="F32" s="23"/>
      <c r="G32" s="23"/>
      <c r="H32" s="23"/>
      <c r="I32" s="23"/>
      <c r="J32" s="15"/>
      <c r="K32" s="15"/>
      <c r="L32" s="15"/>
      <c r="M32" s="15"/>
      <c r="N32" s="27"/>
      <c r="O32" s="27"/>
      <c r="Q32" s="24"/>
      <c r="R32" s="24"/>
      <c r="S32" s="24"/>
      <c r="U32" s="25"/>
      <c r="AC32" s="14"/>
      <c r="AD32" s="14"/>
      <c r="AE32" s="26"/>
      <c r="DO32" s="17"/>
      <c r="DP32" s="17"/>
      <c r="DQ32" s="17"/>
      <c r="DR32" s="17"/>
      <c r="DS32" s="17"/>
      <c r="DT32" s="17"/>
    </row>
    <row r="33" spans="1:124" x14ac:dyDescent="0.25">
      <c r="A33" s="22"/>
      <c r="B33" s="22"/>
      <c r="C33" s="23"/>
      <c r="D33" s="23"/>
      <c r="E33" s="23"/>
      <c r="F33" s="23"/>
      <c r="G33" s="23"/>
      <c r="H33" s="23"/>
      <c r="I33" s="23"/>
      <c r="J33" s="15"/>
      <c r="K33" s="15"/>
      <c r="L33" s="15"/>
      <c r="M33" s="15"/>
      <c r="N33" s="27"/>
      <c r="O33" s="27"/>
      <c r="P33" s="27"/>
      <c r="Q33" s="24"/>
      <c r="R33" s="24"/>
      <c r="S33" s="24"/>
      <c r="U33" s="25"/>
      <c r="AC33" s="14"/>
      <c r="AD33" s="14"/>
      <c r="AE33" s="14"/>
      <c r="DO33" s="17"/>
      <c r="DP33" s="17"/>
      <c r="DQ33" s="17"/>
      <c r="DR33" s="17"/>
      <c r="DS33" s="17"/>
      <c r="DT33" s="17"/>
    </row>
    <row r="34" spans="1:124" x14ac:dyDescent="0.25">
      <c r="A34" s="22"/>
      <c r="B34" s="22"/>
      <c r="C34" s="23"/>
      <c r="D34" s="23"/>
      <c r="E34" s="23"/>
      <c r="F34" s="23"/>
      <c r="G34" s="23"/>
      <c r="H34" s="23"/>
      <c r="I34" s="23"/>
      <c r="J34" s="15"/>
      <c r="K34" s="15"/>
      <c r="L34" s="15"/>
      <c r="M34" s="15"/>
      <c r="N34" s="27"/>
      <c r="O34" s="27"/>
      <c r="Q34" s="24"/>
      <c r="R34" s="24"/>
      <c r="S34" s="24"/>
      <c r="U34" s="25"/>
      <c r="AC34" s="14"/>
      <c r="AD34" s="14"/>
      <c r="AE34" s="14"/>
      <c r="DO34" s="17"/>
      <c r="DP34" s="17"/>
      <c r="DQ34" s="17"/>
      <c r="DR34" s="17"/>
      <c r="DS34" s="17"/>
      <c r="DT34" s="17"/>
    </row>
    <row r="35" spans="1:124" x14ac:dyDescent="0.25">
      <c r="A35" s="22"/>
      <c r="B35" s="22"/>
      <c r="C35" s="23"/>
      <c r="D35" s="23"/>
      <c r="E35" s="23"/>
      <c r="F35" s="23"/>
      <c r="G35" s="23"/>
      <c r="H35" s="23"/>
      <c r="I35" s="23"/>
      <c r="J35" s="15"/>
      <c r="K35" s="15"/>
      <c r="L35" s="15"/>
      <c r="M35" s="15"/>
      <c r="N35" s="27"/>
      <c r="O35" s="27"/>
      <c r="P35" s="27"/>
      <c r="Q35" s="24"/>
      <c r="R35" s="24"/>
      <c r="S35" s="24"/>
      <c r="U35" s="25"/>
      <c r="AC35" s="14"/>
      <c r="AD35" s="14"/>
      <c r="AE35" s="14"/>
      <c r="DO35" s="17"/>
      <c r="DP35" s="17"/>
      <c r="DQ35" s="17"/>
      <c r="DR35" s="17"/>
      <c r="DS35" s="17"/>
      <c r="DT35" s="17"/>
    </row>
    <row r="36" spans="1:124" x14ac:dyDescent="0.25">
      <c r="A36" s="22"/>
      <c r="B36" s="22"/>
      <c r="C36" s="23"/>
      <c r="D36" s="23"/>
      <c r="E36" s="23"/>
      <c r="F36" s="23"/>
      <c r="G36" s="23"/>
      <c r="H36" s="23"/>
      <c r="I36" s="23"/>
      <c r="J36" s="15"/>
      <c r="K36" s="15"/>
      <c r="L36" s="15"/>
      <c r="M36" s="15"/>
      <c r="N36" s="19"/>
      <c r="O36" s="19"/>
      <c r="P36" s="19"/>
      <c r="Q36" s="19"/>
      <c r="R36" s="19"/>
      <c r="S36" s="19"/>
      <c r="U36" s="25"/>
      <c r="AC36" s="25"/>
      <c r="AD36" s="25"/>
      <c r="AE36" s="25"/>
      <c r="DO36" s="17"/>
      <c r="DP36" s="17"/>
      <c r="DQ36" s="17"/>
      <c r="DR36" s="17"/>
      <c r="DS36" s="17"/>
      <c r="DT36" s="17"/>
    </row>
    <row r="37" spans="1:124" x14ac:dyDescent="0.25">
      <c r="A37" s="22"/>
      <c r="B37" s="22"/>
      <c r="C37" s="23"/>
      <c r="D37" s="23"/>
      <c r="E37" s="23"/>
      <c r="F37" s="23"/>
      <c r="G37" s="23"/>
      <c r="H37" s="23"/>
      <c r="I37" s="23"/>
      <c r="J37" s="15"/>
      <c r="K37" s="15"/>
      <c r="L37" s="15"/>
      <c r="M37" s="15"/>
      <c r="N37" s="19"/>
      <c r="O37" s="19"/>
      <c r="P37" s="19"/>
      <c r="Q37" s="19"/>
      <c r="R37" s="19"/>
      <c r="S37" s="19"/>
      <c r="U37" s="25"/>
      <c r="AC37" s="25"/>
      <c r="AD37" s="25"/>
      <c r="AE37" s="25"/>
      <c r="DO37" s="17"/>
      <c r="DP37" s="17"/>
      <c r="DQ37" s="17"/>
      <c r="DR37" s="17"/>
      <c r="DS37" s="17"/>
      <c r="DT37" s="17"/>
    </row>
    <row r="38" spans="1:124" x14ac:dyDescent="0.25">
      <c r="A38" s="22"/>
      <c r="B38" s="22"/>
      <c r="C38" s="23"/>
      <c r="D38" s="23"/>
      <c r="E38" s="23"/>
      <c r="F38" s="23"/>
      <c r="G38" s="23"/>
      <c r="H38" s="23"/>
      <c r="I38" s="23"/>
      <c r="J38" s="15"/>
      <c r="K38" s="15"/>
      <c r="L38" s="15"/>
      <c r="M38" s="15"/>
      <c r="N38" s="19"/>
      <c r="O38" s="19"/>
      <c r="P38" s="19"/>
      <c r="Q38" s="19"/>
      <c r="R38" s="19"/>
      <c r="S38" s="19"/>
      <c r="U38" s="25"/>
      <c r="AC38" s="25"/>
      <c r="AD38" s="25"/>
      <c r="AE38" s="25"/>
      <c r="DO38" s="17"/>
      <c r="DP38" s="17"/>
      <c r="DQ38" s="17"/>
      <c r="DR38" s="17"/>
      <c r="DS38" s="17"/>
      <c r="DT38" s="17"/>
    </row>
    <row r="39" spans="1:124" x14ac:dyDescent="0.25">
      <c r="A39" s="22"/>
      <c r="B39" s="22"/>
      <c r="C39" s="23"/>
      <c r="D39" s="23"/>
      <c r="E39" s="23"/>
      <c r="F39" s="23"/>
      <c r="G39" s="23"/>
      <c r="H39" s="23"/>
      <c r="I39" s="23"/>
      <c r="J39" s="15"/>
      <c r="K39" s="15"/>
      <c r="L39" s="15"/>
      <c r="M39" s="15"/>
      <c r="N39" s="19"/>
      <c r="O39" s="19"/>
      <c r="P39" s="19"/>
      <c r="Q39" s="19"/>
      <c r="R39" s="19"/>
      <c r="S39" s="19"/>
      <c r="U39" s="25"/>
      <c r="AC39" s="25"/>
      <c r="AD39" s="25"/>
      <c r="AE39" s="25"/>
      <c r="DO39" s="17"/>
      <c r="DP39" s="17"/>
      <c r="DQ39" s="17"/>
      <c r="DR39" s="17"/>
      <c r="DS39" s="17"/>
      <c r="DT39" s="17"/>
    </row>
    <row r="40" spans="1:124" x14ac:dyDescent="0.25">
      <c r="A40" s="22"/>
      <c r="B40" s="22"/>
      <c r="C40" s="23"/>
      <c r="D40" s="23"/>
      <c r="E40" s="23"/>
      <c r="F40" s="23"/>
      <c r="G40" s="23"/>
      <c r="H40" s="23"/>
      <c r="I40" s="23"/>
      <c r="J40" s="15"/>
      <c r="K40" s="15"/>
      <c r="L40" s="15"/>
      <c r="M40" s="15"/>
      <c r="N40" s="19"/>
      <c r="O40" s="19"/>
      <c r="P40" s="19"/>
      <c r="Q40" s="19"/>
      <c r="R40" s="19"/>
      <c r="S40" s="19"/>
      <c r="U40" s="25"/>
      <c r="AC40" s="25"/>
      <c r="AD40" s="25"/>
      <c r="AE40" s="25"/>
      <c r="DO40" s="17"/>
      <c r="DP40" s="17"/>
      <c r="DQ40" s="17"/>
      <c r="DR40" s="17"/>
      <c r="DS40" s="17"/>
      <c r="DT40" s="17"/>
    </row>
    <row r="41" spans="1:124" x14ac:dyDescent="0.25">
      <c r="A41" s="22"/>
      <c r="B41" s="22"/>
      <c r="C41" s="23"/>
      <c r="D41" s="23"/>
      <c r="E41" s="23"/>
      <c r="F41" s="23"/>
      <c r="G41" s="23"/>
      <c r="H41" s="23"/>
      <c r="I41" s="23"/>
      <c r="J41" s="15"/>
      <c r="K41" s="15"/>
      <c r="L41" s="15"/>
      <c r="M41" s="15"/>
      <c r="N41" s="19"/>
      <c r="O41" s="19"/>
      <c r="P41" s="19"/>
      <c r="Q41" s="19"/>
      <c r="R41" s="19"/>
      <c r="S41" s="19"/>
      <c r="U41" s="25"/>
      <c r="AC41" s="25"/>
      <c r="AD41" s="25"/>
      <c r="AE41" s="25"/>
      <c r="DO41" s="17"/>
      <c r="DP41" s="17"/>
      <c r="DQ41" s="17"/>
      <c r="DR41" s="17"/>
      <c r="DS41" s="17"/>
      <c r="DT41" s="17"/>
    </row>
    <row r="42" spans="1:124" x14ac:dyDescent="0.25">
      <c r="A42" s="22"/>
      <c r="B42" s="22"/>
      <c r="C42" s="23"/>
      <c r="D42" s="23"/>
      <c r="E42" s="23"/>
      <c r="F42" s="23"/>
      <c r="G42" s="23"/>
      <c r="H42" s="23"/>
      <c r="I42" s="23"/>
      <c r="J42" s="15"/>
      <c r="K42" s="15"/>
      <c r="L42" s="15"/>
      <c r="M42" s="15"/>
      <c r="N42" s="19"/>
      <c r="O42" s="19"/>
      <c r="P42" s="19"/>
      <c r="Q42" s="19"/>
      <c r="R42" s="19"/>
      <c r="S42" s="19"/>
      <c r="U42" s="25"/>
      <c r="AC42" s="25"/>
      <c r="AD42" s="25"/>
      <c r="AE42" s="25"/>
      <c r="DO42" s="17"/>
      <c r="DP42" s="17"/>
      <c r="DQ42" s="17"/>
      <c r="DR42" s="17"/>
      <c r="DS42" s="17"/>
      <c r="DT42" s="17"/>
    </row>
    <row r="43" spans="1:124" x14ac:dyDescent="0.25">
      <c r="A43" s="22"/>
      <c r="B43" s="22"/>
      <c r="C43" s="23"/>
      <c r="D43" s="23"/>
      <c r="E43" s="23"/>
      <c r="F43" s="23"/>
      <c r="G43" s="23"/>
      <c r="H43" s="23"/>
      <c r="I43" s="23"/>
      <c r="J43" s="15"/>
      <c r="K43" s="15"/>
      <c r="L43" s="15"/>
      <c r="M43" s="15"/>
      <c r="N43" s="19"/>
      <c r="O43" s="19"/>
      <c r="P43" s="19"/>
      <c r="Q43" s="19"/>
      <c r="R43" s="19"/>
      <c r="S43" s="19"/>
      <c r="U43" s="25"/>
      <c r="AC43" s="25"/>
      <c r="AD43" s="25"/>
      <c r="AE43" s="25"/>
      <c r="DO43" s="17"/>
      <c r="DP43" s="17"/>
      <c r="DQ43" s="17"/>
      <c r="DR43" s="17"/>
      <c r="DS43" s="17"/>
      <c r="DT43" s="17"/>
    </row>
    <row r="44" spans="1:124" x14ac:dyDescent="0.25">
      <c r="A44" s="22"/>
      <c r="B44" s="22"/>
      <c r="C44" s="23"/>
      <c r="D44" s="23"/>
      <c r="E44" s="23"/>
      <c r="F44" s="23"/>
      <c r="G44" s="23"/>
      <c r="H44" s="23"/>
      <c r="I44" s="23"/>
      <c r="J44" s="15"/>
      <c r="K44" s="15"/>
      <c r="L44" s="15"/>
      <c r="M44" s="15"/>
      <c r="N44" s="27"/>
      <c r="O44" s="27"/>
      <c r="R44" s="30" t="s">
        <v>94</v>
      </c>
      <c r="S44" s="24"/>
      <c r="U44" s="25"/>
      <c r="AC44" s="25"/>
      <c r="AD44" s="25"/>
      <c r="AE44" s="25"/>
      <c r="DO44" s="17"/>
      <c r="DP44" s="17"/>
      <c r="DQ44" s="17"/>
      <c r="DR44" s="17"/>
      <c r="DS44" s="17"/>
      <c r="DT44" s="17"/>
    </row>
    <row r="45" spans="1:124" x14ac:dyDescent="0.25">
      <c r="A45" s="22"/>
      <c r="B45" s="22"/>
      <c r="C45" s="23"/>
      <c r="D45" s="23"/>
      <c r="E45" s="23"/>
      <c r="F45" s="23"/>
      <c r="G45" s="23"/>
      <c r="H45" s="23"/>
      <c r="I45" s="23"/>
      <c r="J45" s="15"/>
      <c r="K45" s="15"/>
      <c r="L45" s="15"/>
      <c r="M45" s="15"/>
      <c r="N45" s="27">
        <f>0.5*S45+Q45</f>
        <v>85</v>
      </c>
      <c r="O45" s="27">
        <f>S45</f>
        <v>10</v>
      </c>
      <c r="Q45" s="24">
        <f>Q5</f>
        <v>80</v>
      </c>
      <c r="R45" s="24">
        <f>R5</f>
        <v>10</v>
      </c>
      <c r="S45" s="24">
        <f>S5</f>
        <v>10</v>
      </c>
      <c r="U45" s="25"/>
      <c r="AC45" s="25"/>
      <c r="AD45" s="25"/>
      <c r="AE45" s="25"/>
      <c r="DO45" s="17"/>
      <c r="DP45" s="17"/>
      <c r="DQ45" s="17"/>
      <c r="DR45" s="17"/>
      <c r="DS45" s="17"/>
      <c r="DT45" s="17"/>
    </row>
    <row r="46" spans="1:124" x14ac:dyDescent="0.25">
      <c r="A46" s="22"/>
      <c r="B46" s="22"/>
      <c r="C46" s="23"/>
      <c r="D46" s="23"/>
      <c r="E46" s="23"/>
      <c r="F46" s="23"/>
      <c r="G46" s="23"/>
      <c r="H46" s="23"/>
      <c r="I46" s="23"/>
      <c r="J46" s="15"/>
      <c r="K46" s="15"/>
      <c r="L46" s="15"/>
      <c r="M46" s="15"/>
      <c r="N46" s="27">
        <f>0.5*S46+Q46</f>
        <v>87.118728340248282</v>
      </c>
      <c r="O46" s="27">
        <f>S46</f>
        <v>4.5411789588138971</v>
      </c>
      <c r="Q46" s="24">
        <f>Q16</f>
        <v>84.848138860841331</v>
      </c>
      <c r="R46" s="24">
        <f>R16</f>
        <v>10.610682180344762</v>
      </c>
      <c r="S46" s="24">
        <f>S16</f>
        <v>4.5411789588138971</v>
      </c>
      <c r="U46" s="25"/>
      <c r="AC46" s="25"/>
      <c r="AD46" s="25"/>
      <c r="AE46" s="25"/>
      <c r="DO46" s="17"/>
      <c r="DP46" s="17"/>
      <c r="DQ46" s="17"/>
      <c r="DR46" s="17"/>
      <c r="DS46" s="17"/>
      <c r="DT46" s="17"/>
    </row>
    <row r="47" spans="1:124" x14ac:dyDescent="0.25">
      <c r="A47" s="22"/>
      <c r="B47" s="22"/>
      <c r="C47" s="23"/>
      <c r="D47" s="23"/>
      <c r="E47" s="23"/>
      <c r="F47" s="23"/>
      <c r="G47" s="23"/>
      <c r="H47" s="23"/>
      <c r="I47" s="23"/>
      <c r="J47" s="15"/>
      <c r="K47" s="15"/>
      <c r="L47" s="15"/>
      <c r="M47" s="15"/>
      <c r="N47" s="27"/>
      <c r="O47" s="27"/>
      <c r="R47" s="30" t="s">
        <v>95</v>
      </c>
      <c r="S47" s="24"/>
      <c r="U47" s="25"/>
      <c r="AC47" s="25"/>
      <c r="AD47" s="25"/>
      <c r="AE47" s="25"/>
      <c r="DO47" s="17"/>
      <c r="DP47" s="17"/>
      <c r="DQ47" s="17"/>
      <c r="DR47" s="17"/>
      <c r="DS47" s="17"/>
      <c r="DT47" s="17"/>
    </row>
    <row r="48" spans="1:124" x14ac:dyDescent="0.25">
      <c r="A48" s="22"/>
      <c r="B48" s="22"/>
      <c r="C48" s="23"/>
      <c r="D48" s="23"/>
      <c r="E48" s="23"/>
      <c r="F48" s="23"/>
      <c r="G48" s="23"/>
      <c r="H48" s="23"/>
      <c r="I48" s="23"/>
      <c r="J48" s="15"/>
      <c r="K48" s="15"/>
      <c r="L48" s="15"/>
      <c r="M48" s="15"/>
      <c r="N48" s="27">
        <f>0.5*S48+Q48</f>
        <v>80</v>
      </c>
      <c r="O48" s="27">
        <f>S48</f>
        <v>0</v>
      </c>
      <c r="Q48" s="24">
        <f>Q6</f>
        <v>80</v>
      </c>
      <c r="R48" s="24">
        <f>R6</f>
        <v>20</v>
      </c>
      <c r="S48" s="24">
        <f>S6</f>
        <v>0</v>
      </c>
      <c r="U48" s="25"/>
      <c r="AC48" s="25"/>
      <c r="AD48" s="25"/>
      <c r="AE48" s="25"/>
      <c r="DO48" s="17"/>
      <c r="DP48" s="17"/>
      <c r="DQ48" s="17"/>
      <c r="DR48" s="17"/>
      <c r="DS48" s="17"/>
      <c r="DT48" s="17"/>
    </row>
    <row r="49" spans="1:124" x14ac:dyDescent="0.25">
      <c r="A49" s="22"/>
      <c r="B49" s="22"/>
      <c r="C49" s="23"/>
      <c r="D49" s="23"/>
      <c r="E49" s="23"/>
      <c r="F49" s="23"/>
      <c r="G49" s="23"/>
      <c r="H49" s="23"/>
      <c r="I49" s="23"/>
      <c r="J49" s="15"/>
      <c r="K49" s="15"/>
      <c r="L49" s="15"/>
      <c r="M49" s="15"/>
      <c r="N49" s="27">
        <f>0.5*S49+Q49</f>
        <v>80.336724550826617</v>
      </c>
      <c r="O49" s="27">
        <f>S49</f>
        <v>0</v>
      </c>
      <c r="Q49" s="24">
        <f>Q17</f>
        <v>80.336724550826617</v>
      </c>
      <c r="R49" s="24">
        <f>R17</f>
        <v>19.66327544917338</v>
      </c>
      <c r="S49" s="24">
        <f>S17</f>
        <v>0</v>
      </c>
      <c r="U49" s="25"/>
      <c r="AC49" s="19"/>
      <c r="AD49" s="19"/>
      <c r="AE49" s="19"/>
      <c r="DO49" s="17"/>
      <c r="DP49" s="17"/>
      <c r="DQ49" s="17"/>
      <c r="DR49" s="17"/>
      <c r="DS49" s="17"/>
      <c r="DT49" s="17"/>
    </row>
    <row r="50" spans="1:124" x14ac:dyDescent="0.25">
      <c r="A50" s="22"/>
      <c r="B50" s="22"/>
      <c r="C50" s="23"/>
      <c r="D50" s="23"/>
      <c r="E50" s="23"/>
      <c r="F50" s="23"/>
      <c r="G50" s="23"/>
      <c r="H50" s="23"/>
      <c r="I50" s="23"/>
      <c r="J50" s="15"/>
      <c r="K50" s="15"/>
      <c r="L50" s="15"/>
      <c r="M50" s="15"/>
      <c r="N50" s="19"/>
      <c r="O50" s="19"/>
      <c r="P50" s="19"/>
      <c r="R50" s="30" t="s">
        <v>96</v>
      </c>
      <c r="S50" s="19"/>
      <c r="U50" s="25"/>
      <c r="DO50" s="17"/>
      <c r="DP50" s="17"/>
      <c r="DQ50" s="17"/>
      <c r="DR50" s="17"/>
      <c r="DS50" s="17"/>
      <c r="DT50" s="17"/>
    </row>
    <row r="51" spans="1:124" x14ac:dyDescent="0.25">
      <c r="A51" s="22"/>
      <c r="B51" s="22"/>
      <c r="C51" s="23"/>
      <c r="D51" s="23"/>
      <c r="E51" s="23"/>
      <c r="F51" s="23"/>
      <c r="G51" s="23"/>
      <c r="H51" s="23"/>
      <c r="I51" s="23"/>
      <c r="J51" s="15"/>
      <c r="K51" s="15"/>
      <c r="L51" s="15"/>
      <c r="M51" s="15"/>
      <c r="N51" s="27">
        <f>0.5*S51+Q51</f>
        <v>0</v>
      </c>
      <c r="O51" s="27">
        <f>S51</f>
        <v>0</v>
      </c>
      <c r="Q51" s="24">
        <f>Q7</f>
        <v>0</v>
      </c>
      <c r="R51" s="24">
        <f>R7</f>
        <v>0</v>
      </c>
      <c r="S51" s="24">
        <f>S7</f>
        <v>0</v>
      </c>
      <c r="U51" s="25"/>
      <c r="DO51" s="17"/>
      <c r="DP51" s="17"/>
      <c r="DQ51" s="17"/>
      <c r="DR51" s="17"/>
      <c r="DS51" s="17"/>
      <c r="DT51" s="17"/>
    </row>
    <row r="52" spans="1:124" x14ac:dyDescent="0.25">
      <c r="A52" s="22"/>
      <c r="B52" s="22"/>
      <c r="C52" s="23"/>
      <c r="D52" s="23"/>
      <c r="E52" s="23"/>
      <c r="F52" s="23"/>
      <c r="G52" s="23"/>
      <c r="H52" s="23"/>
      <c r="I52" s="23"/>
      <c r="J52" s="15"/>
      <c r="K52" s="15"/>
      <c r="L52" s="15"/>
      <c r="M52" s="15"/>
      <c r="N52" s="27">
        <f>0.5*S52+Q52</f>
        <v>0</v>
      </c>
      <c r="O52" s="27">
        <f>S52</f>
        <v>0</v>
      </c>
      <c r="Q52" s="24">
        <f>Q18</f>
        <v>0</v>
      </c>
      <c r="R52" s="24">
        <f>R18</f>
        <v>0</v>
      </c>
      <c r="S52" s="24">
        <f>S18</f>
        <v>0</v>
      </c>
      <c r="U52" s="25"/>
      <c r="DO52" s="17"/>
      <c r="DP52" s="17"/>
      <c r="DQ52" s="17"/>
      <c r="DR52" s="17"/>
      <c r="DS52" s="17"/>
      <c r="DT52" s="17"/>
    </row>
    <row r="53" spans="1:124" x14ac:dyDescent="0.25">
      <c r="A53" s="22"/>
      <c r="B53" s="22"/>
      <c r="C53" s="23"/>
      <c r="D53" s="23"/>
      <c r="E53" s="23"/>
      <c r="F53" s="23"/>
      <c r="G53" s="23"/>
      <c r="H53" s="23"/>
      <c r="I53" s="23"/>
      <c r="J53" s="15"/>
      <c r="K53" s="15"/>
      <c r="L53" s="15"/>
      <c r="M53" s="15"/>
      <c r="N53" s="19"/>
      <c r="O53" s="19"/>
      <c r="P53" s="19"/>
      <c r="R53" s="30" t="s">
        <v>108</v>
      </c>
      <c r="S53" s="19"/>
      <c r="U53" s="25"/>
      <c r="V53" s="25"/>
      <c r="W53" s="25"/>
      <c r="X53" s="25"/>
      <c r="Y53" s="25"/>
      <c r="Z53" s="25"/>
      <c r="AA53" s="25"/>
      <c r="DO53" s="17"/>
      <c r="DP53" s="17"/>
      <c r="DQ53" s="17"/>
      <c r="DR53" s="17"/>
      <c r="DS53" s="17"/>
      <c r="DT53" s="17"/>
    </row>
    <row r="54" spans="1:124" x14ac:dyDescent="0.25">
      <c r="A54" s="22"/>
      <c r="B54" s="22"/>
      <c r="C54" s="23"/>
      <c r="D54" s="23"/>
      <c r="E54" s="23"/>
      <c r="F54" s="23"/>
      <c r="G54" s="23"/>
      <c r="H54" s="23"/>
      <c r="I54" s="23"/>
      <c r="J54" s="15"/>
      <c r="K54" s="15"/>
      <c r="L54" s="15"/>
      <c r="M54" s="15"/>
      <c r="N54" s="27">
        <f>0.5*S54+Q54</f>
        <v>0</v>
      </c>
      <c r="O54" s="27">
        <f>S54</f>
        <v>0</v>
      </c>
      <c r="Q54" s="24">
        <f>Q8</f>
        <v>0</v>
      </c>
      <c r="R54" s="24">
        <f>R8</f>
        <v>0</v>
      </c>
      <c r="S54" s="24">
        <f>S8</f>
        <v>0</v>
      </c>
      <c r="U54" s="25"/>
      <c r="V54" s="25"/>
      <c r="W54" s="25"/>
      <c r="X54" s="25"/>
      <c r="Y54" s="25"/>
      <c r="Z54" s="25"/>
      <c r="AA54" s="25"/>
      <c r="DO54" s="17"/>
      <c r="DP54" s="17"/>
      <c r="DQ54" s="17"/>
      <c r="DR54" s="17"/>
      <c r="DS54" s="17"/>
      <c r="DT54" s="17"/>
    </row>
    <row r="55" spans="1:124" x14ac:dyDescent="0.25">
      <c r="A55" s="22"/>
      <c r="B55" s="22"/>
      <c r="C55" s="23"/>
      <c r="D55" s="23"/>
      <c r="E55" s="23"/>
      <c r="F55" s="23"/>
      <c r="G55" s="23"/>
      <c r="H55" s="23"/>
      <c r="I55" s="23"/>
      <c r="J55" s="15"/>
      <c r="K55" s="15"/>
      <c r="L55" s="15"/>
      <c r="M55" s="15"/>
      <c r="N55" s="27">
        <f>0.5*S55+Q55</f>
        <v>0</v>
      </c>
      <c r="O55" s="27">
        <f>S55</f>
        <v>0</v>
      </c>
      <c r="Q55" s="24">
        <f>Q19</f>
        <v>0</v>
      </c>
      <c r="R55" s="24">
        <f>R19</f>
        <v>0</v>
      </c>
      <c r="S55" s="24">
        <f>S19</f>
        <v>0</v>
      </c>
      <c r="U55" s="25"/>
      <c r="V55" s="25"/>
      <c r="W55" s="25"/>
      <c r="X55" s="25"/>
      <c r="Y55" s="25"/>
      <c r="Z55" s="25"/>
      <c r="AA55" s="25"/>
      <c r="DO55" s="17"/>
      <c r="DP55" s="17"/>
      <c r="DQ55" s="17"/>
      <c r="DR55" s="17"/>
      <c r="DS55" s="17"/>
      <c r="DT55" s="17"/>
    </row>
    <row r="56" spans="1:124" x14ac:dyDescent="0.25">
      <c r="A56" s="22"/>
      <c r="B56" s="22"/>
      <c r="C56" s="23"/>
      <c r="D56" s="23"/>
      <c r="E56" s="23"/>
      <c r="F56" s="23"/>
      <c r="G56" s="23"/>
      <c r="H56" s="23"/>
      <c r="I56" s="23"/>
      <c r="J56" s="15"/>
      <c r="K56" s="15"/>
      <c r="L56" s="15"/>
      <c r="M56" s="15"/>
      <c r="N56" s="19"/>
      <c r="O56" s="19"/>
      <c r="P56" s="19"/>
      <c r="R56" s="30" t="s">
        <v>109</v>
      </c>
      <c r="S56" s="19"/>
      <c r="U56" s="25"/>
      <c r="V56" s="25"/>
      <c r="W56" s="25"/>
      <c r="X56" s="25"/>
      <c r="Y56" s="25"/>
      <c r="Z56" s="25"/>
      <c r="AA56" s="25"/>
      <c r="DO56" s="17"/>
      <c r="DP56" s="17"/>
      <c r="DQ56" s="17"/>
      <c r="DR56" s="17"/>
      <c r="DS56" s="17"/>
      <c r="DT56" s="17"/>
    </row>
    <row r="57" spans="1:124" x14ac:dyDescent="0.25">
      <c r="A57" s="22"/>
      <c r="B57" s="22"/>
      <c r="C57" s="23"/>
      <c r="D57" s="23"/>
      <c r="E57" s="23"/>
      <c r="F57" s="23"/>
      <c r="G57" s="23"/>
      <c r="H57" s="23"/>
      <c r="I57" s="23"/>
      <c r="J57" s="15"/>
      <c r="K57" s="15"/>
      <c r="L57" s="15"/>
      <c r="M57" s="15"/>
      <c r="N57" s="27">
        <f>0.5*S57+Q57</f>
        <v>0</v>
      </c>
      <c r="O57" s="27">
        <f>S57</f>
        <v>0</v>
      </c>
      <c r="Q57" s="24">
        <f>Q9</f>
        <v>0</v>
      </c>
      <c r="R57" s="24">
        <f>R9</f>
        <v>0</v>
      </c>
      <c r="S57" s="24">
        <f>S9</f>
        <v>0</v>
      </c>
      <c r="U57" s="25"/>
      <c r="V57" s="25"/>
      <c r="W57" s="25"/>
      <c r="X57" s="25"/>
      <c r="Y57" s="25"/>
      <c r="Z57" s="25"/>
      <c r="AA57" s="25"/>
      <c r="DO57" s="17"/>
      <c r="DP57" s="17"/>
      <c r="DQ57" s="17"/>
      <c r="DR57" s="17"/>
      <c r="DS57" s="17"/>
      <c r="DT57" s="17"/>
    </row>
    <row r="58" spans="1:124" x14ac:dyDescent="0.25">
      <c r="A58" s="22"/>
      <c r="B58" s="22"/>
      <c r="C58" s="23"/>
      <c r="D58" s="23"/>
      <c r="E58" s="23"/>
      <c r="F58" s="23"/>
      <c r="G58" s="23"/>
      <c r="H58" s="23"/>
      <c r="I58" s="23"/>
      <c r="J58" s="15"/>
      <c r="K58" s="15"/>
      <c r="L58" s="15"/>
      <c r="M58" s="15"/>
      <c r="N58" s="27">
        <f>0.5*S58+Q58</f>
        <v>0</v>
      </c>
      <c r="O58" s="27">
        <f>S58</f>
        <v>0</v>
      </c>
      <c r="Q58" s="24">
        <f>Q20</f>
        <v>0</v>
      </c>
      <c r="R58" s="24">
        <f>R20</f>
        <v>0</v>
      </c>
      <c r="S58" s="24">
        <f>S20</f>
        <v>0</v>
      </c>
      <c r="U58" s="25"/>
      <c r="V58" s="25"/>
      <c r="W58" s="25"/>
      <c r="X58" s="25"/>
      <c r="Y58" s="25"/>
      <c r="Z58" s="25"/>
      <c r="AA58" s="25"/>
      <c r="AB58" s="25"/>
      <c r="AC58" s="25"/>
      <c r="AD58" s="25"/>
      <c r="DO58" s="17"/>
      <c r="DP58" s="17"/>
      <c r="DQ58" s="17"/>
      <c r="DR58" s="17"/>
      <c r="DS58" s="17"/>
      <c r="DT58" s="17"/>
    </row>
    <row r="59" spans="1:124" x14ac:dyDescent="0.25">
      <c r="A59" s="22"/>
      <c r="B59" s="22"/>
      <c r="C59" s="23"/>
      <c r="D59" s="23"/>
      <c r="E59" s="23"/>
      <c r="F59" s="23"/>
      <c r="G59" s="23"/>
      <c r="H59" s="23"/>
      <c r="I59" s="23"/>
      <c r="J59" s="15"/>
      <c r="K59" s="15"/>
      <c r="L59" s="15"/>
      <c r="M59" s="15"/>
      <c r="N59" s="19"/>
      <c r="O59" s="19"/>
      <c r="P59" s="19"/>
      <c r="R59" s="30" t="s">
        <v>110</v>
      </c>
      <c r="S59" s="19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DO59" s="17"/>
      <c r="DP59" s="17"/>
      <c r="DQ59" s="17"/>
      <c r="DR59" s="17"/>
      <c r="DS59" s="17"/>
      <c r="DT59" s="17"/>
    </row>
    <row r="60" spans="1:124" x14ac:dyDescent="0.25">
      <c r="A60" s="22"/>
      <c r="B60" s="22"/>
      <c r="C60" s="23"/>
      <c r="D60" s="23"/>
      <c r="E60" s="23"/>
      <c r="F60" s="23"/>
      <c r="G60" s="23"/>
      <c r="H60" s="23"/>
      <c r="I60" s="23"/>
      <c r="J60" s="15"/>
      <c r="K60" s="15"/>
      <c r="L60" s="15"/>
      <c r="M60" s="15"/>
      <c r="N60" s="27">
        <f>0.5*S60+Q60</f>
        <v>0</v>
      </c>
      <c r="O60" s="27">
        <f>S60</f>
        <v>0</v>
      </c>
      <c r="Q60" s="24">
        <f>Q10</f>
        <v>0</v>
      </c>
      <c r="R60" s="24">
        <f>R10</f>
        <v>0</v>
      </c>
      <c r="S60" s="24">
        <f>S10</f>
        <v>0</v>
      </c>
      <c r="U60" s="25"/>
      <c r="V60" s="25"/>
      <c r="W60" s="25"/>
      <c r="X60" s="25"/>
      <c r="Y60" s="25"/>
      <c r="Z60" s="25"/>
      <c r="AA60" s="25"/>
      <c r="AB60" s="25"/>
      <c r="AC60" s="25"/>
      <c r="AD60" s="25"/>
      <c r="DO60" s="17"/>
      <c r="DP60" s="17"/>
      <c r="DQ60" s="17"/>
      <c r="DR60" s="17"/>
      <c r="DS60" s="17"/>
      <c r="DT60" s="17"/>
    </row>
    <row r="61" spans="1:124" x14ac:dyDescent="0.25">
      <c r="A61" s="22"/>
      <c r="B61" s="22"/>
      <c r="C61" s="23"/>
      <c r="J61" s="27"/>
      <c r="K61" s="27"/>
      <c r="L61" s="27"/>
      <c r="M61" s="27"/>
      <c r="N61" s="27">
        <f>0.5*S61+Q61</f>
        <v>0</v>
      </c>
      <c r="O61" s="27">
        <f>S61</f>
        <v>0</v>
      </c>
      <c r="Q61" s="24">
        <f>Q21</f>
        <v>0</v>
      </c>
      <c r="R61" s="24">
        <f>R21</f>
        <v>0</v>
      </c>
      <c r="S61" s="24">
        <f>S21</f>
        <v>0</v>
      </c>
      <c r="U61" s="25"/>
      <c r="V61" s="25"/>
      <c r="W61" s="25"/>
      <c r="X61" s="25"/>
    </row>
    <row r="62" spans="1:124" x14ac:dyDescent="0.25">
      <c r="A62" s="22"/>
      <c r="B62" s="22"/>
      <c r="C62" s="23"/>
      <c r="J62" s="27"/>
      <c r="K62" s="27"/>
      <c r="L62" s="27"/>
      <c r="M62" s="27"/>
      <c r="N62" s="19"/>
      <c r="O62" s="19"/>
      <c r="P62" s="19"/>
      <c r="R62" s="30" t="s">
        <v>111</v>
      </c>
      <c r="S62" s="19"/>
      <c r="U62" s="25"/>
      <c r="V62" s="25"/>
      <c r="W62" s="25"/>
      <c r="X62" s="25"/>
    </row>
    <row r="63" spans="1:124" x14ac:dyDescent="0.25">
      <c r="A63" s="22"/>
      <c r="B63" s="22"/>
      <c r="C63" s="23"/>
      <c r="J63" s="27"/>
      <c r="K63" s="27"/>
      <c r="L63" s="27"/>
      <c r="M63" s="27"/>
      <c r="N63" s="27">
        <f>0.5*S63+Q63</f>
        <v>0</v>
      </c>
      <c r="O63" s="27">
        <f>S63</f>
        <v>0</v>
      </c>
      <c r="Q63" s="24">
        <f>Q11</f>
        <v>0</v>
      </c>
      <c r="R63" s="24">
        <f>R11</f>
        <v>0</v>
      </c>
      <c r="S63" s="24">
        <f>S11</f>
        <v>0</v>
      </c>
      <c r="U63" s="25"/>
      <c r="V63" s="25"/>
      <c r="W63" s="25"/>
      <c r="X63" s="25"/>
    </row>
    <row r="64" spans="1:124" x14ac:dyDescent="0.25">
      <c r="A64" s="22"/>
      <c r="B64" s="22"/>
      <c r="C64" s="23"/>
      <c r="J64" s="27"/>
      <c r="K64" s="27"/>
      <c r="L64" s="27"/>
      <c r="M64" s="27"/>
      <c r="N64" s="27">
        <f>0.5*S64+Q64</f>
        <v>0</v>
      </c>
      <c r="O64" s="27">
        <f>S64</f>
        <v>0</v>
      </c>
      <c r="Q64" s="24">
        <f>Q22</f>
        <v>0</v>
      </c>
      <c r="R64" s="24">
        <f>R22</f>
        <v>0</v>
      </c>
      <c r="S64" s="24">
        <f>S22</f>
        <v>0</v>
      </c>
      <c r="U64" s="25"/>
      <c r="V64" s="25"/>
      <c r="W64" s="25"/>
      <c r="X64" s="25"/>
    </row>
    <row r="65" spans="1:24" x14ac:dyDescent="0.25">
      <c r="C65" s="23"/>
      <c r="J65" s="27"/>
      <c r="K65" s="27"/>
      <c r="L65" s="27"/>
      <c r="M65" s="27"/>
      <c r="N65" s="27"/>
      <c r="O65" s="27"/>
      <c r="R65" s="30" t="s">
        <v>112</v>
      </c>
      <c r="S65" s="24"/>
      <c r="U65" s="25"/>
      <c r="V65" s="25"/>
      <c r="W65" s="25"/>
      <c r="X65" s="25"/>
    </row>
    <row r="66" spans="1:24" x14ac:dyDescent="0.25">
      <c r="C66" s="23"/>
      <c r="J66" s="27"/>
      <c r="K66" s="27"/>
      <c r="L66" s="27"/>
      <c r="M66" s="27"/>
      <c r="N66" s="27">
        <f>0.5*S66+Q66</f>
        <v>0</v>
      </c>
      <c r="O66" s="27">
        <f>S66</f>
        <v>0</v>
      </c>
      <c r="Q66" s="24">
        <f>Q12</f>
        <v>0</v>
      </c>
      <c r="R66" s="24">
        <f>R12</f>
        <v>0</v>
      </c>
      <c r="S66" s="24">
        <f>S12</f>
        <v>0</v>
      </c>
      <c r="U66" s="25"/>
      <c r="V66" s="25"/>
      <c r="W66" s="25"/>
      <c r="X66" s="25"/>
    </row>
    <row r="67" spans="1:24" x14ac:dyDescent="0.25">
      <c r="C67" s="23"/>
      <c r="J67" s="27"/>
      <c r="K67" s="27"/>
      <c r="L67" s="27"/>
      <c r="M67" s="27"/>
      <c r="N67" s="27">
        <f>0.5*S67+Q67</f>
        <v>0</v>
      </c>
      <c r="O67" s="27">
        <f>S67</f>
        <v>0</v>
      </c>
      <c r="Q67" s="24">
        <f>Q23</f>
        <v>0</v>
      </c>
      <c r="R67" s="24">
        <f>R23</f>
        <v>0</v>
      </c>
      <c r="S67" s="24">
        <f>S23</f>
        <v>0</v>
      </c>
      <c r="U67" s="25"/>
      <c r="V67" s="25"/>
      <c r="W67" s="25"/>
      <c r="X67" s="25"/>
    </row>
    <row r="68" spans="1:24" x14ac:dyDescent="0.25">
      <c r="C68" s="23"/>
      <c r="J68" s="27"/>
      <c r="K68" s="27"/>
      <c r="L68" s="27"/>
      <c r="M68" s="27"/>
      <c r="T68" s="25"/>
      <c r="U68" s="25"/>
      <c r="V68" s="25"/>
      <c r="W68" s="25"/>
      <c r="X68" s="25"/>
    </row>
    <row r="69" spans="1:24" x14ac:dyDescent="0.25">
      <c r="C69" s="23"/>
      <c r="J69" s="27"/>
      <c r="K69" s="27"/>
      <c r="L69" s="27"/>
      <c r="M69" s="27"/>
      <c r="T69" s="25"/>
      <c r="U69" s="25"/>
      <c r="V69" s="25"/>
      <c r="W69" s="25"/>
      <c r="X69" s="25"/>
    </row>
    <row r="70" spans="1:24" x14ac:dyDescent="0.25">
      <c r="C70" s="23"/>
      <c r="J70" s="27"/>
      <c r="K70" s="27"/>
      <c r="L70" s="27"/>
      <c r="M70" s="27"/>
      <c r="T70" s="25"/>
      <c r="U70" s="25"/>
      <c r="V70" s="25"/>
      <c r="W70" s="25"/>
      <c r="X70" s="25"/>
    </row>
    <row r="71" spans="1:24" x14ac:dyDescent="0.25">
      <c r="C71" s="23"/>
      <c r="J71" s="27"/>
      <c r="K71" s="27"/>
      <c r="L71" s="27"/>
      <c r="M71" s="27"/>
      <c r="T71" s="25"/>
      <c r="U71" s="25"/>
      <c r="V71" s="25"/>
      <c r="W71" s="25"/>
      <c r="X71" s="25"/>
    </row>
    <row r="72" spans="1:24" x14ac:dyDescent="0.25">
      <c r="C72" s="23"/>
      <c r="J72" s="27"/>
      <c r="K72" s="27"/>
      <c r="L72" s="27"/>
      <c r="M72" s="27"/>
      <c r="T72" s="25"/>
      <c r="U72" s="25"/>
      <c r="V72" s="25"/>
      <c r="W72" s="25"/>
      <c r="X72" s="25"/>
    </row>
    <row r="73" spans="1:24" x14ac:dyDescent="0.25">
      <c r="C73" s="23"/>
      <c r="J73" s="27"/>
      <c r="K73" s="27"/>
      <c r="L73" s="27"/>
      <c r="M73" s="27"/>
      <c r="T73" s="25"/>
      <c r="U73" s="25"/>
      <c r="V73" s="25"/>
      <c r="W73" s="25"/>
      <c r="X73" s="25"/>
    </row>
    <row r="74" spans="1:24" x14ac:dyDescent="0.25">
      <c r="C74" s="23"/>
      <c r="J74" s="27"/>
      <c r="K74" s="27"/>
      <c r="L74" s="27"/>
      <c r="M74" s="27"/>
      <c r="T74" s="25"/>
      <c r="U74" s="25"/>
      <c r="V74" s="25"/>
      <c r="W74" s="25"/>
      <c r="X74" s="25"/>
    </row>
    <row r="75" spans="1:24" x14ac:dyDescent="0.25">
      <c r="C75" s="23"/>
      <c r="J75" s="27"/>
      <c r="K75" s="27"/>
      <c r="L75" s="27"/>
      <c r="M75" s="27"/>
      <c r="T75" s="25"/>
      <c r="U75" s="25"/>
      <c r="V75" s="25"/>
      <c r="W75" s="25"/>
      <c r="X75" s="25"/>
    </row>
    <row r="76" spans="1:24" x14ac:dyDescent="0.25">
      <c r="A76" s="22"/>
      <c r="B76" s="22"/>
      <c r="C76" s="23"/>
      <c r="J76" s="27"/>
      <c r="K76" s="27"/>
      <c r="L76" s="27"/>
      <c r="M76" s="27"/>
      <c r="T76" s="25"/>
      <c r="U76" s="25"/>
      <c r="V76" s="25"/>
      <c r="W76" s="25"/>
      <c r="X76" s="25"/>
    </row>
    <row r="77" spans="1:24" x14ac:dyDescent="0.25">
      <c r="A77" s="31" t="s">
        <v>97</v>
      </c>
      <c r="B77" s="31" t="s">
        <v>98</v>
      </c>
      <c r="C77" s="32" t="s">
        <v>99</v>
      </c>
      <c r="D77" s="31" t="s">
        <v>84</v>
      </c>
      <c r="E77" s="31" t="s">
        <v>85</v>
      </c>
      <c r="F77" s="31" t="s">
        <v>85</v>
      </c>
      <c r="J77" s="27"/>
      <c r="K77" s="27"/>
      <c r="L77" s="27"/>
      <c r="M77" s="27"/>
      <c r="T77" s="25"/>
      <c r="U77" s="25"/>
      <c r="V77" s="25"/>
      <c r="W77" s="25"/>
      <c r="X77" s="25"/>
    </row>
    <row r="78" spans="1:24" x14ac:dyDescent="0.25">
      <c r="A78" s="33">
        <f t="shared" ref="A78:A100" si="15">100-B78-C78</f>
        <v>100</v>
      </c>
      <c r="B78" s="33">
        <v>0</v>
      </c>
      <c r="C78" s="34">
        <v>0</v>
      </c>
      <c r="D78" s="33">
        <f>0.5*A78+B78</f>
        <v>50</v>
      </c>
      <c r="E78" s="33"/>
      <c r="F78" s="33">
        <f>A78</f>
        <v>100</v>
      </c>
      <c r="J78" s="27"/>
      <c r="K78" s="27"/>
      <c r="L78" s="27"/>
      <c r="M78" s="27"/>
      <c r="T78" s="25"/>
      <c r="U78" s="25"/>
      <c r="V78" s="25"/>
      <c r="W78" s="25"/>
      <c r="X78" s="25"/>
    </row>
    <row r="79" spans="1:24" x14ac:dyDescent="0.25">
      <c r="A79" s="33">
        <f t="shared" si="15"/>
        <v>90</v>
      </c>
      <c r="B79" s="33">
        <v>10</v>
      </c>
      <c r="C79" s="34">
        <v>0</v>
      </c>
      <c r="D79" s="33">
        <f t="shared" ref="D79:D100" si="16">0.5*A79+B79</f>
        <v>55</v>
      </c>
      <c r="E79" s="33"/>
      <c r="F79" s="33">
        <f t="shared" ref="F79:F88" si="17">A79</f>
        <v>90</v>
      </c>
      <c r="J79" s="27"/>
      <c r="K79" s="27"/>
      <c r="L79" s="27"/>
      <c r="M79" s="27"/>
      <c r="T79" s="25"/>
      <c r="U79" s="25"/>
      <c r="V79" s="25"/>
      <c r="W79" s="25"/>
      <c r="X79" s="25"/>
    </row>
    <row r="80" spans="1:24" x14ac:dyDescent="0.25">
      <c r="A80" s="33">
        <f t="shared" si="15"/>
        <v>80</v>
      </c>
      <c r="B80" s="33">
        <v>20</v>
      </c>
      <c r="C80" s="34">
        <v>0</v>
      </c>
      <c r="D80" s="33">
        <f t="shared" si="16"/>
        <v>60</v>
      </c>
      <c r="E80" s="33"/>
      <c r="F80" s="33">
        <f t="shared" si="17"/>
        <v>80</v>
      </c>
      <c r="J80" s="27"/>
      <c r="K80" s="27"/>
      <c r="L80" s="27"/>
      <c r="M80" s="27"/>
      <c r="T80" s="25"/>
      <c r="U80" s="25"/>
      <c r="V80" s="25"/>
      <c r="W80" s="25"/>
      <c r="X80" s="25"/>
    </row>
    <row r="81" spans="1:24" x14ac:dyDescent="0.25">
      <c r="A81" s="33">
        <f t="shared" si="15"/>
        <v>70</v>
      </c>
      <c r="B81" s="33">
        <v>30</v>
      </c>
      <c r="C81" s="34">
        <v>0</v>
      </c>
      <c r="D81" s="33">
        <f t="shared" si="16"/>
        <v>65</v>
      </c>
      <c r="E81" s="33"/>
      <c r="F81" s="33">
        <f t="shared" si="17"/>
        <v>70</v>
      </c>
      <c r="J81" s="27"/>
      <c r="K81" s="27"/>
      <c r="L81" s="27"/>
      <c r="M81" s="27"/>
      <c r="T81" s="25"/>
      <c r="U81" s="25"/>
      <c r="V81" s="25"/>
      <c r="W81" s="25"/>
      <c r="X81" s="25"/>
    </row>
    <row r="82" spans="1:24" x14ac:dyDescent="0.25">
      <c r="A82" s="33">
        <f t="shared" si="15"/>
        <v>60</v>
      </c>
      <c r="B82" s="33">
        <v>40</v>
      </c>
      <c r="C82" s="34">
        <v>0</v>
      </c>
      <c r="D82" s="33">
        <f t="shared" si="16"/>
        <v>70</v>
      </c>
      <c r="E82" s="33"/>
      <c r="F82" s="33">
        <f t="shared" si="17"/>
        <v>60</v>
      </c>
      <c r="J82" s="27"/>
      <c r="K82" s="27"/>
      <c r="L82" s="27"/>
      <c r="M82" s="27"/>
      <c r="T82" s="25"/>
      <c r="U82" s="25"/>
      <c r="V82" s="25"/>
      <c r="W82" s="25"/>
      <c r="X82" s="25"/>
    </row>
    <row r="83" spans="1:24" x14ac:dyDescent="0.25">
      <c r="A83" s="33">
        <f t="shared" si="15"/>
        <v>50</v>
      </c>
      <c r="B83" s="33">
        <v>50</v>
      </c>
      <c r="C83" s="34">
        <v>0</v>
      </c>
      <c r="D83" s="33">
        <f t="shared" si="16"/>
        <v>75</v>
      </c>
      <c r="E83" s="33"/>
      <c r="F83" s="33">
        <f t="shared" si="17"/>
        <v>50</v>
      </c>
      <c r="J83" s="27"/>
      <c r="K83" s="27"/>
      <c r="L83" s="27"/>
      <c r="M83" s="27"/>
      <c r="T83" s="25"/>
      <c r="U83" s="25"/>
      <c r="V83" s="25"/>
      <c r="W83" s="25"/>
      <c r="X83" s="25"/>
    </row>
    <row r="84" spans="1:24" x14ac:dyDescent="0.25">
      <c r="A84" s="33">
        <f t="shared" si="15"/>
        <v>40</v>
      </c>
      <c r="B84" s="33">
        <v>60</v>
      </c>
      <c r="C84" s="34">
        <v>0</v>
      </c>
      <c r="D84" s="33">
        <f t="shared" si="16"/>
        <v>80</v>
      </c>
      <c r="E84" s="33"/>
      <c r="F84" s="33">
        <f t="shared" si="17"/>
        <v>40</v>
      </c>
      <c r="J84" s="27"/>
      <c r="K84" s="27"/>
      <c r="L84" s="27"/>
      <c r="M84" s="27"/>
      <c r="N84" s="27"/>
      <c r="O84" s="35"/>
      <c r="P84" s="27"/>
      <c r="Q84" s="27"/>
      <c r="R84" s="25"/>
      <c r="S84" s="25"/>
      <c r="T84" s="25"/>
      <c r="U84" s="25"/>
      <c r="V84" s="25"/>
      <c r="W84" s="25"/>
      <c r="X84" s="25"/>
    </row>
    <row r="85" spans="1:24" x14ac:dyDescent="0.25">
      <c r="A85" s="33">
        <f t="shared" si="15"/>
        <v>30</v>
      </c>
      <c r="B85" s="33">
        <v>70</v>
      </c>
      <c r="C85" s="34">
        <v>0</v>
      </c>
      <c r="D85" s="33">
        <f t="shared" si="16"/>
        <v>85</v>
      </c>
      <c r="E85" s="33"/>
      <c r="F85" s="33">
        <f t="shared" si="17"/>
        <v>30</v>
      </c>
      <c r="J85" s="27"/>
      <c r="K85" s="27"/>
      <c r="L85" s="27"/>
      <c r="M85" s="27"/>
      <c r="N85" s="27"/>
      <c r="O85" s="35"/>
      <c r="P85" s="27"/>
      <c r="Q85" s="27"/>
      <c r="R85" s="25"/>
      <c r="S85" s="25"/>
      <c r="T85" s="25"/>
      <c r="U85" s="25"/>
      <c r="V85" s="25"/>
      <c r="W85" s="25"/>
      <c r="X85" s="25"/>
    </row>
    <row r="86" spans="1:24" x14ac:dyDescent="0.25">
      <c r="A86" s="33">
        <f t="shared" si="15"/>
        <v>20</v>
      </c>
      <c r="B86" s="33">
        <v>80</v>
      </c>
      <c r="C86" s="34">
        <v>0</v>
      </c>
      <c r="D86" s="33">
        <f t="shared" si="16"/>
        <v>90</v>
      </c>
      <c r="E86" s="33"/>
      <c r="F86" s="33">
        <f t="shared" si="17"/>
        <v>20</v>
      </c>
      <c r="J86" s="27"/>
      <c r="K86" s="27"/>
      <c r="L86" s="27"/>
      <c r="M86" s="27"/>
      <c r="N86" s="27"/>
      <c r="O86" s="35"/>
      <c r="P86" s="27"/>
      <c r="Q86" s="27"/>
      <c r="R86" s="25"/>
      <c r="S86" s="25"/>
      <c r="T86" s="25"/>
      <c r="U86" s="25"/>
      <c r="V86" s="25"/>
      <c r="W86" s="25"/>
      <c r="X86" s="25"/>
    </row>
    <row r="87" spans="1:24" x14ac:dyDescent="0.25">
      <c r="A87" s="33">
        <f t="shared" si="15"/>
        <v>10</v>
      </c>
      <c r="B87" s="33">
        <v>90</v>
      </c>
      <c r="C87" s="34">
        <v>0</v>
      </c>
      <c r="D87" s="33">
        <f t="shared" si="16"/>
        <v>95</v>
      </c>
      <c r="E87" s="33"/>
      <c r="F87" s="33">
        <f t="shared" si="17"/>
        <v>10</v>
      </c>
      <c r="J87" s="27"/>
      <c r="K87" s="27"/>
      <c r="L87" s="27"/>
      <c r="M87" s="27"/>
      <c r="N87" s="27"/>
      <c r="O87" s="35"/>
      <c r="P87" s="27"/>
      <c r="Q87" s="27"/>
      <c r="R87" s="25"/>
      <c r="S87" s="25"/>
      <c r="T87" s="25"/>
      <c r="U87" s="25"/>
      <c r="V87" s="25"/>
      <c r="W87" s="25"/>
      <c r="X87" s="25"/>
    </row>
    <row r="88" spans="1:24" x14ac:dyDescent="0.25">
      <c r="A88" s="33">
        <f t="shared" si="15"/>
        <v>0</v>
      </c>
      <c r="B88" s="33">
        <v>100</v>
      </c>
      <c r="C88" s="34">
        <v>0</v>
      </c>
      <c r="D88" s="33">
        <f t="shared" si="16"/>
        <v>100</v>
      </c>
      <c r="E88" s="33"/>
      <c r="F88" s="33">
        <f t="shared" si="17"/>
        <v>0</v>
      </c>
      <c r="J88" s="27"/>
      <c r="K88" s="27"/>
      <c r="L88" s="27"/>
      <c r="M88" s="27"/>
      <c r="N88" s="27"/>
      <c r="O88" s="35"/>
      <c r="P88" s="27"/>
      <c r="Q88" s="27"/>
      <c r="R88" s="25"/>
      <c r="S88" s="25"/>
      <c r="T88" s="25"/>
      <c r="U88" s="25"/>
      <c r="V88" s="25"/>
      <c r="W88" s="25"/>
      <c r="X88" s="25"/>
    </row>
    <row r="89" spans="1:24" x14ac:dyDescent="0.25">
      <c r="A89" s="33"/>
      <c r="B89" s="33"/>
      <c r="C89" s="34"/>
      <c r="D89" s="33"/>
      <c r="E89" s="33"/>
      <c r="F89" s="33"/>
      <c r="J89" s="27"/>
      <c r="K89" s="27"/>
      <c r="L89" s="27"/>
      <c r="M89" s="27"/>
      <c r="N89" s="27"/>
      <c r="O89" s="35"/>
      <c r="P89" s="27"/>
      <c r="Q89" s="27"/>
      <c r="R89" s="25"/>
      <c r="S89" s="25"/>
      <c r="T89" s="25"/>
      <c r="U89" s="25"/>
      <c r="V89" s="25"/>
      <c r="W89" s="25"/>
      <c r="X89" s="25"/>
    </row>
    <row r="90" spans="1:24" x14ac:dyDescent="0.25">
      <c r="A90" s="33">
        <f t="shared" si="15"/>
        <v>100</v>
      </c>
      <c r="B90" s="33">
        <v>0</v>
      </c>
      <c r="C90" s="34">
        <v>0</v>
      </c>
      <c r="D90" s="33">
        <f t="shared" si="16"/>
        <v>50</v>
      </c>
      <c r="E90" s="33">
        <f>A90</f>
        <v>100</v>
      </c>
      <c r="F90" s="33">
        <f>100-E90</f>
        <v>0</v>
      </c>
      <c r="G90" s="22"/>
      <c r="J90" s="27"/>
      <c r="K90" s="27"/>
      <c r="L90" s="27"/>
      <c r="M90" s="27"/>
      <c r="N90" s="27"/>
      <c r="O90" s="35"/>
      <c r="P90" s="27"/>
      <c r="Q90" s="27"/>
      <c r="R90" s="25"/>
      <c r="S90" s="25"/>
      <c r="T90" s="25"/>
      <c r="U90" s="25"/>
      <c r="V90" s="25"/>
      <c r="W90" s="25"/>
      <c r="X90" s="25"/>
    </row>
    <row r="91" spans="1:24" x14ac:dyDescent="0.25">
      <c r="A91" s="33">
        <f t="shared" si="15"/>
        <v>90</v>
      </c>
      <c r="B91" s="33">
        <v>0</v>
      </c>
      <c r="C91" s="34">
        <v>10</v>
      </c>
      <c r="D91" s="33">
        <f t="shared" si="16"/>
        <v>45</v>
      </c>
      <c r="E91" s="33">
        <f t="shared" ref="E91:E100" si="18">A91</f>
        <v>90</v>
      </c>
      <c r="F91" s="33">
        <f t="shared" ref="F91:F100" si="19">100-E91</f>
        <v>10</v>
      </c>
      <c r="G91" s="22"/>
      <c r="J91" s="27"/>
      <c r="K91" s="27"/>
      <c r="L91" s="27"/>
      <c r="M91" s="27"/>
      <c r="N91" s="27"/>
      <c r="O91" s="35"/>
      <c r="P91" s="27"/>
      <c r="Q91" s="27"/>
      <c r="R91" s="25"/>
      <c r="S91" s="25"/>
      <c r="T91" s="25"/>
      <c r="U91" s="25"/>
      <c r="V91" s="25"/>
      <c r="W91" s="25"/>
      <c r="X91" s="25"/>
    </row>
    <row r="92" spans="1:24" x14ac:dyDescent="0.25">
      <c r="A92" s="33">
        <f t="shared" si="15"/>
        <v>80</v>
      </c>
      <c r="B92" s="33">
        <v>0</v>
      </c>
      <c r="C92" s="34">
        <v>20</v>
      </c>
      <c r="D92" s="33">
        <f t="shared" si="16"/>
        <v>40</v>
      </c>
      <c r="E92" s="33">
        <f t="shared" si="18"/>
        <v>80</v>
      </c>
      <c r="F92" s="33">
        <f t="shared" si="19"/>
        <v>20</v>
      </c>
      <c r="G92" s="22"/>
      <c r="J92" s="27"/>
      <c r="K92" s="27"/>
      <c r="L92" s="27"/>
      <c r="M92" s="27"/>
      <c r="N92" s="27"/>
      <c r="O92" s="35"/>
      <c r="P92" s="27"/>
      <c r="Q92" s="27"/>
      <c r="R92" s="25"/>
      <c r="S92" s="25"/>
      <c r="T92" s="25"/>
      <c r="U92" s="25"/>
      <c r="V92" s="25"/>
      <c r="W92" s="25"/>
      <c r="X92" s="25"/>
    </row>
    <row r="93" spans="1:24" x14ac:dyDescent="0.25">
      <c r="A93" s="33">
        <f t="shared" si="15"/>
        <v>70</v>
      </c>
      <c r="B93" s="33">
        <v>0</v>
      </c>
      <c r="C93" s="34">
        <v>30</v>
      </c>
      <c r="D93" s="33">
        <f t="shared" si="16"/>
        <v>35</v>
      </c>
      <c r="E93" s="33">
        <f t="shared" si="18"/>
        <v>70</v>
      </c>
      <c r="F93" s="33">
        <f t="shared" si="19"/>
        <v>30</v>
      </c>
      <c r="G93" s="22"/>
      <c r="J93" s="27"/>
      <c r="K93" s="27"/>
      <c r="L93" s="27"/>
      <c r="M93" s="27"/>
      <c r="N93" s="27"/>
      <c r="O93" s="35"/>
      <c r="P93" s="27"/>
      <c r="Q93" s="27"/>
      <c r="R93" s="25"/>
      <c r="S93" s="25"/>
      <c r="T93" s="25"/>
      <c r="U93" s="25"/>
      <c r="V93" s="25"/>
      <c r="W93" s="25"/>
      <c r="X93" s="25"/>
    </row>
    <row r="94" spans="1:24" x14ac:dyDescent="0.25">
      <c r="A94" s="33">
        <f t="shared" si="15"/>
        <v>60</v>
      </c>
      <c r="B94" s="33">
        <v>0</v>
      </c>
      <c r="C94" s="34">
        <v>40</v>
      </c>
      <c r="D94" s="33">
        <f t="shared" si="16"/>
        <v>30</v>
      </c>
      <c r="E94" s="33">
        <f t="shared" si="18"/>
        <v>60</v>
      </c>
      <c r="F94" s="33">
        <f t="shared" si="19"/>
        <v>40</v>
      </c>
      <c r="G94" s="22"/>
      <c r="J94" s="27"/>
      <c r="K94" s="27"/>
      <c r="L94" s="27"/>
      <c r="M94" s="27"/>
      <c r="N94" s="27"/>
      <c r="O94" s="35"/>
      <c r="P94" s="27"/>
      <c r="Q94" s="27"/>
      <c r="R94" s="25"/>
      <c r="S94" s="25"/>
      <c r="T94" s="25"/>
      <c r="U94" s="25"/>
      <c r="V94" s="25"/>
      <c r="W94" s="25"/>
      <c r="X94" s="25"/>
    </row>
    <row r="95" spans="1:24" x14ac:dyDescent="0.25">
      <c r="A95" s="33">
        <f t="shared" si="15"/>
        <v>50</v>
      </c>
      <c r="B95" s="33">
        <v>0</v>
      </c>
      <c r="C95" s="34">
        <v>50</v>
      </c>
      <c r="D95" s="33">
        <f t="shared" si="16"/>
        <v>25</v>
      </c>
      <c r="E95" s="33">
        <f t="shared" si="18"/>
        <v>50</v>
      </c>
      <c r="F95" s="33">
        <f t="shared" si="19"/>
        <v>50</v>
      </c>
      <c r="G95" s="22"/>
      <c r="J95" s="27"/>
      <c r="K95" s="27"/>
      <c r="L95" s="27"/>
      <c r="M95" s="27"/>
      <c r="N95" s="27"/>
      <c r="O95" s="35"/>
      <c r="P95" s="27"/>
      <c r="Q95" s="27"/>
      <c r="R95" s="25"/>
      <c r="S95" s="25"/>
      <c r="T95" s="25"/>
      <c r="U95" s="25"/>
      <c r="V95" s="25"/>
      <c r="W95" s="25"/>
      <c r="X95" s="25"/>
    </row>
    <row r="96" spans="1:24" x14ac:dyDescent="0.25">
      <c r="A96" s="33">
        <f t="shared" si="15"/>
        <v>40</v>
      </c>
      <c r="B96" s="33">
        <v>0</v>
      </c>
      <c r="C96" s="34">
        <v>60</v>
      </c>
      <c r="D96" s="33">
        <f t="shared" si="16"/>
        <v>20</v>
      </c>
      <c r="E96" s="33">
        <f t="shared" si="18"/>
        <v>40</v>
      </c>
      <c r="F96" s="33">
        <f t="shared" si="19"/>
        <v>60</v>
      </c>
      <c r="G96" s="22"/>
      <c r="J96" s="27"/>
      <c r="K96" s="27"/>
      <c r="L96" s="27"/>
      <c r="M96" s="27"/>
      <c r="N96" s="27"/>
      <c r="O96" s="35"/>
      <c r="P96" s="27"/>
      <c r="Q96" s="27"/>
      <c r="R96" s="25"/>
      <c r="S96" s="25"/>
      <c r="T96" s="25"/>
      <c r="U96" s="25"/>
      <c r="V96" s="25"/>
      <c r="W96" s="25"/>
      <c r="X96" s="25"/>
    </row>
    <row r="97" spans="1:24" x14ac:dyDescent="0.25">
      <c r="A97" s="33">
        <f t="shared" si="15"/>
        <v>30</v>
      </c>
      <c r="B97" s="33">
        <v>0</v>
      </c>
      <c r="C97" s="34">
        <v>70</v>
      </c>
      <c r="D97" s="33">
        <f t="shared" si="16"/>
        <v>15</v>
      </c>
      <c r="E97" s="33">
        <f t="shared" si="18"/>
        <v>30</v>
      </c>
      <c r="F97" s="33">
        <f t="shared" si="19"/>
        <v>70</v>
      </c>
      <c r="G97" s="22"/>
      <c r="J97" s="27"/>
      <c r="K97" s="27"/>
      <c r="L97" s="27"/>
      <c r="M97" s="27"/>
      <c r="N97" s="27"/>
      <c r="O97" s="35"/>
      <c r="P97" s="27"/>
      <c r="Q97" s="27"/>
      <c r="R97" s="25"/>
      <c r="S97" s="25"/>
      <c r="T97" s="25"/>
      <c r="U97" s="25"/>
      <c r="V97" s="25"/>
      <c r="W97" s="25"/>
      <c r="X97" s="25"/>
    </row>
    <row r="98" spans="1:24" x14ac:dyDescent="0.25">
      <c r="A98" s="33">
        <f t="shared" si="15"/>
        <v>20</v>
      </c>
      <c r="B98" s="33">
        <v>0</v>
      </c>
      <c r="C98" s="34">
        <v>80</v>
      </c>
      <c r="D98" s="33">
        <f t="shared" si="16"/>
        <v>10</v>
      </c>
      <c r="E98" s="33">
        <f t="shared" si="18"/>
        <v>20</v>
      </c>
      <c r="F98" s="33">
        <f t="shared" si="19"/>
        <v>80</v>
      </c>
      <c r="G98" s="22"/>
      <c r="J98" s="27"/>
      <c r="K98" s="27"/>
      <c r="L98" s="27"/>
      <c r="M98" s="27"/>
      <c r="N98" s="27"/>
      <c r="O98" s="35"/>
      <c r="P98" s="27"/>
      <c r="Q98" s="27"/>
      <c r="R98" s="25"/>
      <c r="S98" s="25"/>
      <c r="T98" s="25"/>
      <c r="U98" s="25"/>
      <c r="V98" s="25"/>
      <c r="W98" s="25"/>
      <c r="X98" s="25"/>
    </row>
    <row r="99" spans="1:24" x14ac:dyDescent="0.25">
      <c r="A99" s="33">
        <f t="shared" si="15"/>
        <v>10</v>
      </c>
      <c r="B99" s="33">
        <v>0</v>
      </c>
      <c r="C99" s="34">
        <v>90</v>
      </c>
      <c r="D99" s="33">
        <f t="shared" si="16"/>
        <v>5</v>
      </c>
      <c r="E99" s="33">
        <f t="shared" si="18"/>
        <v>10</v>
      </c>
      <c r="F99" s="33">
        <f t="shared" si="19"/>
        <v>90</v>
      </c>
      <c r="G99" s="22"/>
      <c r="J99" s="27"/>
      <c r="K99" s="27"/>
      <c r="L99" s="27"/>
      <c r="M99" s="27"/>
      <c r="N99" s="27"/>
      <c r="O99" s="35"/>
      <c r="P99" s="27"/>
      <c r="Q99" s="27"/>
      <c r="R99" s="25"/>
      <c r="S99" s="25"/>
      <c r="T99" s="25"/>
      <c r="U99" s="25"/>
      <c r="V99" s="25"/>
      <c r="W99" s="25"/>
      <c r="X99" s="25"/>
    </row>
    <row r="100" spans="1:24" x14ac:dyDescent="0.25">
      <c r="A100" s="33">
        <f t="shared" si="15"/>
        <v>0</v>
      </c>
      <c r="B100" s="33">
        <v>0</v>
      </c>
      <c r="C100" s="34">
        <v>100</v>
      </c>
      <c r="D100" s="33">
        <f t="shared" si="16"/>
        <v>0</v>
      </c>
      <c r="E100" s="33">
        <f t="shared" si="18"/>
        <v>0</v>
      </c>
      <c r="F100" s="33">
        <f t="shared" si="19"/>
        <v>100</v>
      </c>
      <c r="G100" s="22"/>
      <c r="J100" s="27"/>
      <c r="K100" s="27"/>
      <c r="L100" s="27"/>
      <c r="M100" s="27"/>
      <c r="N100" s="27"/>
      <c r="O100" s="35"/>
      <c r="P100" s="27"/>
      <c r="Q100" s="27"/>
      <c r="R100" s="25"/>
      <c r="S100" s="25"/>
      <c r="T100" s="25"/>
      <c r="U100" s="25"/>
      <c r="V100" s="25"/>
      <c r="W100" s="25"/>
      <c r="X100" s="25"/>
    </row>
    <row r="101" spans="1:24" x14ac:dyDescent="0.25">
      <c r="A101" s="33"/>
      <c r="B101" s="33"/>
      <c r="C101" s="34"/>
      <c r="D101" s="33"/>
      <c r="E101" s="33"/>
      <c r="F101" s="33"/>
      <c r="J101" s="27"/>
      <c r="K101" s="27"/>
      <c r="L101" s="27"/>
      <c r="M101" s="27"/>
      <c r="N101" s="27"/>
      <c r="O101" s="35"/>
      <c r="P101" s="27"/>
      <c r="Q101" s="27"/>
      <c r="R101" s="25"/>
      <c r="S101" s="25"/>
      <c r="T101" s="25"/>
      <c r="U101" s="25"/>
      <c r="V101" s="25"/>
      <c r="W101" s="25"/>
      <c r="X101" s="25"/>
    </row>
    <row r="102" spans="1:24" x14ac:dyDescent="0.25">
      <c r="A102" s="33">
        <v>90</v>
      </c>
      <c r="B102" s="33">
        <v>10</v>
      </c>
      <c r="C102" s="34">
        <v>0</v>
      </c>
      <c r="D102" s="33">
        <f>0.5*A102+B102</f>
        <v>55</v>
      </c>
      <c r="E102" s="33"/>
      <c r="F102" s="33">
        <f>A102</f>
        <v>90</v>
      </c>
      <c r="J102" s="27"/>
      <c r="K102" s="27"/>
      <c r="L102" s="27"/>
      <c r="M102" s="27"/>
      <c r="N102" s="27"/>
      <c r="O102" s="35"/>
      <c r="P102" s="27"/>
      <c r="Q102" s="27"/>
      <c r="R102" s="25"/>
      <c r="S102" s="25"/>
      <c r="T102" s="25"/>
      <c r="U102" s="25"/>
      <c r="V102" s="25"/>
      <c r="W102" s="25"/>
      <c r="X102" s="25"/>
    </row>
    <row r="103" spans="1:24" x14ac:dyDescent="0.25">
      <c r="A103" s="33">
        <v>90</v>
      </c>
      <c r="B103" s="33">
        <v>0</v>
      </c>
      <c r="C103" s="34">
        <v>10</v>
      </c>
      <c r="D103" s="33">
        <f>0.5*A103+B103</f>
        <v>45</v>
      </c>
      <c r="E103" s="33"/>
      <c r="F103" s="33">
        <f>A103</f>
        <v>90</v>
      </c>
      <c r="J103" s="27"/>
      <c r="K103" s="27"/>
      <c r="L103" s="27"/>
      <c r="M103" s="27"/>
      <c r="N103" s="27"/>
      <c r="O103" s="35"/>
      <c r="P103" s="27"/>
      <c r="Q103" s="27"/>
      <c r="R103" s="25"/>
      <c r="S103" s="25"/>
      <c r="T103" s="25"/>
      <c r="U103" s="25"/>
      <c r="V103" s="25"/>
      <c r="W103" s="25"/>
      <c r="X103" s="25"/>
    </row>
    <row r="104" spans="1:24" x14ac:dyDescent="0.25">
      <c r="A104" s="33"/>
      <c r="B104" s="33"/>
      <c r="C104" s="34"/>
      <c r="D104" s="33"/>
      <c r="E104" s="33"/>
      <c r="F104" s="33"/>
      <c r="J104" s="27"/>
      <c r="K104" s="27"/>
      <c r="L104" s="27"/>
      <c r="M104" s="27"/>
      <c r="N104" s="27"/>
      <c r="O104" s="35"/>
      <c r="P104" s="27"/>
      <c r="Q104" s="27"/>
      <c r="R104" s="25"/>
      <c r="S104" s="25"/>
      <c r="T104" s="25"/>
      <c r="U104" s="25"/>
      <c r="V104" s="25"/>
      <c r="W104" s="25"/>
      <c r="X104" s="25"/>
    </row>
    <row r="105" spans="1:24" x14ac:dyDescent="0.25">
      <c r="A105" s="33">
        <v>80</v>
      </c>
      <c r="B105" s="33">
        <v>20</v>
      </c>
      <c r="C105" s="34">
        <v>0</v>
      </c>
      <c r="D105" s="33">
        <f>0.5*A105+B105</f>
        <v>60</v>
      </c>
      <c r="E105" s="33"/>
      <c r="F105" s="33">
        <f>A105</f>
        <v>80</v>
      </c>
      <c r="J105" s="27"/>
      <c r="K105" s="27"/>
      <c r="L105" s="27"/>
      <c r="M105" s="27"/>
      <c r="N105" s="27"/>
      <c r="O105" s="35"/>
      <c r="P105" s="27"/>
      <c r="Q105" s="27"/>
      <c r="R105" s="25"/>
      <c r="S105" s="25"/>
      <c r="T105" s="25"/>
      <c r="U105" s="25"/>
      <c r="V105" s="25"/>
      <c r="W105" s="25"/>
      <c r="X105" s="25"/>
    </row>
    <row r="106" spans="1:24" x14ac:dyDescent="0.25">
      <c r="A106" s="33">
        <v>80</v>
      </c>
      <c r="B106" s="33">
        <v>0</v>
      </c>
      <c r="C106" s="34">
        <v>20</v>
      </c>
      <c r="D106" s="33">
        <f>0.5*A106+B106</f>
        <v>40</v>
      </c>
      <c r="E106" s="33"/>
      <c r="F106" s="33">
        <f>A106</f>
        <v>80</v>
      </c>
      <c r="J106" s="27"/>
      <c r="K106" s="27"/>
      <c r="L106" s="27"/>
      <c r="M106" s="27"/>
      <c r="N106" s="27"/>
      <c r="O106" s="35"/>
      <c r="P106" s="27"/>
      <c r="Q106" s="27"/>
      <c r="R106" s="25"/>
      <c r="S106" s="25"/>
      <c r="T106" s="25"/>
      <c r="U106" s="25"/>
      <c r="V106" s="25"/>
      <c r="W106" s="25"/>
      <c r="X106" s="25"/>
    </row>
    <row r="107" spans="1:24" x14ac:dyDescent="0.25">
      <c r="A107" s="33"/>
      <c r="B107" s="33"/>
      <c r="C107" s="34"/>
      <c r="D107" s="33"/>
      <c r="E107" s="33"/>
      <c r="F107" s="33"/>
      <c r="J107" s="27"/>
      <c r="K107" s="27"/>
      <c r="L107" s="27"/>
      <c r="M107" s="27"/>
      <c r="N107" s="27"/>
      <c r="O107" s="35"/>
      <c r="P107" s="27"/>
      <c r="Q107" s="27"/>
      <c r="R107" s="25"/>
      <c r="S107" s="25"/>
      <c r="T107" s="25"/>
      <c r="U107" s="25"/>
      <c r="V107" s="25"/>
      <c r="W107" s="25"/>
      <c r="X107" s="25"/>
    </row>
    <row r="108" spans="1:24" x14ac:dyDescent="0.25">
      <c r="A108" s="33">
        <v>70</v>
      </c>
      <c r="B108" s="33">
        <v>30</v>
      </c>
      <c r="C108" s="34">
        <v>0</v>
      </c>
      <c r="D108" s="33">
        <f>0.5*A108+B108</f>
        <v>65</v>
      </c>
      <c r="E108" s="33"/>
      <c r="F108" s="33">
        <f>A108</f>
        <v>70</v>
      </c>
      <c r="J108" s="27"/>
      <c r="K108" s="27"/>
      <c r="L108" s="27"/>
      <c r="M108" s="27"/>
      <c r="N108" s="27"/>
      <c r="O108" s="35"/>
      <c r="P108" s="27"/>
      <c r="Q108" s="27"/>
      <c r="R108" s="25"/>
      <c r="S108" s="25"/>
      <c r="T108" s="25"/>
      <c r="U108" s="25"/>
      <c r="V108" s="25"/>
      <c r="W108" s="25"/>
      <c r="X108" s="25"/>
    </row>
    <row r="109" spans="1:24" x14ac:dyDescent="0.25">
      <c r="A109" s="33">
        <v>70</v>
      </c>
      <c r="B109" s="33">
        <v>0</v>
      </c>
      <c r="C109" s="34">
        <v>30</v>
      </c>
      <c r="D109" s="33">
        <f>0.5*A109+B109</f>
        <v>35</v>
      </c>
      <c r="E109" s="33"/>
      <c r="F109" s="33">
        <f>A109</f>
        <v>70</v>
      </c>
      <c r="J109" s="27"/>
      <c r="K109" s="27"/>
      <c r="L109" s="27"/>
      <c r="M109" s="27"/>
      <c r="N109" s="27"/>
      <c r="O109" s="35"/>
      <c r="P109" s="27"/>
      <c r="Q109" s="27"/>
      <c r="R109" s="25"/>
      <c r="S109" s="25"/>
      <c r="T109" s="25"/>
      <c r="U109" s="25"/>
      <c r="V109" s="25"/>
      <c r="W109" s="25"/>
      <c r="X109" s="25"/>
    </row>
    <row r="110" spans="1:24" x14ac:dyDescent="0.25">
      <c r="A110" s="33"/>
      <c r="B110" s="33"/>
      <c r="C110" s="34"/>
      <c r="D110" s="33"/>
      <c r="E110" s="33"/>
      <c r="F110" s="33"/>
      <c r="J110" s="27"/>
      <c r="K110" s="27"/>
      <c r="L110" s="27"/>
      <c r="M110" s="27"/>
      <c r="N110" s="27"/>
      <c r="O110" s="35"/>
      <c r="P110" s="27"/>
      <c r="Q110" s="27"/>
      <c r="R110" s="25"/>
      <c r="S110" s="25"/>
      <c r="T110" s="25"/>
      <c r="U110" s="25"/>
      <c r="V110" s="25"/>
      <c r="W110" s="25"/>
      <c r="X110" s="25"/>
    </row>
    <row r="111" spans="1:24" x14ac:dyDescent="0.25">
      <c r="A111" s="33">
        <v>60</v>
      </c>
      <c r="B111" s="33">
        <v>40</v>
      </c>
      <c r="C111" s="34">
        <v>0</v>
      </c>
      <c r="D111" s="33">
        <f>0.5*A111+B111</f>
        <v>70</v>
      </c>
      <c r="E111" s="33"/>
      <c r="F111" s="33">
        <f>A111</f>
        <v>60</v>
      </c>
      <c r="J111" s="27"/>
      <c r="K111" s="27"/>
      <c r="L111" s="27"/>
      <c r="M111" s="27"/>
      <c r="N111" s="27"/>
      <c r="O111" s="35"/>
      <c r="P111" s="27"/>
      <c r="Q111" s="27"/>
      <c r="R111" s="25"/>
      <c r="S111" s="25"/>
      <c r="T111" s="25"/>
      <c r="U111" s="25"/>
      <c r="V111" s="25"/>
      <c r="W111" s="25"/>
      <c r="X111" s="25"/>
    </row>
    <row r="112" spans="1:24" x14ac:dyDescent="0.25">
      <c r="A112" s="33">
        <v>60</v>
      </c>
      <c r="B112" s="33">
        <v>0</v>
      </c>
      <c r="C112" s="34">
        <v>40</v>
      </c>
      <c r="D112" s="33">
        <f>0.5*A112+B112</f>
        <v>30</v>
      </c>
      <c r="E112" s="33"/>
      <c r="F112" s="33">
        <f>A112</f>
        <v>60</v>
      </c>
      <c r="J112" s="27"/>
      <c r="K112" s="27"/>
      <c r="L112" s="27"/>
      <c r="M112" s="27"/>
      <c r="N112" s="27"/>
      <c r="O112" s="35"/>
      <c r="P112" s="27"/>
      <c r="Q112" s="27"/>
      <c r="R112" s="25"/>
      <c r="S112" s="25"/>
      <c r="T112" s="25"/>
      <c r="U112" s="25"/>
      <c r="V112" s="25"/>
      <c r="W112" s="25"/>
      <c r="X112" s="25"/>
    </row>
    <row r="113" spans="1:24" x14ac:dyDescent="0.25">
      <c r="A113" s="33"/>
      <c r="B113" s="33"/>
      <c r="C113" s="34"/>
      <c r="D113" s="33"/>
      <c r="E113" s="33"/>
      <c r="F113" s="33"/>
      <c r="J113" s="27"/>
      <c r="K113" s="27"/>
      <c r="L113" s="27"/>
      <c r="M113" s="27"/>
      <c r="N113" s="27"/>
      <c r="O113" s="35"/>
      <c r="P113" s="27"/>
      <c r="Q113" s="27"/>
      <c r="R113" s="25"/>
      <c r="S113" s="25"/>
      <c r="T113" s="25"/>
      <c r="U113" s="25"/>
      <c r="V113" s="25"/>
      <c r="W113" s="25"/>
      <c r="X113" s="25"/>
    </row>
    <row r="114" spans="1:24" x14ac:dyDescent="0.25">
      <c r="A114" s="33">
        <v>50</v>
      </c>
      <c r="B114" s="33">
        <v>50</v>
      </c>
      <c r="C114" s="34">
        <v>0</v>
      </c>
      <c r="D114" s="33">
        <f>0.5*A114+B114</f>
        <v>75</v>
      </c>
      <c r="E114" s="33"/>
      <c r="F114" s="33">
        <f>A114</f>
        <v>50</v>
      </c>
      <c r="J114" s="27"/>
      <c r="K114" s="27"/>
      <c r="L114" s="27"/>
      <c r="M114" s="27"/>
      <c r="N114" s="27"/>
      <c r="O114" s="35"/>
      <c r="P114" s="27"/>
      <c r="Q114" s="27"/>
      <c r="R114" s="25"/>
      <c r="S114" s="25"/>
      <c r="T114" s="25"/>
      <c r="U114" s="25"/>
      <c r="V114" s="25"/>
      <c r="W114" s="25"/>
      <c r="X114" s="25"/>
    </row>
    <row r="115" spans="1:24" x14ac:dyDescent="0.25">
      <c r="A115" s="33">
        <v>50</v>
      </c>
      <c r="B115" s="33">
        <v>0</v>
      </c>
      <c r="C115" s="34">
        <v>50</v>
      </c>
      <c r="D115" s="33">
        <f>0.5*A115+B115</f>
        <v>25</v>
      </c>
      <c r="E115" s="33"/>
      <c r="F115" s="33">
        <f>A115</f>
        <v>50</v>
      </c>
      <c r="J115" s="27"/>
      <c r="K115" s="27"/>
      <c r="L115" s="27"/>
      <c r="M115" s="27"/>
      <c r="N115" s="27"/>
      <c r="O115" s="35"/>
      <c r="P115" s="27"/>
      <c r="Q115" s="27"/>
      <c r="R115" s="25"/>
      <c r="S115" s="25"/>
      <c r="T115" s="25"/>
      <c r="U115" s="25"/>
      <c r="V115" s="25"/>
      <c r="W115" s="25"/>
      <c r="X115" s="25"/>
    </row>
    <row r="116" spans="1:24" x14ac:dyDescent="0.25">
      <c r="A116" s="33"/>
      <c r="B116" s="33"/>
      <c r="C116" s="34"/>
      <c r="D116" s="33"/>
      <c r="E116" s="33"/>
      <c r="F116" s="33"/>
      <c r="J116" s="27"/>
      <c r="K116" s="27"/>
      <c r="L116" s="27"/>
      <c r="M116" s="27"/>
      <c r="N116" s="27"/>
      <c r="O116" s="35"/>
      <c r="P116" s="27"/>
      <c r="Q116" s="27"/>
      <c r="R116" s="25"/>
      <c r="S116" s="25"/>
      <c r="T116" s="25"/>
      <c r="U116" s="25"/>
      <c r="V116" s="25"/>
      <c r="W116" s="25"/>
      <c r="X116" s="25"/>
    </row>
    <row r="117" spans="1:24" x14ac:dyDescent="0.25">
      <c r="A117" s="33">
        <v>40</v>
      </c>
      <c r="B117" s="33">
        <v>60</v>
      </c>
      <c r="C117" s="34">
        <v>0</v>
      </c>
      <c r="D117" s="33">
        <f>0.5*A117+B117</f>
        <v>80</v>
      </c>
      <c r="E117" s="33"/>
      <c r="F117" s="33">
        <f>A117</f>
        <v>40</v>
      </c>
      <c r="J117" s="27"/>
      <c r="K117" s="27"/>
      <c r="L117" s="27"/>
      <c r="M117" s="27"/>
      <c r="N117" s="27"/>
      <c r="O117" s="35"/>
      <c r="P117" s="27"/>
      <c r="Q117" s="27"/>
      <c r="R117" s="25"/>
      <c r="S117" s="25"/>
      <c r="T117" s="25"/>
      <c r="U117" s="25"/>
      <c r="V117" s="25"/>
      <c r="W117" s="25"/>
      <c r="X117" s="25"/>
    </row>
    <row r="118" spans="1:24" x14ac:dyDescent="0.25">
      <c r="A118" s="33">
        <v>40</v>
      </c>
      <c r="B118" s="33">
        <v>0</v>
      </c>
      <c r="C118" s="34">
        <v>60</v>
      </c>
      <c r="D118" s="33">
        <f>0.5*A118+B118</f>
        <v>20</v>
      </c>
      <c r="E118" s="33"/>
      <c r="F118" s="33">
        <f>A118</f>
        <v>40</v>
      </c>
      <c r="J118" s="27"/>
      <c r="K118" s="27"/>
      <c r="L118" s="27"/>
      <c r="M118" s="27"/>
      <c r="N118" s="27"/>
      <c r="O118" s="35"/>
      <c r="P118" s="27"/>
      <c r="Q118" s="27"/>
      <c r="R118" s="25"/>
      <c r="S118" s="25"/>
      <c r="T118" s="25"/>
      <c r="U118" s="25"/>
      <c r="V118" s="25"/>
      <c r="W118" s="25"/>
      <c r="X118" s="25"/>
    </row>
    <row r="119" spans="1:24" x14ac:dyDescent="0.25">
      <c r="A119" s="33"/>
      <c r="B119" s="33"/>
      <c r="C119" s="34"/>
      <c r="D119" s="33"/>
      <c r="E119" s="33"/>
      <c r="F119" s="33"/>
      <c r="J119" s="27"/>
      <c r="K119" s="27"/>
      <c r="L119" s="27"/>
      <c r="M119" s="27"/>
      <c r="N119" s="27"/>
      <c r="O119" s="35"/>
      <c r="P119" s="27"/>
      <c r="Q119" s="27"/>
      <c r="R119" s="25"/>
      <c r="S119" s="25"/>
      <c r="T119" s="25"/>
      <c r="U119" s="25"/>
      <c r="V119" s="25"/>
      <c r="W119" s="25"/>
      <c r="X119" s="25"/>
    </row>
    <row r="120" spans="1:24" x14ac:dyDescent="0.25">
      <c r="A120" s="33">
        <v>30</v>
      </c>
      <c r="B120" s="33">
        <v>70</v>
      </c>
      <c r="C120" s="34">
        <v>0</v>
      </c>
      <c r="D120" s="33">
        <f>0.5*A120+B120</f>
        <v>85</v>
      </c>
      <c r="E120" s="33"/>
      <c r="F120" s="33">
        <f>A120</f>
        <v>30</v>
      </c>
      <c r="J120" s="27"/>
      <c r="K120" s="27"/>
      <c r="L120" s="27"/>
      <c r="M120" s="27"/>
      <c r="N120" s="27"/>
      <c r="O120" s="35"/>
      <c r="P120" s="27"/>
      <c r="Q120" s="27"/>
      <c r="R120" s="25"/>
      <c r="S120" s="25"/>
      <c r="T120" s="25"/>
      <c r="U120" s="25"/>
      <c r="V120" s="25"/>
      <c r="W120" s="25"/>
      <c r="X120" s="25"/>
    </row>
    <row r="121" spans="1:24" x14ac:dyDescent="0.25">
      <c r="A121" s="33">
        <v>30</v>
      </c>
      <c r="B121" s="33">
        <v>0</v>
      </c>
      <c r="C121" s="34">
        <v>70</v>
      </c>
      <c r="D121" s="33">
        <f>0.5*A121+B121</f>
        <v>15</v>
      </c>
      <c r="E121" s="33"/>
      <c r="F121" s="33">
        <f>A121</f>
        <v>30</v>
      </c>
      <c r="J121" s="27"/>
      <c r="K121" s="27"/>
      <c r="L121" s="27"/>
      <c r="M121" s="27"/>
      <c r="N121" s="27"/>
      <c r="O121" s="35"/>
      <c r="P121" s="27"/>
      <c r="Q121" s="27"/>
      <c r="R121" s="25"/>
      <c r="S121" s="25"/>
      <c r="T121" s="25"/>
      <c r="U121" s="25"/>
      <c r="V121" s="25"/>
      <c r="W121" s="25"/>
      <c r="X121" s="25"/>
    </row>
    <row r="122" spans="1:24" x14ac:dyDescent="0.25">
      <c r="A122" s="33"/>
      <c r="B122" s="33"/>
      <c r="C122" s="34"/>
      <c r="D122" s="33"/>
      <c r="E122" s="33"/>
      <c r="F122" s="33"/>
      <c r="J122" s="27"/>
      <c r="K122" s="27"/>
      <c r="L122" s="27"/>
      <c r="M122" s="27"/>
      <c r="N122" s="27"/>
      <c r="O122" s="35"/>
      <c r="P122" s="27"/>
      <c r="Q122" s="27"/>
      <c r="R122" s="25"/>
      <c r="S122" s="25"/>
      <c r="T122" s="25"/>
      <c r="U122" s="25"/>
      <c r="V122" s="25"/>
      <c r="W122" s="25"/>
      <c r="X122" s="25"/>
    </row>
    <row r="123" spans="1:24" x14ac:dyDescent="0.25">
      <c r="A123" s="33">
        <v>20</v>
      </c>
      <c r="B123" s="33">
        <v>80</v>
      </c>
      <c r="C123" s="34">
        <v>0</v>
      </c>
      <c r="D123" s="33">
        <f>0.5*A123+B123</f>
        <v>90</v>
      </c>
      <c r="E123" s="33"/>
      <c r="F123" s="33">
        <f>A123</f>
        <v>20</v>
      </c>
      <c r="J123" s="27"/>
      <c r="K123" s="27"/>
      <c r="L123" s="27"/>
      <c r="M123" s="27"/>
      <c r="N123" s="27"/>
      <c r="O123" s="35"/>
      <c r="P123" s="27"/>
      <c r="Q123" s="27"/>
      <c r="R123" s="25"/>
      <c r="S123" s="25"/>
      <c r="T123" s="25"/>
      <c r="U123" s="25"/>
      <c r="V123" s="25"/>
      <c r="W123" s="25"/>
      <c r="X123" s="25"/>
    </row>
    <row r="124" spans="1:24" x14ac:dyDescent="0.25">
      <c r="A124" s="33">
        <v>20</v>
      </c>
      <c r="B124" s="33">
        <v>0</v>
      </c>
      <c r="C124" s="34">
        <v>80</v>
      </c>
      <c r="D124" s="33">
        <f>0.5*A124+B124</f>
        <v>10</v>
      </c>
      <c r="E124" s="33"/>
      <c r="F124" s="33">
        <f>A124</f>
        <v>20</v>
      </c>
      <c r="J124" s="27"/>
      <c r="K124" s="27"/>
      <c r="L124" s="27"/>
      <c r="M124" s="27"/>
      <c r="N124" s="27"/>
      <c r="O124" s="35"/>
      <c r="P124" s="27"/>
      <c r="Q124" s="27"/>
      <c r="R124" s="25"/>
      <c r="S124" s="25"/>
      <c r="T124" s="25"/>
      <c r="U124" s="25"/>
      <c r="V124" s="25"/>
      <c r="W124" s="25"/>
      <c r="X124" s="25"/>
    </row>
    <row r="125" spans="1:24" x14ac:dyDescent="0.25">
      <c r="A125" s="33"/>
      <c r="B125" s="33"/>
      <c r="C125" s="34"/>
      <c r="D125" s="33"/>
      <c r="E125" s="33"/>
      <c r="F125" s="33"/>
      <c r="J125" s="27"/>
      <c r="K125" s="27"/>
      <c r="L125" s="27"/>
      <c r="M125" s="27"/>
      <c r="N125" s="27"/>
      <c r="O125" s="35"/>
      <c r="P125" s="27"/>
      <c r="Q125" s="27"/>
      <c r="R125" s="25"/>
      <c r="S125" s="25"/>
      <c r="T125" s="25"/>
      <c r="U125" s="25"/>
      <c r="V125" s="25"/>
      <c r="W125" s="25"/>
      <c r="X125" s="25"/>
    </row>
    <row r="126" spans="1:24" x14ac:dyDescent="0.25">
      <c r="A126" s="33">
        <v>10</v>
      </c>
      <c r="B126" s="33">
        <v>90</v>
      </c>
      <c r="C126" s="34">
        <v>0</v>
      </c>
      <c r="D126" s="33">
        <f>0.5*A126+B126</f>
        <v>95</v>
      </c>
      <c r="E126" s="33"/>
      <c r="F126" s="33">
        <f>A126</f>
        <v>10</v>
      </c>
      <c r="J126" s="27"/>
      <c r="K126" s="27"/>
      <c r="L126" s="27"/>
      <c r="M126" s="27"/>
      <c r="N126" s="27"/>
      <c r="O126" s="35"/>
      <c r="P126" s="27"/>
      <c r="Q126" s="27"/>
      <c r="R126" s="25"/>
      <c r="S126" s="25"/>
      <c r="T126" s="25"/>
      <c r="U126" s="25"/>
      <c r="V126" s="25"/>
      <c r="W126" s="25"/>
      <c r="X126" s="25"/>
    </row>
    <row r="127" spans="1:24" x14ac:dyDescent="0.25">
      <c r="A127" s="33">
        <v>10</v>
      </c>
      <c r="B127" s="33">
        <v>0</v>
      </c>
      <c r="C127" s="34">
        <v>90</v>
      </c>
      <c r="D127" s="33">
        <f>0.5*A127+B127</f>
        <v>5</v>
      </c>
      <c r="E127" s="33"/>
      <c r="F127" s="33">
        <f>A127</f>
        <v>10</v>
      </c>
      <c r="J127" s="27"/>
      <c r="K127" s="27"/>
      <c r="L127" s="27"/>
      <c r="M127" s="27"/>
      <c r="N127" s="27"/>
      <c r="O127" s="35"/>
      <c r="P127" s="27"/>
      <c r="Q127" s="27"/>
      <c r="R127" s="25"/>
      <c r="S127" s="25"/>
      <c r="T127" s="25"/>
      <c r="U127" s="25"/>
      <c r="V127" s="25"/>
      <c r="W127" s="25"/>
      <c r="X127" s="25"/>
    </row>
    <row r="128" spans="1:24" x14ac:dyDescent="0.25">
      <c r="A128" s="33"/>
      <c r="B128" s="33"/>
      <c r="C128" s="34"/>
      <c r="D128" s="33"/>
      <c r="E128" s="33"/>
      <c r="F128" s="33"/>
      <c r="J128" s="27"/>
      <c r="K128" s="27"/>
      <c r="L128" s="27"/>
      <c r="M128" s="27"/>
      <c r="N128" s="27"/>
      <c r="O128" s="35"/>
      <c r="P128" s="27"/>
      <c r="Q128" s="27"/>
      <c r="R128" s="25"/>
      <c r="S128" s="25"/>
      <c r="T128" s="25"/>
      <c r="U128" s="25"/>
      <c r="V128" s="25"/>
      <c r="W128" s="25"/>
      <c r="X128" s="25"/>
    </row>
    <row r="129" spans="1:24" x14ac:dyDescent="0.25">
      <c r="A129" s="33">
        <v>10</v>
      </c>
      <c r="B129" s="33">
        <v>90</v>
      </c>
      <c r="C129" s="34">
        <v>0</v>
      </c>
      <c r="D129" s="33">
        <f>0.5*A129+B129</f>
        <v>95</v>
      </c>
      <c r="E129" s="33"/>
      <c r="F129" s="33">
        <f>A129</f>
        <v>10</v>
      </c>
      <c r="J129" s="27"/>
      <c r="K129" s="27"/>
      <c r="L129" s="27"/>
      <c r="M129" s="27"/>
      <c r="N129" s="27"/>
      <c r="O129" s="35"/>
      <c r="P129" s="27"/>
      <c r="Q129" s="27"/>
      <c r="R129" s="25"/>
      <c r="S129" s="25"/>
      <c r="T129" s="25"/>
      <c r="U129" s="25"/>
      <c r="V129" s="25"/>
      <c r="W129" s="25"/>
      <c r="X129" s="25"/>
    </row>
    <row r="130" spans="1:24" x14ac:dyDescent="0.25">
      <c r="A130" s="33">
        <v>0</v>
      </c>
      <c r="B130" s="33">
        <v>90</v>
      </c>
      <c r="C130" s="34">
        <v>10</v>
      </c>
      <c r="D130" s="33">
        <f>0.5*A130+B130</f>
        <v>90</v>
      </c>
      <c r="E130" s="33"/>
      <c r="F130" s="33">
        <f>A130</f>
        <v>0</v>
      </c>
      <c r="J130" s="27"/>
      <c r="K130" s="27"/>
      <c r="L130" s="27"/>
      <c r="M130" s="27"/>
      <c r="N130" s="27"/>
      <c r="O130" s="35"/>
      <c r="P130" s="27"/>
      <c r="Q130" s="27"/>
      <c r="R130" s="25"/>
      <c r="S130" s="25"/>
      <c r="T130" s="25"/>
      <c r="U130" s="25"/>
      <c r="V130" s="25"/>
      <c r="W130" s="25"/>
      <c r="X130" s="25"/>
    </row>
    <row r="131" spans="1:24" x14ac:dyDescent="0.25">
      <c r="A131" s="33"/>
      <c r="B131" s="33"/>
      <c r="C131" s="34"/>
      <c r="D131" s="33"/>
      <c r="E131" s="33"/>
      <c r="F131" s="33"/>
      <c r="J131" s="27"/>
      <c r="K131" s="27"/>
      <c r="L131" s="27"/>
      <c r="M131" s="27"/>
      <c r="N131" s="27"/>
      <c r="O131" s="35"/>
      <c r="P131" s="27"/>
      <c r="Q131" s="27"/>
      <c r="R131" s="25"/>
      <c r="S131" s="25"/>
      <c r="T131" s="25"/>
      <c r="U131" s="25"/>
      <c r="V131" s="25"/>
      <c r="W131" s="25"/>
      <c r="X131" s="25"/>
    </row>
    <row r="132" spans="1:24" x14ac:dyDescent="0.25">
      <c r="A132" s="33">
        <v>20</v>
      </c>
      <c r="B132" s="33">
        <v>80</v>
      </c>
      <c r="C132" s="34">
        <v>0</v>
      </c>
      <c r="D132" s="33">
        <f>0.5*A132+B132</f>
        <v>90</v>
      </c>
      <c r="E132" s="33"/>
      <c r="F132" s="33">
        <f>A132</f>
        <v>20</v>
      </c>
      <c r="J132" s="27"/>
      <c r="K132" s="27"/>
      <c r="L132" s="27"/>
      <c r="M132" s="27"/>
      <c r="N132" s="27"/>
      <c r="O132" s="35"/>
      <c r="P132" s="27"/>
      <c r="Q132" s="27"/>
      <c r="R132" s="25"/>
      <c r="S132" s="25"/>
      <c r="T132" s="25"/>
      <c r="U132" s="25"/>
      <c r="V132" s="25"/>
      <c r="W132" s="25"/>
      <c r="X132" s="25"/>
    </row>
    <row r="133" spans="1:24" x14ac:dyDescent="0.25">
      <c r="A133" s="33">
        <v>0</v>
      </c>
      <c r="B133" s="33">
        <v>80</v>
      </c>
      <c r="C133" s="34">
        <v>20</v>
      </c>
      <c r="D133" s="33">
        <f>0.5*A133+B133</f>
        <v>80</v>
      </c>
      <c r="E133" s="33"/>
      <c r="F133" s="33">
        <f>A133</f>
        <v>0</v>
      </c>
      <c r="J133" s="27"/>
      <c r="K133" s="27"/>
      <c r="L133" s="27"/>
      <c r="M133" s="27"/>
      <c r="N133" s="27"/>
      <c r="O133" s="35"/>
      <c r="P133" s="27"/>
      <c r="Q133" s="27"/>
      <c r="R133" s="25"/>
      <c r="S133" s="25"/>
      <c r="T133" s="25"/>
      <c r="U133" s="25"/>
      <c r="V133" s="25"/>
      <c r="W133" s="25"/>
      <c r="X133" s="25"/>
    </row>
    <row r="134" spans="1:24" x14ac:dyDescent="0.25">
      <c r="A134" s="33"/>
      <c r="B134" s="33"/>
      <c r="C134" s="34"/>
      <c r="D134" s="33"/>
      <c r="E134" s="33"/>
      <c r="F134" s="33"/>
      <c r="J134" s="27"/>
      <c r="K134" s="27"/>
      <c r="L134" s="27"/>
      <c r="M134" s="27"/>
      <c r="N134" s="27"/>
      <c r="O134" s="35"/>
      <c r="P134" s="27"/>
      <c r="Q134" s="27"/>
      <c r="R134" s="25"/>
      <c r="S134" s="25"/>
      <c r="T134" s="25"/>
      <c r="U134" s="25"/>
      <c r="V134" s="25"/>
      <c r="W134" s="25"/>
      <c r="X134" s="25"/>
    </row>
    <row r="135" spans="1:24" x14ac:dyDescent="0.25">
      <c r="A135" s="33">
        <v>30</v>
      </c>
      <c r="B135" s="33">
        <v>70</v>
      </c>
      <c r="C135" s="34">
        <v>0</v>
      </c>
      <c r="D135" s="33">
        <f>0.5*A135+B135</f>
        <v>85</v>
      </c>
      <c r="E135" s="33"/>
      <c r="F135" s="33">
        <f>A135</f>
        <v>30</v>
      </c>
      <c r="J135" s="27"/>
      <c r="K135" s="27"/>
      <c r="L135" s="27"/>
      <c r="M135" s="27"/>
      <c r="N135" s="27"/>
      <c r="O135" s="35"/>
      <c r="P135" s="27"/>
      <c r="Q135" s="27"/>
      <c r="R135" s="25"/>
      <c r="S135" s="25"/>
      <c r="T135" s="25"/>
      <c r="U135" s="25"/>
      <c r="V135" s="25"/>
      <c r="W135" s="25"/>
      <c r="X135" s="25"/>
    </row>
    <row r="136" spans="1:24" x14ac:dyDescent="0.25">
      <c r="A136" s="33">
        <v>0</v>
      </c>
      <c r="B136" s="33">
        <v>70</v>
      </c>
      <c r="C136" s="34">
        <v>30</v>
      </c>
      <c r="D136" s="33">
        <f>0.5*A136+B136</f>
        <v>70</v>
      </c>
      <c r="E136" s="33"/>
      <c r="F136" s="33">
        <f>A136</f>
        <v>0</v>
      </c>
      <c r="J136" s="27"/>
      <c r="K136" s="27"/>
      <c r="L136" s="27"/>
      <c r="M136" s="27"/>
      <c r="N136" s="27"/>
      <c r="O136" s="35"/>
      <c r="P136" s="27"/>
      <c r="Q136" s="27"/>
      <c r="R136" s="25"/>
      <c r="S136" s="25"/>
      <c r="T136" s="25"/>
      <c r="U136" s="25"/>
      <c r="V136" s="25"/>
      <c r="W136" s="25"/>
      <c r="X136" s="25"/>
    </row>
    <row r="137" spans="1:24" x14ac:dyDescent="0.25">
      <c r="A137" s="33"/>
      <c r="B137" s="33"/>
      <c r="C137" s="34"/>
      <c r="D137" s="33"/>
      <c r="E137" s="33"/>
      <c r="F137" s="33"/>
      <c r="J137" s="27"/>
      <c r="K137" s="27"/>
      <c r="L137" s="27"/>
      <c r="M137" s="27"/>
      <c r="N137" s="27"/>
      <c r="O137" s="35"/>
      <c r="P137" s="27"/>
      <c r="Q137" s="27"/>
      <c r="R137" s="25"/>
      <c r="S137" s="25"/>
      <c r="T137" s="25"/>
      <c r="U137" s="25"/>
      <c r="V137" s="25"/>
      <c r="W137" s="25"/>
      <c r="X137" s="25"/>
    </row>
    <row r="138" spans="1:24" x14ac:dyDescent="0.25">
      <c r="A138" s="33">
        <v>40</v>
      </c>
      <c r="B138" s="33">
        <v>60</v>
      </c>
      <c r="C138" s="34">
        <v>0</v>
      </c>
      <c r="D138" s="33">
        <f>0.5*A138+B138</f>
        <v>80</v>
      </c>
      <c r="E138" s="33"/>
      <c r="F138" s="33">
        <f>A138</f>
        <v>40</v>
      </c>
      <c r="J138" s="27"/>
      <c r="K138" s="27"/>
      <c r="L138" s="27"/>
      <c r="M138" s="27"/>
      <c r="N138" s="27"/>
      <c r="O138" s="35"/>
      <c r="P138" s="27"/>
      <c r="Q138" s="27"/>
      <c r="R138" s="25"/>
      <c r="S138" s="25"/>
      <c r="T138" s="25"/>
      <c r="U138" s="25"/>
      <c r="V138" s="25"/>
      <c r="W138" s="25"/>
      <c r="X138" s="25"/>
    </row>
    <row r="139" spans="1:24" x14ac:dyDescent="0.25">
      <c r="A139" s="33">
        <v>0</v>
      </c>
      <c r="B139" s="33">
        <v>60</v>
      </c>
      <c r="C139" s="34">
        <v>40</v>
      </c>
      <c r="D139" s="33">
        <f>0.5*A139+B139</f>
        <v>60</v>
      </c>
      <c r="E139" s="33"/>
      <c r="F139" s="33">
        <f>A139</f>
        <v>0</v>
      </c>
      <c r="J139" s="27"/>
      <c r="K139" s="27"/>
      <c r="L139" s="27"/>
      <c r="M139" s="27"/>
      <c r="N139" s="27"/>
      <c r="O139" s="35"/>
      <c r="P139" s="27"/>
      <c r="Q139" s="27"/>
      <c r="R139" s="25"/>
      <c r="S139" s="25"/>
      <c r="T139" s="25"/>
      <c r="U139" s="25"/>
      <c r="V139" s="25"/>
      <c r="W139" s="25"/>
      <c r="X139" s="25"/>
    </row>
    <row r="140" spans="1:24" x14ac:dyDescent="0.25">
      <c r="A140" s="33"/>
      <c r="B140" s="33"/>
      <c r="C140" s="34"/>
      <c r="D140" s="33"/>
      <c r="E140" s="33"/>
      <c r="F140" s="33"/>
      <c r="J140" s="27"/>
      <c r="K140" s="27"/>
      <c r="L140" s="27"/>
      <c r="M140" s="27"/>
      <c r="N140" s="27"/>
      <c r="O140" s="35"/>
      <c r="P140" s="27"/>
      <c r="Q140" s="27"/>
      <c r="R140" s="25"/>
      <c r="S140" s="25"/>
      <c r="T140" s="25"/>
      <c r="U140" s="25"/>
      <c r="V140" s="25"/>
      <c r="W140" s="25"/>
      <c r="X140" s="25"/>
    </row>
    <row r="141" spans="1:24" x14ac:dyDescent="0.25">
      <c r="A141" s="33">
        <v>50</v>
      </c>
      <c r="B141" s="33">
        <v>50</v>
      </c>
      <c r="C141" s="34">
        <v>0</v>
      </c>
      <c r="D141" s="33">
        <f>0.5*A141+B141</f>
        <v>75</v>
      </c>
      <c r="E141" s="33"/>
      <c r="F141" s="33">
        <f>A141</f>
        <v>50</v>
      </c>
      <c r="J141" s="27"/>
      <c r="K141" s="27"/>
      <c r="L141" s="27"/>
      <c r="M141" s="27"/>
      <c r="N141" s="27"/>
      <c r="O141" s="35"/>
      <c r="P141" s="27"/>
      <c r="Q141" s="27"/>
      <c r="R141" s="25"/>
      <c r="S141" s="25"/>
      <c r="T141" s="25"/>
      <c r="U141" s="25"/>
      <c r="V141" s="25"/>
      <c r="W141" s="25"/>
      <c r="X141" s="25"/>
    </row>
    <row r="142" spans="1:24" x14ac:dyDescent="0.25">
      <c r="A142" s="33">
        <v>0</v>
      </c>
      <c r="B142" s="33">
        <v>50</v>
      </c>
      <c r="C142" s="34">
        <v>50</v>
      </c>
      <c r="D142" s="33">
        <f>0.5*A142+B142</f>
        <v>50</v>
      </c>
      <c r="E142" s="33"/>
      <c r="F142" s="33">
        <f>A142</f>
        <v>0</v>
      </c>
      <c r="J142" s="27"/>
      <c r="K142" s="27"/>
      <c r="L142" s="27"/>
      <c r="M142" s="27"/>
      <c r="N142" s="27"/>
      <c r="O142" s="35"/>
      <c r="P142" s="27"/>
      <c r="Q142" s="27"/>
      <c r="R142" s="25"/>
      <c r="S142" s="25"/>
      <c r="T142" s="25"/>
      <c r="U142" s="25"/>
      <c r="V142" s="25"/>
      <c r="W142" s="25"/>
      <c r="X142" s="25"/>
    </row>
    <row r="143" spans="1:24" x14ac:dyDescent="0.25">
      <c r="A143" s="33"/>
      <c r="B143" s="33"/>
      <c r="C143" s="34"/>
      <c r="D143" s="33"/>
      <c r="E143" s="33"/>
      <c r="F143" s="33"/>
      <c r="J143" s="27"/>
      <c r="K143" s="27"/>
      <c r="L143" s="27"/>
      <c r="M143" s="27"/>
      <c r="N143" s="27"/>
      <c r="O143" s="35"/>
      <c r="P143" s="27"/>
      <c r="Q143" s="27"/>
      <c r="R143" s="25"/>
      <c r="S143" s="25"/>
      <c r="T143" s="25"/>
      <c r="U143" s="25"/>
      <c r="V143" s="25"/>
      <c r="W143" s="25"/>
      <c r="X143" s="25"/>
    </row>
    <row r="144" spans="1:24" x14ac:dyDescent="0.25">
      <c r="A144" s="33">
        <v>60</v>
      </c>
      <c r="B144" s="33">
        <v>40</v>
      </c>
      <c r="C144" s="34">
        <v>0</v>
      </c>
      <c r="D144" s="33">
        <f>0.5*A144+B144</f>
        <v>70</v>
      </c>
      <c r="E144" s="33"/>
      <c r="F144" s="33">
        <f>A144</f>
        <v>60</v>
      </c>
      <c r="J144" s="27"/>
      <c r="K144" s="27"/>
      <c r="L144" s="27"/>
      <c r="M144" s="27"/>
      <c r="N144" s="27"/>
      <c r="O144" s="35"/>
      <c r="P144" s="27"/>
      <c r="Q144" s="27"/>
      <c r="R144" s="25"/>
      <c r="S144" s="25"/>
      <c r="T144" s="25"/>
      <c r="U144" s="25"/>
      <c r="V144" s="25"/>
      <c r="W144" s="25"/>
      <c r="X144" s="25"/>
    </row>
    <row r="145" spans="1:24" x14ac:dyDescent="0.25">
      <c r="A145" s="33">
        <v>0</v>
      </c>
      <c r="B145" s="33">
        <v>40</v>
      </c>
      <c r="C145" s="34">
        <v>60</v>
      </c>
      <c r="D145" s="33">
        <f>0.5*A145+B145</f>
        <v>40</v>
      </c>
      <c r="E145" s="33"/>
      <c r="F145" s="33">
        <f>A145</f>
        <v>0</v>
      </c>
      <c r="J145" s="27"/>
      <c r="K145" s="27"/>
      <c r="L145" s="27"/>
      <c r="M145" s="27"/>
      <c r="N145" s="27"/>
      <c r="O145" s="35"/>
      <c r="P145" s="27"/>
      <c r="Q145" s="27"/>
      <c r="R145" s="25"/>
      <c r="S145" s="25"/>
      <c r="T145" s="25"/>
      <c r="U145" s="25"/>
      <c r="V145" s="25"/>
      <c r="W145" s="25"/>
      <c r="X145" s="25"/>
    </row>
    <row r="146" spans="1:24" x14ac:dyDescent="0.25">
      <c r="A146" s="33"/>
      <c r="B146" s="33"/>
      <c r="C146" s="34"/>
      <c r="D146" s="33"/>
      <c r="E146" s="33"/>
      <c r="F146" s="33"/>
      <c r="J146" s="27"/>
      <c r="K146" s="27"/>
      <c r="L146" s="27"/>
      <c r="M146" s="27"/>
      <c r="N146" s="27"/>
      <c r="O146" s="35"/>
      <c r="P146" s="27"/>
      <c r="Q146" s="27"/>
      <c r="R146" s="25"/>
      <c r="S146" s="25"/>
      <c r="T146" s="25"/>
      <c r="U146" s="25"/>
      <c r="V146" s="25"/>
      <c r="W146" s="25"/>
      <c r="X146" s="25"/>
    </row>
    <row r="147" spans="1:24" x14ac:dyDescent="0.25">
      <c r="A147" s="33">
        <v>70</v>
      </c>
      <c r="B147" s="33">
        <v>30</v>
      </c>
      <c r="C147" s="34">
        <v>0</v>
      </c>
      <c r="D147" s="33">
        <f>0.5*A147+B147</f>
        <v>65</v>
      </c>
      <c r="E147" s="33"/>
      <c r="F147" s="33">
        <f>A147</f>
        <v>70</v>
      </c>
      <c r="J147" s="27"/>
      <c r="K147" s="27"/>
      <c r="L147" s="27"/>
      <c r="M147" s="27"/>
      <c r="N147" s="27"/>
      <c r="O147" s="35"/>
      <c r="P147" s="27"/>
      <c r="Q147" s="27"/>
      <c r="R147" s="25"/>
      <c r="S147" s="25"/>
      <c r="T147" s="25"/>
      <c r="U147" s="25"/>
      <c r="V147" s="25"/>
      <c r="W147" s="25"/>
      <c r="X147" s="25"/>
    </row>
    <row r="148" spans="1:24" x14ac:dyDescent="0.25">
      <c r="A148" s="33">
        <v>0</v>
      </c>
      <c r="B148" s="33">
        <v>30</v>
      </c>
      <c r="C148" s="34">
        <v>70</v>
      </c>
      <c r="D148" s="33">
        <f>0.5*A148+B148</f>
        <v>30</v>
      </c>
      <c r="E148" s="33"/>
      <c r="F148" s="33">
        <f>A148</f>
        <v>0</v>
      </c>
      <c r="J148" s="27"/>
      <c r="K148" s="27"/>
      <c r="L148" s="27"/>
      <c r="M148" s="27"/>
      <c r="N148" s="27"/>
      <c r="O148" s="35"/>
      <c r="P148" s="27"/>
      <c r="Q148" s="27"/>
      <c r="R148" s="25"/>
      <c r="S148" s="25"/>
      <c r="T148" s="25"/>
      <c r="U148" s="25"/>
      <c r="V148" s="25"/>
      <c r="W148" s="25"/>
      <c r="X148" s="25"/>
    </row>
    <row r="149" spans="1:24" x14ac:dyDescent="0.25">
      <c r="A149" s="33"/>
      <c r="B149" s="33"/>
      <c r="C149" s="34"/>
      <c r="D149" s="33"/>
      <c r="E149" s="33"/>
      <c r="F149" s="33"/>
      <c r="J149" s="27"/>
      <c r="K149" s="27"/>
      <c r="L149" s="27"/>
      <c r="M149" s="27"/>
      <c r="N149" s="27"/>
      <c r="O149" s="35"/>
      <c r="P149" s="27"/>
      <c r="Q149" s="27"/>
      <c r="R149" s="25"/>
      <c r="S149" s="25"/>
      <c r="T149" s="25"/>
      <c r="U149" s="25"/>
      <c r="V149" s="25"/>
      <c r="W149" s="25"/>
      <c r="X149" s="25"/>
    </row>
    <row r="150" spans="1:24" x14ac:dyDescent="0.25">
      <c r="A150" s="33">
        <v>80</v>
      </c>
      <c r="B150" s="33">
        <v>20</v>
      </c>
      <c r="C150" s="34">
        <v>0</v>
      </c>
      <c r="D150" s="33">
        <f>0.5*A150+B150</f>
        <v>60</v>
      </c>
      <c r="E150" s="33"/>
      <c r="F150" s="33">
        <f>A150</f>
        <v>80</v>
      </c>
      <c r="J150" s="27"/>
      <c r="K150" s="27"/>
      <c r="L150" s="27"/>
      <c r="M150" s="27"/>
      <c r="N150" s="27"/>
      <c r="O150" s="35"/>
      <c r="P150" s="27"/>
      <c r="Q150" s="27"/>
      <c r="R150" s="25"/>
      <c r="S150" s="25"/>
      <c r="T150" s="25"/>
      <c r="U150" s="25"/>
      <c r="V150" s="25"/>
      <c r="W150" s="25"/>
      <c r="X150" s="25"/>
    </row>
    <row r="151" spans="1:24" x14ac:dyDescent="0.25">
      <c r="A151" s="33">
        <v>0</v>
      </c>
      <c r="B151" s="33">
        <v>20</v>
      </c>
      <c r="C151" s="34">
        <v>80</v>
      </c>
      <c r="D151" s="33">
        <f>0.5*A151+B151</f>
        <v>20</v>
      </c>
      <c r="E151" s="33"/>
      <c r="F151" s="33">
        <f>A151</f>
        <v>0</v>
      </c>
      <c r="J151" s="27"/>
      <c r="K151" s="27"/>
      <c r="L151" s="27"/>
      <c r="M151" s="27"/>
      <c r="N151" s="27"/>
      <c r="O151" s="35"/>
      <c r="P151" s="27"/>
      <c r="Q151" s="27"/>
      <c r="R151" s="25"/>
      <c r="S151" s="25"/>
      <c r="T151" s="25"/>
      <c r="U151" s="25"/>
      <c r="V151" s="25"/>
      <c r="W151" s="25"/>
      <c r="X151" s="25"/>
    </row>
    <row r="152" spans="1:24" x14ac:dyDescent="0.25">
      <c r="A152" s="33"/>
      <c r="B152" s="33"/>
      <c r="C152" s="34"/>
      <c r="D152" s="33"/>
      <c r="E152" s="33"/>
      <c r="F152" s="33"/>
      <c r="J152" s="27"/>
      <c r="K152" s="27"/>
      <c r="L152" s="27"/>
      <c r="M152" s="27"/>
      <c r="N152" s="27"/>
      <c r="O152" s="35"/>
      <c r="P152" s="27"/>
      <c r="Q152" s="27"/>
      <c r="R152" s="25"/>
      <c r="S152" s="25"/>
      <c r="T152" s="25"/>
      <c r="U152" s="25"/>
      <c r="V152" s="25"/>
      <c r="W152" s="25"/>
      <c r="X152" s="25"/>
    </row>
    <row r="153" spans="1:24" x14ac:dyDescent="0.25">
      <c r="A153" s="33">
        <v>90</v>
      </c>
      <c r="B153" s="33">
        <v>10</v>
      </c>
      <c r="C153" s="34">
        <v>0</v>
      </c>
      <c r="D153" s="33">
        <f>0.5*A153+B153</f>
        <v>55</v>
      </c>
      <c r="E153" s="33"/>
      <c r="F153" s="33">
        <f>A153</f>
        <v>90</v>
      </c>
      <c r="J153" s="27"/>
      <c r="K153" s="27"/>
      <c r="L153" s="27"/>
      <c r="M153" s="27"/>
      <c r="N153" s="27"/>
      <c r="O153" s="35"/>
      <c r="P153" s="27"/>
      <c r="Q153" s="27"/>
      <c r="R153" s="25"/>
      <c r="S153" s="25"/>
      <c r="T153" s="25"/>
      <c r="U153" s="25"/>
      <c r="V153" s="25"/>
      <c r="W153" s="25"/>
      <c r="X153" s="25"/>
    </row>
    <row r="154" spans="1:24" x14ac:dyDescent="0.25">
      <c r="A154" s="33">
        <v>0</v>
      </c>
      <c r="B154" s="33">
        <v>10</v>
      </c>
      <c r="C154" s="34">
        <v>90</v>
      </c>
      <c r="D154" s="33">
        <f>0.5*A154+B154</f>
        <v>10</v>
      </c>
      <c r="E154" s="33"/>
      <c r="F154" s="33">
        <f>A154</f>
        <v>0</v>
      </c>
      <c r="J154" s="27"/>
      <c r="K154" s="27"/>
      <c r="L154" s="27"/>
      <c r="M154" s="27"/>
      <c r="N154" s="27"/>
      <c r="O154" s="35"/>
      <c r="P154" s="27"/>
      <c r="Q154" s="27"/>
      <c r="R154" s="25"/>
      <c r="S154" s="25"/>
      <c r="T154" s="25"/>
      <c r="U154" s="25"/>
      <c r="V154" s="25"/>
      <c r="W154" s="25"/>
      <c r="X154" s="25"/>
    </row>
    <row r="155" spans="1:24" x14ac:dyDescent="0.25">
      <c r="A155" s="33"/>
      <c r="B155" s="33"/>
      <c r="C155" s="34"/>
      <c r="D155" s="33"/>
      <c r="E155" s="33"/>
      <c r="F155" s="33"/>
      <c r="J155" s="27"/>
      <c r="K155" s="27"/>
      <c r="L155" s="27"/>
      <c r="M155" s="27"/>
      <c r="N155" s="27"/>
      <c r="O155" s="35"/>
      <c r="P155" s="27"/>
      <c r="Q155" s="27"/>
      <c r="R155" s="25"/>
      <c r="S155" s="25"/>
      <c r="T155" s="25"/>
      <c r="U155" s="25"/>
      <c r="V155" s="25"/>
      <c r="W155" s="25"/>
      <c r="X155" s="25"/>
    </row>
    <row r="156" spans="1:24" x14ac:dyDescent="0.25">
      <c r="A156" s="33">
        <v>10</v>
      </c>
      <c r="B156" s="33">
        <v>0</v>
      </c>
      <c r="C156" s="34">
        <v>90</v>
      </c>
      <c r="D156" s="33">
        <f>0.5*A156+B156</f>
        <v>5</v>
      </c>
      <c r="E156" s="33"/>
      <c r="F156" s="33">
        <f>A156</f>
        <v>10</v>
      </c>
      <c r="J156" s="27"/>
      <c r="K156" s="27"/>
      <c r="L156" s="27"/>
      <c r="M156" s="27"/>
      <c r="N156" s="27"/>
      <c r="O156" s="35"/>
      <c r="P156" s="27"/>
      <c r="Q156" s="27"/>
      <c r="R156" s="25"/>
      <c r="S156" s="25"/>
      <c r="T156" s="25"/>
      <c r="U156" s="25"/>
      <c r="V156" s="25"/>
      <c r="W156" s="25"/>
      <c r="X156" s="25"/>
    </row>
    <row r="157" spans="1:24" x14ac:dyDescent="0.25">
      <c r="A157" s="33">
        <v>0</v>
      </c>
      <c r="B157" s="33">
        <v>10</v>
      </c>
      <c r="C157" s="34">
        <v>90</v>
      </c>
      <c r="D157" s="33">
        <f>0.5*A157+B157</f>
        <v>10</v>
      </c>
      <c r="E157" s="33"/>
      <c r="F157" s="33">
        <f>A157</f>
        <v>0</v>
      </c>
      <c r="J157" s="27"/>
      <c r="K157" s="27"/>
      <c r="L157" s="27"/>
      <c r="M157" s="27"/>
      <c r="N157" s="27"/>
      <c r="O157" s="35"/>
      <c r="P157" s="27"/>
      <c r="Q157" s="27"/>
      <c r="R157" s="25"/>
      <c r="S157" s="25"/>
      <c r="T157" s="25"/>
      <c r="U157" s="25"/>
      <c r="V157" s="25"/>
      <c r="W157" s="25"/>
      <c r="X157" s="25"/>
    </row>
    <row r="158" spans="1:24" x14ac:dyDescent="0.25">
      <c r="A158" s="33"/>
      <c r="B158" s="33"/>
      <c r="C158" s="34"/>
      <c r="D158" s="33"/>
      <c r="E158" s="33"/>
      <c r="F158" s="33"/>
      <c r="J158" s="27"/>
      <c r="K158" s="27"/>
      <c r="L158" s="27"/>
      <c r="M158" s="27"/>
      <c r="N158" s="27"/>
      <c r="O158" s="35"/>
      <c r="P158" s="27"/>
      <c r="Q158" s="27"/>
      <c r="R158" s="25"/>
      <c r="S158" s="25"/>
      <c r="T158" s="25"/>
      <c r="U158" s="25"/>
      <c r="V158" s="25"/>
      <c r="W158" s="25"/>
      <c r="X158" s="25"/>
    </row>
    <row r="159" spans="1:24" x14ac:dyDescent="0.25">
      <c r="A159" s="33">
        <v>20</v>
      </c>
      <c r="B159" s="33">
        <v>0</v>
      </c>
      <c r="C159" s="34">
        <v>80</v>
      </c>
      <c r="D159" s="33">
        <f>0.5*A159+B159</f>
        <v>10</v>
      </c>
      <c r="E159" s="33"/>
      <c r="F159" s="33">
        <f>A159</f>
        <v>20</v>
      </c>
      <c r="J159" s="27"/>
      <c r="K159" s="27"/>
      <c r="L159" s="27"/>
      <c r="M159" s="27"/>
      <c r="N159" s="27"/>
      <c r="O159" s="35"/>
      <c r="P159" s="27"/>
      <c r="Q159" s="27"/>
      <c r="R159" s="25"/>
      <c r="S159" s="25"/>
      <c r="T159" s="25"/>
      <c r="U159" s="25"/>
      <c r="V159" s="25"/>
      <c r="W159" s="25"/>
      <c r="X159" s="25"/>
    </row>
    <row r="160" spans="1:24" x14ac:dyDescent="0.25">
      <c r="A160" s="33">
        <v>0</v>
      </c>
      <c r="B160" s="33">
        <v>20</v>
      </c>
      <c r="C160" s="34">
        <v>80</v>
      </c>
      <c r="D160" s="33">
        <f>0.5*A160+B160</f>
        <v>20</v>
      </c>
      <c r="E160" s="33"/>
      <c r="F160" s="33">
        <f>A160</f>
        <v>0</v>
      </c>
      <c r="J160" s="27"/>
      <c r="K160" s="27"/>
      <c r="L160" s="27"/>
      <c r="M160" s="27"/>
      <c r="N160" s="27"/>
      <c r="O160" s="35"/>
      <c r="P160" s="27"/>
      <c r="Q160" s="27"/>
      <c r="R160" s="25"/>
      <c r="S160" s="25"/>
      <c r="T160" s="25"/>
      <c r="U160" s="25"/>
      <c r="V160" s="25"/>
      <c r="W160" s="25"/>
      <c r="X160" s="25"/>
    </row>
    <row r="161" spans="1:24" x14ac:dyDescent="0.25">
      <c r="A161" s="33"/>
      <c r="B161" s="33"/>
      <c r="C161" s="34"/>
      <c r="D161" s="33"/>
      <c r="E161" s="33"/>
      <c r="F161" s="33"/>
      <c r="J161" s="27"/>
      <c r="K161" s="27"/>
      <c r="L161" s="27"/>
      <c r="M161" s="27"/>
      <c r="N161" s="27"/>
      <c r="O161" s="35"/>
      <c r="P161" s="27"/>
      <c r="Q161" s="27"/>
      <c r="R161" s="25"/>
      <c r="S161" s="25"/>
      <c r="T161" s="25"/>
      <c r="U161" s="25"/>
      <c r="V161" s="25"/>
      <c r="W161" s="25"/>
      <c r="X161" s="25"/>
    </row>
    <row r="162" spans="1:24" x14ac:dyDescent="0.25">
      <c r="A162" s="33">
        <v>30</v>
      </c>
      <c r="B162" s="33">
        <v>0</v>
      </c>
      <c r="C162" s="34">
        <v>70</v>
      </c>
      <c r="D162" s="33">
        <f>0.5*A162+B162</f>
        <v>15</v>
      </c>
      <c r="E162" s="33"/>
      <c r="F162" s="33">
        <f>A162</f>
        <v>30</v>
      </c>
      <c r="J162" s="27"/>
      <c r="K162" s="27"/>
      <c r="L162" s="27"/>
      <c r="M162" s="27"/>
      <c r="N162" s="27"/>
      <c r="O162" s="35"/>
      <c r="P162" s="27"/>
      <c r="Q162" s="27"/>
      <c r="R162" s="25"/>
      <c r="S162" s="25"/>
      <c r="T162" s="25"/>
      <c r="U162" s="25"/>
      <c r="V162" s="25"/>
      <c r="W162" s="25"/>
      <c r="X162" s="25"/>
    </row>
    <row r="163" spans="1:24" x14ac:dyDescent="0.25">
      <c r="A163" s="33">
        <v>0</v>
      </c>
      <c r="B163" s="33">
        <v>30</v>
      </c>
      <c r="C163" s="34">
        <v>70</v>
      </c>
      <c r="D163" s="33">
        <f>0.5*A163+B163</f>
        <v>30</v>
      </c>
      <c r="E163" s="33"/>
      <c r="F163" s="33">
        <f>A163</f>
        <v>0</v>
      </c>
      <c r="J163" s="27"/>
      <c r="K163" s="27"/>
      <c r="L163" s="27"/>
      <c r="M163" s="27"/>
      <c r="N163" s="27"/>
      <c r="O163" s="35"/>
      <c r="P163" s="27"/>
      <c r="Q163" s="27"/>
      <c r="R163" s="25"/>
      <c r="S163" s="25"/>
      <c r="T163" s="25"/>
      <c r="U163" s="25"/>
      <c r="V163" s="25"/>
      <c r="W163" s="25"/>
      <c r="X163" s="25"/>
    </row>
    <row r="164" spans="1:24" x14ac:dyDescent="0.25">
      <c r="A164" s="33"/>
      <c r="B164" s="33"/>
      <c r="C164" s="34"/>
      <c r="D164" s="33"/>
      <c r="E164" s="33"/>
      <c r="F164" s="33"/>
      <c r="J164" s="27"/>
      <c r="K164" s="27"/>
      <c r="L164" s="27"/>
      <c r="M164" s="27"/>
      <c r="N164" s="27"/>
      <c r="O164" s="35"/>
      <c r="P164" s="27"/>
      <c r="Q164" s="27"/>
      <c r="R164" s="25"/>
      <c r="S164" s="25"/>
      <c r="T164" s="25"/>
      <c r="U164" s="25"/>
      <c r="V164" s="25"/>
      <c r="W164" s="25"/>
      <c r="X164" s="25"/>
    </row>
    <row r="165" spans="1:24" x14ac:dyDescent="0.25">
      <c r="A165" s="33">
        <v>40</v>
      </c>
      <c r="B165" s="33">
        <v>0</v>
      </c>
      <c r="C165" s="34">
        <v>60</v>
      </c>
      <c r="D165" s="33">
        <f>0.5*A165+B165</f>
        <v>20</v>
      </c>
      <c r="E165" s="33"/>
      <c r="F165" s="33">
        <f>A165</f>
        <v>40</v>
      </c>
      <c r="J165" s="27"/>
      <c r="K165" s="27"/>
      <c r="L165" s="27"/>
      <c r="M165" s="27"/>
      <c r="N165" s="27"/>
      <c r="O165" s="35"/>
      <c r="P165" s="27"/>
      <c r="Q165" s="27"/>
      <c r="R165" s="25"/>
      <c r="S165" s="25"/>
      <c r="T165" s="25"/>
      <c r="U165" s="25"/>
      <c r="V165" s="25"/>
      <c r="W165" s="25"/>
      <c r="X165" s="25"/>
    </row>
    <row r="166" spans="1:24" x14ac:dyDescent="0.25">
      <c r="A166" s="33">
        <v>0</v>
      </c>
      <c r="B166" s="33">
        <v>40</v>
      </c>
      <c r="C166" s="34">
        <v>60</v>
      </c>
      <c r="D166" s="33">
        <f>0.5*A166+B166</f>
        <v>40</v>
      </c>
      <c r="E166" s="33"/>
      <c r="F166" s="33">
        <f>A166</f>
        <v>0</v>
      </c>
      <c r="J166" s="27"/>
      <c r="K166" s="27"/>
      <c r="L166" s="27"/>
      <c r="M166" s="27"/>
      <c r="N166" s="27"/>
      <c r="O166" s="35"/>
      <c r="P166" s="27"/>
      <c r="Q166" s="27"/>
      <c r="R166" s="25"/>
      <c r="S166" s="25"/>
      <c r="T166" s="25"/>
      <c r="U166" s="25"/>
      <c r="V166" s="25"/>
      <c r="W166" s="25"/>
      <c r="X166" s="25"/>
    </row>
    <row r="167" spans="1:24" x14ac:dyDescent="0.25">
      <c r="A167" s="33"/>
      <c r="B167" s="33"/>
      <c r="C167" s="34"/>
      <c r="D167" s="33"/>
      <c r="E167" s="33"/>
      <c r="F167" s="33"/>
      <c r="J167" s="27"/>
      <c r="K167" s="27"/>
      <c r="L167" s="27"/>
      <c r="M167" s="27"/>
      <c r="N167" s="27"/>
      <c r="O167" s="35"/>
      <c r="P167" s="27"/>
      <c r="Q167" s="27"/>
      <c r="R167" s="25"/>
      <c r="S167" s="25"/>
      <c r="T167" s="25"/>
      <c r="U167" s="25"/>
      <c r="V167" s="25"/>
      <c r="W167" s="25"/>
      <c r="X167" s="25"/>
    </row>
    <row r="168" spans="1:24" x14ac:dyDescent="0.25">
      <c r="A168" s="33">
        <v>50</v>
      </c>
      <c r="B168" s="33">
        <v>0</v>
      </c>
      <c r="C168" s="34">
        <v>50</v>
      </c>
      <c r="D168" s="33">
        <f>0.5*A168+B168</f>
        <v>25</v>
      </c>
      <c r="E168" s="33"/>
      <c r="F168" s="33">
        <f>A168</f>
        <v>50</v>
      </c>
      <c r="J168" s="27"/>
      <c r="K168" s="27"/>
      <c r="L168" s="27"/>
      <c r="M168" s="27"/>
      <c r="N168" s="27"/>
      <c r="O168" s="35"/>
      <c r="P168" s="27"/>
      <c r="Q168" s="27"/>
      <c r="R168" s="25"/>
      <c r="S168" s="25"/>
      <c r="T168" s="25"/>
      <c r="U168" s="25"/>
      <c r="V168" s="25"/>
      <c r="W168" s="25"/>
      <c r="X168" s="25"/>
    </row>
    <row r="169" spans="1:24" x14ac:dyDescent="0.25">
      <c r="A169" s="33">
        <v>0</v>
      </c>
      <c r="B169" s="33">
        <v>50</v>
      </c>
      <c r="C169" s="34">
        <v>50</v>
      </c>
      <c r="D169" s="33">
        <f>0.5*A169+B169</f>
        <v>50</v>
      </c>
      <c r="E169" s="33"/>
      <c r="F169" s="33">
        <f>A169</f>
        <v>0</v>
      </c>
      <c r="J169" s="27"/>
      <c r="K169" s="27"/>
      <c r="L169" s="27"/>
      <c r="M169" s="27"/>
      <c r="N169" s="27"/>
      <c r="O169" s="35"/>
      <c r="P169" s="27"/>
      <c r="Q169" s="27"/>
      <c r="R169" s="25"/>
      <c r="S169" s="25"/>
      <c r="T169" s="25"/>
      <c r="U169" s="25"/>
      <c r="V169" s="25"/>
      <c r="W169" s="25"/>
      <c r="X169" s="25"/>
    </row>
    <row r="170" spans="1:24" x14ac:dyDescent="0.25">
      <c r="A170" s="33"/>
      <c r="B170" s="33"/>
      <c r="C170" s="34"/>
      <c r="D170" s="33"/>
      <c r="E170" s="33"/>
      <c r="F170" s="33"/>
      <c r="J170" s="27"/>
      <c r="K170" s="27"/>
      <c r="L170" s="27"/>
      <c r="M170" s="27"/>
      <c r="N170" s="27"/>
      <c r="O170" s="35"/>
      <c r="P170" s="27"/>
      <c r="Q170" s="27"/>
      <c r="R170" s="25"/>
      <c r="S170" s="25"/>
      <c r="T170" s="25"/>
      <c r="U170" s="25"/>
      <c r="V170" s="25"/>
      <c r="W170" s="25"/>
      <c r="X170" s="25"/>
    </row>
    <row r="171" spans="1:24" x14ac:dyDescent="0.25">
      <c r="A171" s="33">
        <v>60</v>
      </c>
      <c r="B171" s="33">
        <v>0</v>
      </c>
      <c r="C171" s="34">
        <v>40</v>
      </c>
      <c r="D171" s="33">
        <f>0.5*A171+B171</f>
        <v>30</v>
      </c>
      <c r="E171" s="33"/>
      <c r="F171" s="33">
        <f>A171</f>
        <v>60</v>
      </c>
      <c r="J171" s="27"/>
      <c r="K171" s="27"/>
      <c r="L171" s="27"/>
      <c r="M171" s="27"/>
      <c r="N171" s="27"/>
      <c r="O171" s="35"/>
      <c r="P171" s="27"/>
      <c r="Q171" s="27"/>
      <c r="R171" s="25"/>
      <c r="S171" s="25"/>
      <c r="T171" s="25"/>
      <c r="U171" s="25"/>
      <c r="V171" s="25"/>
      <c r="W171" s="25"/>
      <c r="X171" s="25"/>
    </row>
    <row r="172" spans="1:24" x14ac:dyDescent="0.25">
      <c r="A172" s="33">
        <v>0</v>
      </c>
      <c r="B172" s="33">
        <v>60</v>
      </c>
      <c r="C172" s="34">
        <v>40</v>
      </c>
      <c r="D172" s="33">
        <f>0.5*A172+B172</f>
        <v>60</v>
      </c>
      <c r="E172" s="33"/>
      <c r="F172" s="33">
        <f>A172</f>
        <v>0</v>
      </c>
      <c r="J172" s="27"/>
      <c r="K172" s="27"/>
      <c r="L172" s="27"/>
      <c r="M172" s="27"/>
      <c r="N172" s="27"/>
      <c r="O172" s="35"/>
      <c r="P172" s="27"/>
      <c r="Q172" s="27"/>
      <c r="R172" s="25"/>
      <c r="S172" s="25"/>
      <c r="T172" s="25"/>
      <c r="U172" s="25"/>
      <c r="V172" s="25"/>
      <c r="W172" s="25"/>
      <c r="X172" s="25"/>
    </row>
    <row r="173" spans="1:24" x14ac:dyDescent="0.25">
      <c r="A173" s="33"/>
      <c r="B173" s="33"/>
      <c r="C173" s="34"/>
      <c r="D173" s="33"/>
      <c r="E173" s="33"/>
      <c r="F173" s="33"/>
      <c r="J173" s="27"/>
      <c r="K173" s="27"/>
      <c r="L173" s="27"/>
      <c r="M173" s="27"/>
      <c r="N173" s="27"/>
      <c r="O173" s="35"/>
      <c r="P173" s="27"/>
      <c r="Q173" s="27"/>
      <c r="R173" s="25"/>
      <c r="S173" s="25"/>
      <c r="T173" s="25"/>
      <c r="U173" s="25"/>
      <c r="V173" s="25"/>
      <c r="W173" s="25"/>
      <c r="X173" s="25"/>
    </row>
    <row r="174" spans="1:24" x14ac:dyDescent="0.25">
      <c r="A174" s="33">
        <v>70</v>
      </c>
      <c r="B174" s="33">
        <v>0</v>
      </c>
      <c r="C174" s="34">
        <v>30</v>
      </c>
      <c r="D174" s="33">
        <f>0.5*A174+B174</f>
        <v>35</v>
      </c>
      <c r="E174" s="33"/>
      <c r="F174" s="33">
        <f>A174</f>
        <v>70</v>
      </c>
      <c r="J174" s="27"/>
      <c r="K174" s="27"/>
      <c r="L174" s="27"/>
      <c r="M174" s="27"/>
      <c r="N174" s="27"/>
      <c r="O174" s="35"/>
      <c r="P174" s="27"/>
      <c r="Q174" s="27"/>
      <c r="R174" s="25"/>
      <c r="S174" s="25"/>
      <c r="T174" s="25"/>
      <c r="U174" s="25"/>
      <c r="V174" s="25"/>
      <c r="W174" s="25"/>
      <c r="X174" s="25"/>
    </row>
    <row r="175" spans="1:24" x14ac:dyDescent="0.25">
      <c r="A175" s="33">
        <v>0</v>
      </c>
      <c r="B175" s="33">
        <v>70</v>
      </c>
      <c r="C175" s="34">
        <v>30</v>
      </c>
      <c r="D175" s="33">
        <f>0.5*A175+B175</f>
        <v>70</v>
      </c>
      <c r="E175" s="33"/>
      <c r="F175" s="33">
        <f>A175</f>
        <v>0</v>
      </c>
      <c r="J175" s="27"/>
      <c r="K175" s="27"/>
      <c r="L175" s="27"/>
      <c r="M175" s="27"/>
      <c r="N175" s="27"/>
      <c r="O175" s="35"/>
      <c r="P175" s="27"/>
      <c r="Q175" s="27"/>
      <c r="R175" s="25"/>
      <c r="S175" s="25"/>
      <c r="T175" s="25"/>
      <c r="U175" s="25"/>
      <c r="V175" s="25"/>
      <c r="W175" s="25"/>
      <c r="X175" s="25"/>
    </row>
    <row r="176" spans="1:24" x14ac:dyDescent="0.25">
      <c r="A176" s="33"/>
      <c r="B176" s="33"/>
      <c r="C176" s="34"/>
      <c r="D176" s="33"/>
      <c r="E176" s="33"/>
      <c r="F176" s="33"/>
      <c r="J176" s="27"/>
      <c r="K176" s="27"/>
      <c r="L176" s="27"/>
      <c r="M176" s="27"/>
      <c r="N176" s="27"/>
      <c r="O176" s="35"/>
      <c r="P176" s="27"/>
      <c r="Q176" s="27"/>
      <c r="R176" s="25"/>
      <c r="S176" s="25"/>
      <c r="T176" s="25"/>
      <c r="U176" s="25"/>
      <c r="V176" s="25"/>
      <c r="W176" s="25"/>
      <c r="X176" s="25"/>
    </row>
    <row r="177" spans="1:24" x14ac:dyDescent="0.25">
      <c r="A177" s="33">
        <v>80</v>
      </c>
      <c r="B177" s="33">
        <v>0</v>
      </c>
      <c r="C177" s="34">
        <v>20</v>
      </c>
      <c r="D177" s="33">
        <f>0.5*A177+B177</f>
        <v>40</v>
      </c>
      <c r="E177" s="33"/>
      <c r="F177" s="33">
        <f>A177</f>
        <v>80</v>
      </c>
      <c r="J177" s="27"/>
      <c r="K177" s="27"/>
      <c r="L177" s="27"/>
      <c r="M177" s="27"/>
      <c r="N177" s="27"/>
      <c r="O177" s="35"/>
      <c r="P177" s="27"/>
      <c r="Q177" s="27"/>
      <c r="R177" s="25"/>
      <c r="S177" s="25"/>
      <c r="T177" s="25"/>
      <c r="U177" s="25"/>
      <c r="V177" s="25"/>
      <c r="W177" s="25"/>
      <c r="X177" s="25"/>
    </row>
    <row r="178" spans="1:24" x14ac:dyDescent="0.25">
      <c r="A178" s="33">
        <v>0</v>
      </c>
      <c r="B178" s="33">
        <v>80</v>
      </c>
      <c r="C178" s="34">
        <v>20</v>
      </c>
      <c r="D178" s="33">
        <f>0.5*A178+B178</f>
        <v>80</v>
      </c>
      <c r="E178" s="33"/>
      <c r="F178" s="33">
        <f>A178</f>
        <v>0</v>
      </c>
      <c r="J178" s="27"/>
      <c r="K178" s="27"/>
      <c r="L178" s="27"/>
      <c r="M178" s="27"/>
      <c r="N178" s="27"/>
      <c r="O178" s="35"/>
      <c r="P178" s="27"/>
      <c r="Q178" s="27"/>
      <c r="R178" s="25"/>
      <c r="S178" s="25"/>
      <c r="T178" s="25"/>
      <c r="U178" s="25"/>
      <c r="V178" s="25"/>
      <c r="W178" s="25"/>
      <c r="X178" s="25"/>
    </row>
    <row r="179" spans="1:24" x14ac:dyDescent="0.25">
      <c r="A179" s="33"/>
      <c r="B179" s="33"/>
      <c r="C179" s="34"/>
      <c r="D179" s="33"/>
      <c r="E179" s="33"/>
      <c r="F179" s="33"/>
      <c r="J179" s="27"/>
      <c r="K179" s="27"/>
      <c r="L179" s="27"/>
      <c r="M179" s="27"/>
      <c r="N179" s="27"/>
      <c r="O179" s="35"/>
      <c r="P179" s="27"/>
      <c r="Q179" s="27"/>
      <c r="R179" s="25"/>
      <c r="S179" s="25"/>
      <c r="T179" s="25"/>
      <c r="U179" s="25"/>
      <c r="V179" s="25"/>
      <c r="W179" s="25"/>
      <c r="X179" s="25"/>
    </row>
    <row r="180" spans="1:24" x14ac:dyDescent="0.25">
      <c r="A180" s="33">
        <v>90</v>
      </c>
      <c r="B180" s="33">
        <v>0</v>
      </c>
      <c r="C180" s="34">
        <v>10</v>
      </c>
      <c r="D180" s="33">
        <f>0.5*A180+B180</f>
        <v>45</v>
      </c>
      <c r="E180" s="33"/>
      <c r="F180" s="33">
        <f>A180</f>
        <v>90</v>
      </c>
      <c r="J180" s="27"/>
      <c r="K180" s="27"/>
      <c r="L180" s="27"/>
      <c r="M180" s="27"/>
      <c r="N180" s="27"/>
      <c r="O180" s="35"/>
      <c r="P180" s="27"/>
      <c r="Q180" s="27"/>
      <c r="R180" s="25"/>
      <c r="S180" s="25"/>
      <c r="T180" s="25"/>
      <c r="U180" s="25"/>
      <c r="V180" s="25"/>
      <c r="W180" s="25"/>
      <c r="X180" s="25"/>
    </row>
    <row r="181" spans="1:24" x14ac:dyDescent="0.25">
      <c r="A181" s="33">
        <v>0</v>
      </c>
      <c r="B181" s="33">
        <v>90</v>
      </c>
      <c r="C181" s="34">
        <v>10</v>
      </c>
      <c r="D181" s="33">
        <f>0.5*A181+B181</f>
        <v>90</v>
      </c>
      <c r="E181" s="33"/>
      <c r="F181" s="33">
        <f>A181</f>
        <v>0</v>
      </c>
      <c r="J181" s="27"/>
      <c r="K181" s="27"/>
      <c r="L181" s="27"/>
      <c r="M181" s="27"/>
      <c r="N181" s="27"/>
      <c r="O181" s="35"/>
      <c r="P181" s="27"/>
      <c r="Q181" s="27"/>
      <c r="R181" s="25"/>
      <c r="S181" s="25"/>
      <c r="T181" s="25"/>
      <c r="U181" s="25"/>
      <c r="V181" s="25"/>
      <c r="W181" s="25"/>
      <c r="X181" s="25"/>
    </row>
    <row r="182" spans="1:24" x14ac:dyDescent="0.25">
      <c r="J182" s="27"/>
      <c r="K182" s="27"/>
      <c r="L182" s="27"/>
      <c r="M182" s="27"/>
      <c r="N182" s="27"/>
      <c r="O182" s="35"/>
      <c r="P182" s="27"/>
      <c r="Q182" s="27"/>
      <c r="R182" s="25"/>
      <c r="S182" s="25"/>
      <c r="T182" s="25"/>
    </row>
    <row r="183" spans="1:24" x14ac:dyDescent="0.25">
      <c r="P183" s="27"/>
      <c r="Q183" s="27"/>
      <c r="R183" s="25"/>
      <c r="S183" s="25"/>
      <c r="T183" s="25"/>
    </row>
    <row r="184" spans="1:24" x14ac:dyDescent="0.25">
      <c r="P184" s="27"/>
      <c r="Q184" s="27"/>
      <c r="R184" s="25"/>
      <c r="S184" s="25"/>
      <c r="T184" s="25"/>
    </row>
    <row r="185" spans="1:24" x14ac:dyDescent="0.25">
      <c r="P185" s="27"/>
      <c r="Q185" s="27"/>
      <c r="R185" s="25"/>
      <c r="S185" s="25"/>
      <c r="T185" s="25"/>
    </row>
    <row r="186" spans="1:24" x14ac:dyDescent="0.25">
      <c r="R186" s="25"/>
      <c r="S186" s="25"/>
      <c r="T186" s="25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1"/>
  <sheetViews>
    <sheetView topLeftCell="A29" workbookViewId="0">
      <selection activeCell="J58" sqref="J58"/>
    </sheetView>
  </sheetViews>
  <sheetFormatPr defaultRowHeight="12.75" x14ac:dyDescent="0.2"/>
  <sheetData>
    <row r="1" spans="1:5" ht="15" x14ac:dyDescent="0.25">
      <c r="A1" s="3" t="s">
        <v>89</v>
      </c>
    </row>
    <row r="2" spans="1:5" ht="15" x14ac:dyDescent="0.25">
      <c r="A2" s="3" t="s">
        <v>113</v>
      </c>
    </row>
    <row r="3" spans="1:5" ht="15" x14ac:dyDescent="0.25">
      <c r="A3" s="36" t="s">
        <v>114</v>
      </c>
    </row>
    <row r="4" spans="1:5" x14ac:dyDescent="0.2">
      <c r="A4" s="37" t="s">
        <v>115</v>
      </c>
    </row>
    <row r="5" spans="1:5" x14ac:dyDescent="0.2">
      <c r="A5" t="s">
        <v>116</v>
      </c>
      <c r="B5" s="37" t="s">
        <v>91</v>
      </c>
      <c r="C5" s="37" t="s">
        <v>92</v>
      </c>
      <c r="D5" s="37" t="s">
        <v>104</v>
      </c>
      <c r="E5" s="37" t="s">
        <v>105</v>
      </c>
    </row>
    <row r="6" spans="1:5" x14ac:dyDescent="0.2">
      <c r="A6">
        <v>343.15</v>
      </c>
      <c r="B6">
        <v>0.1</v>
      </c>
      <c r="C6">
        <v>0.1</v>
      </c>
      <c r="D6">
        <v>0.61</v>
      </c>
      <c r="E6">
        <v>0.13</v>
      </c>
    </row>
    <row r="7" spans="1:5" x14ac:dyDescent="0.2">
      <c r="A7">
        <v>343.15</v>
      </c>
      <c r="B7">
        <v>0.1</v>
      </c>
      <c r="C7">
        <v>0.2</v>
      </c>
      <c r="D7">
        <v>0.52</v>
      </c>
      <c r="E7">
        <v>0.24</v>
      </c>
    </row>
    <row r="8" spans="1:5" x14ac:dyDescent="0.2">
      <c r="A8">
        <v>342.55</v>
      </c>
      <c r="B8">
        <v>0.1</v>
      </c>
      <c r="C8">
        <v>0.3</v>
      </c>
      <c r="D8">
        <v>0.43</v>
      </c>
      <c r="E8">
        <v>0.35499999999999998</v>
      </c>
    </row>
    <row r="9" spans="1:5" x14ac:dyDescent="0.2">
      <c r="A9">
        <v>341.95</v>
      </c>
      <c r="B9">
        <v>0.1</v>
      </c>
      <c r="C9">
        <v>0.4</v>
      </c>
      <c r="D9">
        <v>0.37</v>
      </c>
      <c r="E9">
        <v>0.45</v>
      </c>
    </row>
    <row r="10" spans="1:5" x14ac:dyDescent="0.2">
      <c r="A10">
        <v>341.15</v>
      </c>
      <c r="B10">
        <v>0.1</v>
      </c>
      <c r="C10">
        <v>0.5</v>
      </c>
      <c r="D10">
        <v>0.32</v>
      </c>
      <c r="E10">
        <v>0.54</v>
      </c>
    </row>
    <row r="11" spans="1:5" x14ac:dyDescent="0.2">
      <c r="A11">
        <v>339.65</v>
      </c>
      <c r="B11">
        <v>0.1</v>
      </c>
      <c r="C11">
        <v>0.6</v>
      </c>
      <c r="D11">
        <v>0.26</v>
      </c>
      <c r="E11">
        <v>0.63</v>
      </c>
    </row>
    <row r="12" spans="1:5" x14ac:dyDescent="0.2">
      <c r="A12">
        <v>338.15</v>
      </c>
      <c r="B12">
        <v>0.1</v>
      </c>
      <c r="C12">
        <v>0.7</v>
      </c>
      <c r="D12">
        <v>0.22</v>
      </c>
      <c r="E12">
        <v>0.71</v>
      </c>
    </row>
    <row r="13" spans="1:5" x14ac:dyDescent="0.2">
      <c r="A13">
        <v>336.65</v>
      </c>
      <c r="B13">
        <v>0.1</v>
      </c>
      <c r="C13">
        <v>0.8</v>
      </c>
      <c r="D13">
        <v>0.185</v>
      </c>
      <c r="E13">
        <v>0.78</v>
      </c>
    </row>
    <row r="14" spans="1:5" x14ac:dyDescent="0.2">
      <c r="A14">
        <v>338.15</v>
      </c>
      <c r="B14">
        <v>0.2</v>
      </c>
      <c r="C14">
        <v>0.1</v>
      </c>
      <c r="D14">
        <v>0.72</v>
      </c>
      <c r="E14">
        <v>7.0000000000000007E-2</v>
      </c>
    </row>
    <row r="15" spans="1:5" x14ac:dyDescent="0.2">
      <c r="A15">
        <v>338.65</v>
      </c>
      <c r="B15">
        <v>0.2</v>
      </c>
      <c r="C15">
        <v>0.2</v>
      </c>
      <c r="D15">
        <v>0.63500000000000001</v>
      </c>
      <c r="E15">
        <v>0.18</v>
      </c>
    </row>
    <row r="16" spans="1:5" x14ac:dyDescent="0.2">
      <c r="A16">
        <v>338.65</v>
      </c>
      <c r="B16">
        <v>0.2</v>
      </c>
      <c r="C16">
        <v>0.3</v>
      </c>
      <c r="D16">
        <v>0.56000000000000005</v>
      </c>
      <c r="E16">
        <v>0.28000000000000003</v>
      </c>
    </row>
    <row r="17" spans="1:5" x14ac:dyDescent="0.2">
      <c r="A17">
        <v>337.65</v>
      </c>
      <c r="B17">
        <v>0.2</v>
      </c>
      <c r="C17">
        <v>0.4</v>
      </c>
      <c r="D17">
        <v>0.5</v>
      </c>
      <c r="E17">
        <v>0.37</v>
      </c>
    </row>
    <row r="18" spans="1:5" x14ac:dyDescent="0.2">
      <c r="A18">
        <v>336.65</v>
      </c>
      <c r="B18">
        <v>0.2</v>
      </c>
      <c r="C18">
        <v>0.5</v>
      </c>
      <c r="D18">
        <v>0.44</v>
      </c>
      <c r="E18">
        <v>0.47</v>
      </c>
    </row>
    <row r="19" spans="1:5" x14ac:dyDescent="0.2">
      <c r="A19">
        <v>335.65</v>
      </c>
      <c r="B19">
        <v>0.2</v>
      </c>
      <c r="C19">
        <v>0.6</v>
      </c>
      <c r="D19">
        <v>0.38500000000000001</v>
      </c>
      <c r="E19">
        <v>0.55000000000000004</v>
      </c>
    </row>
    <row r="20" spans="1:5" x14ac:dyDescent="0.2">
      <c r="A20">
        <v>334.15</v>
      </c>
      <c r="B20">
        <v>0.2</v>
      </c>
      <c r="C20">
        <v>0.7</v>
      </c>
      <c r="D20">
        <v>0.34</v>
      </c>
      <c r="E20">
        <v>0.625</v>
      </c>
    </row>
    <row r="21" spans="1:5" x14ac:dyDescent="0.2">
      <c r="A21">
        <v>335.95</v>
      </c>
      <c r="B21">
        <v>0.3</v>
      </c>
      <c r="C21">
        <v>0.1</v>
      </c>
      <c r="D21">
        <v>0.76</v>
      </c>
      <c r="E21">
        <v>6.5000000000000002E-2</v>
      </c>
    </row>
    <row r="22" spans="1:5" x14ac:dyDescent="0.2">
      <c r="A22">
        <v>335.85</v>
      </c>
      <c r="B22">
        <v>0.3</v>
      </c>
      <c r="C22">
        <v>0.2</v>
      </c>
      <c r="D22">
        <v>0.7</v>
      </c>
      <c r="E22">
        <v>0.15</v>
      </c>
    </row>
    <row r="23" spans="1:5" x14ac:dyDescent="0.2">
      <c r="A23">
        <v>335.45</v>
      </c>
      <c r="B23">
        <v>0.3</v>
      </c>
      <c r="C23">
        <v>0.3</v>
      </c>
      <c r="D23">
        <v>0.625</v>
      </c>
      <c r="E23">
        <v>0.255</v>
      </c>
    </row>
    <row r="24" spans="1:5" x14ac:dyDescent="0.2">
      <c r="A24">
        <v>334.65</v>
      </c>
      <c r="B24">
        <v>0.3</v>
      </c>
      <c r="C24">
        <v>0.4</v>
      </c>
      <c r="D24">
        <v>0.56999999999999995</v>
      </c>
      <c r="E24">
        <v>0.34499999999999997</v>
      </c>
    </row>
    <row r="25" spans="1:5" x14ac:dyDescent="0.2">
      <c r="A25">
        <v>333.65</v>
      </c>
      <c r="B25">
        <v>0.3</v>
      </c>
      <c r="C25">
        <v>0.5</v>
      </c>
      <c r="D25">
        <v>0.52</v>
      </c>
      <c r="E25">
        <v>0.41499999999999998</v>
      </c>
    </row>
    <row r="26" spans="1:5" x14ac:dyDescent="0.2">
      <c r="A26">
        <v>332.65</v>
      </c>
      <c r="B26">
        <v>0.3</v>
      </c>
      <c r="C26">
        <v>0.6</v>
      </c>
      <c r="D26">
        <v>0.46500000000000002</v>
      </c>
      <c r="E26">
        <v>0.5</v>
      </c>
    </row>
    <row r="27" spans="1:5" x14ac:dyDescent="0.2">
      <c r="A27">
        <v>334.65</v>
      </c>
      <c r="B27">
        <v>0.4</v>
      </c>
      <c r="C27">
        <v>0.1</v>
      </c>
      <c r="D27">
        <v>0.79</v>
      </c>
      <c r="E27">
        <v>0.06</v>
      </c>
    </row>
    <row r="28" spans="1:5" x14ac:dyDescent="0.2">
      <c r="A28">
        <v>333.95</v>
      </c>
      <c r="B28">
        <v>0.4</v>
      </c>
      <c r="C28">
        <v>0.2</v>
      </c>
      <c r="D28">
        <v>0.72499999999999998</v>
      </c>
      <c r="E28">
        <v>0.155</v>
      </c>
    </row>
    <row r="29" spans="1:5" x14ac:dyDescent="0.2">
      <c r="A29">
        <v>333.15</v>
      </c>
      <c r="B29">
        <v>0.4</v>
      </c>
      <c r="C29">
        <v>0.3</v>
      </c>
      <c r="D29">
        <v>0.67</v>
      </c>
      <c r="E29">
        <v>0.24199999999999999</v>
      </c>
    </row>
    <row r="30" spans="1:5" x14ac:dyDescent="0.2">
      <c r="A30">
        <v>332.55</v>
      </c>
      <c r="B30">
        <v>0.4</v>
      </c>
      <c r="C30">
        <v>0.4</v>
      </c>
      <c r="D30">
        <v>0.61499999999999999</v>
      </c>
      <c r="E30">
        <v>0.32200000000000001</v>
      </c>
    </row>
    <row r="31" spans="1:5" x14ac:dyDescent="0.2">
      <c r="A31">
        <v>331.55</v>
      </c>
      <c r="B31">
        <v>0.4</v>
      </c>
      <c r="C31">
        <v>0.5</v>
      </c>
      <c r="D31">
        <v>0.56499999999999995</v>
      </c>
      <c r="E31">
        <v>0.40200000000000002</v>
      </c>
    </row>
    <row r="32" spans="1:5" x14ac:dyDescent="0.2">
      <c r="A32">
        <v>333.15</v>
      </c>
      <c r="B32">
        <v>0.5</v>
      </c>
      <c r="C32">
        <v>0.1</v>
      </c>
      <c r="D32">
        <v>0.81</v>
      </c>
      <c r="E32">
        <v>6.5000000000000002E-2</v>
      </c>
    </row>
    <row r="33" spans="1:5" x14ac:dyDescent="0.2">
      <c r="A33">
        <v>332.55</v>
      </c>
      <c r="B33">
        <v>0.5</v>
      </c>
      <c r="C33">
        <v>0.2</v>
      </c>
      <c r="D33">
        <v>0.75</v>
      </c>
      <c r="E33">
        <v>0.16</v>
      </c>
    </row>
    <row r="34" spans="1:5" x14ac:dyDescent="0.2">
      <c r="A34">
        <v>331.75</v>
      </c>
      <c r="B34">
        <v>0.5</v>
      </c>
      <c r="C34">
        <v>0.3</v>
      </c>
      <c r="D34">
        <v>0.7</v>
      </c>
      <c r="E34">
        <v>0.23200000000000001</v>
      </c>
    </row>
    <row r="35" spans="1:5" x14ac:dyDescent="0.2">
      <c r="A35">
        <v>330.75</v>
      </c>
      <c r="B35">
        <v>0.5</v>
      </c>
      <c r="C35">
        <v>0.4</v>
      </c>
      <c r="D35">
        <v>0.65</v>
      </c>
      <c r="E35">
        <v>0.317</v>
      </c>
    </row>
    <row r="36" spans="1:5" x14ac:dyDescent="0.2">
      <c r="A36">
        <v>332.25</v>
      </c>
      <c r="B36">
        <v>0.6</v>
      </c>
      <c r="C36">
        <v>0.1</v>
      </c>
      <c r="D36">
        <v>0.82</v>
      </c>
      <c r="E36">
        <v>0.08</v>
      </c>
    </row>
    <row r="37" spans="1:5" x14ac:dyDescent="0.2">
      <c r="A37">
        <v>331.45</v>
      </c>
      <c r="B37">
        <v>0.6</v>
      </c>
      <c r="C37">
        <v>0.2</v>
      </c>
      <c r="D37">
        <v>0.77</v>
      </c>
      <c r="E37">
        <v>0.16300000000000001</v>
      </c>
    </row>
    <row r="38" spans="1:5" x14ac:dyDescent="0.2">
      <c r="A38">
        <v>330.45</v>
      </c>
      <c r="B38">
        <v>0.6</v>
      </c>
      <c r="C38">
        <v>0.3</v>
      </c>
      <c r="D38">
        <v>0.72</v>
      </c>
      <c r="E38">
        <v>0.245</v>
      </c>
    </row>
    <row r="39" spans="1:5" x14ac:dyDescent="0.2">
      <c r="A39">
        <v>331.35</v>
      </c>
      <c r="B39">
        <v>0.7</v>
      </c>
      <c r="C39">
        <v>0.1</v>
      </c>
      <c r="D39">
        <v>0.82699999999999996</v>
      </c>
      <c r="E39">
        <v>9.5000000000000001E-2</v>
      </c>
    </row>
    <row r="40" spans="1:5" x14ac:dyDescent="0.2">
      <c r="A40">
        <v>330.35</v>
      </c>
      <c r="B40">
        <v>0.7</v>
      </c>
      <c r="C40">
        <v>0.2</v>
      </c>
      <c r="D40">
        <v>0.77800000000000002</v>
      </c>
      <c r="E40">
        <v>0.184</v>
      </c>
    </row>
    <row r="41" spans="1:5" x14ac:dyDescent="0.2">
      <c r="A41">
        <v>330.35</v>
      </c>
      <c r="B41">
        <v>0.8</v>
      </c>
      <c r="C41">
        <v>0.1</v>
      </c>
      <c r="D41">
        <v>0.86</v>
      </c>
      <c r="E41">
        <v>0.1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7"/>
  <sheetViews>
    <sheetView workbookViewId="0">
      <selection activeCell="A11" sqref="A11"/>
    </sheetView>
  </sheetViews>
  <sheetFormatPr defaultRowHeight="15" x14ac:dyDescent="0.25"/>
  <cols>
    <col min="1" max="1" width="9" style="40"/>
    <col min="2" max="2" width="11.625" style="40" customWidth="1"/>
    <col min="3" max="3" width="9" style="40"/>
    <col min="4" max="4" width="11.375" style="40" customWidth="1"/>
    <col min="5" max="257" width="9" style="40"/>
    <col min="258" max="258" width="11.625" style="40" customWidth="1"/>
    <col min="259" max="259" width="9" style="40"/>
    <col min="260" max="260" width="11.375" style="40" customWidth="1"/>
    <col min="261" max="513" width="9" style="40"/>
    <col min="514" max="514" width="11.625" style="40" customWidth="1"/>
    <col min="515" max="515" width="9" style="40"/>
    <col min="516" max="516" width="11.375" style="40" customWidth="1"/>
    <col min="517" max="769" width="9" style="40"/>
    <col min="770" max="770" width="11.625" style="40" customWidth="1"/>
    <col min="771" max="771" width="9" style="40"/>
    <col min="772" max="772" width="11.375" style="40" customWidth="1"/>
    <col min="773" max="1025" width="9" style="40"/>
    <col min="1026" max="1026" width="11.625" style="40" customWidth="1"/>
    <col min="1027" max="1027" width="9" style="40"/>
    <col min="1028" max="1028" width="11.375" style="40" customWidth="1"/>
    <col min="1029" max="1281" width="9" style="40"/>
    <col min="1282" max="1282" width="11.625" style="40" customWidth="1"/>
    <col min="1283" max="1283" width="9" style="40"/>
    <col min="1284" max="1284" width="11.375" style="40" customWidth="1"/>
    <col min="1285" max="1537" width="9" style="40"/>
    <col min="1538" max="1538" width="11.625" style="40" customWidth="1"/>
    <col min="1539" max="1539" width="9" style="40"/>
    <col min="1540" max="1540" width="11.375" style="40" customWidth="1"/>
    <col min="1541" max="1793" width="9" style="40"/>
    <col min="1794" max="1794" width="11.625" style="40" customWidth="1"/>
    <col min="1795" max="1795" width="9" style="40"/>
    <col min="1796" max="1796" width="11.375" style="40" customWidth="1"/>
    <col min="1797" max="2049" width="9" style="40"/>
    <col min="2050" max="2050" width="11.625" style="40" customWidth="1"/>
    <col min="2051" max="2051" width="9" style="40"/>
    <col min="2052" max="2052" width="11.375" style="40" customWidth="1"/>
    <col min="2053" max="2305" width="9" style="40"/>
    <col min="2306" max="2306" width="11.625" style="40" customWidth="1"/>
    <col min="2307" max="2307" width="9" style="40"/>
    <col min="2308" max="2308" width="11.375" style="40" customWidth="1"/>
    <col min="2309" max="2561" width="9" style="40"/>
    <col min="2562" max="2562" width="11.625" style="40" customWidth="1"/>
    <col min="2563" max="2563" width="9" style="40"/>
    <col min="2564" max="2564" width="11.375" style="40" customWidth="1"/>
    <col min="2565" max="2817" width="9" style="40"/>
    <col min="2818" max="2818" width="11.625" style="40" customWidth="1"/>
    <col min="2819" max="2819" width="9" style="40"/>
    <col min="2820" max="2820" width="11.375" style="40" customWidth="1"/>
    <col min="2821" max="3073" width="9" style="40"/>
    <col min="3074" max="3074" width="11.625" style="40" customWidth="1"/>
    <col min="3075" max="3075" width="9" style="40"/>
    <col min="3076" max="3076" width="11.375" style="40" customWidth="1"/>
    <col min="3077" max="3329" width="9" style="40"/>
    <col min="3330" max="3330" width="11.625" style="40" customWidth="1"/>
    <col min="3331" max="3331" width="9" style="40"/>
    <col min="3332" max="3332" width="11.375" style="40" customWidth="1"/>
    <col min="3333" max="3585" width="9" style="40"/>
    <col min="3586" max="3586" width="11.625" style="40" customWidth="1"/>
    <col min="3587" max="3587" width="9" style="40"/>
    <col min="3588" max="3588" width="11.375" style="40" customWidth="1"/>
    <col min="3589" max="3841" width="9" style="40"/>
    <col min="3842" max="3842" width="11.625" style="40" customWidth="1"/>
    <col min="3843" max="3843" width="9" style="40"/>
    <col min="3844" max="3844" width="11.375" style="40" customWidth="1"/>
    <col min="3845" max="4097" width="9" style="40"/>
    <col min="4098" max="4098" width="11.625" style="40" customWidth="1"/>
    <col min="4099" max="4099" width="9" style="40"/>
    <col min="4100" max="4100" width="11.375" style="40" customWidth="1"/>
    <col min="4101" max="4353" width="9" style="40"/>
    <col min="4354" max="4354" width="11.625" style="40" customWidth="1"/>
    <col min="4355" max="4355" width="9" style="40"/>
    <col min="4356" max="4356" width="11.375" style="40" customWidth="1"/>
    <col min="4357" max="4609" width="9" style="40"/>
    <col min="4610" max="4610" width="11.625" style="40" customWidth="1"/>
    <col min="4611" max="4611" width="9" style="40"/>
    <col min="4612" max="4612" width="11.375" style="40" customWidth="1"/>
    <col min="4613" max="4865" width="9" style="40"/>
    <col min="4866" max="4866" width="11.625" style="40" customWidth="1"/>
    <col min="4867" max="4867" width="9" style="40"/>
    <col min="4868" max="4868" width="11.375" style="40" customWidth="1"/>
    <col min="4869" max="5121" width="9" style="40"/>
    <col min="5122" max="5122" width="11.625" style="40" customWidth="1"/>
    <col min="5123" max="5123" width="9" style="40"/>
    <col min="5124" max="5124" width="11.375" style="40" customWidth="1"/>
    <col min="5125" max="5377" width="9" style="40"/>
    <col min="5378" max="5378" width="11.625" style="40" customWidth="1"/>
    <col min="5379" max="5379" width="9" style="40"/>
    <col min="5380" max="5380" width="11.375" style="40" customWidth="1"/>
    <col min="5381" max="5633" width="9" style="40"/>
    <col min="5634" max="5634" width="11.625" style="40" customWidth="1"/>
    <col min="5635" max="5635" width="9" style="40"/>
    <col min="5636" max="5636" width="11.375" style="40" customWidth="1"/>
    <col min="5637" max="5889" width="9" style="40"/>
    <col min="5890" max="5890" width="11.625" style="40" customWidth="1"/>
    <col min="5891" max="5891" width="9" style="40"/>
    <col min="5892" max="5892" width="11.375" style="40" customWidth="1"/>
    <col min="5893" max="6145" width="9" style="40"/>
    <col min="6146" max="6146" width="11.625" style="40" customWidth="1"/>
    <col min="6147" max="6147" width="9" style="40"/>
    <col min="6148" max="6148" width="11.375" style="40" customWidth="1"/>
    <col min="6149" max="6401" width="9" style="40"/>
    <col min="6402" max="6402" width="11.625" style="40" customWidth="1"/>
    <col min="6403" max="6403" width="9" style="40"/>
    <col min="6404" max="6404" width="11.375" style="40" customWidth="1"/>
    <col min="6405" max="6657" width="9" style="40"/>
    <col min="6658" max="6658" width="11.625" style="40" customWidth="1"/>
    <col min="6659" max="6659" width="9" style="40"/>
    <col min="6660" max="6660" width="11.375" style="40" customWidth="1"/>
    <col min="6661" max="6913" width="9" style="40"/>
    <col min="6914" max="6914" width="11.625" style="40" customWidth="1"/>
    <col min="6915" max="6915" width="9" style="40"/>
    <col min="6916" max="6916" width="11.375" style="40" customWidth="1"/>
    <col min="6917" max="7169" width="9" style="40"/>
    <col min="7170" max="7170" width="11.625" style="40" customWidth="1"/>
    <col min="7171" max="7171" width="9" style="40"/>
    <col min="7172" max="7172" width="11.375" style="40" customWidth="1"/>
    <col min="7173" max="7425" width="9" style="40"/>
    <col min="7426" max="7426" width="11.625" style="40" customWidth="1"/>
    <col min="7427" max="7427" width="9" style="40"/>
    <col min="7428" max="7428" width="11.375" style="40" customWidth="1"/>
    <col min="7429" max="7681" width="9" style="40"/>
    <col min="7682" max="7682" width="11.625" style="40" customWidth="1"/>
    <col min="7683" max="7683" width="9" style="40"/>
    <col min="7684" max="7684" width="11.375" style="40" customWidth="1"/>
    <col min="7685" max="7937" width="9" style="40"/>
    <col min="7938" max="7938" width="11.625" style="40" customWidth="1"/>
    <col min="7939" max="7939" width="9" style="40"/>
    <col min="7940" max="7940" width="11.375" style="40" customWidth="1"/>
    <col min="7941" max="8193" width="9" style="40"/>
    <col min="8194" max="8194" width="11.625" style="40" customWidth="1"/>
    <col min="8195" max="8195" width="9" style="40"/>
    <col min="8196" max="8196" width="11.375" style="40" customWidth="1"/>
    <col min="8197" max="8449" width="9" style="40"/>
    <col min="8450" max="8450" width="11.625" style="40" customWidth="1"/>
    <col min="8451" max="8451" width="9" style="40"/>
    <col min="8452" max="8452" width="11.375" style="40" customWidth="1"/>
    <col min="8453" max="8705" width="9" style="40"/>
    <col min="8706" max="8706" width="11.625" style="40" customWidth="1"/>
    <col min="8707" max="8707" width="9" style="40"/>
    <col min="8708" max="8708" width="11.375" style="40" customWidth="1"/>
    <col min="8709" max="8961" width="9" style="40"/>
    <col min="8962" max="8962" width="11.625" style="40" customWidth="1"/>
    <col min="8963" max="8963" width="9" style="40"/>
    <col min="8964" max="8964" width="11.375" style="40" customWidth="1"/>
    <col min="8965" max="9217" width="9" style="40"/>
    <col min="9218" max="9218" width="11.625" style="40" customWidth="1"/>
    <col min="9219" max="9219" width="9" style="40"/>
    <col min="9220" max="9220" width="11.375" style="40" customWidth="1"/>
    <col min="9221" max="9473" width="9" style="40"/>
    <col min="9474" max="9474" width="11.625" style="40" customWidth="1"/>
    <col min="9475" max="9475" width="9" style="40"/>
    <col min="9476" max="9476" width="11.375" style="40" customWidth="1"/>
    <col min="9477" max="9729" width="9" style="40"/>
    <col min="9730" max="9730" width="11.625" style="40" customWidth="1"/>
    <col min="9731" max="9731" width="9" style="40"/>
    <col min="9732" max="9732" width="11.375" style="40" customWidth="1"/>
    <col min="9733" max="9985" width="9" style="40"/>
    <col min="9986" max="9986" width="11.625" style="40" customWidth="1"/>
    <col min="9987" max="9987" width="9" style="40"/>
    <col min="9988" max="9988" width="11.375" style="40" customWidth="1"/>
    <col min="9989" max="10241" width="9" style="40"/>
    <col min="10242" max="10242" width="11.625" style="40" customWidth="1"/>
    <col min="10243" max="10243" width="9" style="40"/>
    <col min="10244" max="10244" width="11.375" style="40" customWidth="1"/>
    <col min="10245" max="10497" width="9" style="40"/>
    <col min="10498" max="10498" width="11.625" style="40" customWidth="1"/>
    <col min="10499" max="10499" width="9" style="40"/>
    <col min="10500" max="10500" width="11.375" style="40" customWidth="1"/>
    <col min="10501" max="10753" width="9" style="40"/>
    <col min="10754" max="10754" width="11.625" style="40" customWidth="1"/>
    <col min="10755" max="10755" width="9" style="40"/>
    <col min="10756" max="10756" width="11.375" style="40" customWidth="1"/>
    <col min="10757" max="11009" width="9" style="40"/>
    <col min="11010" max="11010" width="11.625" style="40" customWidth="1"/>
    <col min="11011" max="11011" width="9" style="40"/>
    <col min="11012" max="11012" width="11.375" style="40" customWidth="1"/>
    <col min="11013" max="11265" width="9" style="40"/>
    <col min="11266" max="11266" width="11.625" style="40" customWidth="1"/>
    <col min="11267" max="11267" width="9" style="40"/>
    <col min="11268" max="11268" width="11.375" style="40" customWidth="1"/>
    <col min="11269" max="11521" width="9" style="40"/>
    <col min="11522" max="11522" width="11.625" style="40" customWidth="1"/>
    <col min="11523" max="11523" width="9" style="40"/>
    <col min="11524" max="11524" width="11.375" style="40" customWidth="1"/>
    <col min="11525" max="11777" width="9" style="40"/>
    <col min="11778" max="11778" width="11.625" style="40" customWidth="1"/>
    <col min="11779" max="11779" width="9" style="40"/>
    <col min="11780" max="11780" width="11.375" style="40" customWidth="1"/>
    <col min="11781" max="12033" width="9" style="40"/>
    <col min="12034" max="12034" width="11.625" style="40" customWidth="1"/>
    <col min="12035" max="12035" width="9" style="40"/>
    <col min="12036" max="12036" width="11.375" style="40" customWidth="1"/>
    <col min="12037" max="12289" width="9" style="40"/>
    <col min="12290" max="12290" width="11.625" style="40" customWidth="1"/>
    <col min="12291" max="12291" width="9" style="40"/>
    <col min="12292" max="12292" width="11.375" style="40" customWidth="1"/>
    <col min="12293" max="12545" width="9" style="40"/>
    <col min="12546" max="12546" width="11.625" style="40" customWidth="1"/>
    <col min="12547" max="12547" width="9" style="40"/>
    <col min="12548" max="12548" width="11.375" style="40" customWidth="1"/>
    <col min="12549" max="12801" width="9" style="40"/>
    <col min="12802" max="12802" width="11.625" style="40" customWidth="1"/>
    <col min="12803" max="12803" width="9" style="40"/>
    <col min="12804" max="12804" width="11.375" style="40" customWidth="1"/>
    <col min="12805" max="13057" width="9" style="40"/>
    <col min="13058" max="13058" width="11.625" style="40" customWidth="1"/>
    <col min="13059" max="13059" width="9" style="40"/>
    <col min="13060" max="13060" width="11.375" style="40" customWidth="1"/>
    <col min="13061" max="13313" width="9" style="40"/>
    <col min="13314" max="13314" width="11.625" style="40" customWidth="1"/>
    <col min="13315" max="13315" width="9" style="40"/>
    <col min="13316" max="13316" width="11.375" style="40" customWidth="1"/>
    <col min="13317" max="13569" width="9" style="40"/>
    <col min="13570" max="13570" width="11.625" style="40" customWidth="1"/>
    <col min="13571" max="13571" width="9" style="40"/>
    <col min="13572" max="13572" width="11.375" style="40" customWidth="1"/>
    <col min="13573" max="13825" width="9" style="40"/>
    <col min="13826" max="13826" width="11.625" style="40" customWidth="1"/>
    <col min="13827" max="13827" width="9" style="40"/>
    <col min="13828" max="13828" width="11.375" style="40" customWidth="1"/>
    <col min="13829" max="14081" width="9" style="40"/>
    <col min="14082" max="14082" width="11.625" style="40" customWidth="1"/>
    <col min="14083" max="14083" width="9" style="40"/>
    <col min="14084" max="14084" width="11.375" style="40" customWidth="1"/>
    <col min="14085" max="14337" width="9" style="40"/>
    <col min="14338" max="14338" width="11.625" style="40" customWidth="1"/>
    <col min="14339" max="14339" width="9" style="40"/>
    <col min="14340" max="14340" width="11.375" style="40" customWidth="1"/>
    <col min="14341" max="14593" width="9" style="40"/>
    <col min="14594" max="14594" width="11.625" style="40" customWidth="1"/>
    <col min="14595" max="14595" width="9" style="40"/>
    <col min="14596" max="14596" width="11.375" style="40" customWidth="1"/>
    <col min="14597" max="14849" width="9" style="40"/>
    <col min="14850" max="14850" width="11.625" style="40" customWidth="1"/>
    <col min="14851" max="14851" width="9" style="40"/>
    <col min="14852" max="14852" width="11.375" style="40" customWidth="1"/>
    <col min="14853" max="15105" width="9" style="40"/>
    <col min="15106" max="15106" width="11.625" style="40" customWidth="1"/>
    <col min="15107" max="15107" width="9" style="40"/>
    <col min="15108" max="15108" width="11.375" style="40" customWidth="1"/>
    <col min="15109" max="15361" width="9" style="40"/>
    <col min="15362" max="15362" width="11.625" style="40" customWidth="1"/>
    <col min="15363" max="15363" width="9" style="40"/>
    <col min="15364" max="15364" width="11.375" style="40" customWidth="1"/>
    <col min="15365" max="15617" width="9" style="40"/>
    <col min="15618" max="15618" width="11.625" style="40" customWidth="1"/>
    <col min="15619" max="15619" width="9" style="40"/>
    <col min="15620" max="15620" width="11.375" style="40" customWidth="1"/>
    <col min="15621" max="15873" width="9" style="40"/>
    <col min="15874" max="15874" width="11.625" style="40" customWidth="1"/>
    <col min="15875" max="15875" width="9" style="40"/>
    <col min="15876" max="15876" width="11.375" style="40" customWidth="1"/>
    <col min="15877" max="16129" width="9" style="40"/>
    <col min="16130" max="16130" width="11.625" style="40" customWidth="1"/>
    <col min="16131" max="16131" width="9" style="40"/>
    <col min="16132" max="16132" width="11.375" style="40" customWidth="1"/>
    <col min="16133" max="16384" width="9" style="40"/>
  </cols>
  <sheetData>
    <row r="1" spans="1:4" ht="15.75" x14ac:dyDescent="0.25">
      <c r="A1" s="38" t="s">
        <v>117</v>
      </c>
      <c r="B1" s="39"/>
      <c r="C1" s="39"/>
      <c r="D1" s="39"/>
    </row>
    <row r="2" spans="1:4" ht="15.75" x14ac:dyDescent="0.25">
      <c r="A2" s="39" t="s">
        <v>118</v>
      </c>
      <c r="B2" s="39"/>
      <c r="C2" s="39"/>
      <c r="D2" s="39"/>
    </row>
    <row r="3" spans="1:4" ht="15.75" x14ac:dyDescent="0.25">
      <c r="A3" s="39" t="s">
        <v>119</v>
      </c>
      <c r="B3" s="39"/>
      <c r="C3" s="39"/>
      <c r="D3" s="39"/>
    </row>
    <row r="4" spans="1:4" ht="15.75" x14ac:dyDescent="0.25">
      <c r="A4" s="39" t="s">
        <v>120</v>
      </c>
      <c r="B4" s="39"/>
      <c r="C4" s="39"/>
      <c r="D4" s="39"/>
    </row>
    <row r="5" spans="1:4" ht="15.75" x14ac:dyDescent="0.25">
      <c r="B5" s="39"/>
      <c r="C5" s="39"/>
      <c r="D5" s="39"/>
    </row>
    <row r="6" spans="1:4" ht="15.75" x14ac:dyDescent="0.25">
      <c r="A6" s="39" t="s">
        <v>121</v>
      </c>
      <c r="B6" s="39"/>
      <c r="C6" s="39"/>
      <c r="D6" s="39"/>
    </row>
    <row r="7" spans="1:4" ht="15.75" x14ac:dyDescent="0.25">
      <c r="A7" s="38"/>
      <c r="B7" s="39"/>
      <c r="C7" s="39"/>
      <c r="D7" s="39"/>
    </row>
    <row r="8" spans="1:4" ht="15.75" x14ac:dyDescent="0.25">
      <c r="A8" s="38"/>
      <c r="B8" s="39"/>
      <c r="C8" s="39"/>
      <c r="D8" s="39"/>
    </row>
    <row r="9" spans="1:4" ht="15.75" x14ac:dyDescent="0.25">
      <c r="A9" s="38"/>
      <c r="B9" s="39"/>
      <c r="C9" s="39"/>
      <c r="D9" s="39"/>
    </row>
    <row r="10" spans="1:4" ht="15.75" x14ac:dyDescent="0.25">
      <c r="A10" s="38"/>
      <c r="B10" s="39"/>
      <c r="C10" s="39"/>
      <c r="D10" s="39"/>
    </row>
    <row r="11" spans="1:4" ht="15.75" x14ac:dyDescent="0.25">
      <c r="A11" s="38"/>
      <c r="B11" s="39"/>
      <c r="C11" s="39"/>
      <c r="D11" s="39"/>
    </row>
    <row r="12" spans="1:4" ht="15.75" x14ac:dyDescent="0.25">
      <c r="A12" s="38"/>
      <c r="B12" s="39"/>
      <c r="C12" s="39"/>
      <c r="D12" s="39"/>
    </row>
    <row r="13" spans="1:4" ht="15.75" x14ac:dyDescent="0.25">
      <c r="A13" s="38"/>
      <c r="B13" s="39"/>
      <c r="C13" s="39"/>
      <c r="D13" s="39"/>
    </row>
    <row r="14" spans="1:4" ht="15.75" x14ac:dyDescent="0.25">
      <c r="A14" s="38"/>
      <c r="B14" s="39"/>
      <c r="C14" s="39"/>
      <c r="D14" s="39"/>
    </row>
    <row r="15" spans="1:4" ht="15.75" x14ac:dyDescent="0.25">
      <c r="A15" s="38"/>
      <c r="B15" s="39"/>
      <c r="C15" s="39"/>
      <c r="D15" s="39"/>
    </row>
    <row r="16" spans="1:4" ht="15.75" x14ac:dyDescent="0.25">
      <c r="A16" s="38"/>
      <c r="B16" s="39"/>
      <c r="C16" s="39"/>
      <c r="D16" s="39"/>
    </row>
    <row r="17" spans="1:4" ht="15.75" x14ac:dyDescent="0.25">
      <c r="A17" s="38"/>
      <c r="B17" s="39"/>
      <c r="C17" s="39"/>
      <c r="D17" s="39"/>
    </row>
    <row r="18" spans="1:4" ht="15.75" x14ac:dyDescent="0.25">
      <c r="A18" s="38"/>
      <c r="B18" s="39"/>
      <c r="C18" s="39"/>
      <c r="D18" s="39"/>
    </row>
    <row r="19" spans="1:4" ht="15.75" x14ac:dyDescent="0.25">
      <c r="A19" s="38"/>
      <c r="B19" s="39"/>
      <c r="C19" s="39"/>
      <c r="D19" s="39"/>
    </row>
    <row r="20" spans="1:4" ht="15.75" x14ac:dyDescent="0.25">
      <c r="A20" s="38"/>
      <c r="B20" s="39"/>
      <c r="C20" s="39"/>
      <c r="D20" s="39"/>
    </row>
    <row r="21" spans="1:4" ht="15.75" x14ac:dyDescent="0.25">
      <c r="A21" s="38"/>
      <c r="B21" s="39"/>
      <c r="C21" s="39"/>
      <c r="D21" s="39"/>
    </row>
    <row r="22" spans="1:4" ht="15.75" x14ac:dyDescent="0.25">
      <c r="A22" s="38"/>
      <c r="B22" s="39"/>
      <c r="C22" s="39"/>
      <c r="D22" s="39"/>
    </row>
    <row r="23" spans="1:4" ht="15.75" x14ac:dyDescent="0.25">
      <c r="A23" s="38"/>
      <c r="B23" s="39"/>
      <c r="C23" s="39"/>
      <c r="D23" s="39"/>
    </row>
    <row r="24" spans="1:4" ht="15.75" x14ac:dyDescent="0.25">
      <c r="A24" s="38"/>
      <c r="B24" s="39"/>
      <c r="C24" s="39"/>
      <c r="D24" s="39"/>
    </row>
    <row r="25" spans="1:4" ht="15.75" x14ac:dyDescent="0.25">
      <c r="A25" s="38"/>
      <c r="B25" s="39"/>
      <c r="C25" s="39"/>
      <c r="D25" s="39"/>
    </row>
    <row r="26" spans="1:4" ht="15.75" x14ac:dyDescent="0.25">
      <c r="A26" s="38"/>
      <c r="B26" s="39"/>
      <c r="C26" s="39"/>
      <c r="D26" s="39"/>
    </row>
    <row r="27" spans="1:4" ht="15.75" x14ac:dyDescent="0.25">
      <c r="A27" s="38"/>
      <c r="B27" s="39"/>
      <c r="C27" s="39"/>
      <c r="D27" s="39"/>
    </row>
    <row r="28" spans="1:4" ht="15.75" x14ac:dyDescent="0.25">
      <c r="A28" s="38"/>
      <c r="B28" s="39"/>
      <c r="C28" s="39"/>
      <c r="D28" s="39"/>
    </row>
    <row r="29" spans="1:4" ht="15.75" x14ac:dyDescent="0.25">
      <c r="A29" s="38"/>
      <c r="B29" s="39"/>
      <c r="C29" s="39"/>
      <c r="D29" s="39"/>
    </row>
    <row r="30" spans="1:4" ht="15.75" x14ac:dyDescent="0.25">
      <c r="A30" s="38"/>
      <c r="B30" s="39"/>
      <c r="C30" s="39"/>
      <c r="D30" s="39"/>
    </row>
    <row r="31" spans="1:4" ht="15.75" x14ac:dyDescent="0.25">
      <c r="A31" s="38"/>
      <c r="B31" s="39"/>
      <c r="C31" s="39"/>
      <c r="D31" s="39"/>
    </row>
    <row r="32" spans="1:4" ht="15.75" x14ac:dyDescent="0.25">
      <c r="A32" s="38"/>
      <c r="B32" s="39"/>
      <c r="C32" s="39"/>
      <c r="D32" s="39"/>
    </row>
    <row r="33" spans="1:4" ht="15.75" x14ac:dyDescent="0.25">
      <c r="A33" s="38"/>
      <c r="B33" s="39"/>
      <c r="C33" s="39"/>
      <c r="D33" s="39"/>
    </row>
    <row r="34" spans="1:4" ht="15.75" x14ac:dyDescent="0.25">
      <c r="A34" s="38"/>
      <c r="B34" s="39"/>
      <c r="C34" s="39"/>
      <c r="D34" s="39"/>
    </row>
    <row r="35" spans="1:4" ht="15.75" x14ac:dyDescent="0.25">
      <c r="A35" s="38"/>
      <c r="B35" s="39"/>
      <c r="C35" s="39"/>
      <c r="D35" s="39"/>
    </row>
    <row r="36" spans="1:4" ht="15.75" x14ac:dyDescent="0.25">
      <c r="A36" s="38"/>
      <c r="B36" s="39"/>
      <c r="C36" s="39"/>
      <c r="D36" s="39"/>
    </row>
    <row r="37" spans="1:4" ht="15.75" x14ac:dyDescent="0.25">
      <c r="A37" s="38"/>
      <c r="B37" s="39"/>
      <c r="C37" s="39"/>
      <c r="D37" s="39"/>
    </row>
    <row r="38" spans="1:4" ht="15.75" x14ac:dyDescent="0.25">
      <c r="A38" s="38"/>
      <c r="B38" s="39"/>
      <c r="C38" s="39"/>
      <c r="D38" s="39"/>
    </row>
    <row r="39" spans="1:4" ht="15.75" x14ac:dyDescent="0.25">
      <c r="A39" s="38"/>
      <c r="B39" s="39"/>
      <c r="C39" s="39"/>
      <c r="D39" s="39"/>
    </row>
    <row r="40" spans="1:4" ht="15.75" x14ac:dyDescent="0.25">
      <c r="A40" s="38"/>
      <c r="B40" s="39"/>
      <c r="C40" s="39"/>
      <c r="D40" s="39"/>
    </row>
    <row r="41" spans="1:4" ht="15.75" x14ac:dyDescent="0.25">
      <c r="A41" s="38"/>
      <c r="B41" s="39"/>
      <c r="C41" s="39"/>
      <c r="D41" s="39"/>
    </row>
    <row r="42" spans="1:4" ht="15.75" x14ac:dyDescent="0.25">
      <c r="A42" s="38"/>
      <c r="B42" s="39"/>
      <c r="C42" s="39"/>
      <c r="D42" s="39"/>
    </row>
    <row r="43" spans="1:4" ht="15.75" x14ac:dyDescent="0.25">
      <c r="A43" s="38"/>
      <c r="B43" s="39"/>
      <c r="C43" s="39"/>
      <c r="D43" s="39"/>
    </row>
    <row r="44" spans="1:4" ht="15.75" x14ac:dyDescent="0.25">
      <c r="A44" s="38"/>
      <c r="B44" s="39"/>
      <c r="C44" s="39"/>
      <c r="D44" s="39"/>
    </row>
    <row r="45" spans="1:4" ht="15.75" x14ac:dyDescent="0.25">
      <c r="A45" s="38"/>
      <c r="B45" s="39"/>
      <c r="C45" s="39"/>
      <c r="D45" s="39"/>
    </row>
    <row r="46" spans="1:4" ht="15.75" x14ac:dyDescent="0.25">
      <c r="A46" s="38"/>
      <c r="B46" s="39"/>
      <c r="C46" s="39"/>
      <c r="D46" s="39"/>
    </row>
    <row r="47" spans="1:4" ht="15.75" x14ac:dyDescent="0.25">
      <c r="A47" s="38"/>
      <c r="B47" s="39"/>
      <c r="C47" s="39"/>
      <c r="D47" s="3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Theory</vt:lpstr>
      <vt:lpstr>VLE Calculation - NRTL</vt:lpstr>
      <vt:lpstr>Ternary plot</vt:lpstr>
      <vt:lpstr>Ternary plot 1</vt:lpstr>
      <vt:lpstr>Ternary plot 2</vt:lpstr>
      <vt:lpstr>Ternary plot 3</vt:lpstr>
      <vt:lpstr>Ternary plot 4</vt:lpstr>
      <vt:lpstr>Ternary plot 5</vt:lpstr>
      <vt:lpstr>Ternary plot 6</vt:lpstr>
      <vt:lpstr>Ternary plot 7</vt:lpstr>
      <vt:lpstr>Ternary plot 8</vt:lpstr>
      <vt:lpstr>Literature Data</vt:lpstr>
      <vt:lpstr>Disclaimer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J. Belton</dc:creator>
  <cp:lastModifiedBy>Sasha</cp:lastModifiedBy>
  <dcterms:created xsi:type="dcterms:W3CDTF">2017-05-26T20:44:23Z</dcterms:created>
  <dcterms:modified xsi:type="dcterms:W3CDTF">2024-03-18T22:52:07Z</dcterms:modified>
</cp:coreProperties>
</file>