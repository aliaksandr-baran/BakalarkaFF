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Workbook________" defaultThemeVersion="124226"/>
  <bookViews>
    <workbookView xWindow="240" yWindow="105" windowWidth="14805" windowHeight="8010" firstSheet="1" activeTab="1"/>
  </bookViews>
  <sheets>
    <sheet name="Лист1" sheetId="1" r:id="rId1"/>
    <sheet name="Лист5" sheetId="7" r:id="rId2"/>
    <sheet name="Лист2" sheetId="2" r:id="rId3"/>
    <sheet name="Диаграмма1" sheetId="5" r:id="rId4"/>
    <sheet name="Лист3" sheetId="3" r:id="rId5"/>
    <sheet name="Диаграмма2" sheetId="6" r:id="rId6"/>
    <sheet name="Лист4" sheetId="4" r:id="rId7"/>
  </sheets>
  <calcPr calcId="145621"/>
</workbook>
</file>

<file path=xl/calcChain.xml><?xml version="1.0" encoding="utf-8"?>
<calcChain xmlns="http://schemas.openxmlformats.org/spreadsheetml/2006/main">
  <c r="Z6" i="7" l="1"/>
  <c r="T6" i="7"/>
  <c r="O37" i="7"/>
  <c r="U39" i="7"/>
  <c r="N32" i="7"/>
  <c r="O32" i="7"/>
  <c r="P32" i="7"/>
  <c r="Q32" i="7"/>
  <c r="R32" i="7"/>
  <c r="M32" i="7"/>
  <c r="L32" i="7"/>
  <c r="K32" i="7"/>
  <c r="J32" i="7"/>
  <c r="I32" i="7"/>
  <c r="H32" i="7"/>
  <c r="G32" i="7"/>
  <c r="R39" i="7" l="1"/>
  <c r="T39" i="7" l="1"/>
  <c r="Q39" i="7"/>
  <c r="S39" i="7"/>
  <c r="P39" i="7"/>
  <c r="W39" i="7" l="1"/>
  <c r="Z39" i="7" s="1"/>
  <c r="X39" i="7"/>
  <c r="AA39" i="7" s="1"/>
  <c r="V39" i="7"/>
  <c r="Y39" i="7" s="1"/>
  <c r="B39" i="7" l="1"/>
  <c r="F54" i="2"/>
  <c r="D54" i="2"/>
  <c r="A54" i="2"/>
  <c r="F53" i="2"/>
  <c r="D53" i="2"/>
  <c r="A53" i="2"/>
  <c r="F52" i="2"/>
  <c r="D52" i="2"/>
  <c r="A52" i="2"/>
  <c r="F51" i="2"/>
  <c r="D51" i="2"/>
  <c r="A51" i="2"/>
  <c r="F50" i="2"/>
  <c r="D50" i="2"/>
  <c r="A50" i="2"/>
  <c r="F49" i="2"/>
  <c r="D49" i="2"/>
  <c r="A49" i="2"/>
  <c r="F48" i="2"/>
  <c r="D48" i="2"/>
  <c r="A48" i="2"/>
  <c r="F47" i="2"/>
  <c r="D47" i="2"/>
  <c r="A47" i="2"/>
  <c r="F46" i="2"/>
  <c r="D46" i="2"/>
  <c r="A46" i="2"/>
  <c r="F45" i="2"/>
  <c r="D45" i="2"/>
  <c r="A45" i="2"/>
  <c r="F44" i="2"/>
  <c r="D44" i="2"/>
  <c r="A44" i="2"/>
  <c r="F43" i="2"/>
  <c r="D43" i="2"/>
  <c r="A43" i="2"/>
  <c r="F42" i="2"/>
  <c r="D42" i="2"/>
  <c r="A42" i="2"/>
  <c r="F41" i="2"/>
  <c r="D41" i="2"/>
  <c r="A41" i="2"/>
  <c r="F40" i="2"/>
  <c r="D40" i="2"/>
  <c r="A40" i="2"/>
  <c r="F39" i="2"/>
  <c r="D39" i="2"/>
  <c r="A39" i="2"/>
  <c r="F38" i="2"/>
  <c r="D38" i="2"/>
  <c r="A38" i="2"/>
  <c r="F37" i="2"/>
  <c r="D37" i="2"/>
  <c r="A37" i="2"/>
  <c r="F36" i="2"/>
  <c r="D36" i="2"/>
  <c r="A36" i="2"/>
  <c r="F35" i="2"/>
  <c r="D35" i="2"/>
  <c r="A35" i="2"/>
  <c r="F34" i="2"/>
  <c r="D34" i="2"/>
  <c r="A34" i="2"/>
  <c r="T29" i="2"/>
  <c r="S29" i="2"/>
  <c r="R29" i="2"/>
  <c r="Q29" i="2"/>
  <c r="P29" i="2"/>
  <c r="O29" i="2"/>
  <c r="N29" i="2"/>
  <c r="M29" i="2"/>
  <c r="L29" i="2"/>
  <c r="T28" i="2"/>
  <c r="S28" i="2"/>
  <c r="R28" i="2"/>
  <c r="Q28" i="2"/>
  <c r="P28" i="2"/>
  <c r="O28" i="2"/>
  <c r="N28" i="2"/>
  <c r="M28" i="2"/>
  <c r="L28" i="2"/>
  <c r="T27" i="2"/>
  <c r="S27" i="2"/>
  <c r="R27" i="2"/>
  <c r="Q27" i="2"/>
  <c r="P27" i="2"/>
  <c r="O27" i="2"/>
  <c r="N27" i="2"/>
  <c r="M27" i="2"/>
  <c r="L27" i="2"/>
  <c r="T26" i="2"/>
  <c r="S26" i="2"/>
  <c r="R26" i="2"/>
  <c r="Q26" i="2"/>
  <c r="P26" i="2"/>
  <c r="O26" i="2"/>
  <c r="N26" i="2"/>
  <c r="M26" i="2"/>
  <c r="L26" i="2"/>
  <c r="T25" i="2"/>
  <c r="S25" i="2"/>
  <c r="R25" i="2"/>
  <c r="Q25" i="2"/>
  <c r="P25" i="2"/>
  <c r="O25" i="2"/>
  <c r="N25" i="2"/>
  <c r="M25" i="2"/>
  <c r="L25" i="2"/>
  <c r="T24" i="2"/>
  <c r="S24" i="2"/>
  <c r="R24" i="2"/>
  <c r="Q24" i="2"/>
  <c r="P24" i="2"/>
  <c r="O24" i="2"/>
  <c r="N24" i="2"/>
  <c r="M24" i="2"/>
  <c r="L24" i="2"/>
  <c r="T23" i="2"/>
  <c r="S23" i="2"/>
  <c r="R23" i="2"/>
  <c r="Q23" i="2"/>
  <c r="P23" i="2"/>
  <c r="O23" i="2"/>
  <c r="N23" i="2"/>
  <c r="M23" i="2"/>
  <c r="L23" i="2"/>
  <c r="J23" i="2"/>
  <c r="T22" i="2"/>
  <c r="S22" i="2"/>
  <c r="R22" i="2"/>
  <c r="Q22" i="2"/>
  <c r="P22" i="2"/>
  <c r="O22" i="2"/>
  <c r="N22" i="2"/>
  <c r="M22" i="2"/>
  <c r="L22" i="2"/>
  <c r="T21" i="2"/>
  <c r="S21" i="2"/>
  <c r="R21" i="2"/>
  <c r="Q21" i="2"/>
  <c r="P21" i="2"/>
  <c r="O21" i="2"/>
  <c r="N21" i="2"/>
  <c r="M21" i="2"/>
  <c r="L21" i="2"/>
  <c r="T20" i="2"/>
  <c r="S20" i="2"/>
  <c r="R20" i="2"/>
  <c r="Q20" i="2"/>
  <c r="P20" i="2"/>
  <c r="O20" i="2"/>
  <c r="N20" i="2"/>
  <c r="M20" i="2"/>
  <c r="L20" i="2"/>
  <c r="T19" i="2"/>
  <c r="S19" i="2"/>
  <c r="R19" i="2"/>
  <c r="Q19" i="2"/>
  <c r="P19" i="2"/>
  <c r="O19" i="2"/>
  <c r="N19" i="2"/>
  <c r="M19" i="2"/>
  <c r="L19" i="2"/>
  <c r="T18" i="2"/>
  <c r="S18" i="2"/>
  <c r="R18" i="2"/>
  <c r="Q18" i="2"/>
  <c r="P18" i="2"/>
  <c r="O18" i="2"/>
  <c r="N18" i="2"/>
  <c r="M18" i="2"/>
  <c r="L18" i="2"/>
  <c r="T17" i="2"/>
  <c r="S17" i="2"/>
  <c r="R17" i="2"/>
  <c r="Q17" i="2"/>
  <c r="P17" i="2"/>
  <c r="O17" i="2"/>
  <c r="N17" i="2"/>
  <c r="M17" i="2"/>
  <c r="L17" i="2"/>
  <c r="J17" i="2"/>
  <c r="T16" i="2"/>
  <c r="S16" i="2"/>
  <c r="R16" i="2"/>
  <c r="Q16" i="2"/>
  <c r="P16" i="2"/>
  <c r="O16" i="2"/>
  <c r="N16" i="2"/>
  <c r="M16" i="2"/>
  <c r="L16" i="2"/>
  <c r="T15" i="2"/>
  <c r="S15" i="2"/>
  <c r="R15" i="2"/>
  <c r="Q15" i="2"/>
  <c r="P15" i="2"/>
  <c r="O15" i="2"/>
  <c r="N15" i="2"/>
  <c r="M15" i="2"/>
  <c r="L15" i="2"/>
  <c r="T14" i="2"/>
  <c r="S14" i="2"/>
  <c r="R14" i="2"/>
  <c r="Q14" i="2"/>
  <c r="P14" i="2"/>
  <c r="O14" i="2"/>
  <c r="N14" i="2"/>
  <c r="M14" i="2"/>
  <c r="L14" i="2"/>
  <c r="T13" i="2"/>
  <c r="S13" i="2"/>
  <c r="R13" i="2"/>
  <c r="Q13" i="2"/>
  <c r="P13" i="2"/>
  <c r="O13" i="2"/>
  <c r="N13" i="2"/>
  <c r="M13" i="2"/>
  <c r="L13" i="2"/>
  <c r="T12" i="2"/>
  <c r="S12" i="2"/>
  <c r="R12" i="2"/>
  <c r="Q12" i="2"/>
  <c r="P12" i="2"/>
  <c r="O12" i="2"/>
  <c r="N12" i="2"/>
  <c r="M12" i="2"/>
  <c r="L12" i="2"/>
  <c r="T11" i="2"/>
  <c r="S11" i="2"/>
  <c r="R11" i="2"/>
  <c r="Q11" i="2"/>
  <c r="P11" i="2"/>
  <c r="O11" i="2"/>
  <c r="N11" i="2"/>
  <c r="M11" i="2"/>
  <c r="L11" i="2"/>
  <c r="T10" i="2"/>
  <c r="S10" i="2"/>
  <c r="R10" i="2"/>
  <c r="Q10" i="2"/>
  <c r="P10" i="2"/>
  <c r="O10" i="2"/>
  <c r="N10" i="2"/>
  <c r="M10" i="2"/>
  <c r="L10" i="2"/>
  <c r="T9" i="2"/>
  <c r="S9" i="2"/>
  <c r="R9" i="2"/>
  <c r="Q9" i="2"/>
  <c r="P9" i="2"/>
  <c r="O9" i="2"/>
  <c r="N9" i="2"/>
  <c r="M9" i="2"/>
  <c r="L9" i="2"/>
  <c r="J8" i="2"/>
  <c r="R10" i="1"/>
  <c r="S10" i="1"/>
  <c r="T10" i="1"/>
  <c r="R11" i="1"/>
  <c r="S11" i="1"/>
  <c r="T11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17" i="1"/>
  <c r="S17" i="1"/>
  <c r="T17" i="1"/>
  <c r="R18" i="1"/>
  <c r="S18" i="1"/>
  <c r="T18" i="1"/>
  <c r="R19" i="1"/>
  <c r="S19" i="1"/>
  <c r="T19" i="1"/>
  <c r="R20" i="1"/>
  <c r="S20" i="1"/>
  <c r="T20" i="1"/>
  <c r="R21" i="1"/>
  <c r="S21" i="1"/>
  <c r="T21" i="1"/>
  <c r="R22" i="1"/>
  <c r="S22" i="1"/>
  <c r="T22" i="1"/>
  <c r="R23" i="1"/>
  <c r="S23" i="1"/>
  <c r="T23" i="1"/>
  <c r="R24" i="1"/>
  <c r="S24" i="1"/>
  <c r="T24" i="1"/>
  <c r="R25" i="1"/>
  <c r="S25" i="1"/>
  <c r="T25" i="1"/>
  <c r="R26" i="1"/>
  <c r="S26" i="1"/>
  <c r="T26" i="1"/>
  <c r="R27" i="1"/>
  <c r="S27" i="1"/>
  <c r="T27" i="1"/>
  <c r="R28" i="1"/>
  <c r="S28" i="1"/>
  <c r="T28" i="1"/>
  <c r="R29" i="1"/>
  <c r="S29" i="1"/>
  <c r="T29" i="1"/>
  <c r="T9" i="1"/>
  <c r="S9" i="1"/>
  <c r="R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O22" i="1"/>
  <c r="P22" i="1"/>
  <c r="Q22" i="1"/>
  <c r="O23" i="1"/>
  <c r="P23" i="1"/>
  <c r="Q23" i="1"/>
  <c r="O24" i="1"/>
  <c r="P24" i="1"/>
  <c r="Q24" i="1"/>
  <c r="O25" i="1"/>
  <c r="P25" i="1"/>
  <c r="Q25" i="1"/>
  <c r="O26" i="1"/>
  <c r="P26" i="1"/>
  <c r="Q26" i="1"/>
  <c r="O27" i="1"/>
  <c r="P27" i="1"/>
  <c r="Q27" i="1"/>
  <c r="O28" i="1"/>
  <c r="P28" i="1"/>
  <c r="Q28" i="1"/>
  <c r="O29" i="1"/>
  <c r="P29" i="1"/>
  <c r="Q29" i="1"/>
  <c r="Q9" i="1"/>
  <c r="P9" i="1"/>
  <c r="O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N9" i="1"/>
  <c r="M9" i="1"/>
  <c r="A50" i="1"/>
  <c r="D50" i="1"/>
  <c r="F50" i="1"/>
  <c r="A51" i="1"/>
  <c r="D51" i="1"/>
  <c r="F51" i="1"/>
  <c r="A52" i="1"/>
  <c r="D52" i="1"/>
  <c r="F52" i="1"/>
  <c r="A53" i="1"/>
  <c r="D53" i="1"/>
  <c r="F53" i="1"/>
  <c r="A54" i="1"/>
  <c r="D54" i="1"/>
  <c r="F54" i="1"/>
  <c r="A42" i="1"/>
  <c r="D42" i="1"/>
  <c r="F42" i="1"/>
  <c r="A43" i="1"/>
  <c r="D43" i="1"/>
  <c r="F43" i="1"/>
  <c r="A44" i="1"/>
  <c r="D44" i="1"/>
  <c r="F44" i="1"/>
  <c r="A45" i="1"/>
  <c r="D45" i="1"/>
  <c r="F45" i="1"/>
  <c r="A46" i="1"/>
  <c r="D46" i="1"/>
  <c r="F46" i="1"/>
  <c r="A47" i="1"/>
  <c r="D47" i="1"/>
  <c r="F47" i="1"/>
  <c r="A48" i="1"/>
  <c r="D48" i="1"/>
  <c r="F48" i="1"/>
  <c r="A49" i="1"/>
  <c r="D49" i="1"/>
  <c r="F49" i="1"/>
  <c r="L9" i="1"/>
  <c r="F35" i="1"/>
  <c r="F36" i="1"/>
  <c r="F37" i="1"/>
  <c r="F38" i="1"/>
  <c r="F39" i="1"/>
  <c r="F40" i="1"/>
  <c r="F41" i="1"/>
  <c r="D35" i="1"/>
  <c r="D36" i="1"/>
  <c r="D37" i="1"/>
  <c r="D38" i="1"/>
  <c r="D39" i="1"/>
  <c r="D40" i="1"/>
  <c r="D41" i="1"/>
  <c r="F34" i="1"/>
  <c r="D34" i="1"/>
  <c r="A35" i="1"/>
  <c r="A36" i="1"/>
  <c r="A37" i="1"/>
  <c r="A38" i="1"/>
  <c r="A39" i="1"/>
  <c r="A40" i="1"/>
  <c r="A41" i="1"/>
  <c r="A34" i="1"/>
  <c r="J23" i="1"/>
  <c r="J17" i="1"/>
  <c r="J8" i="1"/>
  <c r="I37" i="7" l="1"/>
  <c r="P37" i="7" s="1"/>
  <c r="S37" i="7"/>
  <c r="U37" i="7" l="1"/>
  <c r="Q37" i="7"/>
  <c r="T37" i="7"/>
  <c r="R37" i="7"/>
  <c r="V37" i="7" l="1"/>
  <c r="Y37" i="7" s="1"/>
  <c r="AB39" i="7" s="1"/>
  <c r="I42" i="7" s="1"/>
  <c r="W37" i="7"/>
  <c r="Z37" i="7" s="1"/>
  <c r="AC37" i="7" s="1"/>
  <c r="N42" i="7" s="1"/>
  <c r="N34" i="7" s="1"/>
  <c r="X37" i="7"/>
  <c r="AA37" i="7" s="1"/>
  <c r="AB37" i="7" l="1"/>
  <c r="M42" i="7" s="1"/>
  <c r="M34" i="7" s="1"/>
  <c r="AC39" i="7"/>
  <c r="J42" i="7" s="1"/>
  <c r="J34" i="7" s="1"/>
  <c r="AD37" i="7"/>
  <c r="AD39" i="7"/>
  <c r="K42" i="7" s="1"/>
  <c r="K34" i="7" s="1"/>
  <c r="O42" i="7" l="1"/>
  <c r="P42" i="7" s="1"/>
  <c r="H42" i="7"/>
</calcChain>
</file>

<file path=xl/sharedStrings.xml><?xml version="1.0" encoding="utf-8"?>
<sst xmlns="http://schemas.openxmlformats.org/spreadsheetml/2006/main" count="165" uniqueCount="90">
  <si>
    <t>MTBE</t>
  </si>
  <si>
    <t>Methanol</t>
  </si>
  <si>
    <t>[MIM][HSO4]</t>
  </si>
  <si>
    <t>M(g/mol)</t>
  </si>
  <si>
    <t>Feed (global composition)</t>
  </si>
  <si>
    <t>Upper phase</t>
  </si>
  <si>
    <t>Lower phase</t>
  </si>
  <si>
    <t>β</t>
  </si>
  <si>
    <t>S</t>
  </si>
  <si>
    <t>w1F</t>
  </si>
  <si>
    <t>w2F</t>
  </si>
  <si>
    <t>w1</t>
  </si>
  <si>
    <t>w2</t>
  </si>
  <si>
    <t>T=278.15K</t>
  </si>
  <si>
    <t>T=298.15K</t>
  </si>
  <si>
    <t>T=318.15K</t>
  </si>
  <si>
    <t>x1F</t>
  </si>
  <si>
    <t>x2F</t>
  </si>
  <si>
    <t>x3F</t>
  </si>
  <si>
    <t>x1</t>
  </si>
  <si>
    <t>x2</t>
  </si>
  <si>
    <t>x3</t>
  </si>
  <si>
    <t>w3</t>
  </si>
  <si>
    <t>[BMIM][HSO4]</t>
  </si>
  <si>
    <t>–</t>
  </si>
  <si>
    <t>T</t>
  </si>
  <si>
    <t>y1</t>
  </si>
  <si>
    <t>y2</t>
  </si>
  <si>
    <t>1–2</t>
  </si>
  <si>
    <t>1–3</t>
  </si>
  <si>
    <t>2–3</t>
  </si>
  <si>
    <r>
      <t>i</t>
    </r>
    <r>
      <rPr>
        <b/>
        <sz val="11"/>
        <color rgb="FF1F1F1F"/>
        <rFont val="Georgia"/>
        <family val="1"/>
      </rPr>
      <t>–</t>
    </r>
    <r>
      <rPr>
        <b/>
        <i/>
        <sz val="11"/>
        <color rgb="FF1F1F1F"/>
        <rFont val="Georgia"/>
        <family val="1"/>
      </rPr>
      <t>j</t>
    </r>
  </si>
  <si>
    <t>rmsd</t>
  </si>
  <si>
    <t>α</t>
  </si>
  <si>
    <t>NRTL parameters</t>
  </si>
  <si>
    <r>
      <t>Δgij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</si>
  <si>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r>
      <t>Δgji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</si>
  <si>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t>R</t>
  </si>
  <si>
    <t>kJ.mol^-1.K^-1</t>
  </si>
  <si>
    <t>K</t>
  </si>
  <si>
    <r>
      <t>τ</t>
    </r>
    <r>
      <rPr>
        <b/>
        <vertAlign val="subscript"/>
        <sz val="11"/>
        <color rgb="FF000000"/>
        <rFont val="Calibri"/>
        <family val="2"/>
      </rPr>
      <t>12</t>
    </r>
  </si>
  <si>
    <r>
      <t>τ</t>
    </r>
    <r>
      <rPr>
        <b/>
        <vertAlign val="subscript"/>
        <sz val="11"/>
        <color rgb="FF000000"/>
        <rFont val="Calibri"/>
        <family val="2"/>
      </rPr>
      <t>21</t>
    </r>
  </si>
  <si>
    <r>
      <t>τ</t>
    </r>
    <r>
      <rPr>
        <b/>
        <vertAlign val="subscript"/>
        <sz val="11"/>
        <color rgb="FF000000"/>
        <rFont val="Calibri"/>
        <family val="2"/>
      </rPr>
      <t>13</t>
    </r>
  </si>
  <si>
    <r>
      <t>τ</t>
    </r>
    <r>
      <rPr>
        <b/>
        <vertAlign val="subscript"/>
        <sz val="11"/>
        <color rgb="FF000000"/>
        <rFont val="Calibri"/>
        <family val="2"/>
      </rPr>
      <t>31</t>
    </r>
  </si>
  <si>
    <r>
      <t>τ</t>
    </r>
    <r>
      <rPr>
        <b/>
        <vertAlign val="subscript"/>
        <sz val="11"/>
        <color rgb="FF000000"/>
        <rFont val="Calibri"/>
        <family val="2"/>
      </rPr>
      <t>23</t>
    </r>
  </si>
  <si>
    <r>
      <t>τ</t>
    </r>
    <r>
      <rPr>
        <b/>
        <vertAlign val="subscript"/>
        <sz val="11"/>
        <color rgb="FF000000"/>
        <rFont val="Calibri"/>
        <family val="2"/>
      </rPr>
      <t>32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</si>
  <si>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</si>
  <si>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</si>
  <si>
    <r>
      <t>G</t>
    </r>
    <r>
      <rPr>
        <b/>
        <vertAlign val="subscript"/>
        <sz val="11"/>
        <color rgb="FF000000"/>
        <rFont val="Calibri"/>
        <family val="2"/>
      </rPr>
      <t>13</t>
    </r>
  </si>
  <si>
    <r>
      <t>G</t>
    </r>
    <r>
      <rPr>
        <b/>
        <vertAlign val="subscript"/>
        <sz val="11"/>
        <color rgb="FF000000"/>
        <rFont val="Calibri"/>
        <family val="2"/>
      </rPr>
      <t>31</t>
    </r>
  </si>
  <si>
    <r>
      <t>G</t>
    </r>
    <r>
      <rPr>
        <b/>
        <vertAlign val="subscript"/>
        <sz val="11"/>
        <color rgb="FF000000"/>
        <rFont val="Calibri"/>
        <family val="2"/>
      </rPr>
      <t>23</t>
    </r>
  </si>
  <si>
    <r>
      <t>G</t>
    </r>
    <r>
      <rPr>
        <b/>
        <vertAlign val="subscript"/>
        <sz val="11"/>
        <color rgb="FF000000"/>
        <rFont val="Calibri"/>
        <family val="2"/>
      </rPr>
      <t>32</t>
    </r>
  </si>
  <si>
    <t>x1.1</t>
  </si>
  <si>
    <t>x2.1</t>
  </si>
  <si>
    <t>x3.1</t>
  </si>
  <si>
    <t>x1.2</t>
  </si>
  <si>
    <t>x2.2</t>
  </si>
  <si>
    <t>x3.3</t>
  </si>
  <si>
    <r>
      <t>φ</t>
    </r>
    <r>
      <rPr>
        <b/>
        <vertAlign val="subscript"/>
        <sz val="11"/>
        <color rgb="FF000000"/>
        <rFont val="Calibri"/>
        <family val="2"/>
      </rPr>
      <t>1.1</t>
    </r>
  </si>
  <si>
    <r>
      <t>φ</t>
    </r>
    <r>
      <rPr>
        <b/>
        <vertAlign val="subscript"/>
        <sz val="11"/>
        <color rgb="FF000000"/>
        <rFont val="Calibri"/>
        <family val="2"/>
      </rPr>
      <t>2.1</t>
    </r>
  </si>
  <si>
    <r>
      <t>φ</t>
    </r>
    <r>
      <rPr>
        <b/>
        <vertAlign val="subscript"/>
        <sz val="11"/>
        <color rgb="FF000000"/>
        <rFont val="Calibri"/>
        <family val="2"/>
      </rPr>
      <t>3.1</t>
    </r>
  </si>
  <si>
    <r>
      <t>θ</t>
    </r>
    <r>
      <rPr>
        <b/>
        <vertAlign val="subscript"/>
        <sz val="11"/>
        <color rgb="FF000000"/>
        <rFont val="Calibri"/>
        <family val="2"/>
      </rPr>
      <t>1.1</t>
    </r>
  </si>
  <si>
    <r>
      <t>θ</t>
    </r>
    <r>
      <rPr>
        <b/>
        <vertAlign val="subscript"/>
        <sz val="11"/>
        <color rgb="FF000000"/>
        <rFont val="Calibri"/>
        <family val="2"/>
      </rPr>
      <t>2.1</t>
    </r>
  </si>
  <si>
    <r>
      <t>θ</t>
    </r>
    <r>
      <rPr>
        <b/>
        <vertAlign val="subscript"/>
        <sz val="11"/>
        <color rgb="FF000000"/>
        <rFont val="Calibri"/>
        <family val="2"/>
      </rPr>
      <t>3.1</t>
    </r>
  </si>
  <si>
    <t>lnγ1.1</t>
  </si>
  <si>
    <t>lnγ2.1</t>
  </si>
  <si>
    <t>lnγ3.1</t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</si>
  <si>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1.1</t>
    </r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</si>
  <si>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2.1</t>
    </r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</si>
  <si>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3.1</t>
    </r>
  </si>
  <si>
    <r>
      <t>φ</t>
    </r>
    <r>
      <rPr>
        <b/>
        <vertAlign val="subscript"/>
        <sz val="11"/>
        <color rgb="FF000000"/>
        <rFont val="Calibri"/>
        <family val="2"/>
      </rPr>
      <t>1.2</t>
    </r>
  </si>
  <si>
    <r>
      <t>φ</t>
    </r>
    <r>
      <rPr>
        <b/>
        <vertAlign val="subscript"/>
        <sz val="11"/>
        <color rgb="FF000000"/>
        <rFont val="Calibri"/>
        <family val="2"/>
      </rPr>
      <t>2.2</t>
    </r>
  </si>
  <si>
    <r>
      <t>φ</t>
    </r>
    <r>
      <rPr>
        <b/>
        <vertAlign val="subscript"/>
        <sz val="11"/>
        <color rgb="FF000000"/>
        <rFont val="Calibri"/>
        <family val="2"/>
      </rPr>
      <t>3.2</t>
    </r>
  </si>
  <si>
    <r>
      <t>θ</t>
    </r>
    <r>
      <rPr>
        <b/>
        <vertAlign val="subscript"/>
        <sz val="11"/>
        <color rgb="FF000000"/>
        <rFont val="Calibri"/>
        <family val="2"/>
      </rPr>
      <t>1.2</t>
    </r>
  </si>
  <si>
    <r>
      <t>θ</t>
    </r>
    <r>
      <rPr>
        <b/>
        <vertAlign val="subscript"/>
        <sz val="11"/>
        <color rgb="FF000000"/>
        <rFont val="Calibri"/>
        <family val="2"/>
      </rPr>
      <t>2.2</t>
    </r>
  </si>
  <si>
    <r>
      <t>θ</t>
    </r>
    <r>
      <rPr>
        <b/>
        <vertAlign val="subscript"/>
        <sz val="11"/>
        <color rgb="FF000000"/>
        <rFont val="Calibri"/>
        <family val="2"/>
      </rPr>
      <t>3.2</t>
    </r>
  </si>
  <si>
    <t>lnγ1.2</t>
  </si>
  <si>
    <t>lnγ2.2</t>
  </si>
  <si>
    <t>lnγ3.2</t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</si>
  <si>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1.2</t>
    </r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</si>
  <si>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2.2</t>
    </r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</si>
  <si>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3.2</t>
    </r>
  </si>
  <si>
    <t>γ1.1/γ1.2</t>
  </si>
  <si>
    <t>γ2.1/γ2.2</t>
  </si>
  <si>
    <t>γ3.1/γ3.2</t>
  </si>
  <si>
    <t>γ1.2/γ1.1</t>
  </si>
  <si>
    <t>γ2.2/γ2.1</t>
  </si>
  <si>
    <t>γ3.2/γ3.1</t>
  </si>
  <si>
    <t>Σxi</t>
  </si>
  <si>
    <r>
      <t>MTBE (1) + methanol (2) + [BMIM][HSO</t>
    </r>
    <r>
      <rPr>
        <sz val="8"/>
        <color rgb="FF1F1F1F"/>
        <rFont val="Georgia"/>
        <family val="1"/>
      </rPr>
      <t>4</t>
    </r>
    <r>
      <rPr>
        <sz val="11"/>
        <color rgb="FF1F1F1F"/>
        <rFont val="Georgia"/>
        <family val="1"/>
      </rPr>
      <t>] (3) at 318.15 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</si>
</sst>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3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Georgia"/>
      <family val="1"/>
    </font>
    <font>
      <b/>
      <i/>
      <sz val="11"/>
      <color rgb="FF1F1F1F"/>
      <name val="Georgia"/>
      <family val="1"/>
    </font>
    <font>
      <b/>
      <sz val="8"/>
      <color rgb="FF1F1F1F"/>
      <name val="Georgia"/>
      <family val="1"/>
    </font>
    <font>
      <sz val="11"/>
      <color rgb="FF1F1F1F"/>
      <name val="Georgia"/>
      <family val="1"/>
    </font>
    <font>
      <sz val="11"/>
      <color rgb="FF555555"/>
      <name val="Segoe UI"/>
      <family val="2"/>
    </font>
    <font>
      <sz val="8"/>
      <color rgb="FF1F1F1F"/>
      <name val="Georgia"/>
      <family val="1"/>
    </font>
    <font>
      <sz val="10"/>
      <color rgb="FF1F1F1F"/>
      <name val="Georgi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vertAlign val="subscript"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8E8E8E"/>
      </bottom>
      <diagonal/>
    </border>
    <border>
      <left/>
      <right/>
      <top style="medium">
        <color rgb="FF8E8E8E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 shrinkToFit="1"/>
    </xf>
    <xf numFmtId="0" fontId="0" fillId="0" borderId="0" xfId="0" applyAlignment="1"/>
    <xf numFmtId="173" fontId="0" fillId="0" borderId="0" xfId="0" applyNumberFormat="1"/>
    <xf numFmtId="173" fontId="0" fillId="0" borderId="3" xfId="0" applyNumberFormat="1" applyBorder="1"/>
    <xf numFmtId="0" fontId="0" fillId="0" borderId="3" xfId="0" applyBorder="1"/>
    <xf numFmtId="173" fontId="0" fillId="2" borderId="0" xfId="0" applyNumberFormat="1" applyFill="1"/>
    <xf numFmtId="0" fontId="0" fillId="2" borderId="0" xfId="0" applyFill="1"/>
    <xf numFmtId="173" fontId="0" fillId="2" borderId="3" xfId="0" applyNumberFormat="1" applyFill="1" applyBorder="1"/>
    <xf numFmtId="0" fontId="0" fillId="2" borderId="3" xfId="0" applyFill="1" applyBorder="1"/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/>
    <xf numFmtId="0" fontId="5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0" fillId="0" borderId="6" xfId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0" fontId="10" fillId="0" borderId="8" xfId="1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6" xfId="1" applyFont="1" applyFill="1" applyBorder="1" applyAlignment="1">
      <alignment horizontal="center" vertical="center"/>
    </xf>
    <xf numFmtId="0" fontId="10" fillId="0" borderId="7" xfId="1" applyFont="1" applyFill="1" applyBorder="1" applyAlignment="1">
      <alignment horizontal="center" vertical="center"/>
    </xf>
    <xf numFmtId="0" fontId="10" fillId="0" borderId="8" xfId="1" applyFont="1" applyFill="1" applyBorder="1" applyAlignment="1">
      <alignment horizontal="center" vertical="center"/>
    </xf>
    <xf numFmtId="0" fontId="13" fillId="0" borderId="5" xfId="0" applyFont="1" applyBorder="1"/>
  </cellXfs>
  <cellStyles count="2">
    <cellStyle name="Normal 2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1</c:v>
              </c:pt>
              <c:pt idx="1">
                <c:v>0</c:v>
              </c:pt>
            </c:numLit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77664"/>
        <c:axId val="154311296"/>
      </c:scatterChar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(Лист1!$P$17:$P$22,Лист1!$S$17:$S$22)</c:f>
              <c:numCache>
                <c:formatCode>General</c:formatCode>
                <c:ptCount val="12"/>
                <c:pt idx="0">
                  <c:v>0.16813050623709366</c:v>
                </c:pt>
                <c:pt idx="1">
                  <c:v>0.32621951983745673</c:v>
                </c:pt>
                <c:pt idx="2">
                  <c:v>0.42026225912757365</c:v>
                </c:pt>
                <c:pt idx="3">
                  <c:v>0.53827041867220271</c:v>
                </c:pt>
                <c:pt idx="4">
                  <c:v>0.60420828828857853</c:v>
                </c:pt>
                <c:pt idx="5">
                  <c:v>0.65095658549417479</c:v>
                </c:pt>
                <c:pt idx="6">
                  <c:v>0.26167583721847892</c:v>
                </c:pt>
                <c:pt idx="7">
                  <c:v>0.4063542051644653</c:v>
                </c:pt>
                <c:pt idx="8">
                  <c:v>0.47242200087970443</c:v>
                </c:pt>
                <c:pt idx="9">
                  <c:v>0.55681033509297417</c:v>
                </c:pt>
                <c:pt idx="10">
                  <c:v>0.60642410521433465</c:v>
                </c:pt>
                <c:pt idx="11">
                  <c:v>0.63748402807856208</c:v>
                </c:pt>
              </c:numCache>
            </c:numRef>
          </c:xVal>
          <c:yVal>
            <c:numRef>
              <c:f>(Лист1!$Q$17:$Q$22,Лист1!$T$17:$T$22)</c:f>
              <c:numCache>
                <c:formatCode>General</c:formatCode>
                <c:ptCount val="12"/>
                <c:pt idx="0">
                  <c:v>4.8083507208628522E-4</c:v>
                </c:pt>
                <c:pt idx="1">
                  <c:v>7.7608945158384203E-4</c:v>
                </c:pt>
                <c:pt idx="2">
                  <c:v>2.192849216212957E-3</c:v>
                </c:pt>
                <c:pt idx="3">
                  <c:v>1.5475496328164584E-3</c:v>
                </c:pt>
                <c:pt idx="4">
                  <c:v>6.2990106097086211E-3</c:v>
                </c:pt>
                <c:pt idx="5">
                  <c:v>6.3458878068344479E-3</c:v>
                </c:pt>
                <c:pt idx="6">
                  <c:v>0.73034449765139042</c:v>
                </c:pt>
                <c:pt idx="7">
                  <c:v>0.584321178177996</c:v>
                </c:pt>
                <c:pt idx="8">
                  <c:v>0.51778299254164362</c:v>
                </c:pt>
                <c:pt idx="9">
                  <c:v>0.43352555358257527</c:v>
                </c:pt>
                <c:pt idx="10">
                  <c:v>0.3777443515865283</c:v>
                </c:pt>
                <c:pt idx="11">
                  <c:v>0.34570516814520763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77664"/>
        <c:axId val="154311296"/>
      </c:scatterChart>
      <c:valAx>
        <c:axId val="16457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311296"/>
        <c:crosses val="autoZero"/>
        <c:crossBetween val="midCat"/>
      </c:valAx>
      <c:valAx>
        <c:axId val="154311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5776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xVal>
            <c:numRef>
              <c:f>(Лист5!$E$21,Лист5!$H$21)</c:f>
              <c:numCache>
                <c:formatCode>General</c:formatCode>
                <c:ptCount val="2"/>
                <c:pt idx="0">
                  <c:v>0.55781977344405043</c:v>
                </c:pt>
                <c:pt idx="1">
                  <c:v>0.71609223457830051</c:v>
                </c:pt>
              </c:numCache>
            </c:numRef>
          </c:xVal>
          <c:yVal>
            <c:numRef>
              <c:f>(Лист5!$F$21,Лист5!$I$21)</c:f>
              <c:numCache>
                <c:formatCode>General</c:formatCode>
                <c:ptCount val="2"/>
                <c:pt idx="0">
                  <c:v>2.7595603320234915E-2</c:v>
                </c:pt>
                <c:pt idx="1">
                  <c:v>0.11507357567152886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7072"/>
        <c:axId val="178856320"/>
      </c:scatterChart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1</c:v>
              </c:pt>
              <c:pt idx="1">
                <c:v>0</c:v>
              </c:pt>
            </c:numLit>
          </c:yVal>
          <c:smooth val="1"/>
        </c:ser>
        <c:ser>
          <c:idx val="2"/>
          <c:order val="2"/>
          <c:xVal>
            <c:numRef>
              <c:f>(Лист5!$E$22,Лист5!$H$22)</c:f>
              <c:numCache>
                <c:formatCode>General</c:formatCode>
                <c:ptCount val="2"/>
                <c:pt idx="0">
                  <c:v>3.3954848150963515E-2</c:v>
                </c:pt>
                <c:pt idx="1">
                  <c:v>0.22561279123789454</c:v>
                </c:pt>
              </c:numCache>
            </c:numRef>
          </c:xVal>
          <c:yVal>
            <c:numRef>
              <c:f>(Лист5!$F$22,Лист5!$I$22)</c:f>
              <c:numCache>
                <c:formatCode>General</c:formatCode>
                <c:ptCount val="2"/>
                <c:pt idx="0">
                  <c:v>6.9431911568881334E-4</c:v>
                </c:pt>
                <c:pt idx="1">
                  <c:v>0.75462858635133745</c:v>
                </c:pt>
              </c:numCache>
            </c:numRef>
          </c:yVal>
          <c:smooth val="1"/>
        </c:ser>
        <c:ser>
          <c:idx val="3"/>
          <c:order val="3"/>
          <c:xVal>
            <c:numRef>
              <c:f>(Лист5!$E$23,Лист5!$H$23)</c:f>
              <c:numCache>
                <c:formatCode>General</c:formatCode>
                <c:ptCount val="2"/>
                <c:pt idx="0">
                  <c:v>9.0339991097610026E-2</c:v>
                </c:pt>
                <c:pt idx="1">
                  <c:v>0.45953988416182567</c:v>
                </c:pt>
              </c:numCache>
            </c:numRef>
          </c:xVal>
          <c:yVal>
            <c:numRef>
              <c:f>(Лист5!$F$23,Лист5!$I$23)</c:f>
              <c:numCache>
                <c:formatCode>General</c:formatCode>
                <c:ptCount val="2"/>
                <c:pt idx="0">
                  <c:v>6.6884991193173348E-4</c:v>
                </c:pt>
                <c:pt idx="1">
                  <c:v>0.51406056565430569</c:v>
                </c:pt>
              </c:numCache>
            </c:numRef>
          </c:yVal>
          <c:smooth val="1"/>
        </c:ser>
        <c:ser>
          <c:idx val="4"/>
          <c:order val="4"/>
          <c:xVal>
            <c:numRef>
              <c:f>(Лист5!$E$24,Лист5!$H$24)</c:f>
              <c:numCache>
                <c:formatCode>General</c:formatCode>
                <c:ptCount val="2"/>
                <c:pt idx="0">
                  <c:v>0.15370149116973225</c:v>
                </c:pt>
                <c:pt idx="1">
                  <c:v>0.54826517068730163</c:v>
                </c:pt>
              </c:numCache>
            </c:numRef>
          </c:xVal>
          <c:yVal>
            <c:numRef>
              <c:f>(Лист5!$F$24,Лист5!$I$24)</c:f>
              <c:numCache>
                <c:formatCode>General</c:formatCode>
                <c:ptCount val="2"/>
                <c:pt idx="0">
                  <c:v>1.1129555499447348E-3</c:v>
                </c:pt>
                <c:pt idx="1">
                  <c:v>0.41171545261812115</c:v>
                </c:pt>
              </c:numCache>
            </c:numRef>
          </c:yVal>
          <c:smooth val="1"/>
        </c:ser>
        <c:ser>
          <c:idx val="5"/>
          <c:order val="5"/>
          <c:xVal>
            <c:numRef>
              <c:f>(Лист5!$E$25,Лист5!$H$25)</c:f>
              <c:numCache>
                <c:formatCode>General</c:formatCode>
                <c:ptCount val="2"/>
                <c:pt idx="0">
                  <c:v>0.25473381272449258</c:v>
                </c:pt>
                <c:pt idx="1">
                  <c:v>0.63266227357053428</c:v>
                </c:pt>
              </c:numCache>
            </c:numRef>
          </c:xVal>
          <c:yVal>
            <c:numRef>
              <c:f>(Лист5!$F$25,Лист5!$I$25)</c:f>
              <c:numCache>
                <c:formatCode>General</c:formatCode>
                <c:ptCount val="2"/>
                <c:pt idx="0">
                  <c:v>2.3238061904729624E-3</c:v>
                </c:pt>
                <c:pt idx="1">
                  <c:v>0.29963503825192322</c:v>
                </c:pt>
              </c:numCache>
            </c:numRef>
          </c:yVal>
          <c:smooth val="1"/>
        </c:ser>
        <c:ser>
          <c:idx val="6"/>
          <c:order val="6"/>
          <c:xVal>
            <c:numRef>
              <c:f>(Лист5!$E$26,Лист5!$H$26)</c:f>
              <c:numCache>
                <c:formatCode>General</c:formatCode>
                <c:ptCount val="2"/>
                <c:pt idx="0">
                  <c:v>0.38739855126072653</c:v>
                </c:pt>
                <c:pt idx="1">
                  <c:v>0.68666866390004555</c:v>
                </c:pt>
              </c:numCache>
            </c:numRef>
          </c:xVal>
          <c:yVal>
            <c:numRef>
              <c:f>(Лист5!$F$26,Лист5!$I$26)</c:f>
              <c:numCache>
                <c:formatCode>General</c:formatCode>
                <c:ptCount val="2"/>
                <c:pt idx="0">
                  <c:v>1.5649367729775911E-2</c:v>
                </c:pt>
                <c:pt idx="1">
                  <c:v>0.19871086852135583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07072"/>
        <c:axId val="178856320"/>
      </c:scatterChart>
      <c:valAx>
        <c:axId val="178707072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178856320"/>
        <c:crosses val="autoZero"/>
        <c:crossBetween val="midCat"/>
      </c:valAx>
      <c:valAx>
        <c:axId val="178856320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7070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28575">
              <a:noFill/>
            </a:ln>
          </c:spPr>
          <c:xVal>
            <c:numRef>
              <c:f>(Лист2!$P$23:$P$29,Лист2!$S$23:$S$29)</c:f>
              <c:numCache>
                <c:formatCode>General</c:formatCode>
                <c:ptCount val="14"/>
                <c:pt idx="0">
                  <c:v>0.55781977344405043</c:v>
                </c:pt>
                <c:pt idx="1">
                  <c:v>3.3954848150963515E-2</c:v>
                </c:pt>
                <c:pt idx="2">
                  <c:v>9.0339991097610026E-2</c:v>
                </c:pt>
                <c:pt idx="3">
                  <c:v>0.15370149116973225</c:v>
                </c:pt>
                <c:pt idx="4">
                  <c:v>0.25473381272449258</c:v>
                </c:pt>
                <c:pt idx="5">
                  <c:v>0.38739855126072653</c:v>
                </c:pt>
                <c:pt idx="6">
                  <c:v>0.50264601561443056</c:v>
                </c:pt>
                <c:pt idx="7">
                  <c:v>0.71609223457830051</c:v>
                </c:pt>
                <c:pt idx="8">
                  <c:v>0.22561279123789454</c:v>
                </c:pt>
                <c:pt idx="9">
                  <c:v>0.45953988416182567</c:v>
                </c:pt>
                <c:pt idx="10">
                  <c:v>0.54826517068730163</c:v>
                </c:pt>
                <c:pt idx="11">
                  <c:v>0.63266227357053428</c:v>
                </c:pt>
                <c:pt idx="12">
                  <c:v>0.68666866390004555</c:v>
                </c:pt>
                <c:pt idx="13">
                  <c:v>0.71593936342101161</c:v>
                </c:pt>
              </c:numCache>
            </c:numRef>
          </c:xVal>
          <c:yVal>
            <c:numRef>
              <c:f>(Лист2!$Q$23:$Q$29,Лист2!$T$23:$T$29)</c:f>
              <c:numCache>
                <c:formatCode>General</c:formatCode>
                <c:ptCount val="14"/>
                <c:pt idx="0">
                  <c:v>2.7595603320234915E-2</c:v>
                </c:pt>
                <c:pt idx="1">
                  <c:v>6.9431911568881334E-4</c:v>
                </c:pt>
                <c:pt idx="2">
                  <c:v>6.6884991193173348E-4</c:v>
                </c:pt>
                <c:pt idx="3">
                  <c:v>1.1129555499447348E-3</c:v>
                </c:pt>
                <c:pt idx="4">
                  <c:v>2.3238061904729624E-3</c:v>
                </c:pt>
                <c:pt idx="5">
                  <c:v>1.5649367729775911E-2</c:v>
                </c:pt>
                <c:pt idx="6">
                  <c:v>2.505526182831767E-2</c:v>
                </c:pt>
                <c:pt idx="7">
                  <c:v>0.11507357567152886</c:v>
                </c:pt>
                <c:pt idx="8">
                  <c:v>0.75462858635133745</c:v>
                </c:pt>
                <c:pt idx="9">
                  <c:v>0.51406056565430569</c:v>
                </c:pt>
                <c:pt idx="10">
                  <c:v>0.41171545261812115</c:v>
                </c:pt>
                <c:pt idx="11">
                  <c:v>0.29963503825192322</c:v>
                </c:pt>
                <c:pt idx="12">
                  <c:v>0.19871086852135583</c:v>
                </c:pt>
                <c:pt idx="13">
                  <c:v>0.12811431635101259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40032"/>
        <c:axId val="164938496"/>
      </c:scatterChart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1</c:v>
              </c:pt>
              <c:pt idx="1">
                <c:v>0</c:v>
              </c:pt>
            </c:numLit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40032"/>
        <c:axId val="164938496"/>
      </c:scatterChart>
      <c:valAx>
        <c:axId val="16494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4938496"/>
        <c:crosses val="autoZero"/>
        <c:crossBetween val="midCat"/>
      </c:valAx>
      <c:valAx>
        <c:axId val="164938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9400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Лист3!$B$3:$B$18</c:f>
              <c:numCache>
                <c:formatCode>General</c:formatCode>
                <c:ptCount val="16"/>
                <c:pt idx="0">
                  <c:v>0</c:v>
                </c:pt>
                <c:pt idx="1">
                  <c:v>4.2000000000000003E-2</c:v>
                </c:pt>
                <c:pt idx="2">
                  <c:v>0.11600000000000001</c:v>
                </c:pt>
                <c:pt idx="3">
                  <c:v>0.191</c:v>
                </c:pt>
                <c:pt idx="4">
                  <c:v>0.25900000000000001</c:v>
                </c:pt>
                <c:pt idx="5">
                  <c:v>0.32200000000000001</c:v>
                </c:pt>
                <c:pt idx="6">
                  <c:v>0.40200000000000002</c:v>
                </c:pt>
                <c:pt idx="7">
                  <c:v>0.46200000000000002</c:v>
                </c:pt>
                <c:pt idx="8">
                  <c:v>0.53700000000000003</c:v>
                </c:pt>
                <c:pt idx="9">
                  <c:v>0.60299999999999998</c:v>
                </c:pt>
                <c:pt idx="10">
                  <c:v>0.67800000000000005</c:v>
                </c:pt>
                <c:pt idx="11">
                  <c:v>0.751</c:v>
                </c:pt>
                <c:pt idx="12">
                  <c:v>0.81200000000000006</c:v>
                </c:pt>
                <c:pt idx="13">
                  <c:v>0.879</c:v>
                </c:pt>
                <c:pt idx="14">
                  <c:v>0.95299999999999996</c:v>
                </c:pt>
                <c:pt idx="15">
                  <c:v>1</c:v>
                </c:pt>
              </c:numCache>
            </c:numRef>
          </c:xVal>
          <c:yVal>
            <c:numRef>
              <c:f>Лист3!$C$3:$C$18</c:f>
              <c:numCache>
                <c:formatCode>General</c:formatCode>
                <c:ptCount val="16"/>
                <c:pt idx="0">
                  <c:v>0</c:v>
                </c:pt>
                <c:pt idx="1">
                  <c:v>7.8E-2</c:v>
                </c:pt>
                <c:pt idx="2">
                  <c:v>0.191</c:v>
                </c:pt>
                <c:pt idx="3">
                  <c:v>0.28699999999999998</c:v>
                </c:pt>
                <c:pt idx="4">
                  <c:v>0.36399999999999999</c:v>
                </c:pt>
                <c:pt idx="5">
                  <c:v>0.42799999999999999</c:v>
                </c:pt>
                <c:pt idx="6">
                  <c:v>0.505</c:v>
                </c:pt>
                <c:pt idx="7">
                  <c:v>0.55900000000000005</c:v>
                </c:pt>
                <c:pt idx="8">
                  <c:v>0.623</c:v>
                </c:pt>
                <c:pt idx="9">
                  <c:v>0.67900000000000005</c:v>
                </c:pt>
                <c:pt idx="10">
                  <c:v>0.74</c:v>
                </c:pt>
                <c:pt idx="11">
                  <c:v>0.79900000000000004</c:v>
                </c:pt>
                <c:pt idx="12">
                  <c:v>0.84799999999999998</c:v>
                </c:pt>
                <c:pt idx="13">
                  <c:v>0.90200000000000002</c:v>
                </c:pt>
                <c:pt idx="14">
                  <c:v>0.96199999999999997</c:v>
                </c:pt>
                <c:pt idx="15">
                  <c:v>1</c:v>
                </c:pt>
              </c:numCache>
            </c:numRef>
          </c:yVal>
          <c:smooth val="1"/>
        </c:ser>
        <c:ser>
          <c:idx val="1"/>
          <c:order val="1"/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95040"/>
        <c:axId val="69161344"/>
      </c:scatterChart>
      <c:valAx>
        <c:axId val="177095040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69161344"/>
        <c:crosses val="autoZero"/>
        <c:crossBetween val="midCat"/>
      </c:valAx>
      <c:valAx>
        <c:axId val="69161344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0950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Лист3!$B$3:$B$18</c:f>
              <c:numCache>
                <c:formatCode>General</c:formatCode>
                <c:ptCount val="16"/>
                <c:pt idx="0">
                  <c:v>0</c:v>
                </c:pt>
                <c:pt idx="1">
                  <c:v>4.2000000000000003E-2</c:v>
                </c:pt>
                <c:pt idx="2">
                  <c:v>0.11600000000000001</c:v>
                </c:pt>
                <c:pt idx="3">
                  <c:v>0.191</c:v>
                </c:pt>
                <c:pt idx="4">
                  <c:v>0.25900000000000001</c:v>
                </c:pt>
                <c:pt idx="5">
                  <c:v>0.32200000000000001</c:v>
                </c:pt>
                <c:pt idx="6">
                  <c:v>0.40200000000000002</c:v>
                </c:pt>
                <c:pt idx="7">
                  <c:v>0.46200000000000002</c:v>
                </c:pt>
                <c:pt idx="8">
                  <c:v>0.53700000000000003</c:v>
                </c:pt>
                <c:pt idx="9">
                  <c:v>0.60299999999999998</c:v>
                </c:pt>
                <c:pt idx="10">
                  <c:v>0.67800000000000005</c:v>
                </c:pt>
                <c:pt idx="11">
                  <c:v>0.751</c:v>
                </c:pt>
                <c:pt idx="12">
                  <c:v>0.81200000000000006</c:v>
                </c:pt>
                <c:pt idx="13">
                  <c:v>0.879</c:v>
                </c:pt>
                <c:pt idx="14">
                  <c:v>0.95299999999999996</c:v>
                </c:pt>
                <c:pt idx="15">
                  <c:v>1</c:v>
                </c:pt>
              </c:numCache>
            </c:numRef>
          </c:xVal>
          <c:yVal>
            <c:numRef>
              <c:f>Лист3!$A$3:$A$18</c:f>
              <c:numCache>
                <c:formatCode>General</c:formatCode>
                <c:ptCount val="16"/>
                <c:pt idx="0">
                  <c:v>359.75</c:v>
                </c:pt>
                <c:pt idx="1">
                  <c:v>358.72</c:v>
                </c:pt>
                <c:pt idx="2">
                  <c:v>357.21</c:v>
                </c:pt>
                <c:pt idx="3">
                  <c:v>355.96</c:v>
                </c:pt>
                <c:pt idx="4">
                  <c:v>354.99</c:v>
                </c:pt>
                <c:pt idx="5">
                  <c:v>354.22</c:v>
                </c:pt>
                <c:pt idx="6">
                  <c:v>353.35</c:v>
                </c:pt>
                <c:pt idx="7">
                  <c:v>352.75</c:v>
                </c:pt>
                <c:pt idx="8">
                  <c:v>352.1</c:v>
                </c:pt>
                <c:pt idx="9">
                  <c:v>351.58</c:v>
                </c:pt>
                <c:pt idx="10">
                  <c:v>351.03</c:v>
                </c:pt>
                <c:pt idx="11">
                  <c:v>350.53</c:v>
                </c:pt>
                <c:pt idx="12">
                  <c:v>350.15</c:v>
                </c:pt>
                <c:pt idx="13">
                  <c:v>349.77</c:v>
                </c:pt>
                <c:pt idx="14">
                  <c:v>349.37</c:v>
                </c:pt>
                <c:pt idx="15">
                  <c:v>349.13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Лист3!$C$3:$C$18</c:f>
              <c:numCache>
                <c:formatCode>General</c:formatCode>
                <c:ptCount val="16"/>
                <c:pt idx="0">
                  <c:v>0</c:v>
                </c:pt>
                <c:pt idx="1">
                  <c:v>7.8E-2</c:v>
                </c:pt>
                <c:pt idx="2">
                  <c:v>0.191</c:v>
                </c:pt>
                <c:pt idx="3">
                  <c:v>0.28699999999999998</c:v>
                </c:pt>
                <c:pt idx="4">
                  <c:v>0.36399999999999999</c:v>
                </c:pt>
                <c:pt idx="5">
                  <c:v>0.42799999999999999</c:v>
                </c:pt>
                <c:pt idx="6">
                  <c:v>0.505</c:v>
                </c:pt>
                <c:pt idx="7">
                  <c:v>0.55900000000000005</c:v>
                </c:pt>
                <c:pt idx="8">
                  <c:v>0.623</c:v>
                </c:pt>
                <c:pt idx="9">
                  <c:v>0.67900000000000005</c:v>
                </c:pt>
                <c:pt idx="10">
                  <c:v>0.74</c:v>
                </c:pt>
                <c:pt idx="11">
                  <c:v>0.79900000000000004</c:v>
                </c:pt>
                <c:pt idx="12">
                  <c:v>0.84799999999999998</c:v>
                </c:pt>
                <c:pt idx="13">
                  <c:v>0.90200000000000002</c:v>
                </c:pt>
                <c:pt idx="14">
                  <c:v>0.96199999999999997</c:v>
                </c:pt>
                <c:pt idx="15">
                  <c:v>1</c:v>
                </c:pt>
              </c:numCache>
            </c:numRef>
          </c:xVal>
          <c:yVal>
            <c:numRef>
              <c:f>Лист3!$A$3:$A$18</c:f>
              <c:numCache>
                <c:formatCode>General</c:formatCode>
                <c:ptCount val="16"/>
                <c:pt idx="0">
                  <c:v>359.75</c:v>
                </c:pt>
                <c:pt idx="1">
                  <c:v>358.72</c:v>
                </c:pt>
                <c:pt idx="2">
                  <c:v>357.21</c:v>
                </c:pt>
                <c:pt idx="3">
                  <c:v>355.96</c:v>
                </c:pt>
                <c:pt idx="4">
                  <c:v>354.99</c:v>
                </c:pt>
                <c:pt idx="5">
                  <c:v>354.22</c:v>
                </c:pt>
                <c:pt idx="6">
                  <c:v>353.35</c:v>
                </c:pt>
                <c:pt idx="7">
                  <c:v>352.75</c:v>
                </c:pt>
                <c:pt idx="8">
                  <c:v>352.1</c:v>
                </c:pt>
                <c:pt idx="9">
                  <c:v>351.58</c:v>
                </c:pt>
                <c:pt idx="10">
                  <c:v>351.03</c:v>
                </c:pt>
                <c:pt idx="11">
                  <c:v>350.53</c:v>
                </c:pt>
                <c:pt idx="12">
                  <c:v>350.15</c:v>
                </c:pt>
                <c:pt idx="13">
                  <c:v>349.77</c:v>
                </c:pt>
                <c:pt idx="14">
                  <c:v>349.37</c:v>
                </c:pt>
                <c:pt idx="15">
                  <c:v>349.13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26176"/>
        <c:axId val="175424640"/>
      </c:scatterChart>
      <c:valAx>
        <c:axId val="17542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5424640"/>
        <c:crosses val="autoZero"/>
        <c:crossBetween val="midCat"/>
      </c:valAx>
      <c:valAx>
        <c:axId val="175424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4261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Лист4!$A$4:$A$21</c:f>
              <c:numCache>
                <c:formatCode>General</c:formatCode>
                <c:ptCount val="18"/>
                <c:pt idx="0">
                  <c:v>6.54E-2</c:v>
                </c:pt>
                <c:pt idx="1">
                  <c:v>0.1137</c:v>
                </c:pt>
                <c:pt idx="2">
                  <c:v>0.20899999999999999</c:v>
                </c:pt>
                <c:pt idx="3">
                  <c:v>0.25340000000000001</c:v>
                </c:pt>
                <c:pt idx="4">
                  <c:v>0.307</c:v>
                </c:pt>
                <c:pt idx="5">
                  <c:v>0.35610000000000003</c:v>
                </c:pt>
                <c:pt idx="6">
                  <c:v>0.43709999999999999</c:v>
                </c:pt>
                <c:pt idx="7">
                  <c:v>0.52449999999999997</c:v>
                </c:pt>
                <c:pt idx="8">
                  <c:v>0.59940000000000004</c:v>
                </c:pt>
                <c:pt idx="9">
                  <c:v>0.68049999999999999</c:v>
                </c:pt>
                <c:pt idx="10">
                  <c:v>0.75409999999999999</c:v>
                </c:pt>
                <c:pt idx="11">
                  <c:v>0.82879999999999998</c:v>
                </c:pt>
                <c:pt idx="12">
                  <c:v>0.88180000000000003</c:v>
                </c:pt>
                <c:pt idx="13">
                  <c:v>0.90380000000000005</c:v>
                </c:pt>
                <c:pt idx="14">
                  <c:v>0.92049999999999998</c:v>
                </c:pt>
                <c:pt idx="15">
                  <c:v>0.95699999999999996</c:v>
                </c:pt>
                <c:pt idx="16">
                  <c:v>0.96830000000000005</c:v>
                </c:pt>
                <c:pt idx="17">
                  <c:v>0.99670000000000003</c:v>
                </c:pt>
              </c:numCache>
            </c:numRef>
          </c:xVal>
          <c:yVal>
            <c:numRef>
              <c:f>Лист4!$B$4:$B$21</c:f>
              <c:numCache>
                <c:formatCode>General</c:formatCode>
                <c:ptCount val="18"/>
                <c:pt idx="0">
                  <c:v>0.1363</c:v>
                </c:pt>
                <c:pt idx="1">
                  <c:v>0.21859999999999999</c:v>
                </c:pt>
                <c:pt idx="2">
                  <c:v>0.36180000000000001</c:v>
                </c:pt>
                <c:pt idx="3">
                  <c:v>0.41689999999999999</c:v>
                </c:pt>
                <c:pt idx="4">
                  <c:v>0.47860000000000003</c:v>
                </c:pt>
                <c:pt idx="5">
                  <c:v>0.52739999999999998</c:v>
                </c:pt>
                <c:pt idx="6">
                  <c:v>0.59799999999999998</c:v>
                </c:pt>
                <c:pt idx="7">
                  <c:v>0.6502</c:v>
                </c:pt>
                <c:pt idx="8">
                  <c:v>0.69699999999999995</c:v>
                </c:pt>
                <c:pt idx="9">
                  <c:v>0.74760000000000004</c:v>
                </c:pt>
                <c:pt idx="10">
                  <c:v>0.79059999999999997</c:v>
                </c:pt>
                <c:pt idx="11">
                  <c:v>0.8337</c:v>
                </c:pt>
                <c:pt idx="12">
                  <c:v>0.87409999999999999</c:v>
                </c:pt>
                <c:pt idx="13">
                  <c:v>0.89370000000000005</c:v>
                </c:pt>
                <c:pt idx="14">
                  <c:v>0.90859999999999996</c:v>
                </c:pt>
                <c:pt idx="15">
                  <c:v>0.94510000000000005</c:v>
                </c:pt>
                <c:pt idx="16">
                  <c:v>0.95840000000000003</c:v>
                </c:pt>
                <c:pt idx="17">
                  <c:v>0.99529999999999996</c:v>
                </c:pt>
              </c:numCache>
            </c:numRef>
          </c:yVal>
          <c:smooth val="1"/>
        </c:ser>
        <c:ser>
          <c:idx val="1"/>
          <c:order val="1"/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11104"/>
        <c:axId val="176912640"/>
      </c:scatterChart>
      <c:valAx>
        <c:axId val="17691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912640"/>
        <c:crosses val="autoZero"/>
        <c:crossBetween val="midCat"/>
      </c:valAx>
      <c:valAx>
        <c:axId val="176912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9111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_________4"/>
  <sheetViews>
    <sheetView zoomScale="5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_________6"/>
  <sheetViews>
    <sheetView zoomScale="54" workbookViewId="0" zoomToFit="1"/>
  </sheetViews>
  <pageMargins left="0.7" right="0.7" top="0.75" bottom="0.75" header="0.3" footer="0.3"/>
  <drawing r:id="rId1"/>
</chartsheet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890587</xdr:colOff>
      <xdr:row>29</xdr:row>
      <xdr:rowOff>71437</xdr:rowOff>
    </xdr:from>
    <xdr:to>
      <xdr:col>19</xdr:col>
      <xdr:colOff>528637</xdr:colOff>
      <xdr:row>43</xdr:row>
      <xdr:rowOff>147637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76200</xdr:colOff>
      <xdr:row>13</xdr:row>
      <xdr:rowOff>114300</xdr:rowOff>
    </xdr:from>
    <xdr:to>
      <xdr:col>16</xdr:col>
      <xdr:colOff>120650</xdr:colOff>
      <xdr:row>28</xdr:row>
      <xdr:rowOff>165607</xdr:rowOff>
    </xdr:to>
    <xdr:pic>
      <xdr:nvPicPr>
        <xdr:cNvPr id="5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2600" y="2590800"/>
          <a:ext cx="4483100" cy="290880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</xdr:colOff>
          <xdr:row>38</xdr:row>
          <xdr:rowOff>9525</xdr:rowOff>
        </xdr:from>
        <xdr:to>
          <xdr:col>7</xdr:col>
          <xdr:colOff>590550</xdr:colOff>
          <xdr:row>39</xdr:row>
          <xdr:rowOff>0</xdr:rowOff>
        </xdr:to>
        <xdr:sp macro="" textlink="">
          <xdr:nvSpPr>
            <xdr:cNvPr id="7171" name="Button 3" hidden="1">
              <a:extLst>
                <a:ext uri="{63B3BB69-23CF-44E3-9099-C40C66FF867C}">
                  <a14:compatExt spid="_x0000_s7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NRTL</a:t>
              </a:r>
              <a:endParaRPr lang="sk-SK"/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157162</xdr:colOff>
      <xdr:row>29</xdr:row>
      <xdr:rowOff>100012</xdr:rowOff>
    </xdr:from>
    <xdr:to>
      <xdr:col>22</xdr:col>
      <xdr:colOff>461962</xdr:colOff>
      <xdr:row>43</xdr:row>
      <xdr:rowOff>176212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5694" cy="6067778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</xdr:colOff>
      <xdr:row>18</xdr:row>
      <xdr:rowOff>90487</xdr:rowOff>
    </xdr:from>
    <xdr:to>
      <xdr:col>7</xdr:col>
      <xdr:colOff>357187</xdr:colOff>
      <xdr:row>32</xdr:row>
      <xdr:rowOff>166687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5694" cy="6067778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/>
  <dimension ref="A2:T54"/>
  <sheetViews>
    <sheetView topLeftCell="N25" workbookViewId="0">
      <selection activeCell="D4" sqref="D4"/>
    </sheetView>
  </sheetViews>
  <sheetFormatPr defaultRowHeight="15" x14ac:dyDescent="0.25"/>
  <cols>
    <col min="1" max="1" width="12.7109375" customWidth="1"/>
    <col min="2" max="2" width="14.140625" customWidth="1"/>
    <col min="12" max="12" width="12.140625" customWidth="1"/>
    <col min="13" max="13" width="16.7109375" customWidth="1"/>
    <col min="14" max="14" width="11.5703125" bestFit="1" customWidth="1"/>
  </cols>
  <sheetData>
    <row r="2" spans="1:20" x14ac:dyDescent="0.25">
      <c r="B2" t="s">
        <v>0</v>
      </c>
      <c r="C2" t="s">
        <v>1</v>
      </c>
      <c r="D2" t="s">
        <v>2</v>
      </c>
    </row>
    <row r="3" spans="1:20" x14ac:dyDescent="0.25">
      <c r="A3" t="s">
        <v>3</v>
      </c>
      <c r="B3">
        <v>88.15</v>
      </c>
      <c r="C3">
        <v>32.042000000000002</v>
      </c>
      <c r="D3">
        <v>180.18</v>
      </c>
    </row>
    <row r="7" spans="1:20" x14ac:dyDescent="0.25">
      <c r="A7" s="1" t="s">
        <v>4</v>
      </c>
      <c r="B7" s="1"/>
      <c r="C7" s="1" t="s">
        <v>5</v>
      </c>
      <c r="D7" s="1"/>
      <c r="E7" s="1" t="s">
        <v>6</v>
      </c>
      <c r="F7" s="1"/>
      <c r="G7" t="s">
        <v>7</v>
      </c>
      <c r="H7" t="s">
        <v>8</v>
      </c>
      <c r="L7" s="5" t="s">
        <v>4</v>
      </c>
      <c r="M7" s="5"/>
      <c r="O7" s="6" t="s">
        <v>5</v>
      </c>
      <c r="P7" s="6"/>
      <c r="R7" s="6" t="s">
        <v>6</v>
      </c>
      <c r="S7" s="6"/>
    </row>
    <row r="8" spans="1:20" ht="15.75" thickBot="1" x14ac:dyDescent="0.3">
      <c r="A8" t="s">
        <v>9</v>
      </c>
      <c r="B8" t="s">
        <v>10</v>
      </c>
      <c r="C8" t="s">
        <v>11</v>
      </c>
      <c r="D8" t="s">
        <v>12</v>
      </c>
      <c r="E8" t="s">
        <v>11</v>
      </c>
      <c r="F8" t="s">
        <v>12</v>
      </c>
      <c r="I8" t="s">
        <v>13</v>
      </c>
      <c r="J8">
        <f>278.18-273.15</f>
        <v>5.0300000000000296</v>
      </c>
      <c r="L8" t="s">
        <v>16</v>
      </c>
      <c r="M8" t="s">
        <v>17</v>
      </c>
      <c r="N8" t="s">
        <v>18</v>
      </c>
      <c r="O8" t="s">
        <v>19</v>
      </c>
      <c r="P8" t="s">
        <v>20</v>
      </c>
      <c r="Q8" t="s">
        <v>21</v>
      </c>
      <c r="R8" t="s">
        <v>19</v>
      </c>
      <c r="S8" t="s">
        <v>20</v>
      </c>
      <c r="T8" t="s">
        <v>21</v>
      </c>
    </row>
    <row r="9" spans="1:20" x14ac:dyDescent="0.25">
      <c r="A9" s="3">
        <v>0.622</v>
      </c>
      <c r="B9" s="3">
        <v>0.1105</v>
      </c>
      <c r="C9" s="3">
        <v>0.86729999999999996</v>
      </c>
      <c r="D9" s="3">
        <v>0.13270000000000001</v>
      </c>
      <c r="E9" s="3">
        <v>4.8999999999999998E-3</v>
      </c>
      <c r="F9" s="3">
        <v>9.8100000000000007E-2</v>
      </c>
      <c r="G9" s="3">
        <v>0.73929999999999996</v>
      </c>
      <c r="H9" s="3">
        <v>131.7758</v>
      </c>
      <c r="L9" s="7">
        <f>(A9/$B$3)/(A9/$B$3+B9/$C$3+A34/$D$3)</f>
        <v>0.58853373466793579</v>
      </c>
      <c r="M9" s="7">
        <f>(B9/$C$3)/(A9/$B$3+B9/$C$3+A34/$D$3)</f>
        <v>0.28763779806704309</v>
      </c>
      <c r="N9" s="7">
        <f>(A34/$D$3)/(A9/$B$3+B9/$C$3+A34/$D$3)</f>
        <v>0.12382846726502117</v>
      </c>
      <c r="O9" s="7">
        <f>(C9/$B$3)/(C9/$B$3+D9/$C$3+D34/$D$3)</f>
        <v>0.70376712531709629</v>
      </c>
      <c r="P9">
        <f>(D9/$C$3)/(C9/$B$3+D9/$C$3+D34/$D$3)</f>
        <v>0.29623287468290371</v>
      </c>
      <c r="Q9">
        <f>(D34/$D$3)/(C9/$B$3+D9/$C$3+D34/$D$3)</f>
        <v>0</v>
      </c>
      <c r="R9">
        <f>(E9/$B$3)/(E9/$B$3+F9/$C$3+F34/$D$3)</f>
        <v>6.866374306031286E-3</v>
      </c>
      <c r="S9">
        <f>(F9/$C$3)/(E9/$B$3+F9/$C$3+F34/$D$3)</f>
        <v>0.37818395758003936</v>
      </c>
      <c r="T9">
        <f>(F34/$D$3)/(E9/$B$3+F9/$C$3+F34/$D$3)</f>
        <v>0.61494966811392937</v>
      </c>
    </row>
    <row r="10" spans="1:20" x14ac:dyDescent="0.25">
      <c r="A10" s="2">
        <v>0.58440000000000003</v>
      </c>
      <c r="B10" s="2">
        <v>0.14879999999999999</v>
      </c>
      <c r="C10" s="2">
        <v>0.82210000000000005</v>
      </c>
      <c r="D10" s="2">
        <v>0.1779</v>
      </c>
      <c r="E10" s="2">
        <v>5.1000000000000004E-3</v>
      </c>
      <c r="F10" s="2">
        <v>0.1217</v>
      </c>
      <c r="G10" s="2">
        <v>0.68389999999999995</v>
      </c>
      <c r="H10" s="2">
        <v>111.07250000000001</v>
      </c>
      <c r="L10" s="7">
        <f t="shared" ref="L10:L29" si="0">(A10/$B$3)/(A10/$B$3+B10/$C$3+A35/$D$3)</f>
        <v>0.51979583546724828</v>
      </c>
      <c r="M10" s="7">
        <f t="shared" ref="M10:M29" si="1">(B10/$C$3)/(A10/$B$3+B10/$C$3+A35/$D$3)</f>
        <v>0.36410632241014668</v>
      </c>
      <c r="N10" s="7">
        <f t="shared" ref="N10:N29" si="2">(A35/$D$3)/(A10/$B$3+B10/$C$3+A35/$D$3)</f>
        <v>0.11609784212260513</v>
      </c>
      <c r="O10" s="7">
        <f t="shared" ref="O10:O29" si="3">(C10/$B$3)/(C10/$B$3+D10/$C$3+D35/$D$3)</f>
        <v>0.62683158810342376</v>
      </c>
      <c r="P10">
        <f t="shared" ref="P10:P29" si="4">(D10/$C$3)/(C10/$B$3+D10/$C$3+D35/$D$3)</f>
        <v>0.37316841189657629</v>
      </c>
      <c r="Q10">
        <f t="shared" ref="Q10:Q29" si="5">(D35/$D$3)/(C10/$B$3+D10/$C$3+D35/$D$3)</f>
        <v>0</v>
      </c>
      <c r="R10">
        <f t="shared" ref="R10:R29" si="6">(E10/$B$3)/(E10/$B$3+F10/$C$3+F35/$D$3)</f>
        <v>6.6483790007388676E-3</v>
      </c>
      <c r="S10">
        <f t="shared" ref="S10:S29" si="7">(F10/$C$3)/(E10/$B$3+F10/$C$3+F35/$D$3)</f>
        <v>0.43645439567045868</v>
      </c>
      <c r="T10">
        <f t="shared" ref="T10:T29" si="8">(F35/$D$3)/(E10/$B$3+F10/$C$3+F35/$D$3)</f>
        <v>0.55689722532880248</v>
      </c>
    </row>
    <row r="11" spans="1:20" x14ac:dyDescent="0.25">
      <c r="A11" s="2">
        <v>0.55000000000000004</v>
      </c>
      <c r="B11" s="2">
        <v>0.18310000000000001</v>
      </c>
      <c r="C11" s="2">
        <v>0.78210000000000002</v>
      </c>
      <c r="D11" s="2">
        <v>0.217</v>
      </c>
      <c r="E11" s="2">
        <v>8.6E-3</v>
      </c>
      <c r="F11" s="2">
        <v>0.1482</v>
      </c>
      <c r="G11" s="2">
        <v>0.68269999999999997</v>
      </c>
      <c r="H11" s="2">
        <v>62.237299999999998</v>
      </c>
      <c r="L11" s="7">
        <f t="shared" si="0"/>
        <v>0.46440997109754328</v>
      </c>
      <c r="M11" s="7">
        <f t="shared" si="1"/>
        <v>0.42533379497118495</v>
      </c>
      <c r="N11" s="7">
        <f t="shared" si="2"/>
        <v>0.1102562339312718</v>
      </c>
      <c r="O11" s="7">
        <f t="shared" si="3"/>
        <v>0.56693469983678002</v>
      </c>
      <c r="P11">
        <f t="shared" si="4"/>
        <v>0.43274612506782167</v>
      </c>
      <c r="Q11">
        <f t="shared" si="5"/>
        <v>3.1917509539821693E-4</v>
      </c>
      <c r="R11">
        <f t="shared" si="6"/>
        <v>1.037606196390759E-2</v>
      </c>
      <c r="S11">
        <f t="shared" si="7"/>
        <v>0.49190927302521148</v>
      </c>
      <c r="T11">
        <f t="shared" si="8"/>
        <v>0.49771466501088085</v>
      </c>
    </row>
    <row r="12" spans="1:20" x14ac:dyDescent="0.25">
      <c r="A12" s="2">
        <v>0.5171</v>
      </c>
      <c r="B12" s="2">
        <v>0.23569999999999999</v>
      </c>
      <c r="C12" s="2">
        <v>0.72729999999999995</v>
      </c>
      <c r="D12" s="2">
        <v>0.27110000000000001</v>
      </c>
      <c r="E12" s="2">
        <v>1.0699999999999999E-2</v>
      </c>
      <c r="F12" s="2">
        <v>0.16969999999999999</v>
      </c>
      <c r="G12" s="2">
        <v>0.62609999999999999</v>
      </c>
      <c r="H12" s="2">
        <v>42.5869</v>
      </c>
      <c r="L12" s="7">
        <f t="shared" si="0"/>
        <v>0.40195351244221961</v>
      </c>
      <c r="M12" s="7">
        <f t="shared" si="1"/>
        <v>0.50403834090411148</v>
      </c>
      <c r="N12" s="7">
        <f t="shared" si="2"/>
        <v>9.4008146653668939E-2</v>
      </c>
      <c r="O12" s="7">
        <f t="shared" si="3"/>
        <v>0.49345285511718268</v>
      </c>
      <c r="P12">
        <f t="shared" si="4"/>
        <v>0.50601605528489702</v>
      </c>
      <c r="Q12">
        <f t="shared" si="5"/>
        <v>5.3108959792006459E-4</v>
      </c>
      <c r="R12">
        <f t="shared" si="6"/>
        <v>1.2179393460149497E-2</v>
      </c>
      <c r="S12">
        <f t="shared" si="7"/>
        <v>0.53140596610936652</v>
      </c>
      <c r="T12">
        <f t="shared" si="8"/>
        <v>0.45641464043048396</v>
      </c>
    </row>
    <row r="13" spans="1:20" x14ac:dyDescent="0.25">
      <c r="A13" s="2">
        <v>0.46139999999999998</v>
      </c>
      <c r="B13" s="2">
        <v>0.29220000000000002</v>
      </c>
      <c r="C13" s="2">
        <v>0.65080000000000005</v>
      </c>
      <c r="D13" s="2">
        <v>0.34420000000000001</v>
      </c>
      <c r="E13" s="2">
        <v>1.7600000000000001E-2</v>
      </c>
      <c r="F13" s="2">
        <v>0.21260000000000001</v>
      </c>
      <c r="G13" s="2">
        <v>0.61770000000000003</v>
      </c>
      <c r="H13" s="2">
        <v>22.792899999999999</v>
      </c>
      <c r="L13" s="7">
        <f t="shared" si="0"/>
        <v>0.33294568474965364</v>
      </c>
      <c r="M13" s="7">
        <f t="shared" si="1"/>
        <v>0.58006773894950947</v>
      </c>
      <c r="N13" s="7">
        <f t="shared" si="2"/>
        <v>8.6986576300836824E-2</v>
      </c>
      <c r="O13" s="7">
        <f t="shared" si="3"/>
        <v>0.40670760857283833</v>
      </c>
      <c r="P13">
        <f t="shared" si="4"/>
        <v>0.59176369767266035</v>
      </c>
      <c r="Q13">
        <f t="shared" si="5"/>
        <v>1.5286937545012922E-3</v>
      </c>
      <c r="R13">
        <f t="shared" si="6"/>
        <v>1.7975867038182672E-2</v>
      </c>
      <c r="S13">
        <f t="shared" si="7"/>
        <v>0.59736963070451499</v>
      </c>
      <c r="T13">
        <f t="shared" si="8"/>
        <v>0.3846545022573023</v>
      </c>
    </row>
    <row r="14" spans="1:20" x14ac:dyDescent="0.25">
      <c r="A14" s="2">
        <v>0.41199999999999998</v>
      </c>
      <c r="B14" s="2">
        <v>0.32140000000000002</v>
      </c>
      <c r="C14" s="2">
        <v>0.63239999999999996</v>
      </c>
      <c r="D14" s="2">
        <v>0.36249999999999999</v>
      </c>
      <c r="E14" s="2">
        <v>1.9199999999999998E-2</v>
      </c>
      <c r="F14" s="2">
        <v>0.2233</v>
      </c>
      <c r="G14" s="2">
        <v>0.61580000000000001</v>
      </c>
      <c r="H14" s="2">
        <v>20.295400000000001</v>
      </c>
      <c r="L14" s="7">
        <f t="shared" si="0"/>
        <v>0.28879336571057801</v>
      </c>
      <c r="M14" s="7">
        <f t="shared" si="1"/>
        <v>0.6197814435018183</v>
      </c>
      <c r="N14" s="7">
        <f t="shared" si="2"/>
        <v>9.1425190787603666E-2</v>
      </c>
      <c r="O14" s="7">
        <f t="shared" si="3"/>
        <v>0.38746191945474173</v>
      </c>
      <c r="P14">
        <f t="shared" si="4"/>
        <v>0.61100937769792929</v>
      </c>
      <c r="Q14">
        <f t="shared" si="5"/>
        <v>1.5287028473290069E-3</v>
      </c>
      <c r="R14">
        <f t="shared" si="6"/>
        <v>1.9121422063099205E-2</v>
      </c>
      <c r="S14">
        <f t="shared" si="7"/>
        <v>0.61180128187991578</v>
      </c>
      <c r="T14">
        <f t="shared" si="8"/>
        <v>0.36907729605698497</v>
      </c>
    </row>
    <row r="15" spans="1:20" x14ac:dyDescent="0.25">
      <c r="A15" s="2">
        <v>0.36859999999999998</v>
      </c>
      <c r="B15" s="2">
        <v>0.36449999999999999</v>
      </c>
      <c r="C15" s="2">
        <v>0.54449999999999998</v>
      </c>
      <c r="D15" s="2">
        <v>0.43830000000000002</v>
      </c>
      <c r="E15" s="2">
        <v>2.4500000000000001E-2</v>
      </c>
      <c r="F15" s="2">
        <v>0.2555</v>
      </c>
      <c r="G15" s="2">
        <v>0.58299999999999996</v>
      </c>
      <c r="H15" s="2">
        <v>12.975</v>
      </c>
      <c r="L15" s="7">
        <f t="shared" si="0"/>
        <v>0.24541531659369975</v>
      </c>
      <c r="M15" s="7">
        <f t="shared" si="1"/>
        <v>0.66764648405667526</v>
      </c>
      <c r="N15" s="7">
        <f t="shared" si="2"/>
        <v>8.6938199349625073E-2</v>
      </c>
      <c r="O15" s="7">
        <f t="shared" si="3"/>
        <v>0.30960161955418947</v>
      </c>
      <c r="P15">
        <f t="shared" si="4"/>
        <v>0.6856137376471676</v>
      </c>
      <c r="Q15">
        <f t="shared" si="5"/>
        <v>4.7846427986427496E-3</v>
      </c>
      <c r="R15">
        <f t="shared" si="6"/>
        <v>2.269258439403847E-2</v>
      </c>
      <c r="S15">
        <f t="shared" si="7"/>
        <v>0.65104570762667691</v>
      </c>
      <c r="T15">
        <f t="shared" si="8"/>
        <v>0.32626170797928461</v>
      </c>
    </row>
    <row r="16" spans="1:20" ht="15.75" thickBot="1" x14ac:dyDescent="0.3">
      <c r="A16" s="4">
        <v>0.33100000000000002</v>
      </c>
      <c r="B16" s="4">
        <v>0.40250000000000002</v>
      </c>
      <c r="C16" s="4">
        <v>0.4839</v>
      </c>
      <c r="D16" s="4">
        <v>0.48880000000000001</v>
      </c>
      <c r="E16" s="4">
        <v>2.6800000000000001E-2</v>
      </c>
      <c r="F16" s="4">
        <v>0.28199999999999997</v>
      </c>
      <c r="G16" s="4">
        <v>0.57699999999999996</v>
      </c>
      <c r="H16" s="4">
        <v>10.405200000000001</v>
      </c>
      <c r="L16" s="8">
        <f t="shared" si="0"/>
        <v>0.21100422500785587</v>
      </c>
      <c r="M16" s="8">
        <f t="shared" si="1"/>
        <v>0.70588140733933835</v>
      </c>
      <c r="N16" s="8">
        <f t="shared" si="2"/>
        <v>8.3114367652805818E-2</v>
      </c>
      <c r="O16" s="8">
        <f t="shared" si="3"/>
        <v>0.2627060992583985</v>
      </c>
      <c r="P16" s="9">
        <f t="shared" si="4"/>
        <v>0.73004298405783008</v>
      </c>
      <c r="Q16" s="9">
        <f t="shared" si="5"/>
        <v>7.2509166837713213E-3</v>
      </c>
      <c r="R16">
        <f t="shared" si="6"/>
        <v>2.349307948235807E-2</v>
      </c>
      <c r="S16">
        <f t="shared" si="7"/>
        <v>0.68007523904760914</v>
      </c>
      <c r="T16">
        <f t="shared" si="8"/>
        <v>0.29643168147003285</v>
      </c>
    </row>
    <row r="17" spans="1:20" x14ac:dyDescent="0.25">
      <c r="A17" s="3">
        <v>0.68369999999999997</v>
      </c>
      <c r="B17" s="3">
        <v>6.7100000000000007E-2</v>
      </c>
      <c r="C17" s="3">
        <v>0.93049999999999999</v>
      </c>
      <c r="D17" s="3">
        <v>6.8400000000000002E-2</v>
      </c>
      <c r="E17" s="3">
        <v>5.0000000000000001E-3</v>
      </c>
      <c r="F17" s="3">
        <v>5.96E-2</v>
      </c>
      <c r="G17" s="3">
        <v>0.87239999999999995</v>
      </c>
      <c r="H17" s="3">
        <v>163.57470000000001</v>
      </c>
      <c r="I17" t="s">
        <v>14</v>
      </c>
      <c r="J17">
        <f>298.15-273.15</f>
        <v>25</v>
      </c>
      <c r="L17" s="7">
        <f t="shared" si="0"/>
        <v>0.69045673484474457</v>
      </c>
      <c r="M17" s="7">
        <f t="shared" si="1"/>
        <v>0.18642154845030215</v>
      </c>
      <c r="N17" s="7">
        <f t="shared" si="2"/>
        <v>0.12312171670495342</v>
      </c>
      <c r="O17" s="10">
        <f t="shared" si="3"/>
        <v>0.83138865869082013</v>
      </c>
      <c r="P17" s="11">
        <f t="shared" si="4"/>
        <v>0.16813050623709366</v>
      </c>
      <c r="Q17" s="11">
        <f t="shared" si="5"/>
        <v>4.8083507208628522E-4</v>
      </c>
      <c r="R17" s="11">
        <f t="shared" si="6"/>
        <v>7.9796651301306306E-3</v>
      </c>
      <c r="S17" s="11">
        <f t="shared" si="7"/>
        <v>0.26167583721847892</v>
      </c>
      <c r="T17" s="11">
        <f t="shared" si="8"/>
        <v>0.73034449765139042</v>
      </c>
    </row>
    <row r="18" spans="1:20" x14ac:dyDescent="0.25">
      <c r="A18" s="2">
        <v>0.62060000000000004</v>
      </c>
      <c r="B18" s="2">
        <v>0.1313</v>
      </c>
      <c r="C18" s="2">
        <v>0.84850000000000003</v>
      </c>
      <c r="D18" s="2">
        <v>0.14949999999999999</v>
      </c>
      <c r="E18" s="2">
        <v>6.8999999999999999E-3</v>
      </c>
      <c r="F18" s="2">
        <v>0.10929999999999999</v>
      </c>
      <c r="G18" s="2">
        <v>0.73109999999999997</v>
      </c>
      <c r="H18" s="2">
        <v>89.585700000000003</v>
      </c>
      <c r="L18" s="7">
        <f t="shared" si="0"/>
        <v>0.56254783310804923</v>
      </c>
      <c r="M18" s="7">
        <f t="shared" si="1"/>
        <v>0.32742746938254097</v>
      </c>
      <c r="N18" s="7">
        <f t="shared" si="2"/>
        <v>0.1100246975094098</v>
      </c>
      <c r="O18" s="10">
        <f t="shared" si="3"/>
        <v>0.6730043907109593</v>
      </c>
      <c r="P18" s="11">
        <f t="shared" si="4"/>
        <v>0.32621951983745673</v>
      </c>
      <c r="Q18" s="11">
        <f t="shared" si="5"/>
        <v>7.7608945158384203E-4</v>
      </c>
      <c r="R18" s="11">
        <f t="shared" si="6"/>
        <v>9.3246166575387032E-3</v>
      </c>
      <c r="S18" s="11">
        <f t="shared" si="7"/>
        <v>0.4063542051644653</v>
      </c>
      <c r="T18" s="11">
        <f t="shared" si="8"/>
        <v>0.584321178177996</v>
      </c>
    </row>
    <row r="19" spans="1:20" x14ac:dyDescent="0.25">
      <c r="A19" s="2">
        <v>0.53869999999999996</v>
      </c>
      <c r="B19" s="2">
        <v>0.19420000000000001</v>
      </c>
      <c r="C19" s="2">
        <v>0.78600000000000003</v>
      </c>
      <c r="D19" s="2">
        <v>0.2079</v>
      </c>
      <c r="E19" s="2">
        <v>7.9000000000000008E-3</v>
      </c>
      <c r="F19" s="2">
        <v>0.13850000000000001</v>
      </c>
      <c r="G19" s="2">
        <v>0.66600000000000004</v>
      </c>
      <c r="H19" s="2">
        <v>66.615600000000001</v>
      </c>
      <c r="L19" s="7">
        <f t="shared" si="0"/>
        <v>0.44756158860019207</v>
      </c>
      <c r="M19" s="7">
        <f t="shared" si="1"/>
        <v>0.44387200737319854</v>
      </c>
      <c r="N19" s="7">
        <f t="shared" si="2"/>
        <v>0.10856640402660951</v>
      </c>
      <c r="O19" s="10">
        <f t="shared" si="3"/>
        <v>0.57754489165621337</v>
      </c>
      <c r="P19" s="11">
        <f t="shared" si="4"/>
        <v>0.42026225912757365</v>
      </c>
      <c r="Q19" s="11">
        <f t="shared" si="5"/>
        <v>2.192849216212957E-3</v>
      </c>
      <c r="R19" s="11">
        <f t="shared" si="6"/>
        <v>9.7950065786519252E-3</v>
      </c>
      <c r="S19" s="11">
        <f t="shared" si="7"/>
        <v>0.47242200087970443</v>
      </c>
      <c r="T19" s="11">
        <f t="shared" si="8"/>
        <v>0.51778299254164362</v>
      </c>
    </row>
    <row r="20" spans="1:20" x14ac:dyDescent="0.25">
      <c r="A20" s="2">
        <v>0.49120000000000003</v>
      </c>
      <c r="B20" s="2">
        <v>0.2515</v>
      </c>
      <c r="C20" s="2">
        <v>0.69830000000000003</v>
      </c>
      <c r="D20" s="2">
        <v>0.2969</v>
      </c>
      <c r="E20" s="2">
        <v>8.8000000000000005E-3</v>
      </c>
      <c r="F20" s="2">
        <v>0.18429999999999999</v>
      </c>
      <c r="G20" s="2">
        <v>0.62080000000000002</v>
      </c>
      <c r="H20" s="2">
        <v>49.025799999999997</v>
      </c>
      <c r="L20" s="7">
        <f t="shared" si="0"/>
        <v>0.37525532149630392</v>
      </c>
      <c r="M20" s="7">
        <f t="shared" si="1"/>
        <v>0.5285781316210969</v>
      </c>
      <c r="N20" s="7">
        <f t="shared" si="2"/>
        <v>9.6166546882599152E-2</v>
      </c>
      <c r="O20" s="10">
        <f t="shared" si="3"/>
        <v>0.46018203169498101</v>
      </c>
      <c r="P20" s="11">
        <f t="shared" si="4"/>
        <v>0.53827041867220271</v>
      </c>
      <c r="Q20" s="11">
        <f t="shared" si="5"/>
        <v>1.5475496328164584E-3</v>
      </c>
      <c r="R20" s="11">
        <f t="shared" si="6"/>
        <v>9.6641113244504678E-3</v>
      </c>
      <c r="S20" s="11">
        <f t="shared" si="7"/>
        <v>0.55681033509297417</v>
      </c>
      <c r="T20" s="11">
        <f t="shared" si="8"/>
        <v>0.43352555358257527</v>
      </c>
    </row>
    <row r="21" spans="1:20" x14ac:dyDescent="0.25">
      <c r="A21" s="2">
        <v>0.44969999999999999</v>
      </c>
      <c r="B21" s="2">
        <v>0.31290000000000001</v>
      </c>
      <c r="C21" s="2">
        <v>0.62619999999999998</v>
      </c>
      <c r="D21" s="2">
        <v>0.35310000000000002</v>
      </c>
      <c r="E21" s="2">
        <v>1.5699999999999999E-2</v>
      </c>
      <c r="F21" s="2">
        <v>0.21859999999999999</v>
      </c>
      <c r="G21" s="2">
        <v>0.61899999999999999</v>
      </c>
      <c r="H21" s="2">
        <v>24.763100000000001</v>
      </c>
      <c r="L21" s="7">
        <f t="shared" si="0"/>
        <v>0.3152126780292594</v>
      </c>
      <c r="M21" s="7">
        <f t="shared" si="1"/>
        <v>0.60337741886629093</v>
      </c>
      <c r="N21" s="7">
        <f t="shared" si="2"/>
        <v>8.1409903104449802E-2</v>
      </c>
      <c r="O21" s="10">
        <f t="shared" si="3"/>
        <v>0.38949270110171286</v>
      </c>
      <c r="P21" s="11">
        <f t="shared" si="4"/>
        <v>0.60420828828857853</v>
      </c>
      <c r="Q21" s="11">
        <f t="shared" si="5"/>
        <v>6.2990106097086211E-3</v>
      </c>
      <c r="R21" s="11">
        <f t="shared" si="6"/>
        <v>1.5831543199137089E-2</v>
      </c>
      <c r="S21" s="11">
        <f t="shared" si="7"/>
        <v>0.60642410521433465</v>
      </c>
      <c r="T21" s="11">
        <f t="shared" si="8"/>
        <v>0.3777443515865283</v>
      </c>
    </row>
    <row r="22" spans="1:20" ht="15.75" thickBot="1" x14ac:dyDescent="0.3">
      <c r="A22" s="4">
        <v>0.41199999999999998</v>
      </c>
      <c r="B22" s="4">
        <v>0.34060000000000001</v>
      </c>
      <c r="C22" s="4">
        <v>0.5786</v>
      </c>
      <c r="D22" s="4">
        <v>0.39950000000000002</v>
      </c>
      <c r="E22" s="4">
        <v>1.7600000000000001E-2</v>
      </c>
      <c r="F22" s="4">
        <v>0.24260000000000001</v>
      </c>
      <c r="G22" s="4">
        <v>0.60729999999999995</v>
      </c>
      <c r="H22" s="4">
        <v>19.986899999999999</v>
      </c>
      <c r="L22" s="8">
        <f t="shared" si="0"/>
        <v>0.28026200995840211</v>
      </c>
      <c r="M22" s="8">
        <f t="shared" si="1"/>
        <v>0.63740337758830268</v>
      </c>
      <c r="N22" s="8">
        <f t="shared" si="2"/>
        <v>8.2334612453295375E-2</v>
      </c>
      <c r="O22" s="12">
        <f t="shared" si="3"/>
        <v>0.34269752669899073</v>
      </c>
      <c r="P22" s="13">
        <f t="shared" si="4"/>
        <v>0.65095658549417479</v>
      </c>
      <c r="Q22" s="13">
        <f t="shared" si="5"/>
        <v>6.3458878068344479E-3</v>
      </c>
      <c r="R22" s="11">
        <f t="shared" si="6"/>
        <v>1.681080377623027E-2</v>
      </c>
      <c r="S22" s="11">
        <f t="shared" si="7"/>
        <v>0.63748402807856208</v>
      </c>
      <c r="T22" s="11">
        <f t="shared" si="8"/>
        <v>0.34570516814520763</v>
      </c>
    </row>
    <row r="23" spans="1:20" x14ac:dyDescent="0.25">
      <c r="A23" s="3">
        <v>0.622</v>
      </c>
      <c r="B23" s="3">
        <v>0.1115</v>
      </c>
      <c r="C23" s="3">
        <v>0.89419999999999999</v>
      </c>
      <c r="D23" s="3">
        <v>0.105</v>
      </c>
      <c r="E23" s="3">
        <v>3.7000000000000002E-3</v>
      </c>
      <c r="F23" s="3">
        <v>0.104</v>
      </c>
      <c r="G23" s="3">
        <v>0.99060000000000004</v>
      </c>
      <c r="H23" s="3">
        <v>239.85980000000001</v>
      </c>
      <c r="I23" t="s">
        <v>15</v>
      </c>
      <c r="J23">
        <f>318.15-273.15</f>
        <v>45</v>
      </c>
      <c r="L23" s="7">
        <f t="shared" si="0"/>
        <v>0.58727687591885946</v>
      </c>
      <c r="M23" s="7">
        <f t="shared" si="1"/>
        <v>0.28962102354534236</v>
      </c>
      <c r="N23" s="7">
        <f t="shared" si="2"/>
        <v>0.12310210053579818</v>
      </c>
      <c r="O23" s="7">
        <f t="shared" si="3"/>
        <v>0.75558464180898122</v>
      </c>
      <c r="P23">
        <f t="shared" si="4"/>
        <v>0.24408464297479798</v>
      </c>
      <c r="Q23">
        <f t="shared" si="5"/>
        <v>3.3071521622075553E-4</v>
      </c>
      <c r="R23">
        <f t="shared" si="6"/>
        <v>5.093930885554856E-3</v>
      </c>
      <c r="S23">
        <f t="shared" si="7"/>
        <v>0.39390125448872587</v>
      </c>
      <c r="T23">
        <f t="shared" si="8"/>
        <v>0.6010048146257192</v>
      </c>
    </row>
    <row r="24" spans="1:20" x14ac:dyDescent="0.25">
      <c r="A24" s="2">
        <v>0.58479999999999999</v>
      </c>
      <c r="B24" s="2">
        <v>0.14879999999999999</v>
      </c>
      <c r="C24" s="2">
        <v>0.84</v>
      </c>
      <c r="D24" s="2">
        <v>0.15770000000000001</v>
      </c>
      <c r="E24" s="2">
        <v>5.1999999999999998E-3</v>
      </c>
      <c r="F24" s="2">
        <v>0.13780000000000001</v>
      </c>
      <c r="G24" s="2">
        <v>0.87380000000000002</v>
      </c>
      <c r="H24" s="2">
        <v>140.08969999999999</v>
      </c>
      <c r="L24" s="7">
        <f t="shared" si="0"/>
        <v>0.52005711096277851</v>
      </c>
      <c r="M24" s="7">
        <f t="shared" si="1"/>
        <v>0.36404016862079441</v>
      </c>
      <c r="N24" s="7">
        <f t="shared" si="2"/>
        <v>0.11590272041642696</v>
      </c>
      <c r="O24" s="7">
        <f t="shared" si="3"/>
        <v>0.65883901428412606</v>
      </c>
      <c r="P24">
        <f t="shared" si="4"/>
        <v>0.34027842703149591</v>
      </c>
      <c r="Q24">
        <f t="shared" si="5"/>
        <v>8.8255868437803306E-4</v>
      </c>
      <c r="R24">
        <f t="shared" si="6"/>
        <v>6.4711142188264214E-3</v>
      </c>
      <c r="S24">
        <f t="shared" si="7"/>
        <v>0.47176708811319679</v>
      </c>
      <c r="T24">
        <f t="shared" si="8"/>
        <v>0.52176179766797681</v>
      </c>
    </row>
    <row r="25" spans="1:20" x14ac:dyDescent="0.25">
      <c r="A25" s="2">
        <v>0.54920000000000002</v>
      </c>
      <c r="B25" s="2">
        <v>0.183</v>
      </c>
      <c r="C25" s="2">
        <v>0.80089999999999995</v>
      </c>
      <c r="D25" s="2">
        <v>0.19539999999999999</v>
      </c>
      <c r="E25" s="2">
        <v>5.4000000000000003E-3</v>
      </c>
      <c r="F25" s="2">
        <v>0.16439999999999999</v>
      </c>
      <c r="G25" s="2">
        <v>0.84150000000000003</v>
      </c>
      <c r="H25" s="2">
        <v>123.77079999999999</v>
      </c>
      <c r="L25" s="7">
        <f t="shared" si="0"/>
        <v>0.46398316615561525</v>
      </c>
      <c r="M25" s="7">
        <f t="shared" si="1"/>
        <v>0.42532948070757498</v>
      </c>
      <c r="N25" s="7">
        <f t="shared" si="2"/>
        <v>0.11068735313680979</v>
      </c>
      <c r="O25" s="7">
        <f t="shared" si="3"/>
        <v>0.59756591613118371</v>
      </c>
      <c r="P25">
        <f t="shared" si="4"/>
        <v>0.4010834893503662</v>
      </c>
      <c r="Q25">
        <f t="shared" si="5"/>
        <v>1.3505945184500827E-3</v>
      </c>
      <c r="R25">
        <f t="shared" si="6"/>
        <v>6.2511703646364681E-3</v>
      </c>
      <c r="S25">
        <f t="shared" si="7"/>
        <v>0.52356678711309834</v>
      </c>
      <c r="T25">
        <f t="shared" si="8"/>
        <v>0.4701820425222652</v>
      </c>
    </row>
    <row r="26" spans="1:20" x14ac:dyDescent="0.25">
      <c r="A26" s="2">
        <v>0.51790000000000003</v>
      </c>
      <c r="B26" s="2">
        <v>0.21579999999999999</v>
      </c>
      <c r="C26" s="2">
        <v>0.75749999999999995</v>
      </c>
      <c r="D26" s="2">
        <v>0.23480000000000001</v>
      </c>
      <c r="E26" s="2">
        <v>8.2000000000000007E-3</v>
      </c>
      <c r="F26" s="2">
        <v>0.1951</v>
      </c>
      <c r="G26" s="2">
        <v>0.83120000000000005</v>
      </c>
      <c r="H26" s="2">
        <v>76.653300000000002</v>
      </c>
      <c r="L26" s="7">
        <f t="shared" si="0"/>
        <v>0.41703402425308694</v>
      </c>
      <c r="M26" s="7">
        <f t="shared" si="1"/>
        <v>0.47805704071747773</v>
      </c>
      <c r="N26" s="7">
        <f t="shared" si="2"/>
        <v>0.10490893502943528</v>
      </c>
      <c r="O26" s="7">
        <f t="shared" si="3"/>
        <v>0.53829539846357521</v>
      </c>
      <c r="P26">
        <f t="shared" si="4"/>
        <v>0.45902762546384218</v>
      </c>
      <c r="Q26">
        <f t="shared" si="5"/>
        <v>2.6769760725826866E-3</v>
      </c>
      <c r="R26">
        <f t="shared" si="6"/>
        <v>8.7728027034414263E-3</v>
      </c>
      <c r="S26">
        <f t="shared" si="7"/>
        <v>0.57422815148852402</v>
      </c>
      <c r="T26">
        <f t="shared" si="8"/>
        <v>0.4169990458080346</v>
      </c>
    </row>
    <row r="27" spans="1:20" x14ac:dyDescent="0.25">
      <c r="A27" s="2">
        <v>0.46029999999999999</v>
      </c>
      <c r="B27" s="2">
        <v>0.26190000000000002</v>
      </c>
      <c r="C27" s="2">
        <v>0.70650000000000002</v>
      </c>
      <c r="D27" s="2">
        <v>0.27929999999999999</v>
      </c>
      <c r="E27" s="2">
        <v>9.1000000000000004E-3</v>
      </c>
      <c r="F27" s="2">
        <v>0.21890000000000001</v>
      </c>
      <c r="G27" s="2">
        <v>0.78359999999999996</v>
      </c>
      <c r="H27" s="2">
        <v>61.143300000000004</v>
      </c>
      <c r="L27" s="7">
        <f t="shared" si="0"/>
        <v>0.34958186095774807</v>
      </c>
      <c r="M27" s="7">
        <f t="shared" si="1"/>
        <v>0.5472000319042164</v>
      </c>
      <c r="N27" s="7">
        <f t="shared" si="2"/>
        <v>0.10321810713803543</v>
      </c>
      <c r="O27" s="7">
        <f t="shared" si="3"/>
        <v>0.47677764423807417</v>
      </c>
      <c r="P27">
        <f t="shared" si="4"/>
        <v>0.51853413778644286</v>
      </c>
      <c r="Q27">
        <f t="shared" si="5"/>
        <v>4.6882179754830699E-3</v>
      </c>
      <c r="R27">
        <f t="shared" si="6"/>
        <v>9.2012267448400003E-3</v>
      </c>
      <c r="S27">
        <f t="shared" si="7"/>
        <v>0.60890957442315996</v>
      </c>
      <c r="T27">
        <f t="shared" si="8"/>
        <v>0.38188919883199995</v>
      </c>
    </row>
    <row r="28" spans="1:20" x14ac:dyDescent="0.25">
      <c r="A28" s="2">
        <v>0.41070000000000001</v>
      </c>
      <c r="B28" s="2">
        <v>0.32150000000000001</v>
      </c>
      <c r="C28" s="2">
        <v>0.61560000000000004</v>
      </c>
      <c r="D28" s="2">
        <v>0.35849999999999999</v>
      </c>
      <c r="E28" s="2">
        <v>1.6899999999999998E-2</v>
      </c>
      <c r="F28" s="2">
        <v>0.2631</v>
      </c>
      <c r="G28" s="2">
        <v>0.73380000000000001</v>
      </c>
      <c r="H28" s="2">
        <v>26.676600000000001</v>
      </c>
      <c r="L28" s="7">
        <f t="shared" si="0"/>
        <v>0.2879704988904826</v>
      </c>
      <c r="M28" s="7">
        <f t="shared" si="1"/>
        <v>0.62016460194741407</v>
      </c>
      <c r="N28" s="7">
        <f t="shared" si="2"/>
        <v>9.1864899162103192E-2</v>
      </c>
      <c r="O28" s="7">
        <f t="shared" si="3"/>
        <v>0.3812869291502391</v>
      </c>
      <c r="P28">
        <f t="shared" si="4"/>
        <v>0.61086489357184637</v>
      </c>
      <c r="Q28">
        <f t="shared" si="5"/>
        <v>7.8481772779146058E-3</v>
      </c>
      <c r="R28">
        <f t="shared" si="6"/>
        <v>1.5462653077389683E-2</v>
      </c>
      <c r="S28">
        <f t="shared" si="7"/>
        <v>0.66224830607661589</v>
      </c>
      <c r="T28">
        <f t="shared" si="8"/>
        <v>0.32228904084599441</v>
      </c>
    </row>
    <row r="29" spans="1:20" ht="15.75" thickBot="1" x14ac:dyDescent="0.3">
      <c r="A29" s="4">
        <v>0.3679</v>
      </c>
      <c r="B29" s="4">
        <v>0.36499999999999999</v>
      </c>
      <c r="C29" s="4">
        <v>0.54690000000000005</v>
      </c>
      <c r="D29" s="4">
        <v>0.40739999999999998</v>
      </c>
      <c r="E29" s="4">
        <v>1.9900000000000001E-2</v>
      </c>
      <c r="F29" s="4">
        <v>0.30309999999999998</v>
      </c>
      <c r="G29" s="4">
        <v>0.74399999999999999</v>
      </c>
      <c r="H29" s="4">
        <v>20.399699999999999</v>
      </c>
      <c r="L29" s="7">
        <f t="shared" si="0"/>
        <v>0.2448231888440533</v>
      </c>
      <c r="M29" s="7">
        <f t="shared" si="1"/>
        <v>0.66821824210271819</v>
      </c>
      <c r="N29" s="7">
        <f t="shared" si="2"/>
        <v>8.6958569053228491E-2</v>
      </c>
      <c r="O29" s="7">
        <f t="shared" si="3"/>
        <v>0.32360054450537407</v>
      </c>
      <c r="P29">
        <f t="shared" si="4"/>
        <v>0.66317026547825275</v>
      </c>
      <c r="Q29">
        <f t="shared" si="5"/>
        <v>1.322919001637313E-2</v>
      </c>
      <c r="R29">
        <f t="shared" si="6"/>
        <v>1.6793786274568741E-2</v>
      </c>
      <c r="S29">
        <f t="shared" si="7"/>
        <v>0.70369454167612655</v>
      </c>
      <c r="T29">
        <f t="shared" si="8"/>
        <v>0.27951167204930466</v>
      </c>
    </row>
    <row r="33" spans="1:6" x14ac:dyDescent="0.25">
      <c r="A33" t="s">
        <v>22</v>
      </c>
      <c r="D33" t="s">
        <v>22</v>
      </c>
      <c r="F33" t="s">
        <v>22</v>
      </c>
    </row>
    <row r="34" spans="1:6" x14ac:dyDescent="0.25">
      <c r="A34">
        <f>1-A9-B9</f>
        <v>0.26750000000000002</v>
      </c>
      <c r="D34">
        <f>1-C9-D9</f>
        <v>0</v>
      </c>
      <c r="F34">
        <f>1-E9-F9</f>
        <v>0.89700000000000002</v>
      </c>
    </row>
    <row r="35" spans="1:6" x14ac:dyDescent="0.25">
      <c r="A35">
        <f t="shared" ref="A35:A58" si="9">1-A10-B10</f>
        <v>0.26679999999999998</v>
      </c>
      <c r="D35">
        <f t="shared" ref="D35:D58" si="10">1-C10-D10</f>
        <v>0</v>
      </c>
      <c r="F35">
        <f t="shared" ref="F35:F58" si="11">1-E10-F10</f>
        <v>0.87319999999999998</v>
      </c>
    </row>
    <row r="36" spans="1:6" x14ac:dyDescent="0.25">
      <c r="A36">
        <f t="shared" si="9"/>
        <v>0.26689999999999992</v>
      </c>
      <c r="D36">
        <f t="shared" si="10"/>
        <v>8.9999999999998415E-4</v>
      </c>
      <c r="F36">
        <f t="shared" si="11"/>
        <v>0.84319999999999995</v>
      </c>
    </row>
    <row r="37" spans="1:6" x14ac:dyDescent="0.25">
      <c r="A37">
        <f t="shared" si="9"/>
        <v>0.2472</v>
      </c>
      <c r="D37">
        <f t="shared" si="10"/>
        <v>1.6000000000000458E-3</v>
      </c>
      <c r="F37">
        <f t="shared" si="11"/>
        <v>0.8196</v>
      </c>
    </row>
    <row r="38" spans="1:6" x14ac:dyDescent="0.25">
      <c r="A38">
        <f t="shared" si="9"/>
        <v>0.24639999999999995</v>
      </c>
      <c r="D38">
        <f t="shared" si="10"/>
        <v>4.9999999999999489E-3</v>
      </c>
      <c r="F38">
        <f t="shared" si="11"/>
        <v>0.76980000000000004</v>
      </c>
    </row>
    <row r="39" spans="1:6" x14ac:dyDescent="0.25">
      <c r="A39">
        <f t="shared" si="9"/>
        <v>0.26660000000000006</v>
      </c>
      <c r="D39">
        <f t="shared" si="10"/>
        <v>5.1000000000000489E-3</v>
      </c>
      <c r="F39">
        <f t="shared" si="11"/>
        <v>0.75750000000000006</v>
      </c>
    </row>
    <row r="40" spans="1:6" x14ac:dyDescent="0.25">
      <c r="A40">
        <f t="shared" si="9"/>
        <v>0.26689999999999997</v>
      </c>
      <c r="D40">
        <f t="shared" si="10"/>
        <v>1.7199999999999993E-2</v>
      </c>
      <c r="F40">
        <f t="shared" si="11"/>
        <v>0.72</v>
      </c>
    </row>
    <row r="41" spans="1:6" x14ac:dyDescent="0.25">
      <c r="A41">
        <f t="shared" si="9"/>
        <v>0.26650000000000001</v>
      </c>
      <c r="D41">
        <f t="shared" si="10"/>
        <v>2.7299999999999991E-2</v>
      </c>
      <c r="F41">
        <f t="shared" si="11"/>
        <v>0.69120000000000004</v>
      </c>
    </row>
    <row r="42" spans="1:6" x14ac:dyDescent="0.25">
      <c r="A42">
        <f>1-A17-B17</f>
        <v>0.24920000000000003</v>
      </c>
      <c r="D42">
        <f>1-C17-D17</f>
        <v>1.1000000000000038E-3</v>
      </c>
      <c r="F42">
        <f>1-E17-F17</f>
        <v>0.93540000000000001</v>
      </c>
    </row>
    <row r="43" spans="1:6" x14ac:dyDescent="0.25">
      <c r="A43">
        <f t="shared" si="9"/>
        <v>0.24809999999999996</v>
      </c>
      <c r="D43">
        <f t="shared" si="10"/>
        <v>1.999999999999974E-3</v>
      </c>
      <c r="F43">
        <f t="shared" si="11"/>
        <v>0.88380000000000003</v>
      </c>
    </row>
    <row r="44" spans="1:6" x14ac:dyDescent="0.25">
      <c r="A44">
        <f t="shared" si="9"/>
        <v>0.2671</v>
      </c>
      <c r="D44">
        <f t="shared" si="10"/>
        <v>6.0999999999999666E-3</v>
      </c>
      <c r="F44">
        <f t="shared" si="11"/>
        <v>0.85359999999999991</v>
      </c>
    </row>
    <row r="45" spans="1:6" x14ac:dyDescent="0.25">
      <c r="A45">
        <f t="shared" si="9"/>
        <v>0.25729999999999992</v>
      </c>
      <c r="D45">
        <f t="shared" si="10"/>
        <v>4.799999999999971E-3</v>
      </c>
      <c r="F45">
        <f t="shared" si="11"/>
        <v>0.80689999999999995</v>
      </c>
    </row>
    <row r="46" spans="1:6" x14ac:dyDescent="0.25">
      <c r="A46">
        <f t="shared" si="9"/>
        <v>0.2374</v>
      </c>
      <c r="D46">
        <f t="shared" si="10"/>
        <v>2.0699999999999996E-2</v>
      </c>
      <c r="F46">
        <f t="shared" si="11"/>
        <v>0.76569999999999994</v>
      </c>
    </row>
    <row r="47" spans="1:6" x14ac:dyDescent="0.25">
      <c r="A47">
        <f t="shared" si="9"/>
        <v>0.24740000000000006</v>
      </c>
      <c r="D47">
        <f t="shared" si="10"/>
        <v>2.1899999999999975E-2</v>
      </c>
      <c r="F47">
        <f t="shared" si="11"/>
        <v>0.73980000000000001</v>
      </c>
    </row>
    <row r="48" spans="1:6" x14ac:dyDescent="0.25">
      <c r="A48">
        <f t="shared" si="9"/>
        <v>0.26650000000000001</v>
      </c>
      <c r="D48">
        <f t="shared" si="10"/>
        <v>8.0000000000000904E-4</v>
      </c>
      <c r="F48">
        <f t="shared" si="11"/>
        <v>0.89229999999999998</v>
      </c>
    </row>
    <row r="49" spans="1:6" x14ac:dyDescent="0.25">
      <c r="A49">
        <f t="shared" si="9"/>
        <v>0.26640000000000003</v>
      </c>
      <c r="D49">
        <f t="shared" si="10"/>
        <v>2.3000000000000242E-3</v>
      </c>
      <c r="F49">
        <f t="shared" si="11"/>
        <v>0.85699999999999998</v>
      </c>
    </row>
    <row r="50" spans="1:6" x14ac:dyDescent="0.25">
      <c r="A50">
        <f t="shared" si="9"/>
        <v>0.26779999999999998</v>
      </c>
      <c r="D50">
        <f t="shared" si="10"/>
        <v>3.7000000000000643E-3</v>
      </c>
      <c r="F50">
        <f t="shared" si="11"/>
        <v>0.83020000000000005</v>
      </c>
    </row>
    <row r="51" spans="1:6" x14ac:dyDescent="0.25">
      <c r="A51">
        <f t="shared" si="9"/>
        <v>0.26629999999999998</v>
      </c>
      <c r="D51">
        <f t="shared" si="10"/>
        <v>7.7000000000000401E-3</v>
      </c>
      <c r="F51">
        <f t="shared" si="11"/>
        <v>0.79669999999999996</v>
      </c>
    </row>
    <row r="52" spans="1:6" x14ac:dyDescent="0.25">
      <c r="A52">
        <f t="shared" si="9"/>
        <v>0.27780000000000005</v>
      </c>
      <c r="D52">
        <f t="shared" si="10"/>
        <v>1.419999999999999E-2</v>
      </c>
      <c r="F52">
        <f t="shared" si="11"/>
        <v>0.77200000000000002</v>
      </c>
    </row>
    <row r="53" spans="1:6" x14ac:dyDescent="0.25">
      <c r="A53">
        <f t="shared" si="9"/>
        <v>0.26779999999999993</v>
      </c>
      <c r="D53">
        <f t="shared" si="10"/>
        <v>2.5899999999999979E-2</v>
      </c>
      <c r="F53">
        <f t="shared" si="11"/>
        <v>0.72</v>
      </c>
    </row>
    <row r="54" spans="1:6" x14ac:dyDescent="0.25">
      <c r="A54">
        <f t="shared" si="9"/>
        <v>0.2671</v>
      </c>
      <c r="D54">
        <f t="shared" si="10"/>
        <v>4.5699999999999963E-2</v>
      </c>
      <c r="F54">
        <f t="shared" si="11"/>
        <v>0.67700000000000005</v>
      </c>
    </row>
  </sheetData>
  <mergeCells count="4">
    <mergeCell ref="C7:D7"/>
    <mergeCell ref="A7:B7"/>
    <mergeCell ref="E7:F7"/>
    <mergeCell ref="L7:M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Worksheet____2"/>
  <dimension ref="A3:AD42"/>
  <sheetViews>
    <sheetView tabSelected="1" topLeftCell="A24" workbookViewId="0">
      <selection activeCell="K38" sqref="K38"/>
    </sheetView>
  </sheetViews>
  <sheetFormatPr defaultRowHeight="15" x14ac:dyDescent="0.25"/>
  <cols>
    <col min="9" max="10" width="9.5703125" bestFit="1" customWidth="1"/>
    <col min="11" max="11" width="10" bestFit="1" customWidth="1"/>
    <col min="13" max="15" width="9.5703125" bestFit="1" customWidth="1"/>
    <col min="19" max="19" width="12" bestFit="1" customWidth="1"/>
    <col min="21" max="22" width="12" bestFit="1" customWidth="1"/>
    <col min="24" max="24" width="12" bestFit="1" customWidth="1"/>
  </cols>
  <sheetData>
    <row r="3" spans="20:26" x14ac:dyDescent="0.25">
      <c r="T3" s="6" t="s">
        <v>5</v>
      </c>
      <c r="U3" s="6"/>
      <c r="X3" s="6" t="s">
        <v>6</v>
      </c>
      <c r="Y3" s="6"/>
      <c r="Z3" t="s">
        <v>15</v>
      </c>
    </row>
    <row r="4" spans="20:26" x14ac:dyDescent="0.25">
      <c r="T4" t="s">
        <v>19</v>
      </c>
      <c r="U4" t="s">
        <v>20</v>
      </c>
      <c r="V4" t="s">
        <v>21</v>
      </c>
      <c r="X4" t="s">
        <v>19</v>
      </c>
      <c r="Y4" t="s">
        <v>20</v>
      </c>
      <c r="Z4" t="s">
        <v>21</v>
      </c>
    </row>
    <row r="5" spans="20:26" x14ac:dyDescent="0.25">
      <c r="T5">
        <v>0.99923986379330443</v>
      </c>
      <c r="U5">
        <v>0</v>
      </c>
      <c r="V5">
        <v>7.5994612621390603E-4</v>
      </c>
      <c r="X5">
        <v>3.4744469711427074E-3</v>
      </c>
      <c r="Y5">
        <v>0</v>
      </c>
      <c r="Z5">
        <v>0.99652555564224643</v>
      </c>
    </row>
    <row r="6" spans="20:26" x14ac:dyDescent="0.25">
      <c r="T6">
        <f>1-U6-V6</f>
        <v>0.99352737408265646</v>
      </c>
      <c r="U6">
        <v>5.6904620764073087E-3</v>
      </c>
      <c r="V6">
        <v>7.8216384093625119E-4</v>
      </c>
      <c r="X6">
        <v>6.9584811532821559E-3</v>
      </c>
      <c r="Y6">
        <v>3.6072856807266712E-2</v>
      </c>
      <c r="Z6">
        <f>ABS(1-X6-Y6)</f>
        <v>0.95696866203945119</v>
      </c>
    </row>
    <row r="19" spans="1:18" x14ac:dyDescent="0.25">
      <c r="A19" s="5" t="s">
        <v>4</v>
      </c>
      <c r="B19" s="5"/>
      <c r="D19" s="6" t="s">
        <v>5</v>
      </c>
      <c r="E19" s="6"/>
      <c r="G19" s="6" t="s">
        <v>6</v>
      </c>
      <c r="H19" s="6"/>
      <c r="I19" t="s">
        <v>15</v>
      </c>
    </row>
    <row r="20" spans="1:18" x14ac:dyDescent="0.25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19</v>
      </c>
      <c r="H20" t="s">
        <v>20</v>
      </c>
      <c r="I20" t="s">
        <v>21</v>
      </c>
    </row>
    <row r="21" spans="1:18" x14ac:dyDescent="0.25">
      <c r="A21" s="7">
        <v>0.29817534625114245</v>
      </c>
      <c r="B21" s="7">
        <v>0.63007366029930212</v>
      </c>
      <c r="C21" s="7">
        <v>7.1750993449555614E-2</v>
      </c>
      <c r="D21" s="7">
        <v>0.41458462323571482</v>
      </c>
      <c r="E21">
        <v>0.55781977344405043</v>
      </c>
      <c r="F21">
        <v>2.7595603320234915E-2</v>
      </c>
      <c r="G21">
        <v>0.16883418975017062</v>
      </c>
      <c r="H21">
        <v>0.71609223457830051</v>
      </c>
      <c r="I21">
        <v>0.11507357567152886</v>
      </c>
    </row>
    <row r="22" spans="1:18" x14ac:dyDescent="0.25">
      <c r="A22" s="7">
        <v>0.82844381704253156</v>
      </c>
      <c r="B22" s="7">
        <v>5.921829040228082E-2</v>
      </c>
      <c r="C22" s="7">
        <v>0.11233789255518771</v>
      </c>
      <c r="D22" s="7">
        <v>0.96535083273334765</v>
      </c>
      <c r="E22">
        <v>3.3954848150963515E-2</v>
      </c>
      <c r="F22">
        <v>6.9431911568881334E-4</v>
      </c>
      <c r="G22">
        <v>1.9758622410767951E-2</v>
      </c>
      <c r="H22">
        <v>0.22561279123789454</v>
      </c>
      <c r="I22">
        <v>0.75462858635133745</v>
      </c>
    </row>
    <row r="23" spans="1:18" x14ac:dyDescent="0.25">
      <c r="A23" s="7">
        <v>0.7643293347073612</v>
      </c>
      <c r="B23" s="7">
        <v>0.13173938487660725</v>
      </c>
      <c r="C23" s="7">
        <v>0.1039312804160316</v>
      </c>
      <c r="D23" s="7">
        <v>0.90899115899045813</v>
      </c>
      <c r="E23">
        <v>9.0339991097610026E-2</v>
      </c>
      <c r="F23">
        <v>6.6884991193173348E-4</v>
      </c>
      <c r="G23">
        <v>2.6399550183868581E-2</v>
      </c>
      <c r="H23">
        <v>0.45953988416182567</v>
      </c>
      <c r="I23">
        <v>0.51406056565430569</v>
      </c>
    </row>
    <row r="24" spans="1:18" x14ac:dyDescent="0.25">
      <c r="A24" s="7">
        <v>0.66381331559181278</v>
      </c>
      <c r="B24" s="7">
        <v>0.24570310696047598</v>
      </c>
      <c r="C24" s="7">
        <v>9.0483577447711266E-2</v>
      </c>
      <c r="D24" s="7">
        <v>0.84518555328032308</v>
      </c>
      <c r="E24">
        <v>0.15370149116973225</v>
      </c>
      <c r="F24">
        <v>1.1129555499447348E-3</v>
      </c>
      <c r="G24">
        <v>4.0019376694577141E-2</v>
      </c>
      <c r="H24">
        <v>0.54826517068730163</v>
      </c>
      <c r="I24">
        <v>0.41171545261812115</v>
      </c>
    </row>
    <row r="25" spans="1:18" x14ac:dyDescent="0.25">
      <c r="A25" s="7">
        <v>0.53510907658729379</v>
      </c>
      <c r="B25" s="7">
        <v>0.37344931670334569</v>
      </c>
      <c r="C25" s="7">
        <v>9.1441606709360537E-2</v>
      </c>
      <c r="D25" s="7">
        <v>0.74294238108503441</v>
      </c>
      <c r="E25">
        <v>0.25473381272449258</v>
      </c>
      <c r="F25">
        <v>2.3238061904729624E-3</v>
      </c>
      <c r="G25">
        <v>6.7702688177542575E-2</v>
      </c>
      <c r="H25">
        <v>0.63266227357053428</v>
      </c>
      <c r="I25">
        <v>0.29963503825192322</v>
      </c>
    </row>
    <row r="26" spans="1:18" x14ac:dyDescent="0.25">
      <c r="A26" s="7">
        <v>0.42942392853959183</v>
      </c>
      <c r="B26" s="7">
        <v>0.48791100703606027</v>
      </c>
      <c r="C26" s="7">
        <v>8.2665064424347942E-2</v>
      </c>
      <c r="D26" s="7">
        <v>0.59695208100949748</v>
      </c>
      <c r="E26">
        <v>0.38739855126072653</v>
      </c>
      <c r="F26">
        <v>1.5649367729775911E-2</v>
      </c>
      <c r="G26">
        <v>0.11462046757859846</v>
      </c>
      <c r="H26">
        <v>0.68666866390004555</v>
      </c>
      <c r="I26">
        <v>0.19871086852135583</v>
      </c>
    </row>
    <row r="29" spans="1:18" ht="15.75" thickBot="1" x14ac:dyDescent="0.3"/>
    <row r="30" spans="1:18" ht="28.5" customHeight="1" thickBot="1" x14ac:dyDescent="0.3">
      <c r="A30" s="19" t="s">
        <v>89</v>
      </c>
      <c r="B30" s="19"/>
      <c r="C30" s="19"/>
      <c r="D30" s="19"/>
      <c r="E30" s="19"/>
    </row>
    <row r="31" spans="1:18" ht="18.75" thickBot="1" x14ac:dyDescent="0.4">
      <c r="A31" s="3" t="s">
        <v>28</v>
      </c>
      <c r="B31" s="3">
        <v>5.5736999999999997</v>
      </c>
      <c r="C31" s="3">
        <v>7.4991000000000003</v>
      </c>
      <c r="D31" s="3">
        <v>6.4999999999999997E-3</v>
      </c>
      <c r="E31" s="3">
        <v>0.4</v>
      </c>
      <c r="G31" s="24" t="s">
        <v>40</v>
      </c>
      <c r="H31" s="25" t="s">
        <v>41</v>
      </c>
      <c r="I31" s="25" t="s">
        <v>42</v>
      </c>
      <c r="J31" s="25" t="s">
        <v>43</v>
      </c>
      <c r="K31" s="25" t="s">
        <v>44</v>
      </c>
      <c r="L31" s="25" t="s">
        <v>45</v>
      </c>
      <c r="M31" s="25" t="s">
        <v>46</v>
      </c>
      <c r="N31" s="25" t="s">
        <v>47</v>
      </c>
      <c r="O31" s="25" t="s">
        <v>48</v>
      </c>
      <c r="P31" s="25" t="s">
        <v>49</v>
      </c>
      <c r="Q31" s="25" t="s">
        <v>50</v>
      </c>
      <c r="R31" s="26" t="s">
        <v>51</v>
      </c>
    </row>
    <row r="32" spans="1:18" x14ac:dyDescent="0.25">
      <c r="A32" s="2" t="s">
        <v>29</v>
      </c>
      <c r="B32" s="2">
        <v>19.269400000000001</v>
      </c>
      <c r="C32" s="2">
        <v>16.212</v>
      </c>
      <c r="D32" s="2"/>
      <c r="E32" s="2"/>
      <c r="G32">
        <f>B31/$B$39/$B$40</f>
        <v>2.1071800296631609</v>
      </c>
      <c r="H32">
        <f>C31/$B$39/$B$40</f>
        <v>2.8350922655412045</v>
      </c>
      <c r="I32">
        <f>B32/$B$39/$B$40</f>
        <v>7.2849444468829168</v>
      </c>
      <c r="J32">
        <f>C32/$B$39/$B$40</f>
        <v>6.1290709297054313</v>
      </c>
      <c r="K32">
        <f>B33/$B$39/$B$40</f>
        <v>4.0246507210259157</v>
      </c>
      <c r="L32">
        <f>C33/$B$39/$B$40</f>
        <v>0.21292207917654202</v>
      </c>
      <c r="M32">
        <f>EXP(-$E$31*G32)</f>
        <v>0.43047242445194145</v>
      </c>
      <c r="N32">
        <f t="shared" ref="N32:R32" si="0">EXP(-$E$31*H32)</f>
        <v>0.32173183009668638</v>
      </c>
      <c r="O32">
        <f t="shared" si="0"/>
        <v>5.425946787469077E-2</v>
      </c>
      <c r="P32">
        <f t="shared" si="0"/>
        <v>8.6153182795249569E-2</v>
      </c>
      <c r="Q32">
        <f t="shared" si="0"/>
        <v>0.19991554264238187</v>
      </c>
      <c r="R32">
        <f t="shared" si="0"/>
        <v>0.91835722352796123</v>
      </c>
    </row>
    <row r="33" spans="1:30" ht="15.75" thickBot="1" x14ac:dyDescent="0.3">
      <c r="A33" s="4" t="s">
        <v>30</v>
      </c>
      <c r="B33" s="4">
        <v>10.6456</v>
      </c>
      <c r="C33" s="4">
        <v>0.56320000000000003</v>
      </c>
      <c r="D33" s="18"/>
      <c r="E33" s="18"/>
    </row>
    <row r="34" spans="1:30" ht="15.75" thickBot="1" x14ac:dyDescent="0.3">
      <c r="J34" s="7">
        <f>(J37+J42)/2</f>
        <v>0.10277145565135384</v>
      </c>
      <c r="K34" s="7">
        <f>(K37+K42)/2</f>
        <v>2.2795112835243278E-3</v>
      </c>
      <c r="L34" s="7"/>
      <c r="M34" s="7">
        <f t="shared" ref="L34:N34" si="1">(M37+M42)/2</f>
        <v>0.8949490330648</v>
      </c>
      <c r="N34" s="7">
        <f t="shared" si="1"/>
        <v>0.10277145565207231</v>
      </c>
    </row>
    <row r="35" spans="1:30" ht="29.25" thickBot="1" x14ac:dyDescent="0.3">
      <c r="A35" s="21" t="s">
        <v>31</v>
      </c>
      <c r="B35" s="20" t="s">
        <v>35</v>
      </c>
      <c r="C35" s="20" t="s">
        <v>36</v>
      </c>
      <c r="D35" s="21" t="s">
        <v>32</v>
      </c>
      <c r="E35" s="21" t="s">
        <v>33</v>
      </c>
    </row>
    <row r="36" spans="1:30" ht="28.5" customHeight="1" thickBot="1" x14ac:dyDescent="0.3">
      <c r="A36" s="22"/>
      <c r="B36" s="23" t="s">
        <v>34</v>
      </c>
      <c r="C36" s="23"/>
      <c r="D36" s="22"/>
      <c r="E36" s="22"/>
      <c r="I36" s="27" t="s">
        <v>52</v>
      </c>
      <c r="J36" s="28" t="s">
        <v>53</v>
      </c>
      <c r="K36" s="29" t="s">
        <v>54</v>
      </c>
      <c r="L36" s="30"/>
      <c r="M36" s="27" t="s">
        <v>55</v>
      </c>
      <c r="N36" s="28" t="s">
        <v>56</v>
      </c>
      <c r="O36" s="29" t="s">
        <v>57</v>
      </c>
      <c r="P36" s="31" t="s">
        <v>58</v>
      </c>
      <c r="Q36" s="32" t="s">
        <v>59</v>
      </c>
      <c r="R36" s="33" t="s">
        <v>60</v>
      </c>
      <c r="S36" s="31" t="s">
        <v>61</v>
      </c>
      <c r="T36" s="32" t="s">
        <v>62</v>
      </c>
      <c r="U36" s="33" t="s">
        <v>63</v>
      </c>
      <c r="V36" s="34" t="s">
        <v>64</v>
      </c>
      <c r="W36" s="35" t="s">
        <v>65</v>
      </c>
      <c r="X36" s="36" t="s">
        <v>66</v>
      </c>
      <c r="Y36" s="31" t="s">
        <v>67</v>
      </c>
      <c r="Z36" s="32" t="s">
        <v>68</v>
      </c>
      <c r="AA36" s="32" t="s">
        <v>69</v>
      </c>
      <c r="AB36" t="s">
        <v>82</v>
      </c>
      <c r="AC36" t="s">
        <v>83</v>
      </c>
      <c r="AD36" t="s">
        <v>84</v>
      </c>
    </row>
    <row r="37" spans="1:30" ht="15.75" thickBot="1" x14ac:dyDescent="0.3">
      <c r="I37" s="7">
        <f>1-J37-K37</f>
        <v>0.89494903306516238</v>
      </c>
      <c r="J37">
        <v>0.10277145565098489</v>
      </c>
      <c r="K37">
        <v>2.2795112838527296E-3</v>
      </c>
      <c r="L37" s="7"/>
      <c r="M37">
        <v>0.8949490330645099</v>
      </c>
      <c r="N37">
        <v>0.10277145565244127</v>
      </c>
      <c r="O37" s="7">
        <f>ABS(1-M37-N37)</f>
        <v>2.2795112830488323E-3</v>
      </c>
      <c r="P37">
        <f>I37+N32*J37+P32*K37</f>
        <v>0.92821026872577583</v>
      </c>
      <c r="Q37">
        <f>M32*I37+J37+R32*K37</f>
        <v>0.49011574132910568</v>
      </c>
      <c r="R37">
        <f>O32*I37+Q32*J37+K37</f>
        <v>7.1384580917551593E-2</v>
      </c>
      <c r="S37">
        <f>J37*$H$32*$N$32+K37*$J$32*$P$32</f>
        <v>9.4945567053411686E-2</v>
      </c>
      <c r="T37">
        <f>I37*$G$32*$M$32+K37*$L$32*$R$32</f>
        <v>0.81223869308207797</v>
      </c>
      <c r="U37">
        <f>I37*$I$32*$O$32+J37*$K$32*$Q$32</f>
        <v>0.43644186558393588</v>
      </c>
      <c r="V37">
        <f>S37/P37-I37*S37/P37^2+(J37*$M$23/Q37)*($G$23-T37/Q37)+(K37*$O$23/R37)*($I$23-U37/R37)</f>
        <v>3.6653912144493095E-3</v>
      </c>
      <c r="W37">
        <f>T37/Q37-J37*T37/Q37^2+(I37*$N$23/P37)*($H$243-S37/P37)+(K37*$Q$23/R37)*($K$23-U37/R37)</f>
        <v>1.3097352775300282</v>
      </c>
      <c r="X37">
        <f>U37/R37-K37*U37/R37+I37*$P$23/P37*($J$23-S37/P37)+J37*$R$23/Q37*($L$23-T37/Q37)</f>
        <v>6.1000146786534764</v>
      </c>
      <c r="Y37">
        <f>EXP(V37)</f>
        <v>1.0036721169758318</v>
      </c>
      <c r="Z37">
        <f t="shared" ref="Z37:AA37" si="2">EXP(W37)</f>
        <v>3.7051927346000944</v>
      </c>
      <c r="AA37">
        <f t="shared" si="2"/>
        <v>445.86431472225684</v>
      </c>
      <c r="AB37">
        <f>Y37/Y39</f>
        <v>0.99999999999991929</v>
      </c>
      <c r="AC37">
        <f t="shared" ref="AC37:AD37" si="3">Z37/Z39</f>
        <v>1.0000000000069909</v>
      </c>
      <c r="AD37">
        <f t="shared" si="3"/>
        <v>0.99999999993547106</v>
      </c>
    </row>
    <row r="38" spans="1:30" ht="18.75" thickBot="1" x14ac:dyDescent="0.3">
      <c r="P38" s="31" t="s">
        <v>70</v>
      </c>
      <c r="Q38" s="32" t="s">
        <v>71</v>
      </c>
      <c r="R38" s="33" t="s">
        <v>72</v>
      </c>
      <c r="S38" s="31" t="s">
        <v>73</v>
      </c>
      <c r="T38" s="32" t="s">
        <v>74</v>
      </c>
      <c r="U38" s="33" t="s">
        <v>75</v>
      </c>
      <c r="V38" s="34" t="s">
        <v>76</v>
      </c>
      <c r="W38" s="35" t="s">
        <v>77</v>
      </c>
      <c r="X38" s="36" t="s">
        <v>78</v>
      </c>
      <c r="Y38" s="31" t="s">
        <v>79</v>
      </c>
      <c r="Z38" s="32" t="s">
        <v>80</v>
      </c>
      <c r="AA38" s="32" t="s">
        <v>81</v>
      </c>
      <c r="AB38" t="s">
        <v>85</v>
      </c>
      <c r="AC38" t="s">
        <v>86</v>
      </c>
      <c r="AD38" t="s">
        <v>87</v>
      </c>
    </row>
    <row r="39" spans="1:30" x14ac:dyDescent="0.25">
      <c r="A39" t="s">
        <v>37</v>
      </c>
      <c r="B39">
        <f>8.314/1000</f>
        <v>8.3140000000000002E-3</v>
      </c>
      <c r="C39" t="s">
        <v>38</v>
      </c>
      <c r="P39">
        <f>M37+N32*N37+P32*O37</f>
        <v>0.92821026872552259</v>
      </c>
      <c r="Q39">
        <f>M32*M37+N37+R32*O37</f>
        <v>0.49011574132954294</v>
      </c>
      <c r="R39">
        <f>O32*M37+Q32*N37+O37</f>
        <v>7.1384580917003448E-2</v>
      </c>
      <c r="S39">
        <f>N37*$H$32*$N$32+O37*$J$32*$P$32</f>
        <v>9.4945567054315602E-2</v>
      </c>
      <c r="T39">
        <f>M37*$G$32*$M$32+O37*$L$32*$R$32</f>
        <v>0.8122386930813289</v>
      </c>
      <c r="U39">
        <f>M37*$I$32*$O$32+N37*$K$32*$Q$32</f>
        <v>0.43644186558484976</v>
      </c>
      <c r="V39">
        <f>S39/P39-M37*S39/P39^2+(N37*$M$23/Q39)*($G$23-T39/Q39)+(O37*$O$23/R39)*($I$23-U39/R39)</f>
        <v>3.6653912145301754E-3</v>
      </c>
      <c r="W39">
        <f>T39/Q39-N37*T39/Q39^2+(M37*$N$23/P39)*($H$243-S39/P39)+(O37*$Q$23/R39)*($K$23-U39/R39)</f>
        <v>1.3097352775230373</v>
      </c>
      <c r="X39">
        <f>U39/R39-O37*U39/R39+M37*$P$23/P39*($J$23-S39/P39)+N37*$R$23/Q39*($L$23-T39/Q39)</f>
        <v>6.1000146787180052</v>
      </c>
      <c r="Y39">
        <f>EXP(V39)</f>
        <v>1.0036721169759129</v>
      </c>
      <c r="Z39">
        <f t="shared" ref="Z39" si="4">EXP(W39)</f>
        <v>3.705192734574192</v>
      </c>
      <c r="AA39">
        <f t="shared" ref="AA39" si="5">EXP(X39)</f>
        <v>445.86431475102796</v>
      </c>
      <c r="AB39">
        <f>Y39/Y37</f>
        <v>1.0000000000000808</v>
      </c>
      <c r="AC39">
        <f t="shared" ref="AC39:AD39" si="6">Z39/Z37</f>
        <v>0.99999999999300915</v>
      </c>
      <c r="AD39">
        <f t="shared" si="6"/>
        <v>1.0000000000645288</v>
      </c>
    </row>
    <row r="40" spans="1:30" ht="15.75" thickBot="1" x14ac:dyDescent="0.3">
      <c r="A40" t="s">
        <v>25</v>
      </c>
      <c r="B40">
        <v>318.14999999999998</v>
      </c>
      <c r="C40" t="s">
        <v>39</v>
      </c>
    </row>
    <row r="41" spans="1:30" ht="15.75" thickBot="1" x14ac:dyDescent="0.3">
      <c r="H41" s="37" t="s">
        <v>88</v>
      </c>
      <c r="I41" s="27" t="s">
        <v>52</v>
      </c>
      <c r="J41" s="28" t="s">
        <v>53</v>
      </c>
      <c r="K41" s="29" t="s">
        <v>54</v>
      </c>
      <c r="L41" s="30"/>
      <c r="M41" s="27" t="s">
        <v>55</v>
      </c>
      <c r="N41" s="28" t="s">
        <v>56</v>
      </c>
      <c r="O41" s="29" t="s">
        <v>57</v>
      </c>
      <c r="P41" s="37" t="s">
        <v>88</v>
      </c>
    </row>
    <row r="42" spans="1:30" x14ac:dyDescent="0.25">
      <c r="H42">
        <f>SUM(I42:K42)</f>
        <v>0.99999999999950107</v>
      </c>
      <c r="I42" s="7">
        <f>M37*AB39</f>
        <v>0.89494903306458229</v>
      </c>
      <c r="J42" s="7">
        <f t="shared" ref="J42:K42" si="7">N37*AC39</f>
        <v>0.1027714556517228</v>
      </c>
      <c r="K42" s="7">
        <f t="shared" si="7"/>
        <v>2.2795112831959265E-3</v>
      </c>
      <c r="L42" s="7"/>
      <c r="M42" s="7">
        <f>I37*AB37</f>
        <v>0.8949490330650901</v>
      </c>
      <c r="N42" s="7">
        <f t="shared" ref="N42:O42" si="8">J37*AC37</f>
        <v>0.10277145565170336</v>
      </c>
      <c r="O42" s="7">
        <f>K37*AD37</f>
        <v>2.2795112837056351E-3</v>
      </c>
      <c r="P42">
        <f>SUM(M42:O42)</f>
        <v>1.0000000000004992</v>
      </c>
    </row>
  </sheetData>
  <mergeCells count="6">
    <mergeCell ref="A19:B19"/>
    <mergeCell ref="A30:E30"/>
    <mergeCell ref="A35:A36"/>
    <mergeCell ref="D35:D36"/>
    <mergeCell ref="E35:E36"/>
    <mergeCell ref="B36:C36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1" r:id="rId3" name="Button 3">
              <controlPr defaultSize="0" print="0" autoFill="0" autoPict="0" macro="[0]!NRTL">
                <anchor moveWithCells="1" sizeWithCells="1">
                  <from>
                    <xdr:col>6</xdr:col>
                    <xdr:colOff>28575</xdr:colOff>
                    <xdr:row>38</xdr:row>
                    <xdr:rowOff>9525</xdr:rowOff>
                  </from>
                  <to>
                    <xdr:col>7</xdr:col>
                    <xdr:colOff>590550</xdr:colOff>
                    <xdr:row>39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3"/>
  <dimension ref="A2:T54"/>
  <sheetViews>
    <sheetView topLeftCell="O5" workbookViewId="0">
      <selection activeCell="L23" activeCellId="1" sqref="L7:T8 L23:T28"/>
    </sheetView>
  </sheetViews>
  <sheetFormatPr defaultRowHeight="15" x14ac:dyDescent="0.25"/>
  <sheetData>
    <row r="2" spans="1:20" x14ac:dyDescent="0.25">
      <c r="B2" t="s">
        <v>0</v>
      </c>
      <c r="C2" t="s">
        <v>1</v>
      </c>
      <c r="D2" t="s">
        <v>23</v>
      </c>
    </row>
    <row r="3" spans="1:20" x14ac:dyDescent="0.25">
      <c r="A3" t="s">
        <v>3</v>
      </c>
      <c r="B3">
        <v>88.15</v>
      </c>
      <c r="C3">
        <v>32.042000000000002</v>
      </c>
      <c r="D3">
        <v>236.29</v>
      </c>
    </row>
    <row r="7" spans="1:20" x14ac:dyDescent="0.25">
      <c r="A7" s="1" t="s">
        <v>4</v>
      </c>
      <c r="B7" s="1"/>
      <c r="C7" s="1" t="s">
        <v>5</v>
      </c>
      <c r="D7" s="1"/>
      <c r="E7" s="1" t="s">
        <v>6</v>
      </c>
      <c r="F7" s="1"/>
      <c r="G7" t="s">
        <v>7</v>
      </c>
      <c r="H7" t="s">
        <v>8</v>
      </c>
      <c r="L7" s="5" t="s">
        <v>4</v>
      </c>
      <c r="M7" s="5"/>
      <c r="O7" s="6" t="s">
        <v>5</v>
      </c>
      <c r="P7" s="6"/>
      <c r="R7" s="6" t="s">
        <v>6</v>
      </c>
      <c r="S7" s="6"/>
    </row>
    <row r="8" spans="1:20" ht="15.75" thickBot="1" x14ac:dyDescent="0.3">
      <c r="A8" t="s">
        <v>9</v>
      </c>
      <c r="B8" t="s">
        <v>10</v>
      </c>
      <c r="C8" t="s">
        <v>11</v>
      </c>
      <c r="D8" t="s">
        <v>12</v>
      </c>
      <c r="E8" t="s">
        <v>11</v>
      </c>
      <c r="F8" t="s">
        <v>12</v>
      </c>
      <c r="I8" t="s">
        <v>13</v>
      </c>
      <c r="J8">
        <f>278.18-273.15</f>
        <v>5.0300000000000296</v>
      </c>
      <c r="L8" t="s">
        <v>16</v>
      </c>
      <c r="M8" t="s">
        <v>17</v>
      </c>
      <c r="N8" t="s">
        <v>18</v>
      </c>
      <c r="O8" t="s">
        <v>19</v>
      </c>
      <c r="P8" t="s">
        <v>20</v>
      </c>
      <c r="Q8" t="s">
        <v>21</v>
      </c>
      <c r="R8" t="s">
        <v>19</v>
      </c>
      <c r="S8" t="s">
        <v>20</v>
      </c>
      <c r="T8" t="s">
        <v>21</v>
      </c>
    </row>
    <row r="9" spans="1:20" x14ac:dyDescent="0.25">
      <c r="A9" s="3">
        <v>0.71850000000000003</v>
      </c>
      <c r="B9" s="3">
        <v>1.8800000000000001E-2</v>
      </c>
      <c r="C9" s="3">
        <v>0.9758</v>
      </c>
      <c r="D9" s="3">
        <v>2.4E-2</v>
      </c>
      <c r="E9" s="3">
        <v>1.06E-2</v>
      </c>
      <c r="F9" s="3">
        <v>4.3499999999999997E-2</v>
      </c>
      <c r="G9" s="3">
        <v>1.8108</v>
      </c>
      <c r="H9" s="3">
        <v>166.535</v>
      </c>
      <c r="L9" s="7">
        <f>(A9/$B$3)/(A9/$B$3+B9/$C$3+A34/$D$3)</f>
        <v>0.82755263729293005</v>
      </c>
      <c r="M9" s="7">
        <f>(B9/$C$3)/(A9/$B$3+B9/$C$3+A34/$D$3)</f>
        <v>5.9570247486785875E-2</v>
      </c>
      <c r="N9" s="7">
        <f>(A34/$D$3)/(A9/$B$3+B9/$C$3+A34/$D$3)</f>
        <v>0.1128771152202841</v>
      </c>
      <c r="O9" s="7">
        <f>(C9/$B$3)/(C9/$B$3+D9/$C$3+D34/$D$3)</f>
        <v>0.93655780395088783</v>
      </c>
      <c r="P9">
        <f>(D9/$C$3)/(C9/$B$3+D9/$C$3+D34/$D$3)</f>
        <v>6.3370584883424813E-2</v>
      </c>
      <c r="Q9">
        <f>(D34/$D$3)/(C9/$B$3+D9/$C$3+D34/$D$3)</f>
        <v>7.1611165687456298E-5</v>
      </c>
      <c r="R9">
        <f>(E9/$B$3)/(E9/$B$3+F9/$C$3+F34/$D$3)</f>
        <v>2.1939451654336792E-2</v>
      </c>
      <c r="S9">
        <f>(F9/$C$3)/(E9/$B$3+F9/$C$3+F34/$D$3)</f>
        <v>0.24769193221292626</v>
      </c>
      <c r="T9">
        <f>(F34/$D$3)/(E9/$B$3+F9/$C$3+F34/$D$3)</f>
        <v>0.73036861613273696</v>
      </c>
    </row>
    <row r="10" spans="1:20" x14ac:dyDescent="0.25">
      <c r="A10" s="2">
        <v>0.69889999999999997</v>
      </c>
      <c r="B10" s="2">
        <v>4.7300000000000002E-2</v>
      </c>
      <c r="C10" s="2">
        <v>0.95489999999999997</v>
      </c>
      <c r="D10" s="2">
        <v>4.4900000000000002E-2</v>
      </c>
      <c r="E10" s="2">
        <v>0.02</v>
      </c>
      <c r="F10" s="2">
        <v>8.0600000000000005E-2</v>
      </c>
      <c r="G10" s="2">
        <v>1.7952999999999999</v>
      </c>
      <c r="H10" s="2">
        <v>85.863100000000003</v>
      </c>
      <c r="L10" s="7">
        <f t="shared" ref="L10:L29" si="0">(A10/$B$3)/(A10/$B$3+B10/$C$3+A35/$D$3)</f>
        <v>0.75662423762888964</v>
      </c>
      <c r="M10" s="7">
        <f t="shared" ref="M10:M29" si="1">(B10/$C$3)/(A10/$B$3+B10/$C$3+A35/$D$3)</f>
        <v>0.14087341740380774</v>
      </c>
      <c r="N10" s="7">
        <f t="shared" ref="N10:N29" si="2">(A35/$D$3)/(A10/$B$3+B10/$C$3+A35/$D$3)</f>
        <v>0.10250234496730268</v>
      </c>
      <c r="O10" s="7">
        <f t="shared" ref="O10:O29" si="3">(C10/$B$3)/(C10/$B$3+D10/$C$3+D35/$D$3)</f>
        <v>0.88539806184031145</v>
      </c>
      <c r="P10">
        <f t="shared" ref="P10:P29" si="4">(D10/$C$3)/(C10/$B$3+D10/$C$3+D35/$D$3)</f>
        <v>0.11453275703093915</v>
      </c>
      <c r="Q10">
        <f t="shared" ref="Q10:Q29" si="5">(D35/$D$3)/(C10/$B$3+D10/$C$3+D35/$D$3)</f>
        <v>6.9181128749360403E-5</v>
      </c>
      <c r="R10">
        <f t="shared" ref="R10:R29" si="6">(E10/$B$3)/(E10/$B$3+F10/$C$3+F35/$D$3)</f>
        <v>3.4646095568444633E-2</v>
      </c>
      <c r="S10">
        <f t="shared" ref="S10:S29" si="7">(F10/$C$3)/(E10/$B$3+F10/$C$3+F35/$D$3)</f>
        <v>0.3841156886949732</v>
      </c>
      <c r="T10">
        <f t="shared" ref="T10:T29" si="8">(F35/$D$3)/(E10/$B$3+F10/$C$3+F35/$D$3)</f>
        <v>0.58123821573658219</v>
      </c>
    </row>
    <row r="11" spans="1:20" x14ac:dyDescent="0.25">
      <c r="A11" s="2">
        <v>0.68430000000000002</v>
      </c>
      <c r="B11" s="2">
        <v>6.7100000000000007E-2</v>
      </c>
      <c r="C11" s="2">
        <v>0.93820000000000003</v>
      </c>
      <c r="D11" s="2">
        <v>6.13E-2</v>
      </c>
      <c r="E11" s="2">
        <v>2.92E-2</v>
      </c>
      <c r="F11" s="2">
        <v>0.1085</v>
      </c>
      <c r="G11" s="2">
        <v>1.7690999999999999</v>
      </c>
      <c r="H11" s="2">
        <v>56.86</v>
      </c>
      <c r="L11" s="7">
        <f t="shared" si="0"/>
        <v>0.71159715294558434</v>
      </c>
      <c r="M11" s="7">
        <f t="shared" si="1"/>
        <v>0.19196094646351905</v>
      </c>
      <c r="N11" s="7">
        <f t="shared" si="2"/>
        <v>9.6441900590896662E-2</v>
      </c>
      <c r="O11" s="7">
        <f t="shared" si="3"/>
        <v>0.84749473083107907</v>
      </c>
      <c r="P11">
        <f t="shared" si="4"/>
        <v>0.1523367735718873</v>
      </c>
      <c r="Q11">
        <f t="shared" si="5"/>
        <v>1.6849559703366131E-4</v>
      </c>
      <c r="R11">
        <f t="shared" si="6"/>
        <v>4.4965954142581512E-2</v>
      </c>
      <c r="S11">
        <f t="shared" si="7"/>
        <v>0.45965649436253492</v>
      </c>
      <c r="T11">
        <f t="shared" si="8"/>
        <v>0.49537755149488355</v>
      </c>
    </row>
    <row r="12" spans="1:20" x14ac:dyDescent="0.25">
      <c r="A12" s="2">
        <v>0.6512</v>
      </c>
      <c r="B12" s="2">
        <v>0.1106</v>
      </c>
      <c r="C12" s="2">
        <v>0.89149999999999996</v>
      </c>
      <c r="D12" s="2">
        <v>0.1052</v>
      </c>
      <c r="E12" s="2">
        <v>4.36E-2</v>
      </c>
      <c r="F12" s="2">
        <v>0.18090000000000001</v>
      </c>
      <c r="G12" s="2">
        <v>1.7201</v>
      </c>
      <c r="H12" s="2">
        <v>35.208100000000002</v>
      </c>
      <c r="L12" s="7">
        <f t="shared" si="0"/>
        <v>0.62355671676842606</v>
      </c>
      <c r="M12" s="7">
        <f t="shared" si="1"/>
        <v>0.29135293494620379</v>
      </c>
      <c r="N12" s="7">
        <f t="shared" si="2"/>
        <v>8.5090348285370043E-2</v>
      </c>
      <c r="O12" s="7">
        <f t="shared" si="3"/>
        <v>0.75413801201333774</v>
      </c>
      <c r="P12">
        <f t="shared" si="4"/>
        <v>0.24482058121220968</v>
      </c>
      <c r="Q12">
        <f t="shared" si="5"/>
        <v>1.0414067744526432E-3</v>
      </c>
      <c r="R12">
        <f t="shared" si="6"/>
        <v>5.2493648969401181E-2</v>
      </c>
      <c r="S12">
        <f t="shared" si="7"/>
        <v>0.59918583911259538</v>
      </c>
      <c r="T12">
        <f t="shared" si="8"/>
        <v>0.34832051191800356</v>
      </c>
    </row>
    <row r="13" spans="1:20" x14ac:dyDescent="0.25">
      <c r="A13" s="2">
        <v>0.58379999999999999</v>
      </c>
      <c r="B13" s="2">
        <v>0.14879999999999999</v>
      </c>
      <c r="C13" s="2">
        <v>0.84619999999999995</v>
      </c>
      <c r="D13" s="2">
        <v>0.14560000000000001</v>
      </c>
      <c r="E13" s="2">
        <v>5.1900000000000002E-2</v>
      </c>
      <c r="F13" s="2">
        <v>0.21210000000000001</v>
      </c>
      <c r="G13" s="2">
        <v>1.4562999999999999</v>
      </c>
      <c r="H13" s="2">
        <v>23.724499999999999</v>
      </c>
      <c r="L13" s="7">
        <f t="shared" si="0"/>
        <v>0.5341672781527802</v>
      </c>
      <c r="M13" s="7">
        <f t="shared" si="1"/>
        <v>0.37455777951361618</v>
      </c>
      <c r="N13" s="7">
        <f t="shared" si="2"/>
        <v>9.127494233360367E-2</v>
      </c>
      <c r="O13" s="7">
        <f t="shared" si="3"/>
        <v>0.67705974488332532</v>
      </c>
      <c r="P13">
        <f t="shared" si="4"/>
        <v>0.32049263057572125</v>
      </c>
      <c r="Q13">
        <f t="shared" si="5"/>
        <v>2.4476245409533531E-3</v>
      </c>
      <c r="R13">
        <f t="shared" si="6"/>
        <v>5.7034568482870709E-2</v>
      </c>
      <c r="S13">
        <f t="shared" si="7"/>
        <v>0.64123049998284276</v>
      </c>
      <c r="T13">
        <f t="shared" si="8"/>
        <v>0.30173493153428665</v>
      </c>
    </row>
    <row r="14" spans="1:20" x14ac:dyDescent="0.25">
      <c r="A14" s="2">
        <v>0.51759999999999995</v>
      </c>
      <c r="B14" s="2">
        <v>0.21540000000000001</v>
      </c>
      <c r="C14" s="2">
        <v>0.79</v>
      </c>
      <c r="D14" s="2">
        <v>0.19769999999999999</v>
      </c>
      <c r="E14" s="2">
        <v>8.5699999999999998E-2</v>
      </c>
      <c r="F14" s="2">
        <v>0.27160000000000001</v>
      </c>
      <c r="G14" s="2">
        <v>1.3738999999999999</v>
      </c>
      <c r="H14" s="2">
        <v>12.668699999999999</v>
      </c>
      <c r="L14" s="7">
        <f t="shared" si="0"/>
        <v>0.42784336113738819</v>
      </c>
      <c r="M14" s="7">
        <f t="shared" si="1"/>
        <v>0.48982272410318939</v>
      </c>
      <c r="N14" s="7">
        <f t="shared" si="2"/>
        <v>8.2333914759422394E-2</v>
      </c>
      <c r="O14" s="7">
        <f t="shared" si="3"/>
        <v>0.59022329368971138</v>
      </c>
      <c r="P14">
        <f t="shared" si="4"/>
        <v>0.40634846534771574</v>
      </c>
      <c r="Q14">
        <f t="shared" si="5"/>
        <v>3.4282409625728092E-3</v>
      </c>
      <c r="R14">
        <f t="shared" si="6"/>
        <v>7.9895052989749693E-2</v>
      </c>
      <c r="S14">
        <f t="shared" si="7"/>
        <v>0.69658085393471392</v>
      </c>
      <c r="T14">
        <f t="shared" si="8"/>
        <v>0.22352409307553639</v>
      </c>
    </row>
    <row r="15" spans="1:20" x14ac:dyDescent="0.25">
      <c r="A15" s="2">
        <v>0.46060000000000001</v>
      </c>
      <c r="B15" s="2">
        <v>0.29260000000000003</v>
      </c>
      <c r="C15" s="2">
        <v>0.68320000000000003</v>
      </c>
      <c r="D15" s="2">
        <v>0.26919999999999999</v>
      </c>
      <c r="E15" s="2">
        <v>0.13850000000000001</v>
      </c>
      <c r="F15" s="2">
        <v>0.33389999999999997</v>
      </c>
      <c r="G15" s="2">
        <v>1.2403999999999999</v>
      </c>
      <c r="H15" s="2">
        <v>6.1184000000000003</v>
      </c>
      <c r="L15" s="7">
        <f t="shared" si="0"/>
        <v>0.33926622229483422</v>
      </c>
      <c r="M15" s="7">
        <f t="shared" si="1"/>
        <v>0.59291673945760914</v>
      </c>
      <c r="N15" s="7">
        <f t="shared" si="2"/>
        <v>6.7817038247556624E-2</v>
      </c>
      <c r="O15" s="7">
        <f t="shared" si="3"/>
        <v>0.47393514950752674</v>
      </c>
      <c r="P15">
        <f t="shared" si="4"/>
        <v>0.51374643101948425</v>
      </c>
      <c r="Q15">
        <f t="shared" si="5"/>
        <v>1.231841947298894E-2</v>
      </c>
      <c r="R15">
        <f t="shared" si="6"/>
        <v>0.11045448120637484</v>
      </c>
      <c r="S15">
        <f t="shared" si="7"/>
        <v>0.73257599961295705</v>
      </c>
      <c r="T15">
        <f t="shared" si="8"/>
        <v>0.15696951918066807</v>
      </c>
    </row>
    <row r="16" spans="1:20" ht="15.75" thickBot="1" x14ac:dyDescent="0.3">
      <c r="A16" s="4">
        <v>0.41360000000000002</v>
      </c>
      <c r="B16" s="4">
        <v>0.34</v>
      </c>
      <c r="C16" s="4">
        <v>0.5655</v>
      </c>
      <c r="D16" s="4">
        <v>0.32169999999999999</v>
      </c>
      <c r="E16" s="4">
        <v>0.21329999999999999</v>
      </c>
      <c r="F16" s="4">
        <v>0.37759999999999999</v>
      </c>
      <c r="G16" s="4">
        <v>1.1736</v>
      </c>
      <c r="H16" s="4">
        <v>3.1120000000000001</v>
      </c>
      <c r="L16" s="8">
        <f t="shared" si="0"/>
        <v>0.28704527002528873</v>
      </c>
      <c r="M16" s="8">
        <f t="shared" si="1"/>
        <v>0.64915959764305431</v>
      </c>
      <c r="N16" s="8">
        <f t="shared" si="2"/>
        <v>6.3795132331656804E-2</v>
      </c>
      <c r="O16" s="8">
        <f t="shared" si="3"/>
        <v>0.3788684832913034</v>
      </c>
      <c r="P16" s="9">
        <f t="shared" si="4"/>
        <v>0.59293847433359892</v>
      </c>
      <c r="Q16" s="9">
        <f t="shared" si="5"/>
        <v>2.8193042375097628E-2</v>
      </c>
      <c r="R16">
        <f t="shared" si="6"/>
        <v>0.15184468754529271</v>
      </c>
      <c r="S16">
        <f t="shared" si="7"/>
        <v>0.73950894745530271</v>
      </c>
      <c r="T16">
        <f t="shared" si="8"/>
        <v>0.10864636499940447</v>
      </c>
    </row>
    <row r="17" spans="1:20" x14ac:dyDescent="0.25">
      <c r="A17" s="3">
        <v>0.71960000000000002</v>
      </c>
      <c r="B17" s="3">
        <v>1.8200000000000001E-2</v>
      </c>
      <c r="C17" s="3">
        <v>0.9708</v>
      </c>
      <c r="D17" s="3">
        <v>1.8499999999999999E-2</v>
      </c>
      <c r="E17" s="3">
        <v>9.4999999999999998E-3</v>
      </c>
      <c r="F17" s="3">
        <v>2.93E-2</v>
      </c>
      <c r="G17" s="3">
        <v>1.5853999999999999</v>
      </c>
      <c r="H17" s="3">
        <v>162.55179999999999</v>
      </c>
      <c r="I17" t="s">
        <v>14</v>
      </c>
      <c r="J17">
        <f>298.15-273.15</f>
        <v>25</v>
      </c>
      <c r="L17" s="7">
        <f t="shared" si="0"/>
        <v>0.82952391090260347</v>
      </c>
      <c r="M17" s="7">
        <f t="shared" si="1"/>
        <v>5.7718075625136374E-2</v>
      </c>
      <c r="N17" s="7">
        <f t="shared" si="2"/>
        <v>0.11275801347226017</v>
      </c>
      <c r="O17" s="10">
        <f t="shared" si="3"/>
        <v>0.94648790087954571</v>
      </c>
      <c r="P17" s="11">
        <f t="shared" si="4"/>
        <v>4.9620339111365944E-2</v>
      </c>
      <c r="Q17" s="11">
        <f t="shared" si="5"/>
        <v>3.8917600090883184E-3</v>
      </c>
      <c r="R17" s="11">
        <f t="shared" si="6"/>
        <v>2.1172728150486229E-2</v>
      </c>
      <c r="S17" s="11">
        <f t="shared" si="7"/>
        <v>0.17964847586041699</v>
      </c>
      <c r="T17" s="11">
        <f t="shared" si="8"/>
        <v>0.79917879598909691</v>
      </c>
    </row>
    <row r="18" spans="1:20" x14ac:dyDescent="0.25">
      <c r="A18" s="2">
        <v>0.69810000000000005</v>
      </c>
      <c r="B18" s="2">
        <v>4.7699999999999999E-2</v>
      </c>
      <c r="C18" s="2">
        <v>0.95230000000000004</v>
      </c>
      <c r="D18" s="2">
        <v>4.3700000000000003E-2</v>
      </c>
      <c r="E18" s="2">
        <v>1.8800000000000001E-2</v>
      </c>
      <c r="F18" s="2">
        <v>7.6600000000000001E-2</v>
      </c>
      <c r="G18" s="2">
        <v>1.7511000000000001</v>
      </c>
      <c r="H18" s="2">
        <v>88.575999999999993</v>
      </c>
      <c r="L18" s="7">
        <f t="shared" si="0"/>
        <v>0.75539044493472773</v>
      </c>
      <c r="M18" s="7">
        <f t="shared" si="1"/>
        <v>0.14199561356282842</v>
      </c>
      <c r="N18" s="7">
        <f t="shared" si="2"/>
        <v>0.10261394150244378</v>
      </c>
      <c r="O18" s="10">
        <f t="shared" si="3"/>
        <v>0.88667349404584606</v>
      </c>
      <c r="P18" s="11">
        <f t="shared" si="4"/>
        <v>0.11193710719293498</v>
      </c>
      <c r="Q18" s="11">
        <f t="shared" si="5"/>
        <v>1.3893987612189258E-3</v>
      </c>
      <c r="R18" s="11">
        <f t="shared" si="6"/>
        <v>3.3156895021255649E-2</v>
      </c>
      <c r="S18" s="11">
        <f t="shared" si="7"/>
        <v>0.37166141427918792</v>
      </c>
      <c r="T18" s="11">
        <f t="shared" si="8"/>
        <v>0.5951816906995564</v>
      </c>
    </row>
    <row r="19" spans="1:20" x14ac:dyDescent="0.25">
      <c r="A19" s="2">
        <v>0.66710000000000003</v>
      </c>
      <c r="B19" s="2">
        <v>8.9800000000000005E-2</v>
      </c>
      <c r="C19" s="2">
        <v>0.92310000000000003</v>
      </c>
      <c r="D19" s="2">
        <v>7.2900000000000006E-2</v>
      </c>
      <c r="E19" s="2">
        <v>2.9000000000000001E-2</v>
      </c>
      <c r="F19" s="2">
        <v>0.13450000000000001</v>
      </c>
      <c r="G19" s="2">
        <v>1.8467</v>
      </c>
      <c r="H19" s="2">
        <v>58.7727</v>
      </c>
      <c r="L19" s="7">
        <f t="shared" si="0"/>
        <v>0.66388862644504065</v>
      </c>
      <c r="M19" s="7">
        <f t="shared" si="1"/>
        <v>0.24585742293931312</v>
      </c>
      <c r="N19" s="7">
        <f t="shared" si="2"/>
        <v>9.0253950615646214E-2</v>
      </c>
      <c r="O19" s="10">
        <f t="shared" si="3"/>
        <v>0.82042705965293661</v>
      </c>
      <c r="P19" s="11">
        <f t="shared" si="4"/>
        <v>0.17824668181533376</v>
      </c>
      <c r="Q19" s="11">
        <f t="shared" si="5"/>
        <v>1.3262585317295682E-3</v>
      </c>
      <c r="R19" s="11">
        <f t="shared" si="6"/>
        <v>4.0782846259420018E-2</v>
      </c>
      <c r="S19" s="11">
        <f t="shared" si="7"/>
        <v>0.52036073585507292</v>
      </c>
      <c r="T19" s="11">
        <f t="shared" si="8"/>
        <v>0.43885641788550706</v>
      </c>
    </row>
    <row r="20" spans="1:20" x14ac:dyDescent="0.25">
      <c r="A20" s="2">
        <v>0.58409999999999995</v>
      </c>
      <c r="B20" s="2">
        <v>0.14879999999999999</v>
      </c>
      <c r="C20" s="2">
        <v>0.87260000000000004</v>
      </c>
      <c r="D20" s="2">
        <v>0.1211</v>
      </c>
      <c r="E20" s="2">
        <v>5.3400000000000003E-2</v>
      </c>
      <c r="F20" s="2">
        <v>0.20419999999999999</v>
      </c>
      <c r="G20" s="2">
        <v>1.6869000000000001</v>
      </c>
      <c r="H20" s="2">
        <v>27.5776</v>
      </c>
      <c r="L20" s="7">
        <f t="shared" si="0"/>
        <v>0.53434981566738715</v>
      </c>
      <c r="M20" s="7">
        <f t="shared" si="1"/>
        <v>0.37449333209420094</v>
      </c>
      <c r="N20" s="7">
        <f t="shared" si="2"/>
        <v>9.1156852238411898E-2</v>
      </c>
      <c r="O20" s="10">
        <f t="shared" si="3"/>
        <v>0.72228781798411279</v>
      </c>
      <c r="P20" s="11">
        <f t="shared" si="4"/>
        <v>0.27576676546977852</v>
      </c>
      <c r="Q20" s="11">
        <f t="shared" si="5"/>
        <v>1.9454165461086754E-3</v>
      </c>
      <c r="R20" s="11">
        <f t="shared" si="6"/>
        <v>5.9856846832130543E-2</v>
      </c>
      <c r="S20" s="11">
        <f t="shared" si="7"/>
        <v>0.6296961186786918</v>
      </c>
      <c r="T20" s="11">
        <f t="shared" si="8"/>
        <v>0.31044703448917771</v>
      </c>
    </row>
    <row r="21" spans="1:20" x14ac:dyDescent="0.25">
      <c r="A21" s="2">
        <v>0.51780000000000004</v>
      </c>
      <c r="B21" s="2">
        <v>0.21529999999999999</v>
      </c>
      <c r="C21" s="2">
        <v>0.81110000000000004</v>
      </c>
      <c r="D21" s="2">
        <v>0.1731</v>
      </c>
      <c r="E21" s="2">
        <v>9.2200000000000004E-2</v>
      </c>
      <c r="F21" s="2">
        <v>0.2712</v>
      </c>
      <c r="G21" s="2">
        <v>1.5666</v>
      </c>
      <c r="H21" s="2">
        <v>13.781000000000001</v>
      </c>
      <c r="L21" s="7">
        <f t="shared" si="0"/>
        <v>0.42804845353550341</v>
      </c>
      <c r="M21" s="7">
        <f t="shared" si="1"/>
        <v>0.48964082006647791</v>
      </c>
      <c r="N21" s="7">
        <f t="shared" si="2"/>
        <v>8.2310726398018577E-2</v>
      </c>
      <c r="O21" s="10">
        <f t="shared" si="3"/>
        <v>0.62720106921198704</v>
      </c>
      <c r="P21" s="11">
        <f t="shared" si="4"/>
        <v>0.36824101339400056</v>
      </c>
      <c r="Q21" s="11">
        <f t="shared" si="5"/>
        <v>4.5579173940122879E-3</v>
      </c>
      <c r="R21" s="11">
        <f t="shared" si="6"/>
        <v>8.5705170931025962E-2</v>
      </c>
      <c r="S21" s="11">
        <f t="shared" si="7"/>
        <v>0.69353517086811889</v>
      </c>
      <c r="T21" s="11">
        <f t="shared" si="8"/>
        <v>0.22075965820085522</v>
      </c>
    </row>
    <row r="22" spans="1:20" ht="15.75" thickBot="1" x14ac:dyDescent="0.3">
      <c r="A22" s="2">
        <v>0.46079999999999999</v>
      </c>
      <c r="B22" s="2">
        <v>0.2727</v>
      </c>
      <c r="C22" s="2">
        <v>0.74239999999999995</v>
      </c>
      <c r="D22" s="2">
        <v>0.2172</v>
      </c>
      <c r="E22" s="2">
        <v>0.13389999999999999</v>
      </c>
      <c r="F22" s="2">
        <v>0.31780000000000003</v>
      </c>
      <c r="G22" s="2">
        <v>1.4636</v>
      </c>
      <c r="H22" s="2">
        <v>8.1133000000000006</v>
      </c>
      <c r="L22" s="8">
        <f t="shared" si="0"/>
        <v>0.35163796204090719</v>
      </c>
      <c r="M22" s="8">
        <f t="shared" si="1"/>
        <v>0.57249424127619053</v>
      </c>
      <c r="N22" s="8">
        <f t="shared" si="2"/>
        <v>7.5867796682902361E-2</v>
      </c>
      <c r="O22" s="12">
        <f t="shared" si="3"/>
        <v>0.54789448479729019</v>
      </c>
      <c r="P22" s="13">
        <f t="shared" si="4"/>
        <v>0.44098263384070763</v>
      </c>
      <c r="Q22" s="13">
        <f t="shared" si="5"/>
        <v>1.1122881362002112E-2</v>
      </c>
      <c r="R22" s="11">
        <f t="shared" si="6"/>
        <v>0.11041111955728862</v>
      </c>
      <c r="S22" s="11">
        <f t="shared" si="7"/>
        <v>0.72092291490091331</v>
      </c>
      <c r="T22" s="11">
        <f t="shared" si="8"/>
        <v>0.16866596554179808</v>
      </c>
    </row>
    <row r="23" spans="1:20" ht="16.5" thickTop="1" thickBot="1" x14ac:dyDescent="0.3">
      <c r="A23" s="4">
        <v>0.41439999999999999</v>
      </c>
      <c r="B23" s="4">
        <v>0.31830000000000003</v>
      </c>
      <c r="C23" s="4">
        <v>0.59970000000000001</v>
      </c>
      <c r="D23" s="4">
        <v>0.29330000000000001</v>
      </c>
      <c r="E23" s="4">
        <v>0.22889999999999999</v>
      </c>
      <c r="F23" s="4">
        <v>0.35289999999999999</v>
      </c>
      <c r="G23" s="4">
        <v>1.2032</v>
      </c>
      <c r="H23" s="4">
        <v>3.1520000000000001</v>
      </c>
      <c r="I23" t="s">
        <v>15</v>
      </c>
      <c r="J23">
        <f>318.15-273.15</f>
        <v>45</v>
      </c>
      <c r="L23" s="7">
        <f t="shared" si="0"/>
        <v>0.29817534625114245</v>
      </c>
      <c r="M23" s="7">
        <f t="shared" si="1"/>
        <v>0.63007366029930212</v>
      </c>
      <c r="N23" s="7">
        <f t="shared" si="2"/>
        <v>7.1750993449555614E-2</v>
      </c>
      <c r="O23" s="7">
        <f t="shared" si="3"/>
        <v>0.41458462323571482</v>
      </c>
      <c r="P23">
        <f t="shared" si="4"/>
        <v>0.55781977344405043</v>
      </c>
      <c r="Q23">
        <f t="shared" si="5"/>
        <v>2.7595603320234915E-2</v>
      </c>
      <c r="R23">
        <f t="shared" si="6"/>
        <v>0.16883418975017062</v>
      </c>
      <c r="S23">
        <f t="shared" si="7"/>
        <v>0.71609223457830051</v>
      </c>
      <c r="T23">
        <f t="shared" si="8"/>
        <v>0.11507357567152886</v>
      </c>
    </row>
    <row r="24" spans="1:20" x14ac:dyDescent="0.25">
      <c r="A24" s="3">
        <v>0.71970000000000001</v>
      </c>
      <c r="B24" s="3">
        <v>1.8700000000000001E-2</v>
      </c>
      <c r="C24" s="3">
        <v>0.98550000000000004</v>
      </c>
      <c r="D24" s="3">
        <v>1.26E-2</v>
      </c>
      <c r="E24" s="3">
        <v>9.2999999999999992E-3</v>
      </c>
      <c r="F24" s="3">
        <v>3.8600000000000002E-2</v>
      </c>
      <c r="G24" s="3">
        <v>3.0709</v>
      </c>
      <c r="H24" s="3">
        <v>325.65789999999998</v>
      </c>
      <c r="L24" s="7">
        <f t="shared" si="0"/>
        <v>0.82844381704253156</v>
      </c>
      <c r="M24" s="7">
        <f t="shared" si="1"/>
        <v>5.921829040228082E-2</v>
      </c>
      <c r="N24" s="7">
        <f t="shared" si="2"/>
        <v>0.11233789255518771</v>
      </c>
      <c r="O24" s="7">
        <f t="shared" si="3"/>
        <v>0.96535083273334765</v>
      </c>
      <c r="P24">
        <f t="shared" si="4"/>
        <v>3.3954848150963515E-2</v>
      </c>
      <c r="Q24">
        <f t="shared" si="5"/>
        <v>6.9431911568881334E-4</v>
      </c>
      <c r="R24">
        <f t="shared" si="6"/>
        <v>1.9758622410767951E-2</v>
      </c>
      <c r="S24">
        <f t="shared" si="7"/>
        <v>0.22561279123789454</v>
      </c>
      <c r="T24">
        <f t="shared" si="8"/>
        <v>0.75462858635133745</v>
      </c>
    </row>
    <row r="25" spans="1:20" x14ac:dyDescent="0.25">
      <c r="A25" s="2">
        <v>0.70069999999999999</v>
      </c>
      <c r="B25" s="2">
        <v>4.3900000000000002E-2</v>
      </c>
      <c r="C25" s="2">
        <v>0.96330000000000005</v>
      </c>
      <c r="D25" s="2">
        <v>3.4799999999999998E-2</v>
      </c>
      <c r="E25" s="2">
        <v>1.6799999999999999E-2</v>
      </c>
      <c r="F25" s="2">
        <v>0.10630000000000001</v>
      </c>
      <c r="G25" s="2">
        <v>3.0571999999999999</v>
      </c>
      <c r="H25" s="2">
        <v>174.8202</v>
      </c>
      <c r="L25" s="7">
        <f t="shared" si="0"/>
        <v>0.7643293347073612</v>
      </c>
      <c r="M25" s="7">
        <f t="shared" si="1"/>
        <v>0.13173938487660725</v>
      </c>
      <c r="N25" s="7">
        <f t="shared" si="2"/>
        <v>0.1039312804160316</v>
      </c>
      <c r="O25" s="7">
        <f t="shared" si="3"/>
        <v>0.90899115899045813</v>
      </c>
      <c r="P25">
        <f t="shared" si="4"/>
        <v>9.0339991097610026E-2</v>
      </c>
      <c r="Q25">
        <f t="shared" si="5"/>
        <v>6.6884991193173348E-4</v>
      </c>
      <c r="R25">
        <f t="shared" si="6"/>
        <v>2.6399550183868581E-2</v>
      </c>
      <c r="S25">
        <f t="shared" si="7"/>
        <v>0.45953988416182567</v>
      </c>
      <c r="T25">
        <f t="shared" si="8"/>
        <v>0.51406056565430569</v>
      </c>
    </row>
    <row r="26" spans="1:20" x14ac:dyDescent="0.25">
      <c r="A26" s="2">
        <v>0.66669999999999996</v>
      </c>
      <c r="B26" s="2">
        <v>8.9700000000000002E-2</v>
      </c>
      <c r="C26" s="2">
        <v>0.93489999999999995</v>
      </c>
      <c r="D26" s="2">
        <v>6.1800000000000001E-2</v>
      </c>
      <c r="E26" s="2">
        <v>2.98E-2</v>
      </c>
      <c r="F26" s="2">
        <v>0.1484</v>
      </c>
      <c r="G26" s="2">
        <v>2.4001999999999999</v>
      </c>
      <c r="H26" s="2">
        <v>75.261600000000001</v>
      </c>
      <c r="L26" s="7">
        <f t="shared" si="0"/>
        <v>0.66381331559181278</v>
      </c>
      <c r="M26" s="7">
        <f t="shared" si="1"/>
        <v>0.24570310696047598</v>
      </c>
      <c r="N26" s="7">
        <f t="shared" si="2"/>
        <v>9.0483577447711266E-2</v>
      </c>
      <c r="O26" s="7">
        <f t="shared" si="3"/>
        <v>0.84518555328032308</v>
      </c>
      <c r="P26">
        <f t="shared" si="4"/>
        <v>0.15370149116973225</v>
      </c>
      <c r="Q26">
        <f t="shared" si="5"/>
        <v>1.1129555499447348E-3</v>
      </c>
      <c r="R26">
        <f t="shared" si="6"/>
        <v>4.0019376694577141E-2</v>
      </c>
      <c r="S26">
        <f t="shared" si="7"/>
        <v>0.54826517068730163</v>
      </c>
      <c r="T26">
        <f t="shared" si="8"/>
        <v>0.41171545261812115</v>
      </c>
    </row>
    <row r="27" spans="1:20" x14ac:dyDescent="0.25">
      <c r="A27" s="2">
        <v>0.58420000000000005</v>
      </c>
      <c r="B27" s="2">
        <v>0.1482</v>
      </c>
      <c r="C27" s="2">
        <v>0.88260000000000005</v>
      </c>
      <c r="D27" s="2">
        <v>0.11</v>
      </c>
      <c r="E27" s="2">
        <v>6.1499999999999999E-2</v>
      </c>
      <c r="F27" s="2">
        <v>0.2089</v>
      </c>
      <c r="G27" s="2">
        <v>1.8996</v>
      </c>
      <c r="H27" s="2">
        <v>27.262599999999999</v>
      </c>
      <c r="L27" s="7">
        <f t="shared" si="0"/>
        <v>0.53510907658729379</v>
      </c>
      <c r="M27" s="7">
        <f t="shared" si="1"/>
        <v>0.37344931670334569</v>
      </c>
      <c r="N27" s="7">
        <f t="shared" si="2"/>
        <v>9.1441606709360537E-2</v>
      </c>
      <c r="O27" s="7">
        <f t="shared" si="3"/>
        <v>0.74294238108503441</v>
      </c>
      <c r="P27">
        <f t="shared" si="4"/>
        <v>0.25473381272449258</v>
      </c>
      <c r="Q27">
        <f t="shared" si="5"/>
        <v>2.3238061904729624E-3</v>
      </c>
      <c r="R27">
        <f t="shared" si="6"/>
        <v>6.7702688177542575E-2</v>
      </c>
      <c r="S27">
        <f t="shared" si="7"/>
        <v>0.63266227357053428</v>
      </c>
      <c r="T27">
        <f t="shared" si="8"/>
        <v>0.29963503825192322</v>
      </c>
    </row>
    <row r="28" spans="1:20" x14ac:dyDescent="0.25">
      <c r="A28" s="2">
        <v>0.51839999999999997</v>
      </c>
      <c r="B28" s="2">
        <v>0.21410000000000001</v>
      </c>
      <c r="C28" s="2">
        <v>0.76559999999999995</v>
      </c>
      <c r="D28" s="2">
        <v>0.18060000000000001</v>
      </c>
      <c r="E28" s="2">
        <v>0.1278</v>
      </c>
      <c r="F28" s="2">
        <v>0.27829999999999999</v>
      </c>
      <c r="G28" s="2">
        <v>1.5407</v>
      </c>
      <c r="H28" s="2">
        <v>9.2272999999999996</v>
      </c>
      <c r="L28" s="7">
        <f t="shared" si="0"/>
        <v>0.42942392853959183</v>
      </c>
      <c r="M28" s="7">
        <f t="shared" si="1"/>
        <v>0.48791100703606027</v>
      </c>
      <c r="N28" s="7">
        <f t="shared" si="2"/>
        <v>8.2665064424347942E-2</v>
      </c>
      <c r="O28" s="7">
        <f t="shared" si="3"/>
        <v>0.59695208100949748</v>
      </c>
      <c r="P28">
        <f t="shared" si="4"/>
        <v>0.38739855126072653</v>
      </c>
      <c r="Q28">
        <f t="shared" si="5"/>
        <v>1.5649367729775911E-2</v>
      </c>
      <c r="R28">
        <f t="shared" si="6"/>
        <v>0.11462046757859846</v>
      </c>
      <c r="S28">
        <f t="shared" si="7"/>
        <v>0.68666866390004555</v>
      </c>
      <c r="T28">
        <f t="shared" si="8"/>
        <v>0.19871086852135583</v>
      </c>
    </row>
    <row r="29" spans="1:20" ht="15.75" thickBot="1" x14ac:dyDescent="0.3">
      <c r="A29" s="4">
        <v>0.45900000000000002</v>
      </c>
      <c r="B29" s="4">
        <v>0.27660000000000001</v>
      </c>
      <c r="C29" s="4">
        <v>0.65400000000000003</v>
      </c>
      <c r="D29" s="4">
        <v>0.253</v>
      </c>
      <c r="E29" s="4">
        <v>0.20530000000000001</v>
      </c>
      <c r="F29" s="4">
        <v>0.34260000000000002</v>
      </c>
      <c r="G29" s="4">
        <v>1.3540000000000001</v>
      </c>
      <c r="H29" s="4">
        <v>4.3141999999999996</v>
      </c>
      <c r="L29" s="7">
        <f t="shared" si="0"/>
        <v>0.34810055948033425</v>
      </c>
      <c r="M29" s="7">
        <f t="shared" si="1"/>
        <v>0.57709446917449703</v>
      </c>
      <c r="N29" s="7">
        <f t="shared" si="2"/>
        <v>7.4804971345168794E-2</v>
      </c>
      <c r="O29" s="7">
        <f t="shared" si="3"/>
        <v>0.47229872255725175</v>
      </c>
      <c r="P29">
        <f t="shared" si="4"/>
        <v>0.50264601561443056</v>
      </c>
      <c r="Q29">
        <f t="shared" si="5"/>
        <v>2.505526182831767E-2</v>
      </c>
      <c r="R29">
        <f t="shared" si="6"/>
        <v>0.1559463202279758</v>
      </c>
      <c r="S29">
        <f t="shared" si="7"/>
        <v>0.71593936342101161</v>
      </c>
      <c r="T29">
        <f t="shared" si="8"/>
        <v>0.12811431635101259</v>
      </c>
    </row>
    <row r="33" spans="1:6" x14ac:dyDescent="0.25">
      <c r="A33" t="s">
        <v>22</v>
      </c>
      <c r="D33" t="s">
        <v>22</v>
      </c>
      <c r="F33" t="s">
        <v>22</v>
      </c>
    </row>
    <row r="34" spans="1:6" x14ac:dyDescent="0.25">
      <c r="A34">
        <f>1-A9-B9</f>
        <v>0.26269999999999999</v>
      </c>
      <c r="D34">
        <f>1-C9-D9</f>
        <v>1.9999999999999879E-4</v>
      </c>
      <c r="F34">
        <f>1-E9-F9</f>
        <v>0.94589999999999996</v>
      </c>
    </row>
    <row r="35" spans="1:6" x14ac:dyDescent="0.25">
      <c r="A35">
        <f t="shared" ref="A35:A54" si="9">1-A10-B10</f>
        <v>0.25380000000000003</v>
      </c>
      <c r="D35">
        <f t="shared" ref="D35:D54" si="10">1-C10-D10</f>
        <v>2.0000000000002655E-4</v>
      </c>
      <c r="F35">
        <f t="shared" ref="F35:F54" si="11">1-E10-F10</f>
        <v>0.89939999999999998</v>
      </c>
    </row>
    <row r="36" spans="1:6" x14ac:dyDescent="0.25">
      <c r="A36">
        <f t="shared" si="9"/>
        <v>0.24859999999999999</v>
      </c>
      <c r="D36">
        <f t="shared" si="10"/>
        <v>4.9999999999996575E-4</v>
      </c>
      <c r="F36">
        <f t="shared" si="11"/>
        <v>0.86229999999999996</v>
      </c>
    </row>
    <row r="37" spans="1:6" x14ac:dyDescent="0.25">
      <c r="A37">
        <f t="shared" si="9"/>
        <v>0.2382</v>
      </c>
      <c r="D37">
        <f t="shared" si="10"/>
        <v>3.300000000000039E-3</v>
      </c>
      <c r="F37">
        <f t="shared" si="11"/>
        <v>0.77550000000000008</v>
      </c>
    </row>
    <row r="38" spans="1:6" x14ac:dyDescent="0.25">
      <c r="A38">
        <f t="shared" si="9"/>
        <v>0.26740000000000003</v>
      </c>
      <c r="D38">
        <f t="shared" si="10"/>
        <v>8.2000000000000406E-3</v>
      </c>
      <c r="F38">
        <f t="shared" si="11"/>
        <v>0.73599999999999999</v>
      </c>
    </row>
    <row r="39" spans="1:6" x14ac:dyDescent="0.25">
      <c r="A39">
        <f t="shared" si="9"/>
        <v>0.26700000000000002</v>
      </c>
      <c r="D39">
        <f t="shared" si="10"/>
        <v>1.2299999999999978E-2</v>
      </c>
      <c r="F39">
        <f t="shared" si="11"/>
        <v>0.64270000000000005</v>
      </c>
    </row>
    <row r="40" spans="1:6" x14ac:dyDescent="0.25">
      <c r="A40">
        <f t="shared" si="9"/>
        <v>0.24679999999999996</v>
      </c>
      <c r="D40">
        <f t="shared" si="10"/>
        <v>4.7599999999999976E-2</v>
      </c>
      <c r="F40">
        <f t="shared" si="11"/>
        <v>0.52759999999999996</v>
      </c>
    </row>
    <row r="41" spans="1:6" x14ac:dyDescent="0.25">
      <c r="A41">
        <f t="shared" si="9"/>
        <v>0.24640000000000001</v>
      </c>
      <c r="D41">
        <f t="shared" si="10"/>
        <v>0.11280000000000001</v>
      </c>
      <c r="F41">
        <f t="shared" si="11"/>
        <v>0.40909999999999996</v>
      </c>
    </row>
    <row r="42" spans="1:6" x14ac:dyDescent="0.25">
      <c r="A42">
        <f>1-A17-B17</f>
        <v>0.26219999999999999</v>
      </c>
      <c r="D42">
        <f>1-C17-D17</f>
        <v>1.0700000000000005E-2</v>
      </c>
      <c r="F42">
        <f>1-E17-F17</f>
        <v>0.96120000000000005</v>
      </c>
    </row>
    <row r="43" spans="1:6" x14ac:dyDescent="0.25">
      <c r="A43">
        <f t="shared" si="9"/>
        <v>0.25419999999999993</v>
      </c>
      <c r="D43">
        <f t="shared" si="10"/>
        <v>3.9999999999999619E-3</v>
      </c>
      <c r="F43">
        <f t="shared" si="11"/>
        <v>0.90459999999999996</v>
      </c>
    </row>
    <row r="44" spans="1:6" x14ac:dyDescent="0.25">
      <c r="A44">
        <f t="shared" si="9"/>
        <v>0.24309999999999998</v>
      </c>
      <c r="D44">
        <f t="shared" si="10"/>
        <v>3.9999999999999619E-3</v>
      </c>
      <c r="F44">
        <f t="shared" si="11"/>
        <v>0.83650000000000002</v>
      </c>
    </row>
    <row r="45" spans="1:6" x14ac:dyDescent="0.25">
      <c r="A45">
        <f t="shared" si="9"/>
        <v>0.26710000000000006</v>
      </c>
      <c r="D45">
        <f t="shared" si="10"/>
        <v>6.2999999999999584E-3</v>
      </c>
      <c r="F45">
        <f t="shared" si="11"/>
        <v>0.74239999999999995</v>
      </c>
    </row>
    <row r="46" spans="1:6" x14ac:dyDescent="0.25">
      <c r="A46">
        <f t="shared" si="9"/>
        <v>0.26689999999999997</v>
      </c>
      <c r="D46">
        <f t="shared" si="10"/>
        <v>1.5799999999999953E-2</v>
      </c>
      <c r="F46">
        <f t="shared" si="11"/>
        <v>0.63659999999999994</v>
      </c>
    </row>
    <row r="47" spans="1:6" x14ac:dyDescent="0.25">
      <c r="A47">
        <f t="shared" si="9"/>
        <v>0.26650000000000001</v>
      </c>
      <c r="D47">
        <f t="shared" si="10"/>
        <v>4.0400000000000047E-2</v>
      </c>
      <c r="F47">
        <f t="shared" si="11"/>
        <v>0.54830000000000001</v>
      </c>
    </row>
    <row r="48" spans="1:6" x14ac:dyDescent="0.25">
      <c r="A48">
        <f t="shared" si="9"/>
        <v>0.26729999999999998</v>
      </c>
      <c r="D48">
        <f t="shared" si="10"/>
        <v>0.10699999999999998</v>
      </c>
      <c r="F48">
        <f t="shared" si="11"/>
        <v>0.41820000000000002</v>
      </c>
    </row>
    <row r="49" spans="1:6" x14ac:dyDescent="0.25">
      <c r="A49">
        <f t="shared" si="9"/>
        <v>0.2616</v>
      </c>
      <c r="D49">
        <f t="shared" si="10"/>
        <v>1.8999999999999573E-3</v>
      </c>
      <c r="F49">
        <f t="shared" si="11"/>
        <v>0.95210000000000006</v>
      </c>
    </row>
    <row r="50" spans="1:6" x14ac:dyDescent="0.25">
      <c r="A50">
        <f t="shared" si="9"/>
        <v>0.25540000000000002</v>
      </c>
      <c r="D50">
        <f t="shared" si="10"/>
        <v>1.8999999999999573E-3</v>
      </c>
      <c r="F50">
        <f t="shared" si="11"/>
        <v>0.87690000000000001</v>
      </c>
    </row>
    <row r="51" spans="1:6" x14ac:dyDescent="0.25">
      <c r="A51">
        <f t="shared" si="9"/>
        <v>0.24360000000000004</v>
      </c>
      <c r="D51">
        <f t="shared" si="10"/>
        <v>3.300000000000046E-3</v>
      </c>
      <c r="F51">
        <f t="shared" si="11"/>
        <v>0.82179999999999997</v>
      </c>
    </row>
    <row r="52" spans="1:6" x14ac:dyDescent="0.25">
      <c r="A52">
        <f t="shared" si="9"/>
        <v>0.26759999999999995</v>
      </c>
      <c r="D52">
        <f t="shared" si="10"/>
        <v>7.3999999999999483E-3</v>
      </c>
      <c r="F52">
        <f t="shared" si="11"/>
        <v>0.72960000000000003</v>
      </c>
    </row>
    <row r="53" spans="1:6" x14ac:dyDescent="0.25">
      <c r="A53">
        <f t="shared" si="9"/>
        <v>0.26750000000000002</v>
      </c>
      <c r="D53">
        <f t="shared" si="10"/>
        <v>5.3800000000000042E-2</v>
      </c>
      <c r="F53">
        <f t="shared" si="11"/>
        <v>0.59389999999999998</v>
      </c>
    </row>
    <row r="54" spans="1:6" x14ac:dyDescent="0.25">
      <c r="A54">
        <f t="shared" si="9"/>
        <v>0.26439999999999991</v>
      </c>
      <c r="D54">
        <f t="shared" si="10"/>
        <v>9.2999999999999972E-2</v>
      </c>
      <c r="F54">
        <f t="shared" si="11"/>
        <v>0.45209999999999995</v>
      </c>
    </row>
  </sheetData>
  <mergeCells count="4">
    <mergeCell ref="A7:B7"/>
    <mergeCell ref="C7:D7"/>
    <mergeCell ref="E7:F7"/>
    <mergeCell ref="L7:M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5"/>
  <dimension ref="A2:E18"/>
  <sheetViews>
    <sheetView workbookViewId="0">
      <selection activeCell="F4" sqref="F4"/>
    </sheetView>
  </sheetViews>
  <sheetFormatPr defaultRowHeight="15" x14ac:dyDescent="0.25"/>
  <sheetData>
    <row r="2" spans="1:5" ht="15.75" thickBot="1" x14ac:dyDescent="0.3">
      <c r="A2" t="s">
        <v>25</v>
      </c>
      <c r="B2" t="s">
        <v>19</v>
      </c>
      <c r="C2" t="s">
        <v>26</v>
      </c>
      <c r="D2" t="s">
        <v>20</v>
      </c>
      <c r="E2" t="s">
        <v>27</v>
      </c>
    </row>
    <row r="3" spans="1:5" x14ac:dyDescent="0.25">
      <c r="A3" s="15">
        <v>359.75</v>
      </c>
      <c r="B3" s="15">
        <v>0</v>
      </c>
      <c r="C3" s="15">
        <v>0</v>
      </c>
      <c r="D3" s="15" t="s">
        <v>24</v>
      </c>
      <c r="E3" s="15">
        <v>1</v>
      </c>
    </row>
    <row r="4" spans="1:5" x14ac:dyDescent="0.25">
      <c r="A4" s="14">
        <v>358.72</v>
      </c>
      <c r="B4" s="14">
        <v>4.2000000000000003E-2</v>
      </c>
      <c r="C4" s="14">
        <v>7.8E-2</v>
      </c>
      <c r="D4" s="14">
        <v>1.31</v>
      </c>
      <c r="E4" s="14">
        <v>1</v>
      </c>
    </row>
    <row r="5" spans="1:5" x14ac:dyDescent="0.25">
      <c r="A5" s="14">
        <v>357.21</v>
      </c>
      <c r="B5" s="14">
        <v>0.11600000000000001</v>
      </c>
      <c r="C5" s="14">
        <v>0.191</v>
      </c>
      <c r="D5" s="14">
        <v>1.226</v>
      </c>
      <c r="E5" s="14">
        <v>1.004</v>
      </c>
    </row>
    <row r="6" spans="1:5" x14ac:dyDescent="0.25">
      <c r="A6" s="14">
        <v>355.96</v>
      </c>
      <c r="B6" s="14">
        <v>0.191</v>
      </c>
      <c r="C6" s="14">
        <v>0.28699999999999998</v>
      </c>
      <c r="D6" s="14">
        <v>1.17</v>
      </c>
      <c r="E6" s="14">
        <v>1.0129999999999999</v>
      </c>
    </row>
    <row r="7" spans="1:5" x14ac:dyDescent="0.25">
      <c r="A7" s="14">
        <v>354.99</v>
      </c>
      <c r="B7" s="14">
        <v>0.25900000000000001</v>
      </c>
      <c r="C7" s="14">
        <v>0.36399999999999999</v>
      </c>
      <c r="D7" s="14">
        <v>1.133</v>
      </c>
      <c r="E7" s="14">
        <v>1.0229999999999999</v>
      </c>
    </row>
    <row r="8" spans="1:5" x14ac:dyDescent="0.25">
      <c r="A8" s="14">
        <v>354.22</v>
      </c>
      <c r="B8" s="14">
        <v>0.32200000000000001</v>
      </c>
      <c r="C8" s="14">
        <v>0.42799999999999999</v>
      </c>
      <c r="D8" s="14">
        <v>1.1020000000000001</v>
      </c>
      <c r="E8" s="14">
        <v>1.0349999999999999</v>
      </c>
    </row>
    <row r="9" spans="1:5" x14ac:dyDescent="0.25">
      <c r="A9" s="14">
        <v>353.35</v>
      </c>
      <c r="B9" s="14">
        <v>0.40200000000000002</v>
      </c>
      <c r="C9" s="14">
        <v>0.505</v>
      </c>
      <c r="D9" s="14">
        <v>1.075</v>
      </c>
      <c r="E9" s="14">
        <v>1.0489999999999999</v>
      </c>
    </row>
    <row r="10" spans="1:5" x14ac:dyDescent="0.25">
      <c r="A10" s="14">
        <v>352.75</v>
      </c>
      <c r="B10" s="14">
        <v>0.46200000000000002</v>
      </c>
      <c r="C10" s="14">
        <v>0.55900000000000005</v>
      </c>
      <c r="D10" s="14">
        <v>1.0580000000000001</v>
      </c>
      <c r="E10" s="14">
        <v>1.0629999999999999</v>
      </c>
    </row>
    <row r="11" spans="1:5" x14ac:dyDescent="0.25">
      <c r="A11" s="14">
        <v>352.1</v>
      </c>
      <c r="B11" s="14">
        <v>0.53700000000000003</v>
      </c>
      <c r="C11" s="14">
        <v>0.623</v>
      </c>
      <c r="D11" s="14">
        <v>1.0389999999999999</v>
      </c>
      <c r="E11" s="14">
        <v>1.0820000000000001</v>
      </c>
    </row>
    <row r="12" spans="1:5" x14ac:dyDescent="0.25">
      <c r="A12" s="14">
        <v>351.58</v>
      </c>
      <c r="B12" s="14">
        <v>0.60299999999999998</v>
      </c>
      <c r="C12" s="14">
        <v>0.67900000000000005</v>
      </c>
      <c r="D12" s="14">
        <v>1.028</v>
      </c>
      <c r="E12" s="14">
        <v>1.0960000000000001</v>
      </c>
    </row>
    <row r="13" spans="1:5" x14ac:dyDescent="0.25">
      <c r="A13" s="14">
        <v>351.03</v>
      </c>
      <c r="B13" s="14">
        <v>0.67800000000000005</v>
      </c>
      <c r="C13" s="14">
        <v>0.74</v>
      </c>
      <c r="D13" s="14">
        <v>1.0169999999999999</v>
      </c>
      <c r="E13" s="14">
        <v>1.1180000000000001</v>
      </c>
    </row>
    <row r="14" spans="1:5" x14ac:dyDescent="0.25">
      <c r="A14" s="14">
        <v>350.53</v>
      </c>
      <c r="B14" s="14">
        <v>0.751</v>
      </c>
      <c r="C14" s="14">
        <v>0.79900000000000004</v>
      </c>
      <c r="D14" s="14">
        <v>1.01</v>
      </c>
      <c r="E14" s="14">
        <v>1.1399999999999999</v>
      </c>
    </row>
    <row r="15" spans="1:5" x14ac:dyDescent="0.25">
      <c r="A15" s="14">
        <v>350.15</v>
      </c>
      <c r="B15" s="14">
        <v>0.81200000000000006</v>
      </c>
      <c r="C15" s="14">
        <v>0.84799999999999998</v>
      </c>
      <c r="D15" s="14">
        <v>1.0049999999999999</v>
      </c>
      <c r="E15" s="14">
        <v>1.159</v>
      </c>
    </row>
    <row r="16" spans="1:5" x14ac:dyDescent="0.25">
      <c r="A16" s="14">
        <v>349.77</v>
      </c>
      <c r="B16" s="14">
        <v>0.879</v>
      </c>
      <c r="C16" s="14">
        <v>0.90200000000000002</v>
      </c>
      <c r="D16" s="14">
        <v>1.002</v>
      </c>
      <c r="E16" s="14">
        <v>1.1779999999999999</v>
      </c>
    </row>
    <row r="17" spans="1:5" x14ac:dyDescent="0.25">
      <c r="A17" s="14">
        <v>349.37</v>
      </c>
      <c r="B17" s="14">
        <v>0.95299999999999996</v>
      </c>
      <c r="C17" s="14">
        <v>0.96199999999999997</v>
      </c>
      <c r="D17" s="14">
        <v>1</v>
      </c>
      <c r="E17" s="14">
        <v>1.194</v>
      </c>
    </row>
    <row r="18" spans="1:5" ht="15.75" thickBot="1" x14ac:dyDescent="0.3">
      <c r="A18" s="16">
        <v>349.13</v>
      </c>
      <c r="B18" s="16">
        <v>1</v>
      </c>
      <c r="C18" s="16">
        <v>1</v>
      </c>
      <c r="D18" s="16">
        <v>1</v>
      </c>
      <c r="E18" s="16" t="s">
        <v>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7"/>
  <dimension ref="A4:B21"/>
  <sheetViews>
    <sheetView workbookViewId="0">
      <selection activeCell="A4" sqref="A4:B21"/>
    </sheetView>
  </sheetViews>
  <sheetFormatPr defaultRowHeight="15" x14ac:dyDescent="0.25"/>
  <sheetData>
    <row r="4" spans="1:2" ht="16.5" x14ac:dyDescent="0.25">
      <c r="A4" s="17">
        <v>6.54E-2</v>
      </c>
      <c r="B4" s="17">
        <v>0.1363</v>
      </c>
    </row>
    <row r="5" spans="1:2" ht="16.5" x14ac:dyDescent="0.25">
      <c r="A5" s="17">
        <v>0.1137</v>
      </c>
      <c r="B5" s="17">
        <v>0.21859999999999999</v>
      </c>
    </row>
    <row r="6" spans="1:2" ht="16.5" x14ac:dyDescent="0.25">
      <c r="A6" s="17">
        <v>0.20899999999999999</v>
      </c>
      <c r="B6" s="17">
        <v>0.36180000000000001</v>
      </c>
    </row>
    <row r="7" spans="1:2" ht="16.5" x14ac:dyDescent="0.25">
      <c r="A7" s="17">
        <v>0.25340000000000001</v>
      </c>
      <c r="B7" s="17">
        <v>0.41689999999999999</v>
      </c>
    </row>
    <row r="8" spans="1:2" ht="16.5" x14ac:dyDescent="0.25">
      <c r="A8" s="17">
        <v>0.307</v>
      </c>
      <c r="B8" s="17">
        <v>0.47860000000000003</v>
      </c>
    </row>
    <row r="9" spans="1:2" ht="16.5" x14ac:dyDescent="0.25">
      <c r="A9" s="17">
        <v>0.35610000000000003</v>
      </c>
      <c r="B9" s="17">
        <v>0.52739999999999998</v>
      </c>
    </row>
    <row r="10" spans="1:2" ht="16.5" x14ac:dyDescent="0.25">
      <c r="A10" s="17">
        <v>0.43709999999999999</v>
      </c>
      <c r="B10" s="17">
        <v>0.59799999999999998</v>
      </c>
    </row>
    <row r="11" spans="1:2" ht="16.5" x14ac:dyDescent="0.25">
      <c r="A11" s="17">
        <v>0.52449999999999997</v>
      </c>
      <c r="B11" s="17">
        <v>0.6502</v>
      </c>
    </row>
    <row r="12" spans="1:2" ht="16.5" x14ac:dyDescent="0.25">
      <c r="A12" s="17">
        <v>0.59940000000000004</v>
      </c>
      <c r="B12" s="17">
        <v>0.69699999999999995</v>
      </c>
    </row>
    <row r="13" spans="1:2" ht="16.5" x14ac:dyDescent="0.25">
      <c r="A13" s="17">
        <v>0.68049999999999999</v>
      </c>
      <c r="B13" s="17">
        <v>0.74760000000000004</v>
      </c>
    </row>
    <row r="14" spans="1:2" ht="16.5" x14ac:dyDescent="0.25">
      <c r="A14" s="17">
        <v>0.75409999999999999</v>
      </c>
      <c r="B14" s="17">
        <v>0.79059999999999997</v>
      </c>
    </row>
    <row r="15" spans="1:2" ht="16.5" x14ac:dyDescent="0.25">
      <c r="A15" s="17">
        <v>0.82879999999999998</v>
      </c>
      <c r="B15" s="17">
        <v>0.8337</v>
      </c>
    </row>
    <row r="16" spans="1:2" ht="16.5" x14ac:dyDescent="0.25">
      <c r="A16" s="17">
        <v>0.88180000000000003</v>
      </c>
      <c r="B16" s="17">
        <v>0.87409999999999999</v>
      </c>
    </row>
    <row r="17" spans="1:2" ht="16.5" x14ac:dyDescent="0.25">
      <c r="A17" s="17">
        <v>0.90380000000000005</v>
      </c>
      <c r="B17" s="17">
        <v>0.89370000000000005</v>
      </c>
    </row>
    <row r="18" spans="1:2" ht="16.5" x14ac:dyDescent="0.25">
      <c r="A18" s="17">
        <v>0.92049999999999998</v>
      </c>
      <c r="B18" s="17">
        <v>0.90859999999999996</v>
      </c>
    </row>
    <row r="19" spans="1:2" ht="16.5" x14ac:dyDescent="0.25">
      <c r="A19" s="17">
        <v>0.95699999999999996</v>
      </c>
      <c r="B19" s="17">
        <v>0.94510000000000005</v>
      </c>
    </row>
    <row r="20" spans="1:2" ht="16.5" x14ac:dyDescent="0.25">
      <c r="A20" s="17">
        <v>0.96830000000000005</v>
      </c>
      <c r="B20" s="17">
        <v>0.95840000000000003</v>
      </c>
    </row>
    <row r="21" spans="1:2" ht="16.5" x14ac:dyDescent="0.25">
      <c r="A21" s="17">
        <v>0.99670000000000003</v>
      </c>
      <c r="B21" s="17">
        <v>0.99529999999999996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Диаграммы</vt:lpstr>
      </vt:variant>
      <vt:variant>
        <vt:i4>2</vt:i4>
      </vt:variant>
    </vt:vector>
  </HeadingPairs>
  <TitlesOfParts>
    <vt:vector size="7" baseType="lpstr">
      <vt:lpstr>Лист1</vt:lpstr>
      <vt:lpstr>Лист5</vt:lpstr>
      <vt:lpstr>Лист2</vt:lpstr>
      <vt:lpstr>Лист3</vt:lpstr>
      <vt:lpstr>Лист4</vt:lpstr>
      <vt:lpstr>Диаграмма1</vt:lpstr>
      <vt:lpstr>Диаграмма2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2024-04-03T22:25:31Z</dcterms:modified>
</cp:coreProperties>
</file>